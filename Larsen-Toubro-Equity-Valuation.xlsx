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30326"/>
  <workbookPr defaultThemeVersion="166925"/>
  <bookViews>
    <workbookView xWindow="-120" yWindow="-120" windowWidth="20730" windowHeight="11040" firstSheet="2" activeTab="3" tabRatio="892"/>
  </bookViews>
  <sheets>
    <sheet name="Data&gt;" sheetId="6" r:id="rId1"/>
    <sheet name="Football Field Analysis" sheetId="17" r:id="rId2"/>
    <sheet name="VAR" sheetId="18" r:id="rId3"/>
    <sheet name="Altman Z Score" sheetId="25" r:id="rId4"/>
    <sheet name="DCF&gt;" sheetId="5" r:id="rId5"/>
    <sheet name="WACC" sheetId="1" r:id="rId6"/>
    <sheet name="Intrisic Growth" sheetId="14" r:id="rId7"/>
    <sheet name="Beta - Regression" sheetId="7" r:id="rId8"/>
    <sheet name="Relative valuation" sheetId="19" r:id="rId9"/>
    <sheet name="Beta - Comps" sheetId="8" r:id="rId10"/>
    <sheet name="Rm" sheetId="9" r:id="rId11"/>
    <sheet name="Analysis" sheetId="21" r:id="rId12"/>
    <sheet name="HistoricalFS" sheetId="10" r:id="rId13"/>
    <sheet name="Raw FS" sheetId="13" r:id="rId14"/>
    <sheet name="Data Sheet" sheetId="11" r:id="rId15"/>
    <sheet name="CFS" sheetId="26" r:id="rId16"/>
    <sheet name="Data Sheet 2" sheetId="16" r:id="rId17"/>
    <sheet name="Relative Data" sheetId="20" r:id="rId18"/>
    <sheet name="Sheet1" sheetId="28" r:id="rId19"/>
    <sheet name="List Of Stocks" sheetId="23" r:id="rId20"/>
  </sheets>
  <definedNames>
    <definedName name="_xlnm._FilterDatabase" localSheetId="7" hidden="1">'Beta - Regression'!$B$6:$D$111</definedName>
    <definedName name="_xlnm._FilterDatabase" localSheetId="19" hidden="1">'List Of Stocks'!$B$2:$E$5442</definedName>
    <definedName name="_xlnm._FilterDatabase" localSheetId="2" hidden="1">VAR!$B$3:$E$2479</definedName>
    <definedName name="_xlchart.v1.0" hidden="1">VAR!$H$4:$H$5003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3">'Altman Z Score'!$A$1:$J$106</definedName>
    <definedName name="_xlnm.Print_Area" localSheetId="11">Analysis!$A$1:$J$130</definedName>
    <definedName name="UPDATE">'Data Sheet'!$E$1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<sst xmlns="http://schemas.openxmlformats.org/spreadsheetml/2006/main" uniqueCount="10091" count="10091">
  <si>
    <t>Weighted Average Cost of Capital</t>
  </si>
  <si>
    <t>All figures are in INR unless stated otherwise.</t>
  </si>
  <si>
    <t>Peer Comps</t>
  </si>
  <si>
    <t>Name</t>
  </si>
  <si>
    <t>Country</t>
  </si>
  <si>
    <t>Total Debt</t>
  </si>
  <si>
    <t>Total Equity</t>
  </si>
  <si>
    <t>Average</t>
  </si>
  <si>
    <t>Debt/</t>
  </si>
  <si>
    <t>Equity</t>
  </si>
  <si>
    <t>Levered</t>
  </si>
  <si>
    <r>
      <t xml:space="preserve">Tax Rate </t>
    </r>
    <r>
      <rPr>
        <vertAlign val="superscript"/>
        <sz val="11"/>
        <color rgb="FF000000"/>
        <rFont val="Calibri"/>
      </rPr>
      <t>1</t>
    </r>
  </si>
  <si>
    <r>
      <t xml:space="preserve">Beta </t>
    </r>
    <r>
      <rPr>
        <vertAlign val="superscript"/>
        <sz val="11"/>
        <color rgb="FF000000"/>
        <rFont val="Calibri"/>
      </rPr>
      <t>2</t>
    </r>
  </si>
  <si>
    <t>Unlevered</t>
  </si>
  <si>
    <r>
      <t xml:space="preserve">Beta </t>
    </r>
    <r>
      <rPr>
        <vertAlign val="superscript"/>
        <sz val="11"/>
        <color rgb="FF000000"/>
        <rFont val="Calibri"/>
      </rPr>
      <t>3</t>
    </r>
  </si>
  <si>
    <t>India</t>
  </si>
  <si>
    <t>Capital</t>
  </si>
  <si>
    <t>Median</t>
  </si>
  <si>
    <t>Capital Structure</t>
  </si>
  <si>
    <t>Market Capitalization</t>
  </si>
  <si>
    <t>Total Capitalization</t>
  </si>
  <si>
    <t>Current</t>
  </si>
  <si>
    <t>Target</t>
  </si>
  <si>
    <t>Cost of Equity</t>
  </si>
  <si>
    <t>Risk Free Rate</t>
  </si>
  <si>
    <t>Equity Risk Premium</t>
  </si>
  <si>
    <t>Levered Beta</t>
  </si>
  <si>
    <t>Debt / Equity</t>
  </si>
  <si>
    <r>
      <t xml:space="preserve">Levered Beta </t>
    </r>
    <r>
      <rPr>
        <vertAlign val="superscript"/>
        <sz val="11"/>
        <color rgb="FF000000"/>
        <rFont val="Calibri"/>
      </rPr>
      <t>4</t>
    </r>
  </si>
  <si>
    <t>Cost of Debt</t>
  </si>
  <si>
    <t>Pre-tax Cost of Debt</t>
  </si>
  <si>
    <t>Tax Rate</t>
  </si>
  <si>
    <t>After Tax Cost of Debt</t>
  </si>
  <si>
    <t xml:space="preserve">Levered Beta </t>
  </si>
  <si>
    <t>Comps Median Unlevered Beta</t>
  </si>
  <si>
    <t xml:space="preserve">Target Debt/ Equity  </t>
  </si>
  <si>
    <t>1. Tax Rate considered as Marginal Tax Rate for the country</t>
  </si>
  <si>
    <t>2. Levered Beta is based on 5 year monthly data</t>
  </si>
  <si>
    <t xml:space="preserve"> </t>
  </si>
  <si>
    <t>3. Unlevered Beta = Levered Beta/(1+(1-Tax Rate) x Debt/Equity)</t>
  </si>
  <si>
    <t>Date</t>
  </si>
  <si>
    <t>S.No.</t>
  </si>
  <si>
    <t>CMP Rs.</t>
  </si>
  <si>
    <t>Debt Rs.Cr.</t>
  </si>
  <si>
    <t xml:space="preserve">Mar Cap Rs.Cr. </t>
  </si>
  <si>
    <t>Debt / Eq</t>
  </si>
  <si>
    <t>Closing Price</t>
  </si>
  <si>
    <t>Return</t>
  </si>
  <si>
    <t>NIFTY Returns</t>
  </si>
  <si>
    <t>Beta 1</t>
  </si>
  <si>
    <t>Beta 2</t>
  </si>
  <si>
    <t>Total</t>
  </si>
  <si>
    <t>Beta Drifting</t>
  </si>
  <si>
    <t>Levered Raw Beta</t>
  </si>
  <si>
    <t>Raw Beta Weight</t>
  </si>
  <si>
    <t>Market Beta Weight</t>
  </si>
  <si>
    <t xml:space="preserve">Market Beta </t>
  </si>
  <si>
    <t>Adjusted Beta</t>
  </si>
  <si>
    <t>Year</t>
  </si>
  <si>
    <t>Annual</t>
  </si>
  <si>
    <t>Average Return</t>
  </si>
  <si>
    <t>Dividend Yield</t>
  </si>
  <si>
    <t>Total Market Returns</t>
  </si>
  <si>
    <t>Equity Weight</t>
  </si>
  <si>
    <t>Debt Weight</t>
  </si>
  <si>
    <t>WACC</t>
  </si>
  <si>
    <t>Years</t>
  </si>
  <si>
    <t>LTM</t>
  </si>
  <si>
    <t>#</t>
  </si>
  <si>
    <t>Income Statement</t>
  </si>
  <si>
    <t>Sales</t>
  </si>
  <si>
    <t>Sales Growth</t>
  </si>
  <si>
    <t>-</t>
  </si>
  <si>
    <t>COGS</t>
  </si>
  <si>
    <t>COGS % Sales</t>
  </si>
  <si>
    <t>Gross Profit</t>
  </si>
  <si>
    <t>Gross Margins</t>
  </si>
  <si>
    <t>Selling &amp; General Expenses</t>
  </si>
  <si>
    <t>S&amp;G Exp % Sales</t>
  </si>
  <si>
    <t>EBITDA</t>
  </si>
  <si>
    <t>EBITDA Margins</t>
  </si>
  <si>
    <t>Interest</t>
  </si>
  <si>
    <t>Interest % Sales</t>
  </si>
  <si>
    <t>Depreciation</t>
  </si>
  <si>
    <t>Depreciation%Sales</t>
  </si>
  <si>
    <t>Earnings Before Tax</t>
  </si>
  <si>
    <t>EBT % Sales</t>
  </si>
  <si>
    <t>Tax</t>
  </si>
  <si>
    <t>Effective Tax Rate</t>
  </si>
  <si>
    <t>Net Profit</t>
  </si>
  <si>
    <t>Net Margins</t>
  </si>
  <si>
    <t>No of Equity Shares</t>
  </si>
  <si>
    <t>Earnings per Share</t>
  </si>
  <si>
    <t>EPS Growth %</t>
  </si>
  <si>
    <t>Dividend per Share</t>
  </si>
  <si>
    <t>Dividend payout ratio</t>
  </si>
  <si>
    <t>Retained Earnings</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</si>
  <si>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</si>
  <si>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</si>
  <si>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</si>
  <si>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</si>
  <si>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</si>
  <si>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</si>
  <si>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</si>
  <si>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</si>
  <si>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</si>
  <si>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</si>
  <si>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</si>
  <si>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</si>
  <si>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</si>
  <si>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</si>
  <si>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</si>
  <si>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</si>
  <si>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</si>
  <si>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Flow Statements</t>
  </si>
  <si>
    <t>Cash from Operating Activities</t>
  </si>
  <si>
    <t>Cash from Investing Activities</t>
  </si>
  <si>
    <t>Cash from Financing Activities</t>
  </si>
  <si>
    <t>Net Cash Flow</t>
  </si>
  <si>
    <t>COMPANY NAME</t>
  </si>
  <si>
    <t>LARSEN &amp; TOUBRO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</si>
  <si>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</si>
  <si>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</si>
  <si>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</si>
  <si>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</si>
  <si>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</si>
  <si>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</si>
  <si>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</si>
  <si>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</si>
  <si>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</si>
  <si>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</si>
  <si>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</si>
  <si>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</si>
  <si>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</si>
  <si>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</si>
  <si>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</si>
  <si>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</si>
  <si>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</si>
  <si>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</si>
  <si>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</si>
  <si>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</si>
  <si>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</si>
  <si>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</si>
  <si>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</si>
  <si>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</si>
  <si>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</si>
  <si>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</si>
  <si>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</si>
  <si>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</si>
  <si>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</si>
  <si>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</si>
  <si>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</si>
  <si>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</si>
  <si>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</si>
  <si>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</si>
  <si>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</si>
  <si>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</si>
  <si>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</si>
  <si>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</si>
  <si>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</si>
  <si>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</si>
  <si>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</si>
  <si>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</si>
  <si>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</si>
  <si>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</si>
  <si>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</si>
  <si>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</si>
  <si>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</si>
  <si>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</si>
  <si>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</si>
  <si>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</si>
  <si>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</si>
  <si>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</si>
  <si>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</si>
  <si>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</si>
  <si>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</si>
  <si>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</si>
  <si>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</si>
  <si>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</si>
  <si>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</si>
  <si>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Particulars</t>
  </si>
  <si>
    <t>ROIC</t>
  </si>
  <si>
    <t>Calculation of ROIC</t>
  </si>
  <si>
    <t>Current Assets</t>
  </si>
  <si>
    <t>Current Liabilities</t>
  </si>
  <si>
    <t>Total Current Liabilities</t>
  </si>
  <si>
    <t>Net Working Capital</t>
  </si>
  <si>
    <t>Non Current Assets</t>
  </si>
  <si>
    <t>Net Non Current Assets</t>
  </si>
  <si>
    <t>Invested Capital</t>
  </si>
  <si>
    <t>EBIT</t>
  </si>
  <si>
    <t>Calculation of Reinvestment Rate</t>
  </si>
  <si>
    <t>Net Capex</t>
  </si>
  <si>
    <t>Profit from operations</t>
  </si>
  <si>
    <t>Payables</t>
  </si>
  <si>
    <t>Working capital changes</t>
  </si>
  <si>
    <t>Direct taxes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</si>
  <si>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</si>
  <si>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</si>
  <si>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</si>
  <si>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</si>
  <si>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</si>
  <si>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</si>
  <si>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</si>
  <si>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</si>
  <si>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</si>
  <si>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borrowings</t>
  </si>
  <si>
    <t>Repayment of borrowings</t>
  </si>
  <si>
    <t>Interest paid fin</t>
  </si>
  <si>
    <t>Dividends paid</t>
  </si>
  <si>
    <t>Financial liabilities</t>
  </si>
  <si>
    <t>Other financing items</t>
  </si>
  <si>
    <t>Change in Working Capital</t>
  </si>
  <si>
    <t>Marginal Tax Rate</t>
  </si>
  <si>
    <t>Reinvestment</t>
  </si>
  <si>
    <t>EBIT(1-T)</t>
  </si>
  <si>
    <t>Reinvestment Rate</t>
  </si>
  <si>
    <t>4 Year Average</t>
  </si>
  <si>
    <t>4 Year Median</t>
  </si>
  <si>
    <t>Calculation of Growth Rate</t>
  </si>
  <si>
    <t>Intrinsic Growth</t>
  </si>
  <si>
    <t>Calculation of PV of FCFF</t>
  </si>
  <si>
    <t>EBIT(1-Tax)</t>
  </si>
  <si>
    <t>Less: Reinvestment Rate</t>
  </si>
  <si>
    <t>Free Cash Flow to Firm(FCFF)</t>
  </si>
  <si>
    <t>Mid Year Convention</t>
  </si>
  <si>
    <t>Discounting Factor</t>
  </si>
  <si>
    <t>PV of FCFF</t>
  </si>
  <si>
    <t xml:space="preserve">Expected Growth </t>
  </si>
  <si>
    <t>Terminal Growth</t>
  </si>
  <si>
    <t>FCFF(n+1)</t>
  </si>
  <si>
    <t>Terminal Growth Rate</t>
  </si>
  <si>
    <t>Terminal Value</t>
  </si>
  <si>
    <t>PV Terminal Value</t>
  </si>
  <si>
    <t>Value of Operating Activities</t>
  </si>
  <si>
    <t>Add: Cash</t>
  </si>
  <si>
    <t>Less: debt</t>
  </si>
  <si>
    <t>Value of Equity</t>
  </si>
  <si>
    <t>NO. of Shares</t>
  </si>
  <si>
    <t xml:space="preserve"> Equity Value Per Share</t>
  </si>
  <si>
    <t>Share Price</t>
  </si>
  <si>
    <t>Discount/Premium</t>
  </si>
  <si>
    <t xml:space="preserve"> make changes according to the Column TO THIS SHEET</t>
  </si>
  <si>
    <t>Calculation of Terminal Value</t>
  </si>
  <si>
    <t>Calculation of Enterprise Value</t>
  </si>
  <si>
    <t>DCF Bear</t>
  </si>
  <si>
    <t>DCF Bull</t>
  </si>
  <si>
    <t>DCF Base</t>
  </si>
  <si>
    <t>Open Low</t>
  </si>
  <si>
    <t>Open High</t>
  </si>
  <si>
    <t>Low</t>
  </si>
  <si>
    <t>High</t>
  </si>
  <si>
    <t>Amount in crores</t>
  </si>
  <si>
    <t>Comparable Company Valuations</t>
  </si>
  <si>
    <t>Market Data</t>
  </si>
  <si>
    <t>Financials</t>
  </si>
  <si>
    <t>Valuation</t>
  </si>
  <si>
    <t>Company</t>
  </si>
  <si>
    <t>Ticker</t>
  </si>
  <si>
    <t>Share prize</t>
  </si>
  <si>
    <t>Shares Outstanding</t>
  </si>
  <si>
    <t>Equity Value</t>
  </si>
  <si>
    <t>Net Debt</t>
  </si>
  <si>
    <t>Enterprise Value</t>
  </si>
  <si>
    <t>Revenue</t>
  </si>
  <si>
    <t>Net Income</t>
  </si>
  <si>
    <t>EV/Revenue</t>
  </si>
  <si>
    <t>EV/EBITDA</t>
  </si>
  <si>
    <t>P/E</t>
  </si>
  <si>
    <t>75th Percentile</t>
  </si>
  <si>
    <t>25th Percentile</t>
  </si>
  <si>
    <t>Implied Enterprise Value</t>
  </si>
  <si>
    <t>Implied value per share</t>
  </si>
  <si>
    <t>Source: The Valuation School, Screener.in</t>
  </si>
  <si>
    <t>Return on Markets - Nifty 50</t>
  </si>
  <si>
    <t>Mar Cap Rs.Cr.</t>
  </si>
  <si>
    <t>Sales Rs.Cr.</t>
  </si>
  <si>
    <t>OPM %</t>
  </si>
  <si>
    <t>EV Rs.Cr.</t>
  </si>
  <si>
    <t>EV / EBITDA</t>
  </si>
  <si>
    <t>Ind PE</t>
  </si>
  <si>
    <t>no of equity share</t>
  </si>
  <si>
    <t>Cash</t>
  </si>
  <si>
    <t>NP</t>
  </si>
  <si>
    <t>market cap/pe</t>
  </si>
  <si>
    <t>ev/ev/ebitda</t>
  </si>
  <si>
    <t>MC+DBT-EV</t>
  </si>
  <si>
    <t>MC/CMP</t>
  </si>
  <si>
    <t xml:space="preserve">needs correction </t>
  </si>
  <si>
    <t>Fooball Field Analysis - Data</t>
  </si>
  <si>
    <t>Regression Beta - 5 Years Monthly</t>
  </si>
  <si>
    <t>4. Levered Beta = Unlevered Beta/(1+(1-Tax Rate) x Debt/Equity)</t>
  </si>
  <si>
    <t>5.All Beta are calculated on 5 year monthly basis</t>
  </si>
  <si>
    <t>52 Weeks Range</t>
  </si>
  <si>
    <t>Implied Market Value</t>
  </si>
  <si>
    <t>Relative Valuation</t>
  </si>
  <si>
    <t>Price</t>
  </si>
  <si>
    <t>Returns</t>
  </si>
  <si>
    <t>Shorted Returns</t>
  </si>
  <si>
    <t>Mean</t>
  </si>
  <si>
    <t xml:space="preserve"> Std</t>
  </si>
  <si>
    <t>Min</t>
  </si>
  <si>
    <t>Max</t>
  </si>
  <si>
    <t>Percentile</t>
  </si>
  <si>
    <t>VAR%</t>
  </si>
  <si>
    <t>current Price</t>
  </si>
  <si>
    <t>Stock Price</t>
  </si>
  <si>
    <t>VAR(INR)</t>
  </si>
  <si>
    <t>Confidence</t>
  </si>
  <si>
    <t>Replication</t>
  </si>
  <si>
    <t>Simulated Returns</t>
  </si>
  <si>
    <t>Historical Approach</t>
  </si>
  <si>
    <t>Monte Carlo Simulation</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</si>
  <si>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</si>
  <si>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</si>
  <si>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</si>
  <si>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</si>
  <si>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</si>
  <si>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</si>
  <si>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</si>
  <si>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</si>
  <si>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</si>
  <si>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</si>
  <si>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</si>
  <si>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</si>
  <si>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</si>
  <si>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</si>
  <si>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</si>
  <si>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</si>
  <si>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</si>
  <si>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</si>
  <si>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</si>
  <si>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</si>
  <si>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</si>
  <si>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</si>
  <si>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</si>
  <si>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</si>
  <si>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</si>
  <si>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</si>
  <si>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</si>
  <si>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</si>
  <si>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</si>
  <si>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</si>
  <si>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</si>
  <si>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</si>
  <si>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</si>
  <si>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</si>
  <si>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</si>
  <si>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</si>
  <si>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</si>
  <si>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</si>
  <si>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</si>
  <si>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</si>
  <si>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</si>
  <si>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</si>
  <si>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</si>
  <si>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</si>
  <si>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</si>
  <si>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</si>
  <si>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</si>
  <si>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</si>
  <si>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</si>
  <si>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</si>
  <si>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</si>
  <si>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</si>
  <si>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</si>
  <si>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</si>
  <si>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</si>
  <si>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</si>
  <si>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</si>
  <si>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</si>
  <si>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</si>
  <si>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</si>
  <si>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</si>
  <si>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</si>
  <si>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</si>
  <si>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</si>
  <si>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</si>
  <si>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</si>
  <si>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</si>
  <si>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</si>
  <si>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</si>
  <si>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</si>
  <si>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</si>
  <si>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</si>
  <si>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</si>
  <si>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</si>
  <si>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</si>
  <si>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</si>
  <si>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</si>
  <si>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</si>
  <si>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</si>
  <si>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</si>
  <si>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</si>
  <si>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</si>
  <si>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</si>
  <si>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</si>
  <si>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</si>
  <si>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</si>
  <si>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</si>
  <si>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</si>
  <si>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</si>
  <si>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</si>
  <si>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</si>
  <si>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</si>
  <si>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</si>
  <si>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</si>
  <si>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</si>
  <si>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</si>
  <si>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</si>
  <si>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</si>
  <si>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</si>
  <si>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</si>
  <si>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</si>
  <si>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</si>
  <si>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</si>
  <si>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</si>
  <si>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</si>
  <si>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</si>
  <si>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</si>
  <si>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</si>
  <si>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</si>
  <si>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</si>
  <si>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</si>
  <si>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</si>
  <si>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</si>
  <si>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</si>
  <si>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</si>
  <si>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</si>
  <si>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</si>
  <si>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</si>
  <si>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</si>
  <si>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</si>
  <si>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</si>
  <si>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</si>
  <si>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</si>
  <si>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</si>
  <si>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</si>
  <si>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</si>
  <si>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</si>
  <si>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</si>
  <si>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</si>
  <si>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</si>
  <si>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</si>
  <si>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</si>
  <si>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</si>
  <si>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</si>
  <si>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</si>
  <si>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</si>
  <si>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</si>
  <si>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</si>
  <si>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</si>
  <si>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</si>
  <si>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</si>
  <si>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</si>
  <si>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</si>
  <si>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</si>
  <si>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</si>
  <si>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</si>
  <si>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</si>
  <si>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</si>
  <si>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</si>
  <si>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</si>
  <si>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</si>
  <si>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</si>
  <si>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</si>
  <si>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</si>
  <si>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</si>
  <si>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</si>
  <si>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</si>
  <si>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</si>
  <si>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</si>
  <si>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</si>
  <si>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</si>
  <si>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</si>
  <si>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</si>
  <si>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</si>
  <si>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</si>
  <si>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</si>
  <si>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</si>
  <si>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</si>
  <si>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</si>
  <si>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</si>
  <si>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</si>
  <si>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</si>
  <si>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</si>
  <si>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</si>
  <si>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</si>
  <si>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</si>
  <si>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</si>
  <si>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</si>
  <si>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</si>
  <si>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</si>
  <si>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</si>
  <si>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</si>
  <si>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</si>
  <si>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</si>
  <si>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</si>
  <si>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</si>
  <si>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</si>
  <si>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</si>
  <si>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</si>
  <si>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</si>
  <si>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</si>
  <si>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</si>
  <si>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</si>
  <si>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</si>
  <si>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</si>
  <si>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</si>
  <si>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</si>
  <si>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</si>
  <si>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</si>
  <si>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</si>
  <si>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</si>
  <si>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</si>
  <si>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</si>
  <si>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</si>
  <si>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</si>
  <si>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</si>
  <si>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</si>
  <si>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</si>
  <si>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</si>
  <si>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</si>
  <si>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</si>
  <si>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</si>
  <si>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</si>
  <si>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</si>
  <si>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</si>
  <si>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</si>
  <si>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</si>
  <si>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</si>
  <si>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</si>
  <si>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</si>
  <si>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</si>
  <si>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</si>
  <si>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</si>
  <si>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</si>
  <si>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</si>
  <si>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</si>
  <si>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</si>
  <si>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</si>
  <si>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</si>
  <si>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</si>
  <si>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</si>
  <si>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</si>
  <si>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</si>
  <si>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</si>
  <si>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</si>
  <si>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</si>
  <si>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</si>
  <si>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</si>
  <si>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</si>
  <si>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</si>
  <si>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</si>
  <si>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</si>
  <si>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</si>
  <si>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</si>
  <si>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</si>
  <si>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</si>
  <si>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</si>
  <si>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</si>
  <si>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</si>
  <si>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</si>
  <si>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</si>
  <si>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</si>
  <si>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</si>
  <si>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</si>
  <si>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</si>
  <si>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</si>
  <si>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</si>
  <si>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</si>
  <si>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</si>
  <si>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</si>
  <si>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</si>
  <si>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</si>
  <si>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</si>
  <si>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</si>
  <si>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</si>
  <si>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</si>
  <si>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</si>
  <si>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</si>
  <si>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</si>
  <si>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</si>
  <si>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</si>
  <si>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</si>
  <si>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</si>
  <si>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</si>
  <si>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</si>
  <si>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</si>
  <si>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</si>
  <si>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</si>
  <si>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</si>
  <si>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</si>
  <si>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</si>
  <si>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</si>
  <si>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</si>
  <si>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</si>
  <si>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</si>
  <si>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</si>
  <si>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</si>
  <si>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</si>
  <si>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</si>
  <si>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</si>
  <si>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</si>
  <si>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</si>
  <si>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</si>
  <si>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</si>
  <si>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</si>
  <si>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</si>
  <si>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</si>
  <si>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</si>
  <si>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</si>
  <si>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</si>
  <si>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</si>
  <si>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</si>
  <si>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</si>
  <si>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</si>
  <si>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</si>
  <si>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</si>
  <si>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</si>
  <si>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</si>
  <si>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</si>
  <si>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</si>
  <si>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</si>
  <si>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</si>
  <si>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</si>
  <si>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</si>
  <si>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</si>
  <si>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</si>
  <si>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</si>
  <si>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</si>
  <si>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</si>
  <si>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</si>
  <si>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</si>
  <si>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</si>
  <si>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</si>
  <si>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</si>
  <si>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</si>
  <si>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</si>
  <si>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</si>
  <si>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</si>
  <si>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</si>
  <si>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</si>
  <si>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</si>
  <si>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</si>
  <si>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</si>
  <si>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</si>
  <si>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</si>
  <si>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</si>
  <si>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</si>
  <si>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</si>
  <si>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</si>
  <si>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</si>
  <si>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</si>
  <si>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</si>
  <si>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</si>
  <si>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</si>
  <si>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</si>
  <si>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</si>
  <si>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</si>
  <si>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</si>
  <si>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</si>
  <si>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</si>
  <si>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</si>
  <si>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</si>
  <si>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</si>
  <si>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</si>
  <si>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</si>
  <si>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</si>
  <si>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</si>
  <si>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</si>
  <si>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</si>
  <si>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</si>
  <si>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</si>
  <si>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</si>
  <si>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</si>
  <si>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</si>
  <si>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</si>
  <si>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</si>
  <si>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</si>
  <si>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</si>
  <si>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</si>
  <si>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</si>
  <si>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</si>
  <si>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</si>
  <si>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</si>
  <si>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</si>
  <si>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</si>
  <si>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</si>
  <si>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</si>
  <si>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</si>
  <si>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</si>
  <si>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</si>
  <si>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</si>
  <si>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</si>
  <si>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</si>
  <si>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</si>
  <si>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</si>
  <si>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</si>
  <si>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</si>
  <si>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</si>
  <si>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</si>
  <si>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</si>
  <si>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</si>
  <si>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</si>
  <si>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</si>
  <si>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</si>
  <si>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</si>
  <si>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</si>
  <si>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</si>
  <si>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</si>
  <si>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</si>
  <si>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</si>
  <si>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</si>
  <si>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</si>
  <si>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</si>
  <si>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</si>
  <si>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</si>
  <si>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</si>
  <si>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</si>
  <si>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</si>
  <si>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</si>
  <si>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</si>
  <si>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</si>
  <si>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</si>
  <si>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</si>
  <si>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</si>
  <si>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</si>
  <si>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</si>
  <si>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</si>
  <si>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</si>
  <si>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</si>
  <si>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</si>
  <si>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</si>
  <si>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</si>
  <si>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</si>
  <si>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</si>
  <si>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</si>
  <si>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</si>
  <si>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</si>
  <si>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</si>
  <si>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</si>
  <si>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</si>
  <si>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</si>
  <si>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</si>
  <si>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</si>
  <si>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</si>
  <si>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</si>
  <si>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</si>
  <si>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</si>
  <si>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</si>
  <si>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</si>
  <si>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</si>
  <si>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</si>
  <si>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</si>
  <si>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</si>
  <si>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</si>
  <si>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</si>
  <si>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</si>
  <si>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</si>
  <si>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</si>
  <si>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</si>
  <si>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</si>
  <si>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</si>
  <si>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</si>
  <si>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</si>
  <si>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</si>
  <si>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</si>
  <si>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</si>
  <si>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</si>
  <si>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</si>
  <si>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</si>
  <si>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</si>
  <si>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</si>
  <si>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</si>
  <si>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</si>
  <si>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</si>
  <si>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</si>
  <si>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</si>
  <si>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</si>
  <si>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</si>
  <si>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</si>
  <si>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</si>
  <si>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</si>
  <si>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</si>
  <si>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</si>
  <si>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</si>
  <si>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</si>
  <si>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</si>
  <si>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</si>
  <si>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</si>
  <si>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</si>
  <si>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</si>
  <si>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</si>
  <si>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</si>
  <si>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</si>
  <si>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</si>
  <si>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</si>
  <si>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</si>
  <si>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</si>
  <si>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</si>
  <si>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</si>
  <si>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</si>
  <si>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</si>
  <si>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</si>
  <si>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</si>
  <si>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</si>
  <si>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</si>
  <si>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</si>
  <si>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</si>
  <si>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</si>
  <si>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</si>
  <si>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</si>
  <si>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</si>
  <si>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</si>
  <si>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</si>
  <si>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</si>
  <si>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</si>
  <si>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</si>
  <si>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</si>
  <si>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</si>
  <si>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</si>
  <si>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</si>
  <si>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</si>
  <si>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</si>
  <si>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</si>
  <si>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</si>
  <si>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</si>
  <si>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</si>
  <si>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</si>
  <si>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</si>
  <si>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</si>
  <si>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</si>
  <si>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</si>
  <si>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</si>
  <si>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</si>
  <si>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</si>
  <si>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</si>
  <si>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</si>
  <si>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</si>
  <si>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</si>
  <si>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</si>
  <si>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</si>
  <si>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</si>
  <si>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</si>
  <si>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</si>
  <si>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</si>
  <si>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</si>
  <si>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</si>
  <si>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</si>
  <si>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</si>
  <si>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</si>
  <si>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</si>
  <si>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</si>
  <si>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</si>
  <si>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</si>
  <si>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</si>
  <si>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</si>
  <si>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</si>
  <si>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</si>
  <si>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</si>
  <si>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</si>
  <si>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</si>
  <si>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</si>
  <si>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</si>
  <si>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</si>
  <si>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</si>
  <si>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</si>
  <si>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</si>
  <si>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</si>
  <si>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</si>
  <si>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</si>
  <si>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</si>
  <si>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</si>
  <si>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</si>
  <si>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</si>
  <si>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</si>
  <si>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</si>
  <si>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</si>
  <si>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</si>
  <si>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</si>
  <si>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</si>
  <si>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</si>
  <si>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</si>
  <si>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</si>
  <si>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</si>
  <si>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</si>
  <si>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</si>
  <si>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</si>
  <si>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</si>
  <si>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</si>
  <si>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</si>
  <si>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</si>
  <si>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</si>
  <si>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</si>
  <si>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</si>
  <si>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</si>
  <si>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</si>
  <si>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</si>
  <si>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</si>
  <si>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</si>
  <si>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</si>
  <si>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</si>
  <si>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</si>
  <si>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</si>
  <si>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</si>
  <si>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</si>
  <si>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</si>
  <si>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</si>
  <si>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</si>
  <si>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</si>
  <si>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</si>
  <si>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</si>
  <si>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</si>
  <si>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</si>
  <si>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</si>
  <si>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</si>
  <si>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</si>
  <si>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</si>
  <si>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</si>
  <si>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</si>
  <si>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</si>
  <si>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</si>
  <si>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</si>
  <si>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</si>
  <si>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</si>
  <si>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</si>
  <si>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</si>
  <si>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</si>
  <si>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</si>
  <si>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</si>
  <si>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</si>
  <si>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</si>
  <si>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</si>
  <si>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</si>
  <si>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</si>
  <si>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</si>
  <si>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</si>
  <si>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</si>
  <si>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</si>
  <si>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</si>
  <si>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</si>
  <si>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</si>
  <si>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</si>
  <si>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</si>
  <si>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</si>
  <si>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</si>
  <si>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</si>
  <si>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</si>
  <si>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</si>
  <si>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</si>
  <si>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</si>
  <si>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</si>
  <si>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</si>
  <si>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</si>
  <si>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</si>
  <si>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</si>
  <si>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</si>
  <si>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</si>
  <si>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</si>
  <si>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</si>
  <si>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</si>
  <si>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</si>
  <si>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</si>
  <si>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</si>
  <si>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</si>
  <si>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</si>
  <si>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</si>
  <si>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</si>
  <si>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</si>
  <si>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</si>
  <si>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</si>
  <si>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</si>
  <si>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</si>
  <si>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</si>
  <si>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</si>
  <si>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</si>
  <si>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</si>
  <si>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</si>
  <si>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</si>
  <si>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</si>
  <si>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</si>
  <si>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</si>
  <si>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</si>
  <si>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</si>
  <si>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</si>
  <si>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</si>
  <si>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</si>
  <si>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</si>
  <si>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</si>
  <si>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</si>
  <si>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</si>
  <si>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</si>
  <si>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</si>
  <si>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</si>
  <si>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</si>
  <si>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</si>
  <si>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</si>
  <si>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</si>
  <si>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</si>
  <si>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</si>
  <si>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</si>
  <si>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</si>
  <si>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</si>
  <si>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</si>
  <si>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</si>
  <si>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</si>
  <si>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</si>
  <si>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</si>
  <si>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</si>
  <si>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</si>
  <si>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</si>
  <si>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</si>
  <si>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</si>
  <si>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</si>
  <si>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</si>
  <si>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</si>
  <si>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</si>
  <si>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</si>
  <si>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</si>
  <si>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</si>
  <si>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</si>
  <si>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</si>
  <si>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</si>
  <si>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</si>
  <si>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</si>
  <si>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</si>
  <si>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</si>
  <si>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</si>
  <si>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</si>
  <si>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</si>
  <si>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</si>
  <si>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</si>
  <si>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</si>
  <si>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</si>
  <si>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</si>
  <si>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</si>
  <si>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</si>
  <si>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</si>
  <si>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</si>
  <si>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</si>
  <si>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</si>
  <si>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</si>
  <si>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</si>
  <si>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</si>
  <si>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</si>
  <si>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</si>
  <si>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</si>
  <si>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</si>
  <si>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</si>
  <si>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</si>
  <si>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</si>
  <si>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</si>
  <si>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</si>
  <si>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</si>
  <si>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</si>
  <si>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</si>
  <si>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</si>
  <si>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</si>
  <si>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</si>
  <si>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</si>
  <si>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</si>
  <si>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</si>
  <si>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</si>
  <si>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</si>
  <si>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</si>
  <si>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</si>
  <si>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</si>
  <si>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</si>
  <si>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</si>
  <si>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</si>
  <si>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</si>
  <si>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</si>
  <si>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</si>
  <si>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</si>
  <si>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</si>
  <si>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</si>
  <si>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</si>
  <si>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</si>
  <si>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</si>
  <si>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</si>
  <si>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</si>
  <si>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</si>
  <si>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</si>
  <si>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</si>
  <si>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</si>
  <si>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</si>
  <si>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</si>
  <si>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</si>
  <si>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</si>
  <si>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</si>
  <si>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</si>
  <si>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</si>
  <si>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</si>
  <si>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</si>
  <si>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</si>
  <si>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</si>
  <si>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</si>
  <si>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</si>
  <si>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</si>
  <si>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</si>
  <si>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</si>
  <si>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</si>
  <si>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</si>
  <si>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</si>
  <si>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</si>
  <si>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</si>
  <si>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</si>
  <si>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</si>
  <si>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</si>
  <si>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</si>
  <si>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</si>
  <si>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</si>
  <si>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</si>
  <si>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</si>
  <si>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</si>
  <si>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</si>
  <si>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</si>
  <si>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</si>
  <si>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</si>
  <si>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</si>
  <si>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</si>
  <si>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</si>
  <si>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</si>
  <si>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</si>
  <si>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</si>
  <si>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</si>
  <si>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</si>
  <si>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</si>
  <si>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</si>
  <si>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</si>
  <si>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</si>
  <si>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</si>
  <si>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</si>
  <si>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</si>
  <si>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</si>
  <si>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</si>
  <si>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</si>
  <si>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</si>
  <si>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</si>
  <si>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</si>
  <si>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</si>
  <si>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</si>
  <si>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</si>
  <si>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</si>
  <si>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</si>
  <si>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</si>
  <si>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</si>
  <si>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</si>
  <si>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</si>
  <si>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</si>
  <si>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</si>
  <si>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</si>
  <si>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</si>
  <si>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</si>
  <si>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</si>
  <si>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</si>
  <si>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</si>
  <si>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</si>
  <si>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</si>
  <si>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</si>
  <si>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</si>
  <si>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</si>
  <si>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</si>
  <si>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</si>
  <si>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</si>
  <si>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</si>
  <si>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</si>
  <si>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</si>
  <si>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</si>
  <si>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</si>
  <si>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</si>
  <si>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</si>
  <si>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</si>
  <si>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</si>
  <si>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</si>
  <si>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</si>
  <si>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</si>
  <si>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</si>
  <si>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</si>
  <si>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</si>
  <si>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</si>
  <si>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</si>
  <si>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</si>
  <si>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</si>
  <si>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</si>
  <si>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</si>
  <si>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</si>
  <si>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</si>
  <si>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</si>
  <si>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</si>
  <si>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</si>
  <si>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</si>
  <si>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</si>
  <si>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</si>
  <si>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</si>
  <si>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</si>
  <si>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</si>
  <si>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</si>
  <si>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</si>
  <si>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</si>
  <si>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</si>
  <si>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</si>
  <si>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</si>
  <si>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</si>
  <si>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</si>
  <si>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</si>
  <si>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</si>
  <si>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</si>
  <si>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</si>
  <si>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</si>
  <si>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</si>
  <si>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</si>
  <si>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</si>
  <si>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</si>
  <si>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</si>
  <si>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</si>
  <si>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</si>
  <si>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</si>
  <si>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</si>
  <si>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</si>
  <si>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</si>
  <si>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</si>
  <si>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</si>
  <si>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</si>
  <si>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</si>
  <si>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</si>
  <si>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</si>
  <si>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</si>
  <si>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</si>
  <si>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</si>
  <si>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</si>
  <si>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</si>
  <si>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</si>
  <si>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</si>
  <si>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</si>
  <si>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</si>
  <si>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</si>
  <si>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</si>
  <si>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</si>
  <si>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</si>
  <si>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</si>
  <si>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</si>
  <si>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</si>
  <si>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</si>
  <si>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</si>
  <si>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</si>
  <si>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</si>
  <si>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</si>
  <si>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</si>
  <si>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</si>
  <si>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</si>
  <si>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</si>
  <si>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</si>
  <si>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</si>
  <si>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</si>
  <si>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</si>
  <si>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</si>
  <si>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</si>
  <si>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</si>
  <si>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</si>
  <si>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</si>
  <si>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</si>
  <si>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</si>
  <si>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</si>
  <si>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</si>
  <si>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</si>
  <si>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</si>
  <si>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</si>
  <si>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</si>
  <si>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</si>
  <si>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</si>
  <si>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</si>
  <si>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</si>
  <si>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</si>
  <si>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</si>
  <si>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</si>
  <si>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</si>
  <si>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</si>
  <si>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</si>
  <si>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</si>
  <si>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</si>
  <si>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</si>
  <si>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</si>
  <si>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</si>
  <si>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</si>
  <si>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</si>
  <si>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</si>
  <si>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</si>
  <si>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</si>
  <si>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</si>
  <si>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</si>
  <si>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</si>
  <si>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</si>
  <si>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</si>
  <si>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</si>
  <si>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</si>
  <si>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</si>
  <si>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</si>
  <si>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</si>
  <si>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</si>
  <si>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</si>
  <si>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</si>
  <si>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</si>
  <si>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</si>
  <si>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</si>
  <si>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</si>
  <si>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</si>
  <si>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</si>
  <si>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</si>
  <si>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</si>
  <si>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</si>
  <si>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</si>
  <si>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</si>
  <si>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</si>
  <si>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</si>
  <si>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</si>
  <si>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</si>
  <si>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</si>
  <si>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</si>
  <si>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</si>
  <si>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</si>
  <si>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</si>
  <si>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</si>
  <si>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</si>
  <si>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</si>
  <si>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</si>
  <si>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</si>
  <si>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</si>
  <si>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</si>
  <si>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</si>
  <si>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</si>
  <si>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</si>
  <si>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</si>
  <si>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</si>
  <si>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</si>
  <si>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</si>
  <si>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</si>
  <si>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</si>
  <si>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</si>
  <si>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</si>
  <si>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</si>
  <si>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</si>
  <si>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</si>
  <si>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</si>
  <si>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</si>
  <si>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</si>
  <si>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</si>
  <si>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</si>
  <si>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</si>
  <si>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</si>
  <si>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</si>
  <si>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</si>
  <si>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</si>
  <si>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</si>
  <si>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</si>
  <si>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</si>
  <si>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</si>
  <si>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</si>
  <si>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</si>
  <si>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</si>
  <si>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</si>
  <si>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</si>
  <si>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</si>
  <si>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</si>
  <si>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</si>
  <si>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</si>
  <si>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</si>
  <si>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</si>
  <si>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</si>
  <si>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</si>
  <si>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</si>
  <si>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</si>
  <si>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</si>
  <si>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</si>
  <si>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</si>
  <si>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</si>
  <si>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</si>
  <si>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</si>
  <si>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</si>
  <si>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</si>
  <si>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</si>
  <si>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</si>
  <si>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</si>
  <si>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</si>
  <si>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</si>
  <si>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</si>
  <si>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</si>
  <si>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</si>
  <si>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</si>
  <si>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</si>
  <si>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</si>
  <si>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</si>
  <si>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</si>
  <si>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</si>
  <si>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</si>
  <si>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</si>
  <si>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</si>
  <si>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</si>
  <si>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</si>
  <si>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</si>
  <si>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</si>
  <si>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</si>
  <si>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</si>
  <si>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</si>
  <si>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</si>
  <si>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</si>
  <si>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</si>
  <si>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</si>
  <si>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</si>
  <si>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</si>
  <si>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</si>
  <si>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</si>
  <si>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</si>
  <si>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</si>
  <si>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</si>
  <si>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</si>
  <si>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</si>
  <si>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</si>
  <si>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</si>
  <si>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</si>
  <si>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</si>
  <si>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</si>
  <si>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</si>
  <si>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</si>
  <si>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</si>
  <si>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</si>
  <si>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</si>
  <si>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</si>
  <si>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</si>
  <si>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</si>
  <si>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</si>
  <si>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</si>
  <si>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</si>
  <si>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</si>
  <si>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</si>
  <si>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</si>
  <si>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</si>
  <si>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</si>
  <si>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</si>
  <si>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</si>
  <si>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</si>
  <si>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</si>
  <si>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</si>
  <si>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</si>
  <si>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</si>
  <si>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</si>
  <si>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</si>
  <si>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</si>
  <si>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</si>
  <si>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</si>
  <si>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</si>
  <si>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</si>
  <si>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</si>
  <si>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</si>
  <si>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</si>
  <si>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</si>
  <si>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</si>
  <si>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</si>
  <si>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</si>
  <si>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</si>
  <si>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</si>
  <si>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</si>
  <si>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</si>
  <si>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</si>
  <si>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</si>
  <si>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</si>
  <si>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</si>
  <si>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</si>
  <si>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</si>
  <si>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</si>
  <si>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</si>
  <si>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</si>
  <si>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</si>
  <si>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</si>
  <si>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</si>
  <si>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</si>
  <si>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</si>
  <si>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</si>
  <si>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</si>
  <si>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</si>
  <si>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</si>
  <si>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</si>
  <si>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</si>
  <si>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</si>
  <si>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</si>
  <si>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</si>
  <si>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</si>
  <si>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</si>
  <si>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</si>
  <si>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</si>
  <si>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</si>
  <si>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</si>
  <si>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</si>
  <si>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</si>
  <si>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</si>
  <si>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</si>
  <si>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</si>
  <si>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</si>
  <si>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</si>
  <si>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</si>
  <si>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</si>
  <si>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</si>
  <si>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</si>
  <si>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</si>
  <si>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</si>
  <si>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</si>
  <si>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</si>
  <si>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</si>
  <si>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</si>
  <si>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</si>
  <si>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</si>
  <si>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</si>
  <si>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</si>
  <si>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</si>
  <si>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</si>
  <si>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</si>
  <si>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</si>
  <si>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</si>
  <si>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</si>
  <si>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</si>
  <si>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</si>
  <si>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</si>
  <si>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</si>
  <si>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</si>
  <si>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</si>
  <si>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</si>
  <si>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</si>
  <si>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</si>
  <si>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</si>
  <si>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</si>
  <si>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</si>
  <si>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</si>
  <si>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</si>
  <si>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</si>
  <si>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</si>
  <si>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</si>
  <si>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</si>
  <si>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</si>
  <si>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</si>
  <si>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</si>
  <si>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</si>
  <si>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</si>
  <si>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</si>
  <si>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</si>
  <si>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</si>
  <si>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</si>
  <si>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</si>
  <si>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</si>
  <si>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</si>
  <si>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</si>
  <si>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</si>
  <si>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</si>
  <si>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</si>
  <si>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</si>
  <si>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</si>
  <si>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</si>
  <si>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</si>
  <si>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</si>
  <si>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</si>
  <si>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</si>
  <si>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</si>
  <si>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</si>
  <si>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</si>
  <si>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</si>
  <si>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</si>
  <si>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</si>
  <si>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</si>
  <si>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</si>
  <si>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</si>
  <si>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</si>
  <si>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</si>
  <si>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</si>
  <si>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</si>
  <si>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</si>
  <si>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</si>
  <si>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</si>
  <si>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</si>
  <si>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</si>
  <si>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</si>
  <si>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</si>
  <si>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</si>
  <si>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</si>
  <si>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</si>
  <si>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</si>
  <si>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</si>
  <si>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</si>
  <si>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</si>
  <si>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</si>
  <si>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</si>
  <si>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</si>
  <si>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</si>
  <si>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</si>
  <si>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</si>
  <si>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</si>
  <si>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</si>
  <si>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</si>
  <si>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</si>
  <si>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</si>
  <si>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</si>
  <si>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</si>
  <si>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</si>
  <si>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</si>
  <si>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</si>
  <si>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</si>
  <si>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</si>
  <si>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</si>
  <si>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</si>
  <si>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</si>
  <si>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</si>
  <si>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</si>
  <si>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</si>
  <si>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</si>
  <si>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</si>
  <si>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</si>
  <si>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</si>
  <si>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</si>
  <si>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</si>
  <si>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</si>
  <si>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</si>
  <si>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</si>
  <si>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</si>
  <si>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</si>
  <si>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</si>
  <si>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</si>
  <si>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</si>
  <si>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</si>
  <si>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</si>
  <si>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</si>
  <si>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</si>
  <si>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</si>
  <si>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</si>
  <si>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</si>
  <si>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</si>
  <si>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</si>
  <si>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</si>
  <si>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</si>
  <si>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</si>
  <si>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</si>
  <si>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</si>
  <si>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</si>
  <si>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</si>
  <si>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</si>
  <si>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</si>
  <si>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</si>
  <si>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</si>
  <si>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</si>
  <si>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</si>
  <si>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</si>
  <si>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</si>
  <si>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</si>
  <si>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</si>
  <si>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</si>
  <si>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</si>
  <si>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</si>
  <si>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</si>
  <si>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</si>
  <si>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</si>
  <si>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</si>
  <si>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</si>
  <si>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</si>
  <si>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</si>
  <si>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</si>
  <si>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</si>
  <si>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</si>
  <si>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</si>
  <si>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</si>
  <si>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</si>
  <si>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</si>
  <si>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</si>
  <si>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</si>
  <si>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</si>
  <si>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</si>
  <si>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</si>
  <si>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</si>
  <si>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</si>
  <si>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</si>
  <si>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</si>
  <si>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</si>
  <si>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</si>
  <si>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</si>
  <si>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</si>
  <si>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</si>
  <si>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</si>
  <si>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</si>
  <si>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</si>
  <si>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</si>
  <si>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</si>
  <si>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</si>
  <si>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</si>
  <si>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</si>
  <si>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</si>
  <si>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</si>
  <si>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</si>
  <si>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</si>
  <si>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</si>
  <si>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</si>
  <si>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</si>
  <si>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</si>
  <si>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</si>
  <si>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</si>
  <si>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</si>
  <si>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</si>
  <si>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</si>
  <si>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</si>
  <si>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</si>
  <si>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</si>
  <si>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</si>
  <si>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</si>
  <si>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</si>
  <si>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</si>
  <si>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</si>
  <si>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</si>
  <si>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</si>
  <si>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</si>
  <si>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</si>
  <si>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</si>
  <si>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</si>
  <si>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</si>
  <si>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</si>
  <si>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</si>
  <si>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</si>
  <si>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</si>
  <si>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</si>
  <si>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</si>
  <si>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</si>
  <si>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</si>
  <si>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</si>
  <si>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</si>
  <si>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</si>
  <si>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</si>
  <si>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</si>
  <si>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</si>
  <si>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</si>
  <si>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</si>
  <si>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</si>
  <si>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</si>
  <si>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</si>
  <si>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</si>
  <si>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</si>
  <si>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</si>
  <si>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</si>
  <si>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</si>
  <si>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</si>
  <si>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</si>
  <si>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</si>
  <si>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</si>
  <si>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</si>
  <si>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</si>
  <si>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</si>
  <si>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</si>
  <si>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</si>
  <si>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</si>
  <si>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</si>
  <si>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</si>
  <si>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</si>
  <si>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</si>
  <si>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</si>
  <si>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</si>
  <si>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</si>
  <si>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</si>
  <si>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</si>
  <si>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</si>
  <si>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</si>
  <si>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</si>
  <si>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</si>
  <si>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</si>
  <si>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</si>
  <si>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</si>
  <si>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</si>
  <si>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</si>
  <si>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</si>
  <si>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</si>
  <si>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</si>
  <si>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</si>
  <si>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</si>
  <si>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</si>
  <si>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</si>
  <si>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</si>
  <si>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</si>
  <si>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</si>
  <si>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</si>
  <si>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</si>
  <si>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</si>
  <si>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</si>
  <si>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</si>
  <si>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</si>
  <si>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</si>
  <si>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</si>
  <si>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</si>
  <si>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</si>
  <si>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</si>
  <si>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</si>
  <si>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</si>
  <si>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</si>
  <si>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</si>
  <si>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</si>
  <si>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</si>
  <si>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</si>
  <si>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</si>
  <si>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</si>
  <si>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</si>
  <si>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</si>
  <si>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</si>
  <si>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</si>
  <si>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</si>
  <si>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</si>
  <si>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</si>
  <si>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</si>
  <si>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</si>
  <si>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</si>
  <si>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</si>
  <si>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</si>
  <si>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</si>
  <si>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</si>
  <si>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</si>
  <si>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</si>
  <si>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</si>
  <si>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</si>
  <si>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</si>
  <si>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</si>
  <si>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</si>
  <si>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</si>
  <si>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</si>
  <si>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</si>
  <si>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</si>
  <si>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</si>
  <si>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</si>
  <si>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</si>
  <si>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</si>
  <si>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</si>
  <si>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</si>
  <si>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</si>
  <si>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</si>
  <si>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</si>
  <si>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</si>
  <si>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</si>
  <si>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</si>
  <si>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</si>
  <si>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</si>
  <si>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</si>
  <si>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</si>
  <si>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</si>
  <si>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</si>
  <si>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</si>
  <si>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</si>
  <si>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</si>
  <si>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</si>
  <si>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</si>
  <si>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</si>
  <si>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</si>
  <si>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</si>
  <si>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</si>
  <si>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</si>
  <si>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</si>
  <si>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</si>
  <si>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</si>
  <si>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</si>
  <si>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</si>
  <si>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</si>
  <si>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</si>
  <si>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</si>
  <si>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</si>
  <si>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</si>
  <si>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</si>
  <si>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</si>
  <si>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</si>
  <si>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</si>
  <si>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</si>
  <si>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</si>
  <si>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</si>
  <si>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</si>
  <si>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</si>
  <si>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</si>
  <si>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</si>
  <si>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</si>
  <si>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</si>
  <si>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</si>
  <si>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</si>
  <si>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</si>
  <si>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</si>
  <si>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</si>
  <si>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</si>
  <si>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</si>
  <si>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</si>
  <si>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</si>
  <si>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</si>
  <si>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</si>
  <si>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</si>
  <si>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</si>
  <si>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</si>
  <si>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</si>
  <si>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</si>
  <si>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</si>
  <si>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</si>
  <si>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</si>
  <si>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</si>
  <si>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</si>
  <si>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</si>
  <si>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</si>
  <si>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</si>
  <si>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</si>
  <si>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</si>
  <si>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</si>
  <si>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</si>
  <si>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</si>
  <si>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</si>
  <si>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</si>
  <si>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</si>
  <si>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</si>
  <si>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</si>
  <si>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</si>
  <si>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</si>
  <si>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</si>
  <si>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</si>
  <si>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</si>
  <si>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</si>
  <si>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</si>
  <si>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</si>
  <si>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</si>
  <si>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</si>
  <si>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</si>
  <si>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</si>
  <si>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</si>
  <si>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</si>
  <si>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</si>
  <si>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</si>
  <si>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</si>
  <si>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</si>
  <si>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</si>
  <si>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</si>
  <si>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</si>
  <si>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</si>
  <si>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</si>
  <si>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</si>
  <si>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</si>
  <si>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</si>
  <si>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</si>
  <si>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</si>
  <si>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</si>
  <si>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</si>
  <si>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</si>
  <si>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</si>
  <si>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</si>
  <si>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</si>
  <si>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</si>
  <si>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</si>
  <si>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</si>
  <si>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</si>
  <si>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</si>
  <si>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</si>
  <si>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</si>
  <si>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</si>
  <si>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</si>
  <si>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</si>
  <si>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</si>
  <si>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</si>
  <si>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</si>
  <si>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</si>
  <si>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</si>
  <si>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</si>
  <si>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</si>
  <si>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</si>
  <si>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</si>
  <si>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</si>
  <si>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</si>
  <si>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</si>
  <si>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</si>
  <si>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</si>
  <si>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</si>
  <si>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</si>
  <si>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</si>
  <si>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</si>
  <si>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</si>
  <si>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</si>
  <si>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</si>
  <si>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</si>
  <si>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</si>
  <si>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</si>
  <si>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</si>
  <si>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</si>
  <si>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</si>
  <si>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</si>
  <si>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</si>
  <si>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</si>
  <si>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</si>
  <si>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</si>
  <si>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</si>
  <si>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</si>
  <si>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</si>
  <si>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</si>
  <si>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</si>
  <si>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</si>
  <si>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</si>
  <si>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</si>
  <si>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</si>
  <si>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</si>
  <si>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</si>
  <si>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</si>
  <si>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</si>
  <si>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</si>
  <si>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</si>
  <si>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</si>
  <si>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</si>
  <si>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</si>
  <si>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</si>
  <si>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</si>
  <si>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</si>
  <si>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</si>
  <si>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</si>
  <si>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</si>
  <si>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</si>
  <si>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</si>
  <si>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</si>
  <si>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</si>
  <si>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</si>
  <si>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</si>
  <si>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</si>
  <si>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</si>
  <si>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</si>
  <si>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</si>
  <si>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</si>
  <si>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</si>
  <si>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</si>
  <si>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</si>
  <si>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</si>
  <si>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</si>
  <si>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</si>
  <si>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</si>
  <si>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</si>
  <si>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</si>
  <si>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</si>
  <si>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</si>
  <si>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</si>
  <si>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</si>
  <si>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</si>
  <si>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</si>
  <si>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</si>
  <si>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</si>
  <si>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</si>
  <si>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</si>
  <si>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</si>
  <si>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</si>
  <si>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</si>
  <si>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</si>
  <si>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</si>
  <si>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</si>
  <si>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</si>
  <si>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</si>
  <si>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</si>
  <si>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</si>
  <si>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</si>
  <si>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</si>
  <si>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</si>
  <si>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</si>
  <si>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</si>
  <si>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</si>
  <si>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</si>
  <si>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</si>
  <si>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</si>
  <si>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</si>
  <si>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</si>
  <si>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</si>
  <si>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</si>
  <si>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</si>
  <si>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</si>
  <si>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</si>
  <si>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</si>
  <si>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</si>
  <si>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</si>
  <si>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</si>
  <si>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</si>
  <si>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</si>
  <si>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</si>
  <si>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</si>
  <si>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</si>
  <si>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</si>
  <si>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</si>
  <si>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</si>
  <si>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</si>
  <si>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</si>
  <si>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</si>
  <si>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</si>
  <si>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</si>
  <si>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</si>
  <si>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</si>
  <si>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</si>
  <si>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</si>
  <si>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</si>
  <si>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</si>
  <si>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</si>
  <si>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</si>
  <si>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</si>
  <si>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</si>
  <si>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</si>
  <si>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</si>
  <si>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</si>
  <si>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</si>
  <si>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</si>
  <si>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</si>
  <si>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</si>
  <si>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</si>
  <si>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</si>
  <si>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</si>
  <si>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</si>
  <si>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</si>
  <si>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</si>
  <si>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</si>
  <si>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</si>
  <si>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</si>
  <si>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</si>
  <si>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</si>
  <si>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</si>
  <si>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</si>
  <si>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</si>
  <si>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</si>
  <si>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</si>
  <si>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</si>
  <si>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</si>
  <si>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</si>
  <si>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</si>
  <si>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</si>
  <si>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</si>
  <si>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</si>
  <si>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</si>
  <si>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</si>
  <si>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</si>
  <si>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</si>
  <si>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</si>
  <si>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</si>
  <si>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</si>
  <si>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</si>
  <si>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</si>
  <si>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</si>
  <si>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</si>
  <si>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</si>
  <si>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</si>
  <si>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</si>
  <si>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</si>
  <si>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</si>
  <si>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</si>
  <si>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</si>
  <si>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</si>
  <si>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</si>
  <si>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</si>
  <si>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</si>
  <si>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</si>
  <si>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</si>
  <si>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</si>
  <si>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</si>
  <si>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</si>
  <si>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</si>
  <si>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</si>
  <si>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</si>
  <si>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</si>
  <si>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</si>
  <si>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</si>
  <si>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</si>
  <si>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</si>
  <si>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</si>
  <si>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</si>
  <si>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</si>
  <si>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</si>
  <si>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</si>
  <si>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</si>
  <si>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</si>
  <si>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</si>
  <si>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</si>
  <si>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</si>
  <si>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</si>
  <si>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</si>
  <si>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</si>
  <si>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</si>
  <si>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</si>
  <si>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</si>
  <si>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</si>
  <si>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</si>
  <si>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</si>
  <si>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</si>
  <si>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</si>
  <si>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</si>
  <si>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</si>
  <si>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</si>
  <si>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</si>
  <si>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</si>
  <si>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</si>
  <si>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</si>
  <si>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</si>
  <si>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</si>
  <si>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</si>
  <si>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</si>
  <si>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</si>
  <si>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</si>
  <si>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</si>
  <si>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</si>
  <si>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</si>
  <si>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</si>
  <si>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</si>
  <si>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</si>
  <si>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</si>
  <si>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</si>
  <si>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</si>
  <si>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</si>
  <si>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</si>
  <si>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</si>
  <si>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</si>
  <si>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</si>
  <si>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</si>
  <si>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</si>
  <si>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</si>
  <si>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</si>
  <si>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</si>
  <si>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</si>
  <si>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</si>
  <si>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</si>
  <si>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</si>
  <si>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</si>
  <si>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</si>
  <si>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</si>
  <si>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</si>
  <si>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</si>
  <si>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</si>
  <si>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</si>
  <si>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</si>
  <si>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</si>
  <si>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</si>
  <si>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</si>
  <si>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</si>
  <si>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</si>
  <si>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</si>
  <si>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</si>
  <si>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</si>
  <si>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</si>
  <si>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</si>
  <si>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</si>
  <si>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</si>
  <si>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</si>
  <si>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</si>
  <si>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</si>
  <si>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</si>
  <si>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</si>
  <si>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</si>
  <si>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</si>
  <si>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</si>
  <si>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</si>
  <si>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</si>
  <si>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</si>
  <si>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</si>
  <si>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</si>
  <si>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</si>
  <si>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</si>
  <si>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</si>
  <si>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</si>
  <si>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</si>
  <si>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</si>
  <si>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</si>
  <si>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</si>
  <si>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</si>
  <si>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</si>
  <si>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</si>
  <si>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</si>
  <si>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</si>
  <si>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</si>
  <si>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</si>
  <si>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</si>
  <si>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</si>
  <si>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</si>
  <si>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</si>
  <si>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</si>
  <si>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</si>
  <si>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</si>
  <si>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</si>
  <si>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</si>
  <si>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</si>
  <si>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</si>
  <si>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</si>
  <si>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</si>
  <si>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</si>
  <si>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</si>
  <si>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</si>
  <si>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</si>
  <si>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</si>
  <si>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</si>
  <si>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</si>
  <si>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</si>
  <si>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</si>
  <si>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</si>
  <si>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</si>
  <si>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</si>
  <si>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</si>
  <si>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</si>
  <si>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</si>
  <si>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</si>
  <si>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</si>
  <si>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</si>
  <si>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</si>
  <si>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</si>
  <si>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</si>
  <si>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</si>
  <si>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</si>
  <si>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</si>
  <si>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</si>
  <si>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</si>
  <si>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</si>
  <si>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</si>
  <si>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</si>
  <si>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</si>
  <si>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</si>
  <si>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</si>
  <si>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</si>
  <si>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</si>
  <si>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</si>
  <si>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</si>
  <si>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</si>
  <si>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</si>
  <si>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</si>
  <si>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</si>
  <si>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</si>
  <si>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</si>
  <si>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</si>
  <si>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</si>
  <si>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</si>
  <si>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</si>
  <si>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</si>
  <si>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</si>
  <si>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</si>
  <si>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</si>
  <si>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</si>
  <si>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</si>
  <si>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</si>
  <si>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</si>
  <si>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</si>
  <si>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</si>
  <si>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</si>
  <si>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</si>
  <si>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</si>
  <si>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</si>
  <si>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</si>
  <si>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</si>
  <si>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</si>
  <si>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</si>
  <si>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</si>
  <si>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</si>
  <si>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</si>
  <si>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</si>
  <si>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</si>
  <si>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</si>
  <si>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</si>
  <si>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</si>
  <si>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</si>
  <si>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</si>
  <si>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</si>
  <si>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</si>
  <si>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</si>
  <si>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</si>
  <si>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</si>
  <si>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</si>
  <si>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</si>
  <si>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</si>
  <si>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</si>
  <si>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</si>
  <si>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</si>
  <si>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</si>
  <si>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</si>
  <si>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</si>
  <si>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</si>
  <si>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</si>
  <si>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</si>
  <si>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</si>
  <si>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</si>
  <si>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</si>
  <si>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</si>
  <si>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</si>
  <si>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</si>
  <si>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</si>
  <si>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</si>
  <si>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</si>
  <si>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</si>
  <si>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</si>
  <si>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</si>
  <si>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</si>
  <si>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</si>
  <si>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</si>
  <si>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</si>
  <si>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</si>
  <si>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</si>
  <si>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</si>
  <si>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</si>
  <si>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</si>
  <si>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</si>
  <si>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</si>
  <si>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</si>
  <si>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</si>
  <si>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</si>
  <si>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</si>
  <si>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</si>
  <si>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</si>
  <si>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</si>
  <si>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</si>
  <si>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</si>
  <si>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</si>
  <si>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</si>
  <si>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</si>
  <si>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</si>
  <si>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</si>
  <si>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</si>
  <si>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</si>
  <si>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</si>
  <si>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</si>
  <si>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</si>
  <si>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</si>
  <si>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</si>
  <si>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</si>
  <si>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</si>
  <si>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</si>
  <si>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</si>
  <si>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</si>
  <si>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</si>
  <si>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</si>
  <si>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</si>
  <si>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</si>
  <si>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</si>
  <si>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</si>
  <si>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</si>
  <si>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</si>
  <si>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</si>
  <si>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</si>
  <si>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</si>
  <si>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</si>
  <si>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</si>
  <si>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</si>
  <si>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</si>
  <si>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</si>
  <si>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</si>
  <si>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</si>
  <si>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</si>
  <si>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</si>
  <si>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</si>
  <si>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</si>
  <si>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</si>
  <si>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</si>
  <si>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</si>
  <si>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</si>
  <si>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</si>
  <si>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</si>
  <si>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</si>
  <si>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</si>
  <si>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</si>
  <si>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</si>
  <si>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</si>
  <si>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</si>
  <si>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</si>
  <si>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</si>
  <si>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</si>
  <si>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</si>
  <si>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</si>
  <si>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</si>
  <si>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</si>
  <si>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</si>
  <si>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</si>
  <si>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</si>
  <si>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</si>
  <si>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</si>
  <si>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</si>
  <si>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</si>
  <si>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</si>
  <si>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</si>
  <si>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</si>
  <si>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</si>
  <si>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</si>
  <si>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</si>
  <si>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</si>
  <si>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</si>
  <si>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</si>
  <si>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</si>
  <si>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</si>
  <si>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</si>
  <si>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</si>
  <si>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</si>
  <si>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</si>
  <si>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</si>
  <si>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</si>
  <si>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</si>
  <si>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</si>
  <si>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</si>
  <si>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</si>
  <si>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</si>
  <si>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</si>
  <si>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</si>
  <si>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</si>
  <si>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</si>
  <si>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</si>
  <si>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</si>
  <si>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</si>
  <si>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</si>
  <si>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</si>
  <si>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</si>
  <si>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</si>
  <si>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</si>
  <si>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</si>
  <si>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</si>
  <si>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</si>
  <si>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</si>
  <si>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</si>
  <si>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</si>
  <si>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</si>
  <si>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</si>
  <si>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</si>
  <si>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</si>
  <si>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</si>
  <si>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</si>
  <si>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</si>
  <si>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</si>
  <si>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</si>
  <si>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</si>
  <si>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</si>
  <si>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</si>
  <si>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</si>
  <si>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</si>
  <si>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</si>
  <si>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</si>
  <si>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</si>
  <si>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</si>
  <si>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</si>
  <si>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</si>
  <si>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</si>
  <si>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</si>
  <si>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</si>
  <si>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</si>
  <si>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</si>
  <si>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</si>
  <si>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</si>
  <si>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</si>
  <si>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</si>
  <si>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</si>
  <si>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</si>
  <si>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</si>
  <si>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</si>
  <si>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</si>
  <si>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</si>
  <si>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</si>
  <si>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</si>
  <si>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</si>
  <si>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</si>
  <si>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</si>
  <si>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</si>
  <si>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</si>
  <si>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</si>
  <si>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</si>
  <si>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</si>
  <si>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</si>
  <si>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</si>
  <si>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</si>
  <si>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</si>
  <si>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</si>
  <si>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</si>
  <si>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</si>
  <si>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</si>
  <si>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</si>
  <si>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</si>
  <si>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</si>
  <si>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</si>
  <si>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</si>
  <si>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</si>
  <si>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</si>
  <si>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</si>
  <si>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</si>
  <si>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</si>
  <si>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</si>
  <si>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</si>
  <si>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</si>
  <si>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</si>
  <si>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</si>
  <si>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</si>
  <si>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</si>
  <si>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</si>
  <si>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</si>
  <si>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</si>
  <si>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</si>
  <si>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</si>
  <si>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</si>
  <si>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</si>
  <si>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</si>
  <si>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</si>
  <si>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</si>
  <si>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</si>
  <si>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</si>
  <si>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</si>
  <si>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</si>
  <si>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</si>
  <si>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</si>
  <si>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</si>
  <si>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</si>
  <si>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</si>
  <si>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</si>
  <si>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</si>
  <si>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</si>
  <si>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</si>
  <si>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</si>
  <si>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</si>
  <si>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</si>
  <si>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</si>
  <si>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</si>
  <si>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</si>
  <si>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</si>
  <si>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</si>
  <si>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</si>
  <si>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</si>
  <si>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</si>
  <si>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</si>
  <si>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</si>
  <si>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</si>
  <si>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</si>
  <si>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</si>
  <si>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</si>
  <si>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</si>
  <si>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</si>
  <si>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</si>
  <si>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</si>
  <si>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</si>
  <si>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</si>
  <si>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</si>
  <si>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</si>
  <si>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</si>
  <si>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</si>
  <si>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</si>
  <si>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</si>
  <si>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</si>
  <si>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</si>
  <si>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</si>
  <si>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</si>
  <si>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</si>
  <si>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</si>
  <si>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</si>
  <si>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</si>
  <si>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</si>
  <si>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</si>
  <si>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</si>
  <si>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</si>
  <si>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</si>
  <si>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</si>
  <si>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</si>
  <si>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</si>
  <si>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</si>
  <si>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</si>
  <si>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</si>
  <si>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</si>
  <si>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</si>
  <si>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</si>
  <si>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</si>
  <si>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</si>
  <si>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</si>
  <si>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</si>
  <si>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</si>
  <si>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</si>
  <si>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</si>
  <si>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</si>
  <si>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</si>
  <si>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</si>
  <si>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</si>
  <si>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</si>
  <si>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</si>
  <si>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</si>
  <si>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</si>
  <si>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</si>
  <si>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</si>
  <si>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</si>
  <si>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</si>
  <si>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</si>
  <si>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</si>
  <si>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</si>
  <si>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</si>
  <si>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</si>
  <si>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</si>
  <si>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</si>
  <si>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</si>
  <si>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</si>
  <si>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</si>
  <si>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</si>
  <si>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</si>
  <si>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</si>
  <si>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</si>
  <si>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</si>
  <si>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</si>
  <si>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</si>
  <si>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</si>
  <si>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</si>
  <si>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</si>
  <si>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</si>
  <si>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</si>
  <si>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</si>
  <si>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</si>
  <si>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</si>
  <si>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</si>
  <si>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</si>
  <si>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</si>
  <si>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</si>
  <si>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</si>
  <si>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</si>
  <si>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</si>
  <si>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</si>
  <si>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</si>
  <si>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</si>
  <si>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</si>
  <si>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</si>
  <si>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</si>
  <si>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</si>
  <si>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</si>
  <si>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</si>
  <si>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</si>
  <si>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</si>
  <si>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</si>
  <si>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</si>
  <si>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</si>
  <si>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</si>
  <si>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</si>
  <si>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</si>
  <si>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</si>
  <si>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</si>
  <si>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</si>
  <si>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</si>
  <si>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</si>
  <si>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</si>
  <si>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</si>
  <si>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</si>
  <si>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</si>
  <si>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</si>
  <si>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</si>
  <si>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</si>
  <si>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</si>
  <si>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</si>
  <si>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</si>
  <si>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</si>
  <si>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</si>
  <si>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</si>
  <si>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</si>
  <si>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</si>
  <si>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</si>
  <si>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</si>
  <si>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</si>
  <si>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</si>
  <si>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</si>
  <si>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</si>
  <si>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</si>
  <si>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</si>
  <si>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</si>
  <si>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</si>
  <si>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</si>
  <si>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</si>
  <si>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</si>
  <si>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</si>
  <si>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</si>
  <si>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</si>
  <si>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</si>
  <si>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</si>
  <si>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</si>
  <si>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</si>
  <si>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</si>
  <si>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</si>
  <si>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</si>
  <si>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</si>
  <si>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</si>
  <si>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</si>
  <si>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</si>
  <si>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</si>
  <si>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</si>
  <si>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</si>
  <si>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</si>
  <si>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</si>
  <si>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</si>
  <si>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</si>
  <si>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</si>
  <si>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</si>
  <si>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</si>
  <si>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</si>
  <si>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</si>
  <si>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</si>
  <si>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</si>
  <si>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</si>
  <si>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</si>
  <si>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</si>
  <si>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</si>
  <si>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</si>
  <si>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</si>
  <si>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</si>
  <si>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</si>
  <si>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</si>
  <si>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</si>
  <si>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</si>
  <si>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</si>
  <si>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</si>
  <si>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</si>
  <si>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</si>
  <si>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</si>
  <si>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</si>
  <si>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</si>
  <si>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</si>
  <si>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</si>
  <si>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</si>
  <si>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</si>
  <si>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</si>
  <si>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</si>
  <si>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</si>
  <si>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</si>
  <si>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</si>
  <si>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</si>
  <si>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</si>
  <si>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</si>
  <si>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</si>
  <si>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</si>
  <si>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</si>
  <si>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</si>
  <si>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</si>
  <si>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</si>
  <si>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</si>
  <si>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</si>
  <si>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</si>
  <si>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</si>
  <si>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</si>
  <si>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</si>
  <si>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</si>
  <si>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</si>
  <si>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</si>
  <si>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</si>
  <si>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</si>
  <si>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</si>
  <si>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</si>
  <si>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</si>
  <si>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</si>
  <si>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</si>
  <si>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</si>
  <si>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</si>
  <si>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</si>
  <si>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</si>
  <si>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</si>
  <si>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</si>
  <si>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</si>
  <si>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</si>
  <si>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</si>
  <si>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</si>
  <si>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</si>
  <si>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</si>
  <si>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</si>
  <si>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</si>
  <si>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</si>
  <si>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</si>
  <si>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</si>
  <si>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</si>
  <si>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</si>
  <si>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</si>
  <si>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</si>
  <si>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</si>
  <si>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</si>
  <si>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</si>
  <si>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</si>
  <si>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</si>
  <si>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</si>
  <si>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</si>
  <si>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</si>
  <si>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</si>
  <si>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</si>
  <si>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</si>
  <si>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</si>
  <si>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</si>
  <si>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</si>
  <si>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</si>
  <si>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</si>
  <si>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</si>
  <si>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</si>
  <si>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</si>
  <si>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</si>
  <si>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</si>
  <si>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</si>
  <si>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</si>
  <si>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</si>
  <si>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</si>
  <si>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</si>
  <si>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</si>
  <si>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</si>
  <si>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</si>
  <si>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</si>
  <si>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</si>
  <si>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</si>
  <si>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</si>
  <si>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</si>
  <si>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</si>
  <si>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</si>
  <si>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</si>
  <si>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</si>
  <si>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</si>
  <si>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</si>
  <si>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</si>
  <si>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</si>
  <si>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</si>
  <si>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</si>
  <si>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</si>
  <si>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</si>
  <si>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</si>
  <si>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</si>
  <si>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</si>
  <si>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</si>
  <si>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</si>
  <si>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</si>
  <si>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</si>
  <si>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</si>
  <si>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</si>
  <si>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</si>
  <si>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</si>
  <si>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</si>
  <si>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</si>
  <si>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</si>
  <si>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</si>
  <si>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</si>
  <si>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</si>
  <si>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</si>
  <si>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</si>
  <si>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</si>
  <si>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</si>
  <si>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</si>
  <si>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</si>
  <si>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</si>
  <si>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</si>
  <si>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</si>
  <si>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</si>
  <si>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</si>
  <si>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</si>
  <si>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</si>
  <si>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</si>
  <si>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</si>
  <si>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</si>
  <si>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</si>
  <si>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</si>
  <si>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</si>
  <si>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</si>
  <si>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</si>
  <si>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</si>
  <si>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</si>
  <si>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</si>
  <si>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</si>
  <si>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</si>
  <si>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</si>
  <si>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</si>
  <si>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</si>
  <si>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</si>
  <si>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</si>
  <si>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</si>
  <si>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</si>
  <si>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</si>
  <si>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</si>
  <si>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</si>
  <si>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</si>
  <si>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</si>
  <si>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</si>
  <si>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</si>
  <si>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</si>
  <si>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</si>
  <si>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</si>
  <si>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</si>
  <si>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</si>
  <si>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</si>
  <si>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</si>
  <si>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</si>
  <si>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</si>
  <si>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</si>
  <si>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</si>
  <si>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</si>
  <si>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</si>
  <si>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</si>
  <si>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</si>
  <si>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</si>
  <si>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</si>
  <si>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</si>
  <si>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</si>
  <si>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</si>
  <si>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</si>
  <si>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</si>
  <si>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</si>
  <si>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</si>
  <si>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</si>
  <si>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</si>
  <si>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</si>
  <si>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</si>
  <si>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</si>
  <si>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</si>
  <si>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</si>
  <si>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</si>
  <si>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</si>
  <si>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</si>
  <si>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</si>
  <si>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</si>
  <si>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</si>
  <si>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</si>
  <si>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</si>
  <si>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</si>
  <si>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</si>
  <si>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</si>
  <si>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</si>
  <si>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</si>
  <si>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</si>
  <si>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</si>
  <si>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</si>
  <si>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</si>
  <si>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</si>
  <si>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</si>
  <si>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</si>
  <si>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</si>
  <si>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</si>
  <si>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</si>
  <si>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</si>
  <si>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</si>
  <si>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</si>
  <si>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</si>
  <si>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</si>
  <si>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</si>
  <si>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</si>
  <si>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</si>
  <si>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</si>
  <si>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</si>
  <si>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</si>
  <si>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</si>
  <si>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</si>
  <si>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</si>
  <si>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</si>
  <si>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</si>
  <si>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</si>
  <si>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</si>
  <si>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</si>
  <si>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</si>
  <si>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</si>
  <si>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</si>
  <si>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</si>
  <si>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</si>
  <si>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</si>
  <si>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</si>
  <si>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</si>
  <si>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</si>
  <si>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</si>
  <si>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</si>
  <si>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</si>
  <si>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</si>
  <si>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</si>
  <si>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</si>
  <si>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</si>
  <si>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</si>
  <si>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</si>
  <si>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</si>
  <si>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</si>
  <si>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</si>
  <si>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</si>
  <si>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</si>
  <si>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</si>
  <si>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</si>
  <si>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</si>
  <si>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</si>
  <si>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</si>
  <si>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</si>
  <si>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</si>
  <si>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</si>
  <si>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</si>
  <si>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</si>
  <si>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</si>
  <si>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</si>
  <si>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</si>
  <si>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</si>
  <si>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</si>
  <si>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</si>
  <si>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</si>
  <si>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</si>
  <si>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</si>
  <si>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</si>
  <si>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</si>
  <si>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</si>
  <si>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</si>
  <si>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</si>
  <si>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</si>
  <si>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</si>
  <si>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</si>
  <si>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</si>
  <si>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</si>
  <si>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</si>
  <si>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</si>
  <si>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</si>
  <si>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</si>
  <si>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</si>
  <si>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</si>
  <si>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</si>
  <si>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</si>
  <si>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</si>
  <si>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</si>
  <si>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</si>
  <si>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</si>
  <si>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</si>
  <si>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</si>
  <si>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</si>
  <si>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</si>
  <si>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</si>
  <si>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</si>
  <si>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</si>
  <si>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</si>
  <si>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</si>
  <si>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</si>
  <si>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</si>
  <si>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</si>
  <si>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</si>
  <si>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</si>
  <si>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</si>
  <si>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</si>
  <si>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</si>
  <si>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</si>
  <si>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</si>
  <si>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</si>
  <si>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</si>
  <si>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</si>
  <si>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</si>
  <si>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</si>
  <si>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</si>
  <si>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</si>
  <si>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</si>
  <si>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</si>
  <si>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</si>
  <si>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</si>
  <si>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</si>
  <si>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</si>
  <si>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</si>
  <si>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</si>
  <si>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</si>
  <si>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</si>
  <si>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</si>
  <si>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</si>
  <si>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</si>
  <si>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</si>
  <si>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</si>
  <si>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</si>
  <si>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</si>
  <si>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</si>
  <si>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</si>
  <si>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</si>
  <si>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</si>
  <si>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</si>
  <si>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</si>
  <si>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</si>
  <si>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</si>
  <si>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</si>
  <si>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</si>
  <si>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</si>
  <si>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</si>
  <si>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</si>
  <si>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</si>
  <si>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</si>
  <si>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</si>
  <si>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</si>
  <si>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</si>
  <si>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</si>
  <si>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</si>
  <si>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</si>
  <si>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</si>
  <si>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</si>
  <si>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</si>
  <si>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</si>
  <si>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</si>
  <si>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</si>
  <si>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</si>
  <si>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</si>
  <si>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</si>
  <si>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</si>
  <si>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</si>
  <si>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</si>
  <si>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</si>
  <si>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</si>
  <si>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</si>
  <si>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</si>
  <si>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</si>
  <si>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</si>
  <si>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</si>
  <si>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</si>
  <si>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</si>
  <si>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</si>
  <si>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</si>
  <si>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</si>
  <si>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</si>
  <si>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</si>
  <si>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</si>
  <si>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</si>
  <si>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</si>
  <si>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</si>
  <si>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</si>
  <si>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</si>
  <si>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</si>
  <si>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</si>
  <si>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</si>
  <si>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</si>
  <si>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</si>
  <si>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</si>
  <si>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</si>
  <si>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</si>
  <si>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</si>
  <si>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</si>
  <si>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</si>
  <si>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</si>
  <si>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</si>
  <si>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</si>
  <si>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</si>
  <si>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</si>
  <si>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</si>
  <si>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</si>
  <si>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</si>
  <si>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</si>
  <si>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</si>
  <si>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</si>
  <si>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</si>
  <si>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</si>
  <si>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</si>
  <si>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</si>
  <si>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</si>
  <si>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</si>
  <si>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</si>
  <si>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</si>
  <si>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</si>
  <si>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</si>
  <si>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</si>
  <si>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</si>
  <si>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</si>
  <si>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</si>
  <si>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</si>
  <si>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</si>
  <si>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</si>
  <si>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</si>
  <si>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</si>
  <si>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</si>
  <si>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</si>
  <si>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</si>
  <si>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</si>
  <si>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</si>
  <si>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</si>
  <si>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</si>
  <si>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</si>
  <si>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</si>
  <si>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</si>
  <si>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</si>
  <si>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</si>
  <si>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</si>
  <si>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</si>
  <si>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</si>
  <si>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</si>
  <si>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</si>
  <si>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</si>
  <si>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</si>
  <si>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</si>
  <si>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</si>
  <si>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</si>
  <si>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</si>
  <si>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</si>
  <si>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</si>
  <si>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</si>
  <si>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</si>
  <si>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</si>
  <si>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</si>
  <si>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</si>
  <si>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</si>
  <si>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</si>
  <si>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</si>
  <si>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</si>
  <si>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</si>
  <si>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</si>
  <si>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</si>
  <si>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</si>
  <si>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</si>
  <si>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</si>
  <si>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</si>
  <si>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</si>
  <si>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</si>
  <si>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</si>
  <si>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</si>
  <si>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</si>
  <si>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</si>
  <si>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</si>
  <si>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</si>
  <si>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</si>
  <si>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</si>
  <si>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</si>
  <si>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</si>
  <si>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</si>
  <si>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</si>
  <si>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</si>
  <si>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</si>
  <si>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</si>
  <si>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</si>
  <si>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</si>
  <si>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</si>
  <si>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</si>
  <si>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</si>
  <si>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</si>
  <si>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</si>
  <si>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</si>
  <si>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</si>
  <si>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</si>
  <si>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</si>
  <si>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</si>
  <si>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</si>
  <si>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</si>
  <si>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</si>
  <si>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</si>
  <si>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</si>
  <si>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</si>
  <si>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</si>
  <si>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</si>
  <si>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</si>
  <si>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</si>
  <si>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</si>
  <si>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</si>
  <si>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</si>
  <si>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</si>
  <si>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</si>
  <si>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</si>
  <si>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</si>
  <si>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</si>
  <si>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</si>
  <si>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</si>
  <si>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</si>
  <si>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</si>
  <si>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</si>
  <si>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</si>
  <si>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</si>
  <si>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</si>
  <si>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</si>
  <si>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</si>
  <si>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</si>
  <si>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</si>
  <si>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</si>
  <si>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</si>
  <si>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</si>
  <si>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</si>
  <si>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</si>
  <si>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</si>
  <si>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</si>
  <si>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</si>
  <si>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</si>
  <si>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</si>
  <si>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</si>
  <si>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</si>
  <si>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</si>
  <si>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</si>
  <si>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</si>
  <si>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</si>
  <si>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</si>
  <si>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</si>
  <si>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</si>
  <si>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</si>
  <si>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</si>
  <si>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</si>
  <si>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</si>
  <si>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</si>
  <si>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</si>
  <si>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</si>
  <si>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</si>
  <si>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</si>
  <si>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</si>
  <si>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</si>
  <si>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</si>
  <si>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</si>
  <si>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</si>
  <si>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</si>
  <si>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</si>
  <si>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</si>
  <si>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</si>
  <si>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</si>
  <si>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</si>
  <si>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</si>
  <si>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</si>
  <si>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</si>
  <si>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</si>
  <si>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</si>
  <si>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</si>
  <si>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</si>
  <si>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</si>
  <si>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</si>
  <si>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</si>
  <si>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</si>
  <si>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</si>
  <si>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</si>
  <si>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</si>
  <si>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</si>
  <si>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</si>
  <si>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</si>
  <si>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</si>
  <si>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</si>
  <si>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</si>
  <si>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</si>
  <si>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</si>
  <si>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</si>
  <si>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</si>
  <si>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</si>
  <si>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</si>
  <si>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</si>
  <si>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</si>
  <si>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</si>
  <si>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</si>
  <si>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</si>
  <si>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</si>
  <si>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</si>
  <si>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</si>
  <si>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</si>
  <si>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</si>
  <si>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</si>
  <si>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</si>
  <si>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</si>
  <si>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</si>
  <si>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</si>
  <si>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</si>
  <si>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</si>
  <si>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</si>
  <si>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</si>
  <si>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</si>
  <si>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</si>
  <si>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</si>
  <si>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</si>
  <si>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</si>
  <si>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</si>
  <si>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</si>
  <si>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</si>
  <si>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</si>
  <si>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</si>
  <si>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</si>
  <si>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</si>
  <si>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</si>
  <si>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</si>
  <si>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</si>
  <si>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</si>
  <si>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</si>
  <si>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</si>
  <si>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</si>
  <si>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</si>
  <si>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</si>
  <si>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</si>
  <si>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</si>
  <si>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</si>
  <si>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</si>
  <si>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</si>
  <si>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</si>
  <si>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</si>
  <si>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</si>
  <si>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</si>
  <si>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</si>
  <si>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</si>
  <si>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</si>
  <si>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</si>
  <si>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</si>
  <si>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</si>
  <si>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</si>
  <si>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</si>
  <si>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</si>
  <si>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</si>
  <si>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</si>
  <si>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</si>
  <si>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</si>
  <si>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</si>
  <si>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</si>
  <si>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</si>
  <si>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</si>
  <si>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</si>
  <si>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</si>
  <si>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</si>
  <si>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</si>
  <si>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</si>
  <si>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</si>
  <si>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</si>
  <si>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</si>
  <si>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</si>
  <si>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</si>
  <si>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</si>
  <si>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</si>
  <si>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</si>
  <si>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</si>
  <si>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</si>
  <si>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</si>
  <si>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</si>
  <si>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</si>
  <si>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</si>
  <si>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</si>
  <si>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</si>
  <si>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</si>
  <si>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</si>
  <si>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</si>
  <si>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</si>
  <si>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</si>
  <si>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</si>
  <si>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</si>
  <si>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</si>
  <si>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</si>
  <si>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</si>
  <si>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</si>
  <si>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</si>
  <si>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</si>
  <si>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</si>
  <si>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</si>
  <si>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</si>
  <si>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</si>
  <si>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</si>
  <si>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</si>
  <si>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</si>
  <si>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</si>
  <si>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</si>
  <si>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</si>
  <si>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</si>
  <si>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</si>
  <si>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</si>
  <si>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</si>
  <si>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</si>
  <si>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</si>
  <si>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</si>
  <si>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</si>
  <si>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</si>
  <si>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</si>
  <si>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</si>
  <si>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</si>
  <si>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</si>
  <si>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</si>
  <si>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</si>
  <si>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</si>
  <si>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</si>
  <si>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</si>
  <si>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</si>
  <si>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</si>
  <si>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</si>
  <si>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</si>
  <si>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</si>
  <si>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</si>
  <si>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</si>
  <si>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</si>
  <si>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</si>
  <si>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</si>
  <si>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</si>
  <si>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</si>
  <si>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</si>
  <si>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</si>
  <si>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</si>
  <si>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</si>
  <si>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</si>
  <si>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</si>
  <si>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</si>
  <si>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</si>
  <si>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</si>
  <si>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</si>
  <si>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</si>
  <si>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</si>
  <si>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</si>
  <si>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</si>
  <si>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</si>
  <si>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</si>
  <si>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</si>
  <si>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</si>
  <si>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</si>
  <si>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</si>
  <si>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</si>
  <si>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</si>
  <si>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</si>
  <si>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</si>
  <si>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</si>
  <si>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</si>
  <si>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</si>
  <si>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</si>
  <si>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</si>
  <si>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</si>
  <si>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</si>
  <si>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</si>
  <si>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</si>
  <si>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</si>
  <si>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</si>
  <si>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</si>
  <si>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</si>
  <si>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</si>
  <si>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</si>
  <si>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</si>
  <si>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</si>
  <si>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</si>
  <si>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</si>
  <si>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</si>
  <si>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</si>
  <si>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</si>
  <si>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</si>
  <si>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</si>
  <si>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</si>
  <si>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</si>
  <si>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</si>
  <si>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</si>
  <si>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</si>
  <si>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</si>
  <si>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</si>
  <si>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</si>
  <si>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</si>
  <si>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</si>
  <si>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</si>
  <si>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</si>
  <si>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</si>
  <si>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</si>
  <si>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</si>
  <si>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</si>
  <si>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</si>
  <si>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</si>
  <si>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</si>
  <si>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</si>
  <si>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</si>
  <si>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</si>
  <si>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</si>
  <si>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</si>
  <si>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</si>
  <si>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</si>
  <si>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</si>
  <si>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</si>
  <si>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</si>
  <si>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</si>
  <si>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</si>
  <si>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</si>
  <si>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</si>
  <si>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</si>
  <si>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</si>
  <si>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</si>
  <si>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</si>
  <si>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</si>
  <si>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</si>
  <si>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</si>
  <si>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</si>
  <si>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</si>
  <si>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</si>
  <si>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</si>
  <si>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</si>
  <si>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</si>
  <si>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</si>
  <si>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</si>
  <si>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</si>
  <si>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</si>
  <si>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</si>
  <si>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</si>
  <si>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</si>
  <si>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</si>
  <si>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</si>
  <si>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</si>
  <si>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</si>
  <si>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</si>
  <si>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</si>
  <si>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</si>
  <si>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</si>
  <si>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</si>
  <si>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</si>
  <si>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</si>
  <si>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</si>
  <si>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</si>
  <si>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</si>
  <si>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</si>
  <si>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</si>
  <si>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</si>
  <si>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</si>
  <si>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</si>
  <si>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</si>
  <si>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</si>
  <si>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</si>
  <si>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</si>
  <si>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</si>
  <si>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</si>
  <si>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</si>
  <si>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</si>
  <si>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</si>
  <si>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</si>
  <si>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</si>
  <si>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</si>
  <si>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</si>
  <si>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</si>
  <si>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</si>
  <si>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</si>
  <si>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</si>
  <si>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</si>
  <si>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</si>
  <si>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</si>
  <si>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</si>
  <si>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</si>
  <si>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</si>
  <si>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</si>
  <si>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</si>
  <si>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</si>
  <si>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</si>
  <si>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</si>
  <si>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</si>
  <si>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</si>
  <si>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</si>
  <si>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</si>
  <si>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</si>
  <si>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</si>
  <si>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</si>
  <si>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</si>
  <si>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</si>
  <si>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</si>
  <si>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</si>
  <si>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</si>
  <si>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</si>
  <si>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</si>
  <si>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</si>
  <si>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</si>
  <si>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</si>
  <si>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</si>
  <si>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</si>
  <si>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</si>
  <si>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</si>
  <si>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</si>
  <si>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</si>
  <si>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</si>
  <si>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</si>
  <si>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</si>
  <si>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</si>
  <si>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</si>
  <si>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</si>
  <si>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</si>
  <si>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</si>
  <si>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</si>
  <si>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</si>
  <si>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</si>
  <si>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</si>
  <si>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</si>
  <si>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</si>
  <si>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</si>
  <si>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</si>
  <si>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</si>
  <si>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</si>
  <si>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</si>
  <si>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</si>
  <si>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</si>
  <si>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</si>
  <si>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</si>
  <si>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</si>
  <si>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</si>
  <si>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</si>
  <si>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</si>
  <si>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</si>
  <si>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</si>
  <si>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</si>
  <si>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</si>
  <si>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</si>
  <si>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</si>
  <si>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</si>
  <si>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</si>
  <si>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</si>
  <si>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</si>
  <si>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</si>
  <si>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</si>
  <si>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</si>
  <si>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</si>
  <si>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</si>
  <si>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</si>
  <si>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</si>
  <si>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</si>
  <si>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</si>
  <si>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</si>
  <si>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</si>
  <si>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</si>
  <si>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</si>
  <si>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</si>
  <si>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</si>
  <si>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</si>
  <si>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</si>
  <si>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</si>
  <si>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</si>
  <si>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</si>
  <si>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</si>
  <si>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</si>
  <si>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</si>
  <si>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</si>
  <si>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</si>
  <si>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</si>
  <si>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</si>
  <si>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</si>
  <si>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</si>
  <si>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</si>
  <si>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</si>
  <si>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</si>
  <si>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</si>
  <si>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</si>
  <si>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</si>
  <si>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</si>
  <si>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</si>
  <si>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</si>
  <si>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</si>
  <si>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</si>
  <si>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</si>
  <si>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</si>
  <si>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</si>
  <si>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</si>
  <si>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</si>
  <si>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</si>
  <si>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</si>
  <si>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</si>
  <si>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</si>
  <si>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</si>
  <si>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</si>
  <si>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</si>
  <si>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</si>
  <si>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</si>
  <si>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</si>
  <si>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</si>
  <si>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</si>
  <si>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</si>
  <si>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</si>
  <si>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</si>
  <si>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</si>
  <si>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</si>
  <si>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</si>
  <si>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</si>
  <si>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</si>
  <si>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</si>
  <si>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</si>
  <si>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</si>
  <si>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</si>
  <si>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</si>
  <si>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</si>
  <si>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</si>
  <si>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</si>
  <si>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</si>
  <si>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</si>
  <si>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</si>
  <si>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</si>
  <si>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</si>
  <si>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</si>
  <si>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</si>
  <si>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</si>
  <si>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</si>
  <si>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</si>
  <si>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</si>
  <si>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</si>
  <si>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</si>
  <si>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</si>
  <si>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</si>
  <si>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</si>
  <si>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</si>
  <si>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</si>
  <si>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</si>
  <si>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</si>
  <si>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</si>
  <si>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</si>
  <si>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</si>
  <si>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</si>
  <si>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</si>
  <si>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</si>
  <si>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</si>
  <si>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</si>
  <si>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</si>
  <si>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</si>
  <si>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</si>
  <si>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</si>
  <si>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</si>
  <si>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</si>
  <si>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</si>
  <si>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</si>
  <si>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</si>
  <si>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</si>
  <si>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</si>
  <si>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</si>
  <si>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</si>
  <si>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</si>
  <si>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</si>
  <si>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</si>
  <si>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</si>
  <si>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</si>
  <si>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</si>
  <si>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</si>
  <si>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</si>
  <si>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</si>
  <si>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</si>
  <si>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</si>
  <si>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</si>
  <si>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</si>
  <si>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</si>
  <si>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</si>
  <si>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</si>
  <si>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</si>
  <si>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</si>
  <si>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</si>
  <si>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</si>
  <si>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</si>
  <si>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</si>
  <si>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</si>
  <si>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</si>
  <si>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</si>
  <si>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</si>
  <si>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</si>
  <si>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</si>
  <si>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</si>
  <si>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</si>
  <si>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</si>
  <si>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</si>
  <si>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</si>
  <si>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</si>
  <si>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</si>
  <si>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</si>
  <si>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</si>
  <si>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</si>
  <si>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</si>
  <si>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</si>
  <si>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</si>
  <si>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</si>
  <si>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</si>
  <si>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</si>
  <si>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</si>
  <si>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</si>
  <si>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</si>
  <si>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</si>
  <si>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</si>
  <si>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</si>
  <si>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</si>
  <si>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</si>
  <si>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</si>
  <si>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</si>
  <si>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</si>
  <si>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</si>
  <si>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</si>
  <si>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</si>
  <si>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</si>
  <si>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</si>
  <si>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</si>
  <si>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</si>
  <si>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</si>
  <si>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</si>
  <si>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</si>
  <si>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</si>
  <si>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</si>
  <si>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</si>
  <si>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</si>
  <si>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</si>
  <si>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</si>
  <si>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</si>
  <si>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</si>
  <si>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</si>
  <si>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</si>
  <si>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</si>
  <si>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</si>
  <si>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</si>
  <si>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</si>
  <si>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</si>
  <si>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</si>
  <si>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</si>
  <si>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</si>
  <si>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</si>
  <si>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</si>
  <si>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</si>
  <si>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</si>
  <si>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</si>
  <si>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</si>
  <si>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</si>
  <si>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</si>
  <si>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</si>
  <si>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</si>
  <si>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</si>
  <si>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</si>
  <si>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</si>
  <si>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</si>
  <si>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</si>
  <si>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</si>
  <si>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</si>
  <si>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</si>
  <si>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</si>
  <si>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</si>
  <si>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</si>
  <si>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</si>
  <si>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</si>
  <si>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</si>
  <si>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</si>
  <si>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</si>
  <si>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</si>
  <si>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</si>
  <si>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</si>
  <si>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</si>
  <si>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</si>
  <si>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</si>
  <si>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</si>
  <si>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</si>
  <si>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</si>
  <si>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</si>
  <si>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</si>
  <si>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</si>
  <si>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</si>
  <si>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</si>
  <si>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</si>
  <si>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</si>
  <si>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</si>
  <si>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</si>
  <si>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</si>
  <si>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</si>
  <si>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</si>
  <si>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</si>
  <si>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</si>
  <si>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</si>
  <si>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</si>
  <si>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</si>
  <si>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</si>
  <si>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</si>
  <si>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</si>
  <si>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</si>
  <si>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</si>
  <si>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</si>
  <si>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</si>
  <si>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</si>
  <si>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</si>
  <si>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</si>
  <si>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</si>
  <si>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</si>
  <si>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</si>
  <si>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</si>
  <si>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</si>
  <si>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</si>
  <si>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</si>
  <si>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</si>
  <si>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</si>
  <si>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</si>
  <si>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</si>
  <si>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</si>
  <si>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</si>
  <si>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</si>
  <si>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</si>
  <si>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</si>
  <si>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</si>
  <si>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</si>
  <si>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</si>
  <si>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</si>
  <si>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</si>
  <si>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</si>
  <si>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</si>
  <si>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</si>
  <si>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</si>
  <si>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</si>
  <si>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</si>
  <si>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</si>
  <si>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</si>
  <si>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</si>
  <si>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</si>
  <si>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</si>
  <si>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</si>
  <si>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</si>
  <si>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</si>
  <si>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</si>
  <si>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</si>
  <si>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</si>
  <si>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</si>
  <si>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</si>
  <si>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</si>
  <si>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</si>
  <si>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</si>
  <si>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</si>
  <si>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</si>
  <si>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</si>
  <si>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</si>
  <si>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</si>
  <si>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</si>
  <si>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</si>
  <si>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</si>
  <si>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</si>
  <si>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</si>
  <si>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</si>
  <si>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</si>
  <si>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</si>
  <si>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</si>
  <si>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</si>
  <si>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</si>
  <si>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</si>
  <si>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</si>
  <si>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</si>
  <si>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</si>
  <si>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</si>
  <si>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</si>
  <si>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</si>
  <si>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</si>
  <si>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</si>
  <si>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</si>
  <si>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</si>
  <si>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</si>
  <si>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</si>
  <si>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</si>
  <si>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</si>
  <si>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</si>
  <si>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</si>
  <si>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</si>
  <si>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</si>
  <si>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</si>
  <si>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</si>
  <si>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</si>
  <si>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</si>
  <si>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</si>
  <si>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</si>
  <si>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</si>
  <si>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</si>
  <si>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</si>
  <si>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</si>
  <si>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</si>
  <si>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</si>
  <si>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</si>
  <si>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</si>
  <si>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</si>
  <si>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</si>
  <si>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</si>
  <si>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</si>
  <si>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</si>
  <si>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</si>
  <si>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</si>
  <si>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</si>
  <si>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</si>
  <si>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</si>
  <si>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</si>
  <si>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</si>
  <si>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</si>
  <si>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</si>
  <si>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</si>
  <si>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</si>
  <si>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</si>
  <si>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</si>
  <si>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</si>
  <si>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</si>
  <si>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</si>
  <si>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</si>
  <si>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</si>
  <si>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</si>
  <si>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</si>
  <si>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</si>
  <si>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</si>
  <si>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</si>
  <si>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</si>
  <si>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</si>
  <si>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</si>
  <si>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</si>
  <si>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</si>
  <si>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</si>
  <si>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</si>
  <si>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</si>
  <si>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</si>
  <si>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</si>
  <si>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</si>
  <si>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</si>
  <si>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</si>
  <si>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</si>
  <si>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</si>
  <si>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</si>
  <si>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</si>
  <si>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</si>
  <si>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</si>
  <si>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</si>
  <si>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</si>
  <si>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</si>
  <si>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</si>
  <si>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</si>
  <si>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</si>
  <si>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</si>
  <si>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</si>
  <si>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</si>
  <si>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</si>
  <si>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</si>
  <si>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</si>
  <si>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</si>
  <si>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</si>
  <si>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</si>
  <si>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</si>
  <si>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</si>
  <si>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</si>
  <si>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</si>
  <si>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</si>
  <si>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</si>
  <si>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</si>
  <si>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</si>
  <si>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</si>
  <si>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</si>
  <si>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</si>
  <si>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</si>
  <si>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</si>
  <si>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</si>
  <si>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</si>
  <si>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</si>
  <si>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</si>
  <si>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</si>
  <si>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</si>
  <si>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</si>
  <si>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</si>
  <si>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</si>
  <si>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</si>
  <si>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</si>
  <si>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</si>
  <si>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</si>
  <si>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</si>
  <si>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</si>
  <si>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</si>
  <si>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</si>
  <si>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</si>
  <si>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</si>
  <si>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</si>
  <si>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</si>
  <si>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</si>
  <si>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</si>
  <si>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</si>
  <si>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</si>
  <si>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</si>
  <si>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</si>
  <si>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</si>
  <si>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</si>
  <si>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</si>
  <si>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</si>
  <si>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</si>
  <si>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</si>
  <si>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</si>
  <si>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</si>
  <si>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</si>
  <si>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</si>
  <si>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</si>
  <si>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</si>
  <si>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</si>
  <si>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</si>
  <si>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</si>
  <si>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</si>
  <si>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</si>
  <si>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</si>
  <si>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</si>
  <si>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</si>
  <si>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</si>
  <si>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</si>
  <si>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</si>
  <si>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</si>
  <si>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</si>
  <si>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</si>
  <si>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</si>
  <si>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</si>
  <si>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</si>
  <si>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</si>
  <si>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</si>
  <si>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</si>
  <si>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</si>
  <si>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</si>
  <si>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</si>
  <si>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</si>
  <si>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</si>
  <si>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</si>
  <si>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</si>
  <si>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</si>
  <si>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</si>
  <si>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</si>
  <si>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</si>
  <si>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</si>
  <si>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</si>
  <si>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</si>
  <si>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</si>
  <si>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</si>
  <si>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</si>
  <si>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</si>
  <si>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</si>
  <si>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</si>
  <si>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</si>
  <si>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</si>
  <si>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</si>
  <si>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</si>
  <si>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</si>
  <si>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</si>
  <si>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</si>
  <si>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</si>
  <si>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</si>
  <si>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</si>
  <si>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</si>
  <si>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</si>
  <si>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</si>
  <si>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</si>
  <si>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</si>
  <si>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</si>
  <si>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</si>
  <si>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</si>
  <si>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</si>
  <si>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</si>
  <si>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</si>
  <si>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</si>
  <si>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</si>
  <si>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</si>
  <si>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</si>
  <si>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</si>
  <si>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</si>
  <si>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</si>
  <si>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</si>
  <si>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</si>
  <si>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</si>
  <si>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</si>
  <si>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</si>
  <si>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</si>
  <si>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</si>
  <si>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</si>
  <si>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</si>
  <si>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</si>
  <si>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</si>
  <si>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</si>
  <si>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</si>
  <si>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</si>
  <si>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</si>
  <si>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</si>
  <si>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</si>
  <si>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</si>
  <si>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</si>
  <si>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</si>
  <si>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</si>
  <si>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</si>
  <si>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</si>
  <si>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</si>
  <si>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</si>
  <si>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</si>
  <si>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</si>
  <si>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</si>
  <si>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</si>
  <si>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</si>
  <si>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</si>
  <si>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</si>
  <si>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</si>
  <si>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</si>
  <si>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</si>
  <si>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</si>
  <si>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</si>
  <si>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</si>
  <si>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</si>
  <si>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</si>
  <si>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</si>
  <si>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</si>
  <si>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</si>
  <si>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</si>
  <si>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</si>
  <si>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</si>
  <si>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</si>
  <si>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</si>
  <si>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</si>
  <si>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</si>
  <si>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</si>
  <si>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</si>
  <si>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</si>
  <si>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</si>
  <si>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</si>
  <si>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</si>
  <si>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</si>
  <si>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</si>
  <si>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</si>
  <si>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</si>
  <si>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</si>
  <si>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</si>
  <si>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</si>
  <si>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</si>
  <si>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</si>
  <si>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</si>
  <si>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</si>
  <si>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</si>
  <si>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</si>
  <si>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</si>
  <si>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</si>
  <si>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</si>
  <si>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</si>
  <si>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</si>
  <si>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</si>
  <si>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</si>
  <si>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</si>
  <si>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</si>
  <si>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</si>
  <si>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</si>
  <si>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</si>
  <si>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</si>
  <si>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</si>
  <si>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</si>
  <si>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</si>
  <si>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</si>
  <si>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</si>
  <si>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</si>
  <si>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</si>
  <si>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</si>
  <si>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</si>
  <si>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</si>
  <si>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</si>
  <si>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</si>
  <si>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</si>
  <si>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</si>
  <si>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</si>
  <si>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</si>
  <si>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</si>
  <si>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</si>
  <si>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</si>
  <si>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</si>
  <si>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</si>
  <si>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</si>
  <si>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</si>
  <si>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</si>
  <si>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</si>
  <si>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</si>
  <si>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</si>
  <si>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</si>
  <si>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</si>
  <si>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</si>
  <si>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</si>
  <si>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</si>
  <si>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</si>
  <si>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</si>
  <si>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</si>
  <si>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</si>
  <si>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</si>
  <si>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</si>
  <si>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</si>
  <si>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</si>
  <si>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</si>
  <si>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</si>
  <si>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</si>
  <si>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</si>
  <si>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</si>
  <si>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</si>
  <si>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</si>
  <si>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</si>
  <si>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</si>
  <si>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</si>
  <si>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</si>
  <si>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</si>
  <si>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</si>
  <si>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</si>
  <si>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</si>
  <si>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</si>
  <si>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</si>
  <si>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</si>
  <si>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</si>
  <si>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</si>
  <si>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</si>
  <si>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</si>
  <si>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</si>
  <si>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</si>
  <si>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</si>
  <si>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</si>
  <si>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</si>
  <si>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</si>
  <si>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</si>
  <si>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</si>
  <si>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</si>
  <si>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</si>
  <si>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</si>
  <si>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</si>
  <si>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</si>
  <si>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</si>
  <si>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</si>
  <si>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</si>
  <si>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</si>
  <si>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</si>
  <si>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</si>
  <si>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</si>
  <si>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</si>
  <si>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</si>
  <si>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</si>
  <si>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</si>
  <si>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</si>
  <si>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</si>
  <si>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</si>
  <si>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</si>
  <si>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</si>
  <si>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</si>
  <si>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</si>
  <si>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</si>
  <si>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</si>
  <si>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</si>
  <si>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</si>
  <si>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</si>
  <si>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</si>
  <si>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</si>
  <si>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</si>
  <si>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</si>
  <si>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</si>
  <si>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</si>
  <si>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</si>
  <si>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</si>
  <si>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</si>
  <si>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</si>
  <si>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</si>
  <si>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</si>
  <si>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</si>
  <si>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</si>
  <si>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</si>
  <si>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</si>
  <si>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</si>
  <si>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</si>
  <si>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</si>
  <si>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</si>
  <si>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</si>
  <si>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</si>
  <si>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</si>
  <si>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</si>
  <si>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</si>
  <si>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</si>
  <si>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</si>
  <si>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</si>
  <si>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</si>
  <si>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</si>
  <si>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</si>
  <si>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</si>
  <si>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</si>
  <si>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</si>
  <si>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</si>
  <si>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</si>
  <si>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</si>
  <si>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</si>
  <si>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</si>
  <si>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</si>
  <si>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</si>
  <si>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</si>
  <si>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</si>
  <si>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</si>
  <si>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</si>
  <si>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</si>
  <si>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</si>
  <si>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</si>
  <si>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</si>
  <si>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</si>
  <si>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</si>
  <si>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</si>
  <si>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</si>
  <si>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</si>
  <si>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</si>
  <si>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</si>
  <si>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</si>
  <si>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</si>
  <si>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</si>
  <si>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</si>
  <si>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</si>
  <si>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</si>
  <si>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</si>
  <si>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</si>
  <si>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</si>
  <si>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</si>
  <si>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</si>
  <si>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</si>
  <si>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</si>
  <si>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</si>
  <si>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</si>
  <si>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</si>
  <si>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</si>
  <si>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</si>
  <si>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</si>
  <si>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</si>
  <si>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</si>
  <si>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</si>
  <si>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</si>
  <si>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</si>
  <si>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</si>
  <si>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</si>
  <si>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</si>
  <si>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</si>
  <si>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</si>
  <si>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</si>
  <si>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</si>
  <si>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</si>
  <si>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</si>
  <si>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</si>
  <si>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</si>
  <si>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</si>
  <si>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</si>
  <si>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</si>
  <si>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</si>
  <si>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</si>
  <si>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</si>
  <si>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</si>
  <si>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</si>
  <si>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</si>
  <si>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</si>
  <si>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</si>
  <si>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</si>
  <si>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</si>
  <si>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</si>
  <si>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</si>
  <si>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</si>
  <si>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</si>
  <si>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</si>
  <si>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</si>
  <si>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</si>
  <si>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</si>
  <si>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</si>
  <si>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</si>
  <si>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</si>
  <si>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</si>
  <si>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</si>
  <si>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</si>
  <si>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</si>
  <si>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</si>
  <si>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</si>
  <si>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</si>
  <si>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</si>
  <si>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</si>
  <si>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</si>
  <si>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</si>
  <si>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</si>
  <si>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</si>
  <si>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</si>
  <si>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</si>
  <si>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</si>
  <si>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</si>
  <si>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</si>
  <si>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</si>
  <si>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</si>
  <si>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</si>
  <si>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</si>
  <si>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</si>
  <si>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</si>
  <si>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</si>
  <si>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</si>
  <si>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</si>
  <si>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</si>
  <si>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</si>
  <si>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</si>
  <si>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</si>
  <si>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</si>
  <si>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</si>
  <si>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</si>
  <si>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</si>
  <si>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</si>
  <si>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</si>
  <si>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</si>
  <si>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</si>
  <si>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</si>
  <si>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</si>
  <si>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</si>
  <si>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</si>
  <si>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</si>
  <si>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</si>
  <si>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</si>
  <si>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</si>
  <si>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</si>
  <si>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</si>
  <si>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</si>
  <si>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</si>
  <si>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</si>
  <si>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</si>
  <si>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</si>
  <si>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</si>
  <si>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</si>
  <si>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</si>
  <si>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</si>
  <si>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</si>
  <si>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</si>
  <si>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</si>
  <si>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</si>
  <si>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</si>
  <si>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</si>
  <si>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</si>
  <si>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</si>
  <si>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</si>
  <si>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</si>
  <si>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</si>
  <si>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</si>
  <si>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</si>
  <si>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</si>
  <si>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</si>
  <si>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</si>
  <si>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</si>
  <si>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</si>
  <si>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</si>
  <si>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</si>
  <si>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</si>
  <si>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</si>
  <si>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</si>
  <si>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</si>
  <si>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</si>
  <si>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</si>
  <si>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</si>
  <si>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</si>
  <si>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</si>
  <si>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</si>
  <si>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</si>
  <si>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</si>
  <si>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</si>
  <si>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</si>
  <si>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</si>
  <si>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</si>
  <si>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</si>
  <si>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</si>
  <si>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</si>
  <si>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</si>
  <si>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</si>
  <si>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</si>
  <si>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</si>
  <si>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</si>
  <si>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</si>
  <si>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</si>
  <si>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</si>
  <si>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</si>
  <si>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</si>
  <si>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</si>
  <si>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</si>
  <si>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</si>
  <si>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</si>
  <si>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</si>
  <si>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</si>
  <si>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</si>
  <si>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</si>
  <si>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</si>
  <si>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</si>
  <si>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</si>
  <si>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</si>
  <si>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</si>
  <si>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</si>
  <si>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</si>
  <si>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</si>
  <si>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</si>
  <si>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</si>
  <si>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</si>
  <si>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</si>
  <si>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</si>
  <si>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</si>
  <si>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</si>
  <si>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</si>
  <si>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</si>
  <si>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</si>
  <si>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</si>
  <si>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</si>
  <si>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</si>
  <si>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</si>
  <si>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</si>
  <si>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</si>
  <si>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</si>
  <si>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</si>
  <si>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</si>
  <si>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</si>
  <si>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</si>
  <si>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</si>
  <si>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</si>
  <si>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</si>
  <si>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</si>
  <si>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</si>
  <si>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</si>
  <si>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</si>
  <si>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</si>
  <si>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</si>
  <si>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</si>
  <si>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</si>
  <si>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</si>
  <si>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</si>
  <si>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</si>
  <si>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</si>
  <si>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</si>
  <si>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</si>
  <si>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</si>
  <si>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</si>
  <si>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</si>
  <si>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</si>
  <si>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</si>
  <si>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</si>
  <si>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</si>
  <si>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</si>
  <si>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</si>
  <si>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</si>
  <si>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</si>
  <si>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</si>
  <si>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</si>
  <si>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</si>
  <si>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</si>
  <si>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</si>
  <si>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</si>
  <si>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</si>
  <si>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</si>
  <si>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</si>
  <si>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</si>
  <si>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</si>
  <si>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</si>
  <si>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</si>
  <si>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</si>
  <si>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</si>
  <si>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</si>
  <si>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</si>
  <si>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</si>
  <si>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</si>
  <si>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</si>
  <si>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</si>
  <si>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</si>
  <si>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</si>
  <si>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</si>
  <si>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</si>
  <si>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</si>
  <si>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</si>
  <si>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</si>
  <si>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</si>
  <si>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</si>
  <si>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</si>
  <si>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</si>
  <si>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</si>
  <si>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</si>
  <si>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</si>
  <si>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</si>
  <si>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</si>
  <si>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</si>
  <si>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</si>
  <si>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</si>
  <si>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</si>
  <si>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</si>
  <si>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</si>
  <si>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</si>
  <si>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</si>
  <si>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</si>
  <si>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</si>
  <si>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</si>
  <si>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</si>
  <si>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</si>
  <si>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</si>
  <si>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</si>
  <si>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</si>
  <si>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</si>
  <si>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</si>
  <si>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</si>
  <si>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</si>
  <si>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</si>
  <si>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</si>
  <si>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</si>
  <si>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</si>
  <si>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</si>
  <si>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</si>
  <si>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</si>
  <si>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</si>
  <si>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</si>
  <si>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</si>
  <si>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</si>
  <si>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</si>
  <si>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</si>
  <si>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</si>
  <si>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</si>
  <si>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</si>
  <si>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</si>
  <si>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</si>
  <si>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</si>
  <si>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</si>
  <si>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</si>
  <si>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</si>
  <si>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</si>
  <si>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</si>
  <si>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</si>
  <si>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</si>
  <si>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</si>
  <si>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</si>
  <si>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</si>
  <si>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</si>
  <si>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</si>
  <si>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</si>
  <si>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</si>
  <si>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</si>
  <si>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</si>
  <si>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</si>
  <si>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</si>
  <si>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</si>
  <si>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</si>
  <si>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</si>
  <si>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</si>
  <si>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</si>
  <si>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</si>
  <si>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</si>
  <si>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</si>
  <si>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</si>
  <si>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</si>
  <si>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</si>
  <si>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</si>
  <si>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</si>
  <si>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</si>
  <si>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</si>
  <si>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</si>
  <si>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</si>
  <si>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</si>
  <si>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</si>
  <si>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</si>
  <si>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</si>
  <si>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</si>
  <si>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</si>
  <si>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</si>
  <si>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</si>
  <si>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</si>
  <si>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</si>
  <si>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</si>
  <si>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</si>
  <si>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</si>
  <si>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</si>
  <si>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</si>
  <si>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</si>
  <si>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</si>
  <si>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</si>
  <si>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</si>
  <si>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</si>
  <si>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</si>
  <si>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</si>
  <si>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</si>
  <si>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</si>
  <si>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</si>
  <si>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</si>
  <si>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</si>
  <si>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</si>
  <si>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</si>
  <si>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</si>
  <si>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</si>
  <si>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</si>
  <si>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</si>
  <si>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</si>
  <si>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</si>
  <si>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</si>
  <si>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</si>
  <si>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</si>
  <si>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</si>
  <si>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</si>
  <si>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</si>
  <si>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</si>
  <si>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</si>
  <si>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</si>
  <si>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</si>
  <si>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</si>
  <si>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</si>
  <si>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</si>
  <si>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</si>
  <si>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</si>
  <si>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</si>
  <si>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</si>
  <si>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</si>
  <si>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</si>
  <si>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</si>
  <si>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</si>
  <si>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</si>
  <si>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</si>
  <si>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</si>
  <si>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</si>
  <si>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</si>
  <si>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</si>
  <si>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</si>
  <si>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</si>
  <si>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</si>
  <si>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</si>
  <si>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</si>
  <si>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</si>
  <si>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</si>
  <si>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</si>
  <si>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</si>
  <si>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</si>
  <si>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</si>
  <si>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</si>
  <si>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</si>
  <si>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</si>
  <si>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</si>
  <si>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</si>
  <si>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</si>
  <si>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</si>
  <si>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</si>
  <si>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</si>
  <si>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</si>
  <si>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</si>
  <si>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</si>
  <si>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</si>
  <si>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</si>
  <si>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</si>
  <si>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</si>
  <si>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</si>
  <si>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</si>
  <si>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</si>
  <si>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</si>
  <si>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</si>
  <si>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</si>
  <si>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</si>
  <si>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</si>
  <si>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</si>
  <si>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</si>
  <si>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</si>
  <si>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</si>
  <si>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</si>
  <si>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</si>
  <si>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</si>
  <si>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</si>
  <si>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</si>
  <si>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</si>
  <si>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</si>
  <si>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</si>
  <si>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</si>
  <si>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</si>
  <si>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</si>
  <si>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</si>
  <si>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</si>
  <si>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</si>
  <si>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</si>
  <si>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</si>
  <si>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</si>
  <si>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</si>
  <si>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</si>
  <si>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</si>
  <si>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</si>
  <si>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</si>
  <si>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</si>
  <si>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</si>
  <si>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</si>
  <si>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</si>
  <si>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</si>
  <si>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</si>
  <si>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</si>
  <si>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</si>
  <si>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</si>
  <si>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</si>
  <si>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</si>
  <si>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</si>
  <si>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</si>
  <si>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</si>
  <si>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</si>
  <si>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</si>
  <si>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</si>
  <si>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</si>
  <si>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</si>
  <si>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</si>
  <si>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</si>
  <si>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</si>
  <si>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</si>
  <si>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</si>
  <si>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</si>
  <si>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</si>
  <si>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</si>
  <si>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</si>
  <si>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</si>
  <si>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</si>
  <si>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</si>
  <si>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</si>
  <si>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</si>
  <si>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</si>
  <si>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</si>
  <si>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</si>
  <si>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</si>
  <si>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</si>
  <si>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</si>
  <si>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</si>
  <si>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</si>
  <si>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</si>
  <si>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</si>
  <si>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</si>
  <si>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</si>
  <si>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</si>
  <si>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</si>
  <si>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</si>
  <si>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</si>
  <si>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</si>
  <si>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</si>
  <si>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</si>
  <si>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</si>
  <si>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</si>
  <si>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</si>
  <si>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</si>
  <si>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</si>
  <si>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</si>
  <si>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</si>
  <si>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</si>
  <si>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</si>
  <si>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</si>
  <si>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</si>
  <si>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</si>
  <si>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</si>
  <si>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</si>
  <si>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</si>
  <si>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</si>
  <si>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</si>
  <si>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</si>
  <si>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</si>
  <si>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</si>
  <si>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</si>
  <si>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</si>
  <si>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</si>
  <si>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</si>
  <si>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</si>
  <si>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</si>
  <si>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</si>
  <si>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</si>
  <si>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</si>
  <si>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</si>
  <si>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</si>
  <si>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</si>
  <si>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</si>
  <si>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</si>
  <si>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</si>
  <si>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</si>
  <si>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</si>
  <si>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</si>
  <si>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</si>
  <si>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</si>
  <si>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</si>
  <si>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</si>
  <si>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</si>
  <si>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</si>
  <si>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</si>
  <si>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</si>
  <si>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</si>
  <si>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</si>
  <si>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</si>
  <si>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</si>
  <si>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</si>
  <si>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</si>
  <si>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</si>
  <si>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</si>
  <si>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</si>
  <si>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</si>
  <si>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</si>
  <si>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</si>
  <si>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</si>
  <si>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</si>
  <si>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</si>
  <si>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</si>
  <si>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</si>
  <si>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</si>
  <si>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</si>
  <si>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</si>
  <si>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</si>
  <si>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</si>
  <si>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</si>
  <si>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</si>
  <si>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</si>
  <si>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</si>
  <si>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</si>
  <si>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</si>
  <si>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</si>
  <si>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</si>
  <si>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</si>
  <si>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</si>
  <si>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</si>
  <si>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</si>
  <si>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</si>
  <si>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</si>
  <si>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</si>
  <si>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</si>
  <si>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</si>
  <si>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</si>
  <si>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</si>
  <si>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</si>
  <si>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</si>
  <si>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</si>
  <si>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</si>
  <si>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</si>
  <si>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</si>
  <si>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</si>
  <si>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</si>
  <si>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</si>
  <si>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</si>
  <si>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</si>
  <si>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</si>
  <si>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</si>
  <si>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</si>
  <si>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</si>
  <si>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</si>
  <si>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</si>
  <si>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</si>
  <si>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</si>
  <si>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</si>
  <si>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</si>
  <si>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</si>
  <si>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</si>
  <si>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</si>
  <si>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</si>
  <si>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</si>
  <si>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</si>
  <si>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</si>
  <si>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</si>
  <si>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</si>
  <si>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</si>
  <si>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</si>
  <si>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</si>
  <si>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</si>
  <si>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</si>
  <si>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</si>
  <si>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</si>
  <si>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</si>
  <si>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</si>
  <si>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</si>
  <si>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</si>
  <si>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</si>
  <si>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</si>
  <si>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</si>
  <si>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</si>
  <si>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</si>
  <si>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</si>
  <si>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</si>
  <si>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</si>
  <si>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</si>
  <si>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</si>
  <si>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</si>
  <si>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</si>
  <si>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</si>
  <si>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</si>
  <si>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</si>
  <si>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</si>
  <si>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</si>
  <si>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</si>
  <si>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</si>
  <si>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</si>
  <si>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</si>
  <si>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</si>
  <si>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</si>
  <si>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</si>
  <si>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</si>
  <si>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</si>
  <si>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</si>
  <si>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</si>
  <si>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</si>
  <si>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</si>
  <si>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</si>
  <si>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</si>
  <si>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</si>
  <si>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</si>
  <si>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</si>
  <si>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</si>
  <si>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</si>
  <si>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</si>
  <si>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</si>
  <si>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</si>
  <si>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</si>
  <si>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</si>
  <si>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</si>
  <si>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</si>
  <si>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</si>
  <si>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</si>
  <si>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</si>
  <si>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</si>
  <si>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</si>
  <si>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</si>
  <si>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</si>
  <si>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</si>
  <si>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</si>
  <si>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</si>
  <si>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</si>
  <si>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</si>
  <si>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</si>
  <si>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</si>
  <si>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</si>
  <si>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</si>
  <si>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</si>
  <si>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</si>
  <si>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</si>
  <si>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</si>
  <si>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</si>
  <si>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</si>
  <si>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</si>
  <si>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</si>
  <si>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</si>
  <si>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</si>
  <si>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</si>
  <si>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</si>
  <si>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</si>
  <si>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</si>
  <si>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</si>
  <si>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</si>
  <si>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</si>
  <si>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</si>
  <si>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</si>
  <si>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</si>
  <si>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</si>
  <si>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</si>
  <si>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</si>
  <si>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</si>
  <si>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</si>
  <si>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</si>
  <si>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</si>
  <si>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</si>
  <si>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</si>
  <si>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</si>
  <si>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</si>
  <si>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</si>
  <si>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</si>
  <si>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</si>
  <si>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</si>
  <si>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</si>
  <si>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</si>
  <si>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</si>
  <si>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</si>
  <si>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</si>
  <si>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</si>
  <si>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</si>
  <si>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</si>
  <si>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</si>
  <si>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</si>
  <si>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</si>
  <si>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</si>
  <si>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</si>
  <si>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</si>
  <si>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</si>
  <si>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</si>
  <si>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</si>
  <si>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</si>
  <si>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</si>
  <si>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</si>
  <si>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</si>
  <si>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</si>
  <si>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</si>
  <si>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</si>
  <si>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</si>
  <si>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</si>
  <si>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</si>
  <si>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</si>
  <si>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</si>
  <si>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</si>
  <si>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</si>
  <si>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</si>
  <si>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</si>
  <si>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</si>
  <si>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</si>
  <si>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</si>
  <si>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</si>
  <si>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</si>
  <si>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</si>
  <si>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</si>
  <si>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</si>
  <si>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</si>
  <si>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</si>
  <si>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</si>
  <si>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</si>
  <si>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</si>
  <si>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</si>
  <si>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</si>
  <si>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</si>
  <si>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</si>
  <si>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</si>
  <si>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</si>
  <si>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</si>
  <si>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</si>
  <si>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</si>
  <si>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</si>
  <si>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</si>
  <si>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</si>
  <si>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</si>
  <si>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</si>
  <si>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</si>
  <si>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</si>
  <si>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</si>
  <si>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</si>
  <si>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</si>
  <si>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</si>
  <si>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</si>
  <si>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</si>
  <si>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</si>
  <si>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</si>
  <si>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</si>
  <si>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</si>
  <si>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</si>
  <si>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</si>
  <si>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</si>
  <si>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</si>
  <si>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</si>
  <si>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</si>
  <si>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</si>
  <si>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</si>
  <si>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</si>
  <si>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</si>
  <si>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</si>
  <si>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</si>
  <si>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</si>
  <si>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</si>
  <si>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</si>
  <si>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</si>
  <si>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</si>
  <si>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</si>
  <si>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</si>
  <si>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</si>
  <si>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</si>
  <si>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</si>
  <si>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</si>
  <si>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</si>
  <si>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</si>
  <si>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</si>
  <si>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</si>
  <si>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</si>
  <si>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</si>
  <si>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</si>
  <si>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</si>
  <si>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</si>
  <si>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</si>
  <si>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</si>
  <si>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</si>
  <si>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</si>
  <si>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</si>
  <si>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</si>
  <si>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</si>
  <si>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</si>
  <si>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</si>
  <si>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</si>
  <si>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</si>
  <si>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</si>
  <si>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</si>
  <si>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</si>
  <si>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</si>
  <si>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</si>
  <si>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</si>
  <si>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</si>
  <si>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</si>
  <si>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</si>
  <si>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</si>
  <si>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</si>
  <si>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</si>
  <si>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</si>
  <si>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</si>
  <si>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</si>
  <si>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</si>
  <si>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</si>
  <si>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</si>
  <si>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</si>
  <si>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</si>
  <si>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</si>
  <si>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</si>
  <si>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</si>
  <si>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</si>
  <si>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</si>
  <si>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</si>
  <si>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</si>
  <si>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</si>
  <si>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</si>
  <si>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</si>
  <si>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</si>
  <si>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</si>
  <si>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</si>
  <si>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</si>
  <si>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</si>
  <si>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</si>
  <si>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</si>
  <si>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</si>
  <si>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</si>
  <si>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</si>
  <si>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</si>
  <si>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</si>
  <si>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</si>
  <si>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</si>
  <si>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</si>
  <si>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</si>
  <si>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</si>
  <si>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</si>
  <si>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</si>
  <si>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</si>
  <si>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</si>
  <si>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</si>
  <si>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</si>
  <si>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</si>
  <si>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</si>
  <si>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</si>
  <si>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</si>
  <si>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</si>
  <si>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</si>
  <si>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</si>
  <si>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</si>
  <si>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</si>
  <si>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</si>
  <si>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</si>
  <si>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</si>
  <si>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</si>
  <si>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</si>
  <si>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</si>
  <si>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</si>
  <si>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</si>
  <si>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</si>
  <si>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</si>
  <si>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</si>
  <si>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</si>
  <si>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</si>
  <si>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</si>
  <si>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</si>
  <si>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</si>
  <si>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</si>
  <si>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</si>
  <si>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</si>
  <si>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</si>
  <si>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</si>
  <si>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</si>
  <si>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</si>
  <si>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</si>
  <si>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</si>
  <si>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</si>
  <si>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</si>
  <si>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</si>
  <si>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</si>
  <si>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</si>
  <si>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</si>
  <si>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</si>
  <si>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</si>
  <si>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</si>
  <si>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</si>
  <si>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</si>
  <si>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</si>
  <si>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</si>
  <si>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</si>
  <si>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</si>
  <si>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</si>
  <si>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</si>
  <si>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</si>
  <si>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</si>
  <si>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</si>
  <si>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</si>
  <si>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</si>
  <si>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</si>
  <si>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</si>
  <si>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</si>
  <si>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</si>
  <si>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</si>
  <si>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</si>
  <si>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</si>
  <si>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</si>
  <si>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</si>
  <si>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</si>
  <si>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</si>
  <si>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</si>
  <si>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</si>
  <si>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</si>
  <si>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</si>
  <si>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</si>
  <si>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</si>
  <si>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</si>
  <si>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</si>
  <si>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</si>
  <si>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</si>
  <si>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</si>
  <si>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</si>
  <si>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</si>
  <si>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</si>
  <si>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</si>
  <si>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</si>
  <si>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</si>
  <si>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</si>
  <si>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</si>
  <si>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</si>
  <si>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</si>
  <si>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</si>
  <si>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</si>
  <si>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</si>
  <si>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</si>
  <si>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</si>
  <si>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</si>
  <si>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</si>
  <si>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</si>
  <si>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</si>
  <si>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</si>
  <si>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</si>
  <si>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</si>
  <si>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</si>
  <si>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</si>
  <si>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</si>
  <si>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</si>
  <si>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</si>
  <si>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</si>
  <si>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</si>
  <si>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</si>
  <si>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</si>
  <si>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</si>
  <si>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</si>
  <si>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</si>
  <si>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</si>
  <si>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</si>
  <si>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</si>
  <si>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</si>
  <si>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</si>
  <si>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</si>
  <si>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</si>
  <si>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</si>
  <si>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</si>
  <si>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</si>
  <si>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</si>
  <si>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</si>
  <si>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</si>
  <si>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</si>
  <si>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</si>
  <si>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</si>
  <si>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</si>
  <si>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</si>
  <si>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</si>
  <si>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</si>
  <si>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</si>
  <si>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</si>
  <si>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</si>
  <si>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</si>
  <si>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</si>
  <si>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</si>
  <si>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</si>
  <si>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</si>
  <si>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</si>
  <si>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</si>
  <si>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</si>
  <si>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</si>
  <si>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</si>
  <si>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</si>
  <si>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</si>
  <si>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</si>
  <si>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</si>
  <si>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</si>
  <si>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</si>
  <si>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</si>
  <si>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</si>
  <si>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</si>
  <si>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</si>
  <si>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</si>
  <si>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</si>
  <si>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</si>
  <si>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</si>
  <si>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</si>
  <si>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</si>
  <si>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</si>
  <si>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</si>
  <si>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</si>
  <si>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</si>
  <si>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</si>
  <si>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</si>
  <si>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</si>
  <si>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</si>
  <si>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</si>
  <si>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</si>
  <si>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</si>
  <si>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</si>
  <si>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</si>
  <si>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</si>
  <si>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</si>
  <si>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</si>
  <si>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</si>
  <si>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</si>
  <si>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</si>
  <si>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</si>
  <si>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</si>
  <si>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</si>
  <si>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</si>
  <si>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</si>
  <si>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</si>
  <si>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</si>
  <si>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</si>
  <si>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</si>
  <si>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</si>
  <si>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</si>
  <si>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</si>
  <si>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</si>
  <si>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</si>
  <si>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</si>
  <si>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</si>
  <si>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</si>
  <si>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</si>
  <si>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</si>
  <si>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</si>
  <si>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</si>
  <si>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</si>
  <si>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</si>
  <si>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</si>
  <si>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</si>
  <si>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</si>
  <si>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</si>
  <si>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</si>
  <si>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</si>
  <si>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</si>
  <si>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</si>
  <si>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</si>
  <si>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</si>
  <si>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</si>
  <si>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</si>
  <si>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</si>
  <si>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</si>
  <si>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</si>
  <si>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</si>
  <si>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</si>
  <si>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</si>
  <si>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</si>
  <si>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</si>
  <si>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</si>
  <si>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</si>
  <si>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</si>
  <si>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</si>
  <si>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</si>
  <si>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</si>
  <si>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</si>
  <si>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</si>
  <si>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</si>
  <si>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</si>
  <si>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</si>
  <si>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</si>
  <si>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</si>
  <si>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</si>
  <si>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</si>
  <si>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</si>
  <si>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</si>
  <si>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</si>
  <si>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</si>
  <si>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</si>
  <si>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</si>
  <si>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</si>
  <si>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</si>
  <si>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</si>
  <si>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</si>
  <si>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</si>
  <si>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</si>
  <si>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</si>
  <si>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</si>
  <si>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</si>
  <si>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</si>
  <si>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</si>
  <si>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</si>
  <si>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</si>
  <si>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</si>
  <si>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</si>
  <si>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</si>
  <si>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</si>
  <si>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</si>
  <si>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</si>
  <si>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</si>
  <si>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</si>
  <si>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</si>
  <si>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</si>
  <si>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</si>
  <si>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</si>
  <si>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</si>
  <si>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</si>
  <si>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</si>
  <si>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</si>
  <si>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</si>
  <si>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</si>
  <si>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</si>
  <si>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</si>
  <si>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</si>
  <si>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</si>
  <si>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</si>
  <si>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</si>
  <si>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</si>
  <si>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</si>
  <si>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</si>
  <si>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</si>
  <si>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</si>
  <si>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</si>
  <si>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</si>
  <si>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</si>
  <si>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</si>
  <si>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</si>
  <si>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</si>
  <si>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</si>
  <si>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</si>
  <si>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</si>
  <si>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</si>
  <si>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</si>
  <si>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</si>
  <si>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</si>
  <si>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</si>
  <si>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</si>
  <si>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</si>
  <si>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</si>
  <si>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</si>
  <si>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</si>
  <si>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</si>
  <si>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</si>
  <si>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</si>
  <si>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</si>
  <si>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</si>
  <si>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</si>
  <si>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</si>
  <si>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</si>
  <si>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</si>
  <si>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</si>
  <si>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</si>
  <si>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</si>
  <si>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</si>
  <si>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</si>
  <si>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</si>
  <si>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</si>
  <si>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</si>
  <si>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</si>
  <si>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</si>
  <si>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</si>
  <si>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</si>
  <si>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</si>
  <si>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</si>
  <si>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</si>
  <si>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</si>
  <si>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</si>
  <si>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</si>
  <si>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</si>
  <si>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</si>
  <si>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</si>
  <si>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</si>
  <si>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</si>
  <si>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</si>
  <si>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</si>
  <si>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</si>
  <si>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</si>
  <si>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</si>
  <si>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</si>
  <si>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</si>
  <si>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</si>
  <si>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</si>
  <si>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</si>
  <si>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</si>
  <si>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</si>
  <si>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</si>
  <si>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</si>
  <si>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</si>
  <si>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</si>
  <si>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</si>
  <si>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</si>
  <si>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</si>
  <si>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</si>
  <si>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</si>
  <si>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</si>
  <si>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</si>
  <si>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</si>
  <si>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</si>
  <si>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</si>
  <si>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</si>
  <si>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</si>
  <si>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</si>
  <si>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</si>
  <si>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</si>
  <si>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</si>
  <si>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</si>
  <si>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</si>
  <si>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</si>
  <si>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</si>
  <si>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</si>
  <si>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</si>
  <si>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</si>
  <si>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</si>
  <si>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</si>
  <si>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</si>
  <si>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</si>
  <si>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</si>
  <si>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</si>
  <si>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</si>
  <si>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</si>
  <si>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</si>
  <si>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</si>
  <si>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</si>
  <si>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</si>
  <si>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</si>
  <si>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</si>
  <si>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</si>
  <si>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</si>
  <si>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</si>
  <si>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</si>
  <si>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</si>
  <si>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</si>
  <si>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</si>
  <si>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</si>
  <si>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</si>
  <si>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</si>
  <si>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</si>
  <si>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</si>
  <si>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</si>
  <si>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</si>
  <si>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</si>
  <si>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</si>
  <si>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</si>
  <si>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</si>
  <si>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</si>
  <si>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</si>
  <si>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</si>
  <si>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</si>
  <si>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</si>
  <si>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</si>
  <si>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</si>
  <si>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</si>
  <si>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</si>
  <si>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</si>
  <si>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</si>
  <si>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</si>
  <si>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</si>
  <si>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</si>
  <si>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</si>
  <si>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</si>
  <si>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</si>
  <si>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</si>
  <si>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</si>
  <si>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</si>
  <si>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</si>
  <si>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</si>
  <si>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</si>
  <si>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</si>
  <si>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</si>
  <si>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</si>
  <si>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</si>
  <si>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</si>
  <si>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</si>
  <si>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</si>
  <si>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</si>
  <si>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</si>
  <si>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</si>
  <si>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</si>
  <si>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</si>
  <si>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</si>
  <si>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</si>
  <si>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</si>
  <si>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</si>
  <si>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</si>
  <si>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</si>
  <si>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</si>
  <si>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</si>
  <si>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</si>
  <si>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</si>
  <si>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</si>
  <si>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</si>
  <si>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</si>
  <si>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</si>
  <si>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</si>
  <si>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</si>
  <si>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</si>
  <si>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</si>
  <si>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</si>
  <si>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</si>
  <si>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</si>
  <si>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</si>
  <si>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</si>
  <si>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</si>
  <si>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</si>
  <si>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</si>
  <si>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</si>
  <si>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</si>
  <si>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</si>
  <si>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</si>
  <si>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</si>
  <si>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</si>
  <si>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</si>
  <si>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</si>
  <si>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</si>
  <si>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</si>
  <si>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</si>
  <si>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</si>
  <si>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</si>
  <si>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</si>
  <si>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</si>
  <si>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</si>
  <si>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</si>
  <si>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</si>
  <si>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</si>
  <si>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</si>
  <si>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</si>
  <si>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</si>
  <si>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</si>
  <si>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</si>
  <si>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</si>
  <si>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</si>
  <si>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</si>
  <si>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</si>
  <si>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</si>
  <si>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</si>
  <si>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</si>
  <si>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</si>
  <si>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</si>
  <si>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</si>
  <si>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</si>
  <si>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</si>
  <si>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</si>
  <si>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</si>
  <si>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</si>
  <si>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</si>
  <si>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</si>
  <si>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</si>
  <si>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</si>
  <si>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</si>
  <si>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</si>
  <si>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</si>
  <si>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</si>
  <si>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</si>
  <si>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</si>
  <si>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</si>
  <si>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</si>
  <si>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</si>
  <si>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</si>
  <si>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</si>
  <si>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</si>
  <si>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</si>
  <si>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</si>
  <si>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</si>
  <si>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</si>
  <si>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</si>
  <si>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</si>
  <si>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</si>
  <si>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</si>
  <si>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</si>
  <si>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</si>
  <si>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</si>
  <si>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</si>
  <si>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</si>
  <si>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</si>
  <si>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</si>
  <si>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</si>
  <si>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</si>
  <si>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</si>
  <si>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</si>
  <si>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</si>
  <si>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</si>
  <si>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</si>
  <si>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</si>
  <si>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</si>
  <si>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</si>
  <si>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</si>
  <si>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</si>
  <si>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</si>
  <si>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</si>
  <si>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</si>
  <si>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</si>
  <si>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</si>
  <si>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</si>
  <si>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</si>
  <si>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</si>
  <si>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</si>
  <si>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</si>
  <si>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</si>
  <si>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</si>
  <si>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</si>
  <si>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</si>
  <si>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</si>
  <si>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</si>
  <si>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</si>
  <si>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</si>
  <si>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</si>
  <si>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</si>
  <si>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</si>
  <si>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</si>
  <si>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</si>
  <si>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</si>
  <si>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</si>
  <si>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</si>
  <si>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</si>
  <si>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</si>
  <si>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</si>
  <si>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</si>
  <si>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</si>
  <si>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</si>
  <si>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</si>
  <si>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</si>
  <si>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</si>
  <si>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</si>
  <si>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</si>
  <si>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</si>
  <si>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</si>
  <si>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</si>
  <si>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</si>
  <si>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</si>
  <si>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</si>
  <si>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</si>
  <si>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</si>
  <si>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</si>
  <si>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</si>
  <si>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</si>
  <si>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</si>
  <si>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</si>
  <si>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</si>
  <si>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</si>
  <si>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</si>
  <si>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</si>
  <si>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</si>
  <si>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</si>
  <si>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</si>
  <si>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</si>
  <si>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</si>
  <si>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</si>
  <si>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</si>
  <si>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</si>
  <si>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</si>
  <si>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</si>
  <si>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</si>
  <si>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</si>
  <si>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</si>
  <si>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</si>
  <si>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</si>
  <si>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</si>
  <si>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</si>
  <si>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</si>
  <si>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</si>
  <si>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</si>
  <si>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</si>
  <si>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</si>
  <si>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</si>
  <si>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</si>
  <si>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</si>
  <si>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</si>
  <si>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</si>
  <si>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</si>
  <si>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</si>
  <si>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</si>
  <si>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</si>
  <si>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</si>
  <si>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</si>
  <si>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</si>
  <si>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</si>
  <si>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</si>
  <si>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</si>
  <si>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</si>
  <si>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</si>
  <si>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</si>
  <si>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</si>
  <si>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</si>
  <si>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</si>
  <si>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</si>
  <si>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</si>
  <si>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</si>
  <si>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</si>
  <si>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</si>
  <si>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</si>
  <si>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</si>
  <si>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</si>
  <si>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</si>
  <si>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</si>
  <si>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</si>
  <si>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</si>
  <si>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</si>
  <si>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</si>
  <si>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</si>
  <si>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</si>
  <si>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</si>
  <si>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</si>
  <si>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</si>
  <si>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</si>
  <si>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</si>
  <si>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</si>
  <si>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</si>
  <si>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</si>
  <si>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</si>
  <si>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</si>
  <si>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</si>
  <si>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</si>
  <si>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</si>
  <si>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</si>
  <si>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</si>
  <si>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</si>
  <si>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</si>
  <si>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</si>
  <si>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</si>
  <si>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</si>
  <si>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</si>
  <si>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</si>
  <si>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</si>
  <si>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</si>
  <si>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</si>
  <si>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</si>
  <si>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</si>
  <si>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</si>
  <si>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</si>
  <si>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</si>
  <si>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</si>
  <si>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</si>
  <si>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</si>
  <si>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</si>
  <si>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</si>
  <si>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</si>
  <si>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</si>
  <si>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</si>
  <si>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</si>
  <si>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</si>
  <si>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</si>
  <si>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</si>
  <si>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</si>
  <si>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</si>
  <si>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</si>
  <si>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</si>
  <si>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</si>
  <si>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</si>
  <si>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</si>
  <si>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</si>
  <si>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</si>
  <si>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</si>
  <si>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</si>
  <si>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</si>
  <si>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</si>
  <si>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</si>
  <si>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</si>
  <si>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</si>
  <si>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</si>
  <si>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</si>
  <si>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</si>
  <si>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</si>
  <si>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</si>
  <si>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</si>
  <si>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</si>
  <si>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</si>
  <si>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</si>
  <si>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</si>
  <si>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</si>
  <si>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</si>
  <si>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</si>
  <si>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</si>
  <si>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</si>
  <si>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</si>
  <si>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</si>
  <si>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</si>
  <si>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</si>
  <si>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</si>
  <si>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</si>
  <si>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</si>
  <si>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</si>
  <si>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</si>
  <si>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</si>
  <si>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</si>
  <si>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</si>
  <si>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</si>
  <si>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</si>
  <si>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</si>
  <si>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</si>
  <si>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</si>
  <si>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</si>
  <si>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</si>
  <si>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</si>
  <si>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</si>
  <si>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</si>
  <si>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</si>
  <si>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</si>
  <si>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</si>
  <si>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</si>
  <si>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</si>
  <si>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</si>
  <si>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</si>
  <si>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</si>
  <si>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</si>
  <si>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</si>
  <si>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</si>
  <si>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</si>
  <si>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</si>
  <si>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</si>
  <si>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</si>
  <si>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</si>
  <si>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</si>
  <si>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</si>
  <si>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</si>
  <si>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</si>
  <si>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</si>
  <si>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</si>
  <si>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</si>
  <si>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</si>
  <si>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</si>
  <si>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</si>
  <si>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</si>
  <si>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</si>
  <si>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</si>
  <si>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</si>
  <si>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</si>
  <si>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</si>
  <si>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</si>
  <si>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</si>
  <si>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</si>
  <si>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</si>
  <si>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</si>
  <si>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</si>
  <si>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</si>
  <si>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</si>
  <si>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</si>
  <si>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</si>
  <si>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</si>
  <si>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</si>
  <si>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</si>
  <si>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</si>
  <si>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</si>
  <si>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</si>
  <si>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</si>
  <si>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</si>
  <si>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</si>
  <si>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</si>
  <si>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</si>
  <si>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</si>
  <si>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</si>
  <si>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</si>
  <si>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</si>
  <si>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</si>
  <si>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</si>
  <si>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</si>
  <si>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</si>
  <si>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</si>
  <si>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</si>
  <si>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</si>
  <si>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</si>
  <si>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</si>
  <si>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</si>
  <si>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</si>
  <si>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</si>
  <si>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</si>
  <si>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</si>
  <si>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</si>
  <si>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</si>
  <si>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</si>
  <si>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</si>
  <si>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</si>
  <si>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</si>
  <si>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</si>
  <si>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</si>
  <si>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</si>
  <si>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</si>
  <si>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</si>
  <si>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</si>
  <si>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</si>
  <si>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</si>
  <si>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</si>
  <si>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</si>
  <si>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</si>
  <si>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</si>
  <si>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</si>
  <si>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</si>
  <si>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</si>
  <si>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</si>
  <si>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</si>
  <si>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</si>
  <si>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</si>
  <si>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</si>
  <si>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</si>
  <si>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</si>
  <si>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</si>
  <si>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</si>
  <si>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</si>
  <si>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</si>
  <si>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</si>
  <si>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</si>
  <si>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</si>
  <si>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</si>
  <si>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</si>
  <si>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</si>
  <si>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</si>
  <si>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</si>
  <si>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</si>
  <si>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</si>
  <si>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</si>
  <si>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</si>
  <si>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</si>
  <si>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</si>
  <si>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</si>
  <si>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</si>
  <si>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</si>
  <si>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</si>
  <si>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</si>
  <si>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</si>
  <si>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</si>
  <si>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</si>
  <si>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</si>
  <si>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</si>
  <si>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</si>
  <si>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</si>
  <si>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</si>
  <si>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</si>
  <si>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</si>
  <si>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</si>
  <si>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</si>
  <si>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</si>
  <si>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</si>
  <si>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</si>
  <si>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</si>
  <si>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</si>
  <si>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</si>
  <si>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</si>
  <si>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</si>
  <si>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</si>
  <si>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</si>
  <si>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</si>
  <si>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</si>
  <si>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</si>
  <si>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</si>
  <si>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</si>
  <si>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</si>
  <si>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</si>
  <si>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</si>
  <si>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</si>
  <si>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</si>
  <si>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</si>
  <si>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</si>
  <si>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</si>
  <si>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</si>
  <si>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</si>
  <si>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</si>
  <si>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</si>
  <si>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</si>
  <si>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</si>
  <si>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</si>
  <si>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</si>
  <si>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</si>
  <si>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</si>
  <si>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</si>
  <si>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</si>
  <si>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</si>
  <si>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</si>
  <si>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</si>
  <si>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</si>
  <si>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</si>
  <si>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</si>
  <si>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</si>
  <si>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</si>
  <si>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</si>
  <si>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</si>
  <si>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</si>
  <si>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</si>
  <si>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</si>
  <si>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</si>
  <si>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</si>
  <si>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</si>
  <si>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</si>
  <si>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</si>
  <si>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</si>
  <si>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</si>
  <si>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</si>
  <si>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</si>
  <si>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</si>
  <si>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</si>
  <si>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</si>
  <si>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</si>
  <si>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</si>
  <si>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</si>
  <si>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</si>
  <si>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</si>
  <si>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</si>
  <si>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</si>
  <si>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</si>
  <si>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</si>
  <si>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</si>
  <si>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</si>
  <si>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</si>
  <si>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</si>
  <si>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</si>
  <si>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</si>
  <si>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</si>
  <si>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</si>
  <si>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</si>
  <si>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</si>
  <si>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</si>
  <si>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</si>
  <si>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</si>
  <si>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</si>
  <si>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</si>
  <si>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</si>
  <si>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</si>
  <si>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</si>
  <si>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</si>
  <si>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</si>
  <si>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</si>
  <si>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</si>
  <si>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</si>
  <si>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</si>
  <si>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</si>
  <si>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</si>
  <si>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</si>
  <si>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</si>
  <si>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</si>
  <si>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</si>
  <si>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</si>
  <si>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</si>
  <si>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</si>
  <si>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</si>
  <si>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</si>
  <si>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</si>
  <si>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</si>
  <si>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</si>
  <si>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</si>
  <si>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</si>
  <si>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</si>
  <si>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</si>
  <si>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</si>
  <si>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</si>
  <si>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</si>
  <si>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</si>
  <si>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</si>
  <si>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</si>
  <si>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</si>
  <si>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</si>
  <si>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</si>
  <si>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</si>
  <si>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</si>
  <si>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</si>
  <si>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</si>
  <si>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</si>
  <si>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</si>
  <si>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</si>
  <si>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</si>
  <si>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</si>
  <si>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</si>
  <si>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</si>
  <si>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</si>
  <si>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</si>
  <si>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</si>
  <si>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</si>
  <si>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</si>
  <si>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</si>
  <si>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</si>
  <si>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</si>
  <si>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</si>
  <si>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</si>
  <si>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</si>
  <si>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</si>
  <si>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</si>
  <si>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</si>
  <si>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</si>
  <si>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</si>
  <si>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</si>
  <si>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</si>
  <si>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</si>
  <si>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</si>
  <si>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</si>
  <si>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</si>
  <si>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</si>
  <si>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</si>
  <si>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</si>
  <si>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</si>
  <si>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</si>
  <si>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</si>
  <si>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</si>
  <si>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</si>
  <si>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</si>
  <si>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</si>
  <si>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</si>
  <si>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</si>
  <si>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</si>
  <si>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</si>
  <si>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</si>
  <si>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</si>
  <si>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</si>
  <si>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</si>
  <si>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</si>
  <si>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</si>
  <si>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</si>
  <si>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</si>
  <si>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</si>
  <si>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</si>
  <si>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</si>
  <si>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</si>
  <si>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</si>
  <si>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</si>
  <si>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</si>
  <si>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</si>
  <si>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</si>
  <si>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</si>
  <si>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</si>
  <si>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</si>
  <si>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</si>
  <si>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</si>
  <si>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</si>
  <si>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</si>
  <si>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</si>
  <si>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</si>
  <si>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</si>
  <si>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</si>
  <si>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</si>
  <si>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</si>
  <si>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</si>
  <si>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</si>
  <si>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</si>
  <si>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</si>
  <si>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</si>
  <si>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</si>
  <si>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</si>
  <si>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</si>
  <si>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</si>
  <si>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</si>
  <si>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</si>
  <si>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</si>
  <si>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</si>
  <si>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</si>
  <si>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</si>
  <si>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</si>
  <si>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</si>
  <si>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</si>
  <si>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</si>
  <si>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</si>
  <si>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</si>
  <si>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</si>
  <si>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</si>
  <si>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</si>
  <si>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</si>
  <si>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</si>
  <si>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</si>
  <si>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</si>
  <si>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</si>
  <si>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</si>
  <si>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</si>
  <si>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</si>
  <si>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</si>
  <si>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</si>
  <si>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</si>
  <si>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</si>
  <si>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</si>
  <si>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</si>
  <si>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</si>
  <si>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</si>
  <si>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</si>
  <si>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</si>
  <si>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</si>
  <si>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</si>
  <si>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</si>
  <si>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</si>
  <si>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</si>
  <si>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</si>
  <si>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</si>
  <si>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</si>
  <si>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</si>
  <si>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</si>
  <si>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</si>
  <si>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</si>
  <si>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</si>
  <si>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</si>
  <si>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</si>
  <si>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</si>
  <si>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</si>
  <si>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</si>
  <si>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</si>
  <si>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</si>
  <si>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</si>
  <si>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</si>
  <si>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</si>
  <si>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</si>
  <si>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</si>
  <si>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</si>
  <si>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</si>
  <si>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</si>
  <si>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</si>
  <si>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</si>
  <si>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</si>
  <si>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</si>
  <si>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</si>
  <si>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</si>
  <si>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</si>
  <si>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</si>
  <si>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</si>
  <si>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</si>
  <si>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</si>
  <si>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</si>
  <si>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</si>
  <si>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</si>
  <si>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</si>
  <si>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</si>
  <si>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</si>
  <si>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</si>
  <si>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</si>
  <si>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</si>
  <si>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</si>
  <si>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</si>
  <si>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</si>
  <si>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</si>
  <si>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</si>
  <si>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</si>
  <si>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</si>
  <si>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</si>
  <si>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</si>
  <si>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</si>
  <si>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</si>
  <si>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</si>
  <si>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</si>
  <si>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</si>
  <si>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</si>
  <si>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</si>
  <si>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</si>
  <si>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</si>
  <si>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</si>
  <si>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</si>
  <si>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</si>
  <si>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</si>
  <si>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</si>
  <si>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</si>
  <si>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</si>
  <si>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</si>
  <si>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</si>
  <si>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</si>
  <si>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</si>
  <si>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</si>
  <si>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</si>
  <si>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</si>
  <si>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</si>
  <si>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</si>
  <si>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</si>
  <si>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</si>
  <si>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</si>
  <si>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</si>
  <si>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</si>
  <si>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</si>
  <si>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</si>
  <si>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</si>
  <si>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</si>
  <si>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</si>
  <si>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</si>
  <si>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</si>
  <si>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</si>
  <si>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</si>
  <si>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</si>
  <si>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</si>
  <si>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</si>
  <si>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</si>
  <si>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</si>
  <si>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</si>
  <si>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</si>
  <si>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</si>
  <si>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</si>
  <si>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</si>
  <si>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</si>
  <si>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</si>
  <si>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</si>
  <si>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</si>
  <si>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</si>
  <si>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</si>
  <si>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</si>
  <si>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</si>
  <si>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</si>
  <si>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</si>
  <si>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</si>
  <si>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</si>
  <si>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</si>
  <si>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</si>
  <si>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</si>
  <si>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</si>
  <si>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</si>
  <si>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</si>
  <si>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</si>
  <si>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</si>
  <si>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</si>
  <si>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</si>
  <si>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</si>
  <si>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</si>
  <si>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</si>
  <si>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</si>
  <si>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</si>
  <si>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</si>
  <si>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</si>
  <si>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</si>
  <si>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</si>
  <si>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</si>
  <si>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</si>
  <si>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</si>
  <si>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</si>
  <si>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</si>
  <si>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</si>
  <si>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</si>
  <si>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</si>
  <si>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</si>
  <si>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</si>
  <si>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</si>
  <si>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</si>
  <si>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</si>
  <si>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</si>
  <si>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</si>
  <si>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</si>
  <si>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</si>
  <si>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</si>
  <si>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</si>
  <si>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</si>
  <si>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</si>
  <si>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</si>
  <si>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</si>
  <si>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</si>
  <si>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</si>
  <si>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</si>
  <si>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</si>
  <si>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</si>
  <si>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</si>
  <si>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</si>
  <si>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</si>
  <si>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</si>
  <si>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</si>
  <si>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</si>
  <si>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</si>
  <si>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</si>
  <si>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</si>
  <si>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</si>
  <si>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</si>
  <si>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</si>
  <si>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</si>
  <si>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</si>
  <si>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</si>
  <si>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</si>
  <si>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</si>
  <si>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</si>
  <si>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</si>
  <si>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</si>
  <si>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</si>
  <si>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</si>
  <si>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</si>
  <si>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</si>
  <si>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</si>
  <si>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</si>
  <si>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</si>
  <si>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</si>
  <si>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</si>
  <si>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</si>
  <si>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</si>
  <si>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</si>
  <si>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</si>
  <si>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</si>
  <si>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</si>
  <si>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</si>
  <si>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</si>
  <si>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</si>
  <si>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</si>
  <si>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</si>
  <si>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</si>
  <si>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</si>
  <si>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</si>
  <si>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</si>
  <si>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</si>
  <si>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</si>
  <si>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</si>
  <si>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</si>
  <si>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</si>
  <si>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</si>
  <si>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</si>
  <si>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</si>
  <si>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</si>
  <si>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</si>
  <si>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</si>
  <si>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</si>
  <si>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</si>
  <si>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</si>
  <si>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</si>
  <si>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</si>
  <si>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</si>
  <si>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</si>
  <si>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</si>
  <si>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</si>
  <si>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</si>
  <si>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</si>
  <si>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</si>
  <si>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</si>
  <si>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</si>
  <si>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</si>
  <si>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</si>
  <si>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</si>
  <si>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</si>
  <si>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</si>
  <si>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</si>
  <si>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</si>
  <si>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</si>
  <si>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</si>
  <si>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</si>
  <si>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</si>
  <si>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</si>
  <si>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</si>
  <si>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</si>
  <si>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</si>
  <si>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</si>
  <si>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</si>
  <si>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</si>
  <si>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</si>
  <si>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</si>
  <si>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</si>
  <si>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</si>
  <si>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</si>
  <si>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</si>
  <si>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</si>
  <si>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</si>
  <si>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</si>
  <si>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</si>
  <si>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</si>
  <si>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</si>
  <si>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</si>
  <si>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</si>
  <si>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</si>
  <si>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</si>
  <si>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</si>
  <si>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</si>
  <si>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</si>
  <si>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</si>
  <si>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</si>
  <si>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</si>
  <si>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</si>
  <si>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</si>
  <si>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</si>
  <si>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</si>
  <si>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</si>
  <si>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</si>
  <si>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</si>
  <si>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</si>
  <si>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</si>
  <si>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</si>
  <si>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</si>
  <si>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</si>
  <si>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</si>
  <si>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</si>
  <si>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</si>
  <si>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</si>
  <si>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</si>
  <si>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</si>
  <si>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</si>
  <si>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</si>
  <si>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</si>
  <si>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</si>
  <si>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</si>
  <si>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</si>
  <si>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</si>
  <si>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</si>
  <si>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</si>
  <si>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</si>
  <si>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</si>
  <si>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</si>
  <si>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</si>
  <si>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</si>
  <si>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</si>
  <si>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</si>
  <si>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</si>
  <si>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</si>
  <si>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</si>
  <si>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</si>
  <si>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</si>
  <si>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</si>
  <si>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</si>
  <si>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</si>
  <si>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</si>
  <si>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</si>
  <si>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</si>
  <si>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</si>
  <si>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</si>
  <si>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</si>
  <si>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</si>
  <si>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</si>
  <si>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</si>
  <si>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</si>
  <si>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</si>
  <si>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</si>
  <si>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</si>
  <si>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</si>
  <si>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</si>
  <si>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</si>
  <si>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</si>
  <si>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</si>
  <si>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</si>
  <si>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</si>
  <si>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</si>
  <si>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</si>
  <si>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</si>
  <si>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</si>
  <si>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</si>
  <si>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</si>
  <si>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</si>
  <si>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</si>
  <si>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</si>
  <si>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</si>
  <si>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</si>
  <si>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</si>
  <si>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</si>
  <si>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</si>
  <si>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</si>
  <si>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</si>
  <si>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</si>
  <si>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</si>
  <si>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</si>
  <si>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</si>
  <si>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</si>
  <si>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</si>
  <si>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</si>
  <si>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</si>
  <si>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</si>
  <si>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</si>
  <si>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</si>
  <si>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</si>
  <si>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</si>
  <si>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</si>
  <si>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</si>
  <si>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</si>
  <si>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</si>
  <si>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</si>
  <si>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</si>
  <si>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</si>
  <si>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</si>
  <si>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</si>
  <si>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</si>
  <si>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</si>
  <si>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</si>
  <si>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</si>
  <si>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</si>
  <si>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</si>
  <si>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</si>
  <si>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</si>
  <si>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</si>
  <si>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</si>
  <si>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</si>
  <si>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</si>
  <si>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</si>
  <si>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</si>
  <si>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</si>
  <si>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</si>
  <si>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</si>
  <si>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</si>
  <si>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</si>
  <si>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</si>
  <si>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</si>
  <si>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</si>
  <si>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</si>
  <si>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</si>
  <si>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</si>
  <si>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</si>
  <si>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</si>
  <si>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</si>
  <si>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</si>
  <si>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</si>
  <si>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</si>
  <si>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</si>
  <si>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</si>
  <si>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</si>
  <si>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</si>
  <si>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</si>
  <si>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</si>
  <si>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</si>
  <si>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</si>
  <si>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</si>
  <si>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</si>
  <si>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</si>
  <si>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</si>
  <si>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</si>
  <si>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</si>
  <si>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</si>
  <si>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</si>
  <si>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</si>
  <si>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</si>
  <si>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</si>
  <si>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</si>
  <si>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</si>
  <si>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</si>
  <si>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</si>
  <si>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</si>
  <si>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</si>
  <si>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</si>
  <si>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</si>
  <si>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</si>
  <si>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</si>
  <si>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</si>
  <si>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</si>
  <si>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</si>
  <si>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</si>
  <si>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</si>
  <si>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</si>
  <si>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</si>
  <si>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</si>
  <si>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</si>
  <si>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</si>
  <si>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</si>
  <si>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</si>
  <si>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</si>
  <si>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</si>
  <si>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</si>
  <si>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</si>
  <si>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</si>
  <si>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</si>
  <si>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</si>
  <si>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</si>
  <si>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</si>
  <si>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</si>
  <si>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</si>
  <si>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</si>
  <si>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</si>
  <si>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</si>
  <si>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</si>
  <si>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</si>
  <si>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</si>
  <si>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</si>
  <si>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</si>
  <si>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</si>
  <si>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</si>
  <si>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</si>
  <si>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</si>
  <si>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</si>
  <si>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</si>
  <si>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</si>
  <si>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</si>
  <si>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</si>
  <si>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</si>
  <si>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</si>
  <si>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</si>
  <si>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</si>
  <si>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</si>
  <si>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</si>
  <si>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</si>
  <si>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</si>
  <si>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</si>
  <si>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</si>
  <si>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</si>
  <si>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</si>
  <si>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</si>
  <si>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</si>
  <si>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</si>
  <si>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</si>
  <si>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</si>
  <si>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</si>
  <si>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</si>
  <si>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</si>
  <si>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</si>
  <si>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</si>
  <si>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</si>
  <si>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</si>
  <si>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</si>
  <si>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</si>
  <si>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</si>
  <si>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</si>
  <si>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</si>
  <si>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</si>
  <si>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</si>
  <si>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</si>
  <si>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</si>
  <si>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</si>
  <si>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</si>
  <si>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</si>
  <si>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</si>
  <si>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</si>
  <si>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</si>
  <si>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</si>
  <si>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</si>
  <si>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</si>
  <si>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</si>
  <si>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</si>
  <si>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</si>
  <si>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</si>
  <si>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</si>
  <si>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</si>
  <si>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</si>
  <si>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</si>
  <si>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</si>
  <si>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</si>
  <si>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</si>
  <si>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</si>
  <si>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</si>
  <si>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</si>
  <si>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</si>
  <si>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</si>
  <si>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</si>
  <si>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</si>
  <si>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</si>
  <si>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</si>
  <si>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</si>
  <si>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</si>
  <si>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</si>
  <si>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</si>
  <si>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</si>
  <si>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</si>
  <si>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</si>
  <si>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</si>
  <si>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</si>
  <si>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</si>
  <si>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</si>
  <si>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</si>
  <si>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</si>
  <si>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</si>
  <si>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</si>
  <si>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</si>
  <si>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</si>
  <si>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</si>
  <si>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</si>
  <si>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</si>
  <si>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</si>
  <si>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</si>
  <si>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</si>
  <si>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</si>
  <si>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</si>
  <si>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</si>
  <si>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</si>
  <si>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</si>
  <si>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</si>
  <si>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</si>
  <si>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</si>
  <si>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</si>
  <si>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</si>
  <si>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</si>
  <si>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</si>
  <si>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</si>
  <si>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</si>
  <si>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</si>
  <si>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</si>
  <si>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</si>
  <si>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</si>
  <si>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</si>
  <si>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</si>
  <si>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</si>
  <si>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</si>
  <si>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</si>
  <si>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</si>
  <si>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</si>
  <si>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</si>
  <si>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</si>
  <si>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</si>
  <si>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</si>
  <si>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</si>
  <si>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</si>
  <si>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</si>
  <si>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</si>
  <si>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</si>
  <si>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</si>
  <si>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</si>
  <si>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</si>
  <si>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</si>
  <si>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</si>
  <si>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</si>
  <si>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</si>
  <si>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</si>
  <si>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</si>
  <si>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</si>
  <si>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</si>
  <si>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</si>
  <si>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</si>
  <si>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</si>
  <si>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</si>
  <si>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</si>
  <si>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</si>
  <si>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</si>
  <si>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</si>
  <si>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</si>
  <si>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</si>
  <si>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</si>
  <si>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</si>
  <si>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</si>
  <si>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</si>
  <si>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</si>
  <si>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</si>
  <si>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</si>
  <si>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</si>
  <si>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</si>
  <si>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</si>
  <si>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</si>
  <si>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</si>
  <si>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</si>
  <si>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</si>
  <si>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</si>
  <si>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</si>
  <si>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</si>
  <si>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</si>
  <si>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</si>
  <si>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</si>
  <si>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</si>
  <si>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</si>
  <si>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</si>
  <si>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</si>
  <si>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</si>
  <si>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</si>
  <si>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</si>
  <si>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</si>
  <si>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</si>
  <si>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</si>
  <si>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</si>
  <si>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</si>
  <si>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</si>
  <si>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</si>
  <si>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</si>
  <si>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</si>
  <si>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</si>
  <si>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</si>
  <si>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</si>
  <si>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</si>
  <si>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</si>
  <si>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</si>
  <si>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</si>
  <si>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</si>
  <si>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</si>
  <si>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</si>
  <si>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</si>
  <si>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</si>
  <si>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</si>
  <si>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</si>
  <si>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</si>
  <si>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</si>
  <si>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</si>
  <si>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</si>
  <si>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</si>
  <si>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</si>
  <si>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</si>
  <si>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</si>
  <si>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</si>
  <si>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</si>
  <si>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</si>
  <si>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</si>
  <si>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</si>
  <si>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</si>
  <si>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</si>
  <si>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</si>
  <si>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</si>
  <si>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</si>
  <si>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</si>
  <si>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</si>
  <si>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</si>
  <si>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</si>
  <si>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</si>
  <si>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</si>
  <si>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</si>
  <si>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</si>
  <si>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</si>
  <si>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</si>
  <si>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</si>
  <si>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</si>
  <si>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</si>
  <si>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</si>
  <si>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</si>
  <si>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</si>
  <si>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</si>
  <si>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</si>
  <si>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</si>
  <si>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</si>
  <si>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</si>
  <si>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</si>
  <si>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</si>
  <si>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</si>
  <si>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</si>
  <si>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</si>
  <si>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</si>
  <si>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</si>
  <si>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</si>
  <si>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</si>
  <si>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</si>
  <si>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</si>
  <si>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</si>
  <si>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</si>
  <si>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</si>
  <si>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</si>
  <si>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</si>
  <si>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</si>
  <si>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</si>
  <si>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</si>
  <si>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</si>
  <si>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</si>
  <si>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</si>
  <si>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</si>
  <si>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</si>
  <si>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</si>
  <si>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</si>
  <si>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</si>
  <si>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</si>
  <si>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</si>
  <si>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</si>
  <si>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</si>
  <si>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</si>
  <si>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</si>
  <si>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</si>
  <si>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</si>
  <si>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</si>
  <si>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</si>
  <si>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</si>
  <si>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</si>
  <si>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</si>
  <si>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</si>
  <si>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</si>
  <si>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</si>
  <si>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</si>
  <si>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</si>
  <si>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</si>
  <si>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</si>
  <si>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</si>
  <si>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</si>
  <si>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</si>
  <si>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</si>
  <si>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</si>
  <si>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</si>
  <si>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</si>
  <si>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</si>
  <si>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</si>
  <si>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</si>
  <si>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</si>
  <si>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</si>
  <si>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</si>
  <si>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</si>
  <si>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</si>
  <si>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</si>
  <si>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</si>
  <si>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</si>
  <si>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</si>
  <si>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</si>
  <si>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</si>
  <si>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</si>
  <si>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</si>
  <si>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</si>
  <si>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</si>
  <si>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</si>
  <si>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</si>
  <si>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</si>
  <si>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</si>
  <si>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</si>
  <si>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</si>
  <si>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</si>
  <si>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</si>
  <si>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</si>
  <si>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</si>
  <si>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</si>
  <si>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</si>
  <si>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</si>
  <si>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</si>
  <si>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</si>
  <si>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</si>
  <si>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</si>
  <si>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</si>
  <si>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</si>
  <si>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</si>
  <si>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</si>
  <si>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</si>
  <si>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</si>
  <si>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</si>
  <si>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</si>
  <si>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</si>
  <si>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</si>
  <si>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</si>
  <si>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</si>
  <si>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</si>
  <si>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</si>
  <si>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</si>
  <si>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</si>
  <si>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</si>
  <si>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</si>
  <si>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</si>
  <si>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</si>
  <si>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</si>
  <si>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</si>
  <si>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</si>
  <si>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</si>
  <si>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</si>
  <si>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</si>
  <si>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</si>
  <si>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</si>
  <si>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</si>
  <si>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</si>
  <si>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</si>
  <si>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</si>
  <si>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</si>
  <si>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</si>
  <si>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</si>
  <si>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</si>
  <si>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</si>
  <si>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</si>
  <si>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</si>
  <si>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</si>
  <si>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</si>
  <si>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</si>
  <si>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</si>
  <si>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</si>
  <si>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</si>
  <si>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</si>
  <si>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</si>
  <si>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</si>
  <si>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</si>
  <si>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</si>
  <si>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</si>
  <si>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</si>
  <si>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</si>
  <si>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</si>
  <si>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</si>
  <si>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</si>
  <si>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</si>
  <si>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</si>
  <si>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</si>
  <si>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</si>
  <si>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</si>
  <si>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</si>
  <si>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</si>
  <si>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</si>
  <si>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</si>
  <si>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</si>
  <si>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</si>
  <si>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</si>
  <si>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</si>
  <si>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</si>
  <si>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</si>
  <si>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</si>
  <si>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</si>
  <si>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</si>
  <si>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</si>
  <si>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</si>
  <si>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</si>
  <si>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</si>
  <si>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</si>
  <si>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</si>
  <si>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</si>
  <si>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</si>
  <si>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</si>
  <si>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</si>
  <si>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</si>
  <si>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</si>
  <si>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</si>
  <si>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</si>
  <si>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</si>
  <si>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</si>
  <si>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</si>
  <si>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</si>
  <si>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</si>
  <si>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</si>
  <si>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</si>
  <si>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</si>
  <si>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</si>
  <si>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</si>
  <si>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</si>
  <si>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</si>
  <si>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</si>
  <si>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</si>
  <si>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</si>
  <si>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</si>
  <si>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</si>
  <si>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</si>
  <si>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</si>
  <si>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</si>
  <si>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</si>
  <si>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</si>
  <si>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</si>
  <si>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</si>
  <si>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</si>
  <si>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</si>
  <si>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</si>
  <si>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</si>
  <si>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</si>
  <si>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</si>
  <si>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</si>
  <si>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</si>
  <si>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</si>
  <si>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</si>
  <si>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</si>
  <si>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</si>
  <si>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</si>
  <si>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</si>
  <si>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</si>
  <si>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</si>
  <si>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</si>
  <si>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</si>
  <si>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</si>
  <si>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</si>
  <si>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</si>
  <si>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</si>
  <si>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</si>
  <si>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</si>
  <si>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</si>
  <si>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</si>
  <si>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</si>
  <si>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</si>
  <si>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</si>
  <si>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</si>
  <si>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</si>
  <si>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</si>
  <si>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</si>
  <si>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</si>
  <si>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</si>
  <si>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</si>
  <si>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</si>
  <si>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</si>
  <si>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</si>
  <si>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</si>
  <si>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</si>
  <si>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</si>
  <si>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</si>
  <si>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</si>
  <si>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</si>
  <si>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</si>
  <si>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</si>
  <si>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</si>
  <si>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</si>
  <si>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</si>
  <si>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</si>
  <si>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</si>
  <si>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</si>
  <si>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</si>
  <si>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</si>
  <si>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</si>
  <si>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</si>
  <si>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</si>
  <si>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</si>
  <si>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</si>
  <si>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</si>
  <si>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</si>
  <si>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</si>
  <si>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</si>
  <si>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</si>
  <si>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</si>
  <si>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</si>
  <si>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</si>
  <si>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</si>
  <si>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</si>
  <si>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</si>
  <si>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</si>
  <si>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</si>
  <si>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</si>
  <si>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</si>
  <si>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</si>
  <si>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</si>
  <si>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</si>
  <si>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</si>
  <si>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</si>
  <si>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</si>
  <si>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</si>
  <si>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</si>
  <si>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</si>
  <si>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</si>
  <si>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</si>
  <si>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</si>
  <si>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</si>
  <si>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</si>
  <si>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</si>
  <si>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</si>
  <si>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</si>
  <si>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</si>
  <si>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</si>
  <si>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</si>
  <si>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</si>
  <si>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</si>
  <si>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</si>
  <si>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</si>
  <si>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</si>
  <si>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</si>
  <si>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</si>
  <si>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</si>
  <si>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</si>
  <si>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</si>
  <si>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</si>
  <si>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</si>
  <si>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</si>
  <si>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</si>
  <si>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</si>
  <si>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</si>
  <si>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</si>
  <si>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</si>
  <si>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</si>
  <si>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</si>
  <si>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</si>
  <si>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</si>
  <si>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</si>
  <si>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</si>
  <si>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</si>
  <si>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</si>
  <si>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</si>
  <si>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</si>
  <si>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</si>
  <si>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</si>
  <si>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</si>
  <si>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</si>
  <si>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</si>
  <si>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</si>
  <si>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</si>
  <si>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</si>
  <si>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</si>
  <si>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</si>
  <si>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</si>
  <si>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</si>
  <si>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</si>
  <si>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</si>
  <si>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</si>
  <si>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</si>
  <si>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</si>
  <si>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</si>
  <si>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</si>
  <si>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</si>
  <si>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</si>
  <si>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</si>
  <si>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</si>
  <si>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</si>
  <si>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</si>
  <si>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</si>
  <si>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</si>
  <si>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</si>
  <si>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</si>
  <si>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</si>
  <si>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</si>
  <si>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</si>
  <si>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</si>
  <si>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</si>
  <si>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</si>
  <si>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</si>
  <si>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</si>
  <si>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</si>
  <si>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</si>
  <si>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</si>
  <si>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</si>
  <si>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</si>
  <si>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</si>
  <si>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</si>
  <si>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</si>
  <si>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</si>
  <si>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</si>
  <si>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</si>
  <si>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</si>
  <si>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</si>
  <si>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</si>
  <si>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</si>
  <si>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</si>
  <si>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</si>
  <si>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</si>
  <si>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</si>
  <si>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</si>
  <si>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</si>
  <si>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</si>
  <si>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</si>
  <si>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</si>
  <si>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</si>
  <si>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</si>
  <si>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</si>
  <si>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</si>
  <si>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</si>
  <si>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</si>
  <si>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</si>
  <si>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</si>
  <si>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</si>
  <si>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</si>
  <si>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</si>
  <si>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</si>
  <si>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</si>
  <si>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</si>
  <si>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</si>
  <si>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</si>
  <si>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</si>
  <si>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</si>
  <si>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</si>
  <si>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</si>
  <si>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</si>
  <si>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</si>
  <si>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</si>
  <si>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</si>
  <si>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</si>
  <si>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</si>
  <si>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</si>
  <si>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</si>
  <si>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</si>
  <si>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</si>
  <si>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</si>
  <si>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</si>
  <si>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</si>
  <si>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</si>
  <si>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</si>
  <si>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</si>
  <si>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</si>
  <si>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</si>
  <si>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</si>
  <si>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</si>
  <si>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</si>
  <si>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</si>
  <si>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</si>
  <si>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</si>
  <si>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</si>
  <si>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</si>
  <si>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</si>
  <si>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</si>
  <si>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</si>
  <si>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</si>
  <si>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</si>
  <si>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</si>
  <si>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</si>
  <si>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</si>
  <si>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</si>
  <si>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</si>
  <si>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</si>
  <si>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</si>
  <si>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</si>
  <si>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</si>
  <si>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</si>
  <si>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</si>
  <si>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</si>
  <si>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</si>
  <si>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</si>
  <si>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</si>
  <si>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</si>
  <si>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</si>
  <si>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</si>
  <si>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</si>
  <si>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</si>
  <si>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</si>
  <si>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</si>
  <si>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</si>
  <si>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</si>
  <si>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</si>
  <si>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</si>
  <si>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</si>
  <si>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</si>
  <si>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</si>
  <si>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</si>
  <si>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</si>
  <si>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</si>
  <si>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</si>
  <si>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</si>
  <si>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</si>
  <si>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</si>
  <si>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</si>
  <si>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</si>
  <si>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</si>
  <si>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</si>
  <si>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</si>
  <si>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</si>
  <si>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</si>
  <si>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</si>
  <si>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</si>
  <si>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</si>
  <si>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</si>
  <si>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</si>
  <si>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</si>
  <si>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</si>
  <si>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</si>
  <si>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</si>
  <si>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</si>
  <si>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</si>
  <si>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</si>
  <si>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</si>
  <si>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</si>
  <si>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</si>
  <si>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</si>
  <si>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</si>
  <si>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</si>
  <si>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</si>
  <si>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</si>
  <si>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</si>
  <si>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</si>
  <si>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</si>
  <si>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</si>
  <si>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</si>
  <si>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</si>
  <si>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</si>
  <si>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</si>
  <si>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</si>
  <si>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</si>
  <si>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</si>
  <si>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</si>
  <si>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</si>
  <si>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</si>
  <si>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</si>
  <si>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</si>
  <si>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</si>
  <si>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</si>
  <si>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</si>
  <si>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</si>
  <si>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</si>
  <si>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</si>
  <si>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</si>
  <si>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</si>
  <si>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</si>
  <si>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</si>
  <si>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</si>
  <si>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</si>
  <si>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</si>
  <si>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</si>
  <si>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</si>
  <si>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</si>
  <si>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</si>
  <si>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</si>
  <si>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</si>
  <si>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</si>
  <si>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</si>
  <si>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</si>
  <si>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</si>
  <si>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</si>
  <si>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</si>
  <si>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</si>
  <si>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</si>
  <si>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</si>
  <si>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</si>
  <si>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</si>
  <si>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</si>
  <si>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</si>
  <si>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</si>
  <si>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</si>
  <si>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</si>
  <si>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</si>
  <si>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</si>
  <si>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</si>
  <si>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</si>
  <si>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</si>
  <si>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</si>
  <si>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</si>
  <si>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</si>
  <si>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</si>
  <si>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</si>
  <si>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</si>
  <si>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</si>
  <si>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</si>
  <si>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</si>
  <si>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</si>
  <si>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</si>
  <si>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</si>
  <si>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</si>
  <si>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</si>
  <si>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</si>
  <si>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</si>
  <si>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</si>
  <si>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</si>
  <si>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</si>
  <si>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</si>
  <si>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</si>
  <si>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</si>
  <si>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</si>
  <si>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</si>
  <si>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</si>
  <si>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</si>
  <si>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</si>
  <si>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</si>
  <si>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</si>
  <si>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</si>
  <si>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</si>
  <si>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</si>
  <si>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</si>
  <si>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</si>
  <si>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</si>
  <si>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</si>
  <si>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</si>
  <si>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</si>
  <si>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</si>
  <si>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</si>
  <si>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</si>
  <si>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</si>
  <si>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</si>
  <si>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</si>
  <si>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</si>
  <si>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</si>
  <si>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</si>
  <si>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</si>
  <si>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</si>
  <si>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</si>
  <si>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</si>
  <si>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</si>
  <si>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</si>
  <si>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</si>
  <si>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</si>
  <si>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</si>
  <si>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</si>
  <si>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</si>
  <si>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</si>
  <si>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</si>
  <si>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</si>
  <si>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</si>
  <si>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</si>
  <si>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</si>
  <si>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</si>
  <si>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</si>
  <si>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</si>
  <si>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</si>
  <si>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</si>
  <si>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</si>
  <si>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</si>
  <si>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</si>
  <si>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</si>
  <si>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</si>
  <si>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</si>
  <si>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</si>
  <si>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</si>
  <si>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</si>
  <si>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</si>
  <si>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</si>
  <si>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</si>
  <si>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</si>
  <si>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</si>
  <si>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</si>
  <si>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</si>
  <si>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</si>
  <si>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</si>
  <si>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</si>
  <si>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</si>
  <si>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</si>
  <si>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</si>
  <si>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</si>
  <si>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</si>
  <si>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</si>
  <si>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</si>
  <si>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</si>
  <si>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</si>
  <si>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</si>
  <si>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</si>
  <si>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</si>
  <si>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</si>
  <si>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</si>
  <si>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</si>
  <si>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</si>
  <si>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</si>
  <si>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</si>
  <si>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</si>
  <si>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</si>
  <si>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</si>
  <si>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</si>
  <si>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</si>
  <si>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</si>
  <si>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</si>
  <si>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</si>
  <si>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</si>
  <si>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</si>
  <si>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</si>
  <si>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</si>
  <si>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</si>
  <si>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</si>
  <si>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</si>
  <si>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</si>
  <si>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</si>
  <si>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</si>
  <si>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</si>
  <si>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</si>
  <si>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</si>
  <si>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</si>
  <si>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</si>
  <si>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</si>
  <si>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</si>
  <si>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</si>
  <si>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</si>
  <si>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</si>
  <si>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</si>
  <si>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</si>
  <si>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</si>
  <si>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</si>
  <si>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</si>
  <si>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</si>
  <si>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</si>
  <si>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</si>
  <si>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</si>
  <si>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</si>
  <si>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</si>
  <si>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</si>
  <si>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</si>
  <si>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</si>
  <si>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</si>
  <si>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</si>
  <si>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</si>
  <si>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</si>
  <si>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</si>
  <si>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</si>
  <si>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</si>
  <si>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</si>
  <si>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</si>
  <si>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</si>
  <si>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</si>
  <si>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</si>
  <si>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</si>
  <si>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</si>
  <si>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</si>
  <si>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</si>
  <si>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</si>
  <si>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</si>
  <si>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</si>
  <si>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</si>
  <si>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</si>
  <si>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</si>
  <si>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</si>
  <si>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</si>
  <si>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</si>
  <si>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</si>
  <si>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</si>
  <si>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</si>
  <si>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</si>
  <si>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</si>
  <si>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</si>
  <si>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</si>
  <si>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</si>
  <si>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</si>
  <si>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</si>
  <si>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</si>
  <si>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</si>
  <si>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</si>
  <si>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</si>
  <si>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</si>
  <si>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</si>
  <si>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</si>
  <si>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</si>
  <si>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</si>
  <si>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</si>
  <si>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</si>
  <si>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</si>
  <si>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</si>
  <si>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</si>
  <si>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</si>
  <si>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</si>
  <si>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</si>
  <si>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</si>
  <si>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</si>
  <si>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</si>
  <si>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</si>
  <si>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</si>
  <si>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</si>
  <si>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</si>
  <si>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</si>
  <si>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</si>
  <si>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</si>
  <si>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</si>
  <si>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</si>
  <si>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</si>
  <si>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</si>
  <si>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</si>
  <si>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</si>
  <si>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</si>
  <si>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</si>
  <si>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</si>
  <si>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</si>
  <si>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</si>
  <si>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</si>
  <si>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</si>
  <si>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</si>
  <si>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</si>
  <si>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</si>
  <si>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</si>
  <si>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</si>
  <si>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</si>
  <si>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</si>
  <si>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</si>
  <si>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</si>
  <si>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</si>
  <si>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</si>
  <si>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</si>
  <si>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</si>
  <si>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</si>
  <si>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</si>
  <si>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</si>
  <si>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</si>
  <si>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</si>
  <si>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</si>
  <si>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</si>
  <si>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</si>
  <si>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</si>
  <si>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</si>
  <si>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</si>
  <si>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</si>
  <si>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</si>
  <si>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</si>
  <si>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</si>
  <si>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</si>
  <si>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</si>
  <si>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</si>
  <si>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</si>
  <si>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</si>
  <si>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</si>
  <si>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</si>
  <si>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</si>
  <si>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</si>
  <si>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</si>
  <si>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</si>
  <si>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</si>
  <si>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</si>
  <si>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</si>
  <si>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</si>
  <si>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</si>
  <si>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</si>
  <si>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</si>
  <si>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</si>
  <si>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</si>
  <si>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</si>
  <si>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</si>
  <si>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</si>
  <si>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</si>
  <si>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</si>
  <si>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</si>
  <si>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</si>
  <si>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</si>
  <si>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</si>
  <si>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</si>
  <si>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</si>
  <si>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</si>
  <si>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</si>
  <si>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</si>
  <si>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</si>
  <si>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</si>
  <si>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</si>
  <si>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</si>
  <si>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</si>
  <si>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</si>
  <si>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</si>
  <si>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</si>
  <si>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</si>
  <si>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</si>
  <si>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</si>
  <si>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</si>
  <si>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</si>
  <si>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</si>
  <si>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</si>
  <si>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</si>
  <si>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</si>
  <si>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</si>
  <si>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</si>
  <si>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</si>
  <si>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</si>
  <si>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</si>
  <si>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</si>
  <si>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</si>
  <si>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</si>
  <si>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</si>
  <si>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</si>
  <si>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</si>
  <si>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</si>
  <si>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</si>
  <si>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</si>
  <si>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</si>
  <si>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</si>
  <si>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</si>
  <si>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</si>
  <si>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</si>
  <si>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</si>
  <si>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</si>
  <si>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</si>
  <si>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</si>
  <si>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</si>
  <si>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</si>
  <si>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</si>
  <si>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</si>
  <si>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</si>
  <si>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</si>
  <si>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</si>
  <si>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</si>
  <si>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</si>
  <si>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</si>
  <si>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</si>
  <si>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</si>
  <si>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</si>
  <si>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</si>
  <si>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</si>
  <si>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</si>
  <si>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</si>
  <si>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</si>
  <si>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</si>
  <si>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</si>
  <si>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</si>
  <si>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</si>
  <si>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</si>
  <si>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</si>
  <si>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</si>
  <si>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</si>
  <si>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</si>
  <si>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</si>
  <si>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</si>
  <si>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</si>
  <si>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</si>
  <si>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</si>
  <si>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</si>
  <si>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</si>
  <si>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</si>
  <si>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</si>
  <si>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</si>
  <si>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</si>
  <si>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</si>
  <si>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</si>
  <si>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</si>
  <si>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</si>
  <si>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</si>
  <si>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</si>
  <si>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</si>
  <si>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</si>
  <si>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</si>
  <si>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</si>
  <si>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</si>
  <si>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</si>
  <si>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</si>
  <si>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</si>
  <si>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</si>
  <si>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</si>
  <si>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</si>
  <si>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</si>
  <si>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</si>
  <si>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</si>
  <si>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</si>
  <si>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</si>
  <si>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</si>
  <si>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</si>
  <si>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</si>
  <si>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</si>
  <si>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</si>
  <si>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</si>
  <si>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</si>
  <si>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</si>
  <si>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</si>
  <si>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</si>
  <si>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</si>
  <si>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</si>
  <si>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</si>
  <si>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</si>
  <si>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</si>
  <si>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</si>
  <si>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</si>
  <si>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</si>
  <si>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</si>
  <si>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</si>
  <si>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</si>
  <si>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</si>
  <si>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</si>
  <si>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</si>
  <si>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</si>
  <si>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</si>
  <si>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</si>
  <si>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</si>
  <si>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</si>
  <si>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</si>
  <si>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</si>
  <si>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</si>
  <si>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</si>
  <si>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</si>
  <si>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</si>
  <si>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</si>
  <si>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</si>
  <si>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</si>
  <si>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</si>
  <si>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</si>
  <si>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</si>
  <si>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</si>
  <si>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</si>
  <si>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</si>
  <si>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</si>
  <si>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</si>
  <si>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</si>
  <si>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</si>
  <si>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</si>
  <si>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</si>
  <si>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</si>
  <si>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</si>
  <si>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</si>
  <si>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</si>
  <si>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</si>
  <si>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</si>
  <si>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</si>
  <si>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</si>
  <si>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</si>
  <si>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</si>
  <si>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</si>
  <si>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</si>
  <si>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</si>
  <si>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</si>
  <si>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</si>
  <si>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</si>
  <si>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</si>
  <si>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</si>
  <si>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</si>
  <si>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</si>
  <si>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</si>
  <si>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</si>
  <si>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</si>
  <si>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</si>
  <si>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</si>
  <si>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</si>
  <si>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</si>
  <si>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</si>
  <si>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</si>
  <si>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</si>
  <si>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</si>
  <si>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</si>
  <si>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</si>
  <si>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</si>
  <si>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</si>
  <si>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</si>
  <si>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</si>
  <si>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</si>
  <si>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</si>
  <si>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</si>
  <si>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</si>
  <si>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</si>
  <si>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</si>
  <si>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</si>
  <si>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</si>
  <si>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</si>
  <si>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</si>
  <si>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</si>
  <si>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</si>
  <si>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</si>
  <si>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</si>
  <si>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</si>
  <si>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</si>
  <si>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</si>
  <si>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</si>
  <si>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</si>
  <si>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</si>
  <si>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</si>
  <si>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</si>
  <si>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</si>
  <si>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</si>
  <si>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</si>
  <si>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</si>
  <si>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</si>
  <si>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</si>
  <si>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</si>
  <si>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</si>
  <si>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</si>
  <si>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</si>
  <si>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</si>
  <si>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</si>
  <si>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</si>
  <si>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</si>
  <si>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</si>
  <si>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</si>
  <si>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</si>
  <si>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</si>
  <si>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</si>
  <si>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</si>
  <si>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</si>
  <si>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</si>
  <si>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</si>
  <si>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</si>
  <si>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</si>
  <si>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</si>
  <si>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</si>
  <si>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</si>
  <si>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</si>
  <si>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</si>
  <si>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</si>
  <si>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</si>
  <si>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</si>
  <si>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</si>
  <si>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</si>
  <si>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</si>
  <si>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</si>
  <si>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</si>
  <si>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</si>
  <si>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</si>
  <si>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</si>
  <si>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</si>
  <si>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</si>
  <si>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</si>
  <si>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</si>
  <si>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</si>
  <si>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</si>
  <si>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</si>
  <si>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</si>
  <si>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</si>
  <si>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</si>
  <si>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</si>
  <si>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</si>
  <si>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</si>
  <si>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</si>
  <si>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</si>
  <si>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</si>
  <si>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</si>
  <si>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</si>
  <si>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</si>
  <si>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</si>
  <si>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</si>
  <si>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</si>
  <si>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</si>
  <si>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</si>
  <si>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</si>
  <si>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</si>
  <si>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</si>
  <si>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</si>
  <si>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</si>
  <si>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</si>
  <si>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</si>
  <si>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</si>
  <si>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</si>
  <si>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</si>
  <si>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</si>
  <si>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</si>
  <si>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</si>
  <si>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</si>
  <si>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</si>
  <si>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</si>
  <si>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</si>
  <si>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</si>
  <si>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</si>
  <si>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</si>
  <si>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</si>
  <si>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</si>
  <si>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</si>
  <si>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</si>
  <si>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</si>
  <si>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</si>
  <si>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</si>
  <si>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</si>
  <si>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</si>
  <si>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</si>
  <si>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</si>
  <si>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</si>
  <si>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</si>
  <si>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</si>
  <si>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</si>
  <si>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</si>
  <si>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</si>
  <si>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</si>
  <si>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</si>
  <si>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</si>
  <si>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</si>
  <si>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</si>
  <si>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</si>
  <si>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</si>
  <si>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</si>
  <si>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</si>
  <si>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</si>
  <si>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</si>
  <si>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</si>
  <si>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</si>
  <si>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</si>
  <si>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</si>
  <si>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</si>
  <si>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</si>
  <si>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</si>
  <si>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</si>
  <si>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</si>
  <si>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</si>
  <si>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</si>
  <si>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</si>
  <si>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</si>
  <si>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</si>
  <si>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</si>
  <si>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</si>
  <si>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</si>
  <si>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</si>
  <si>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</si>
  <si>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</si>
  <si>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</si>
  <si>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</si>
  <si>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</si>
  <si>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</si>
  <si>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</si>
  <si>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</si>
  <si>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</si>
  <si>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</si>
  <si>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</si>
  <si>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</si>
  <si>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</si>
  <si>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</si>
  <si>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</si>
  <si>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</si>
  <si>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</si>
  <si>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</si>
  <si>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</si>
  <si>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</si>
  <si>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</si>
  <si>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</si>
  <si>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</si>
  <si>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</si>
  <si>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</si>
  <si>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</si>
  <si>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</si>
  <si>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</si>
  <si>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</si>
  <si>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</si>
  <si>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</si>
  <si>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</si>
  <si>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</si>
  <si>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</si>
  <si>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</si>
  <si>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</si>
  <si>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</si>
  <si>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</si>
  <si>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</si>
  <si>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</si>
  <si>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</si>
  <si>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</si>
  <si>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</si>
  <si>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</si>
  <si>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</si>
  <si>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</si>
  <si>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</si>
  <si>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</si>
  <si>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</si>
  <si>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</si>
  <si>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</si>
  <si>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</si>
  <si>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</si>
  <si>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</si>
  <si>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</si>
  <si>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</si>
  <si>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</si>
  <si>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</si>
  <si>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</si>
  <si>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</si>
  <si>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</si>
  <si>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</si>
  <si>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</si>
  <si>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</si>
  <si>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</si>
  <si>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</si>
  <si>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</si>
  <si>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</si>
  <si>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</si>
  <si>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</si>
  <si>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</si>
  <si>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</si>
  <si>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</si>
  <si>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</si>
  <si>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</si>
  <si>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</si>
  <si>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</si>
  <si>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</si>
  <si>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</si>
  <si>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</si>
  <si>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</si>
  <si>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</si>
  <si>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</si>
  <si>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</si>
  <si>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</si>
  <si>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</si>
  <si>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</si>
  <si>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</si>
  <si>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</si>
  <si>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</si>
  <si>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</si>
  <si>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</si>
  <si>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</si>
  <si>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</si>
  <si>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</si>
  <si>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</si>
  <si>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</si>
  <si>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</si>
  <si>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</si>
  <si>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</si>
  <si>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</si>
  <si>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</si>
  <si>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</si>
  <si>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</si>
  <si>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</si>
  <si>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</si>
  <si>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</si>
  <si>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Return On Equity</t>
  </si>
  <si>
    <t>Return On Equity(ROE)</t>
  </si>
  <si>
    <t>Average Shareholder Equity</t>
  </si>
  <si>
    <t>Net Profit Margin(A)</t>
  </si>
  <si>
    <t>Average Total Assets</t>
  </si>
  <si>
    <t>Asset Turnover Ratio(B)</t>
  </si>
  <si>
    <t>Financial Leverage(C)</t>
  </si>
  <si>
    <t>Return On Equity(A*B*C)</t>
  </si>
  <si>
    <t>Return On Asset(ROA)</t>
  </si>
  <si>
    <t>Return On Asset</t>
  </si>
  <si>
    <t>Return On Asset(A*B)</t>
  </si>
  <si>
    <t>Financial Summary</t>
  </si>
  <si>
    <t>ROE - Dupont Equation</t>
  </si>
  <si>
    <t>ROA - Dupont Analysis</t>
  </si>
  <si>
    <t>Altman's Z Score Analysis</t>
  </si>
  <si>
    <t>Working Capital/Total Assets</t>
  </si>
  <si>
    <t xml:space="preserve">Working Capital </t>
  </si>
  <si>
    <t>Retained Earnings/Total Assets</t>
  </si>
  <si>
    <t>EBIT/Total Assets</t>
  </si>
  <si>
    <t>Market cap/Long Term Liabilities</t>
  </si>
  <si>
    <t xml:space="preserve">Market Cap </t>
  </si>
  <si>
    <t>Long Term Liability</t>
  </si>
  <si>
    <t>Sales/Total Assets</t>
  </si>
  <si>
    <t xml:space="preserve">Sales </t>
  </si>
  <si>
    <t>Working Capital/Total Assets(A)</t>
  </si>
  <si>
    <t>Retained Earnings/Total Assets(B)</t>
  </si>
  <si>
    <t>EBIT/Total Assets(C)</t>
  </si>
  <si>
    <t>Market cap/Long Term Liabilities(D)</t>
  </si>
  <si>
    <t>Sales/Total Assets(E)</t>
  </si>
  <si>
    <t>Altman's Z Score</t>
  </si>
  <si>
    <t>Final Score</t>
  </si>
  <si>
    <t>Financial Stability</t>
  </si>
  <si>
    <t>Loans Advances</t>
  </si>
  <si>
    <t>Larsen &amp; Toubro Limited (L&amp;T) is an Indian multinational conglomerate headquartered in Mumbai. It operates in sectors including industrial technology, heavy industry, engineering, construction, manufacturing, power, information technology, defence, and financial services.
L&amp;T was founded in 1938 in Bombay by Danish engineers Henning Holck-Larsen and Søren Kristian Toubro. As of 31 March 2022, the L&amp;T Group consisted of 93 subsidiaries, 5 associate companies, 27 joint ventures, and 35 joint operations. As of 1 October 2023, S N Subrahmanyan serves as the chairman and managing director of L&amp;T, having succeeded A M Naik.</t>
  </si>
  <si>
    <t>Rail Vikas</t>
  </si>
  <si>
    <t>IRB Infra.Devl.</t>
  </si>
  <si>
    <t>Cemindia Project</t>
  </si>
  <si>
    <t>Kalpataru Proj.</t>
  </si>
  <si>
    <t>Larsen &amp; Tourbo</t>
  </si>
  <si>
    <t>Preference Capital</t>
  </si>
  <si>
    <t>Ships Vessels</t>
  </si>
  <si>
    <t>Computers</t>
  </si>
  <si>
    <t>Railway sidings</t>
  </si>
  <si>
    <t>Borrowings -</t>
  </si>
  <si>
    <t>Other Liabilities -</t>
  </si>
  <si>
    <t>Fixed Assets -</t>
  </si>
  <si>
    <t>Other Assets -</t>
  </si>
  <si>
    <t>Trade receivables +</t>
  </si>
  <si>
    <t>Cash from Operating Activity -</t>
  </si>
  <si>
    <t>Cash from Investing Activity -</t>
  </si>
  <si>
    <t>Investment in group cos</t>
  </si>
  <si>
    <t>Cash from Financing Activity -</t>
  </si>
  <si>
    <t>Proceeds from shares</t>
  </si>
  <si>
    <t>Free Cash Flow</t>
  </si>
  <si>
    <t>CFO/OP</t>
  </si>
  <si>
    <t xml:space="preserve">10 Year -Daily </t>
  </si>
  <si>
    <t>07/30/2026</t>
  </si>
  <si>
    <t>07/29/2026</t>
  </si>
  <si>
    <t>07/28/2026</t>
  </si>
  <si>
    <t>07/27/2026</t>
  </si>
  <si>
    <t>07/24/2026</t>
  </si>
  <si>
    <t>07/23/2026</t>
  </si>
  <si>
    <t>07/22/2026</t>
  </si>
  <si>
    <t>07/21/2026</t>
  </si>
  <si>
    <t>07/20/2026</t>
  </si>
  <si>
    <t>07/17/2026</t>
  </si>
  <si>
    <t>07/16/2026</t>
  </si>
  <si>
    <t>07/15/2026</t>
  </si>
  <si>
    <t>07/14/2026</t>
  </si>
  <si>
    <t>07/13/2026</t>
  </si>
  <si>
    <t>06/30/2026</t>
  </si>
  <si>
    <t>06/29/2026</t>
  </si>
  <si>
    <t>06/25/2026</t>
  </si>
  <si>
    <t>06/24/2026</t>
  </si>
  <si>
    <t>06/23/2026</t>
  </si>
  <si>
    <t>06/22/2026</t>
  </si>
  <si>
    <t>06/19/2026</t>
  </si>
  <si>
    <t>06/18/2026</t>
  </si>
  <si>
    <t>06/17/2026</t>
  </si>
  <si>
    <t>06/16/2026</t>
  </si>
  <si>
    <t>06/15/2026</t>
  </si>
  <si>
    <t>05/29/2026</t>
  </si>
  <si>
    <t>05/27/2026</t>
  </si>
  <si>
    <t>05/26/2026</t>
  </si>
  <si>
    <t>05/25/2026</t>
  </si>
  <si>
    <t>05/22/2026</t>
  </si>
  <si>
    <t>05/21/2026</t>
  </si>
  <si>
    <t>05/20/2026</t>
  </si>
  <si>
    <t>05/19/2026</t>
  </si>
  <si>
    <t>05/18/2026</t>
  </si>
  <si>
    <t>05/15/2026</t>
  </si>
  <si>
    <t>05/14/2026</t>
  </si>
  <si>
    <t>05/13/2026</t>
  </si>
  <si>
    <t>04/30/2026</t>
  </si>
  <si>
    <t>04/29/2026</t>
  </si>
  <si>
    <t>04/28/2026</t>
  </si>
  <si>
    <t>04/27/2026</t>
  </si>
  <si>
    <t>04/24/2026</t>
  </si>
  <si>
    <t>04/23/2026</t>
  </si>
  <si>
    <t>04/22/2026</t>
  </si>
  <si>
    <t>04/21/2026</t>
  </si>
  <si>
    <t>04/20/2026</t>
  </si>
  <si>
    <t>04/17/2026</t>
  </si>
  <si>
    <t>04/16/2026</t>
  </si>
  <si>
    <t>04/15/2026</t>
  </si>
  <si>
    <t>04/13/2026</t>
  </si>
  <si>
    <t>03/30/2026</t>
  </si>
  <si>
    <t>03/27/2026</t>
  </si>
  <si>
    <t>03/25/2026</t>
  </si>
  <si>
    <t>03/24/2026</t>
  </si>
  <si>
    <t>03/23/2026</t>
  </si>
  <si>
    <t>03/20/2026</t>
  </si>
  <si>
    <t>03/19/2026</t>
  </si>
  <si>
    <t>03/18/2026</t>
  </si>
  <si>
    <t>03/17/2026</t>
  </si>
  <si>
    <t>03/16/2026</t>
  </si>
  <si>
    <t>03/13/2026</t>
  </si>
  <si>
    <t>02/27/2026</t>
  </si>
  <si>
    <t>02/26/2026</t>
  </si>
  <si>
    <t>02/25/2026</t>
  </si>
  <si>
    <t>02/24/2026</t>
  </si>
  <si>
    <t>02/23/2026</t>
  </si>
  <si>
    <t>02/20/2026</t>
  </si>
  <si>
    <t>02/19/2026</t>
  </si>
  <si>
    <t>02/18/2026</t>
  </si>
  <si>
    <t>02/17/2026</t>
  </si>
  <si>
    <t>02/16/2026</t>
  </si>
  <si>
    <t>02/13/2026</t>
  </si>
  <si>
    <t>01/30/2026</t>
  </si>
  <si>
    <t>01/29/2026</t>
  </si>
  <si>
    <t>01/28/2026</t>
  </si>
  <si>
    <t>01/27/2026</t>
  </si>
  <si>
    <t>01/23/2026</t>
  </si>
  <si>
    <t>01/22/2026</t>
  </si>
  <si>
    <t>01/21/2026</t>
  </si>
  <si>
    <t>01/20/2026</t>
  </si>
  <si>
    <t>01/19/2026</t>
  </si>
  <si>
    <t>01/16/2026</t>
  </si>
  <si>
    <t>01/14/2026</t>
  </si>
  <si>
    <t>01/13/2026</t>
  </si>
  <si>
    <t>12/31/2025</t>
  </si>
  <si>
    <t>12/30/2025</t>
  </si>
  <si>
    <t>12/29/2025</t>
  </si>
  <si>
    <t>12/26/2025</t>
  </si>
  <si>
    <t>12/24/2025</t>
  </si>
  <si>
    <t>12/23/2025</t>
  </si>
  <si>
    <t>12/22/2025</t>
  </si>
  <si>
    <t>12/19/2025</t>
  </si>
  <si>
    <t>12/18/2025</t>
  </si>
  <si>
    <t>12/17/2025</t>
  </si>
  <si>
    <t>12/16/2025</t>
  </si>
  <si>
    <t>12/15/2025</t>
  </si>
  <si>
    <t>11/28/2025</t>
  </si>
  <si>
    <t>11/27/2025</t>
  </si>
  <si>
    <t>11/26/2025</t>
  </si>
  <si>
    <t>11/25/2025</t>
  </si>
  <si>
    <t>11/24/2025</t>
  </si>
  <si>
    <t>11/21/2025</t>
  </si>
  <si>
    <t>11/20/2025</t>
  </si>
  <si>
    <t>11/19/2025</t>
  </si>
  <si>
    <t>11/18/2025</t>
  </si>
  <si>
    <t>11/17/2025</t>
  </si>
  <si>
    <t>11/14/2025</t>
  </si>
  <si>
    <t>11/13/2025</t>
  </si>
  <si>
    <t>10/31/2025</t>
  </si>
  <si>
    <t>10/30/2025</t>
  </si>
  <si>
    <t>10/29/2025</t>
  </si>
  <si>
    <t>10/28/2025</t>
  </si>
  <si>
    <t>10/27/2025</t>
  </si>
  <si>
    <t>10/24/2025</t>
  </si>
  <si>
    <t>10/23/2025</t>
  </si>
  <si>
    <t>10/21/2025</t>
  </si>
  <si>
    <t>10/20/2025</t>
  </si>
  <si>
    <t>10/17/2025</t>
  </si>
  <si>
    <t>10/16/2025</t>
  </si>
  <si>
    <t>10/15/2025</t>
  </si>
  <si>
    <t>10/14/2025</t>
  </si>
  <si>
    <t>10/13/2025</t>
  </si>
  <si>
    <t>09/30/2025</t>
  </si>
  <si>
    <t>09/29/2025</t>
  </si>
  <si>
    <t>09/26/2025</t>
  </si>
  <si>
    <t>09/25/2025</t>
  </si>
  <si>
    <t>09/24/2025</t>
  </si>
  <si>
    <t>09/23/2025</t>
  </si>
  <si>
    <t>09/22/2025</t>
  </si>
  <si>
    <t>09/19/2025</t>
  </si>
  <si>
    <t>09/18/2025</t>
  </si>
  <si>
    <t>09/17/2025</t>
  </si>
  <si>
    <t>09/16/2025</t>
  </si>
  <si>
    <t>09/15/2025</t>
  </si>
  <si>
    <t>08/29/2025</t>
  </si>
  <si>
    <t>08/28/2025</t>
  </si>
  <si>
    <t>08/26/2025</t>
  </si>
  <si>
    <t>08/25/2025</t>
  </si>
  <si>
    <t>08/22/2025</t>
  </si>
  <si>
    <t>08/21/2025</t>
  </si>
  <si>
    <t>08/20/2025</t>
  </si>
  <si>
    <t>08/19/2025</t>
  </si>
  <si>
    <t>08/18/2025</t>
  </si>
  <si>
    <t>08/14/2025</t>
  </si>
  <si>
    <t>08/13/2025</t>
  </si>
  <si>
    <t>07/31/2025</t>
  </si>
  <si>
    <t>07/30/2025</t>
  </si>
  <si>
    <t>07/29/2025</t>
  </si>
  <si>
    <t>07/28/2025</t>
  </si>
  <si>
    <t>07/25/2025</t>
  </si>
  <si>
    <t>07/24/2025</t>
  </si>
  <si>
    <t>07/23/2025</t>
  </si>
  <si>
    <t>07/22/2025</t>
  </si>
  <si>
    <t>07/21/2025</t>
  </si>
  <si>
    <t>07/18/2025</t>
  </si>
  <si>
    <t>07/17/2025</t>
  </si>
  <si>
    <t>07/16/2025</t>
  </si>
  <si>
    <t>07/15/2025</t>
  </si>
  <si>
    <t>07/14/2025</t>
  </si>
  <si>
    <t>06/30/2025</t>
  </si>
  <si>
    <t>06/27/2025</t>
  </si>
  <si>
    <t>06/26/2025</t>
  </si>
  <si>
    <t>06/25/2025</t>
  </si>
  <si>
    <t>06/24/2025</t>
  </si>
  <si>
    <t>06/23/2025</t>
  </si>
  <si>
    <t>06/20/2025</t>
  </si>
  <si>
    <t>06/19/2025</t>
  </si>
  <si>
    <t>06/18/2025</t>
  </si>
  <si>
    <t>06/17/2025</t>
  </si>
  <si>
    <t>06/16/2025</t>
  </si>
  <si>
    <t>06/13/2025</t>
  </si>
  <si>
    <t>05/30/2025</t>
  </si>
  <si>
    <t>05/29/2025</t>
  </si>
  <si>
    <t>05/28/2025</t>
  </si>
  <si>
    <t>05/27/2025</t>
  </si>
  <si>
    <t>05/26/2025</t>
  </si>
  <si>
    <t>05/23/2025</t>
  </si>
  <si>
    <t>05/22/2025</t>
  </si>
  <si>
    <t>05/21/2025</t>
  </si>
  <si>
    <t>05/20/2025</t>
  </si>
  <si>
    <t>05/19/2025</t>
  </si>
  <si>
    <t>05/16/2025</t>
  </si>
  <si>
    <t>05/15/2025</t>
  </si>
  <si>
    <t>05/14/2025</t>
  </si>
  <si>
    <t>05/13/2025</t>
  </si>
  <si>
    <t>04/30/2025</t>
  </si>
  <si>
    <t>04/29/2025</t>
  </si>
  <si>
    <t>04/28/2025</t>
  </si>
  <si>
    <t>04/25/2025</t>
  </si>
  <si>
    <t>04/24/2025</t>
  </si>
  <si>
    <t>04/23/2025</t>
  </si>
  <si>
    <t>04/22/2025</t>
  </si>
  <si>
    <t>04/21/2025</t>
  </si>
  <si>
    <t>04/17/2025</t>
  </si>
  <si>
    <t>04/16/2025</t>
  </si>
  <si>
    <t>04/15/2025</t>
  </si>
  <si>
    <t>03/28/2025</t>
  </si>
  <si>
    <t>03/27/2025</t>
  </si>
  <si>
    <t>03/26/2025</t>
  </si>
  <si>
    <t>03/25/2025</t>
  </si>
  <si>
    <t>03/24/2025</t>
  </si>
  <si>
    <t>03/21/2025</t>
  </si>
  <si>
    <t>03/20/2025</t>
  </si>
  <si>
    <t>03/19/2025</t>
  </si>
  <si>
    <t>03/18/2025</t>
  </si>
  <si>
    <t>03/17/2025</t>
  </si>
  <si>
    <t>03/13/2025</t>
  </si>
  <si>
    <t>02/28/2025</t>
  </si>
  <si>
    <t>02/27/2025</t>
  </si>
  <si>
    <t>02/25/2025</t>
  </si>
  <si>
    <t>02/24/2025</t>
  </si>
  <si>
    <t>02/21/2025</t>
  </si>
  <si>
    <t>02/20/2025</t>
  </si>
  <si>
    <t>02/19/2025</t>
  </si>
  <si>
    <t>02/18/2025</t>
  </si>
  <si>
    <t>02/17/2025</t>
  </si>
  <si>
    <t>02/14/2025</t>
  </si>
  <si>
    <t>02/13/2025</t>
  </si>
  <si>
    <t>01/31/2025</t>
  </si>
  <si>
    <t>01/30/2025</t>
  </si>
  <si>
    <t>01/29/2025</t>
  </si>
  <si>
    <t>01/28/2025</t>
  </si>
  <si>
    <t>01/27/2025</t>
  </si>
  <si>
    <t>01/24/2025</t>
  </si>
  <si>
    <t>01/23/2025</t>
  </si>
  <si>
    <t>01/22/2025</t>
  </si>
  <si>
    <t>01/21/2025</t>
  </si>
  <si>
    <t>01/20/2025</t>
  </si>
  <si>
    <t>01/17/2025</t>
  </si>
  <si>
    <t>01/16/2025</t>
  </si>
  <si>
    <t>01/15/2025</t>
  </si>
  <si>
    <t>01/14/2025</t>
  </si>
  <si>
    <t>01/13/2025</t>
  </si>
  <si>
    <t>12/31/2024</t>
  </si>
  <si>
    <t>12/30/2024</t>
  </si>
  <si>
    <t>12/27/2024</t>
  </si>
  <si>
    <t>12/26/2024</t>
  </si>
  <si>
    <t>12/24/2024</t>
  </si>
  <si>
    <t>12/23/2024</t>
  </si>
  <si>
    <t>12/20/2024</t>
  </si>
  <si>
    <t>12/19/2024</t>
  </si>
  <si>
    <t>12/18/2024</t>
  </si>
  <si>
    <t>12/17/2024</t>
  </si>
  <si>
    <t>12/16/2024</t>
  </si>
  <si>
    <t>12/13/2024</t>
  </si>
  <si>
    <t>11/29/2024</t>
  </si>
  <si>
    <t>11/28/2024</t>
  </si>
  <si>
    <t>11/27/2024</t>
  </si>
  <si>
    <t>11/26/2024</t>
  </si>
  <si>
    <t>11/25/2024</t>
  </si>
  <si>
    <t>11/22/2024</t>
  </si>
  <si>
    <t>11/21/2024</t>
  </si>
  <si>
    <t>11/19/2024</t>
  </si>
  <si>
    <t>11/18/2024</t>
  </si>
  <si>
    <t>11/14/2024</t>
  </si>
  <si>
    <t>11/13/2024</t>
  </si>
  <si>
    <t>10/31/2024</t>
  </si>
  <si>
    <t>10/30/2024</t>
  </si>
  <si>
    <t>10/29/2024</t>
  </si>
  <si>
    <t>10/28/2024</t>
  </si>
  <si>
    <t>10/25/2024</t>
  </si>
  <si>
    <t>10/24/2024</t>
  </si>
  <si>
    <t>10/23/2024</t>
  </si>
  <si>
    <t>10/22/2024</t>
  </si>
  <si>
    <t>10/21/2024</t>
  </si>
  <si>
    <t>10/18/2024</t>
  </si>
  <si>
    <t>10/17/2024</t>
  </si>
  <si>
    <t>10/16/2024</t>
  </si>
  <si>
    <t>10/15/2024</t>
  </si>
  <si>
    <t>10/14/2024</t>
  </si>
  <si>
    <t>09/30/2024</t>
  </si>
  <si>
    <t>09/27/2024</t>
  </si>
  <si>
    <t>09/26/2024</t>
  </si>
  <si>
    <t>09/25/2024</t>
  </si>
  <si>
    <t>09/24/2024</t>
  </si>
  <si>
    <t>09/23/2024</t>
  </si>
  <si>
    <t>09/20/2024</t>
  </si>
  <si>
    <t>09/19/2024</t>
  </si>
  <si>
    <t>09/18/2024</t>
  </si>
  <si>
    <t>09/17/2024</t>
  </si>
  <si>
    <t>09/16/2024</t>
  </si>
  <si>
    <t>09/13/2024</t>
  </si>
  <si>
    <t>08/30/2024</t>
  </si>
  <si>
    <t>08/29/2024</t>
  </si>
  <si>
    <t>08/28/2024</t>
  </si>
  <si>
    <t>08/27/2024</t>
  </si>
  <si>
    <t>08/26/2024</t>
  </si>
  <si>
    <t>08/23/2024</t>
  </si>
  <si>
    <t>08/22/2024</t>
  </si>
  <si>
    <t>08/21/2024</t>
  </si>
  <si>
    <t>08/20/2024</t>
  </si>
  <si>
    <t>08/19/2024</t>
  </si>
  <si>
    <t>08/16/2024</t>
  </si>
  <si>
    <t>08/14/2024</t>
  </si>
  <si>
    <t>08/13/2024</t>
  </si>
  <si>
    <t>07/31/2024</t>
  </si>
  <si>
    <t>07/30/2024</t>
  </si>
  <si>
    <t>07/29/2024</t>
  </si>
  <si>
    <t>07/26/2024</t>
  </si>
  <si>
    <t>07/25/2024</t>
  </si>
  <si>
    <t>07/24/2024</t>
  </si>
  <si>
    <t>07/23/2024</t>
  </si>
  <si>
    <t>07/22/2024</t>
  </si>
  <si>
    <t>07/19/2024</t>
  </si>
  <si>
    <t>07/18/2024</t>
  </si>
  <si>
    <t>07/16/2024</t>
  </si>
  <si>
    <t>07/15/2024</t>
  </si>
  <si>
    <t>06/28/2024</t>
  </si>
  <si>
    <t>06/27/2024</t>
  </si>
  <si>
    <t>06/26/2024</t>
  </si>
  <si>
    <t>06/25/2024</t>
  </si>
  <si>
    <t>06/24/2024</t>
  </si>
  <si>
    <t>06/21/2024</t>
  </si>
  <si>
    <t>06/20/2024</t>
  </si>
  <si>
    <t>06/19/2024</t>
  </si>
  <si>
    <t>06/18/2024</t>
  </si>
  <si>
    <t>06/14/2024</t>
  </si>
  <si>
    <t>06/13/2024</t>
  </si>
  <si>
    <t>05/31/2024</t>
  </si>
  <si>
    <t>05/30/2024</t>
  </si>
  <si>
    <t>05/29/2024</t>
  </si>
  <si>
    <t>05/28/2024</t>
  </si>
  <si>
    <t>05/27/2024</t>
  </si>
  <si>
    <t>05/24/2024</t>
  </si>
  <si>
    <t>05/23/2024</t>
  </si>
  <si>
    <t>05/22/2024</t>
  </si>
  <si>
    <t>05/21/2024</t>
  </si>
  <si>
    <t>05/18/2024</t>
  </si>
  <si>
    <t>05/17/2024</t>
  </si>
  <si>
    <t>05/16/2024</t>
  </si>
  <si>
    <t>05/15/2024</t>
  </si>
  <si>
    <t>05/14/2024</t>
  </si>
  <si>
    <t>05/13/2024</t>
  </si>
  <si>
    <t>04/30/2024</t>
  </si>
  <si>
    <t>04/29/2024</t>
  </si>
  <si>
    <t>04/26/2024</t>
  </si>
  <si>
    <t>04/25/2024</t>
  </si>
  <si>
    <t>04/24/2024</t>
  </si>
  <si>
    <t>04/23/2024</t>
  </si>
  <si>
    <t>04/22/2024</t>
  </si>
  <si>
    <t>04/19/2024</t>
  </si>
  <si>
    <t>04/18/2024</t>
  </si>
  <si>
    <t>04/16/2024</t>
  </si>
  <si>
    <t>04/15/2024</t>
  </si>
  <si>
    <t>03/28/2024</t>
  </si>
  <si>
    <t>03/27/2024</t>
  </si>
  <si>
    <t>03/26/2024</t>
  </si>
  <si>
    <t>03/22/2024</t>
  </si>
  <si>
    <t>03/21/2024</t>
  </si>
  <si>
    <t>03/20/2024</t>
  </si>
  <si>
    <t>03/19/2024</t>
  </si>
  <si>
    <t>03/18/2024</t>
  </si>
  <si>
    <t>03/15/2024</t>
  </si>
  <si>
    <t>03/14/2024</t>
  </si>
  <si>
    <t>03/13/2024</t>
  </si>
  <si>
    <t>02/29/2024</t>
  </si>
  <si>
    <t>02/28/2024</t>
  </si>
  <si>
    <t>02/27/2024</t>
  </si>
  <si>
    <t>02/26/2024</t>
  </si>
  <si>
    <t>02/23/2024</t>
  </si>
  <si>
    <t>02/22/2024</t>
  </si>
  <si>
    <t>02/21/2024</t>
  </si>
  <si>
    <t>02/20/2024</t>
  </si>
  <si>
    <t>02/19/2024</t>
  </si>
  <si>
    <t>02/16/2024</t>
  </si>
  <si>
    <t>02/15/2024</t>
  </si>
  <si>
    <t>02/14/2024</t>
  </si>
  <si>
    <t>02/13/2024</t>
  </si>
  <si>
    <t>01/31/2024</t>
  </si>
  <si>
    <t>01/30/2024</t>
  </si>
  <si>
    <t>01/29/2024</t>
  </si>
  <si>
    <t>01/25/2024</t>
  </si>
  <si>
    <t>01/24/2024</t>
  </si>
  <si>
    <t>01/23/2024</t>
  </si>
  <si>
    <t>01/20/2024</t>
  </si>
  <si>
    <t>01/19/2024</t>
  </si>
  <si>
    <t>01/18/2024</t>
  </si>
  <si>
    <t>01/17/2024</t>
  </si>
  <si>
    <t>01/16/2024</t>
  </si>
  <si>
    <t>01/15/2024</t>
  </si>
  <si>
    <t>12/29/2023</t>
  </si>
  <si>
    <t>12/28/2023</t>
  </si>
  <si>
    <t>12/27/2023</t>
  </si>
  <si>
    <t>12/26/2023</t>
  </si>
  <si>
    <t>12/22/2023</t>
  </si>
  <si>
    <t>12/21/2023</t>
  </si>
  <si>
    <t>12/20/2023</t>
  </si>
  <si>
    <t>12/19/2023</t>
  </si>
  <si>
    <t>12/18/2023</t>
  </si>
  <si>
    <t>12/15/2023</t>
  </si>
  <si>
    <t>12/14/2023</t>
  </si>
  <si>
    <t>12/13/2023</t>
  </si>
  <si>
    <t>11/30/2023</t>
  </si>
  <si>
    <t>11/29/2023</t>
  </si>
  <si>
    <t>11/28/2023</t>
  </si>
  <si>
    <t>11/24/2023</t>
  </si>
  <si>
    <t>11/23/2023</t>
  </si>
  <si>
    <t>11/22/2023</t>
  </si>
  <si>
    <t>11/21/2023</t>
  </si>
  <si>
    <t>11/20/2023</t>
  </si>
  <si>
    <t>11/17/2023</t>
  </si>
  <si>
    <t>11/16/2023</t>
  </si>
  <si>
    <t>11/15/2023</t>
  </si>
  <si>
    <t>11/13/2023</t>
  </si>
  <si>
    <t>10/31/2023</t>
  </si>
  <si>
    <t>10/30/2023</t>
  </si>
  <si>
    <t>10/27/2023</t>
  </si>
  <si>
    <t>10/26/2023</t>
  </si>
  <si>
    <t>10/25/2023</t>
  </si>
  <si>
    <t>10/23/2023</t>
  </si>
  <si>
    <t>10/20/2023</t>
  </si>
  <si>
    <t>10/19/2023</t>
  </si>
  <si>
    <t>10/18/2023</t>
  </si>
  <si>
    <t>10/17/2023</t>
  </si>
  <si>
    <t>10/16/2023</t>
  </si>
  <si>
    <t>10/13/2023</t>
  </si>
  <si>
    <t>09/29/2023</t>
  </si>
  <si>
    <t>09/28/2023</t>
  </si>
  <si>
    <t>09/27/2023</t>
  </si>
  <si>
    <t>09/26/2023</t>
  </si>
  <si>
    <t>09/25/2023</t>
  </si>
  <si>
    <t>09/22/2023</t>
  </si>
  <si>
    <t>09/21/2023</t>
  </si>
  <si>
    <t>09/20/2023</t>
  </si>
  <si>
    <t>09/18/2023</t>
  </si>
  <si>
    <t>09/15/2023</t>
  </si>
  <si>
    <t>09/14/2023</t>
  </si>
  <si>
    <t>09/13/2023</t>
  </si>
  <si>
    <t>08/31/2023</t>
  </si>
  <si>
    <t>08/30/2023</t>
  </si>
  <si>
    <t>08/29/2023</t>
  </si>
  <si>
    <t>08/28/2023</t>
  </si>
  <si>
    <t>08/25/2023</t>
  </si>
  <si>
    <t>08/24/2023</t>
  </si>
  <si>
    <t>08/23/2023</t>
  </si>
  <si>
    <t>08/22/2023</t>
  </si>
  <si>
    <t>08/21/2023</t>
  </si>
  <si>
    <t>08/18/2023</t>
  </si>
  <si>
    <t>08/17/2023</t>
  </si>
  <si>
    <t>08/16/2023</t>
  </si>
  <si>
    <t>08/14/2023</t>
  </si>
  <si>
    <t>07/31/2023</t>
  </si>
  <si>
    <t>07/28/2023</t>
  </si>
  <si>
    <t>07/27/2023</t>
  </si>
  <si>
    <t>07/26/2023</t>
  </si>
  <si>
    <t>07/25/2023</t>
  </si>
  <si>
    <t>07/24/2023</t>
  </si>
  <si>
    <t>07/21/2023</t>
  </si>
  <si>
    <t>07/20/2023</t>
  </si>
  <si>
    <t>07/19/2023</t>
  </si>
  <si>
    <t>07/18/2023</t>
  </si>
  <si>
    <t>07/17/2023</t>
  </si>
  <si>
    <t>07/14/2023</t>
  </si>
  <si>
    <t>07/13/2023</t>
  </si>
  <si>
    <t>06/30/2023</t>
  </si>
  <si>
    <t>06/28/2023</t>
  </si>
  <si>
    <t>06/27/2023</t>
  </si>
  <si>
    <t>06/26/2023</t>
  </si>
  <si>
    <t>06/23/2023</t>
  </si>
  <si>
    <t>06/22/2023</t>
  </si>
  <si>
    <t>06/21/2023</t>
  </si>
  <si>
    <t>06/20/2023</t>
  </si>
  <si>
    <t>06/19/2023</t>
  </si>
  <si>
    <t>06/16/2023</t>
  </si>
  <si>
    <t>06/15/2023</t>
  </si>
  <si>
    <t>06/14/2023</t>
  </si>
  <si>
    <t>06/13/2023</t>
  </si>
  <si>
    <t>05/31/2023</t>
  </si>
  <si>
    <t>05/30/2023</t>
  </si>
  <si>
    <t>05/29/2023</t>
  </si>
  <si>
    <t>05/26/2023</t>
  </si>
  <si>
    <t>05/25/2023</t>
  </si>
  <si>
    <t>05/24/2023</t>
  </si>
  <si>
    <t>05/23/2023</t>
  </si>
  <si>
    <t>05/22/2023</t>
  </si>
  <si>
    <t>05/19/2023</t>
  </si>
  <si>
    <t>05/18/2023</t>
  </si>
  <si>
    <t>05/17/2023</t>
  </si>
  <si>
    <t>05/16/2023</t>
  </si>
  <si>
    <t>05/15/2023</t>
  </si>
  <si>
    <t>04/28/2023</t>
  </si>
  <si>
    <t>04/27/2023</t>
  </si>
  <si>
    <t>04/26/2023</t>
  </si>
  <si>
    <t>04/25/2023</t>
  </si>
  <si>
    <t>04/24/2023</t>
  </si>
  <si>
    <t>04/21/2023</t>
  </si>
  <si>
    <t>04/20/2023</t>
  </si>
  <si>
    <t>04/19/2023</t>
  </si>
  <si>
    <t>04/18/2023</t>
  </si>
  <si>
    <t>04/17/2023</t>
  </si>
  <si>
    <t>04/13/2023</t>
  </si>
  <si>
    <t>03/31/2023</t>
  </si>
  <si>
    <t>03/29/2023</t>
  </si>
  <si>
    <t>03/28/2023</t>
  </si>
  <si>
    <t>03/27/2023</t>
  </si>
  <si>
    <t>03/24/2023</t>
  </si>
  <si>
    <t>03/23/2023</t>
  </si>
  <si>
    <t>03/22/2023</t>
  </si>
  <si>
    <t>03/21/2023</t>
  </si>
  <si>
    <t>03/20/2023</t>
  </si>
  <si>
    <t>03/17/2023</t>
  </si>
  <si>
    <t>03/16/2023</t>
  </si>
  <si>
    <t>03/15/2023</t>
  </si>
  <si>
    <t>03/14/2023</t>
  </si>
  <si>
    <t>03/13/2023</t>
  </si>
  <si>
    <t>02/28/2023</t>
  </si>
  <si>
    <t>02/27/2023</t>
  </si>
  <si>
    <t>02/24/2023</t>
  </si>
  <si>
    <t>02/23/2023</t>
  </si>
  <si>
    <t>02/22/2023</t>
  </si>
  <si>
    <t>02/21/2023</t>
  </si>
  <si>
    <t>02/20/2023</t>
  </si>
  <si>
    <t>02/17/2023</t>
  </si>
  <si>
    <t>02/16/2023</t>
  </si>
  <si>
    <t>02/15/2023</t>
  </si>
  <si>
    <t>02/14/2023</t>
  </si>
  <si>
    <t>02/13/2023</t>
  </si>
  <si>
    <t>01/31/2023</t>
  </si>
  <si>
    <t>01/30/2023</t>
  </si>
  <si>
    <t>01/27/2023</t>
  </si>
  <si>
    <t>01/25/2023</t>
  </si>
  <si>
    <t>01/24/2023</t>
  </si>
  <si>
    <t>01/23/2023</t>
  </si>
  <si>
    <t>01/20/2023</t>
  </si>
  <si>
    <t>01/19/2023</t>
  </si>
  <si>
    <t>01/18/2023</t>
  </si>
  <si>
    <t>01/17/2023</t>
  </si>
  <si>
    <t>01/16/2023</t>
  </si>
  <si>
    <t>01/13/2023</t>
  </si>
  <si>
    <t>12/30/2022</t>
  </si>
  <si>
    <t>12/29/2022</t>
  </si>
  <si>
    <t>12/28/2022</t>
  </si>
  <si>
    <t>12/27/2022</t>
  </si>
  <si>
    <t>12/26/2022</t>
  </si>
  <si>
    <t>12/23/2022</t>
  </si>
  <si>
    <t>12/22/2022</t>
  </si>
  <si>
    <t>12/21/2022</t>
  </si>
  <si>
    <t>12/20/2022</t>
  </si>
  <si>
    <t>12/19/2022</t>
  </si>
  <si>
    <t>12/16/2022</t>
  </si>
  <si>
    <t>12/15/2022</t>
  </si>
  <si>
    <t>12/14/2022</t>
  </si>
  <si>
    <t>12/13/2022</t>
  </si>
  <si>
    <t>11/30/2022</t>
  </si>
  <si>
    <t>11/29/2022</t>
  </si>
  <si>
    <t>11/28/2022</t>
  </si>
  <si>
    <t>11/25/2022</t>
  </si>
  <si>
    <t>11/24/2022</t>
  </si>
  <si>
    <t>11/23/2022</t>
  </si>
  <si>
    <t>11/22/2022</t>
  </si>
  <si>
    <t>11/21/2022</t>
  </si>
  <si>
    <t>11/18/2022</t>
  </si>
  <si>
    <t>11/17/2022</t>
  </si>
  <si>
    <t>11/16/2022</t>
  </si>
  <si>
    <t>11/15/2022</t>
  </si>
  <si>
    <t>11/14/2022</t>
  </si>
  <si>
    <t>10/31/2022</t>
  </si>
  <si>
    <t>10/28/2022</t>
  </si>
  <si>
    <t>10/27/2022</t>
  </si>
  <si>
    <t>10/25/2022</t>
  </si>
  <si>
    <t>10/24/2022</t>
  </si>
  <si>
    <t>10/21/2022</t>
  </si>
  <si>
    <t>10/20/2022</t>
  </si>
  <si>
    <t>10/19/2022</t>
  </si>
  <si>
    <t>10/18/2022</t>
  </si>
  <si>
    <t>10/17/2022</t>
  </si>
  <si>
    <t>10/14/2022</t>
  </si>
  <si>
    <t>10/13/2022</t>
  </si>
  <si>
    <t>09/30/2022</t>
  </si>
  <si>
    <t>09/29/2022</t>
  </si>
  <si>
    <t>09/28/2022</t>
  </si>
  <si>
    <t>09/27/2022</t>
  </si>
  <si>
    <t>09/26/2022</t>
  </si>
  <si>
    <t>09/23/2022</t>
  </si>
  <si>
    <t>09/22/2022</t>
  </si>
  <si>
    <t>09/21/2022</t>
  </si>
  <si>
    <t>09/20/2022</t>
  </si>
  <si>
    <t>09/19/2022</t>
  </si>
  <si>
    <t>09/16/2022</t>
  </si>
  <si>
    <t>09/15/2022</t>
  </si>
  <si>
    <t>09/14/2022</t>
  </si>
  <si>
    <t>09/13/2022</t>
  </si>
  <si>
    <t>08/30/2022</t>
  </si>
  <si>
    <t>08/29/2022</t>
  </si>
  <si>
    <t>08/26/2022</t>
  </si>
  <si>
    <t>08/25/2022</t>
  </si>
  <si>
    <t>08/24/2022</t>
  </si>
  <si>
    <t>08/23/2022</t>
  </si>
  <si>
    <t>08/22/2022</t>
  </si>
  <si>
    <t>08/19/2022</t>
  </si>
  <si>
    <t>08/18/2022</t>
  </si>
  <si>
    <t>08/17/2022</t>
  </si>
  <si>
    <t>08/16/2022</t>
  </si>
  <si>
    <t>07/29/2022</t>
  </si>
  <si>
    <t>07/28/2022</t>
  </si>
  <si>
    <t>07/27/2022</t>
  </si>
  <si>
    <t>07/26/2022</t>
  </si>
  <si>
    <t>07/25/2022</t>
  </si>
  <si>
    <t>07/22/2022</t>
  </si>
  <si>
    <t>07/21/2022</t>
  </si>
  <si>
    <t>07/20/2022</t>
  </si>
  <si>
    <t>07/19/2022</t>
  </si>
  <si>
    <t>07/18/2022</t>
  </si>
  <si>
    <t>07/15/2022</t>
  </si>
  <si>
    <t>07/14/2022</t>
  </si>
  <si>
    <t>07/13/2022</t>
  </si>
  <si>
    <t>06/30/2022</t>
  </si>
  <si>
    <t>06/29/2022</t>
  </si>
  <si>
    <t>06/28/2022</t>
  </si>
  <si>
    <t>06/27/2022</t>
  </si>
  <si>
    <t>06/24/2022</t>
  </si>
  <si>
    <t>06/23/2022</t>
  </si>
  <si>
    <t>06/22/2022</t>
  </si>
  <si>
    <t>06/21/2022</t>
  </si>
  <si>
    <t>06/20/2022</t>
  </si>
  <si>
    <t>06/17/2022</t>
  </si>
  <si>
    <t>06/16/2022</t>
  </si>
  <si>
    <t>06/15/2022</t>
  </si>
  <si>
    <t>06/14/2022</t>
  </si>
  <si>
    <t>06/13/2022</t>
  </si>
  <si>
    <t>05/31/2022</t>
  </si>
  <si>
    <t>05/30/2022</t>
  </si>
  <si>
    <t>05/27/2022</t>
  </si>
  <si>
    <t>05/26/2022</t>
  </si>
  <si>
    <t>05/25/2022</t>
  </si>
  <si>
    <t>05/24/2022</t>
  </si>
  <si>
    <t>05/23/2022</t>
  </si>
  <si>
    <t>05/20/2022</t>
  </si>
  <si>
    <t>05/19/2022</t>
  </si>
  <si>
    <t>05/18/2022</t>
  </si>
  <si>
    <t>05/17/2022</t>
  </si>
  <si>
    <t>05/16/2022</t>
  </si>
  <si>
    <t>05/13/2022</t>
  </si>
  <si>
    <t>04/29/2022</t>
  </si>
  <si>
    <t>04/28/2022</t>
  </si>
  <si>
    <t>04/27/2022</t>
  </si>
  <si>
    <t>04/26/2022</t>
  </si>
  <si>
    <t>04/25/2022</t>
  </si>
  <si>
    <t>04/22/2022</t>
  </si>
  <si>
    <t>04/21/2022</t>
  </si>
  <si>
    <t>04/20/2022</t>
  </si>
  <si>
    <t>04/19/2022</t>
  </si>
  <si>
    <t>04/18/2022</t>
  </si>
  <si>
    <t>04/13/2022</t>
  </si>
  <si>
    <t>03/31/2022</t>
  </si>
  <si>
    <t>03/30/2022</t>
  </si>
  <si>
    <t>03/29/2022</t>
  </si>
  <si>
    <t>03/28/2022</t>
  </si>
  <si>
    <t>03/25/2022</t>
  </si>
  <si>
    <t>03/24/2022</t>
  </si>
  <si>
    <t>03/23/2022</t>
  </si>
  <si>
    <t>03/22/2022</t>
  </si>
  <si>
    <t>03/21/2022</t>
  </si>
  <si>
    <t>03/17/2022</t>
  </si>
  <si>
    <t>03/16/2022</t>
  </si>
  <si>
    <t>03/15/2022</t>
  </si>
  <si>
    <t>03/14/2022</t>
  </si>
  <si>
    <t>02/28/2022</t>
  </si>
  <si>
    <t>02/25/2022</t>
  </si>
  <si>
    <t>02/24/2022</t>
  </si>
  <si>
    <t>02/23/2022</t>
  </si>
  <si>
    <t>02/22/2022</t>
  </si>
  <si>
    <t>02/21/2022</t>
  </si>
  <si>
    <t>02/18/2022</t>
  </si>
  <si>
    <t>02/17/2022</t>
  </si>
  <si>
    <t>02/16/2022</t>
  </si>
  <si>
    <t>02/15/2022</t>
  </si>
  <si>
    <t>02/14/2022</t>
  </si>
  <si>
    <t>01/31/2022</t>
  </si>
  <si>
    <t>01/28/2022</t>
  </si>
  <si>
    <t>01/27/2022</t>
  </si>
  <si>
    <t>01/25/2022</t>
  </si>
  <si>
    <t>01/24/2022</t>
  </si>
  <si>
    <t>01/21/2022</t>
  </si>
  <si>
    <t>01/20/2022</t>
  </si>
  <si>
    <t>01/19/2022</t>
  </si>
  <si>
    <t>01/18/2022</t>
  </si>
  <si>
    <t>01/17/2022</t>
  </si>
  <si>
    <t>01/14/2022</t>
  </si>
  <si>
    <t>01/13/2022</t>
  </si>
  <si>
    <t>12/31/2021</t>
  </si>
  <si>
    <t>12/30/2021</t>
  </si>
  <si>
    <t>12/29/2021</t>
  </si>
  <si>
    <t>12/28/2021</t>
  </si>
  <si>
    <t>12/27/2021</t>
  </si>
  <si>
    <t>12/24/2021</t>
  </si>
  <si>
    <t>12/23/2021</t>
  </si>
  <si>
    <t>12/22/2021</t>
  </si>
  <si>
    <t>12/21/2021</t>
  </si>
  <si>
    <t>12/20/2021</t>
  </si>
  <si>
    <t>12/17/2021</t>
  </si>
  <si>
    <t>12/16/2021</t>
  </si>
  <si>
    <t>12/15/2021</t>
  </si>
  <si>
    <t>12/14/2021</t>
  </si>
  <si>
    <t>12/13/2021</t>
  </si>
  <si>
    <t>11/30/2021</t>
  </si>
  <si>
    <t>11/29/2021</t>
  </si>
  <si>
    <t>11/26/2021</t>
  </si>
  <si>
    <t>11/25/2021</t>
  </si>
  <si>
    <t>11/24/2021</t>
  </si>
  <si>
    <t>11/23/2021</t>
  </si>
  <si>
    <t>11/22/2021</t>
  </si>
  <si>
    <t>11/18/2021</t>
  </si>
  <si>
    <t>11/17/2021</t>
  </si>
  <si>
    <t>11/16/2021</t>
  </si>
  <si>
    <t>11/15/2021</t>
  </si>
  <si>
    <t>10/29/2021</t>
  </si>
  <si>
    <t>10/28/2021</t>
  </si>
  <si>
    <t>10/27/2021</t>
  </si>
  <si>
    <t>10/26/2021</t>
  </si>
  <si>
    <t>10/25/2021</t>
  </si>
  <si>
    <t>10/22/2021</t>
  </si>
  <si>
    <t>10/21/2021</t>
  </si>
  <si>
    <t>10/20/2021</t>
  </si>
  <si>
    <t>10/19/2021</t>
  </si>
  <si>
    <t>10/18/2021</t>
  </si>
  <si>
    <t>10/14/2021</t>
  </si>
  <si>
    <t>10/13/2021</t>
  </si>
  <si>
    <t>09/30/2021</t>
  </si>
  <si>
    <t>09/29/2021</t>
  </si>
  <si>
    <t>09/28/2021</t>
  </si>
  <si>
    <t>09/27/2021</t>
  </si>
  <si>
    <t>09/24/2021</t>
  </si>
  <si>
    <t>09/23/2021</t>
  </si>
  <si>
    <t>09/22/2021</t>
  </si>
  <si>
    <t>09/21/2021</t>
  </si>
  <si>
    <t>09/20/2021</t>
  </si>
  <si>
    <t>09/17/2021</t>
  </si>
  <si>
    <t>09/16/2021</t>
  </si>
  <si>
    <t>09/15/2021</t>
  </si>
  <si>
    <t>09/14/2021</t>
  </si>
  <si>
    <t>09/13/2021</t>
  </si>
  <si>
    <t>08/31/2021</t>
  </si>
  <si>
    <t>08/30/2021</t>
  </si>
  <si>
    <t>08/27/2021</t>
  </si>
  <si>
    <t>08/26/2021</t>
  </si>
  <si>
    <t>08/25/2021</t>
  </si>
  <si>
    <t>08/24/2021</t>
  </si>
  <si>
    <t>08/23/2021</t>
  </si>
  <si>
    <t>08/20/2021</t>
  </si>
  <si>
    <t>08/18/2021</t>
  </si>
  <si>
    <t>08/17/2021</t>
  </si>
  <si>
    <t>08/16/2021</t>
  </si>
  <si>
    <t>08/13/2021</t>
  </si>
  <si>
    <t>07/30/2021</t>
  </si>
  <si>
    <t>07/29/2021</t>
  </si>
  <si>
    <t>07/28/2021</t>
  </si>
  <si>
    <t>07/27/2021</t>
  </si>
  <si>
    <t>07/26/2021</t>
  </si>
  <si>
    <t>07/23/2021</t>
  </si>
  <si>
    <t>07/22/2021</t>
  </si>
  <si>
    <t>07/20/2021</t>
  </si>
  <si>
    <t>07/19/2021</t>
  </si>
  <si>
    <t>07/16/2021</t>
  </si>
  <si>
    <t>07/15/2021</t>
  </si>
  <si>
    <t>07/14/2021</t>
  </si>
  <si>
    <t>07/13/2021</t>
  </si>
  <si>
    <t>06/30/2021</t>
  </si>
  <si>
    <t>06/29/2021</t>
  </si>
  <si>
    <t>06/28/2021</t>
  </si>
  <si>
    <t>06/25/2021</t>
  </si>
  <si>
    <t>06/24/2021</t>
  </si>
  <si>
    <t>06/23/2021</t>
  </si>
  <si>
    <t>06/22/2021</t>
  </si>
  <si>
    <t>06/21/2021</t>
  </si>
  <si>
    <t>06/18/2021</t>
  </si>
  <si>
    <t>06/17/2021</t>
  </si>
  <si>
    <t>06/16/2021</t>
  </si>
  <si>
    <t>06/15/2021</t>
  </si>
  <si>
    <t>06/14/2021</t>
  </si>
  <si>
    <t>05/31/2021</t>
  </si>
  <si>
    <t>05/28/2021</t>
  </si>
  <si>
    <t>05/27/2021</t>
  </si>
  <si>
    <t>05/26/2021</t>
  </si>
  <si>
    <t>05/25/2021</t>
  </si>
  <si>
    <t>05/24/2021</t>
  </si>
  <si>
    <t>05/21/2021</t>
  </si>
  <si>
    <t>05/20/2021</t>
  </si>
  <si>
    <t>05/19/2021</t>
  </si>
  <si>
    <t>05/18/2021</t>
  </si>
  <si>
    <t>05/17/2021</t>
  </si>
  <si>
    <t>05/14/2021</t>
  </si>
  <si>
    <t>04/30/2021</t>
  </si>
  <si>
    <t>04/29/2021</t>
  </si>
  <si>
    <t>04/28/2021</t>
  </si>
  <si>
    <t>04/27/2021</t>
  </si>
  <si>
    <t>04/26/2021</t>
  </si>
  <si>
    <t>04/23/2021</t>
  </si>
  <si>
    <t>04/22/2021</t>
  </si>
  <si>
    <t>04/20/2021</t>
  </si>
  <si>
    <t>04/19/2021</t>
  </si>
  <si>
    <t>04/16/2021</t>
  </si>
  <si>
    <t>04/15/2021</t>
  </si>
  <si>
    <t>04/13/2021</t>
  </si>
  <si>
    <t>03/31/2021</t>
  </si>
  <si>
    <t>03/30/2021</t>
  </si>
  <si>
    <t>03/26/2021</t>
  </si>
  <si>
    <t>03/25/2021</t>
  </si>
  <si>
    <t>03/24/2021</t>
  </si>
  <si>
    <t>03/23/2021</t>
  </si>
  <si>
    <t>03/22/2021</t>
  </si>
  <si>
    <t>03/19/2021</t>
  </si>
  <si>
    <t>03/18/2021</t>
  </si>
  <si>
    <t>03/17/2021</t>
  </si>
  <si>
    <t>03/16/2021</t>
  </si>
  <si>
    <t>03/15/2021</t>
  </si>
  <si>
    <t>02/26/2021</t>
  </si>
  <si>
    <t>02/25/2021</t>
  </si>
  <si>
    <t>02/24/2021</t>
  </si>
  <si>
    <t>02/23/2021</t>
  </si>
  <si>
    <t>02/22/2021</t>
  </si>
  <si>
    <t>02/19/2021</t>
  </si>
  <si>
    <t>02/18/2021</t>
  </si>
  <si>
    <t>02/17/2021</t>
  </si>
  <si>
    <t>02/16/2021</t>
  </si>
  <si>
    <t>02/15/2021</t>
  </si>
  <si>
    <t>01/29/2021</t>
  </si>
  <si>
    <t>01/28/2021</t>
  </si>
  <si>
    <t>01/27/2021</t>
  </si>
  <si>
    <t>01/25/2021</t>
  </si>
  <si>
    <t>01/22/2021</t>
  </si>
  <si>
    <t>01/21/2021</t>
  </si>
  <si>
    <t>01/20/2021</t>
  </si>
  <si>
    <t>01/19/2021</t>
  </si>
  <si>
    <t>01/18/2021</t>
  </si>
  <si>
    <t>01/15/2021</t>
  </si>
  <si>
    <t>01/14/2021</t>
  </si>
  <si>
    <t>01/13/2021</t>
  </si>
  <si>
    <t>12/31/2020</t>
  </si>
  <si>
    <t>12/30/2020</t>
  </si>
  <si>
    <t>12/29/2020</t>
  </si>
  <si>
    <t>12/28/2020</t>
  </si>
  <si>
    <t>12/24/2020</t>
  </si>
  <si>
    <t>12/23/2020</t>
  </si>
  <si>
    <t>12/22/2020</t>
  </si>
  <si>
    <t>12/21/2020</t>
  </si>
  <si>
    <t>12/18/2020</t>
  </si>
  <si>
    <t>12/17/2020</t>
  </si>
  <si>
    <t>12/16/2020</t>
  </si>
  <si>
    <t>12/15/2020</t>
  </si>
  <si>
    <t>12/14/2020</t>
  </si>
  <si>
    <t>11/27/2020</t>
  </si>
  <si>
    <t>11/26/2020</t>
  </si>
  <si>
    <t>11/25/2020</t>
  </si>
  <si>
    <t>11/24/2020</t>
  </si>
  <si>
    <t>11/23/2020</t>
  </si>
  <si>
    <t>11/20/2020</t>
  </si>
  <si>
    <t>11/19/2020</t>
  </si>
  <si>
    <t>11/18/2020</t>
  </si>
  <si>
    <t>11/17/2020</t>
  </si>
  <si>
    <t>11/13/2020</t>
  </si>
  <si>
    <t>10/30/2020</t>
  </si>
  <si>
    <t>10/29/2020</t>
  </si>
  <si>
    <t>10/28/2020</t>
  </si>
  <si>
    <t>10/27/2020</t>
  </si>
  <si>
    <t>10/26/2020</t>
  </si>
  <si>
    <t>10/23/2020</t>
  </si>
  <si>
    <t>10/22/2020</t>
  </si>
  <si>
    <t>10/21/2020</t>
  </si>
  <si>
    <t>10/20/2020</t>
  </si>
  <si>
    <t>10/19/2020</t>
  </si>
  <si>
    <t>10/16/2020</t>
  </si>
  <si>
    <t>10/15/2020</t>
  </si>
  <si>
    <t>10/14/2020</t>
  </si>
  <si>
    <t>10/13/2020</t>
  </si>
  <si>
    <t>09/30/2020</t>
  </si>
  <si>
    <t>09/29/2020</t>
  </si>
  <si>
    <t>09/28/2020</t>
  </si>
  <si>
    <t>09/25/2020</t>
  </si>
  <si>
    <t>09/24/2020</t>
  </si>
  <si>
    <t>09/23/2020</t>
  </si>
  <si>
    <t>09/22/2020</t>
  </si>
  <si>
    <t>09/21/2020</t>
  </si>
  <si>
    <t>09/18/2020</t>
  </si>
  <si>
    <t>09/17/2020</t>
  </si>
  <si>
    <t>09/16/2020</t>
  </si>
  <si>
    <t>09/15/2020</t>
  </si>
  <si>
    <t>09/14/2020</t>
  </si>
  <si>
    <t>08/31/2020</t>
  </si>
  <si>
    <t>08/28/2020</t>
  </si>
  <si>
    <t>08/27/2020</t>
  </si>
  <si>
    <t>08/26/2020</t>
  </si>
  <si>
    <t>08/25/2020</t>
  </si>
  <si>
    <t>08/24/2020</t>
  </si>
  <si>
    <t>08/21/2020</t>
  </si>
  <si>
    <t>08/20/2020</t>
  </si>
  <si>
    <t>08/19/2020</t>
  </si>
  <si>
    <t>08/18/2020</t>
  </si>
  <si>
    <t>08/17/2020</t>
  </si>
  <si>
    <t>08/14/2020</t>
  </si>
  <si>
    <t>08/13/2020</t>
  </si>
  <si>
    <t>07/31/2020</t>
  </si>
  <si>
    <t>07/30/2020</t>
  </si>
  <si>
    <t>07/29/2020</t>
  </si>
  <si>
    <t>07/28/2020</t>
  </si>
  <si>
    <t>07/27/2020</t>
  </si>
  <si>
    <t>07/24/2020</t>
  </si>
  <si>
    <t>07/23/2020</t>
  </si>
  <si>
    <t>07/22/2020</t>
  </si>
  <si>
    <t>07/21/2020</t>
  </si>
  <si>
    <t>07/20/2020</t>
  </si>
  <si>
    <t>07/17/2020</t>
  </si>
  <si>
    <t>07/16/2020</t>
  </si>
  <si>
    <t>07/15/2020</t>
  </si>
  <si>
    <t>07/14/2020</t>
  </si>
  <si>
    <t>07/13/2020</t>
  </si>
  <si>
    <t>06/30/2020</t>
  </si>
  <si>
    <t>06/29/2020</t>
  </si>
  <si>
    <t>06/26/2020</t>
  </si>
  <si>
    <t>06/25/2020</t>
  </si>
  <si>
    <t>06/24/2020</t>
  </si>
  <si>
    <t>06/23/2020</t>
  </si>
  <si>
    <t>06/22/2020</t>
  </si>
  <si>
    <t>06/19/2020</t>
  </si>
  <si>
    <t>06/18/2020</t>
  </si>
  <si>
    <t>06/17/2020</t>
  </si>
  <si>
    <t>06/16/2020</t>
  </si>
  <si>
    <t>06/15/2020</t>
  </si>
  <si>
    <t>05/29/2020</t>
  </si>
  <si>
    <t>05/28/2020</t>
  </si>
  <si>
    <t>05/27/2020</t>
  </si>
  <si>
    <t>05/26/2020</t>
  </si>
  <si>
    <t>05/22/2020</t>
  </si>
  <si>
    <t>05/21/2020</t>
  </si>
  <si>
    <t>05/20/2020</t>
  </si>
  <si>
    <t>05/19/2020</t>
  </si>
  <si>
    <t>05/18/2020</t>
  </si>
  <si>
    <t>05/15/2020</t>
  </si>
  <si>
    <t>05/14/2020</t>
  </si>
  <si>
    <t>05/13/2020</t>
  </si>
  <si>
    <t>04/30/2020</t>
  </si>
  <si>
    <t>04/29/2020</t>
  </si>
  <si>
    <t>04/28/2020</t>
  </si>
  <si>
    <t>04/27/2020</t>
  </si>
  <si>
    <t>04/24/2020</t>
  </si>
  <si>
    <t>04/23/2020</t>
  </si>
  <si>
    <t>04/22/2020</t>
  </si>
  <si>
    <t>04/21/2020</t>
  </si>
  <si>
    <t>04/20/2020</t>
  </si>
  <si>
    <t>04/17/2020</t>
  </si>
  <si>
    <t>04/16/2020</t>
  </si>
  <si>
    <t>04/15/2020</t>
  </si>
  <si>
    <t>04/13/2020</t>
  </si>
  <si>
    <t>03/31/2020</t>
  </si>
  <si>
    <t>03/30/2020</t>
  </si>
  <si>
    <t>03/27/2020</t>
  </si>
  <si>
    <t>03/26/2020</t>
  </si>
  <si>
    <t>03/25/2020</t>
  </si>
  <si>
    <t>03/24/2020</t>
  </si>
  <si>
    <t>03/23/2020</t>
  </si>
  <si>
    <t>03/20/2020</t>
  </si>
  <si>
    <t>03/19/2020</t>
  </si>
  <si>
    <t>03/18/2020</t>
  </si>
  <si>
    <t>03/17/2020</t>
  </si>
  <si>
    <t>03/16/2020</t>
  </si>
  <si>
    <t>03/13/2020</t>
  </si>
  <si>
    <t>02/28/2020</t>
  </si>
  <si>
    <t>02/27/2020</t>
  </si>
  <si>
    <t>02/26/2020</t>
  </si>
  <si>
    <t>02/25/2020</t>
  </si>
  <si>
    <t>02/24/2020</t>
  </si>
  <si>
    <t>02/20/2020</t>
  </si>
  <si>
    <t>02/19/2020</t>
  </si>
  <si>
    <t>02/18/2020</t>
  </si>
  <si>
    <t>02/17/2020</t>
  </si>
  <si>
    <t>02/14/2020</t>
  </si>
  <si>
    <t>02/13/2020</t>
  </si>
  <si>
    <t>01/31/2020</t>
  </si>
  <si>
    <t>01/30/2020</t>
  </si>
  <si>
    <t>01/29/2020</t>
  </si>
  <si>
    <t>01/28/2020</t>
  </si>
  <si>
    <t>01/27/2020</t>
  </si>
  <si>
    <t>01/24/2020</t>
  </si>
  <si>
    <t>01/23/2020</t>
  </si>
  <si>
    <t>01/22/2020</t>
  </si>
  <si>
    <t>01/21/2020</t>
  </si>
  <si>
    <t>01/20/2020</t>
  </si>
  <si>
    <t>01/17/2020</t>
  </si>
  <si>
    <t>01/16/2020</t>
  </si>
  <si>
    <t>01/15/2020</t>
  </si>
  <si>
    <t>01/14/2020</t>
  </si>
  <si>
    <t>01/13/2020</t>
  </si>
  <si>
    <t>12/31/2019</t>
  </si>
  <si>
    <t>12/30/2019</t>
  </si>
  <si>
    <t>12/27/2019</t>
  </si>
  <si>
    <t>12/26/2019</t>
  </si>
  <si>
    <t>12/24/2019</t>
  </si>
  <si>
    <t>12/23/2019</t>
  </si>
  <si>
    <t>12/20/2019</t>
  </si>
  <si>
    <t>12/19/2019</t>
  </si>
  <si>
    <t>12/18/2019</t>
  </si>
  <si>
    <t>12/17/2019</t>
  </si>
  <si>
    <t>12/16/2019</t>
  </si>
  <si>
    <t>12/13/2019</t>
  </si>
  <si>
    <t>11/29/2019</t>
  </si>
  <si>
    <t>11/28/2019</t>
  </si>
  <si>
    <t>11/27/2019</t>
  </si>
  <si>
    <t>11/26/2019</t>
  </si>
  <si>
    <t>11/25/2019</t>
  </si>
  <si>
    <t>11/22/2019</t>
  </si>
  <si>
    <t>11/21/2019</t>
  </si>
  <si>
    <t>11/20/2019</t>
  </si>
  <si>
    <t>11/19/2019</t>
  </si>
  <si>
    <t>11/18/2019</t>
  </si>
  <si>
    <t>11/15/2019</t>
  </si>
  <si>
    <t>11/14/2019</t>
  </si>
  <si>
    <t>11/13/2019</t>
  </si>
  <si>
    <t>10/31/2019</t>
  </si>
  <si>
    <t>10/30/2019</t>
  </si>
  <si>
    <t>10/29/2019</t>
  </si>
  <si>
    <t>10/27/2019</t>
  </si>
  <si>
    <t>10/25/2019</t>
  </si>
  <si>
    <t>10/24/2019</t>
  </si>
  <si>
    <t>10/23/2019</t>
  </si>
  <si>
    <t>10/22/2019</t>
  </si>
  <si>
    <t>10/18/2019</t>
  </si>
  <si>
    <t>10/17/2019</t>
  </si>
  <si>
    <t>10/16/2019</t>
  </si>
  <si>
    <t>10/15/2019</t>
  </si>
  <si>
    <t>10/14/2019</t>
  </si>
  <si>
    <t>09/30/2019</t>
  </si>
  <si>
    <t>09/27/2019</t>
  </si>
  <si>
    <t>09/26/2019</t>
  </si>
  <si>
    <t>09/25/2019</t>
  </si>
  <si>
    <t>09/24/2019</t>
  </si>
  <si>
    <t>09/23/2019</t>
  </si>
  <si>
    <t>09/20/2019</t>
  </si>
  <si>
    <t>09/19/2019</t>
  </si>
  <si>
    <t>09/18/2019</t>
  </si>
  <si>
    <t>09/17/2019</t>
  </si>
  <si>
    <t>09/16/2019</t>
  </si>
  <si>
    <t>09/13/2019</t>
  </si>
  <si>
    <t>08/30/2019</t>
  </si>
  <si>
    <t>08/29/2019</t>
  </si>
  <si>
    <t>08/28/2019</t>
  </si>
  <si>
    <t>08/27/2019</t>
  </si>
  <si>
    <t>08/26/2019</t>
  </si>
  <si>
    <t>08/23/2019</t>
  </si>
  <si>
    <t>08/22/2019</t>
  </si>
  <si>
    <t>08/21/2019</t>
  </si>
  <si>
    <t>08/20/2019</t>
  </si>
  <si>
    <t>08/19/2019</t>
  </si>
  <si>
    <t>08/16/2019</t>
  </si>
  <si>
    <t>08/14/2019</t>
  </si>
  <si>
    <t>08/13/2019</t>
  </si>
  <si>
    <t>07/31/2019</t>
  </si>
  <si>
    <t>07/30/2019</t>
  </si>
  <si>
    <t>07/29/2019</t>
  </si>
  <si>
    <t>07/26/2019</t>
  </si>
  <si>
    <t>07/25/2019</t>
  </si>
  <si>
    <t>07/24/2019</t>
  </si>
  <si>
    <t>07/23/2019</t>
  </si>
  <si>
    <t>07/22/2019</t>
  </si>
  <si>
    <t>07/19/2019</t>
  </si>
  <si>
    <t>07/18/2019</t>
  </si>
  <si>
    <t>07/17/2019</t>
  </si>
  <si>
    <t>07/16/2019</t>
  </si>
  <si>
    <t>07/15/2019</t>
  </si>
  <si>
    <t>06/28/2019</t>
  </si>
  <si>
    <t>06/27/2019</t>
  </si>
  <si>
    <t>06/26/2019</t>
  </si>
  <si>
    <t>06/25/2019</t>
  </si>
  <si>
    <t>06/24/2019</t>
  </si>
  <si>
    <t>06/21/2019</t>
  </si>
  <si>
    <t>06/20/2019</t>
  </si>
  <si>
    <t>06/19/2019</t>
  </si>
  <si>
    <t>06/18/2019</t>
  </si>
  <si>
    <t>06/17/2019</t>
  </si>
  <si>
    <t>06/14/2019</t>
  </si>
  <si>
    <t>06/13/2019</t>
  </si>
  <si>
    <t>05/31/2019</t>
  </si>
  <si>
    <t>05/30/2019</t>
  </si>
  <si>
    <t>05/29/2019</t>
  </si>
  <si>
    <t>05/28/2019</t>
  </si>
  <si>
    <t>05/27/2019</t>
  </si>
  <si>
    <t>05/24/2019</t>
  </si>
  <si>
    <t>05/23/2019</t>
  </si>
  <si>
    <t>05/22/2019</t>
  </si>
  <si>
    <t>05/21/2019</t>
  </si>
  <si>
    <t>05/20/2019</t>
  </si>
  <si>
    <t>05/17/2019</t>
  </si>
  <si>
    <t>05/16/2019</t>
  </si>
  <si>
    <t>05/15/2019</t>
  </si>
  <si>
    <t>05/14/2019</t>
  </si>
  <si>
    <t>05/13/2019</t>
  </si>
  <si>
    <t>04/30/2019</t>
  </si>
  <si>
    <t>04/26/2019</t>
  </si>
  <si>
    <t>04/25/2019</t>
  </si>
  <si>
    <t>04/24/2019</t>
  </si>
  <si>
    <t>04/23/2019</t>
  </si>
  <si>
    <t>04/22/2019</t>
  </si>
  <si>
    <t>04/18/2019</t>
  </si>
  <si>
    <t>04/16/2019</t>
  </si>
  <si>
    <t>04/15/2019</t>
  </si>
  <si>
    <t>03/29/2019</t>
  </si>
  <si>
    <t>03/28/2019</t>
  </si>
  <si>
    <t>03/27/2019</t>
  </si>
  <si>
    <t>03/26/2019</t>
  </si>
  <si>
    <t>03/25/2019</t>
  </si>
  <si>
    <t>03/22/2019</t>
  </si>
  <si>
    <t>03/20/2019</t>
  </si>
  <si>
    <t>03/19/2019</t>
  </si>
  <si>
    <t>03/18/2019</t>
  </si>
  <si>
    <t>03/15/2019</t>
  </si>
  <si>
    <t>03/14/2019</t>
  </si>
  <si>
    <t>03/13/2019</t>
  </si>
  <si>
    <t>02/28/2019</t>
  </si>
  <si>
    <t>02/27/2019</t>
  </si>
  <si>
    <t>02/26/2019</t>
  </si>
  <si>
    <t>02/25/2019</t>
  </si>
  <si>
    <t>02/22/2019</t>
  </si>
  <si>
    <t>02/21/2019</t>
  </si>
  <si>
    <t>02/20/2019</t>
  </si>
  <si>
    <t>02/19/2019</t>
  </si>
  <si>
    <t>02/18/2019</t>
  </si>
  <si>
    <t>02/15/2019</t>
  </si>
  <si>
    <t>02/14/2019</t>
  </si>
  <si>
    <t>02/13/2019</t>
  </si>
  <si>
    <t>01/31/2019</t>
  </si>
  <si>
    <t>01/30/2019</t>
  </si>
  <si>
    <t>01/29/2019</t>
  </si>
  <si>
    <t>01/28/2019</t>
  </si>
  <si>
    <t>01/25/2019</t>
  </si>
  <si>
    <t>01/24/2019</t>
  </si>
  <si>
    <t>01/23/2019</t>
  </si>
  <si>
    <t>01/22/2019</t>
  </si>
  <si>
    <t>01/21/2019</t>
  </si>
  <si>
    <t>01/18/2019</t>
  </si>
  <si>
    <t>01/17/2019</t>
  </si>
  <si>
    <t>01/16/2019</t>
  </si>
  <si>
    <t>01/15/2019</t>
  </si>
  <si>
    <t>01/14/2019</t>
  </si>
  <si>
    <t>12/31/2018</t>
  </si>
  <si>
    <t>12/28/2018</t>
  </si>
  <si>
    <t>12/27/2018</t>
  </si>
  <si>
    <t>12/26/2018</t>
  </si>
  <si>
    <t>12/24/2018</t>
  </si>
  <si>
    <t>12/21/2018</t>
  </si>
  <si>
    <t>12/20/2018</t>
  </si>
  <si>
    <t>12/19/2018</t>
  </si>
  <si>
    <t>12/18/2018</t>
  </si>
  <si>
    <t>12/17/2018</t>
  </si>
  <si>
    <t>12/14/2018</t>
  </si>
  <si>
    <t>12/13/2018</t>
  </si>
  <si>
    <t>11/30/2018</t>
  </si>
  <si>
    <t>11/29/2018</t>
  </si>
  <si>
    <t>11/28/2018</t>
  </si>
  <si>
    <t>11/27/2018</t>
  </si>
  <si>
    <t>11/26/2018</t>
  </si>
  <si>
    <t>11/22/2018</t>
  </si>
  <si>
    <t>11/21/2018</t>
  </si>
  <si>
    <t>11/20/2018</t>
  </si>
  <si>
    <t>11/19/2018</t>
  </si>
  <si>
    <t>11/16/2018</t>
  </si>
  <si>
    <t>11/15/2018</t>
  </si>
  <si>
    <t>11/14/2018</t>
  </si>
  <si>
    <t>11/13/2018</t>
  </si>
  <si>
    <t>10/31/2018</t>
  </si>
  <si>
    <t>10/30/2018</t>
  </si>
  <si>
    <t>10/29/2018</t>
  </si>
  <si>
    <t>10/26/2018</t>
  </si>
  <si>
    <t>10/25/2018</t>
  </si>
  <si>
    <t>10/24/2018</t>
  </si>
  <si>
    <t>10/23/2018</t>
  </si>
  <si>
    <t>10/22/2018</t>
  </si>
  <si>
    <t>10/19/2018</t>
  </si>
  <si>
    <t>10/17/2018</t>
  </si>
  <si>
    <t>10/16/2018</t>
  </si>
  <si>
    <t>10/15/2018</t>
  </si>
  <si>
    <t>09/28/2018</t>
  </si>
  <si>
    <t>09/27/2018</t>
  </si>
  <si>
    <t>09/26/2018</t>
  </si>
  <si>
    <t>09/25/2018</t>
  </si>
  <si>
    <t>09/24/2018</t>
  </si>
  <si>
    <t>09/21/2018</t>
  </si>
  <si>
    <t>09/19/2018</t>
  </si>
  <si>
    <t>09/18/2018</t>
  </si>
  <si>
    <t>09/17/2018</t>
  </si>
  <si>
    <t>09/14/2018</t>
  </si>
  <si>
    <t>08/31/2018</t>
  </si>
  <si>
    <t>08/30/2018</t>
  </si>
  <si>
    <t>08/29/2018</t>
  </si>
  <si>
    <t>08/28/2018</t>
  </si>
  <si>
    <t>08/27/2018</t>
  </si>
  <si>
    <t>08/24/2018</t>
  </si>
  <si>
    <t>08/23/2018</t>
  </si>
  <si>
    <t>08/21/2018</t>
  </si>
  <si>
    <t>08/20/2018</t>
  </si>
  <si>
    <t>08/17/2018</t>
  </si>
  <si>
    <t>08/16/2018</t>
  </si>
  <si>
    <t>08/14/2018</t>
  </si>
  <si>
    <t>08/13/2018</t>
  </si>
  <si>
    <t>07/31/2018</t>
  </si>
  <si>
    <t>07/30/2018</t>
  </si>
  <si>
    <t>07/27/2018</t>
  </si>
  <si>
    <t>07/26/2018</t>
  </si>
  <si>
    <t>07/25/2018</t>
  </si>
  <si>
    <t>07/24/2018</t>
  </si>
  <si>
    <t>07/23/2018</t>
  </si>
  <si>
    <t>07/20/2018</t>
  </si>
  <si>
    <t>07/19/2018</t>
  </si>
  <si>
    <t>07/18/2018</t>
  </si>
  <si>
    <t>07/17/2018</t>
  </si>
  <si>
    <t>07/16/2018</t>
  </si>
  <si>
    <t>07/13/2018</t>
  </si>
  <si>
    <t>06/29/2018</t>
  </si>
  <si>
    <t>06/28/2018</t>
  </si>
  <si>
    <t>06/27/2018</t>
  </si>
  <si>
    <t>06/26/2018</t>
  </si>
  <si>
    <t>06/25/2018</t>
  </si>
  <si>
    <t>06/22/2018</t>
  </si>
  <si>
    <t>06/21/2018</t>
  </si>
  <si>
    <t>06/20/2018</t>
  </si>
  <si>
    <t>06/19/2018</t>
  </si>
  <si>
    <t>06/18/2018</t>
  </si>
  <si>
    <t>06/15/2018</t>
  </si>
  <si>
    <t>06/14/2018</t>
  </si>
  <si>
    <t>06/13/2018</t>
  </si>
  <si>
    <t>05/31/2018</t>
  </si>
  <si>
    <t>05/30/2018</t>
  </si>
  <si>
    <t>05/29/2018</t>
  </si>
  <si>
    <t>05/28/2018</t>
  </si>
  <si>
    <t>05/25/2018</t>
  </si>
  <si>
    <t>05/24/2018</t>
  </si>
  <si>
    <t>05/23/2018</t>
  </si>
  <si>
    <t>05/22/2018</t>
  </si>
  <si>
    <t>05/21/2018</t>
  </si>
  <si>
    <t>05/18/2018</t>
  </si>
  <si>
    <t>05/17/2018</t>
  </si>
  <si>
    <t>05/16/2018</t>
  </si>
  <si>
    <t>05/15/2018</t>
  </si>
  <si>
    <t>05/14/2018</t>
  </si>
  <si>
    <t>04/30/2018</t>
  </si>
  <si>
    <t>04/27/2018</t>
  </si>
  <si>
    <t>04/26/2018</t>
  </si>
  <si>
    <t>04/25/2018</t>
  </si>
  <si>
    <t>04/24/2018</t>
  </si>
  <si>
    <t>04/23/2018</t>
  </si>
  <si>
    <t>04/20/2018</t>
  </si>
  <si>
    <t>04/19/2018</t>
  </si>
  <si>
    <t>04/18/2018</t>
  </si>
  <si>
    <t>04/17/2018</t>
  </si>
  <si>
    <t>04/16/2018</t>
  </si>
  <si>
    <t>04/13/2018</t>
  </si>
  <si>
    <t>03/28/2018</t>
  </si>
  <si>
    <t>03/27/2018</t>
  </si>
  <si>
    <t>03/26/2018</t>
  </si>
  <si>
    <t>03/23/2018</t>
  </si>
  <si>
    <t>03/22/2018</t>
  </si>
  <si>
    <t>03/21/2018</t>
  </si>
  <si>
    <t>03/20/2018</t>
  </si>
  <si>
    <t>03/19/2018</t>
  </si>
  <si>
    <t>03/16/2018</t>
  </si>
  <si>
    <t>03/15/2018</t>
  </si>
  <si>
    <t>03/14/2018</t>
  </si>
  <si>
    <t>03/13/2018</t>
  </si>
  <si>
    <t>02/28/2018</t>
  </si>
  <si>
    <t>02/27/2018</t>
  </si>
  <si>
    <t>02/26/2018</t>
  </si>
  <si>
    <t>02/23/2018</t>
  </si>
  <si>
    <t>02/22/2018</t>
  </si>
  <si>
    <t>02/21/2018</t>
  </si>
  <si>
    <t>02/20/2018</t>
  </si>
  <si>
    <t>02/19/2018</t>
  </si>
  <si>
    <t>02/16/2018</t>
  </si>
  <si>
    <t>02/15/2018</t>
  </si>
  <si>
    <t>02/14/2018</t>
  </si>
  <si>
    <t>01/31/2018</t>
  </si>
  <si>
    <t>01/30/2018</t>
  </si>
  <si>
    <t>01/29/2018</t>
  </si>
  <si>
    <t>01/25/2018</t>
  </si>
  <si>
    <t>01/24/2018</t>
  </si>
  <si>
    <t>01/23/2018</t>
  </si>
  <si>
    <t>01/22/2018</t>
  </si>
  <si>
    <t>01/19/2018</t>
  </si>
  <si>
    <t>01/18/2018</t>
  </si>
  <si>
    <t>01/17/2018</t>
  </si>
  <si>
    <t>01/16/2018</t>
  </si>
  <si>
    <t>01/15/2018</t>
  </si>
  <si>
    <t>12/29/2017</t>
  </si>
  <si>
    <t>12/28/2017</t>
  </si>
  <si>
    <t>12/27/2017</t>
  </si>
  <si>
    <t>12/26/2017</t>
  </si>
  <si>
    <t>12/22/2017</t>
  </si>
  <si>
    <t>12/21/2017</t>
  </si>
  <si>
    <t>12/20/2017</t>
  </si>
  <si>
    <t>12/19/2017</t>
  </si>
  <si>
    <t>12/18/2017</t>
  </si>
  <si>
    <t>12/15/2017</t>
  </si>
  <si>
    <t>12/14/2017</t>
  </si>
  <si>
    <t>12/13/2017</t>
  </si>
  <si>
    <t>11/30/2017</t>
  </si>
  <si>
    <t>11/29/2017</t>
  </si>
  <si>
    <t>11/28/2017</t>
  </si>
  <si>
    <t>11/27/2017</t>
  </si>
  <si>
    <t>11/24/2017</t>
  </si>
  <si>
    <t>11/23/2017</t>
  </si>
  <si>
    <t>11/22/2017</t>
  </si>
  <si>
    <t>11/21/2017</t>
  </si>
  <si>
    <t>11/20/2017</t>
  </si>
  <si>
    <t>11/17/2017</t>
  </si>
  <si>
    <t>11/16/2017</t>
  </si>
  <si>
    <t>11/15/2017</t>
  </si>
  <si>
    <t>11/14/2017</t>
  </si>
  <si>
    <t>11/13/2017</t>
  </si>
  <si>
    <t>10/31/2017</t>
  </si>
  <si>
    <t>10/30/2017</t>
  </si>
  <si>
    <t>10/27/2017</t>
  </si>
  <si>
    <t>10/26/2017</t>
  </si>
  <si>
    <t>10/25/2017</t>
  </si>
  <si>
    <t>10/24/2017</t>
  </si>
  <si>
    <t>10/23/2017</t>
  </si>
  <si>
    <t>10/19/2017</t>
  </si>
  <si>
    <t>10/18/2017</t>
  </si>
  <si>
    <t>10/17/2017</t>
  </si>
  <si>
    <t>10/16/2017</t>
  </si>
  <si>
    <t>10/13/2017</t>
  </si>
  <si>
    <t>09/29/2017</t>
  </si>
  <si>
    <t>09/28/2017</t>
  </si>
  <si>
    <t>09/27/2017</t>
  </si>
  <si>
    <t>09/26/2017</t>
  </si>
  <si>
    <t>09/25/2017</t>
  </si>
  <si>
    <t>09/22/2017</t>
  </si>
  <si>
    <t>09/21/2017</t>
  </si>
  <si>
    <t>09/20/2017</t>
  </si>
  <si>
    <t>09/19/2017</t>
  </si>
  <si>
    <t>09/18/2017</t>
  </si>
  <si>
    <t>09/15/2017</t>
  </si>
  <si>
    <t>09/14/2017</t>
  </si>
  <si>
    <t>09/13/2017</t>
  </si>
  <si>
    <t>08/31/2017</t>
  </si>
  <si>
    <t>08/30/2017</t>
  </si>
  <si>
    <t>08/29/2017</t>
  </si>
  <si>
    <t>08/28/2017</t>
  </si>
  <si>
    <t>08/24/2017</t>
  </si>
  <si>
    <t>08/23/2017</t>
  </si>
  <si>
    <t>08/22/2017</t>
  </si>
  <si>
    <t>08/21/2017</t>
  </si>
  <si>
    <t>08/18/2017</t>
  </si>
  <si>
    <t>08/17/2017</t>
  </si>
  <si>
    <t>08/16/2017</t>
  </si>
  <si>
    <t>08/14/2017</t>
  </si>
  <si>
    <t>07/31/2017</t>
  </si>
  <si>
    <t>07/28/2017</t>
  </si>
  <si>
    <t>07/27/2017</t>
  </si>
  <si>
    <t>07/26/2017</t>
  </si>
  <si>
    <t>07/25/2017</t>
  </si>
  <si>
    <t>07/24/2017</t>
  </si>
  <si>
    <t>07/21/2017</t>
  </si>
  <si>
    <t>07/20/2017</t>
  </si>
  <si>
    <t>07/19/2017</t>
  </si>
  <si>
    <t>07/18/2017</t>
  </si>
  <si>
    <t>07/17/2017</t>
  </si>
  <si>
    <t>07/14/2017</t>
  </si>
  <si>
    <t>07/13/2017</t>
  </si>
  <si>
    <t>06/30/2017</t>
  </si>
  <si>
    <t>06/29/2017</t>
  </si>
  <si>
    <t>06/28/2017</t>
  </si>
  <si>
    <t>06/27/2017</t>
  </si>
  <si>
    <t>06/23/2017</t>
  </si>
  <si>
    <t>06/22/2017</t>
  </si>
  <si>
    <t>06/21/2017</t>
  </si>
  <si>
    <t>06/20/2017</t>
  </si>
  <si>
    <t>06/19/2017</t>
  </si>
  <si>
    <t>06/16/2017</t>
  </si>
  <si>
    <t>06/15/2017</t>
  </si>
  <si>
    <t>06/14/2017</t>
  </si>
  <si>
    <t>06/13/2017</t>
  </si>
  <si>
    <t>05/31/2017</t>
  </si>
  <si>
    <t>05/30/2017</t>
  </si>
  <si>
    <t>05/29/2017</t>
  </si>
  <si>
    <t>05/26/2017</t>
  </si>
  <si>
    <t>05/25/2017</t>
  </si>
  <si>
    <t>05/24/2017</t>
  </si>
  <si>
    <t>05/23/2017</t>
  </si>
  <si>
    <t>05/22/2017</t>
  </si>
  <si>
    <t>05/19/2017</t>
  </si>
  <si>
    <t>05/18/2017</t>
  </si>
  <si>
    <t>05/17/2017</t>
  </si>
  <si>
    <t>05/16/2017</t>
  </si>
  <si>
    <t>05/15/2017</t>
  </si>
  <si>
    <t>04/28/2017</t>
  </si>
  <si>
    <t>04/27/2017</t>
  </si>
  <si>
    <t>04/26/2017</t>
  </si>
  <si>
    <t>04/25/2017</t>
  </si>
  <si>
    <t>04/24/2017</t>
  </si>
  <si>
    <t>04/21/2017</t>
  </si>
  <si>
    <t>04/20/2017</t>
  </si>
  <si>
    <t>04/19/2017</t>
  </si>
  <si>
    <t>04/18/2017</t>
  </si>
  <si>
    <t>04/17/2017</t>
  </si>
  <si>
    <t>04/13/2017</t>
  </si>
  <si>
    <t>03/31/2017</t>
  </si>
  <si>
    <t>03/30/2017</t>
  </si>
  <si>
    <t>03/29/2017</t>
  </si>
  <si>
    <t>03/28/2017</t>
  </si>
  <si>
    <t>03/27/2017</t>
  </si>
  <si>
    <t>03/24/2017</t>
  </si>
  <si>
    <t>03/23/2017</t>
  </si>
  <si>
    <t>03/22/2017</t>
  </si>
  <si>
    <t>03/21/2017</t>
  </si>
  <si>
    <t>03/20/2017</t>
  </si>
  <si>
    <t>03/17/2017</t>
  </si>
  <si>
    <t>03/16/2017</t>
  </si>
  <si>
    <t>03/15/2017</t>
  </si>
  <si>
    <t>03/14/2017</t>
  </si>
  <si>
    <t>02/28/2017</t>
  </si>
  <si>
    <t>02/27/2017</t>
  </si>
  <si>
    <t>02/23/2017</t>
  </si>
  <si>
    <t>02/22/2017</t>
  </si>
  <si>
    <t>02/21/2017</t>
  </si>
  <si>
    <t>02/20/2017</t>
  </si>
  <si>
    <t>02/17/2017</t>
  </si>
  <si>
    <t>02/16/2017</t>
  </si>
  <si>
    <t>02/15/2017</t>
  </si>
  <si>
    <t>02/14/2017</t>
  </si>
  <si>
    <t>02/13/2017</t>
  </si>
  <si>
    <t>01/31/2017</t>
  </si>
  <si>
    <t>01/30/2017</t>
  </si>
  <si>
    <t>01/27/2017</t>
  </si>
  <si>
    <t>01/25/2017</t>
  </si>
  <si>
    <t>01/24/2017</t>
  </si>
  <si>
    <t>01/23/2017</t>
  </si>
  <si>
    <t>01/20/2017</t>
  </si>
  <si>
    <t>01/19/2017</t>
  </si>
  <si>
    <t>01/18/2017</t>
  </si>
  <si>
    <t>01/17/2017</t>
  </si>
  <si>
    <t>01/16/2017</t>
  </si>
  <si>
    <t>01/13/2017</t>
  </si>
  <si>
    <t>12/30/2016</t>
  </si>
  <si>
    <t>12/29/2016</t>
  </si>
  <si>
    <t>12/28/2016</t>
  </si>
  <si>
    <t>12/27/2016</t>
  </si>
  <si>
    <t>12/26/2016</t>
  </si>
  <si>
    <t>12/23/2016</t>
  </si>
  <si>
    <t>12/22/2016</t>
  </si>
  <si>
    <t>12/21/2016</t>
  </si>
  <si>
    <t>12/20/2016</t>
  </si>
  <si>
    <t>12/19/2016</t>
  </si>
  <si>
    <t>12/16/2016</t>
  </si>
  <si>
    <t>12/15/2016</t>
  </si>
  <si>
    <t>12/14/2016</t>
  </si>
  <si>
    <t>12/13/2016</t>
  </si>
  <si>
    <t>11/30/2016</t>
  </si>
  <si>
    <t>11/29/2016</t>
  </si>
  <si>
    <t>11/28/2016</t>
  </si>
  <si>
    <t>11/25/2016</t>
  </si>
  <si>
    <t>11/24/2016</t>
  </si>
  <si>
    <t>11/23/2016</t>
  </si>
  <si>
    <t>11/22/2016</t>
  </si>
  <si>
    <t>11/21/2016</t>
  </si>
  <si>
    <t>11/18/2016</t>
  </si>
  <si>
    <t>11/17/2016</t>
  </si>
  <si>
    <t>11/16/2016</t>
  </si>
  <si>
    <t>11/15/2016</t>
  </si>
  <si>
    <t>10/30/2016</t>
  </si>
  <si>
    <t>10/28/2016</t>
  </si>
  <si>
    <t>10/27/2016</t>
  </si>
  <si>
    <t>10/26/2016</t>
  </si>
  <si>
    <t>10/25/2016</t>
  </si>
  <si>
    <t>10/24/2016</t>
  </si>
  <si>
    <t>10/21/2016</t>
  </si>
  <si>
    <t>10/20/2016</t>
  </si>
  <si>
    <t>10/19/2016</t>
  </si>
  <si>
    <t>10/18/2016</t>
  </si>
  <si>
    <t>10/17/2016</t>
  </si>
  <si>
    <t>10/14/2016</t>
  </si>
  <si>
    <t>10/13/2016</t>
  </si>
  <si>
    <t>09/30/2016</t>
  </si>
  <si>
    <t>09/29/2016</t>
  </si>
  <si>
    <t>09/28/2016</t>
  </si>
  <si>
    <t>09/27/2016</t>
  </si>
  <si>
    <t>09/26/2016</t>
  </si>
  <si>
    <t>09/23/2016</t>
  </si>
  <si>
    <t>09/22/2016</t>
  </si>
  <si>
    <t>09/21/2016</t>
  </si>
  <si>
    <t>09/20/2016</t>
  </si>
  <si>
    <t>09/19/2016</t>
  </si>
  <si>
    <t>09/16/2016</t>
  </si>
  <si>
    <t>09/15/2016</t>
  </si>
  <si>
    <t>09/14/2016</t>
  </si>
  <si>
    <t>08/31/2016</t>
  </si>
  <si>
    <t>08/30/2016</t>
  </si>
  <si>
    <t>08/29/2016</t>
  </si>
  <si>
    <t>08/26/2016</t>
  </si>
  <si>
    <t>08/25/2016</t>
  </si>
  <si>
    <t>08/24/2016</t>
  </si>
  <si>
    <t>08/23/2016</t>
  </si>
  <si>
    <t>08/22/2016</t>
  </si>
  <si>
    <t>08/19/2016</t>
  </si>
  <si>
    <t>08/18/2016</t>
  </si>
  <si>
    <t>08/17/2016</t>
  </si>
  <si>
    <t>08/16/2016</t>
  </si>
  <si>
    <t>Asian Paints</t>
  </si>
  <si>
    <t>Sensitivity Analysis</t>
  </si>
</sst>
</file>

<file path=xl/styles.xml><?xml version="1.0" encoding="utf-8"?>
<styleSheet xmlns="http://schemas.openxmlformats.org/spreadsheetml/2006/main">
  <numFmts count="26">
    <numFmt numFmtId="0" formatCode="General"/>
    <numFmt numFmtId="166" formatCode="#,##0.0"/>
    <numFmt numFmtId="2" formatCode="0.00"/>
    <numFmt numFmtId="14" formatCode="m/d/yyyy"/>
    <numFmt numFmtId="175" formatCode="0.000"/>
    <numFmt numFmtId="177" formatCode="0.0000"/>
    <numFmt numFmtId="10" formatCode="0.00%"/>
    <numFmt numFmtId="178" formatCode="0.0%"/>
    <numFmt numFmtId="179" formatCode="0.0"/>
    <numFmt numFmtId="17" formatCode="mmm-yy"/>
    <numFmt numFmtId="4" formatCode="#,##0.00"/>
    <numFmt numFmtId="9" formatCode="0%"/>
    <numFmt numFmtId="174" formatCode="mmm\-yy&quot;A&quot;"/>
    <numFmt numFmtId="173" formatCode="mmm\-yy&quot;E&quot;"/>
    <numFmt numFmtId="171" formatCode="#,##0.0;\(#,##0.0\);\-"/>
    <numFmt numFmtId="3" formatCode="#,##0"/>
    <numFmt numFmtId="172" formatCode="0.000000000000000%"/>
    <numFmt numFmtId="176" formatCode="0.0\X"/>
    <numFmt numFmtId="180" formatCode="0.0\x"/>
    <numFmt numFmtId="167" formatCode="&quot;₹&quot;\ #,##0.0;\(&quot;₹&quot;\ #,##0.0\);\-"/>
    <numFmt numFmtId="164" formatCode="_ * #,##0.00_ ;_ * \-#,##0.00_ ;_ * &quot;-&quot;??_ ;_ @_ "/>
    <numFmt numFmtId="168" formatCode="&quot;₹&quot;\ #,##0.00"/>
    <numFmt numFmtId="39" formatCode="#,##0.00_);!(#,##0.00!)"/>
    <numFmt numFmtId="169" formatCode="&quot;₹&quot;\ #,##0.00;\(&quot;₹&quot;\ #,##0.00\);\-"/>
    <numFmt numFmtId="170" formatCode="[$-409]mmm\-yy;@"/>
    <numFmt numFmtId="165" formatCode="_(* #,##0.00_);_(* \(#,##0.00\);_(* &quot;-&quot;??_);_(@_)"/>
  </numFmts>
  <fonts count="49">
    <font>
      <name val="Calibri"/>
      <sz val="11"/>
    </font>
    <font>
      <name val="calibri"/>
      <b/>
      <sz val="11"/>
      <color rgb="FFFFFFFF"/>
    </font>
    <font>
      <name val="Calibri"/>
      <sz val="11"/>
      <color rgb="FF000000"/>
    </font>
    <font>
      <name val="Calibri"/>
      <sz val="11"/>
      <color rgb="FF000000"/>
    </font>
    <font>
      <name val="calibri"/>
      <b/>
      <sz val="11"/>
      <color rgb="FF000000"/>
    </font>
    <font>
      <name val="Calibri"/>
      <b/>
      <sz val="22"/>
      <color rgb="FF002060"/>
    </font>
    <font>
      <name val="calibri"/>
      <b/>
      <sz val="14"/>
      <color rgb="FF002060"/>
    </font>
    <font>
      <name val="calibri"/>
      <b/>
      <sz val="18"/>
      <color rgb="FF002060"/>
    </font>
    <font>
      <name val="Arial"/>
      <sz val="12"/>
      <color rgb="FF000000"/>
    </font>
    <font>
      <name val="Arial"/>
      <b/>
      <sz val="12"/>
      <color rgb="FF202122"/>
    </font>
    <font>
      <name val="calibri"/>
      <b/>
      <sz val="14"/>
      <color rgb="FFFF0000"/>
    </font>
    <font>
      <name val="Calibri"/>
      <b/>
      <sz val="11"/>
      <color rgb="FF002060"/>
    </font>
    <font>
      <name val="Calibri"/>
      <sz val="11"/>
      <color rgb="FF002060"/>
    </font>
    <font>
      <name val="calibri"/>
      <sz val="11"/>
      <color rgb="FFFFFFFF"/>
    </font>
    <font>
      <name val="calibri"/>
      <sz val="11"/>
      <color rgb="FF3333FF"/>
    </font>
    <font>
      <name val="calibri"/>
      <b/>
      <sz val="14"/>
      <color rgb="FF000000"/>
    </font>
    <font>
      <name val="calibri"/>
      <sz val="14"/>
      <color rgb="FF000000"/>
    </font>
    <font>
      <name val="calibri"/>
      <i/>
      <sz val="10"/>
      <color rgb="FF000000"/>
    </font>
    <font>
      <name val="calibri"/>
      <sz val="11"/>
    </font>
    <font>
      <name val="calibri"/>
      <i/>
      <sz val="9"/>
      <color rgb="FF000000"/>
    </font>
    <font>
      <name val="Calibri"/>
      <sz val="13"/>
      <color rgb="FF000000"/>
    </font>
    <font>
      <name val="calibri"/>
      <b/>
      <sz val="13"/>
      <color rgb="FFFFFFFF"/>
    </font>
    <font>
      <name val="Calibri"/>
      <sz val="13"/>
      <color rgb="FFFFFFFF"/>
    </font>
    <font>
      <name val="calibri"/>
      <i/>
      <sz val="11"/>
      <color rgb="FF000000"/>
    </font>
    <font>
      <name val="Calibri"/>
      <i/>
      <sz val="11"/>
      <color rgb="FF000000"/>
    </font>
    <font>
      <name val="Calibri"/>
      <b/>
      <sz val="11"/>
      <color rgb="FF002060"/>
    </font>
    <font>
      <name val="Calibri"/>
      <sz val="11"/>
      <color rgb="FFFFFFFF"/>
    </font>
    <font>
      <name val="Calibri"/>
      <b/>
      <sz val="11"/>
      <color rgb="FF000000"/>
    </font>
    <font>
      <name val="Calibri"/>
      <b/>
      <sz val="11"/>
      <color rgb="FFFFFFFF"/>
    </font>
    <font>
      <name val="Arial"/>
      <sz val="11"/>
      <color rgb="FF606F7B"/>
    </font>
    <font>
      <name val="Arial"/>
      <sz val="11"/>
      <color rgb="FF22222F"/>
    </font>
    <font>
      <name val="calibri"/>
      <u/>
      <sz val="11"/>
      <color rgb="FF0563C1"/>
    </font>
    <font>
      <name val="Arial"/>
      <sz val="11"/>
      <color rgb="FF22222F"/>
    </font>
    <font>
      <name val="Calibri"/>
      <b/>
      <sz val="22"/>
      <color rgb="FF203764"/>
    </font>
    <font>
      <name val="calibri"/>
      <b/>
      <sz val="14"/>
      <color rgb="FF203764"/>
    </font>
    <font>
      <name val="Arial"/>
      <sz val="10"/>
      <color rgb="FF000000"/>
    </font>
    <font>
      <name val="calibri"/>
      <i/>
      <sz val="11"/>
      <color rgb="FF808080"/>
    </font>
    <font>
      <name val="Calibri "/>
      <sz val="11"/>
      <color rgb="FF22222F"/>
    </font>
    <font>
      <name val="Calibri "/>
      <sz val="11"/>
      <color rgb="FF22222F"/>
    </font>
    <font>
      <name val="Arial"/>
      <sz val="11"/>
      <color rgb="FF606F7B"/>
    </font>
    <font>
      <name val="Arial"/>
      <sz val="11"/>
      <color rgb="FF22222F"/>
    </font>
    <font>
      <name val="Arial"/>
      <sz val="11"/>
      <color rgb="FF606F7B"/>
    </font>
    <font>
      <name val="Arial"/>
      <b/>
      <sz val="10"/>
      <color rgb="FF000000"/>
    </font>
    <font>
      <name val="Arial"/>
      <u/>
      <sz val="10"/>
      <color rgb="FF0563C1"/>
    </font>
    <font>
      <name val="Arial"/>
      <b/>
      <sz val="10"/>
      <color rgb="FFFFFFFF"/>
    </font>
    <font>
      <name val="Arial"/>
      <sz val="10"/>
    </font>
    <font>
      <name val="Arial Narrow"/>
      <sz val="11"/>
      <color rgb="FF000000"/>
    </font>
    <font>
      <name val="Arial"/>
      <sz val="11"/>
      <color rgb="FF22222F"/>
    </font>
    <font>
      <name val="calibri"/>
      <sz val="11"/>
      <color rgb="FF000000"/>
    </font>
  </fonts>
  <fills count="11">
    <fill>
      <patternFill patternType="none"/>
    </fill>
    <fill>
      <patternFill patternType="gray125"/>
    </fill>
    <fill>
      <patternFill patternType="solid">
        <fgColor rgb="FF002060"/>
        <bgColor indexed="64"/>
      </patternFill>
    </fill>
    <fill>
      <patternFill patternType="solid">
        <fgColor rgb="FFFFFFFF"/>
        <bgColor indexed="64"/>
      </patternFill>
    </fill>
    <fill>
      <patternFill patternType="solid">
        <fgColor rgb="FFF2F2F2"/>
        <bgColor indexed="64"/>
      </patternFill>
    </fill>
    <fill>
      <patternFill patternType="solid">
        <fgColor rgb="FFD9D9D9"/>
        <bgColor indexed="64"/>
      </patternFill>
    </fill>
    <fill>
      <patternFill patternType="solid">
        <fgColor rgb="FFDDEBF7"/>
        <bgColor indexed="64"/>
      </patternFill>
    </fill>
    <fill>
      <patternFill patternType="solid">
        <fgColor rgb="FF1F4E78"/>
        <bgColor indexed="64"/>
      </patternFill>
    </fill>
    <fill>
      <patternFill patternType="solid">
        <fgColor rgb="FF203764"/>
        <bgColor indexed="64"/>
      </patternFill>
    </fill>
    <fill>
      <patternFill patternType="solid">
        <fgColor rgb="FF70AD47"/>
      </patternFill>
    </fill>
    <fill>
      <patternFill patternType="solid">
        <fgColor rgb="FF0275D8"/>
        <bgColor indexed="64"/>
      </patternFill>
    </fill>
  </fills>
  <borders count="20">
    <border>
      <left/>
      <right/>
      <top/>
      <bottom/>
      <diagonal/>
    </border>
    <border>
      <left/>
      <right/>
      <top style="medium">
        <color indexed="64"/>
      </top>
      <bottom style="medium">
        <color indexed="64"/>
      </bottom>
      <diagonal/>
    </border>
    <border>
      <left/>
      <right/>
      <top/>
      <bottom style="hair">
        <color indexed="64"/>
      </bottom>
      <diagonal/>
    </border>
    <border>
      <left/>
      <right/>
      <top style="hair">
        <color indexed="64"/>
      </top>
      <bottom style="hair">
        <color indexed="64"/>
      </bottom>
      <diagonal/>
    </border>
    <border>
      <left/>
      <right/>
      <top style="medium">
        <color rgb="FF002060"/>
      </top>
      <bottom/>
      <diagonal/>
    </border>
    <border>
      <left/>
      <right/>
      <top style="hair">
        <color rgb="FF002060"/>
      </top>
      <bottom style="medium">
        <color rgb="FF002060"/>
      </bottom>
      <diagonal/>
    </border>
    <border>
      <left/>
      <right/>
      <top style="thin">
        <color rgb="FF002060"/>
      </top>
      <bottom/>
      <diagonal/>
    </border>
    <border>
      <left/>
      <right/>
      <top/>
      <bottom style="thin">
        <color rgb="FF002060"/>
      </bottom>
      <diagonal/>
    </border>
    <border>
      <left/>
      <right/>
      <top style="thin">
        <color indexed="64"/>
      </top>
      <bottom/>
      <diagonal/>
    </border>
    <border>
      <left/>
      <right/>
      <top/>
      <bottom style="thin">
        <color indexed="64"/>
      </bottom>
      <diagonal/>
    </border>
    <border>
      <left/>
      <right/>
      <top style="hair">
        <color indexed="64"/>
      </top>
      <bottom/>
      <diagonal/>
    </border>
    <border>
      <left/>
      <right/>
      <top style="hair">
        <color rgb="FF002060"/>
      </top>
      <bottom style="hair">
        <color rgb="FF002060"/>
      </bottom>
      <diagonal/>
    </border>
    <border>
      <left/>
      <right/>
      <top style="thin">
        <color rgb="FF002060"/>
      </top>
      <bottom style="medium">
        <color rgb="FF002060"/>
      </bottom>
      <diagonal/>
    </border>
    <border>
      <left/>
      <right/>
      <top/>
      <bottom style="thin">
        <color rgb="FF1F4E78"/>
      </bottom>
      <diagonal/>
    </border>
    <border>
      <left/>
      <right/>
      <top/>
      <bottom style="hair">
        <color rgb="FF002060"/>
      </bottom>
      <diagonal/>
    </border>
    <border>
      <left/>
      <right/>
      <top/>
      <bottom style="thin">
        <color rgb="FFFFFFFF"/>
      </bottom>
      <diagonal/>
    </border>
    <border>
      <left/>
      <right/>
      <top style="thin">
        <color indexed="64"/>
      </top>
      <bottom style="thin">
        <color indexed="64"/>
      </bottom>
      <diagonal/>
    </border>
    <border>
      <left/>
      <right/>
      <top style="medium">
        <color rgb="FF203764"/>
      </top>
      <bottom/>
      <diagonal/>
    </border>
    <border>
      <left/>
      <right/>
      <top style="hair">
        <color rgb="FF002060"/>
      </top>
      <bottom/>
      <diagonal/>
    </border>
    <border>
      <left/>
      <right/>
      <top style="thin">
        <color rgb="FF002060"/>
      </top>
      <bottom style="thin">
        <color rgb="FF002060"/>
      </bottom>
      <diagonal/>
    </border>
  </borders>
  <cellStyleXfs count="9">
    <xf numFmtId="0" fontId="0" fillId="0" borderId="0">
      <alignment vertical="center"/>
    </xf>
    <xf numFmtId="9" fontId="48" fillId="0" borderId="0">
      <alignment vertical="top"/>
      <protection locked="0" hidden="0"/>
    </xf>
    <xf numFmtId="0" fontId="31" fillId="0" borderId="0">
      <alignment vertical="top"/>
      <protection locked="0" hidden="0"/>
    </xf>
    <xf numFmtId="164" fontId="3" fillId="0" borderId="0">
      <alignment vertical="top"/>
      <protection locked="0" hidden="0"/>
    </xf>
    <xf numFmtId="0" fontId="3" fillId="0" borderId="0">
      <alignment vertical="bottom"/>
      <protection locked="0" hidden="0"/>
    </xf>
    <xf numFmtId="9" fontId="3" fillId="0" borderId="0">
      <alignment vertical="top"/>
      <protection locked="0" hidden="0"/>
    </xf>
    <xf numFmtId="0" fontId="31" fillId="0" borderId="0">
      <alignment vertical="top"/>
      <protection locked="0" hidden="0"/>
    </xf>
    <xf numFmtId="0" fontId="26" fillId="9" borderId="0">
      <alignment vertical="top"/>
      <protection locked="0" hidden="0"/>
    </xf>
    <xf numFmtId="0" fontId="46" fillId="0" borderId="0">
      <alignment vertical="bottom"/>
      <protection locked="0" hidden="0"/>
    </xf>
  </cellStyleXfs>
  <cellXfs count="261">
    <xf numFmtId="0" fontId="0" fillId="0" borderId="0" xfId="0">
      <alignment vertical="center"/>
    </xf>
    <xf numFmtId="0" fontId="1" fillId="2" borderId="0" xfId="0" applyFont="1" applyFill="1" applyAlignment="1">
      <alignment vertical="bottom"/>
    </xf>
    <xf numFmtId="0" fontId="2" fillId="2" borderId="0" xfId="0" applyFill="1" applyAlignment="1">
      <alignment vertical="bottom"/>
    </xf>
    <xf numFmtId="0" fontId="2" fillId="0" borderId="0" xfId="0" applyAlignment="1">
      <alignment horizontal="center" vertical="bottom"/>
    </xf>
    <xf numFmtId="166" fontId="3" fillId="0" borderId="0" xfId="0" applyNumberFormat="1" applyFont="1" applyAlignment="1">
      <alignment vertical="bottom"/>
    </xf>
    <xf numFmtId="2" fontId="2" fillId="0" borderId="0" xfId="0" applyNumberFormat="1" applyAlignment="1">
      <alignment vertical="bottom"/>
    </xf>
    <xf numFmtId="0" fontId="1" fillId="2" borderId="0" xfId="0" applyFont="1" applyFill="1" applyAlignment="1">
      <alignment horizontal="right" vertical="bottom"/>
    </xf>
    <xf numFmtId="14" fontId="2" fillId="0" borderId="0" xfId="0" applyNumberFormat="1" applyAlignment="1">
      <alignment horizontal="left" vertical="bottom"/>
    </xf>
    <xf numFmtId="2" fontId="2" fillId="0" borderId="0" xfId="0" applyNumberFormat="1" applyAlignment="1">
      <alignment horizontal="right" vertical="bottom"/>
    </xf>
    <xf numFmtId="0" fontId="2" fillId="0" borderId="0" xfId="0" applyAlignment="1">
      <alignment horizontal="right" vertical="bottom"/>
    </xf>
    <xf numFmtId="175" fontId="2" fillId="0" borderId="0" xfId="0" applyNumberFormat="1" applyAlignment="1">
      <alignment horizontal="right" vertical="bottom"/>
    </xf>
    <xf numFmtId="0" fontId="1" fillId="0" borderId="0" xfId="0" applyFont="1" applyAlignment="1">
      <alignment vertical="bottom"/>
    </xf>
    <xf numFmtId="0" fontId="4" fillId="0" borderId="1" xfId="0" applyFont="1" applyBorder="1" applyAlignment="1">
      <alignment horizontal="left" vertical="bottom"/>
    </xf>
    <xf numFmtId="0" fontId="2" fillId="0" borderId="1" xfId="0" applyBorder="1" applyAlignment="1">
      <alignment vertical="bottom"/>
    </xf>
    <xf numFmtId="0" fontId="2" fillId="0" borderId="2" xfId="0" applyBorder="1" applyAlignment="1">
      <alignment horizontal="left" vertical="bottom"/>
    </xf>
    <xf numFmtId="0" fontId="2" fillId="0" borderId="2" xfId="0" applyBorder="1" applyAlignment="1">
      <alignment vertical="bottom"/>
    </xf>
    <xf numFmtId="177" fontId="2" fillId="0" borderId="2" xfId="0" applyNumberFormat="1" applyBorder="1" applyAlignment="1">
      <alignment vertical="bottom"/>
    </xf>
    <xf numFmtId="10" fontId="2" fillId="0" borderId="2" xfId="1" applyNumberFormat="1" applyFont="1" applyBorder="1" applyAlignment="1">
      <alignment vertical="bottom"/>
    </xf>
    <xf numFmtId="0" fontId="2" fillId="0" borderId="3" xfId="0" applyBorder="1" applyAlignment="1">
      <alignment horizontal="left" vertical="bottom"/>
    </xf>
    <xf numFmtId="0" fontId="2" fillId="0" borderId="3" xfId="0" applyBorder="1" applyAlignment="1">
      <alignment vertical="bottom"/>
    </xf>
    <xf numFmtId="177" fontId="2" fillId="0" borderId="3" xfId="0" applyNumberFormat="1" applyBorder="1" applyAlignment="1">
      <alignment vertical="bottom"/>
    </xf>
    <xf numFmtId="10" fontId="2" fillId="0" borderId="3" xfId="1" applyNumberFormat="1" applyFont="1" applyBorder="1" applyAlignment="1">
      <alignment vertical="bottom"/>
    </xf>
    <xf numFmtId="0" fontId="4" fillId="0" borderId="0" xfId="0" applyFont="1" applyAlignment="1">
      <alignment horizontal="left" vertical="bottom"/>
    </xf>
    <xf numFmtId="177" fontId="2" fillId="0" borderId="0" xfId="0" applyNumberFormat="1" applyAlignment="1">
      <alignment vertical="bottom"/>
    </xf>
    <xf numFmtId="0" fontId="4" fillId="0" borderId="1" xfId="0" applyFont="1" applyBorder="1" applyAlignment="1">
      <alignment vertical="bottom"/>
    </xf>
    <xf numFmtId="0" fontId="4" fillId="0" borderId="1" xfId="0" applyFont="1" applyBorder="1" applyAlignment="1">
      <alignment horizontal="right" vertical="bottom"/>
    </xf>
    <xf numFmtId="177" fontId="4" fillId="0" borderId="1" xfId="0" applyNumberFormat="1" applyFont="1" applyBorder="1" applyAlignment="1">
      <alignment horizontal="right" vertical="bottom"/>
    </xf>
    <xf numFmtId="178" fontId="2" fillId="0" borderId="2" xfId="1" applyNumberFormat="1" applyFont="1" applyBorder="1" applyAlignment="1">
      <alignment horizontal="left" vertical="bottom"/>
    </xf>
    <xf numFmtId="10" fontId="2" fillId="0" borderId="2" xfId="0" applyNumberFormat="1" applyBorder="1" applyAlignment="1">
      <alignment vertical="bottom"/>
    </xf>
    <xf numFmtId="179" fontId="2" fillId="0" borderId="2" xfId="0" applyNumberFormat="1" applyBorder="1" applyAlignment="1">
      <alignment vertical="bottom"/>
    </xf>
    <xf numFmtId="178" fontId="2" fillId="0" borderId="3" xfId="1" applyNumberFormat="1" applyFont="1" applyBorder="1" applyAlignment="1">
      <alignment horizontal="left" vertical="bottom"/>
    </xf>
    <xf numFmtId="10" fontId="2" fillId="0" borderId="3" xfId="0" applyNumberFormat="1" applyBorder="1" applyAlignment="1">
      <alignment vertical="bottom"/>
    </xf>
    <xf numFmtId="179" fontId="2" fillId="0" borderId="3" xfId="0" applyNumberFormat="1" applyBorder="1" applyAlignment="1">
      <alignment vertical="bottom"/>
    </xf>
    <xf numFmtId="0" fontId="5" fillId="3" borderId="0" xfId="0" applyFont="1" applyFill="1" applyAlignment="1">
      <alignment vertical="bottom"/>
    </xf>
    <xf numFmtId="0" fontId="6" fillId="0" borderId="0" xfId="0" applyFont="1" applyAlignment="1">
      <alignment vertical="bottom"/>
    </xf>
    <xf numFmtId="0" fontId="7" fillId="0" borderId="4" xfId="0" applyFont="1" applyBorder="1" applyAlignment="1">
      <alignment horizontal="center" vertical="bottom"/>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vertical="bottom"/>
    </xf>
    <xf numFmtId="0" fontId="11" fillId="0" borderId="0" xfId="0" applyFont="1" applyAlignment="1">
      <alignment vertical="bottom"/>
    </xf>
    <xf numFmtId="0" fontId="12" fillId="0" borderId="0" xfId="0" applyFont="1" applyAlignment="1">
      <alignment vertical="bottom"/>
    </xf>
    <xf numFmtId="0" fontId="2" fillId="2" borderId="4" xfId="0" applyFill="1" applyBorder="1" applyAlignment="1">
      <alignment vertical="bottom"/>
    </xf>
    <xf numFmtId="0" fontId="1" fillId="2" borderId="0" xfId="0" applyFont="1" applyFill="1" applyAlignment="1">
      <alignment horizontal="center" vertical="bottom"/>
    </xf>
    <xf numFmtId="17" fontId="4" fillId="0" borderId="0" xfId="0" applyNumberFormat="1" applyFont="1" applyAlignment="1">
      <alignment vertical="bottom"/>
    </xf>
    <xf numFmtId="4" fontId="2" fillId="0" borderId="0" xfId="0" applyNumberFormat="1" applyAlignment="1">
      <alignment vertical="bottom"/>
    </xf>
    <xf numFmtId="10" fontId="1" fillId="2" borderId="0" xfId="1" applyNumberFormat="1" applyFont="1" applyFill="1" applyAlignment="1">
      <alignment vertical="bottom"/>
    </xf>
    <xf numFmtId="0" fontId="2" fillId="0" borderId="0" xfId="0" applyAlignment="1">
      <alignment vertical="bottom"/>
    </xf>
    <xf numFmtId="0" fontId="4" fillId="0" borderId="0" xfId="0" applyFont="1" applyAlignment="1">
      <alignment vertical="bottom"/>
    </xf>
    <xf numFmtId="10" fontId="4" fillId="0" borderId="0" xfId="1" applyNumberFormat="1" applyFont="1" applyFill="1" applyAlignment="1">
      <alignment vertical="bottom"/>
    </xf>
    <xf numFmtId="9" fontId="2" fillId="0" borderId="0" xfId="1" applyFont="1" applyAlignment="1">
      <alignment vertical="bottom"/>
    </xf>
    <xf numFmtId="0" fontId="13" fillId="2" borderId="0" xfId="0" applyFont="1" applyFill="1" applyAlignment="1">
      <alignment vertical="bottom"/>
    </xf>
    <xf numFmtId="4" fontId="13" fillId="2" borderId="0" xfId="0" applyNumberFormat="1" applyFont="1" applyFill="1" applyAlignment="1">
      <alignment vertical="bottom"/>
    </xf>
    <xf numFmtId="4" fontId="11" fillId="0" borderId="0" xfId="0" applyNumberFormat="1" applyFont="1" applyAlignment="1">
      <alignment horizontal="right" vertical="bottom"/>
    </xf>
    <xf numFmtId="174" fontId="1" fillId="2" borderId="0" xfId="0" applyNumberFormat="1" applyFont="1" applyFill="1" applyAlignment="1">
      <alignment vertical="bottom"/>
    </xf>
    <xf numFmtId="173" fontId="1" fillId="2" borderId="0" xfId="0" applyNumberFormat="1" applyFont="1" applyFill="1" applyAlignment="1">
      <alignment vertical="bottom"/>
    </xf>
    <xf numFmtId="0" fontId="2" fillId="4" borderId="3" xfId="0" applyFill="1" applyBorder="1" applyAlignment="1">
      <alignment vertical="bottom"/>
    </xf>
    <xf numFmtId="2" fontId="2" fillId="0" borderId="3" xfId="0" applyNumberFormat="1" applyBorder="1" applyAlignment="1">
      <alignment vertical="bottom"/>
    </xf>
    <xf numFmtId="10" fontId="14" fillId="4" borderId="3" xfId="0" applyNumberFormat="1" applyFont="1" applyFill="1" applyBorder="1" applyAlignment="1">
      <alignment vertical="bottom"/>
    </xf>
    <xf numFmtId="0" fontId="14" fillId="0" borderId="3" xfId="0" applyFont="1" applyBorder="1" applyAlignment="1">
      <alignment vertical="bottom"/>
    </xf>
    <xf numFmtId="175" fontId="2" fillId="0" borderId="3" xfId="0" applyNumberFormat="1" applyBorder="1" applyAlignment="1">
      <alignment vertical="bottom"/>
    </xf>
    <xf numFmtId="0" fontId="2" fillId="4" borderId="0" xfId="0" applyFill="1" applyAlignment="1">
      <alignment vertical="bottom"/>
    </xf>
    <xf numFmtId="0" fontId="4" fillId="0" borderId="5" xfId="0" applyFont="1" applyBorder="1" applyAlignment="1">
      <alignment vertical="bottom"/>
    </xf>
    <xf numFmtId="0" fontId="4" fillId="4" borderId="5" xfId="0" applyFont="1" applyFill="1" applyBorder="1" applyAlignment="1">
      <alignment vertical="bottom"/>
    </xf>
    <xf numFmtId="2" fontId="4" fillId="0" borderId="5" xfId="0" applyNumberFormat="1" applyFont="1" applyBorder="1" applyAlignment="1">
      <alignment vertical="bottom"/>
    </xf>
    <xf numFmtId="0" fontId="2" fillId="5" borderId="0" xfId="0" applyFill="1" applyAlignment="1">
      <alignment vertical="bottom"/>
    </xf>
    <xf numFmtId="10" fontId="14" fillId="5" borderId="0" xfId="0" applyNumberFormat="1" applyFont="1" applyFill="1" applyAlignment="1">
      <alignment vertical="bottom"/>
    </xf>
    <xf numFmtId="10" fontId="2" fillId="5" borderId="0" xfId="0" applyNumberFormat="1" applyFill="1" applyAlignment="1">
      <alignment vertical="bottom"/>
    </xf>
    <xf numFmtId="2" fontId="13" fillId="3" borderId="0" xfId="0" applyNumberFormat="1" applyFont="1" applyFill="1" applyAlignment="1">
      <alignment vertical="bottom"/>
    </xf>
    <xf numFmtId="10" fontId="4" fillId="0" borderId="0" xfId="0" applyNumberFormat="1" applyFont="1" applyAlignment="1">
      <alignment vertical="bottom"/>
    </xf>
    <xf numFmtId="166" fontId="2" fillId="0" borderId="0" xfId="0" applyNumberFormat="1" applyAlignment="1">
      <alignment vertical="bottom"/>
    </xf>
    <xf numFmtId="166" fontId="2" fillId="5" borderId="0" xfId="0" applyNumberFormat="1" applyFill="1" applyAlignment="1">
      <alignment vertical="bottom"/>
    </xf>
    <xf numFmtId="10" fontId="2" fillId="0" borderId="0" xfId="0" applyNumberFormat="1" applyAlignment="1">
      <alignment vertical="bottom"/>
    </xf>
    <xf numFmtId="2" fontId="4" fillId="0" borderId="0" xfId="0" applyNumberFormat="1" applyFont="1" applyAlignment="1">
      <alignment vertical="bottom"/>
    </xf>
    <xf numFmtId="0" fontId="15" fillId="6" borderId="0" xfId="0" applyFont="1" applyFill="1" applyAlignment="1">
      <alignment vertical="bottom"/>
    </xf>
    <xf numFmtId="0" fontId="16" fillId="6" borderId="0" xfId="0" applyFont="1" applyFill="1" applyAlignment="1">
      <alignment vertical="bottom"/>
    </xf>
    <xf numFmtId="0" fontId="2" fillId="6" borderId="0" xfId="0" applyFill="1" applyAlignment="1">
      <alignment vertical="bottom"/>
    </xf>
    <xf numFmtId="0" fontId="17" fillId="0" borderId="0" xfId="0" applyFont="1" applyAlignment="1">
      <alignment vertical="bottom"/>
    </xf>
    <xf numFmtId="0" fontId="2" fillId="0" borderId="6" xfId="0" applyBorder="1" applyAlignment="1">
      <alignment vertical="bottom"/>
    </xf>
    <xf numFmtId="0" fontId="2" fillId="0" borderId="6" xfId="0" applyBorder="1" applyAlignment="1">
      <alignment horizontal="right" vertical="bottom"/>
    </xf>
    <xf numFmtId="0" fontId="2" fillId="0" borderId="7" xfId="0" applyBorder="1" applyAlignment="1">
      <alignment vertical="top"/>
    </xf>
    <xf numFmtId="0" fontId="2" fillId="0" borderId="7" xfId="0" applyBorder="1" applyAlignment="1">
      <alignment horizontal="right" vertical="top"/>
    </xf>
    <xf numFmtId="0" fontId="2" fillId="0" borderId="0" xfId="0" applyAlignment="1">
      <alignment vertical="top"/>
    </xf>
    <xf numFmtId="10" fontId="14" fillId="0" borderId="0" xfId="0" applyNumberFormat="1" applyFont="1" applyAlignment="1">
      <alignment vertical="top"/>
    </xf>
    <xf numFmtId="10" fontId="2" fillId="4" borderId="0" xfId="1" applyNumberFormat="1" applyFont="1" applyFill="1" applyAlignment="1">
      <alignment vertical="bottom"/>
    </xf>
    <xf numFmtId="2" fontId="18" fillId="0" borderId="0" xfId="0" applyNumberFormat="1" applyFont="1" applyAlignment="1">
      <alignment vertical="bottom"/>
    </xf>
    <xf numFmtId="2" fontId="2" fillId="4" borderId="0" xfId="0" applyNumberFormat="1" applyFill="1" applyAlignment="1">
      <alignment vertical="bottom"/>
    </xf>
    <xf numFmtId="10" fontId="18" fillId="0" borderId="0" xfId="0" applyNumberFormat="1" applyFont="1" applyAlignment="1">
      <alignment vertical="top"/>
    </xf>
    <xf numFmtId="2" fontId="14" fillId="0" borderId="0" xfId="0" applyNumberFormat="1" applyFont="1" applyAlignment="1">
      <alignment vertical="bottom"/>
    </xf>
    <xf numFmtId="0" fontId="4" fillId="0" borderId="8" xfId="0" applyFont="1" applyBorder="1" applyAlignment="1">
      <alignment vertical="bottom"/>
    </xf>
    <xf numFmtId="10" fontId="2" fillId="0" borderId="8" xfId="1" applyNumberFormat="1" applyFont="1" applyBorder="1" applyAlignment="1">
      <alignment vertical="bottom"/>
    </xf>
    <xf numFmtId="2" fontId="2" fillId="0" borderId="8" xfId="0" applyNumberFormat="1" applyBorder="1" applyAlignment="1">
      <alignment vertical="bottom"/>
    </xf>
    <xf numFmtId="0" fontId="4" fillId="0" borderId="9" xfId="0" applyFont="1" applyBorder="1" applyAlignment="1">
      <alignment vertical="bottom"/>
    </xf>
    <xf numFmtId="10" fontId="2" fillId="0" borderId="9" xfId="1" applyNumberFormat="1" applyFont="1" applyBorder="1" applyAlignment="1">
      <alignment vertical="bottom"/>
    </xf>
    <xf numFmtId="2" fontId="2" fillId="0" borderId="9" xfId="0" applyNumberFormat="1" applyBorder="1" applyAlignment="1">
      <alignment vertical="bottom"/>
    </xf>
    <xf numFmtId="0" fontId="2" fillId="0" borderId="9" xfId="0" applyBorder="1" applyAlignment="1">
      <alignment vertical="bottom"/>
    </xf>
    <xf numFmtId="10" fontId="14" fillId="0" borderId="0" xfId="1" applyNumberFormat="1" applyFont="1" applyAlignment="1">
      <alignment vertical="bottom"/>
    </xf>
    <xf numFmtId="10" fontId="14" fillId="0" borderId="0" xfId="0" applyNumberFormat="1" applyFont="1" applyAlignment="1">
      <alignment horizontal="right" vertical="bottom"/>
    </xf>
    <xf numFmtId="10" fontId="2" fillId="0" borderId="0" xfId="0" applyNumberFormat="1" applyAlignment="1">
      <alignment horizontal="right" vertical="bottom"/>
    </xf>
    <xf numFmtId="0" fontId="2" fillId="0" borderId="10" xfId="0" applyBorder="1" applyAlignment="1">
      <alignment vertical="bottom"/>
    </xf>
    <xf numFmtId="10" fontId="2" fillId="4" borderId="10" xfId="1" applyNumberFormat="1" applyFont="1" applyFill="1" applyBorder="1" applyAlignment="1">
      <alignment vertical="bottom"/>
    </xf>
    <xf numFmtId="2" fontId="2" fillId="4" borderId="0" xfId="0" applyNumberFormat="1" applyFill="1" applyAlignment="1">
      <alignment horizontal="right" vertical="bottom"/>
    </xf>
    <xf numFmtId="10" fontId="2" fillId="4" borderId="10" xfId="0" applyNumberFormat="1" applyFill="1" applyBorder="1" applyAlignment="1">
      <alignment vertical="bottom"/>
    </xf>
    <xf numFmtId="0" fontId="4" fillId="0" borderId="9" xfId="0" applyFont="1" applyBorder="1" applyAlignment="1">
      <alignment horizontal="right" vertical="bottom"/>
    </xf>
    <xf numFmtId="166" fontId="18" fillId="0" borderId="0" xfId="0" applyNumberFormat="1" applyFont="1" applyAlignment="1">
      <alignment vertical="bottom"/>
    </xf>
    <xf numFmtId="10" fontId="2" fillId="0" borderId="0" xfId="1" applyNumberFormat="1" applyFont="1" applyAlignment="1">
      <alignment vertical="bottom"/>
    </xf>
    <xf numFmtId="10" fontId="18" fillId="0" borderId="0" xfId="0" applyNumberFormat="1" applyFont="1" applyAlignment="1">
      <alignment vertical="bottom"/>
    </xf>
    <xf numFmtId="10" fontId="2" fillId="0" borderId="0" xfId="1" applyNumberFormat="1" applyFont="1" applyBorder="1" applyAlignment="1">
      <alignment vertical="bottom"/>
    </xf>
    <xf numFmtId="10" fontId="2" fillId="0" borderId="10" xfId="1" applyNumberFormat="1" applyFont="1" applyBorder="1" applyAlignment="1">
      <alignment vertical="bottom"/>
    </xf>
    <xf numFmtId="10" fontId="2" fillId="0" borderId="10" xfId="0" applyNumberFormat="1" applyBorder="1" applyAlignment="1">
      <alignment vertical="bottom"/>
    </xf>
    <xf numFmtId="2" fontId="2" fillId="0" borderId="10" xfId="0" applyNumberFormat="1" applyBorder="1" applyAlignment="1">
      <alignment vertical="bottom"/>
    </xf>
    <xf numFmtId="0" fontId="19" fillId="0" borderId="0" xfId="0" applyFont="1" applyAlignment="1">
      <alignment vertical="bottom"/>
    </xf>
    <xf numFmtId="10" fontId="2" fillId="0" borderId="0" xfId="1" applyNumberFormat="1" applyFont="1" applyFill="1" applyBorder="1" applyAlignment="1">
      <alignment vertical="bottom"/>
    </xf>
    <xf numFmtId="0" fontId="4" fillId="5" borderId="10" xfId="0" applyFont="1" applyFill="1" applyBorder="1" applyAlignment="1">
      <alignment vertical="bottom"/>
    </xf>
    <xf numFmtId="10" fontId="4" fillId="5" borderId="10" xfId="0" applyNumberFormat="1" applyFont="1" applyFill="1" applyBorder="1" applyAlignment="1">
      <alignment vertical="bottom"/>
    </xf>
    <xf numFmtId="0" fontId="20" fillId="0" borderId="0" xfId="0" applyFont="1" applyAlignment="1">
      <alignment vertical="bottom"/>
    </xf>
    <xf numFmtId="0" fontId="21" fillId="2" borderId="0" xfId="0" applyFont="1" applyFill="1" applyAlignment="1">
      <alignment vertical="bottom"/>
    </xf>
    <xf numFmtId="0" fontId="22" fillId="2" borderId="0" xfId="0" applyFont="1" applyFill="1" applyAlignment="1">
      <alignment vertical="bottom"/>
    </xf>
    <xf numFmtId="17" fontId="21" fillId="2" borderId="0" xfId="0" applyNumberFormat="1" applyFont="1" applyFill="1" applyAlignment="1">
      <alignment vertical="bottom"/>
    </xf>
    <xf numFmtId="0" fontId="2" fillId="0" borderId="11" xfId="0" applyBorder="1" applyAlignment="1">
      <alignment vertical="bottom"/>
    </xf>
    <xf numFmtId="171" fontId="2" fillId="0" borderId="11" xfId="0" applyNumberFormat="1" applyBorder="1" applyAlignment="1">
      <alignment vertical="bottom"/>
    </xf>
    <xf numFmtId="171" fontId="2" fillId="0" borderId="0" xfId="0" applyNumberFormat="1" applyAlignment="1">
      <alignment vertical="bottom"/>
    </xf>
    <xf numFmtId="0" fontId="4" fillId="0" borderId="6" xfId="0" applyFont="1" applyBorder="1" applyAlignment="1">
      <alignment vertical="bottom"/>
    </xf>
    <xf numFmtId="171" fontId="4" fillId="0" borderId="6" xfId="0" applyNumberFormat="1" applyFont="1" applyBorder="1" applyAlignment="1">
      <alignment vertical="bottom"/>
    </xf>
    <xf numFmtId="0" fontId="4" fillId="0" borderId="12" xfId="0" applyFont="1" applyBorder="1" applyAlignment="1">
      <alignment vertical="bottom"/>
    </xf>
    <xf numFmtId="171" fontId="4" fillId="0" borderId="12" xfId="0" applyNumberFormat="1" applyFont="1" applyBorder="1" applyAlignment="1">
      <alignment vertical="bottom"/>
    </xf>
    <xf numFmtId="171" fontId="4" fillId="0" borderId="0" xfId="0" applyNumberFormat="1" applyFont="1" applyAlignment="1">
      <alignment vertical="bottom"/>
    </xf>
    <xf numFmtId="0" fontId="2" fillId="0" borderId="12" xfId="0" applyBorder="1" applyAlignment="1">
      <alignment vertical="bottom"/>
    </xf>
    <xf numFmtId="10" fontId="4" fillId="0" borderId="12" xfId="1" applyNumberFormat="1" applyFont="1" applyBorder="1" applyAlignment="1">
      <alignment vertical="bottom"/>
    </xf>
    <xf numFmtId="17" fontId="1" fillId="2" borderId="0" xfId="0" applyNumberFormat="1" applyFont="1" applyFill="1" applyAlignment="1">
      <alignment vertical="bottom"/>
    </xf>
    <xf numFmtId="10" fontId="14" fillId="0" borderId="11" xfId="0" applyNumberFormat="1" applyFont="1" applyBorder="1" applyAlignment="1">
      <alignment vertical="bottom"/>
    </xf>
    <xf numFmtId="171" fontId="18" fillId="0" borderId="11" xfId="0" applyNumberFormat="1" applyFont="1" applyBorder="1" applyAlignment="1">
      <alignment vertical="bottom"/>
    </xf>
    <xf numFmtId="3" fontId="2" fillId="0" borderId="0" xfId="0" applyNumberFormat="1" applyAlignment="1">
      <alignment vertical="bottom"/>
    </xf>
    <xf numFmtId="0" fontId="4" fillId="5" borderId="0" xfId="0" applyFont="1" applyFill="1" applyAlignment="1">
      <alignment vertical="bottom"/>
    </xf>
    <xf numFmtId="10" fontId="4" fillId="5" borderId="0" xfId="0" applyNumberFormat="1" applyFont="1" applyFill="1" applyAlignment="1">
      <alignment vertical="bottom"/>
    </xf>
    <xf numFmtId="10" fontId="2" fillId="0" borderId="11" xfId="0" applyNumberFormat="1" applyBorder="1" applyAlignment="1">
      <alignment vertical="bottom"/>
    </xf>
    <xf numFmtId="10" fontId="4" fillId="0" borderId="12" xfId="0" applyNumberFormat="1" applyFont="1" applyBorder="1" applyAlignment="1">
      <alignment vertical="bottom"/>
    </xf>
    <xf numFmtId="172" fontId="2" fillId="0" borderId="0" xfId="0" applyNumberFormat="1" applyAlignment="1">
      <alignment vertical="bottom"/>
    </xf>
    <xf numFmtId="0" fontId="13" fillId="0" borderId="0" xfId="0" applyFont="1" applyAlignment="1">
      <alignment vertical="bottom"/>
    </xf>
    <xf numFmtId="0" fontId="1" fillId="7" borderId="0" xfId="0" applyFont="1" applyFill="1" applyAlignment="1">
      <alignment horizontal="center" vertical="bottom"/>
    </xf>
    <xf numFmtId="0" fontId="4" fillId="0" borderId="13" xfId="0" applyFont="1" applyBorder="1" applyAlignment="1">
      <alignment horizontal="left" vertical="bottom"/>
    </xf>
    <xf numFmtId="0" fontId="4" fillId="0" borderId="13" xfId="0" applyFont="1" applyBorder="1" applyAlignment="1">
      <alignment horizontal="right" vertical="bottom"/>
    </xf>
    <xf numFmtId="166" fontId="14" fillId="0" borderId="0" xfId="0" applyNumberFormat="1" applyFont="1" applyAlignment="1">
      <alignment horizontal="right" vertical="bottom"/>
    </xf>
    <xf numFmtId="166" fontId="14" fillId="0" borderId="0" xfId="0" applyNumberFormat="1" applyFont="1" applyAlignment="1">
      <alignment vertical="bottom"/>
    </xf>
    <xf numFmtId="0" fontId="2" fillId="0" borderId="0" xfId="0" applyAlignment="1">
      <alignment horizontal="left" vertical="bottom"/>
    </xf>
    <xf numFmtId="2" fontId="2" fillId="5" borderId="0" xfId="0" applyNumberFormat="1" applyFill="1" applyAlignment="1">
      <alignment vertical="bottom"/>
    </xf>
    <xf numFmtId="0" fontId="23" fillId="0" borderId="0" xfId="0" applyFont="1" applyAlignment="1">
      <alignment horizontal="centerContinuous" vertical="bottom"/>
    </xf>
    <xf numFmtId="0" fontId="23" fillId="0" borderId="0" xfId="0" applyFont="1" applyAlignment="1">
      <alignment horizontal="center" vertical="bottom"/>
    </xf>
    <xf numFmtId="0" fontId="24" fillId="0" borderId="14" xfId="0" applyFont="1" applyBorder="1" applyAlignment="1">
      <alignment vertical="bottom"/>
    </xf>
    <xf numFmtId="0" fontId="25" fillId="0" borderId="14" xfId="0" applyFont="1" applyBorder="1" applyAlignment="1">
      <alignment vertical="bottom"/>
    </xf>
    <xf numFmtId="0" fontId="2" fillId="0" borderId="14" xfId="0" applyBorder="1" applyAlignment="1">
      <alignment vertical="bottom"/>
    </xf>
    <xf numFmtId="0" fontId="26" fillId="2" borderId="0" xfId="0" applyFont="1" applyFill="1" applyAlignment="1">
      <alignment vertical="bottom"/>
    </xf>
    <xf numFmtId="0" fontId="26" fillId="2" borderId="15" xfId="0" applyFont="1" applyFill="1" applyBorder="1" applyAlignment="1">
      <alignment horizontal="center" vertical="bottom"/>
    </xf>
    <xf numFmtId="0" fontId="26" fillId="2" borderId="0" xfId="0" applyFont="1" applyFill="1" applyAlignment="1">
      <alignment vertical="bottom" wrapText="1"/>
    </xf>
    <xf numFmtId="0" fontId="26" fillId="0" borderId="0" xfId="0" applyFont="1" applyAlignment="1">
      <alignment vertical="bottom"/>
    </xf>
    <xf numFmtId="0" fontId="26" fillId="0" borderId="0" xfId="0" applyFont="1" applyAlignment="1">
      <alignment vertical="bottom" wrapText="1"/>
    </xf>
    <xf numFmtId="0" fontId="2" fillId="4" borderId="11" xfId="0" applyFill="1" applyBorder="1" applyAlignment="1">
      <alignment vertical="bottom"/>
    </xf>
    <xf numFmtId="166" fontId="2" fillId="4" borderId="11" xfId="0" applyNumberFormat="1" applyFill="1" applyBorder="1" applyAlignment="1">
      <alignment vertical="bottom"/>
    </xf>
    <xf numFmtId="4" fontId="2" fillId="4" borderId="11" xfId="0" applyNumberFormat="1" applyFill="1" applyBorder="1" applyAlignment="1">
      <alignment vertical="bottom"/>
    </xf>
    <xf numFmtId="0" fontId="26" fillId="4" borderId="11" xfId="0" applyFont="1" applyFill="1" applyBorder="1" applyAlignment="1">
      <alignment vertical="bottom"/>
    </xf>
    <xf numFmtId="176" fontId="2" fillId="4" borderId="11" xfId="0" applyNumberFormat="1" applyFill="1" applyBorder="1" applyAlignment="1">
      <alignment vertical="bottom"/>
    </xf>
    <xf numFmtId="166" fontId="2" fillId="0" borderId="11" xfId="0" applyNumberFormat="1" applyBorder="1" applyAlignment="1">
      <alignment vertical="bottom"/>
    </xf>
    <xf numFmtId="4" fontId="2" fillId="0" borderId="11" xfId="0" applyNumberFormat="1" applyBorder="1" applyAlignment="1">
      <alignment vertical="bottom"/>
    </xf>
    <xf numFmtId="166" fontId="12" fillId="0" borderId="11" xfId="0" applyNumberFormat="1" applyFont="1" applyBorder="1" applyAlignment="1">
      <alignment vertical="bottom"/>
    </xf>
    <xf numFmtId="0" fontId="27" fillId="4" borderId="11" xfId="0" applyFont="1" applyFill="1" applyBorder="1" applyAlignment="1">
      <alignment vertical="bottom"/>
    </xf>
    <xf numFmtId="176" fontId="27" fillId="4" borderId="11" xfId="0" applyNumberFormat="1" applyFont="1" applyFill="1" applyBorder="1" applyAlignment="1">
      <alignment vertical="bottom"/>
    </xf>
    <xf numFmtId="2" fontId="2" fillId="4" borderId="11" xfId="0" applyNumberFormat="1" applyFill="1" applyBorder="1" applyAlignment="1">
      <alignment vertical="bottom"/>
    </xf>
    <xf numFmtId="0" fontId="28" fillId="2" borderId="14" xfId="0" applyFont="1" applyFill="1" applyBorder="1" applyAlignment="1">
      <alignment vertical="bottom"/>
    </xf>
    <xf numFmtId="0" fontId="26" fillId="2" borderId="14" xfId="0" applyFont="1" applyFill="1" applyBorder="1" applyAlignment="1">
      <alignment vertical="bottom"/>
    </xf>
    <xf numFmtId="3" fontId="2" fillId="0" borderId="11" xfId="0" applyNumberFormat="1" applyBorder="1" applyAlignment="1">
      <alignment vertical="bottom"/>
    </xf>
    <xf numFmtId="0" fontId="27" fillId="4" borderId="16" xfId="0" applyFont="1" applyFill="1" applyBorder="1" applyAlignment="1">
      <alignment vertical="bottom"/>
    </xf>
    <xf numFmtId="0" fontId="2" fillId="4" borderId="16" xfId="0" applyFill="1" applyBorder="1" applyAlignment="1">
      <alignment vertical="bottom"/>
    </xf>
    <xf numFmtId="166" fontId="27" fillId="4" borderId="16" xfId="0" applyNumberFormat="1" applyFont="1" applyFill="1" applyBorder="1" applyAlignment="1">
      <alignment vertical="bottom"/>
    </xf>
    <xf numFmtId="0" fontId="27" fillId="0" borderId="0" xfId="0" applyFont="1" applyAlignment="1">
      <alignment vertical="bottom"/>
    </xf>
    <xf numFmtId="166" fontId="27" fillId="0" borderId="0" xfId="0" applyNumberFormat="1" applyFont="1" applyAlignment="1">
      <alignment vertical="bottom"/>
    </xf>
    <xf numFmtId="0" fontId="24" fillId="0" borderId="0" xfId="0" applyFont="1" applyAlignment="1">
      <alignment vertical="bottom"/>
    </xf>
    <xf numFmtId="0" fontId="13" fillId="2" borderId="0" xfId="0" applyFont="1" applyFill="1" applyAlignment="1">
      <alignment horizontal="left" vertical="bottom"/>
    </xf>
    <xf numFmtId="0" fontId="29" fillId="0" borderId="0" xfId="0" applyFont="1" applyAlignment="1">
      <alignment horizontal="left" vertical="center" indent="2"/>
    </xf>
    <xf numFmtId="0" fontId="29" fillId="0" borderId="0" xfId="0" applyFont="1" applyAlignment="1">
      <alignment horizontal="left" vertical="center" indent="1"/>
    </xf>
    <xf numFmtId="0" fontId="29" fillId="0" borderId="0" xfId="0" applyFont="1" applyAlignment="1">
      <alignment horizontal="right" vertical="center" wrapText="1" indent="1"/>
    </xf>
    <xf numFmtId="0" fontId="30" fillId="0" borderId="0" xfId="0" applyFont="1" applyAlignment="1">
      <alignment horizontal="left" vertical="center" indent="2"/>
    </xf>
    <xf numFmtId="0" fontId="31" fillId="0" borderId="0" xfId="2" applyFill="1" applyBorder="1" applyAlignment="1">
      <alignment horizontal="left" vertical="center" indent="1"/>
    </xf>
    <xf numFmtId="0" fontId="30" fillId="0" borderId="0" xfId="0" applyFont="1" applyAlignment="1">
      <alignment horizontal="right" vertical="center" wrapText="1" indent="1"/>
    </xf>
    <xf numFmtId="0" fontId="32" fillId="0" borderId="0" xfId="0" applyFont="1" applyAlignment="1">
      <alignment horizontal="left" vertical="center" indent="2"/>
    </xf>
    <xf numFmtId="0" fontId="32" fillId="0" borderId="0" xfId="0" applyFont="1" applyAlignment="1">
      <alignment horizontal="right" vertical="center" wrapText="1" indent="1"/>
    </xf>
    <xf numFmtId="0" fontId="30" fillId="0" borderId="0" xfId="0" applyFont="1" applyAlignment="1">
      <alignment horizontal="right" vertical="center" wrapText="1" indent="2"/>
    </xf>
    <xf numFmtId="0" fontId="30" fillId="0" borderId="0" xfId="0" applyFont="1" applyAlignment="1">
      <alignment horizontal="left" vertical="center" indent="1"/>
    </xf>
    <xf numFmtId="0" fontId="4" fillId="0" borderId="0" xfId="0" applyFont="1" applyAlignment="1">
      <alignment horizontal="right" vertical="bottom"/>
    </xf>
    <xf numFmtId="10" fontId="14" fillId="0" borderId="0" xfId="1" applyNumberFormat="1" applyFont="1" applyAlignment="1">
      <alignment horizontal="right" vertical="bottom"/>
    </xf>
    <xf numFmtId="0" fontId="4" fillId="4" borderId="0" xfId="0" applyFont="1" applyFill="1" applyAlignment="1">
      <alignment vertical="bottom"/>
    </xf>
    <xf numFmtId="10" fontId="4" fillId="4" borderId="0" xfId="0" applyNumberFormat="1" applyFont="1" applyFill="1" applyAlignment="1">
      <alignment vertical="bottom"/>
    </xf>
    <xf numFmtId="0" fontId="2" fillId="8" borderId="0" xfId="0" applyFill="1" applyAlignment="1">
      <alignment vertical="bottom"/>
    </xf>
    <xf numFmtId="0" fontId="33" fillId="3" borderId="0" xfId="0" applyFont="1" applyFill="1" applyAlignment="1">
      <alignment vertical="bottom"/>
    </xf>
    <xf numFmtId="0" fontId="34" fillId="0" borderId="0" xfId="0" applyFont="1" applyAlignment="1">
      <alignment vertical="bottom"/>
    </xf>
    <xf numFmtId="0" fontId="34" fillId="0" borderId="17" xfId="0" applyFont="1" applyBorder="1" applyAlignment="1">
      <alignment vertical="bottom"/>
    </xf>
    <xf numFmtId="0" fontId="2" fillId="0" borderId="17" xfId="0" applyBorder="1" applyAlignment="1">
      <alignment vertical="bottom"/>
    </xf>
    <xf numFmtId="0" fontId="13" fillId="8" borderId="0" xfId="0" applyFont="1" applyFill="1" applyAlignment="1">
      <alignment horizontal="center" vertical="bottom"/>
    </xf>
    <xf numFmtId="0" fontId="13" fillId="8" borderId="0" xfId="0" applyFont="1" applyFill="1" applyAlignment="1">
      <alignment vertical="bottom"/>
    </xf>
    <xf numFmtId="10" fontId="13" fillId="8" borderId="0" xfId="1" applyNumberFormat="1" applyFont="1" applyFill="1" applyAlignment="1">
      <alignment vertical="bottom"/>
    </xf>
    <xf numFmtId="180" fontId="13" fillId="8" borderId="0" xfId="1" applyNumberFormat="1" applyFont="1" applyFill="1" applyAlignment="1">
      <alignment vertical="bottom"/>
    </xf>
    <xf numFmtId="0" fontId="1" fillId="7" borderId="0" xfId="0" applyFont="1" applyFill="1" applyAlignment="1">
      <alignment vertical="bottom"/>
    </xf>
    <xf numFmtId="17" fontId="1" fillId="7" borderId="0" xfId="0" applyNumberFormat="1" applyFont="1" applyFill="1" applyAlignment="1">
      <alignment vertical="bottom"/>
    </xf>
    <xf numFmtId="17" fontId="1" fillId="7" borderId="0" xfId="0" applyNumberFormat="1" applyFont="1" applyFill="1" applyAlignment="1">
      <alignment horizontal="right" vertical="bottom"/>
    </xf>
    <xf numFmtId="17" fontId="1" fillId="0" borderId="0" xfId="0" applyNumberFormat="1" applyFont="1" applyAlignment="1">
      <alignment vertical="bottom"/>
    </xf>
    <xf numFmtId="17" fontId="1" fillId="0" borderId="0" xfId="0" applyNumberFormat="1" applyFont="1" applyAlignment="1">
      <alignment horizontal="right" vertical="bottom"/>
    </xf>
    <xf numFmtId="0" fontId="4" fillId="6" borderId="0" xfId="0" applyFont="1" applyFill="1" applyAlignment="1">
      <alignment vertical="bottom"/>
    </xf>
    <xf numFmtId="167" fontId="2" fillId="0" borderId="0" xfId="0" applyNumberFormat="1" applyAlignment="1">
      <alignment vertical="bottom"/>
    </xf>
    <xf numFmtId="164" fontId="35" fillId="0" borderId="0" xfId="3" applyFont="1" applyBorder="1" applyAlignment="1">
      <alignment vertical="bottom"/>
    </xf>
    <xf numFmtId="0" fontId="35" fillId="0" borderId="0" xfId="4" applyFont="1" applyAlignment="1">
      <alignment vertical="bottom"/>
    </xf>
    <xf numFmtId="0" fontId="36" fillId="0" borderId="0" xfId="0" applyFont="1" applyAlignment="1">
      <alignment vertical="bottom"/>
    </xf>
    <xf numFmtId="0" fontId="36" fillId="0" borderId="0" xfId="0" applyFont="1" applyAlignment="1">
      <alignment horizontal="right" vertical="bottom"/>
    </xf>
    <xf numFmtId="10" fontId="36" fillId="0" borderId="0" xfId="1" applyNumberFormat="1" applyFont="1" applyAlignment="1">
      <alignment vertical="bottom"/>
    </xf>
    <xf numFmtId="0" fontId="3" fillId="0" borderId="0" xfId="4" applyAlignment="1">
      <alignment vertical="bottom"/>
    </xf>
    <xf numFmtId="0" fontId="4" fillId="0" borderId="11" xfId="0" applyFont="1" applyBorder="1" applyAlignment="1">
      <alignment vertical="bottom"/>
    </xf>
    <xf numFmtId="168" fontId="4" fillId="0" borderId="11" xfId="0" applyNumberFormat="1" applyFont="1" applyBorder="1" applyAlignment="1">
      <alignment vertical="bottom"/>
    </xf>
    <xf numFmtId="168" fontId="2" fillId="0" borderId="0" xfId="0" applyNumberFormat="1" applyAlignment="1">
      <alignment vertical="bottom"/>
    </xf>
    <xf numFmtId="9" fontId="35" fillId="0" borderId="0" xfId="5" applyFont="1" applyBorder="1" applyAlignment="1">
      <alignment vertical="bottom"/>
    </xf>
    <xf numFmtId="39" fontId="2" fillId="0" borderId="0" xfId="0" applyNumberFormat="1" applyAlignment="1">
      <alignment vertical="bottom"/>
    </xf>
    <xf numFmtId="167" fontId="4" fillId="0" borderId="11" xfId="0" applyNumberFormat="1" applyFont="1" applyBorder="1" applyAlignment="1">
      <alignment vertical="bottom"/>
    </xf>
    <xf numFmtId="169" fontId="2" fillId="0" borderId="0" xfId="0" applyNumberFormat="1" applyAlignment="1">
      <alignment vertical="bottom"/>
    </xf>
    <xf numFmtId="0" fontId="23" fillId="0" borderId="0" xfId="0" applyFont="1" applyAlignment="1">
      <alignment vertical="bottom"/>
    </xf>
    <xf numFmtId="167" fontId="4" fillId="0" borderId="0" xfId="0" applyNumberFormat="1" applyFont="1" applyAlignment="1">
      <alignment vertical="bottom"/>
    </xf>
    <xf numFmtId="171" fontId="2" fillId="0" borderId="18" xfId="0" applyNumberFormat="1" applyBorder="1" applyAlignment="1">
      <alignment vertical="bottom"/>
    </xf>
    <xf numFmtId="0" fontId="4" fillId="0" borderId="19" xfId="0" applyFont="1" applyBorder="1" applyAlignment="1">
      <alignment vertical="bottom"/>
    </xf>
    <xf numFmtId="171" fontId="4" fillId="0" borderId="19" xfId="0" applyNumberFormat="1" applyFont="1" applyBorder="1" applyAlignment="1">
      <alignment vertical="bottom"/>
    </xf>
    <xf numFmtId="171" fontId="4" fillId="0" borderId="11" xfId="0" applyNumberFormat="1" applyFont="1" applyBorder="1" applyAlignment="1">
      <alignment vertical="bottom"/>
    </xf>
    <xf numFmtId="171" fontId="2" fillId="0" borderId="6" xfId="0" applyNumberFormat="1" applyBorder="1" applyAlignment="1">
      <alignment vertical="bottom"/>
    </xf>
    <xf numFmtId="17" fontId="32" fillId="3" borderId="0" xfId="0" applyNumberFormat="1" applyFont="1" applyFill="1" applyAlignment="1">
      <alignment horizontal="right" vertical="center" wrapText="1" indent="1"/>
    </xf>
    <xf numFmtId="17" fontId="2" fillId="3" borderId="0" xfId="0" applyNumberFormat="1" applyFill="1" applyAlignment="1">
      <alignment vertical="bottom"/>
    </xf>
    <xf numFmtId="0" fontId="37" fillId="3" borderId="0" xfId="0" applyFont="1" applyFill="1">
      <alignment vertical="center"/>
    </xf>
    <xf numFmtId="3" fontId="37" fillId="3" borderId="0" xfId="0" applyNumberFormat="1" applyFont="1" applyFill="1" applyAlignment="1">
      <alignment horizontal="right" vertical="center" wrapText="1" indent="1"/>
    </xf>
    <xf numFmtId="0" fontId="37" fillId="3" borderId="0" xfId="0" applyFont="1" applyFill="1" applyAlignment="1">
      <alignment horizontal="left" vertical="center"/>
    </xf>
    <xf numFmtId="0" fontId="38" fillId="3" borderId="0" xfId="0" applyFont="1" applyFill="1" applyAlignment="1">
      <alignment horizontal="left" vertical="center"/>
    </xf>
    <xf numFmtId="0" fontId="38" fillId="3" borderId="0" xfId="0" applyFont="1" applyFill="1" applyAlignment="1">
      <alignment horizontal="right" vertical="center" wrapText="1" indent="1"/>
    </xf>
    <xf numFmtId="3" fontId="38" fillId="3" borderId="0" xfId="0" applyNumberFormat="1" applyFont="1" applyFill="1" applyAlignment="1">
      <alignment horizontal="right" vertical="center" wrapText="1" indent="1"/>
    </xf>
    <xf numFmtId="0" fontId="37" fillId="3" borderId="0" xfId="0" applyFont="1" applyFill="1" applyAlignment="1">
      <alignment horizontal="right" vertical="center" wrapText="1" indent="1"/>
    </xf>
    <xf numFmtId="0" fontId="37" fillId="3" borderId="0" xfId="0" applyFont="1" applyFill="1" applyAlignment="1">
      <alignment horizontal="left" vertical="center" indent="1"/>
    </xf>
    <xf numFmtId="0" fontId="39" fillId="0" borderId="0" xfId="0" applyFont="1" applyAlignment="1">
      <alignment horizontal="left" vertical="center" indent="2"/>
    </xf>
    <xf numFmtId="17" fontId="39" fillId="0" borderId="0" xfId="0" applyNumberFormat="1" applyFont="1" applyAlignment="1">
      <alignment horizontal="right" vertical="center" wrapText="1" indent="1"/>
    </xf>
    <xf numFmtId="0" fontId="40" fillId="0" borderId="0" xfId="0" applyFont="1" applyAlignment="1">
      <alignment horizontal="left" vertical="center" indent="2"/>
    </xf>
    <xf numFmtId="3" fontId="40" fillId="0" borderId="0" xfId="0" applyNumberFormat="1" applyFont="1" applyAlignment="1">
      <alignment horizontal="right" vertical="center" wrapText="1" indent="1"/>
    </xf>
    <xf numFmtId="0" fontId="40" fillId="0" borderId="0" xfId="0" applyFont="1" applyAlignment="1">
      <alignment horizontal="left" vertical="center"/>
    </xf>
    <xf numFmtId="0" fontId="32" fillId="0" borderId="0" xfId="0" applyFont="1" applyAlignment="1">
      <alignment horizontal="left" vertical="center"/>
    </xf>
    <xf numFmtId="3" fontId="32" fillId="0" borderId="0" xfId="0" applyNumberFormat="1" applyFont="1" applyAlignment="1">
      <alignment horizontal="right" vertical="center" wrapText="1" indent="1"/>
    </xf>
    <xf numFmtId="0" fontId="40" fillId="0" borderId="0" xfId="0" applyFont="1" applyAlignment="1">
      <alignment horizontal="right" vertical="center" wrapText="1" indent="1"/>
    </xf>
    <xf numFmtId="0" fontId="41" fillId="0" borderId="0" xfId="0" applyFont="1" applyAlignment="1">
      <alignment horizontal="left" vertical="center" indent="2"/>
    </xf>
    <xf numFmtId="3" fontId="41" fillId="0" borderId="0" xfId="0" applyNumberFormat="1" applyFont="1" applyAlignment="1">
      <alignment horizontal="right" vertical="center" wrapText="1" indent="1"/>
    </xf>
    <xf numFmtId="9" fontId="41" fillId="0" borderId="0" xfId="0" applyNumberFormat="1" applyFont="1" applyAlignment="1">
      <alignment horizontal="right" vertical="center" wrapText="1" indent="1"/>
    </xf>
    <xf numFmtId="164" fontId="42" fillId="0" borderId="0" xfId="3" applyFont="1" applyBorder="1" applyAlignment="1">
      <alignment vertical="bottom"/>
    </xf>
    <xf numFmtId="164" fontId="43" fillId="0" borderId="0" xfId="6" applyNumberFormat="1" applyFont="1" applyBorder="1" applyAlignment="1">
      <alignment horizontal="center" vertical="bottom"/>
    </xf>
    <xf numFmtId="164" fontId="44" fillId="9" borderId="0" xfId="7" applyNumberFormat="1" applyFont="1" applyBorder="1" applyAlignment="1">
      <alignment horizontal="center" vertical="bottom"/>
    </xf>
    <xf numFmtId="170" fontId="45" fillId="0" borderId="0" xfId="3" applyNumberFormat="1" applyFont="1" applyFill="1" applyBorder="1" applyAlignment="1">
      <alignment vertical="bottom"/>
    </xf>
    <xf numFmtId="170" fontId="44" fillId="10" borderId="0" xfId="3" applyNumberFormat="1" applyFont="1" applyFill="1" applyBorder="1" applyAlignment="1">
      <alignment vertical="bottom"/>
    </xf>
    <xf numFmtId="170" fontId="44" fillId="10" borderId="0" xfId="4" applyNumberFormat="1" applyFont="1" applyFill="1" applyAlignment="1">
      <alignment horizontal="center" vertical="bottom"/>
    </xf>
    <xf numFmtId="0" fontId="46" fillId="0" borderId="0" xfId="8" applyAlignment="1">
      <alignment vertical="bottom"/>
    </xf>
    <xf numFmtId="165" fontId="35" fillId="0" borderId="0" xfId="3" applyNumberFormat="1" applyFont="1" applyBorder="1" applyAlignment="1">
      <alignment vertical="bottom"/>
    </xf>
    <xf numFmtId="17" fontId="2" fillId="0" borderId="0" xfId="0" applyNumberFormat="1" applyAlignment="1">
      <alignment vertical="bottom"/>
    </xf>
    <xf numFmtId="9" fontId="2" fillId="0" borderId="0" xfId="0" applyNumberFormat="1" applyAlignment="1">
      <alignment vertical="bottom"/>
    </xf>
    <xf numFmtId="17" fontId="29" fillId="0" borderId="0" xfId="0" applyNumberFormat="1" applyFont="1" applyAlignment="1">
      <alignment horizontal="right" vertical="center" wrapText="1" indent="1"/>
    </xf>
    <xf numFmtId="0" fontId="47" fillId="0" borderId="0" xfId="0" applyFont="1" applyAlignment="1">
      <alignment horizontal="left" vertical="center" indent="2"/>
    </xf>
    <xf numFmtId="3" fontId="47" fillId="0" borderId="0" xfId="0" applyNumberFormat="1" applyFont="1" applyAlignment="1">
      <alignment horizontal="right" vertical="center" wrapText="1" indent="1"/>
    </xf>
    <xf numFmtId="0" fontId="47" fillId="0" borderId="0" xfId="0" applyFont="1" applyAlignment="1">
      <alignment horizontal="left" vertical="center"/>
    </xf>
  </cellXfs>
  <cellStyles count="9">
    <cellStyle name="常规" xfId="0" builtinId="0"/>
    <cellStyle name="百分比" xfId="1" builtinId="5"/>
    <cellStyle name="Hyperlink" xfId="2"/>
    <cellStyle name="Comma 2" xfId="3"/>
    <cellStyle name="Normal 3" xfId="4"/>
    <cellStyle name="Percent 3" xfId="5"/>
    <cellStyle name="Hyperlink 2" xfId="6"/>
    <cellStyle name="Accent6 2" xfId="7"/>
    <cellStyle name="Normal 2" xfId="8"/>
  </cellStyles>
  <dxfs count="1">
    <dxf>
      <font>
        <i val="0"/>
        <b/>
        <color rgb="FFFFFFFF"/>
      </font>
      <fill>
        <patternFill>
          <bgColor rgb="FFED7D31"/>
        </patternFill>
      </fill>
    </dxf>
  </dxfs>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www.wps.cn/officeDocument/2020/cellImage" Target="cellimages.xml"/><Relationship Id="rId22" Type="http://schemas.openxmlformats.org/officeDocument/2006/relationships/sharedStrings" Target="sharedStrings.xml"/><Relationship Id="rId23" Type="http://schemas.openxmlformats.org/officeDocument/2006/relationships/styles" Target="styles.xml"/><Relationship Id="rId2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_rels/chart3.xml.rels><?xml version="1.0" encoding="UTF-8" standalone="yes"?>
<Relationships xmlns="http://schemas.openxmlformats.org/package/2006/relationships"><Relationship Id="rId1" Type="http://schemas.microsoft.com/office/2011/relationships/chartStyle" Target="style3.xml"/><Relationship Id="rId2" Type="http://schemas.microsoft.com/office/2011/relationships/chartColorStyle" Target="colors3.xml"/></Relationships>
</file>

<file path=xl/charts/_rels/chart4.xml.rels><?xml version="1.0" encoding="UTF-8" standalone="yes"?>
<Relationships xmlns="http://schemas.openxmlformats.org/package/2006/relationships"><Relationship Id="rId1" Type="http://schemas.microsoft.com/office/2011/relationships/chartStyle" Target="style4.xml"/><Relationship Id="rId2" Type="http://schemas.microsoft.com/office/2011/relationships/chartColorStyle" Target="colors4.xml"/></Relationships>
</file>

<file path=xl/charts/_rels/chart5.xml.rels><?xml version="1.0" encoding="UTF-8" standalone="yes"?>
<Relationships xmlns="http://schemas.openxmlformats.org/package/2006/relationships"><Relationship Id="rId1" Type="http://schemas.microsoft.com/office/2011/relationships/chartStyle" Target="style5.xml"/><Relationship Id="rId2" Type="http://schemas.microsoft.com/office/2011/relationships/chartColorStyle" Target="colors5.xml"/></Relationships>
</file>

<file path=xl/charts/_rels/chart6.xml.rels><?xml version="1.0" encoding="UTF-8" standalone="yes"?>
<Relationships xmlns="http://schemas.openxmlformats.org/package/2006/relationships"><Relationship Id="rId1" Type="http://schemas.microsoft.com/office/2011/relationships/chartStyle" Target="style6.xml"/><Relationship Id="rId2" Type="http://schemas.microsoft.com/office/2011/relationships/chartColorStyle" Target="colors6.xml"/></Relationships>
</file>

<file path=xl/charts/_rels/chart7.xml.rels><?xml version="1.0" encoding="UTF-8" standalone="yes"?>
<Relationships xmlns="http://schemas.openxmlformats.org/package/2006/relationships"><Relationship Id="rId1" Type="http://schemas.microsoft.com/office/2011/relationships/chartStyle" Target="style7.xml"/><Relationship Id="rId2" Type="http://schemas.microsoft.com/office/2011/relationships/chartColorStyle" Target="colors7.xml"/></Relationships>
</file>

<file path=xl/charts/_rels/chart8.xml.rels><?xml version="1.0" encoding="UTF-8" standalone="yes"?>
<Relationships xmlns="http://schemas.openxmlformats.org/package/2006/relationships"><Relationship Id="rId1" Type="http://schemas.microsoft.com/office/2011/relationships/chartStyle" Target="style8.xml"/><Relationship Id="rId2" Type="http://schemas.microsoft.com/office/2011/relationships/chartColorStyle" Target="colors8.xml"/></Relationships>
</file>

<file path=xl/charts/_rels/chart9.xml.rels><?xml version="1.0" encoding="UTF-8" standalone="yes"?>
<Relationships xmlns="http://schemas.openxmlformats.org/package/2006/relationships"><Relationship Id="rId1" Type="http://schemas.microsoft.com/office/2011/relationships/chartStyle" Target="style9.xml"/><Relationship Id="rId2" Type="http://schemas.microsoft.com/office/2011/relationships/chartColorStyle" Target="colors9.xml"/></Relationships>
</file>

<file path=xl/charts/_rels/chart10.xml.rels><?xml version="1.0" encoding="UTF-8" standalone="yes"?>
<Relationships xmlns="http://schemas.openxmlformats.org/package/2006/relationships"><Relationship Id="rId1" Type="http://schemas.microsoft.com/office/2011/relationships/chartStyle" Target="style10.xml"/><Relationship Id="rId2" Type="http://schemas.microsoft.com/office/2011/relationships/chartColorStyle" Target="colors10.xml"/></Relationships>
</file>

<file path=xl/charts/_rels/chart11.xml.rels><?xml version="1.0" encoding="UTF-8" standalone="yes"?>
<Relationships xmlns="http://schemas.openxmlformats.org/package/2006/relationships"><Relationship Id="rId1" Type="http://schemas.microsoft.com/office/2011/relationships/chartStyle" Target="style11.xml"/><Relationship Id="rId2" Type="http://schemas.microsoft.com/office/2011/relationships/chartColorStyle" Target="colors11.xml"/></Relationships>
</file>

<file path=xl/charts/_rels/chart12.xml.rels><?xml version="1.0" encoding="UTF-8" standalone="yes"?>
<Relationships xmlns="http://schemas.openxmlformats.org/package/2006/relationships"><Relationship Id="rId1" Type="http://schemas.microsoft.com/office/2011/relationships/chartStyle" Target="style12.xml"/><Relationship Id="rId2" Type="http://schemas.microsoft.com/office/2011/relationships/chartColorStyle" Target="colors12.xml"/></Relationships>
</file>

<file path=xl/charts/_rels/chart13.xml.rels><?xml version="1.0" encoding="UTF-8" standalone="yes"?>
<Relationships xmlns="http://schemas.openxmlformats.org/package/2006/relationships"><Relationship Id="rId1" Type="http://schemas.microsoft.com/office/2011/relationships/chartStyle" Target="style13.xml"/><Relationship Id="rId2" Type="http://schemas.microsoft.com/office/2011/relationships/chartColorStyle" Target="colors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3333FF"/>
                </a:solidFill>
              </a:rPr>
              <a:t>Football</a:t>
            </a:r>
            <a:r>
              <a:rPr lang="en-IN" sz="1200" b="1" baseline="0">
                <a:solidFill>
                  <a:srgbClr val="3333FF"/>
                </a:solidFill>
              </a:rPr>
              <a:t> Field Analysis- Valuation Summary(Rs.)</a:t>
            </a:r>
            <a:endParaRPr lang="en-IN" sz="1200" b="1">
              <a:solidFill>
                <a:srgbClr val="3333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Analysis'!$N$6:$N$10</c:f>
              <c:numCache>
                <c:formatCode>0.00</c:formatCode>
                <c:ptCount val="5"/>
                <c:pt idx="0" formatCode="#,##0.0">
                  <c:v>3996.34775480483</c:v>
                </c:pt>
                <c:pt idx="1">
                  <c:v>2312.04879935876</c:v>
                </c:pt>
                <c:pt idx="2">
                  <c:v>2719.29856810454</c:v>
                </c:pt>
                <c:pt idx="3">
                  <c:v>2774.6040922552</c:v>
                </c:pt>
                <c:pt idx="4">
                  <c:v>3288.0</c:v>
                </c:pt>
              </c:numCache>
            </c:numRef>
          </c:val>
          <c:smooth val="0"/>
        </c:ser>
        <c:ser>
          <c:idx val="1"/>
          <c:order val="1"/>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Analysis'!$O$6:$O$10</c:f>
              <c:numCache>
                <c:formatCode>0.00</c:formatCode>
                <c:ptCount val="5"/>
                <c:pt idx="0">
                  <c:v>3996.34775480483</c:v>
                </c:pt>
                <c:pt idx="1">
                  <c:v>2312.04879935876</c:v>
                </c:pt>
                <c:pt idx="2">
                  <c:v>2719.29856810454</c:v>
                </c:pt>
                <c:pt idx="3">
                  <c:v>2774.6040922552</c:v>
                </c:pt>
                <c:pt idx="4">
                  <c:v>3288.0</c:v>
                </c:pt>
              </c:numCache>
            </c:numRef>
          </c:val>
          <c:smooth val="0"/>
        </c:ser>
        <c:ser>
          <c:idx val="2"/>
          <c:order val="2"/>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Analysis'!$P$6:$P$10</c:f>
              <c:numCache>
                <c:formatCode>0.00</c:formatCode>
                <c:ptCount val="5"/>
                <c:pt idx="0">
                  <c:v>4543.48684331746</c:v>
                </c:pt>
                <c:pt idx="1">
                  <c:v>3501.47669537816</c:v>
                </c:pt>
                <c:pt idx="2">
                  <c:v>4633.72055793508</c:v>
                </c:pt>
                <c:pt idx="3">
                  <c:v>4809.8473809995</c:v>
                </c:pt>
                <c:pt idx="4">
                  <c:v>4440.0</c:v>
                </c:pt>
              </c:numCache>
            </c:numRef>
          </c:val>
          <c:smooth val="0"/>
        </c:ser>
        <c:ser>
          <c:idx val="3"/>
          <c:order val="3"/>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Analysis'!$Q$6:$Q$10</c:f>
              <c:numCache>
                <c:formatCode>0.00</c:formatCode>
                <c:ptCount val="5"/>
                <c:pt idx="0">
                  <c:v>4543.48684331746</c:v>
                </c:pt>
                <c:pt idx="1">
                  <c:v>3501.47669537816</c:v>
                </c:pt>
                <c:pt idx="2">
                  <c:v>4633.72055793508</c:v>
                </c:pt>
                <c:pt idx="3">
                  <c:v>4809.8473809995</c:v>
                </c:pt>
                <c:pt idx="4">
                  <c:v>4440.0</c:v>
                </c:pt>
              </c:numCache>
            </c:numRef>
          </c:val>
          <c:smooth val="0"/>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3333FF"/>
              </a:solidFill>
              <a:ln w="9525" cap="flat" cmpd="sng" algn="ctr">
                <a:solidFill>
                  <a:schemeClr val="tx1">
                    <a:lumMod val="65000"/>
                    <a:lumOff val="35000"/>
                  </a:schemeClr>
                </a:solidFill>
                <a:round/>
              </a:ln>
              <a:effectLst/>
            </c:spPr>
          </c:upBars>
          <c:downBars>
            <c:spPr>
              <a:solidFill>
                <a:srgbClr val="0070C0"/>
              </a:solidFill>
              <a:ln w="9525" cap="flat" cmpd="sng" algn="ctr">
                <a:solidFill>
                  <a:schemeClr val="tx1">
                    <a:lumMod val="65000"/>
                    <a:lumOff val="35000"/>
                  </a:schemeClr>
                </a:solidFill>
                <a:round/>
              </a:ln>
              <a:effectLst/>
            </c:spPr>
          </c:downBars>
        </c:upDownBars>
        <c:axId val="1491000495"/>
        <c:axId val="1491006255"/>
      </c:stockChart>
      <c:catAx>
        <c:axId val="1491000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6255"/>
        <c:crosses val="autoZero"/>
        <c:auto val="1"/>
        <c:lblAlgn val="ctr"/>
        <c:lblOffset val="100"/>
        <c:noMultiLvlLbl val="0"/>
      </c:catAx>
      <c:valAx>
        <c:axId val="14910062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Score'!$C$68:$I$68</c:f>
              <c:numCache>
                <c:formatCode>mmm-yy</c:formatCode>
                <c:ptCount val="7"/>
                <c:pt idx="0">
                  <c:v>43921.0</c:v>
                </c:pt>
                <c:pt idx="1">
                  <c:v>44286.0</c:v>
                </c:pt>
                <c:pt idx="2">
                  <c:v>44651.0</c:v>
                </c:pt>
                <c:pt idx="3">
                  <c:v>45016.0</c:v>
                </c:pt>
                <c:pt idx="4">
                  <c:v>45382.0</c:v>
                </c:pt>
                <c:pt idx="5">
                  <c:v>45747.0</c:v>
                </c:pt>
                <c:pt idx="6">
                  <c:v>46112.0</c:v>
                </c:pt>
              </c:numCache>
            </c:numRef>
          </c:cat>
          <c:val>
            <c:numRef>
              <c:f>'Altman Z Score'!$C$71:$I$71</c:f>
              <c:numCache>
                <c:formatCode>0.00%</c:formatCode>
                <c:ptCount val="7"/>
                <c:pt idx="0">
                  <c:v>0.465898124371652</c:v>
                </c:pt>
                <c:pt idx="1">
                  <c:v>0.406492364196075</c:v>
                </c:pt>
                <c:pt idx="2">
                  <c:v>0.389702581194228</c:v>
                </c:pt>
                <c:pt idx="3">
                  <c:v>0.36234025476259</c:v>
                </c:pt>
                <c:pt idx="4">
                  <c:v>0.326925927542195</c:v>
                </c:pt>
                <c:pt idx="5">
                  <c:v>0.339251754003656</c:v>
                </c:pt>
                <c:pt idx="6">
                  <c:v>0.292300566619723</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1"/>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Score'!$C$74:$I$74</c:f>
              <c:numCache>
                <c:formatCode>mmm-yy</c:formatCode>
                <c:ptCount val="7"/>
                <c:pt idx="0">
                  <c:v>43921.0</c:v>
                </c:pt>
                <c:pt idx="1">
                  <c:v>44286.0</c:v>
                </c:pt>
                <c:pt idx="2">
                  <c:v>44651.0</c:v>
                </c:pt>
                <c:pt idx="3">
                  <c:v>45016.0</c:v>
                </c:pt>
                <c:pt idx="4">
                  <c:v>45382.0</c:v>
                </c:pt>
                <c:pt idx="5">
                  <c:v>45747.0</c:v>
                </c:pt>
                <c:pt idx="6">
                  <c:v>46112.0</c:v>
                </c:pt>
              </c:numCache>
            </c:numRef>
          </c:cat>
          <c:val>
            <c:numRef>
              <c:f>'Altman Z Score'!$C$77:$I$77</c:f>
              <c:numCache>
                <c:formatCode>0.00%</c:formatCode>
                <c:ptCount val="7"/>
                <c:pt idx="0">
                  <c:v>0.0172156904289646</c:v>
                </c:pt>
                <c:pt idx="1">
                  <c:v>0.0</c:v>
                </c:pt>
                <c:pt idx="2">
                  <c:v>0.0151583289374274</c:v>
                </c:pt>
                <c:pt idx="3">
                  <c:v>0.019291925667778</c:v>
                </c:pt>
                <c:pt idx="4">
                  <c:v>0.0174981715379228</c:v>
                </c:pt>
                <c:pt idx="5">
                  <c:v>0.0258862971829931</c:v>
                </c:pt>
                <c:pt idx="6">
                  <c:v>0.0197755763332896</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Score'!$C$80:$I$80</c:f>
              <c:numCache>
                <c:formatCode>mmm-yy</c:formatCode>
                <c:ptCount val="7"/>
                <c:pt idx="0">
                  <c:v>43921.0</c:v>
                </c:pt>
                <c:pt idx="1">
                  <c:v>44286.0</c:v>
                </c:pt>
                <c:pt idx="2">
                  <c:v>44651.0</c:v>
                </c:pt>
                <c:pt idx="3">
                  <c:v>45016.0</c:v>
                </c:pt>
                <c:pt idx="4">
                  <c:v>45382.0</c:v>
                </c:pt>
                <c:pt idx="5">
                  <c:v>45747.0</c:v>
                </c:pt>
                <c:pt idx="6">
                  <c:v>46112.0</c:v>
                </c:pt>
              </c:numCache>
            </c:numRef>
          </c:cat>
          <c:val>
            <c:numRef>
              <c:f>'Altman Z Score'!$C$83:$I$83</c:f>
              <c:numCache>
                <c:formatCode>0.00%</c:formatCode>
                <c:ptCount val="7"/>
                <c:pt idx="0">
                  <c:v>0.0720305181414712</c:v>
                </c:pt>
                <c:pt idx="1">
                  <c:v>0.0662894489931394</c:v>
                </c:pt>
                <c:pt idx="2">
                  <c:v>0.0669720088126459</c:v>
                </c:pt>
                <c:pt idx="3">
                  <c:v>0.0717688798814322</c:v>
                </c:pt>
                <c:pt idx="4">
                  <c:v>0.0738386843859792</c:v>
                </c:pt>
                <c:pt idx="5">
                  <c:v>0.079938258163921</c:v>
                </c:pt>
                <c:pt idx="6">
                  <c:v>0.0686276137351562</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Score'!$C$86:$I$86</c:f>
              <c:numCache>
                <c:formatCode>mmm-yy</c:formatCode>
                <c:ptCount val="7"/>
                <c:pt idx="0">
                  <c:v>43921.0</c:v>
                </c:pt>
                <c:pt idx="1">
                  <c:v>44286.0</c:v>
                </c:pt>
                <c:pt idx="2">
                  <c:v>44651.0</c:v>
                </c:pt>
                <c:pt idx="3">
                  <c:v>45016.0</c:v>
                </c:pt>
                <c:pt idx="4">
                  <c:v>45382.0</c:v>
                </c:pt>
                <c:pt idx="5">
                  <c:v>45747.0</c:v>
                </c:pt>
                <c:pt idx="6">
                  <c:v>46112.0</c:v>
                </c:pt>
              </c:numCache>
            </c:numRef>
          </c:cat>
          <c:val>
            <c:numRef>
              <c:f>'Altman Z Score'!$C$89:$I$89</c:f>
              <c:numCache>
                <c:formatCode>0.00%</c:formatCode>
                <c:ptCount val="7"/>
                <c:pt idx="0">
                  <c:v>0.792776143677116</c:v>
                </c:pt>
                <c:pt idx="1">
                  <c:v>1.48030686305908</c:v>
                </c:pt>
                <c:pt idx="2">
                  <c:v>1.97883652532247</c:v>
                </c:pt>
                <c:pt idx="3">
                  <c:v>2.52112180908582</c:v>
                </c:pt>
                <c:pt idx="4">
                  <c:v>4.44808843491304</c:v>
                </c:pt>
                <c:pt idx="5">
                  <c:v>3.62708463888196</c:v>
                </c:pt>
                <c:pt idx="6">
                  <c:v>3.84102289709944</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1"/>
          <c:order val="0"/>
          <c:spPr>
            <a:solidFill>
              <a:srgbClr val="002060"/>
            </a:solidFill>
            <a:ln>
              <a:noFill/>
            </a:ln>
            <a:effectLst/>
          </c:spPr>
          <c:invertIfNegative val="0"/>
          <c:dPt>
            <c:idx val="3"/>
            <c:invertIfNegative val="0"/>
            <c:bubble3D val="0"/>
            <c:spPr>
              <a:solidFill>
                <a:srgbClr val="002060"/>
              </a:solidFill>
              <a:ln>
                <a:noFill/>
              </a:ln>
              <a:effectLst/>
            </c:spPr>
          </c:dPt>
          <c:dPt>
            <c:idx val="4"/>
            <c:invertIfNegative val="0"/>
            <c:bubble3D val="0"/>
            <c:spPr>
              <a:solidFill>
                <a:srgbClr val="002060"/>
              </a:solidFill>
              <a:ln>
                <a:noFill/>
              </a:ln>
              <a:effectLst/>
            </c:spPr>
          </c:dPt>
          <c:dPt>
            <c:idx val="5"/>
            <c:invertIfNegative val="0"/>
            <c:bubble3D val="0"/>
            <c:spPr>
              <a:solidFill>
                <a:srgbClr val="002060"/>
              </a:solidFill>
              <a:ln>
                <a:noFill/>
              </a:ln>
              <a:effectLst/>
            </c:spPr>
          </c:dPt>
          <c:dPt>
            <c:idx val="6"/>
            <c:invertIfNegative val="0"/>
            <c:bubble3D val="0"/>
            <c:spPr>
              <a:solidFill>
                <a:srgbClr val="00206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Score'!$C$94:$I$94</c:f>
              <c:numCache>
                <c:formatCode>mmm-yy</c:formatCode>
                <c:ptCount val="7"/>
                <c:pt idx="0">
                  <c:v>43921.0</c:v>
                </c:pt>
                <c:pt idx="1">
                  <c:v>44286.0</c:v>
                </c:pt>
                <c:pt idx="2">
                  <c:v>44651.0</c:v>
                </c:pt>
                <c:pt idx="3">
                  <c:v>45016.0</c:v>
                </c:pt>
                <c:pt idx="4">
                  <c:v>45382.0</c:v>
                </c:pt>
                <c:pt idx="5">
                  <c:v>45747.0</c:v>
                </c:pt>
                <c:pt idx="6">
                  <c:v>46112.0</c:v>
                </c:pt>
              </c:numCache>
            </c:numRef>
          </c:cat>
          <c:val>
            <c:numRef>
              <c:f>'Altman Z Score'!$C$97:$I$97</c:f>
              <c:numCache>
                <c:formatCode>0.00%</c:formatCode>
                <c:ptCount val="7"/>
                <c:pt idx="0">
                  <c:v>0.474269588589464</c:v>
                </c:pt>
                <c:pt idx="1">
                  <c:v>0.43850758017582</c:v>
                </c:pt>
                <c:pt idx="2">
                  <c:v>0.490619237671087</c:v>
                </c:pt>
                <c:pt idx="3">
                  <c:v>0.556046508044901</c:v>
                </c:pt>
                <c:pt idx="4">
                  <c:v>0.651093599649519</c:v>
                </c:pt>
                <c:pt idx="5">
                  <c:v>0.674558020251898</c:v>
                </c:pt>
                <c:pt idx="6">
                  <c:v>0.631930256760221</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Score'!$C$100:$I$100</c:f>
              <c:numCache>
                <c:formatCode>mmm-yy</c:formatCode>
                <c:ptCount val="7"/>
                <c:pt idx="0">
                  <c:v>43921.0</c:v>
                </c:pt>
                <c:pt idx="1">
                  <c:v>44286.0</c:v>
                </c:pt>
                <c:pt idx="2">
                  <c:v>44651.0</c:v>
                </c:pt>
                <c:pt idx="3">
                  <c:v>45016.0</c:v>
                </c:pt>
                <c:pt idx="4">
                  <c:v>45382.0</c:v>
                </c:pt>
                <c:pt idx="5">
                  <c:v>45747.0</c:v>
                </c:pt>
                <c:pt idx="6">
                  <c:v>46112.0</c:v>
                </c:pt>
              </c:numCache>
            </c:numRef>
          </c:cat>
          <c:val>
            <c:numRef>
              <c:f>'Altman Z Score'!$C$101:$I$101</c:f>
              <c:numCache>
                <c:formatCode>#,##0.00</c:formatCode>
                <c:ptCount val="7"/>
                <c:pt idx="0">
                  <c:v>1.77081570050912</c:v>
                </c:pt>
                <c:pt idx="1">
                  <c:v>2.03323771672392</c:v>
                </c:pt>
                <c:pt idx="2">
                  <c:v>2.38779353989178</c:v>
                </c:pt>
                <c:pt idx="3">
                  <c:v>2.76737389875511</c:v>
                </c:pt>
                <c:pt idx="4">
                  <c:v>3.9804228722748</c:v>
                </c:pt>
                <c:pt idx="5">
                  <c:v>3.55794797638259</c:v>
                </c:pt>
                <c:pt idx="6">
                  <c:v>3.54146160715617</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dPt>
          <c:dPt>
            <c:idx val="1"/>
            <c:invertIfNegative val="0"/>
            <c:bubble3D val="0"/>
            <c:spPr>
              <a:solidFill>
                <a:srgbClr val="002060"/>
              </a:solidFill>
              <a:ln>
                <a:noFill/>
              </a:ln>
              <a:effectLst/>
            </c:spPr>
          </c:dPt>
          <c:dPt>
            <c:idx val="2"/>
            <c:invertIfNegative val="0"/>
            <c:bubble3D val="0"/>
            <c:spPr>
              <a:solidFill>
                <a:srgbClr val="002060"/>
              </a:solidFill>
              <a:ln>
                <a:noFill/>
              </a:ln>
              <a:effectLst/>
            </c:spPr>
          </c:dPt>
          <c:dPt>
            <c:idx val="3"/>
            <c:invertIfNegative val="0"/>
            <c:bubble3D val="0"/>
            <c:spPr>
              <a:solidFill>
                <a:srgbClr val="002060"/>
              </a:solidFill>
              <a:ln>
                <a:no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Analysis!$F$75:$I$75</c:f>
              <c:numCache>
                <c:formatCode>mmm-yy</c:formatCode>
                <c:ptCount val="4"/>
                <c:pt idx="0">
                  <c:v>45016.0</c:v>
                </c:pt>
                <c:pt idx="1">
                  <c:v>45382.0</c:v>
                </c:pt>
                <c:pt idx="2">
                  <c:v>45747.0</c:v>
                </c:pt>
                <c:pt idx="3">
                  <c:v>46112.0</c:v>
                </c:pt>
              </c:numCache>
            </c:numRef>
          </c:cat>
          <c:val>
            <c:numRef>
              <c:f>Analysis!$F$77:$I$77</c:f>
              <c:numCache>
                <c:formatCode>#,##0.00</c:formatCode>
                <c:ptCount val="4"/>
                <c:pt idx="0">
                  <c:v>183340.7</c:v>
                </c:pt>
                <c:pt idx="1">
                  <c:v>221112.91</c:v>
                </c:pt>
                <c:pt idx="2">
                  <c:v>255734.45</c:v>
                </c:pt>
                <c:pt idx="3">
                  <c:v>285874.36</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solidFill>
                <a:srgbClr val="F7BB93"/>
              </a:solidFill>
            </a:ln>
            <a:effectLst/>
          </c:spPr>
          <c:invertIfNegative val="0"/>
          <c:dPt>
            <c:idx val="0"/>
            <c:invertIfNegative val="0"/>
            <c:bubble3D val="0"/>
            <c:spPr>
              <a:solidFill>
                <a:srgbClr val="002060"/>
              </a:solidFill>
              <a:ln>
                <a:solidFill>
                  <a:srgbClr val="F7BB93"/>
                </a:solidFill>
              </a:ln>
              <a:effectLst/>
            </c:spPr>
          </c:dPt>
          <c:dPt>
            <c:idx val="1"/>
            <c:invertIfNegative val="0"/>
            <c:bubble3D val="0"/>
            <c:spPr>
              <a:solidFill>
                <a:srgbClr val="002060"/>
              </a:solidFill>
              <a:ln>
                <a:solidFill>
                  <a:srgbClr val="F7BB93"/>
                </a:solidFill>
              </a:ln>
              <a:effectLst/>
            </c:spPr>
          </c:dPt>
          <c:dPt>
            <c:idx val="2"/>
            <c:invertIfNegative val="0"/>
            <c:bubble3D val="0"/>
            <c:spPr>
              <a:solidFill>
                <a:srgbClr val="002060"/>
              </a:solidFill>
              <a:ln>
                <a:solidFill>
                  <a:srgbClr val="F7BB93"/>
                </a:solidFill>
              </a:ln>
              <a:effectLst/>
            </c:spPr>
          </c:dPt>
          <c:dPt>
            <c:idx val="3"/>
            <c:invertIfNegative val="0"/>
            <c:bubble3D val="0"/>
            <c:spPr>
              <a:solidFill>
                <a:srgbClr val="002060"/>
              </a:solidFill>
              <a:ln>
                <a:solidFill>
                  <a:srgbClr val="F7BB93"/>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Analysis!$F$75:$I$75</c:f>
              <c:numCache>
                <c:formatCode>mmm-yy</c:formatCode>
                <c:ptCount val="4"/>
                <c:pt idx="0">
                  <c:v>45016.0</c:v>
                </c:pt>
                <c:pt idx="1">
                  <c:v>45382.0</c:v>
                </c:pt>
                <c:pt idx="2">
                  <c:v>45747.0</c:v>
                </c:pt>
                <c:pt idx="3">
                  <c:v>46112.0</c:v>
                </c:pt>
              </c:numCache>
            </c:numRef>
          </c:cat>
          <c:val>
            <c:numRef>
              <c:f>Analysis!$F$76:$I$76</c:f>
              <c:numCache>
                <c:formatCode>#,##0.00</c:formatCode>
                <c:ptCount val="4"/>
                <c:pt idx="0">
                  <c:v>10470.72</c:v>
                </c:pt>
                <c:pt idx="1">
                  <c:v>13059.11</c:v>
                </c:pt>
                <c:pt idx="2">
                  <c:v>15037.11</c:v>
                </c:pt>
                <c:pt idx="3">
                  <c:v>16083.99</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dPt>
          <c:dPt>
            <c:idx val="1"/>
            <c:invertIfNegative val="0"/>
            <c:bubble3D val="0"/>
            <c:spPr>
              <a:solidFill>
                <a:srgbClr val="002060"/>
              </a:solidFill>
              <a:ln>
                <a:noFill/>
              </a:ln>
              <a:effectLst/>
            </c:spPr>
          </c:dPt>
          <c:dPt>
            <c:idx val="2"/>
            <c:invertIfNegative val="0"/>
            <c:bubble3D val="0"/>
            <c:spPr>
              <a:solidFill>
                <a:srgbClr val="002060"/>
              </a:solidFill>
              <a:ln>
                <a:noFill/>
              </a:ln>
              <a:effectLst/>
            </c:spPr>
          </c:dPt>
          <c:dPt>
            <c:idx val="3"/>
            <c:invertIfNegative val="0"/>
            <c:bubble3D val="0"/>
            <c:spPr>
              <a:solidFill>
                <a:srgbClr val="002060"/>
              </a:solidFill>
              <a:ln>
                <a:no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45016.0</c:v>
                </c:pt>
                <c:pt idx="1">
                  <c:v>45382.0</c:v>
                </c:pt>
                <c:pt idx="2">
                  <c:v>45747.0</c:v>
                </c:pt>
                <c:pt idx="3">
                  <c:v>46112.0</c:v>
                </c:pt>
              </c:numCache>
            </c:numRef>
          </c:cat>
          <c:val>
            <c:numRef>
              <c:f>Analysis!$F$82:$I$82</c:f>
              <c:numCache>
                <c:formatCode>#,##0.00</c:formatCode>
                <c:ptCount val="4"/>
                <c:pt idx="0">
                  <c:v>324374.895</c:v>
                </c:pt>
                <c:pt idx="1">
                  <c:v>334662.11</c:v>
                </c:pt>
                <c:pt idx="2">
                  <c:v>359358.215</c:v>
                </c:pt>
                <c:pt idx="3">
                  <c:v>415748.43</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dPt>
          <c:dPt>
            <c:idx val="1"/>
            <c:invertIfNegative val="0"/>
            <c:bubble3D val="0"/>
            <c:spPr>
              <a:solidFill>
                <a:srgbClr val="002060"/>
              </a:solidFill>
              <a:ln>
                <a:noFill/>
              </a:ln>
              <a:effectLst/>
            </c:spPr>
          </c:dPt>
          <c:dPt>
            <c:idx val="2"/>
            <c:invertIfNegative val="0"/>
            <c:bubble3D val="0"/>
            <c:spPr>
              <a:solidFill>
                <a:srgbClr val="002060"/>
              </a:solidFill>
              <a:ln>
                <a:noFill/>
              </a:ln>
              <a:effectLst/>
            </c:spPr>
          </c:dPt>
          <c:dPt>
            <c:idx val="3"/>
            <c:invertIfNegative val="0"/>
            <c:bubble3D val="0"/>
            <c:spPr>
              <a:solidFill>
                <a:srgbClr val="00206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45016.0</c:v>
                </c:pt>
                <c:pt idx="1">
                  <c:v>45382.0</c:v>
                </c:pt>
                <c:pt idx="2">
                  <c:v>45747.0</c:v>
                </c:pt>
                <c:pt idx="3">
                  <c:v>46112.0</c:v>
                </c:pt>
              </c:numCache>
            </c:numRef>
          </c:cat>
          <c:val>
            <c:numRef>
              <c:f>Analysis!$F$90:$I$90</c:f>
              <c:numCache>
                <c:formatCode>0.00%</c:formatCode>
                <c:ptCount val="4"/>
                <c:pt idx="0">
                  <c:v>0.121941418456178</c:v>
                </c:pt>
                <c:pt idx="1">
                  <c:v>0.148664893153487</c:v>
                </c:pt>
                <c:pt idx="2">
                  <c:v>0.16343366654559</c:v>
                </c:pt>
                <c:pt idx="3">
                  <c:v>0.155441870174452</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dPt>
          <c:dPt>
            <c:idx val="1"/>
            <c:invertIfNegative val="0"/>
            <c:bubble3D val="0"/>
            <c:spPr>
              <a:solidFill>
                <a:srgbClr val="002060"/>
              </a:solidFill>
              <a:ln>
                <a:noFill/>
              </a:ln>
              <a:effectLst/>
            </c:spPr>
          </c:dPt>
          <c:dPt>
            <c:idx val="2"/>
            <c:invertIfNegative val="0"/>
            <c:bubble3D val="0"/>
            <c:spPr>
              <a:solidFill>
                <a:srgbClr val="002060"/>
              </a:solidFill>
              <a:ln>
                <a:noFill/>
              </a:ln>
              <a:effectLst/>
            </c:spPr>
          </c:dPt>
          <c:dPt>
            <c:idx val="3"/>
            <c:invertIfNegative val="0"/>
            <c:bubble3D val="0"/>
            <c:spPr>
              <a:solidFill>
                <a:srgbClr val="00206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45016.0</c:v>
                </c:pt>
                <c:pt idx="1">
                  <c:v>45382.0</c:v>
                </c:pt>
                <c:pt idx="2">
                  <c:v>45747.0</c:v>
                </c:pt>
                <c:pt idx="3">
                  <c:v>46112.0</c:v>
                </c:pt>
              </c:numCache>
            </c:numRef>
          </c:cat>
          <c:val>
            <c:numRef>
              <c:f>Analysis!$F$96:$I$96</c:f>
              <c:numCache>
                <c:formatCode>0.00%</c:formatCode>
                <c:ptCount val="4"/>
                <c:pt idx="0">
                  <c:v>0.032279686749494</c:v>
                </c:pt>
                <c:pt idx="1">
                  <c:v>0.0390217763223928</c:v>
                </c:pt>
                <c:pt idx="2">
                  <c:v>0.0418443474292079</c:v>
                </c:pt>
                <c:pt idx="3">
                  <c:v>0.0386868328041551</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165792649984414"/>
          <c:y val="0.0994227339023694"/>
          <c:w val="0.8686271347502857"/>
          <c:h val="0.7613986869695397"/>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dPt>
          <c:dPt>
            <c:idx val="1"/>
            <c:invertIfNegative val="0"/>
            <c:bubble3D val="0"/>
            <c:spPr>
              <a:solidFill>
                <a:srgbClr val="002060"/>
              </a:solidFill>
              <a:ln>
                <a:noFill/>
              </a:ln>
              <a:effectLst/>
            </c:spPr>
          </c:dPt>
          <c:dPt>
            <c:idx val="2"/>
            <c:invertIfNegative val="0"/>
            <c:bubble3D val="0"/>
            <c:spPr>
              <a:solidFill>
                <a:srgbClr val="002060"/>
              </a:solidFill>
              <a:ln>
                <a:noFill/>
              </a:ln>
              <a:effectLst/>
            </c:spPr>
          </c:dPt>
          <c:dPt>
            <c:idx val="3"/>
            <c:invertIfNegative val="0"/>
            <c:bubble3D val="0"/>
            <c:spPr>
              <a:solidFill>
                <a:srgbClr val="00206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45016.0</c:v>
                </c:pt>
                <c:pt idx="1">
                  <c:v>45382.0</c:v>
                </c:pt>
                <c:pt idx="2">
                  <c:v>45747.0</c:v>
                </c:pt>
                <c:pt idx="3">
                  <c:v>46112.0</c:v>
                </c:pt>
              </c:numCache>
            </c:numRef>
          </c:cat>
          <c:val>
            <c:numRef>
              <c:f>Analysis!$F$88:$I$88</c:f>
              <c:numCache>
                <c:formatCode>0.0\x</c:formatCode>
                <c:ptCount val="4"/>
                <c:pt idx="0">
                  <c:v>3.77765185277361</c:v>
                </c:pt>
                <c:pt idx="1">
                  <c:v>3.8097930736222</c:v>
                </c:pt>
                <c:pt idx="2">
                  <c:v>3.90575254691415</c:v>
                </c:pt>
                <c:pt idx="3">
                  <c:v>4.0179528513318</c:v>
                </c:pt>
              </c:numCache>
            </c:numRef>
          </c:val>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x"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image" Target="../media/image0.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image" Target="../media/image0.png"/></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18204</xdr:colOff>
      <xdr:row>12</xdr:row>
      <xdr:rowOff>37951</xdr:rowOff>
    </xdr:from>
    <xdr:to>
      <xdr:col>20</xdr:col>
      <xdr:colOff>361281</xdr:colOff>
      <xdr:row>23</xdr:row>
      <xdr:rowOff>63251</xdr:rowOff>
    </xdr:to>
    <xdr:sp macro="" textlink="">
      <xdr:nvSpPr>
        <xdr:cNvPr id="2" name="rect"/>
        <xdr:cNvSpPr/>
      </xdr:nvSpPr>
      <xdr:spPr>
        <a:xfrm>
          <a:off x="8067675" y="2333625"/>
          <a:ext cx="4000500" cy="2114550"/>
        </a:xfrm>
        <a:prstGeom prst="rect">
          <a:avLst/>
        </a:prstGeom>
        <a:solidFill>
          <a:srgbClr val="e7e6e6"/>
        </a:solidFill>
        <a:ln w="9525" cap="flat" cmpd="sng">
          <a:solidFill>
            <a:srgbClr val="162b51"/>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3366FF"/>
              </a:solidFill>
              <a:latin typeface="Calibri" panose="" pitchFamily="0" charset="0"/>
              <a:ea typeface="Calibri" panose="" pitchFamily="0" charset="0"/>
            </a:rPr>
            <a:t>Key Assumption &amp; Note :</a:t>
          </a:r>
        </a:p>
        <a:p>
          <a:pPr algn="l"/>
          <a:r>
            <a:rPr lang="en-US" altLang="zh-CN" sz="1100">
              <a:solidFill>
                <a:srgbClr val="3366FF"/>
              </a:solidFill>
              <a:latin typeface="Calibri" panose="" pitchFamily="0" charset="0"/>
              <a:ea typeface="Calibri" panose="" pitchFamily="0" charset="0"/>
            </a:rPr>
            <a:t>• Valuation is based on DCF methodology.</a:t>
          </a:r>
        </a:p>
        <a:p>
          <a:pPr algn="l"/>
          <a:r>
            <a:rPr lang="en-US" altLang="zh-CN" sz="1100">
              <a:solidFill>
                <a:srgbClr val="3366FF"/>
              </a:solidFill>
              <a:latin typeface="Calibri" panose="" pitchFamily="0" charset="0"/>
              <a:ea typeface="Calibri" panose="" pitchFamily="0" charset="0"/>
            </a:rPr>
            <a:t>•WACC is estamated using CAPM with a 5 year monthly Beta</a:t>
          </a:r>
          <a:r>
            <a:rPr lang="en-US" altLang="zh-CN" sz="1100">
              <a:solidFill>
                <a:srgbClr val="3366FF"/>
              </a:solidFill>
              <a:latin typeface="Calibri" panose="" pitchFamily="0" charset="0"/>
              <a:ea typeface="Calibri" panose="" pitchFamily="0" charset="0"/>
            </a:rPr>
            <a:t> regression.</a:t>
          </a:r>
        </a:p>
        <a:p>
          <a:pPr algn="l"/>
          <a:r>
            <a:rPr lang="en-US" altLang="zh-CN" sz="1100">
              <a:solidFill>
                <a:srgbClr val="3366FF"/>
              </a:solidFill>
              <a:latin typeface="Calibri" panose="" pitchFamily="0" charset="0"/>
              <a:ea typeface="Calibri" panose="" pitchFamily="0" charset="0"/>
            </a:rPr>
            <a:t>•Forecast Growth: 20.75%.</a:t>
          </a:r>
        </a:p>
        <a:p>
          <a:pPr algn="l"/>
          <a:r>
            <a:rPr lang="en-US" altLang="zh-CN" sz="1100">
              <a:solidFill>
                <a:srgbClr val="3366FF"/>
              </a:solidFill>
              <a:latin typeface="+mn-lt" panose="" pitchFamily="0" charset="0"/>
              <a:ea typeface="+mn-lt" panose="" pitchFamily="0" charset="0"/>
            </a:rPr>
            <a:t>•</a:t>
          </a:r>
          <a:r>
            <a:rPr lang="en-US" altLang="zh-CN" sz="1100">
              <a:solidFill>
                <a:srgbClr val="3366FF"/>
              </a:solidFill>
              <a:latin typeface="Calibri" panose="" pitchFamily="0" charset="0"/>
              <a:ea typeface="Calibri" panose="" pitchFamily="0" charset="0"/>
            </a:rPr>
            <a:t>Terminal Growth: 4.50%.</a:t>
          </a:r>
        </a:p>
        <a:p>
          <a:pPr algn="l"/>
          <a:r>
            <a:rPr lang="en-US" altLang="zh-CN" sz="1100">
              <a:solidFill>
                <a:srgbClr val="3366FF"/>
              </a:solidFill>
              <a:latin typeface="+mn-lt" panose="" pitchFamily="0" charset="0"/>
              <a:ea typeface="+mn-lt" panose="" pitchFamily="0" charset="0"/>
            </a:rPr>
            <a:t>•</a:t>
          </a:r>
          <a:r>
            <a:rPr lang="en-US" altLang="zh-CN" sz="1100">
              <a:solidFill>
                <a:srgbClr val="3366FF"/>
              </a:solidFill>
              <a:latin typeface="Calibri" panose="" pitchFamily="0" charset="0"/>
              <a:ea typeface="Calibri" panose="" pitchFamily="0" charset="0"/>
            </a:rPr>
            <a:t>WACC: 12.20%</a:t>
          </a:r>
        </a:p>
        <a:p>
          <a:pPr algn="l"/>
          <a:r>
            <a:rPr lang="en-US" altLang="zh-CN" sz="1100">
              <a:solidFill>
                <a:srgbClr val="3366FF"/>
              </a:solidFill>
              <a:latin typeface="Calibri" panose="" pitchFamily="0" charset="0"/>
              <a:ea typeface="Calibri" panose="" pitchFamily="0" charset="0"/>
            </a:rPr>
            <a:t>•The 52 week rading range represents</a:t>
          </a:r>
          <a:r>
            <a:rPr lang="en-US" altLang="zh-CN" sz="1100">
              <a:solidFill>
                <a:srgbClr val="3366FF"/>
              </a:solidFill>
              <a:latin typeface="Calibri" panose="" pitchFamily="0" charset="0"/>
              <a:ea typeface="Calibri" panose="" pitchFamily="0" charset="0"/>
            </a:rPr>
            <a:t> actual market Price.</a:t>
          </a:r>
        </a:p>
        <a:p>
          <a:pPr algn="l"/>
          <a:r>
            <a:rPr lang="en-US" altLang="zh-CN" sz="1100">
              <a:solidFill>
                <a:srgbClr val="3366FF"/>
              </a:solidFill>
              <a:latin typeface="Calibri" panose="" pitchFamily="0" charset="0"/>
              <a:ea typeface="Calibri" panose="" pitchFamily="0" charset="0"/>
            </a:rPr>
            <a:t>•Based</a:t>
          </a:r>
          <a:r>
            <a:rPr lang="en-US" altLang="zh-CN" sz="1100">
              <a:solidFill>
                <a:srgbClr val="3366FF"/>
              </a:solidFill>
              <a:latin typeface="Calibri" panose="" pitchFamily="0" charset="0"/>
              <a:ea typeface="Calibri" panose="" pitchFamily="0" charset="0"/>
            </a:rPr>
            <a:t> on this DCF Valuation, the current market price implies a premium of approzimately 18% to the estimated intrinsic value.</a:t>
          </a:r>
        </a:p>
      </xdr:txBody>
    </xdr:sp>
    <xdr:clientData/>
  </xdr:twoCellAnchor>
  <xdr:twoCellAnchor>
    <xdr:from>
      <xdr:col>2</xdr:col>
      <xdr:colOff>227819</xdr:colOff>
      <xdr:row>4</xdr:row>
      <xdr:rowOff>88552</xdr:rowOff>
    </xdr:from>
    <xdr:to>
      <xdr:col>10</xdr:col>
      <xdr:colOff>380832</xdr:colOff>
      <xdr:row>20</xdr:row>
      <xdr:rowOff>0</xdr:rowOff>
    </xdr:to>
    <xdr:graphicFrame macro="">
      <xdr:nvGraphicFramePr>
        <xdr:cNvPr name="图表 2" id="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421636</xdr:colOff>
      <xdr:row>11</xdr:row>
      <xdr:rowOff>37951</xdr:rowOff>
    </xdr:from>
    <xdr:to>
      <xdr:col>10</xdr:col>
      <xdr:colOff>257572</xdr:colOff>
      <xdr:row>11</xdr:row>
      <xdr:rowOff>63251</xdr:rowOff>
    </xdr:to>
    <xdr:cxnSp macro="">
      <xdr:nvCxnSpPr>
        <xdr:cNvPr id="4" name="straightConnector1"/>
        <xdr:cNvSpPr/>
        <xdr:cNvCxnSpPr/>
      </xdr:nvCxnSpPr>
      <xdr:spPr>
        <a:xfrm flipV="1">
          <a:off x="1150844" y="2140324"/>
          <a:ext cx="4676215" cy="31095"/>
        </a:xfrm>
        <a:prstGeom prst="straightConnector1">
          <a:avLst/>
        </a:prstGeom>
        <a:noFill/>
        <a:ln w="12700" cap="flat" cmpd="sng">
          <a:solidFill>
            <a:srgbClr val="f4b083"/>
          </a:solidFill>
          <a:prstDash val="dash"/>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8353</xdr:colOff>
      <xdr:row>27</xdr:row>
      <xdr:rowOff>151804</xdr:rowOff>
    </xdr:from>
    <xdr:to>
      <xdr:col>15</xdr:col>
      <xdr:colOff>204867</xdr:colOff>
      <xdr:row>40</xdr:row>
      <xdr:rowOff>63251</xdr:rowOff>
    </xdr:to>
    <xdr:sp macro="" textlink="">
      <xdr:nvSpPr>
        <xdr:cNvPr id="2" name=" "/>
        <xdr:cNvSpPr/>
      </xdr:nvSpPr>
      <xdr:spPr>
        <a:xfrm>
          <a:off x="7643167" y="5370828"/>
          <a:ext cx="6153009" cy="238764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36428</xdr:colOff>
      <xdr:row>17</xdr:row>
      <xdr:rowOff>215800</xdr:rowOff>
    </xdr:from>
    <xdr:to>
      <xdr:col>2</xdr:col>
      <xdr:colOff>289468</xdr:colOff>
      <xdr:row>29</xdr:row>
      <xdr:rowOff>75902</xdr:rowOff>
    </xdr:to>
    <xdr:grpSp>
      <xdr:nvGrpSpPr>
        <xdr:cNvPr id="2" name=" "/>
        <xdr:cNvGrpSpPr/>
      </xdr:nvGrpSpPr>
      <xdr:grpSpPr>
        <a:xfrm>
          <a:off x="4130085" y="2409235"/>
          <a:ext cx="333228" cy="6002327"/>
          <a:chOff x="238753" y="3253432"/>
          <a:chExt cx="2401260" cy="2188175"/>
        </a:xfrm>
      </xdr:grpSpPr>
      <xdr:graphicFrame macro="">
        <xdr:nvGraphicFramePr>
          <xdr:cNvPr name="图表 1" id="2"/>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 "/>
          <xdr:cNvSpPr txBox="1"/>
        </xdr:nvSpPr>
        <xdr:spPr>
          <a:xfrm>
            <a:off x="478708" y="3253432"/>
            <a:ext cx="1972327"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Working Capital/Total Assets(A)</a:t>
            </a:r>
            <a:r>
              <a:rPr lang="en-US" altLang="zh-CN" sz="1100">
                <a:solidFill>
                  <a:srgbClr val="003366"/>
                </a:solidFill>
                <a:latin typeface="Calibri" panose="" pitchFamily="0" charset="0"/>
                <a:ea typeface="Calibri" panose="" pitchFamily="0" charset="0"/>
              </a:rPr>
              <a:t> </a:t>
            </a:r>
          </a:p>
        </xdr:txBody>
      </xdr:sp>
    </xdr:grpSp>
    <xdr:clientData/>
  </xdr:twoCellAnchor>
  <xdr:twoCellAnchor>
    <xdr:from>
      <xdr:col>2</xdr:col>
      <xdr:colOff>418001</xdr:colOff>
      <xdr:row>17</xdr:row>
      <xdr:rowOff>227893</xdr:rowOff>
    </xdr:from>
    <xdr:to>
      <xdr:col>5</xdr:col>
      <xdr:colOff>495769</xdr:colOff>
      <xdr:row>29</xdr:row>
      <xdr:rowOff>88552</xdr:rowOff>
    </xdr:to>
    <xdr:grpSp>
      <xdr:nvGrpSpPr>
        <xdr:cNvPr id="4" name=" "/>
        <xdr:cNvGrpSpPr/>
      </xdr:nvGrpSpPr>
      <xdr:grpSpPr>
        <a:xfrm>
          <a:off x="4142178" y="2421885"/>
          <a:ext cx="6469246" cy="6537007"/>
          <a:chOff x="238753" y="3253432"/>
          <a:chExt cx="2401260" cy="2188175"/>
        </a:xfrm>
      </xdr:grpSpPr>
      <xdr:graphicFrame macro="">
        <xdr:nvGraphicFramePr>
          <xdr:cNvPr name="图表 3" id="4"/>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 "/>
          <xdr:cNvSpPr txBox="1"/>
        </xdr:nvSpPr>
        <xdr:spPr>
          <a:xfrm>
            <a:off x="366913" y="3253432"/>
            <a:ext cx="2217092"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Retained Earnings/Total Assets(B)</a:t>
            </a:r>
            <a:r>
              <a:rPr lang="en-US" altLang="zh-CN" sz="1100">
                <a:solidFill>
                  <a:srgbClr val="003366"/>
                </a:solidFill>
                <a:latin typeface="Calibri" panose="" pitchFamily="0" charset="0"/>
                <a:ea typeface="Calibri" panose="" pitchFamily="0" charset="0"/>
              </a:rPr>
              <a:t> </a:t>
            </a:r>
          </a:p>
        </xdr:txBody>
      </xdr:sp>
    </xdr:grpSp>
    <xdr:clientData/>
  </xdr:twoCellAnchor>
  <xdr:twoCellAnchor>
    <xdr:from>
      <xdr:col>5</xdr:col>
      <xdr:colOff>517371</xdr:colOff>
      <xdr:row>18</xdr:row>
      <xdr:rowOff>0</xdr:rowOff>
    </xdr:from>
    <xdr:to>
      <xdr:col>8</xdr:col>
      <xdr:colOff>649144</xdr:colOff>
      <xdr:row>29</xdr:row>
      <xdr:rowOff>101203</xdr:rowOff>
    </xdr:to>
    <xdr:grpSp>
      <xdr:nvGrpSpPr>
        <xdr:cNvPr id="6" name=" "/>
        <xdr:cNvGrpSpPr/>
      </xdr:nvGrpSpPr>
      <xdr:grpSpPr>
        <a:xfrm>
          <a:off x="4152380" y="2196441"/>
          <a:ext cx="12753686" cy="6641856"/>
          <a:chOff x="238753" y="3253432"/>
          <a:chExt cx="2401260" cy="2188175"/>
        </a:xfrm>
      </xdr:grpSpPr>
      <xdr:graphicFrame macro="">
        <xdr:nvGraphicFramePr>
          <xdr:cNvPr name="图表 5" id="6"/>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 name=" "/>
          <xdr:cNvSpPr txBox="1"/>
        </xdr:nvSpPr>
        <xdr:spPr>
          <a:xfrm>
            <a:off x="794448" y="3253432"/>
            <a:ext cx="1293963"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EBIT/Total Assets(C)</a:t>
            </a:r>
            <a:r>
              <a:rPr lang="en-US" altLang="zh-CN" sz="1100">
                <a:solidFill>
                  <a:srgbClr val="003366"/>
                </a:solidFill>
                <a:latin typeface="Calibri" panose="" pitchFamily="0" charset="0"/>
                <a:ea typeface="Calibri" panose="" pitchFamily="0" charset="0"/>
              </a:rPr>
              <a:t> </a:t>
            </a:r>
          </a:p>
        </xdr:txBody>
      </xdr:sp>
    </xdr:grpSp>
    <xdr:clientData/>
  </xdr:twoCellAnchor>
  <xdr:twoCellAnchor>
    <xdr:from>
      <xdr:col>0</xdr:col>
      <xdr:colOff>115282</xdr:colOff>
      <xdr:row>31</xdr:row>
      <xdr:rowOff>88552</xdr:rowOff>
    </xdr:from>
    <xdr:to>
      <xdr:col>2</xdr:col>
      <xdr:colOff>243024</xdr:colOff>
      <xdr:row>43</xdr:row>
      <xdr:rowOff>0</xdr:rowOff>
    </xdr:to>
    <xdr:grpSp>
      <xdr:nvGrpSpPr>
        <xdr:cNvPr id="8" name=" "/>
        <xdr:cNvGrpSpPr/>
      </xdr:nvGrpSpPr>
      <xdr:grpSpPr>
        <a:xfrm>
          <a:off x="6717123" y="2285714"/>
          <a:ext cx="100285" cy="6272164"/>
          <a:chOff x="238753" y="3253432"/>
          <a:chExt cx="2401260" cy="2188175"/>
        </a:xfrm>
      </xdr:grpSpPr>
      <xdr:graphicFrame macro="">
        <xdr:nvGraphicFramePr>
          <xdr:cNvPr name="图表 7" id="8"/>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9" name=" "/>
          <xdr:cNvSpPr txBox="1"/>
        </xdr:nvSpPr>
        <xdr:spPr>
          <a:xfrm>
            <a:off x="407277" y="3253432"/>
            <a:ext cx="2114278"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Market cap/Long Term Liabilities(D)</a:t>
            </a:r>
            <a:r>
              <a:rPr lang="en-US" altLang="zh-CN" sz="1100">
                <a:solidFill>
                  <a:srgbClr val="003366"/>
                </a:solidFill>
                <a:latin typeface="Calibri" panose="" pitchFamily="0" charset="0"/>
                <a:ea typeface="Calibri" panose="" pitchFamily="0" charset="0"/>
              </a:rPr>
              <a:t> </a:t>
            </a:r>
          </a:p>
        </xdr:txBody>
      </xdr:sp>
    </xdr:grpSp>
    <xdr:clientData/>
  </xdr:twoCellAnchor>
  <xdr:twoCellAnchor>
    <xdr:from>
      <xdr:col>2</xdr:col>
      <xdr:colOff>426642</xdr:colOff>
      <xdr:row>31</xdr:row>
      <xdr:rowOff>88552</xdr:rowOff>
    </xdr:from>
    <xdr:to>
      <xdr:col>5</xdr:col>
      <xdr:colOff>534653</xdr:colOff>
      <xdr:row>42</xdr:row>
      <xdr:rowOff>177105</xdr:rowOff>
    </xdr:to>
    <xdr:grpSp>
      <xdr:nvGrpSpPr>
        <xdr:cNvPr id="10" name=" "/>
        <xdr:cNvGrpSpPr/>
      </xdr:nvGrpSpPr>
      <xdr:grpSpPr>
        <a:xfrm>
          <a:off x="6717123" y="2272343"/>
          <a:ext cx="6476754" cy="6563589"/>
          <a:chOff x="238753" y="3253432"/>
          <a:chExt cx="2401260" cy="2188175"/>
        </a:xfrm>
      </xdr:grpSpPr>
      <xdr:graphicFrame macro="">
        <xdr:nvGraphicFramePr>
          <xdr:cNvPr name="图表 9" id="10"/>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1" name=" "/>
          <xdr:cNvSpPr txBox="1"/>
        </xdr:nvSpPr>
        <xdr:spPr>
          <a:xfrm>
            <a:off x="826104" y="3253432"/>
            <a:ext cx="1611468"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Sales/Total Assets(E)</a:t>
            </a:r>
            <a:r>
              <a:rPr lang="en-US" altLang="zh-CN" sz="1000">
                <a:solidFill>
                  <a:srgbClr val="003366"/>
                </a:solidFill>
                <a:latin typeface="Calibri" panose="" pitchFamily="0" charset="0"/>
                <a:ea typeface="Calibri" panose="" pitchFamily="0" charset="0"/>
              </a:rPr>
              <a:t> </a:t>
            </a:r>
          </a:p>
        </xdr:txBody>
      </xdr:sp>
    </xdr:grpSp>
    <xdr:clientData/>
  </xdr:twoCellAnchor>
  <xdr:twoCellAnchor>
    <xdr:from>
      <xdr:col>1</xdr:col>
      <xdr:colOff>151785</xdr:colOff>
      <xdr:row>44</xdr:row>
      <xdr:rowOff>164455</xdr:rowOff>
    </xdr:from>
    <xdr:to>
      <xdr:col>8</xdr:col>
      <xdr:colOff>549774</xdr:colOff>
      <xdr:row>60</xdr:row>
      <xdr:rowOff>114151</xdr:rowOff>
    </xdr:to>
    <xdr:sp macro="" textlink="">
      <xdr:nvSpPr>
        <xdr:cNvPr id="12" name=" "/>
        <xdr:cNvSpPr txBox="1"/>
      </xdr:nvSpPr>
      <xdr:spPr>
        <a:xfrm>
          <a:off x="275906" y="9271395"/>
          <a:ext cx="7866362" cy="3008739"/>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b="1">
              <a:solidFill>
                <a:srgbClr val="000000"/>
              </a:solidFill>
              <a:latin typeface="+mn-lt" panose="" pitchFamily="0" charset="0"/>
              <a:ea typeface="+mn-lt" panose="" pitchFamily="0" charset="0"/>
            </a:rPr>
            <a:t>Recent Updates:</a:t>
          </a:r>
        </a:p>
        <a:p>
          <a:pPr algn="l"/>
          <a:r>
            <a:rPr lang="en-US" altLang="zh-CN" sz="1200">
              <a:solidFill>
                <a:srgbClr val="000000"/>
              </a:solidFill>
              <a:latin typeface="+mn-lt" panose="" pitchFamily="0" charset="0"/>
              <a:ea typeface="+mn-lt" panose="" pitchFamily="0" charset="0"/>
            </a:rPr>
            <a:t>Q1 FY27 results to be announced on 28 July 2026, with the earnings call scheduled after the board meeting.</a:t>
          </a:r>
        </a:p>
        <a:p>
          <a:pPr algn="l"/>
          <a:r>
            <a:rPr lang="en-US" altLang="zh-CN" sz="1200">
              <a:solidFill>
                <a:srgbClr val="000000"/>
              </a:solidFill>
              <a:latin typeface="+mn-lt" panose="" pitchFamily="0" charset="0"/>
              <a:ea typeface="+mn-lt" panose="" pitchFamily="0" charset="0"/>
            </a:rPr>
            <a:t>Q4 FY26 Revenue increased 11.3% YoY to ₹82,762 Cr, reflecting strong project execution.</a:t>
          </a:r>
        </a:p>
        <a:p>
          <a:pPr algn="l"/>
          <a:r>
            <a:rPr lang="en-US" altLang="zh-CN" sz="1200">
              <a:solidFill>
                <a:srgbClr val="000000"/>
              </a:solidFill>
              <a:latin typeface="+mn-lt" panose="" pitchFamily="0" charset="0"/>
              <a:ea typeface="+mn-lt" panose="" pitchFamily="0" charset="0"/>
            </a:rPr>
            <a:t>Net Profit declined 3% YoY to ₹5,326 Cr, mainly due to margin pressure.</a:t>
          </a:r>
        </a:p>
        <a:p>
          <a:pPr algn="l"/>
          <a:r>
            <a:rPr lang="en-US" altLang="zh-CN" sz="1200">
              <a:solidFill>
                <a:srgbClr val="000000"/>
              </a:solidFill>
              <a:latin typeface="+mn-lt" panose="" pitchFamily="0" charset="0"/>
              <a:ea typeface="+mn-lt" panose="" pitchFamily="0" charset="0"/>
            </a:rPr>
            <a:t>EBITDA grew 5% YoY to ₹8,610 Cr, while the EBITDA margin moderated to 10.4%.</a:t>
          </a:r>
        </a:p>
        <a:p>
          <a:pPr algn="l"/>
          <a:r>
            <a:rPr lang="en-US" altLang="zh-CN" sz="1200">
              <a:solidFill>
                <a:srgbClr val="000000"/>
              </a:solidFill>
              <a:latin typeface="+mn-lt" panose="" pitchFamily="0" charset="0"/>
              <a:ea typeface="+mn-lt" panose="" pitchFamily="0" charset="0"/>
            </a:rPr>
            <a:t>Order Book reached a record ₹7.40 lakh Cr, providing strong multi-year revenue visibility.</a:t>
          </a:r>
        </a:p>
        <a:p>
          <a:pPr algn="l"/>
          <a:r>
            <a:rPr lang="en-US" altLang="zh-CN" sz="1200" b="1">
              <a:solidFill>
                <a:srgbClr val="000000"/>
              </a:solidFill>
              <a:latin typeface="+mn-lt" panose="" pitchFamily="0" charset="0"/>
              <a:ea typeface="+mn-lt" panose="" pitchFamily="0" charset="0"/>
            </a:rPr>
            <a:t>Management focus for Q1 FY27</a:t>
          </a:r>
          <a:r>
            <a:rPr lang="en-US" altLang="zh-CN" sz="1200">
              <a:solidFill>
                <a:srgbClr val="000000"/>
              </a:solidFill>
              <a:latin typeface="+mn-lt" panose="" pitchFamily="0" charset="0"/>
              <a:ea typeface="+mn-lt" panose="" pitchFamily="0" charset="0"/>
            </a:rPr>
            <a:t>: Execution of the record order book, fresh order inflows, margin recovery, and infrastructure project pipeline.</a:t>
          </a:r>
        </a:p>
        <a:p>
          <a:pPr algn="l"/>
          <a:r>
            <a:rPr lang="en-US" altLang="zh-CN" sz="1200" b="1">
              <a:solidFill>
                <a:srgbClr val="000000"/>
              </a:solidFill>
              <a:latin typeface="+mn-lt" panose="" pitchFamily="0" charset="0"/>
              <a:ea typeface="+mn-lt" panose="" pitchFamily="0" charset="0"/>
            </a:rPr>
            <a:t>L&amp;T Technology Services (LTTS): </a:t>
          </a:r>
          <a:r>
            <a:rPr lang="en-US" altLang="zh-CN" sz="1200">
              <a:solidFill>
                <a:srgbClr val="000000"/>
              </a:solidFill>
              <a:latin typeface="+mn-lt" panose="" pitchFamily="0" charset="0"/>
              <a:ea typeface="+mn-lt" panose="" pitchFamily="0" charset="0"/>
            </a:rPr>
            <a:t>Revenue grew 11.5% YoY to ₹2,940 Cr and Net Profit increased 13% YoY.</a:t>
          </a:r>
        </a:p>
        <a:p>
          <a:pPr algn="l"/>
          <a:r>
            <a:rPr lang="en-US" altLang="zh-CN" sz="1200" b="1">
              <a:solidFill>
                <a:srgbClr val="000000"/>
              </a:solidFill>
              <a:latin typeface="+mn-lt" panose="" pitchFamily="0" charset="0"/>
              <a:ea typeface="+mn-lt" panose="" pitchFamily="0" charset="0"/>
            </a:rPr>
            <a:t>LTIMindtree: </a:t>
          </a:r>
          <a:r>
            <a:rPr lang="en-US" altLang="zh-CN" sz="1200">
              <a:solidFill>
                <a:srgbClr val="000000"/>
              </a:solidFill>
              <a:latin typeface="+mn-lt" panose="" pitchFamily="0" charset="0"/>
              <a:ea typeface="+mn-lt" panose="" pitchFamily="0" charset="0"/>
            </a:rPr>
            <a:t>Revenue increased 18% YoY to ₹11,608 Cr, while Net Profit rose 17.1% YoY to ₹1,469 Cr.</a:t>
          </a:r>
        </a:p>
        <a:p>
          <a:pPr algn="l"/>
          <a:r>
            <a:rPr lang="en-US" altLang="zh-CN" sz="1200" b="1">
              <a:solidFill>
                <a:srgbClr val="000000"/>
              </a:solidFill>
              <a:latin typeface="+mn-lt" panose="" pitchFamily="0" charset="0"/>
              <a:ea typeface="+mn-lt" panose="" pitchFamily="0" charset="0"/>
            </a:rPr>
            <a:t>Outlook</a:t>
          </a:r>
          <a:r>
            <a:rPr lang="en-US" altLang="zh-CN" sz="1200">
              <a:solidFill>
                <a:srgbClr val="000000"/>
              </a:solidFill>
              <a:latin typeface="+mn-lt" panose="" pitchFamily="0" charset="0"/>
              <a:ea typeface="+mn-lt" panose="" pitchFamily="0" charset="0"/>
            </a:rPr>
            <a:t>: A strong order book supports long-term growth, but investors will closely monitor execution efficiency, profitability, and new order wins in upcoming quarters.</a:t>
          </a:r>
        </a:p>
        <a:p>
          <a:pPr algn="l"/>
          <a:r>
            <a:rPr lang="en-US" altLang="zh-CN" sz="1200" b="1">
              <a:solidFill>
                <a:srgbClr val="000000"/>
              </a:solidFill>
              <a:latin typeface="+mn-lt" panose="" pitchFamily="0" charset="0"/>
              <a:ea typeface="+mn-lt" panose="" pitchFamily="0" charset="0"/>
            </a:rPr>
            <a:t>Investment View: </a:t>
          </a:r>
          <a:r>
            <a:rPr lang="en-US" altLang="zh-CN" sz="1200">
              <a:solidFill>
                <a:srgbClr val="000000"/>
              </a:solidFill>
              <a:latin typeface="+mn-lt" panose="" pitchFamily="0" charset="0"/>
              <a:ea typeface="+mn-lt" panose="" pitchFamily="0" charset="0"/>
            </a:rPr>
            <a:t>L&amp;T remains well-positioned to benefit from India's infrastructure and capital expenditure cycle, supported by its diversified business model and record order backlog.</a:t>
          </a:r>
        </a:p>
      </xdr:txBody>
    </xdr:sp>
    <xdr:clientData/>
  </xdr:twoCellAnchor>
  <xdr:twoCellAnchor>
    <xdr:from>
      <xdr:col>1</xdr:col>
      <xdr:colOff>245892</xdr:colOff>
      <xdr:row>18</xdr:row>
      <xdr:rowOff>0</xdr:rowOff>
    </xdr:from>
    <xdr:to>
      <xdr:col>2</xdr:col>
      <xdr:colOff>15121</xdr:colOff>
      <xdr:row>18</xdr:row>
      <xdr:rowOff>0</xdr:rowOff>
    </xdr:to>
    <xdr:cxnSp macro="">
      <xdr:nvCxnSpPr>
        <xdr:cNvPr id="13" name="line"/>
        <xdr:cNvSpPr/>
        <xdr:cNvCxnSpPr/>
      </xdr:nvCxnSpPr>
      <xdr:spPr>
        <a:xfrm>
          <a:off x="370066" y="4152900"/>
          <a:ext cx="2150645"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2</xdr:col>
      <xdr:colOff>651304</xdr:colOff>
      <xdr:row>18</xdr:row>
      <xdr:rowOff>0</xdr:rowOff>
    </xdr:from>
    <xdr:to>
      <xdr:col>5</xdr:col>
      <xdr:colOff>250584</xdr:colOff>
      <xdr:row>18</xdr:row>
      <xdr:rowOff>0</xdr:rowOff>
    </xdr:to>
    <xdr:cxnSp macro="">
      <xdr:nvCxnSpPr>
        <xdr:cNvPr id="14" name="line"/>
        <xdr:cNvSpPr/>
        <xdr:cNvCxnSpPr/>
      </xdr:nvCxnSpPr>
      <xdr:spPr>
        <a:xfrm>
          <a:off x="3156786" y="4159988"/>
          <a:ext cx="2142123"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5</xdr:col>
      <xdr:colOff>791718</xdr:colOff>
      <xdr:row>18</xdr:row>
      <xdr:rowOff>0</xdr:rowOff>
    </xdr:from>
    <xdr:to>
      <xdr:col>8</xdr:col>
      <xdr:colOff>390998</xdr:colOff>
      <xdr:row>18</xdr:row>
      <xdr:rowOff>0</xdr:rowOff>
    </xdr:to>
    <xdr:cxnSp macro="">
      <xdr:nvCxnSpPr>
        <xdr:cNvPr id="15" name="line"/>
        <xdr:cNvSpPr/>
        <xdr:cNvCxnSpPr/>
      </xdr:nvCxnSpPr>
      <xdr:spPr>
        <a:xfrm>
          <a:off x="5840329" y="4153591"/>
          <a:ext cx="2142122"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224642</xdr:colOff>
      <xdr:row>31</xdr:row>
      <xdr:rowOff>88552</xdr:rowOff>
    </xdr:from>
    <xdr:to>
      <xdr:col>1</xdr:col>
      <xdr:colOff>2373926</xdr:colOff>
      <xdr:row>31</xdr:row>
      <xdr:rowOff>88552</xdr:rowOff>
    </xdr:to>
    <xdr:cxnSp macro="">
      <xdr:nvCxnSpPr>
        <xdr:cNvPr id="16" name="line"/>
        <xdr:cNvSpPr/>
        <xdr:cNvCxnSpPr/>
      </xdr:nvCxnSpPr>
      <xdr:spPr>
        <a:xfrm>
          <a:off x="350014" y="6728349"/>
          <a:ext cx="2150645"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2</xdr:col>
      <xdr:colOff>740953</xdr:colOff>
      <xdr:row>31</xdr:row>
      <xdr:rowOff>88552</xdr:rowOff>
    </xdr:from>
    <xdr:to>
      <xdr:col>5</xdr:col>
      <xdr:colOff>340233</xdr:colOff>
      <xdr:row>31</xdr:row>
      <xdr:rowOff>88552</xdr:rowOff>
    </xdr:to>
    <xdr:cxnSp macro="">
      <xdr:nvCxnSpPr>
        <xdr:cNvPr id="17" name="line"/>
        <xdr:cNvSpPr/>
        <xdr:cNvCxnSpPr/>
      </xdr:nvCxnSpPr>
      <xdr:spPr>
        <a:xfrm>
          <a:off x="3247022" y="6719637"/>
          <a:ext cx="2142123"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6071</xdr:colOff>
      <xdr:row>64</xdr:row>
      <xdr:rowOff>0</xdr:rowOff>
    </xdr:from>
    <xdr:to>
      <xdr:col>8</xdr:col>
      <xdr:colOff>178217</xdr:colOff>
      <xdr:row>66</xdr:row>
      <xdr:rowOff>0</xdr:rowOff>
    </xdr:to>
    <xdr:sp macro="" textlink="">
      <xdr:nvSpPr>
        <xdr:cNvPr id="18" name=" "/>
        <xdr:cNvSpPr txBox="1"/>
      </xdr:nvSpPr>
      <xdr:spPr>
        <a:xfrm>
          <a:off x="131669" y="12792075"/>
          <a:ext cx="7639051" cy="381000"/>
        </a:xfrm>
        <a:prstGeom prst="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3366"/>
              </a:solidFill>
              <a:latin typeface="Calibri" panose="" pitchFamily="0" charset="0"/>
              <a:ea typeface="Calibri" panose="" pitchFamily="0" charset="0"/>
            </a:rPr>
            <a:t>Altman's Z Score Analysis Calculation</a:t>
          </a:r>
        </a:p>
        <a:p>
          <a:pPr algn="l"/>
        </a:p>
      </xdr:txBody>
    </xdr:sp>
    <xdr:clientData/>
  </xdr:twoCellAnchor>
  <xdr:twoCellAnchor>
    <xdr:from>
      <xdr:col>0</xdr:col>
      <xdr:colOff>100005</xdr:colOff>
      <xdr:row>103</xdr:row>
      <xdr:rowOff>0</xdr:rowOff>
    </xdr:from>
    <xdr:to>
      <xdr:col>8</xdr:col>
      <xdr:colOff>295949</xdr:colOff>
      <xdr:row>105</xdr:row>
      <xdr:rowOff>25300</xdr:rowOff>
    </xdr:to>
    <xdr:sp macro="" textlink="">
      <xdr:nvSpPr>
        <xdr:cNvPr id="19" name=" "/>
        <xdr:cNvSpPr txBox="1"/>
      </xdr:nvSpPr>
      <xdr:spPr>
        <a:xfrm>
          <a:off x="100013" y="24603076"/>
          <a:ext cx="7787376" cy="416718"/>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900" b="1">
              <a:solidFill>
                <a:srgbClr val="003366"/>
              </a:solidFill>
              <a:latin typeface="Calibri" panose="" pitchFamily="0" charset="0"/>
              <a:ea typeface="Calibri" panose="" pitchFamily="0" charset="0"/>
            </a:rPr>
            <a:t>Disclaimer: </a:t>
          </a:r>
          <a:r>
            <a:rPr lang="en-US" altLang="zh-CN" sz="900">
              <a:solidFill>
                <a:srgbClr val="000000"/>
              </a:solidFill>
              <a:latin typeface="Calibri" panose="" pitchFamily="0" charset="0"/>
              <a:ea typeface="Calibri" panose="" pitchFamily="0" charset="0"/>
            </a:rPr>
            <a:t>This report is made as part of educational assignment and is meant for educational purpose only.The author of the report is not liable</a:t>
          </a:r>
          <a:r>
            <a:rPr lang="en-US" altLang="zh-CN" sz="900">
              <a:solidFill>
                <a:srgbClr val="000000"/>
              </a:solidFill>
              <a:latin typeface="Calibri" panose="" pitchFamily="0" charset="0"/>
              <a:ea typeface="Calibri" panose="" pitchFamily="0" charset="0"/>
            </a:rPr>
            <a:t> for any losses due to actions taken basis this report. It is advisiable to consult SEBI registered researh analyst before making any investments.</a:t>
          </a:r>
        </a:p>
      </xdr:txBody>
    </xdr:sp>
    <xdr:clientData/>
  </xdr:twoCellAnchor>
  <xdr:twoCellAnchor>
    <xdr:from>
      <xdr:col>6</xdr:col>
      <xdr:colOff>0</xdr:colOff>
      <xdr:row>31</xdr:row>
      <xdr:rowOff>63251</xdr:rowOff>
    </xdr:from>
    <xdr:to>
      <xdr:col>9</xdr:col>
      <xdr:colOff>107959</xdr:colOff>
      <xdr:row>42</xdr:row>
      <xdr:rowOff>88552</xdr:rowOff>
    </xdr:to>
    <xdr:grpSp>
      <xdr:nvGrpSpPr>
        <xdr:cNvPr id="20" name=" "/>
        <xdr:cNvGrpSpPr/>
      </xdr:nvGrpSpPr>
      <xdr:grpSpPr>
        <a:xfrm>
          <a:off x="6691822" y="2183790"/>
          <a:ext cx="14370158" cy="6291868"/>
          <a:chOff x="238753" y="3331445"/>
          <a:chExt cx="2401260" cy="2110162"/>
        </a:xfrm>
      </xdr:grpSpPr>
      <xdr:graphicFrame macro="">
        <xdr:nvGraphicFramePr>
          <xdr:cNvPr name="图表 19" id="20"/>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1" name=" "/>
          <xdr:cNvSpPr txBox="1"/>
        </xdr:nvSpPr>
        <xdr:spPr>
          <a:xfrm>
            <a:off x="751921" y="3331445"/>
            <a:ext cx="1618247"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003366"/>
                </a:solidFill>
                <a:latin typeface="+mn-lt" panose="" pitchFamily="0" charset="0"/>
                <a:ea typeface="+mn-lt" panose="" pitchFamily="0" charset="0"/>
              </a:rPr>
              <a:t>Altman's Z Score</a:t>
            </a:r>
          </a:p>
        </xdr:txBody>
      </xdr:sp>
    </xdr:grpSp>
    <xdr:clientData/>
  </xdr:twoCellAnchor>
  <xdr:twoCellAnchor>
    <xdr:from>
      <xdr:col>6</xdr:col>
      <xdr:colOff>0</xdr:colOff>
      <xdr:row>31</xdr:row>
      <xdr:rowOff>50601</xdr:rowOff>
    </xdr:from>
    <xdr:to>
      <xdr:col>8</xdr:col>
      <xdr:colOff>747434</xdr:colOff>
      <xdr:row>31</xdr:row>
      <xdr:rowOff>63251</xdr:rowOff>
    </xdr:to>
    <xdr:cxnSp macro="">
      <xdr:nvCxnSpPr>
        <xdr:cNvPr id="22" name="line"/>
        <xdr:cNvSpPr/>
        <xdr:cNvCxnSpPr/>
      </xdr:nvCxnSpPr>
      <xdr:spPr>
        <a:xfrm flipV="1">
          <a:off x="5883797" y="6739842"/>
          <a:ext cx="2435507" cy="12057"/>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5</xdr:col>
      <xdr:colOff>451484</xdr:colOff>
      <xdr:row>2</xdr:row>
      <xdr:rowOff>126801</xdr:rowOff>
    </xdr:from>
    <xdr:to>
      <xdr:col>8</xdr:col>
      <xdr:colOff>682627</xdr:colOff>
      <xdr:row>4</xdr:row>
      <xdr:rowOff>189755</xdr:rowOff>
    </xdr:to>
    <xdr:pic>
      <xdr:nvPicPr>
        <xdr:cNvPr id="23" name="Picture 17" descr=" "/>
        <xdr:cNvPicPr/>
      </xdr:nvPicPr>
      <xdr:blipFill>
        <a:blip xmlns:r="http://schemas.openxmlformats.org/officeDocument/2006/relationships" r:embed="rId7"/>
        <a:srcRect/>
        <a:stretch>
          <a:fillRect/>
        </a:stretch>
      </xdr:blipFill>
      <xdr:spPr>
        <a:xfrm>
          <a:off x="5488781" y="416719"/>
          <a:ext cx="2767145" cy="705987"/>
        </a:xfrm>
        <a:prstGeom prst="rect">
          <a:avLst/>
        </a:prstGeom>
        <a:noFill/>
        <a:ln>
          <a:noFill/>
        </a:ln>
        <a:effec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xdr:col>
      <xdr:colOff>36428</xdr:colOff>
      <xdr:row>18</xdr:row>
      <xdr:rowOff>215800</xdr:rowOff>
    </xdr:from>
    <xdr:to>
      <xdr:col>2</xdr:col>
      <xdr:colOff>289468</xdr:colOff>
      <xdr:row>30</xdr:row>
      <xdr:rowOff>75902</xdr:rowOff>
    </xdr:to>
    <xdr:grpSp>
      <xdr:nvGrpSpPr>
        <xdr:cNvPr id="2" name=" "/>
        <xdr:cNvGrpSpPr/>
      </xdr:nvGrpSpPr>
      <xdr:grpSpPr>
        <a:xfrm>
          <a:off x="4320561" y="2409235"/>
          <a:ext cx="333228" cy="6002327"/>
          <a:chOff x="238753" y="3253432"/>
          <a:chExt cx="2401260" cy="2188175"/>
        </a:xfrm>
      </xdr:grpSpPr>
      <xdr:graphicFrame macro="">
        <xdr:nvGraphicFramePr>
          <xdr:cNvPr name="图表 1" id="2"/>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 "/>
          <xdr:cNvSpPr txBox="1"/>
        </xdr:nvSpPr>
        <xdr:spPr>
          <a:xfrm>
            <a:off x="826105" y="3253432"/>
            <a:ext cx="1267461"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333399"/>
                </a:solidFill>
                <a:latin typeface="+mn-lt" panose="" pitchFamily="0" charset="0"/>
                <a:ea typeface="+mn-lt" panose="" pitchFamily="0" charset="0"/>
              </a:rPr>
              <a:t>Revenues (INR  Cr.)</a:t>
            </a:r>
          </a:p>
        </xdr:txBody>
      </xdr:sp>
    </xdr:grpSp>
    <xdr:clientData/>
  </xdr:twoCellAnchor>
  <xdr:twoCellAnchor>
    <xdr:from>
      <xdr:col>2</xdr:col>
      <xdr:colOff>418001</xdr:colOff>
      <xdr:row>18</xdr:row>
      <xdr:rowOff>227893</xdr:rowOff>
    </xdr:from>
    <xdr:to>
      <xdr:col>5</xdr:col>
      <xdr:colOff>495769</xdr:colOff>
      <xdr:row>30</xdr:row>
      <xdr:rowOff>88552</xdr:rowOff>
    </xdr:to>
    <xdr:grpSp>
      <xdr:nvGrpSpPr>
        <xdr:cNvPr id="4" name=" "/>
        <xdr:cNvGrpSpPr/>
      </xdr:nvGrpSpPr>
      <xdr:grpSpPr>
        <a:xfrm>
          <a:off x="4332654" y="2421885"/>
          <a:ext cx="6469246" cy="6537007"/>
          <a:chOff x="238753" y="3253432"/>
          <a:chExt cx="2401260" cy="2188175"/>
        </a:xfrm>
      </xdr:grpSpPr>
      <xdr:graphicFrame macro="">
        <xdr:nvGraphicFramePr>
          <xdr:cNvPr name="图表 3" id="4"/>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 "/>
          <xdr:cNvSpPr txBox="1"/>
        </xdr:nvSpPr>
        <xdr:spPr>
          <a:xfrm>
            <a:off x="784816" y="3253432"/>
            <a:ext cx="1293963"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333399"/>
                </a:solidFill>
                <a:latin typeface="+mn-lt" panose="" pitchFamily="0" charset="0"/>
                <a:ea typeface="+mn-lt" panose="" pitchFamily="0" charset="0"/>
              </a:rPr>
              <a:t>Net</a:t>
            </a:r>
            <a:r>
              <a:rPr lang="en-US" altLang="zh-CN" sz="1100" b="1">
                <a:solidFill>
                  <a:srgbClr val="333399"/>
                </a:solidFill>
                <a:latin typeface="+mn-lt" panose="" pitchFamily="0" charset="0"/>
                <a:ea typeface="+mn-lt" panose="" pitchFamily="0" charset="0"/>
              </a:rPr>
              <a:t> Profit</a:t>
            </a:r>
            <a:r>
              <a:rPr lang="en-US" altLang="zh-CN" sz="1100" b="1">
                <a:solidFill>
                  <a:srgbClr val="333399"/>
                </a:solidFill>
                <a:latin typeface="+mn-lt" panose="" pitchFamily="0" charset="0"/>
                <a:ea typeface="+mn-lt" panose="" pitchFamily="0" charset="0"/>
              </a:rPr>
              <a:t> (INR  Cr.)</a:t>
            </a:r>
          </a:p>
        </xdr:txBody>
      </xdr:sp>
    </xdr:grpSp>
    <xdr:clientData/>
  </xdr:twoCellAnchor>
  <xdr:twoCellAnchor>
    <xdr:from>
      <xdr:col>5</xdr:col>
      <xdr:colOff>517371</xdr:colOff>
      <xdr:row>19</xdr:row>
      <xdr:rowOff>0</xdr:rowOff>
    </xdr:from>
    <xdr:to>
      <xdr:col>8</xdr:col>
      <xdr:colOff>649144</xdr:colOff>
      <xdr:row>30</xdr:row>
      <xdr:rowOff>101203</xdr:rowOff>
    </xdr:to>
    <xdr:grpSp>
      <xdr:nvGrpSpPr>
        <xdr:cNvPr id="6" name=" "/>
        <xdr:cNvGrpSpPr/>
      </xdr:nvGrpSpPr>
      <xdr:grpSpPr>
        <a:xfrm>
          <a:off x="4342857" y="2196441"/>
          <a:ext cx="12753686" cy="6641856"/>
          <a:chOff x="238753" y="3253432"/>
          <a:chExt cx="2401260" cy="2188175"/>
        </a:xfrm>
      </xdr:grpSpPr>
      <xdr:graphicFrame macro="">
        <xdr:nvGraphicFramePr>
          <xdr:cNvPr name="图表 5" id="6"/>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 name=" "/>
          <xdr:cNvSpPr txBox="1"/>
        </xdr:nvSpPr>
        <xdr:spPr>
          <a:xfrm>
            <a:off x="794448" y="3253432"/>
            <a:ext cx="1293963"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333399"/>
                </a:solidFill>
                <a:latin typeface="+mn-lt" panose="" pitchFamily="0" charset="0"/>
                <a:ea typeface="+mn-lt" panose="" pitchFamily="0" charset="0"/>
              </a:rPr>
              <a:t>Total</a:t>
            </a:r>
            <a:r>
              <a:rPr lang="en-US" altLang="zh-CN" sz="1100" b="1">
                <a:solidFill>
                  <a:srgbClr val="333399"/>
                </a:solidFill>
                <a:latin typeface="+mn-lt" panose="" pitchFamily="0" charset="0"/>
                <a:ea typeface="+mn-lt" panose="" pitchFamily="0" charset="0"/>
              </a:rPr>
              <a:t> Asset</a:t>
            </a:r>
            <a:r>
              <a:rPr lang="en-US" altLang="zh-CN" sz="1100" b="1">
                <a:solidFill>
                  <a:srgbClr val="333399"/>
                </a:solidFill>
                <a:latin typeface="+mn-lt" panose="" pitchFamily="0" charset="0"/>
                <a:ea typeface="+mn-lt" panose="" pitchFamily="0" charset="0"/>
              </a:rPr>
              <a:t> (INR  Cr.)</a:t>
            </a:r>
          </a:p>
        </xdr:txBody>
      </xdr:sp>
    </xdr:grpSp>
    <xdr:clientData/>
  </xdr:twoCellAnchor>
  <xdr:twoCellAnchor>
    <xdr:from>
      <xdr:col>0</xdr:col>
      <xdr:colOff>115282</xdr:colOff>
      <xdr:row>32</xdr:row>
      <xdr:rowOff>88552</xdr:rowOff>
    </xdr:from>
    <xdr:to>
      <xdr:col>2</xdr:col>
      <xdr:colOff>243024</xdr:colOff>
      <xdr:row>43</xdr:row>
      <xdr:rowOff>177105</xdr:rowOff>
    </xdr:to>
    <xdr:grpSp>
      <xdr:nvGrpSpPr>
        <xdr:cNvPr id="8" name=" "/>
        <xdr:cNvGrpSpPr/>
      </xdr:nvGrpSpPr>
      <xdr:grpSpPr>
        <a:xfrm>
          <a:off x="6907599" y="2272343"/>
          <a:ext cx="100285" cy="6272164"/>
          <a:chOff x="238753" y="3253432"/>
          <a:chExt cx="2401260" cy="2188175"/>
        </a:xfrm>
      </xdr:grpSpPr>
      <xdr:graphicFrame macro="">
        <xdr:nvGraphicFramePr>
          <xdr:cNvPr name="图表 7" id="8"/>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9" name=" "/>
          <xdr:cNvSpPr txBox="1"/>
        </xdr:nvSpPr>
        <xdr:spPr>
          <a:xfrm>
            <a:off x="826104" y="3253432"/>
            <a:ext cx="1611468"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333399"/>
                </a:solidFill>
                <a:latin typeface="+mn-lt" panose="" pitchFamily="0" charset="0"/>
                <a:ea typeface="+mn-lt" panose="" pitchFamily="0" charset="0"/>
              </a:rPr>
              <a:t>Return</a:t>
            </a:r>
            <a:r>
              <a:rPr lang="en-US" altLang="zh-CN" sz="1100" b="1">
                <a:solidFill>
                  <a:srgbClr val="333399"/>
                </a:solidFill>
                <a:latin typeface="+mn-lt" panose="" pitchFamily="0" charset="0"/>
                <a:ea typeface="+mn-lt" panose="" pitchFamily="0" charset="0"/>
              </a:rPr>
              <a:t> on Equity</a:t>
            </a:r>
            <a:r>
              <a:rPr lang="en-US" altLang="zh-CN" sz="1100" b="1">
                <a:solidFill>
                  <a:srgbClr val="333399"/>
                </a:solidFill>
                <a:latin typeface="+mn-lt" panose="" pitchFamily="0" charset="0"/>
                <a:ea typeface="+mn-lt" panose="" pitchFamily="0" charset="0"/>
              </a:rPr>
              <a:t> (%)</a:t>
            </a:r>
          </a:p>
        </xdr:txBody>
      </xdr:sp>
    </xdr:grpSp>
    <xdr:clientData/>
  </xdr:twoCellAnchor>
  <xdr:twoCellAnchor>
    <xdr:from>
      <xdr:col>2</xdr:col>
      <xdr:colOff>426642</xdr:colOff>
      <xdr:row>32</xdr:row>
      <xdr:rowOff>88552</xdr:rowOff>
    </xdr:from>
    <xdr:to>
      <xdr:col>5</xdr:col>
      <xdr:colOff>534653</xdr:colOff>
      <xdr:row>43</xdr:row>
      <xdr:rowOff>177105</xdr:rowOff>
    </xdr:to>
    <xdr:grpSp>
      <xdr:nvGrpSpPr>
        <xdr:cNvPr id="10" name=" "/>
        <xdr:cNvGrpSpPr/>
      </xdr:nvGrpSpPr>
      <xdr:grpSpPr>
        <a:xfrm>
          <a:off x="6907599" y="2272343"/>
          <a:ext cx="6476754" cy="6563589"/>
          <a:chOff x="238753" y="3253432"/>
          <a:chExt cx="2401260" cy="2188175"/>
        </a:xfrm>
      </xdr:grpSpPr>
      <xdr:graphicFrame macro="">
        <xdr:nvGraphicFramePr>
          <xdr:cNvPr name="图表 9" id="10"/>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1" name=" "/>
          <xdr:cNvSpPr txBox="1"/>
        </xdr:nvSpPr>
        <xdr:spPr>
          <a:xfrm>
            <a:off x="826104" y="3253432"/>
            <a:ext cx="1611468"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b="1">
                <a:solidFill>
                  <a:srgbClr val="333399"/>
                </a:solidFill>
                <a:latin typeface="+mn-lt" panose="" pitchFamily="0" charset="0"/>
                <a:ea typeface="+mn-lt" panose="" pitchFamily="0" charset="0"/>
              </a:rPr>
              <a:t> </a:t>
            </a:r>
            <a:r>
              <a:rPr lang="en-US" altLang="zh-CN" sz="1100" b="1">
                <a:solidFill>
                  <a:srgbClr val="333399"/>
                </a:solidFill>
                <a:latin typeface="+mn-lt" panose="" pitchFamily="0" charset="0"/>
                <a:ea typeface="+mn-lt" panose="" pitchFamily="0" charset="0"/>
              </a:rPr>
              <a:t>Return On Assets(%)</a:t>
            </a:r>
          </a:p>
        </xdr:txBody>
      </xdr:sp>
    </xdr:grpSp>
    <xdr:clientData/>
  </xdr:twoCellAnchor>
  <xdr:twoCellAnchor>
    <xdr:from>
      <xdr:col>5</xdr:col>
      <xdr:colOff>558415</xdr:colOff>
      <xdr:row>32</xdr:row>
      <xdr:rowOff>75902</xdr:rowOff>
    </xdr:from>
    <xdr:to>
      <xdr:col>8</xdr:col>
      <xdr:colOff>667506</xdr:colOff>
      <xdr:row>43</xdr:row>
      <xdr:rowOff>164455</xdr:rowOff>
    </xdr:to>
    <xdr:grpSp>
      <xdr:nvGrpSpPr>
        <xdr:cNvPr id="12" name=" "/>
        <xdr:cNvGrpSpPr/>
      </xdr:nvGrpSpPr>
      <xdr:grpSpPr>
        <a:xfrm>
          <a:off x="6894949" y="2259693"/>
          <a:ext cx="12789351" cy="6654408"/>
          <a:chOff x="238753" y="3253432"/>
          <a:chExt cx="2401260" cy="2188175"/>
        </a:xfrm>
      </xdr:grpSpPr>
      <xdr:graphicFrame macro="">
        <xdr:nvGraphicFramePr>
          <xdr:cNvPr name="图表 11" id="12"/>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 name=" "/>
          <xdr:cNvSpPr txBox="1"/>
        </xdr:nvSpPr>
        <xdr:spPr>
          <a:xfrm>
            <a:off x="826104" y="3253432"/>
            <a:ext cx="1611468" cy="277903"/>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b="1">
                <a:solidFill>
                  <a:srgbClr val="333399"/>
                </a:solidFill>
                <a:latin typeface="+mn-lt" panose="" pitchFamily="0" charset="0"/>
                <a:ea typeface="+mn-lt" panose="" pitchFamily="0" charset="0"/>
              </a:rPr>
              <a:t>Financial</a:t>
            </a:r>
            <a:r>
              <a:rPr lang="en-US" altLang="zh-CN" sz="1100" b="1">
                <a:solidFill>
                  <a:srgbClr val="333399"/>
                </a:solidFill>
                <a:latin typeface="+mn-lt" panose="" pitchFamily="0" charset="0"/>
                <a:ea typeface="+mn-lt" panose="" pitchFamily="0" charset="0"/>
              </a:rPr>
              <a:t> everage</a:t>
            </a:r>
            <a:r>
              <a:rPr lang="en-US" altLang="zh-CN" sz="1100" b="1">
                <a:solidFill>
                  <a:srgbClr val="333399"/>
                </a:solidFill>
                <a:latin typeface="+mn-lt" panose="" pitchFamily="0" charset="0"/>
                <a:ea typeface="+mn-lt" panose="" pitchFamily="0" charset="0"/>
              </a:rPr>
              <a:t> (INR  Cr.)</a:t>
            </a:r>
          </a:p>
        </xdr:txBody>
      </xdr:sp>
    </xdr:grpSp>
    <xdr:clientData/>
  </xdr:twoCellAnchor>
  <xdr:twoCellAnchor>
    <xdr:from>
      <xdr:col>1</xdr:col>
      <xdr:colOff>151785</xdr:colOff>
      <xdr:row>45</xdr:row>
      <xdr:rowOff>164455</xdr:rowOff>
    </xdr:from>
    <xdr:to>
      <xdr:col>8</xdr:col>
      <xdr:colOff>549774</xdr:colOff>
      <xdr:row>61</xdr:row>
      <xdr:rowOff>114151</xdr:rowOff>
    </xdr:to>
    <xdr:sp macro="" textlink="">
      <xdr:nvSpPr>
        <xdr:cNvPr id="14" name=" "/>
        <xdr:cNvSpPr txBox="1"/>
      </xdr:nvSpPr>
      <xdr:spPr>
        <a:xfrm>
          <a:off x="278316" y="9426549"/>
          <a:ext cx="7881051" cy="288709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b="1">
              <a:solidFill>
                <a:srgbClr val="003366"/>
              </a:solidFill>
              <a:latin typeface="Calibri" panose="" pitchFamily="0" charset="0"/>
              <a:ea typeface="Calibri" panose="" pitchFamily="0" charset="0"/>
            </a:rPr>
            <a:t>Recent Updates:</a:t>
          </a:r>
        </a:p>
        <a:p>
          <a:pPr algn="l"/>
          <a:r>
            <a:rPr lang="en-US" altLang="zh-CN" sz="1200">
              <a:solidFill>
                <a:srgbClr val="000000"/>
              </a:solidFill>
              <a:latin typeface="Calibri" panose="" pitchFamily="0" charset="0"/>
              <a:ea typeface="Calibri" panose="" pitchFamily="0" charset="0"/>
            </a:rPr>
            <a:t>Q1 FY27 results to be announced on 28 July 2026, with the earnings call scheduled after the board meeting.</a:t>
          </a:r>
        </a:p>
        <a:p>
          <a:pPr algn="l"/>
          <a:r>
            <a:rPr lang="en-US" altLang="zh-CN" sz="1200">
              <a:solidFill>
                <a:srgbClr val="000000"/>
              </a:solidFill>
              <a:latin typeface="Calibri" panose="" pitchFamily="0" charset="0"/>
              <a:ea typeface="Calibri" panose="" pitchFamily="0" charset="0"/>
            </a:rPr>
            <a:t>Q4 FY26 Revenue increased 11.3% YoY to ₹82,762 Cr, reflecting strong project execution.</a:t>
          </a:r>
        </a:p>
        <a:p>
          <a:pPr algn="l"/>
          <a:r>
            <a:rPr lang="en-US" altLang="zh-CN" sz="1200">
              <a:solidFill>
                <a:srgbClr val="000000"/>
              </a:solidFill>
              <a:latin typeface="Calibri" panose="" pitchFamily="0" charset="0"/>
              <a:ea typeface="Calibri" panose="" pitchFamily="0" charset="0"/>
            </a:rPr>
            <a:t>Net Profit declined 3% YoY to ₹5,326 Cr, mainly due to margin pressure.</a:t>
          </a:r>
        </a:p>
        <a:p>
          <a:pPr algn="l"/>
          <a:r>
            <a:rPr lang="en-US" altLang="zh-CN" sz="1200">
              <a:solidFill>
                <a:srgbClr val="000000"/>
              </a:solidFill>
              <a:latin typeface="Calibri" panose="" pitchFamily="0" charset="0"/>
              <a:ea typeface="Calibri" panose="" pitchFamily="0" charset="0"/>
            </a:rPr>
            <a:t>EBITDA grew 5% YoY to ₹8,610 Cr, while the EBITDA margin moderated to 10.4%.</a:t>
          </a:r>
        </a:p>
        <a:p>
          <a:pPr algn="l"/>
          <a:r>
            <a:rPr lang="en-US" altLang="zh-CN" sz="1200">
              <a:solidFill>
                <a:srgbClr val="000000"/>
              </a:solidFill>
              <a:latin typeface="Calibri" panose="" pitchFamily="0" charset="0"/>
              <a:ea typeface="Calibri" panose="" pitchFamily="0" charset="0"/>
            </a:rPr>
            <a:t>Order Book reached a record ₹7.40 lakh Cr, providing strong multi-year revenue visibility.</a:t>
          </a:r>
        </a:p>
        <a:p>
          <a:pPr algn="l"/>
          <a:r>
            <a:rPr lang="en-US" altLang="zh-CN" sz="1200" b="1">
              <a:solidFill>
                <a:srgbClr val="000000"/>
              </a:solidFill>
              <a:latin typeface="Calibri" panose="" pitchFamily="0" charset="0"/>
              <a:ea typeface="Calibri" panose="" pitchFamily="0" charset="0"/>
            </a:rPr>
            <a:t>Management focus for Q1 FY27</a:t>
          </a:r>
          <a:r>
            <a:rPr lang="en-US" altLang="zh-CN" sz="1200">
              <a:solidFill>
                <a:srgbClr val="000000"/>
              </a:solidFill>
              <a:latin typeface="Calibri" panose="" pitchFamily="0" charset="0"/>
              <a:ea typeface="Calibri" panose="" pitchFamily="0" charset="0"/>
            </a:rPr>
            <a:t>: Execution of the record order book, fresh order inflows, margin recovery, and infrastructure project pipeline.</a:t>
          </a:r>
        </a:p>
        <a:p>
          <a:pPr algn="l"/>
          <a:r>
            <a:rPr lang="en-US" altLang="zh-CN" sz="1200" b="1">
              <a:solidFill>
                <a:srgbClr val="000000"/>
              </a:solidFill>
              <a:latin typeface="Calibri" panose="" pitchFamily="0" charset="0"/>
              <a:ea typeface="Calibri" panose="" pitchFamily="0" charset="0"/>
            </a:rPr>
            <a:t>L&amp;T Technology Services (LTTS): </a:t>
          </a:r>
          <a:r>
            <a:rPr lang="en-US" altLang="zh-CN" sz="1200">
              <a:solidFill>
                <a:srgbClr val="000000"/>
              </a:solidFill>
              <a:latin typeface="Calibri" panose="" pitchFamily="0" charset="0"/>
              <a:ea typeface="Calibri" panose="" pitchFamily="0" charset="0"/>
            </a:rPr>
            <a:t>Revenue grew 11.5% YoY to ₹2,940 Cr and Net Profit increased 13% YoY.</a:t>
          </a:r>
        </a:p>
        <a:p>
          <a:pPr algn="l"/>
          <a:r>
            <a:rPr lang="en-US" altLang="zh-CN" sz="1200" b="1">
              <a:solidFill>
                <a:srgbClr val="000000"/>
              </a:solidFill>
              <a:latin typeface="Calibri" panose="" pitchFamily="0" charset="0"/>
              <a:ea typeface="Calibri" panose="" pitchFamily="0" charset="0"/>
            </a:rPr>
            <a:t>LTIMindtree: </a:t>
          </a:r>
          <a:r>
            <a:rPr lang="en-US" altLang="zh-CN" sz="1200">
              <a:solidFill>
                <a:srgbClr val="000000"/>
              </a:solidFill>
              <a:latin typeface="Calibri" panose="" pitchFamily="0" charset="0"/>
              <a:ea typeface="Calibri" panose="" pitchFamily="0" charset="0"/>
            </a:rPr>
            <a:t>Revenue increased 18% YoY to ₹11,608 Cr, while Net Profit rose 17.1% YoY to ₹1,469 Cr.</a:t>
          </a:r>
        </a:p>
        <a:p>
          <a:pPr algn="l"/>
          <a:r>
            <a:rPr lang="en-US" altLang="zh-CN" sz="1200" b="1">
              <a:solidFill>
                <a:srgbClr val="000000"/>
              </a:solidFill>
              <a:latin typeface="Calibri" panose="" pitchFamily="0" charset="0"/>
              <a:ea typeface="Calibri" panose="" pitchFamily="0" charset="0"/>
            </a:rPr>
            <a:t>Outlook</a:t>
          </a:r>
          <a:r>
            <a:rPr lang="en-US" altLang="zh-CN" sz="1200">
              <a:solidFill>
                <a:srgbClr val="000000"/>
              </a:solidFill>
              <a:latin typeface="Calibri" panose="" pitchFamily="0" charset="0"/>
              <a:ea typeface="Calibri" panose="" pitchFamily="0" charset="0"/>
            </a:rPr>
            <a:t>: A strong order book supports long-term growth, but investors will closely monitor execution efficiency, profitability, and new order wins in upcoming quarters.</a:t>
          </a:r>
        </a:p>
        <a:p>
          <a:pPr algn="l"/>
          <a:r>
            <a:rPr lang="en-US" altLang="zh-CN" sz="1200" b="1">
              <a:solidFill>
                <a:srgbClr val="000000"/>
              </a:solidFill>
              <a:latin typeface="Calibri" panose="" pitchFamily="0" charset="0"/>
              <a:ea typeface="Calibri" panose="" pitchFamily="0" charset="0"/>
            </a:rPr>
            <a:t>Investment View: </a:t>
          </a:r>
          <a:r>
            <a:rPr lang="en-US" altLang="zh-CN" sz="1100">
              <a:solidFill>
                <a:srgbClr val="000000"/>
              </a:solidFill>
              <a:latin typeface="Calibri" panose="" pitchFamily="0" charset="0"/>
              <a:ea typeface="Calibri" panose="" pitchFamily="0" charset="0"/>
            </a:rPr>
            <a:t>L&amp;T remains well-positioned to benefit from India's infrastructure and capital expenditure cycle, supported by its diversified business model and record order backlog.</a:t>
          </a:r>
        </a:p>
      </xdr:txBody>
    </xdr:sp>
    <xdr:clientData/>
  </xdr:twoCellAnchor>
  <xdr:twoCellAnchor>
    <xdr:from>
      <xdr:col>1</xdr:col>
      <xdr:colOff>245892</xdr:colOff>
      <xdr:row>19</xdr:row>
      <xdr:rowOff>0</xdr:rowOff>
    </xdr:from>
    <xdr:to>
      <xdr:col>2</xdr:col>
      <xdr:colOff>15121</xdr:colOff>
      <xdr:row>19</xdr:row>
      <xdr:rowOff>0</xdr:rowOff>
    </xdr:to>
    <xdr:cxnSp macro="">
      <xdr:nvCxnSpPr>
        <xdr:cNvPr id="15" name="line"/>
        <xdr:cNvSpPr/>
        <xdr:cNvCxnSpPr/>
      </xdr:nvCxnSpPr>
      <xdr:spPr>
        <a:xfrm>
          <a:off x="370973" y="4161518"/>
          <a:ext cx="2150645"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2</xdr:col>
      <xdr:colOff>651304</xdr:colOff>
      <xdr:row>19</xdr:row>
      <xdr:rowOff>0</xdr:rowOff>
    </xdr:from>
    <xdr:to>
      <xdr:col>5</xdr:col>
      <xdr:colOff>250584</xdr:colOff>
      <xdr:row>19</xdr:row>
      <xdr:rowOff>0</xdr:rowOff>
    </xdr:to>
    <xdr:cxnSp macro="">
      <xdr:nvCxnSpPr>
        <xdr:cNvPr id="16" name="line"/>
        <xdr:cNvSpPr/>
        <xdr:cNvCxnSpPr/>
      </xdr:nvCxnSpPr>
      <xdr:spPr>
        <a:xfrm>
          <a:off x="3164340" y="4227648"/>
          <a:ext cx="2160845"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5</xdr:col>
      <xdr:colOff>791718</xdr:colOff>
      <xdr:row>19</xdr:row>
      <xdr:rowOff>0</xdr:rowOff>
    </xdr:from>
    <xdr:to>
      <xdr:col>8</xdr:col>
      <xdr:colOff>390998</xdr:colOff>
      <xdr:row>19</xdr:row>
      <xdr:rowOff>0</xdr:rowOff>
    </xdr:to>
    <xdr:cxnSp macro="">
      <xdr:nvCxnSpPr>
        <xdr:cNvPr id="17" name="line"/>
        <xdr:cNvSpPr/>
        <xdr:cNvCxnSpPr/>
      </xdr:nvCxnSpPr>
      <xdr:spPr>
        <a:xfrm>
          <a:off x="5866605" y="4221251"/>
          <a:ext cx="2160843"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224642</xdr:colOff>
      <xdr:row>32</xdr:row>
      <xdr:rowOff>88552</xdr:rowOff>
    </xdr:from>
    <xdr:to>
      <xdr:col>1</xdr:col>
      <xdr:colOff>2373926</xdr:colOff>
      <xdr:row>32</xdr:row>
      <xdr:rowOff>88552</xdr:rowOff>
    </xdr:to>
    <xdr:cxnSp macro="">
      <xdr:nvCxnSpPr>
        <xdr:cNvPr id="18" name="line"/>
        <xdr:cNvSpPr/>
        <xdr:cNvCxnSpPr/>
      </xdr:nvCxnSpPr>
      <xdr:spPr>
        <a:xfrm>
          <a:off x="350921" y="6766449"/>
          <a:ext cx="2150645"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2</xdr:col>
      <xdr:colOff>740953</xdr:colOff>
      <xdr:row>32</xdr:row>
      <xdr:rowOff>88552</xdr:rowOff>
    </xdr:from>
    <xdr:to>
      <xdr:col>5</xdr:col>
      <xdr:colOff>340233</xdr:colOff>
      <xdr:row>32</xdr:row>
      <xdr:rowOff>88552</xdr:rowOff>
    </xdr:to>
    <xdr:cxnSp macro="">
      <xdr:nvCxnSpPr>
        <xdr:cNvPr id="19" name="line"/>
        <xdr:cNvSpPr/>
        <xdr:cNvCxnSpPr/>
      </xdr:nvCxnSpPr>
      <xdr:spPr>
        <a:xfrm>
          <a:off x="3248526" y="6737684"/>
          <a:ext cx="2155658"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5</xdr:col>
      <xdr:colOff>841403</xdr:colOff>
      <xdr:row>32</xdr:row>
      <xdr:rowOff>75902</xdr:rowOff>
    </xdr:from>
    <xdr:to>
      <xdr:col>8</xdr:col>
      <xdr:colOff>440683</xdr:colOff>
      <xdr:row>32</xdr:row>
      <xdr:rowOff>75902</xdr:rowOff>
    </xdr:to>
    <xdr:cxnSp macro="">
      <xdr:nvCxnSpPr>
        <xdr:cNvPr id="20" name="line"/>
        <xdr:cNvSpPr/>
        <xdr:cNvCxnSpPr/>
      </xdr:nvCxnSpPr>
      <xdr:spPr>
        <a:xfrm>
          <a:off x="5905499" y="6727658"/>
          <a:ext cx="2155658" cy="0"/>
        </a:xfrm>
        <a:prstGeom prst="line">
          <a:avLst/>
        </a:prstGeom>
        <a:noFill/>
        <a:ln w="1587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6071</xdr:colOff>
      <xdr:row>65</xdr:row>
      <xdr:rowOff>0</xdr:rowOff>
    </xdr:from>
    <xdr:to>
      <xdr:col>8</xdr:col>
      <xdr:colOff>178217</xdr:colOff>
      <xdr:row>67</xdr:row>
      <xdr:rowOff>0</xdr:rowOff>
    </xdr:to>
    <xdr:sp macro="" textlink="">
      <xdr:nvSpPr>
        <xdr:cNvPr id="21" name=" "/>
        <xdr:cNvSpPr txBox="1"/>
      </xdr:nvSpPr>
      <xdr:spPr>
        <a:xfrm>
          <a:off x="131109" y="12961843"/>
          <a:ext cx="7668186" cy="417980"/>
        </a:xfrm>
        <a:prstGeom prst="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3366"/>
              </a:solidFill>
              <a:latin typeface="Calibri" panose="" pitchFamily="0" charset="0"/>
              <a:ea typeface="Calibri" panose="" pitchFamily="0" charset="0"/>
            </a:rPr>
            <a:t>DuPont</a:t>
          </a:r>
          <a:r>
            <a:rPr lang="en-US" altLang="zh-CN" sz="1800" b="1">
              <a:solidFill>
                <a:srgbClr val="003366"/>
              </a:solidFill>
              <a:latin typeface="Calibri" panose="" pitchFamily="0" charset="0"/>
              <a:ea typeface="Calibri" panose="" pitchFamily="0" charset="0"/>
            </a:rPr>
            <a:t> Analysis - Return on Equity &amp; Return on Asset</a:t>
          </a:r>
        </a:p>
      </xdr:txBody>
    </xdr:sp>
    <xdr:clientData/>
  </xdr:twoCellAnchor>
  <xdr:twoCellAnchor>
    <xdr:from>
      <xdr:col>0</xdr:col>
      <xdr:colOff>21576</xdr:colOff>
      <xdr:row>110</xdr:row>
      <xdr:rowOff>12650</xdr:rowOff>
    </xdr:from>
    <xdr:to>
      <xdr:col>9</xdr:col>
      <xdr:colOff>85857</xdr:colOff>
      <xdr:row>126</xdr:row>
      <xdr:rowOff>88552</xdr:rowOff>
    </xdr:to>
    <xdr:sp macro="" textlink="">
      <xdr:nvSpPr>
        <xdr:cNvPr id="22" name=" "/>
        <xdr:cNvSpPr txBox="1"/>
      </xdr:nvSpPr>
      <xdr:spPr>
        <a:xfrm>
          <a:off x="21647" y="21617148"/>
          <a:ext cx="8580293" cy="3128804"/>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003366"/>
              </a:solidFill>
              <a:latin typeface="+mn-lt" panose="" pitchFamily="0" charset="0"/>
              <a:ea typeface="+mn-lt" panose="" pitchFamily="0" charset="0"/>
            </a:rPr>
            <a:t>Dupont</a:t>
          </a:r>
          <a:r>
            <a:rPr lang="en-US" altLang="zh-CN" sz="1600" b="1">
              <a:solidFill>
                <a:srgbClr val="003366"/>
              </a:solidFill>
              <a:latin typeface="+mn-lt" panose="" pitchFamily="0" charset="0"/>
              <a:ea typeface="+mn-lt" panose="" pitchFamily="0" charset="0"/>
            </a:rPr>
            <a:t> Summary</a:t>
          </a:r>
          <a:r>
            <a:rPr lang="en-US" altLang="zh-CN" sz="1600" b="1">
              <a:solidFill>
                <a:srgbClr val="003366"/>
              </a:solidFill>
              <a:latin typeface="+mn-lt" panose="" pitchFamily="0" charset="0"/>
              <a:ea typeface="+mn-lt" panose="" pitchFamily="0" charset="0"/>
            </a:rPr>
            <a:t>:</a:t>
          </a:r>
        </a:p>
        <a:p>
          <a:pPr algn="l"/>
          <a:r>
            <a:rPr lang="en-US" altLang="zh-CN" sz="1200">
              <a:solidFill>
                <a:srgbClr val="000000"/>
              </a:solidFill>
              <a:latin typeface="+mn-lt" panose="" pitchFamily="0" charset="0"/>
              <a:ea typeface="+mn-lt" panose="" pitchFamily="0" charset="0"/>
            </a:rPr>
            <a:t>Net Profit Margin remained relatively stable in the 5.5%–6.6% range over the analysis period. Although margins moderated slightly in FY26, L&amp;T maintained healthy profitability despite operating in a project-based and capital-intensive industry.</a:t>
          </a:r>
        </a:p>
        <a:p>
          <a:pPr algn="l"/>
          <a:r>
            <a:rPr lang="en-US" altLang="zh-CN" sz="1200">
              <a:solidFill>
                <a:srgbClr val="000000"/>
              </a:solidFill>
              <a:latin typeface="+mn-lt" panose="" pitchFamily="0" charset="0"/>
              <a:ea typeface="+mn-lt" panose="" pitchFamily="0" charset="0"/>
            </a:rPr>
            <a:t>Asset Turnover improved from 0.4x in FY21 to 0.7x by FY24–FY26, indicating that the company generated more revenue from each rupee invested in assets. This reflects improved project execution and better utilization of the asset base.</a:t>
          </a:r>
        </a:p>
        <a:p>
          <a:pPr algn="l"/>
          <a:r>
            <a:rPr lang="en-US" altLang="zh-CN" sz="1200">
              <a:solidFill>
                <a:srgbClr val="000000"/>
              </a:solidFill>
              <a:latin typeface="+mn-lt" panose="" pitchFamily="0" charset="0"/>
              <a:ea typeface="+mn-lt" panose="" pitchFamily="0" charset="0"/>
            </a:rPr>
            <a:t>Financial Leverage declined from 4.5x in FY20 to around 3.8x–4.0x in recent years, suggesting a more balanced capital structure and reduced dependence on leverage while maintaining growth.</a:t>
          </a:r>
        </a:p>
        <a:p>
          <a:pPr algn="l"/>
          <a:r>
            <a:rPr lang="en-US" altLang="zh-CN" sz="1200">
              <a:solidFill>
                <a:srgbClr val="000000"/>
              </a:solidFill>
              <a:latin typeface="+mn-lt" panose="" pitchFamily="0" charset="0"/>
              <a:ea typeface="+mn-lt" panose="" pitchFamily="0" charset="0"/>
            </a:rPr>
            <a:t>Return on Assets (ROA) improved from 2.76% in FY22 to a peak of 4.18% in FY25 before moderating slightly to 3.87% in FY26. This indicates improved operating efficiency, although the increase in the asset base slightly diluted returns in FY26.</a:t>
          </a:r>
        </a:p>
        <a:p>
          <a:pPr algn="l"/>
          <a:r>
            <a:rPr lang="en-US" altLang="zh-CN" sz="1200">
              <a:solidFill>
                <a:srgbClr val="000000"/>
              </a:solidFill>
              <a:latin typeface="+mn-lt" panose="" pitchFamily="0" charset="0"/>
              <a:ea typeface="+mn-lt" panose="" pitchFamily="0" charset="0"/>
            </a:rPr>
            <a:t>Return on Equity (ROE) recovered strongly after FY22, increasing from 10.95% to 16.34% in FY25 before easing marginally to 15.54% in FY26. The improvement was primarily driven by higher profitability and stronger asset utilization rather than increased financial leverage.</a:t>
          </a:r>
        </a:p>
        <a:p>
          <a:pPr algn="l"/>
        </a:p>
        <a:p>
          <a:pPr algn="l"/>
          <a:r>
            <a:rPr lang="en-US" altLang="zh-CN" sz="1200">
              <a:solidFill>
                <a:srgbClr val="000000"/>
              </a:solidFill>
              <a:latin typeface="+mn-lt" panose="" pitchFamily="0" charset="0"/>
              <a:ea typeface="+mn-lt" panose="" pitchFamily="0" charset="0"/>
            </a:rPr>
            <a:t>Overall, L&amp;T's DuPont analysis indicates that the company's ROE is supported mainly by operational performance and efficient asset utilization, while financial leverage has remained stable. This reflects a healthy balance between profitability, operational efficiency, and prudent capital management.</a:t>
          </a:r>
        </a:p>
      </xdr:txBody>
    </xdr:sp>
    <xdr:clientData/>
  </xdr:twoCellAnchor>
  <xdr:twoCellAnchor>
    <xdr:from>
      <xdr:col>0</xdr:col>
      <xdr:colOff>100005</xdr:colOff>
      <xdr:row>127</xdr:row>
      <xdr:rowOff>0</xdr:rowOff>
    </xdr:from>
    <xdr:to>
      <xdr:col>8</xdr:col>
      <xdr:colOff>295949</xdr:colOff>
      <xdr:row>129</xdr:row>
      <xdr:rowOff>25300</xdr:rowOff>
    </xdr:to>
    <xdr:sp macro="" textlink="">
      <xdr:nvSpPr>
        <xdr:cNvPr id="23" name=" "/>
        <xdr:cNvSpPr txBox="1"/>
      </xdr:nvSpPr>
      <xdr:spPr>
        <a:xfrm>
          <a:off x="100013" y="25103136"/>
          <a:ext cx="7768326" cy="471488"/>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900" b="1">
              <a:solidFill>
                <a:srgbClr val="003366"/>
              </a:solidFill>
              <a:latin typeface="Calibri" panose="" pitchFamily="0" charset="0"/>
              <a:ea typeface="Calibri" panose="" pitchFamily="0" charset="0"/>
            </a:rPr>
            <a:t>Disclaimer</a:t>
          </a:r>
          <a:r>
            <a:rPr lang="en-US" altLang="zh-CN" sz="900" b="1">
              <a:solidFill>
                <a:srgbClr val="FF6600"/>
              </a:solidFill>
              <a:latin typeface="Calibri" panose="" pitchFamily="0" charset="0"/>
              <a:ea typeface="Calibri" panose="" pitchFamily="0" charset="0"/>
            </a:rPr>
            <a:t>: </a:t>
          </a:r>
          <a:r>
            <a:rPr lang="en-US" altLang="zh-CN" sz="900">
              <a:solidFill>
                <a:srgbClr val="000000"/>
              </a:solidFill>
              <a:latin typeface="Calibri" panose="" pitchFamily="0" charset="0"/>
              <a:ea typeface="Calibri" panose="" pitchFamily="0" charset="0"/>
            </a:rPr>
            <a:t>This report is made as part of educational assignment and is meant for educational purpose only.The author of the report is not liable</a:t>
          </a:r>
          <a:r>
            <a:rPr lang="en-US" altLang="zh-CN" sz="900">
              <a:solidFill>
                <a:srgbClr val="000000"/>
              </a:solidFill>
              <a:latin typeface="Calibri" panose="" pitchFamily="0" charset="0"/>
              <a:ea typeface="Calibri" panose="" pitchFamily="0" charset="0"/>
            </a:rPr>
            <a:t> for any losses due to actions taken basis this report. It is advisiable to consult SEBI registered researh analyst before making any investments.</a:t>
          </a:r>
        </a:p>
      </xdr:txBody>
    </xdr:sp>
    <xdr:clientData/>
  </xdr:twoCellAnchor>
  <xdr:twoCellAnchor>
    <xdr:from>
      <xdr:col>5</xdr:col>
      <xdr:colOff>531412</xdr:colOff>
      <xdr:row>2</xdr:row>
      <xdr:rowOff>139303</xdr:rowOff>
    </xdr:from>
    <xdr:to>
      <xdr:col>8</xdr:col>
      <xdr:colOff>746354</xdr:colOff>
      <xdr:row>4</xdr:row>
      <xdr:rowOff>202778</xdr:rowOff>
    </xdr:to>
    <xdr:pic>
      <xdr:nvPicPr>
        <xdr:cNvPr id="24" name="Picture 4" descr=" "/>
        <xdr:cNvPicPr/>
      </xdr:nvPicPr>
      <xdr:blipFill>
        <a:blip xmlns:r="http://schemas.openxmlformats.org/officeDocument/2006/relationships" r:embed="rId7"/>
        <a:srcRect/>
        <a:stretch>
          <a:fillRect/>
        </a:stretch>
      </xdr:blipFill>
      <xdr:spPr>
        <a:xfrm>
          <a:off x="5595310" y="440520"/>
          <a:ext cx="2771156" cy="709998"/>
        </a:xfrm>
        <a:prstGeom prst="rect">
          <a:avLst/>
        </a:prstGeom>
        <a:noFill/>
        <a:ln>
          <a:noFill/>
        </a:ln>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sheet1.xml><?xml version="1.0" encoding="utf-8"?>
<worksheet xmlns:r="http://schemas.openxmlformats.org/officeDocument/2006/relationships" xmlns="http://schemas.openxmlformats.org/spreadsheetml/2006/main">
  <sheetPr>
    <tabColor rgb="FF002060"/>
  </sheetPr>
  <dimension ref="A1:B1"/>
  <sheetViews>
    <sheetView workbookViewId="0" topLeftCell="J1">
      <selection activeCell="E13" sqref="E13"/>
    </sheetView>
  </sheetViews>
  <sheetFormatPr defaultRowHeight="15.0" defaultColWidth="10"/>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L3:S10"/>
  <sheetViews>
    <sheetView workbookViewId="0" showGridLines="0" zoomScale="85">
      <selection activeCell="P7" sqref="P7"/>
    </sheetView>
  </sheetViews>
  <sheetFormatPr defaultRowHeight="15.0" defaultColWidth="10"/>
  <cols>
    <col min="1" max="1" customWidth="1" width="1.8554688" style="0"/>
    <col min="12" max="12" customWidth="1" width="12.7109375" style="0"/>
    <col min="13" max="13" customWidth="1" width="12.5703125" style="0"/>
    <col min="14" max="17" customWidth="1" width="10.7109375" style="0"/>
  </cols>
  <sheetData>
    <row r="4" spans="8:8">
      <c r="L4" s="1" t="s">
        <v>289</v>
      </c>
      <c r="M4" s="1"/>
      <c r="N4" s="2"/>
      <c r="O4" s="2"/>
      <c r="P4" s="2"/>
      <c r="Q4" s="2"/>
      <c r="R4" s="2"/>
    </row>
    <row r="5" spans="8:8">
      <c r="N5" s="3" t="s">
        <v>248</v>
      </c>
      <c r="O5" s="3" t="s">
        <v>250</v>
      </c>
      <c r="P5" s="3" t="s">
        <v>249</v>
      </c>
      <c r="Q5" s="3" t="s">
        <v>251</v>
      </c>
    </row>
    <row r="6" spans="8:8">
      <c r="L6" t="s">
        <v>295</v>
      </c>
      <c r="N6" s="4">
        <v>3996.347754804826</v>
      </c>
      <c r="O6" s="5">
        <f>N6</f>
        <v>3996.347754804826</v>
      </c>
      <c r="P6" s="5">
        <v>4543.486843317465</v>
      </c>
      <c r="Q6" s="5">
        <f>P6</f>
        <v>4543.486843317465</v>
      </c>
    </row>
    <row r="7" spans="8:8">
      <c r="L7" t="s">
        <v>245</v>
      </c>
      <c r="N7" s="5">
        <f>'DCF&gt;'!J17</f>
        <v>2312.0487993587635</v>
      </c>
      <c r="O7" s="5">
        <f>N7</f>
        <v>2312.0487993587635</v>
      </c>
      <c r="P7" s="5">
        <f>'DCF&gt;'!J22</f>
        <v>3501.476695378159</v>
      </c>
      <c r="Q7" s="5">
        <f>P7</f>
        <v>3501.476695378159</v>
      </c>
    </row>
    <row r="8" spans="8:8">
      <c r="L8" t="s">
        <v>247</v>
      </c>
      <c r="N8" s="5">
        <f>'DCF&gt;'!H17</f>
        <v>2719.298568104535</v>
      </c>
      <c r="O8" s="5">
        <f>N8</f>
        <v>2719.298568104535</v>
      </c>
      <c r="P8" s="5">
        <f>'DCF&gt;'!H22</f>
        <v>4633.720557935085</v>
      </c>
      <c r="Q8" s="5">
        <f>P8</f>
        <v>4633.720557935085</v>
      </c>
    </row>
    <row r="9" spans="8:8">
      <c r="L9" t="s">
        <v>246</v>
      </c>
      <c r="N9" s="5">
        <f>'DCF&gt;'!G17</f>
        <v>2774.6040922551956</v>
      </c>
      <c r="O9" s="5">
        <f>N9</f>
        <v>2774.6040922551956</v>
      </c>
      <c r="P9" s="5">
        <f>'DCF&gt;'!G22</f>
        <v>4809.847380999495</v>
      </c>
      <c r="Q9" s="5">
        <f>P9</f>
        <v>4809.847380999495</v>
      </c>
    </row>
    <row r="10" spans="8:8">
      <c r="L10" t="s">
        <v>293</v>
      </c>
      <c r="N10" s="5">
        <v>3288.0</v>
      </c>
      <c r="O10" s="5">
        <f>N10</f>
        <v>3288.0</v>
      </c>
      <c r="P10" s="5">
        <v>4440.0</v>
      </c>
      <c r="Q10" s="5">
        <f>P10</f>
        <v>4440.0</v>
      </c>
    </row>
  </sheetData>
  <pageMargins left="0.7" right="0.7" top="0.75" bottom="0.75" header="0.3" footer="0.3"/>
  <ignoredErrors>
    <ignoredError sqref="P7:P9" formula="1"/>
  </ignoredErrors>
  <drawing r:id="rId1"/>
</worksheet>
</file>

<file path=xl/worksheets/sheet3.xml><?xml version="1.0" encoding="utf-8"?>
<worksheet xmlns:r="http://schemas.openxmlformats.org/officeDocument/2006/relationships" xmlns="http://schemas.openxmlformats.org/spreadsheetml/2006/main">
  <dimension ref="B1:O5003"/>
  <sheetViews>
    <sheetView workbookViewId="0" topLeftCell="A30" showGridLines="0" zoomScale="88">
      <selection activeCell="J4" sqref="J4"/>
    </sheetView>
  </sheetViews>
  <sheetFormatPr defaultRowHeight="15.0" defaultColWidth="10"/>
  <cols>
    <col min="1" max="1" customWidth="1" width="1.8554688" style="0"/>
    <col min="2" max="2" customWidth="1" width="12.7109375" style="0"/>
    <col min="3" max="3" customWidth="1" width="12.425781" style="0"/>
    <col min="4" max="4" customWidth="1" width="12.7109375" style="0"/>
    <col min="5" max="5" customWidth="1" bestFit="1" width="17.710938" style="0"/>
    <col min="6" max="6" customWidth="1" width="0.85546875" style="0"/>
    <col min="7" max="7" customWidth="1" bestFit="1" width="11.0" style="0"/>
    <col min="8" max="8" customWidth="1" bestFit="1" width="17.570312" style="0"/>
    <col min="9" max="9" customWidth="1" width="0.85546875" style="0"/>
    <col min="10" max="10" customWidth="1" width="12.285156" style="0"/>
    <col min="11" max="11" customWidth="1" bestFit="1" width="11.140625" style="0"/>
    <col min="12" max="12" customWidth="1" width="10.425781" style="0"/>
    <col min="13" max="13" customWidth="1" width="13.285156" style="0"/>
    <col min="14" max="14" customWidth="1" width="11.285156" style="0"/>
  </cols>
  <sheetData>
    <row r="1" spans="8:8">
      <c r="B1" s="1" t="s">
        <v>8595</v>
      </c>
    </row>
    <row r="3" spans="8:8">
      <c r="B3" s="1" t="s">
        <v>40</v>
      </c>
      <c r="C3" s="6" t="s">
        <v>296</v>
      </c>
      <c r="D3" s="6" t="s">
        <v>297</v>
      </c>
      <c r="E3" s="6" t="s">
        <v>298</v>
      </c>
      <c r="F3" s="6"/>
      <c r="G3" s="6" t="s">
        <v>309</v>
      </c>
      <c r="H3" s="6" t="s">
        <v>310</v>
      </c>
      <c r="I3" s="1"/>
      <c r="J3" s="1" t="str">
        <f>"Calculation of Value at Risk - "&amp;'Data Sheet'!B1&amp;" (Historical)"</f>
        <v>Calculation of Value at Risk - LARSEN &amp; TOUBRO LTD (Historical)</v>
      </c>
      <c r="K3" s="1"/>
      <c r="L3" s="1"/>
      <c r="M3" s="1"/>
      <c r="N3" s="1"/>
    </row>
    <row r="4" spans="8:8" ht="15.75">
      <c r="B4" s="7" t="s">
        <v>8596</v>
      </c>
      <c r="C4" s="8">
        <v>3937.7</v>
      </c>
      <c r="D4" s="8">
        <f t="shared" si="0" ref="D4:D67">(C4-C5)/C5</f>
        <v>0.0016024825761814436</v>
      </c>
      <c r="E4" s="8">
        <v>0.0940965785918502</v>
      </c>
      <c r="F4" s="9"/>
      <c r="G4" s="9">
        <v>1.0</v>
      </c>
      <c r="H4" s="10">
        <f>_xlfn.NORM.INV(RAND(),N$6,N$7)</f>
        <v>0.018039771578677234</v>
      </c>
      <c r="J4" s="11"/>
      <c r="K4" s="11"/>
      <c r="L4" s="11"/>
      <c r="M4" s="11"/>
      <c r="N4" s="11"/>
    </row>
    <row r="5" spans="8:8" ht="15.75">
      <c r="B5" s="7" t="s">
        <v>8597</v>
      </c>
      <c r="C5" s="8">
        <v>3931.4</v>
      </c>
      <c r="D5" s="8">
        <f t="shared" si="0"/>
        <v>0.025939457202505244</v>
      </c>
      <c r="E5" s="8">
        <v>0.08650390624999993</v>
      </c>
      <c r="F5" s="9"/>
      <c r="G5" s="9">
        <v>2.0</v>
      </c>
      <c r="H5" s="10">
        <f t="shared" si="1" ref="H5:H68">_xlfn.NORM.INV(RAND(),N$6,N$7)</f>
        <v>-0.007120877350682183</v>
      </c>
      <c r="J5" s="12" t="s">
        <v>311</v>
      </c>
      <c r="K5" s="13"/>
      <c r="L5" s="13"/>
      <c r="M5" s="13"/>
      <c r="N5" s="13"/>
    </row>
    <row r="6" spans="8:8">
      <c r="B6" s="7" t="s">
        <v>8598</v>
      </c>
      <c r="C6" s="8">
        <v>3832.0</v>
      </c>
      <c r="D6" s="8">
        <f t="shared" si="0"/>
        <v>0.006831318970047294</v>
      </c>
      <c r="E6" s="8">
        <v>0.08022147823847535</v>
      </c>
      <c r="F6" s="9"/>
      <c r="G6" s="9">
        <v>3.0</v>
      </c>
      <c r="H6" s="10">
        <f t="shared" si="1"/>
        <v>0.01381115118207141</v>
      </c>
      <c r="J6" s="14" t="s">
        <v>299</v>
      </c>
      <c r="K6" s="15"/>
      <c r="L6" s="16"/>
      <c r="M6" s="15"/>
      <c r="N6" s="17">
        <f>AVERAGE(E4:E2478)</f>
        <v>0.0035224208999562632</v>
      </c>
    </row>
    <row r="7" spans="8:8">
      <c r="B7" s="7" t="s">
        <v>8599</v>
      </c>
      <c r="C7" s="8">
        <v>3806.0</v>
      </c>
      <c r="D7" s="8">
        <f t="shared" si="0"/>
        <v>0.00538884192730349</v>
      </c>
      <c r="E7" s="8">
        <v>0.07550142796178971</v>
      </c>
      <c r="F7" s="9"/>
      <c r="G7" s="9">
        <v>4.0</v>
      </c>
      <c r="H7" s="10">
        <f t="shared" si="1"/>
        <v>0.00496940114000872</v>
      </c>
      <c r="J7" s="18" t="s">
        <v>300</v>
      </c>
      <c r="K7" s="19"/>
      <c r="L7" s="20"/>
      <c r="M7" s="19"/>
      <c r="N7" s="21">
        <f>_xlfn.STDEV.S(E4:E2478)</f>
        <v>0.012256622632729416</v>
      </c>
    </row>
    <row r="8" spans="8:8">
      <c r="B8" s="7" t="s">
        <v>8600</v>
      </c>
      <c r="C8" s="8">
        <v>3785.6</v>
      </c>
      <c r="D8" s="8">
        <f t="shared" si="0"/>
        <v>-0.0017930598038182106</v>
      </c>
      <c r="E8" s="8">
        <v>0.07199904637024673</v>
      </c>
      <c r="F8" s="9"/>
      <c r="G8" s="9">
        <v>5.0</v>
      </c>
      <c r="H8" s="10">
        <f t="shared" si="1"/>
        <v>-0.012831708641766758</v>
      </c>
      <c r="J8" s="18" t="s">
        <v>301</v>
      </c>
      <c r="K8" s="19"/>
      <c r="L8" s="20"/>
      <c r="M8" s="19"/>
      <c r="N8" s="21">
        <f>MIN(E4:E2478)</f>
        <v>-0.016003174183309116</v>
      </c>
    </row>
    <row r="9" spans="8:8">
      <c r="B9" s="7" t="s">
        <v>8601</v>
      </c>
      <c r="C9" s="8">
        <v>3792.4</v>
      </c>
      <c r="D9" s="8">
        <f t="shared" si="0"/>
        <v>-0.0065489600251480064</v>
      </c>
      <c r="E9" s="8">
        <v>0.062391823951207494</v>
      </c>
      <c r="F9" s="9"/>
      <c r="G9" s="9">
        <v>6.0</v>
      </c>
      <c r="H9" s="10">
        <f t="shared" si="1"/>
        <v>-0.0038322028033767764</v>
      </c>
      <c r="J9" s="18" t="s">
        <v>302</v>
      </c>
      <c r="K9" s="19"/>
      <c r="L9" s="20"/>
      <c r="M9" s="19"/>
      <c r="N9" s="21">
        <f>MAX(E4:E2478)</f>
        <v>0.0940965785918502</v>
      </c>
    </row>
    <row r="10" spans="8:8">
      <c r="B10" s="7" t="s">
        <v>8602</v>
      </c>
      <c r="C10" s="8">
        <v>3817.4</v>
      </c>
      <c r="D10" s="8">
        <f t="shared" si="0"/>
        <v>-0.007591119430146056</v>
      </c>
      <c r="E10" s="8">
        <v>0.06068691456145336</v>
      </c>
      <c r="F10" s="9"/>
      <c r="G10" s="9">
        <v>7.0</v>
      </c>
      <c r="H10" s="10">
        <f t="shared" si="1"/>
        <v>0.014922164898227858</v>
      </c>
      <c r="J10" s="18" t="s">
        <v>305</v>
      </c>
      <c r="K10" s="19"/>
      <c r="L10" s="20"/>
      <c r="M10" s="19"/>
      <c r="N10" s="19">
        <f>'Data Sheet'!B8</f>
        <v>3785.6</v>
      </c>
    </row>
    <row r="11" spans="8:8" ht="15.75">
      <c r="B11" s="7" t="s">
        <v>8603</v>
      </c>
      <c r="C11" s="8">
        <v>3846.6</v>
      </c>
      <c r="D11" s="8">
        <f t="shared" si="0"/>
        <v>0.0020318849640511946</v>
      </c>
      <c r="E11" s="8">
        <v>0.06048130669076557</v>
      </c>
      <c r="F11" s="9"/>
      <c r="G11" s="9">
        <v>8.0</v>
      </c>
      <c r="H11" s="10">
        <f t="shared" si="1"/>
        <v>0.01659991824587165</v>
      </c>
      <c r="J11" s="22"/>
      <c r="L11" s="23"/>
    </row>
    <row r="12" spans="8:8" ht="15.75">
      <c r="B12" s="7" t="s">
        <v>8604</v>
      </c>
      <c r="C12" s="8">
        <v>3838.8</v>
      </c>
      <c r="D12" s="8">
        <f t="shared" si="0"/>
        <v>0.006370428627605239</v>
      </c>
      <c r="E12" s="8">
        <v>0.059315660838503606</v>
      </c>
      <c r="F12" s="9"/>
      <c r="G12" s="9">
        <v>9.0</v>
      </c>
      <c r="H12" s="10">
        <f t="shared" si="1"/>
        <v>0.0015517221018303239</v>
      </c>
      <c r="J12" s="12" t="s">
        <v>303</v>
      </c>
      <c r="K12" s="24" t="s">
        <v>308</v>
      </c>
      <c r="L12" s="25" t="s">
        <v>304</v>
      </c>
      <c r="M12" s="26" t="s">
        <v>306</v>
      </c>
      <c r="N12" s="25" t="s">
        <v>307</v>
      </c>
    </row>
    <row r="13" spans="8:8">
      <c r="B13" s="7" t="s">
        <v>8605</v>
      </c>
      <c r="C13" s="8">
        <v>3814.5</v>
      </c>
      <c r="D13" s="8">
        <f t="shared" si="0"/>
        <v>0.010302998198961778</v>
      </c>
      <c r="E13" s="8">
        <v>0.053850661002673376</v>
      </c>
      <c r="F13" s="9"/>
      <c r="G13" s="9">
        <v>10.0</v>
      </c>
      <c r="H13" s="10">
        <f t="shared" si="1"/>
        <v>0.005261449095303422</v>
      </c>
      <c r="J13" s="27">
        <v>0.05</v>
      </c>
      <c r="K13" s="28">
        <f>100%-J13</f>
        <v>0.95</v>
      </c>
      <c r="L13" s="17">
        <f>_xlfn.PERCENTILE.INC($E$4:$E$2746,J13)</f>
        <v>-0.012453054459097281</v>
      </c>
      <c r="M13" s="29">
        <f>$N$10*(1-L13)</f>
        <v>3832.7422829603584</v>
      </c>
      <c r="N13" s="29">
        <f>$N$10-M13</f>
        <v>-47.14228296035844</v>
      </c>
    </row>
    <row r="14" spans="8:8">
      <c r="B14" s="7" t="s">
        <v>8606</v>
      </c>
      <c r="C14" s="8">
        <v>3775.6</v>
      </c>
      <c r="D14" s="8">
        <f t="shared" si="0"/>
        <v>-0.0021935040566611647</v>
      </c>
      <c r="E14" s="8">
        <v>0.05300081687569083</v>
      </c>
      <c r="F14" s="9"/>
      <c r="G14" s="9">
        <v>11.0</v>
      </c>
      <c r="H14" s="10">
        <f t="shared" si="1"/>
        <v>0.007731589700045384</v>
      </c>
      <c r="J14" s="30">
        <v>0.01</v>
      </c>
      <c r="K14" s="31">
        <f t="shared" si="2" ref="K14:K15">100%-J14</f>
        <v>0.99</v>
      </c>
      <c r="L14" s="21">
        <f>_xlfn.PERCENTILE.INC($E$4:$E$2746,J14)</f>
        <v>-0.015081558173713762</v>
      </c>
      <c r="M14" s="32">
        <f>$N$10*(1-L14)</f>
        <v>3842.692746622411</v>
      </c>
      <c r="N14" s="32">
        <f>$N$10-M14</f>
        <v>-57.09274662241114</v>
      </c>
    </row>
    <row r="15" spans="8:8">
      <c r="B15" s="7" t="s">
        <v>8607</v>
      </c>
      <c r="C15" s="8">
        <v>3783.9</v>
      </c>
      <c r="D15" s="8">
        <f t="shared" si="0"/>
        <v>-0.016836854002650177</v>
      </c>
      <c r="E15" s="8">
        <v>0.050872278110276385</v>
      </c>
      <c r="F15" s="9"/>
      <c r="G15" s="9">
        <v>12.0</v>
      </c>
      <c r="H15" s="10">
        <f t="shared" si="1"/>
        <v>0.013787906637790535</v>
      </c>
      <c r="J15" s="30">
        <v>0.005</v>
      </c>
      <c r="K15" s="31">
        <f t="shared" si="2"/>
        <v>0.995</v>
      </c>
      <c r="L15" s="21">
        <f>_xlfn.PERCENTILE.INC($E$4:$E$2746,J15)</f>
        <v>-0.015387607043551802</v>
      </c>
      <c r="M15" s="32">
        <f>$N$10*(1-L15)</f>
        <v>3843.85132522407</v>
      </c>
      <c r="N15" s="32">
        <f>$N$10-M15</f>
        <v>-58.251325224070115</v>
      </c>
    </row>
    <row r="16" spans="8:8" ht="15.75">
      <c r="B16" s="7" t="s">
        <v>8608</v>
      </c>
      <c r="C16" s="8">
        <v>3848.7</v>
      </c>
      <c r="D16" s="8">
        <f t="shared" si="0"/>
        <v>-0.020313096601756443</v>
      </c>
      <c r="E16" s="8">
        <v>0.04893431021563575</v>
      </c>
      <c r="F16" s="9"/>
      <c r="G16" s="9">
        <v>13.0</v>
      </c>
      <c r="H16" s="10">
        <f t="shared" si="1"/>
        <v>0.018668191225976828</v>
      </c>
    </row>
    <row r="17" spans="8:8" ht="15.75">
      <c r="B17" s="7" t="s">
        <v>8609</v>
      </c>
      <c r="C17" s="8">
        <v>3928.5</v>
      </c>
      <c r="D17" s="8">
        <f t="shared" si="0"/>
        <v>-0.004384408738405439</v>
      </c>
      <c r="E17" s="8">
        <v>0.04809652729035064</v>
      </c>
      <c r="F17" s="9"/>
      <c r="G17" s="9">
        <v>14.0</v>
      </c>
      <c r="H17" s="10">
        <f t="shared" si="1"/>
        <v>-0.001320939911827113</v>
      </c>
      <c r="J17" s="12" t="s">
        <v>312</v>
      </c>
      <c r="K17" s="13"/>
      <c r="L17" s="13"/>
      <c r="M17" s="13"/>
      <c r="N17" s="13"/>
    </row>
    <row r="18" spans="8:8">
      <c r="B18" s="7">
        <v>46302.0</v>
      </c>
      <c r="C18" s="8">
        <v>3945.8</v>
      </c>
      <c r="D18" s="8">
        <f t="shared" si="0"/>
        <v>0.015388574369531699</v>
      </c>
      <c r="E18" s="8">
        <v>0.04805631191703844</v>
      </c>
      <c r="F18" s="9"/>
      <c r="G18" s="9">
        <v>15.0</v>
      </c>
      <c r="H18" s="10">
        <f t="shared" si="1"/>
        <v>-0.014770010188448788</v>
      </c>
      <c r="J18" s="14" t="s">
        <v>299</v>
      </c>
      <c r="K18" s="15"/>
      <c r="L18" s="16"/>
      <c r="M18" s="15"/>
      <c r="N18" s="17">
        <f>AVERAGE(H4:H5003)</f>
        <v>0.0035851673406606713</v>
      </c>
    </row>
    <row r="19" spans="8:8">
      <c r="B19" s="7">
        <v>46272.0</v>
      </c>
      <c r="C19" s="8">
        <v>3886.0</v>
      </c>
      <c r="D19" s="8">
        <f t="shared" si="0"/>
        <v>-0.0015672773053107343</v>
      </c>
      <c r="E19" s="8">
        <v>0.04700231580753062</v>
      </c>
      <c r="F19" s="9"/>
      <c r="G19" s="9">
        <v>16.0</v>
      </c>
      <c r="H19" s="10">
        <f t="shared" si="1"/>
        <v>0.016487386370567958</v>
      </c>
      <c r="J19" s="18" t="s">
        <v>300</v>
      </c>
      <c r="K19" s="19"/>
      <c r="L19" s="20"/>
      <c r="M19" s="19"/>
      <c r="N19" s="21">
        <f>_xlfn.STDEV.S(H4:H5003)</f>
        <v>0.012184158708837536</v>
      </c>
    </row>
    <row r="20" spans="8:8">
      <c r="B20" s="7">
        <v>46241.0</v>
      </c>
      <c r="C20" s="8">
        <v>3892.1</v>
      </c>
      <c r="D20" s="8">
        <f t="shared" si="0"/>
        <v>-0.025000626268193136</v>
      </c>
      <c r="E20" s="8">
        <v>0.046593578700078284</v>
      </c>
      <c r="F20" s="9"/>
      <c r="G20" s="9">
        <v>17.0</v>
      </c>
      <c r="H20" s="10">
        <f t="shared" si="1"/>
        <v>-0.006184434074853028</v>
      </c>
      <c r="J20" s="18" t="s">
        <v>301</v>
      </c>
      <c r="K20" s="19"/>
      <c r="L20" s="20"/>
      <c r="M20" s="19"/>
      <c r="N20" s="21">
        <f>MIN(H4:H5003)</f>
        <v>-0.03801507070681228</v>
      </c>
    </row>
    <row r="21" spans="8:8">
      <c r="B21" s="7">
        <v>46210.0</v>
      </c>
      <c r="C21" s="8">
        <v>3991.9</v>
      </c>
      <c r="D21" s="8">
        <f t="shared" si="0"/>
        <v>-0.012150457807473375</v>
      </c>
      <c r="E21" s="8">
        <v>0.0451996994393388</v>
      </c>
      <c r="F21" s="9"/>
      <c r="G21" s="9">
        <v>18.0</v>
      </c>
      <c r="H21" s="10">
        <f t="shared" si="1"/>
        <v>0.003462251413758951</v>
      </c>
      <c r="J21" s="18" t="s">
        <v>302</v>
      </c>
      <c r="K21" s="19"/>
      <c r="L21" s="20"/>
      <c r="M21" s="19"/>
      <c r="N21" s="21">
        <f>MAX(H4:H5003)</f>
        <v>0.04747649367197757</v>
      </c>
    </row>
    <row r="22" spans="8:8">
      <c r="B22" s="7">
        <v>46180.0</v>
      </c>
      <c r="C22" s="8">
        <v>4041.0</v>
      </c>
      <c r="D22" s="8">
        <f t="shared" si="0"/>
        <v>0.0035762181493071304</v>
      </c>
      <c r="E22" s="8">
        <v>0.04509433962264146</v>
      </c>
      <c r="F22" s="9"/>
      <c r="G22" s="9">
        <v>19.0</v>
      </c>
      <c r="H22" s="10">
        <f t="shared" si="1"/>
        <v>0.016295177199171354</v>
      </c>
      <c r="J22" s="18" t="s">
        <v>305</v>
      </c>
      <c r="K22" s="19"/>
      <c r="L22" s="20"/>
      <c r="M22" s="19"/>
      <c r="N22" s="19">
        <f>N10</f>
        <v>3785.6</v>
      </c>
    </row>
    <row r="23" spans="8:8" ht="15.75">
      <c r="B23" s="7">
        <v>46088.0</v>
      </c>
      <c r="C23" s="8">
        <v>4026.6</v>
      </c>
      <c r="D23" s="8">
        <f t="shared" si="0"/>
        <v>-0.008080011824407592</v>
      </c>
      <c r="E23" s="8">
        <v>0.044805974129883984</v>
      </c>
      <c r="F23" s="9"/>
      <c r="G23" s="9">
        <v>20.0</v>
      </c>
      <c r="H23" s="10">
        <f t="shared" si="1"/>
        <v>-0.01597744801648135</v>
      </c>
    </row>
    <row r="24" spans="8:8" ht="15.75">
      <c r="B24" s="7">
        <v>46060.0</v>
      </c>
      <c r="C24" s="8">
        <v>4059.4</v>
      </c>
      <c r="D24" s="8">
        <f t="shared" si="0"/>
        <v>-0.008112202511850613</v>
      </c>
      <c r="E24" s="8">
        <v>0.04471170341477516</v>
      </c>
      <c r="F24" s="9"/>
      <c r="G24" s="9">
        <v>21.0</v>
      </c>
      <c r="H24" s="10">
        <f t="shared" si="1"/>
        <v>9.471054095702143E-4</v>
      </c>
      <c r="J24" s="12" t="s">
        <v>303</v>
      </c>
      <c r="K24" s="24" t="s">
        <v>308</v>
      </c>
      <c r="L24" s="25" t="s">
        <v>304</v>
      </c>
      <c r="M24" s="26" t="s">
        <v>306</v>
      </c>
      <c r="N24" s="25" t="s">
        <v>307</v>
      </c>
    </row>
    <row r="25" spans="8:8">
      <c r="B25" s="7">
        <v>46029.0</v>
      </c>
      <c r="C25" s="8">
        <v>4092.6</v>
      </c>
      <c r="D25" s="8">
        <f t="shared" si="0"/>
        <v>-0.012260462422165306</v>
      </c>
      <c r="E25" s="8">
        <v>0.04468813387423935</v>
      </c>
      <c r="F25" s="9"/>
      <c r="G25" s="9">
        <v>22.0</v>
      </c>
      <c r="H25" s="10">
        <f t="shared" si="1"/>
        <v>-0.004850976734992264</v>
      </c>
      <c r="J25" s="27">
        <v>0.05</v>
      </c>
      <c r="K25" s="28">
        <f>100%-J25</f>
        <v>0.95</v>
      </c>
      <c r="L25" s="17">
        <f>_xlfn.PERCENTILE.INC($H$4:$H$5003,J25)</f>
        <v>-0.016485083392287013</v>
      </c>
      <c r="M25" s="29">
        <f>$N$10*(1-L25)</f>
        <v>3848.0059316898414</v>
      </c>
      <c r="N25" s="29">
        <f>$N$10-M25</f>
        <v>-62.40593168984151</v>
      </c>
    </row>
    <row r="26" spans="8:8">
      <c r="B26" s="7" t="s">
        <v>8610</v>
      </c>
      <c r="C26" s="8">
        <v>4143.4</v>
      </c>
      <c r="D26" s="8">
        <f t="shared" si="0"/>
        <v>-0.005233842312494042</v>
      </c>
      <c r="E26" s="8">
        <v>0.043709947860440586</v>
      </c>
      <c r="F26" s="9"/>
      <c r="G26" s="9">
        <v>23.0</v>
      </c>
      <c r="H26" s="10">
        <f t="shared" si="1"/>
        <v>0.004436671117021178</v>
      </c>
      <c r="J26" s="30">
        <v>0.01</v>
      </c>
      <c r="K26" s="31">
        <f t="shared" si="3" ref="K26:K27">100%-J26</f>
        <v>0.99</v>
      </c>
      <c r="L26" s="17">
        <f t="shared" si="4" ref="L26:L27">_xlfn.PERCENTILE.INC($H$4:$H$5003,J26)</f>
        <v>-0.023919451755477807</v>
      </c>
      <c r="M26" s="32">
        <f>$N$10*(1-L26)</f>
        <v>3876.149476565536</v>
      </c>
      <c r="N26" s="32">
        <f>$N$10-M26</f>
        <v>-90.54947656553622</v>
      </c>
    </row>
    <row r="27" spans="8:8">
      <c r="B27" s="7" t="s">
        <v>8611</v>
      </c>
      <c r="C27" s="8">
        <v>4165.2</v>
      </c>
      <c r="D27" s="8">
        <f t="shared" si="0"/>
        <v>-0.012143060430699133</v>
      </c>
      <c r="E27" s="8">
        <v>0.04331407252377261</v>
      </c>
      <c r="F27" s="9"/>
      <c r="G27" s="9">
        <v>24.0</v>
      </c>
      <c r="H27" s="10">
        <f t="shared" si="1"/>
        <v>0.0015757502510102283</v>
      </c>
      <c r="J27" s="30">
        <v>0.005</v>
      </c>
      <c r="K27" s="31">
        <f t="shared" si="3"/>
        <v>0.995</v>
      </c>
      <c r="L27" s="17">
        <f t="shared" si="4"/>
        <v>-0.02647236911299136</v>
      </c>
      <c r="M27" s="32">
        <f>$N$10*(1-L27)</f>
        <v>3885.81380051414</v>
      </c>
      <c r="N27" s="32">
        <f>$N$10-M27</f>
        <v>-100.21380051414008</v>
      </c>
    </row>
    <row r="28" spans="8:8">
      <c r="B28" s="7" t="s">
        <v>8612</v>
      </c>
      <c r="C28" s="8">
        <v>4216.4</v>
      </c>
      <c r="D28" s="8">
        <f t="shared" si="0"/>
        <v>0.008298060597364664</v>
      </c>
      <c r="E28" s="8">
        <v>0.04324117070676948</v>
      </c>
      <c r="F28" s="9"/>
      <c r="G28" s="9">
        <v>25.0</v>
      </c>
      <c r="H28" s="10">
        <f t="shared" si="1"/>
        <v>-0.0015729192797273852</v>
      </c>
    </row>
    <row r="29" spans="8:8">
      <c r="B29" s="7" t="s">
        <v>8613</v>
      </c>
      <c r="C29" s="8">
        <v>4181.7</v>
      </c>
      <c r="D29" s="8">
        <f t="shared" si="0"/>
        <v>5.503182274968134E-4</v>
      </c>
      <c r="E29" s="8">
        <v>0.04268996723357784</v>
      </c>
      <c r="F29" s="9"/>
      <c r="G29" s="9">
        <v>26.0</v>
      </c>
      <c r="H29" s="10">
        <f t="shared" si="1"/>
        <v>-5.240499778295061E-4</v>
      </c>
    </row>
    <row r="30" spans="8:8">
      <c r="B30" s="7" t="s">
        <v>8614</v>
      </c>
      <c r="C30" s="8">
        <v>4179.4</v>
      </c>
      <c r="D30" s="8">
        <f t="shared" si="0"/>
        <v>-0.00521267226810762</v>
      </c>
      <c r="E30" s="8">
        <v>0.04251004095916018</v>
      </c>
      <c r="F30" s="9"/>
      <c r="G30" s="9">
        <v>27.0</v>
      </c>
      <c r="H30" s="10">
        <f t="shared" si="1"/>
        <v>-0.006403500805430797</v>
      </c>
    </row>
    <row r="31" spans="8:8">
      <c r="B31" s="7" t="s">
        <v>8615</v>
      </c>
      <c r="C31" s="8">
        <v>4201.3</v>
      </c>
      <c r="D31" s="8">
        <f t="shared" si="0"/>
        <v>-0.0019242647408180395</v>
      </c>
      <c r="E31" s="8">
        <v>0.04241330928041699</v>
      </c>
      <c r="F31" s="9"/>
      <c r="G31" s="9">
        <v>28.0</v>
      </c>
      <c r="H31" s="10">
        <f t="shared" si="1"/>
        <v>-2.881444781920833E-4</v>
      </c>
    </row>
    <row r="32" spans="8:8">
      <c r="B32" s="7" t="s">
        <v>8616</v>
      </c>
      <c r="C32" s="8">
        <v>4209.4</v>
      </c>
      <c r="D32" s="8">
        <f t="shared" si="0"/>
        <v>0.004630071599045259</v>
      </c>
      <c r="E32" s="8">
        <v>0.04221520098297341</v>
      </c>
      <c r="F32" s="9"/>
      <c r="G32" s="9">
        <v>29.0</v>
      </c>
      <c r="H32" s="10">
        <f t="shared" si="1"/>
        <v>-0.016966404509917297</v>
      </c>
    </row>
    <row r="33" spans="8:8">
      <c r="B33" s="7" t="s">
        <v>8617</v>
      </c>
      <c r="C33" s="8">
        <v>4190.0</v>
      </c>
      <c r="D33" s="8">
        <f t="shared" si="0"/>
        <v>-0.004206573662570958</v>
      </c>
      <c r="E33" s="8">
        <v>0.04191121143717084</v>
      </c>
      <c r="F33" s="9"/>
      <c r="G33" s="9">
        <v>30.0</v>
      </c>
      <c r="H33" s="10">
        <f t="shared" si="1"/>
        <v>0.015715990768548134</v>
      </c>
    </row>
    <row r="34" spans="8:8">
      <c r="B34" s="7" t="s">
        <v>8618</v>
      </c>
      <c r="C34" s="8">
        <v>4207.7</v>
      </c>
      <c r="D34" s="8">
        <f t="shared" si="0"/>
        <v>0.005087903688133046</v>
      </c>
      <c r="E34" s="8">
        <v>0.041232581651940624</v>
      </c>
      <c r="F34" s="9"/>
      <c r="G34" s="9">
        <v>31.0</v>
      </c>
      <c r="H34" s="10">
        <f t="shared" si="1"/>
        <v>0.01175966137636988</v>
      </c>
    </row>
    <row r="35" spans="8:8">
      <c r="B35" s="7" t="s">
        <v>8619</v>
      </c>
      <c r="C35" s="8">
        <v>4186.4</v>
      </c>
      <c r="D35" s="8">
        <f t="shared" si="0"/>
        <v>0.003981006283274846</v>
      </c>
      <c r="E35" s="8">
        <v>0.04102482495225974</v>
      </c>
      <c r="F35" s="9"/>
      <c r="G35" s="9">
        <v>32.0</v>
      </c>
      <c r="H35" s="10">
        <f t="shared" si="1"/>
        <v>-0.012227026909566448</v>
      </c>
    </row>
    <row r="36" spans="8:8">
      <c r="B36" s="7" t="s">
        <v>8620</v>
      </c>
      <c r="C36" s="8">
        <v>4169.8</v>
      </c>
      <c r="D36" s="8">
        <f t="shared" si="0"/>
        <v>0.02975822981749932</v>
      </c>
      <c r="E36" s="8">
        <v>0.04047619047619048</v>
      </c>
      <c r="F36" s="9"/>
      <c r="G36" s="9">
        <v>33.0</v>
      </c>
      <c r="H36" s="10">
        <f t="shared" si="1"/>
        <v>0.02348939464722749</v>
      </c>
    </row>
    <row r="37" spans="8:8">
      <c r="B37" s="7">
        <v>46362.0</v>
      </c>
      <c r="C37" s="8">
        <v>4049.3</v>
      </c>
      <c r="D37" s="8">
        <f t="shared" si="0"/>
        <v>0.048498187467633395</v>
      </c>
      <c r="E37" s="8">
        <v>0.039967438351268564</v>
      </c>
      <c r="F37" s="9"/>
      <c r="G37" s="9">
        <v>34.0</v>
      </c>
      <c r="H37" s="10">
        <f t="shared" si="1"/>
        <v>3.723823936343843E-4</v>
      </c>
    </row>
    <row r="38" spans="8:8">
      <c r="B38" s="7">
        <v>46332.0</v>
      </c>
      <c r="C38" s="8">
        <v>3862.0</v>
      </c>
      <c r="D38" s="8">
        <f t="shared" si="0"/>
        <v>-0.014167198468410976</v>
      </c>
      <c r="E38" s="8">
        <v>0.039910666280656766</v>
      </c>
      <c r="F38" s="9"/>
      <c r="G38" s="9">
        <v>35.0</v>
      </c>
      <c r="H38" s="10">
        <f t="shared" si="1"/>
        <v>0.015487912477558055</v>
      </c>
    </row>
    <row r="39" spans="8:8">
      <c r="B39" s="7">
        <v>46301.0</v>
      </c>
      <c r="C39" s="8">
        <v>3917.5</v>
      </c>
      <c r="D39" s="8">
        <f t="shared" si="0"/>
        <v>0.004332666769215016</v>
      </c>
      <c r="E39" s="8">
        <v>0.039122237352047666</v>
      </c>
      <c r="F39" s="9"/>
      <c r="G39" s="9">
        <v>36.0</v>
      </c>
      <c r="H39" s="10">
        <f t="shared" si="1"/>
        <v>-0.01410512094081786</v>
      </c>
    </row>
    <row r="40" spans="8:8">
      <c r="B40" s="7">
        <v>46271.0</v>
      </c>
      <c r="C40" s="8">
        <v>3900.6</v>
      </c>
      <c r="D40" s="8">
        <f t="shared" si="0"/>
        <v>0.006476583666623638</v>
      </c>
      <c r="E40" s="8">
        <v>0.03901656867985024</v>
      </c>
      <c r="F40" s="9"/>
      <c r="G40" s="9">
        <v>37.0</v>
      </c>
      <c r="H40" s="10">
        <f t="shared" si="1"/>
        <v>-0.013297712578208838</v>
      </c>
    </row>
    <row r="41" spans="8:8">
      <c r="B41" s="7">
        <v>46240.0</v>
      </c>
      <c r="C41" s="8">
        <v>3875.5</v>
      </c>
      <c r="D41" s="8">
        <f t="shared" si="0"/>
        <v>-0.01965496306789432</v>
      </c>
      <c r="E41" s="8">
        <v>0.038953685879288796</v>
      </c>
      <c r="F41" s="9"/>
      <c r="G41" s="9">
        <v>38.0</v>
      </c>
      <c r="H41" s="10">
        <f t="shared" si="1"/>
        <v>8.924225930100962E-4</v>
      </c>
    </row>
    <row r="42" spans="8:8">
      <c r="B42" s="7">
        <v>46148.0</v>
      </c>
      <c r="C42" s="8">
        <v>3953.2</v>
      </c>
      <c r="D42" s="8">
        <f t="shared" si="0"/>
        <v>0.002815758098475409</v>
      </c>
      <c r="E42" s="8">
        <v>0.038402173241958416</v>
      </c>
      <c r="F42" s="9"/>
      <c r="G42" s="9">
        <v>39.0</v>
      </c>
      <c r="H42" s="10">
        <f t="shared" si="1"/>
        <v>-0.01076695935379364</v>
      </c>
    </row>
    <row r="43" spans="8:8">
      <c r="B43" s="7">
        <v>46118.0</v>
      </c>
      <c r="C43" s="8">
        <v>3942.1</v>
      </c>
      <c r="D43" s="8">
        <f t="shared" si="0"/>
        <v>-0.0028078518668420292</v>
      </c>
      <c r="E43" s="8">
        <v>0.038383765436556555</v>
      </c>
      <c r="F43" s="9"/>
      <c r="G43" s="9">
        <v>40.0</v>
      </c>
      <c r="H43" s="10">
        <f t="shared" si="1"/>
        <v>0.005880100809908017</v>
      </c>
      <c r="K43" s="7"/>
    </row>
    <row r="44" spans="8:8">
      <c r="B44" s="7">
        <v>46087.0</v>
      </c>
      <c r="C44" s="8">
        <v>3953.2</v>
      </c>
      <c r="D44" s="8">
        <f t="shared" si="0"/>
        <v>-0.01192231747856739</v>
      </c>
      <c r="E44" s="8">
        <v>0.03808168370207452</v>
      </c>
      <c r="F44" s="9"/>
      <c r="G44" s="9">
        <v>41.0</v>
      </c>
      <c r="H44" s="10">
        <f t="shared" si="1"/>
        <v>0.03251499645788505</v>
      </c>
      <c r="K44" s="7"/>
    </row>
    <row r="45" spans="8:8">
      <c r="B45" s="7">
        <v>46059.0</v>
      </c>
      <c r="C45" s="8">
        <v>4000.9</v>
      </c>
      <c r="D45" s="8">
        <f t="shared" si="0"/>
        <v>-0.002468335494165775</v>
      </c>
      <c r="E45" s="8">
        <v>0.03763537098362119</v>
      </c>
      <c r="F45" s="9"/>
      <c r="G45" s="9">
        <v>42.0</v>
      </c>
      <c r="H45" s="10">
        <f t="shared" si="1"/>
        <v>0.023369121631151308</v>
      </c>
      <c r="K45" s="7"/>
    </row>
    <row r="46" spans="8:8">
      <c r="B46" s="7">
        <v>46028.0</v>
      </c>
      <c r="C46" s="8">
        <v>4010.8</v>
      </c>
      <c r="D46" s="8">
        <f t="shared" si="0"/>
        <v>-0.01611676683429408</v>
      </c>
      <c r="E46" s="8">
        <v>0.037611060201601695</v>
      </c>
      <c r="F46" s="9"/>
      <c r="G46" s="9">
        <v>43.0</v>
      </c>
      <c r="H46" s="10">
        <f t="shared" si="1"/>
        <v>0.0070251053451789</v>
      </c>
      <c r="K46" s="7"/>
    </row>
    <row r="47" spans="8:8">
      <c r="B47" s="7" t="s">
        <v>8621</v>
      </c>
      <c r="C47" s="8">
        <v>4076.5</v>
      </c>
      <c r="D47" s="8">
        <f t="shared" si="0"/>
        <v>0.007164916615194565</v>
      </c>
      <c r="E47" s="8">
        <v>0.03695139712616919</v>
      </c>
      <c r="F47" s="9"/>
      <c r="G47" s="9">
        <v>44.0</v>
      </c>
      <c r="H47" s="10">
        <f t="shared" si="1"/>
        <v>0.02466231600108343</v>
      </c>
      <c r="K47" s="7"/>
    </row>
    <row r="48" spans="8:8">
      <c r="B48" s="7" t="s">
        <v>8622</v>
      </c>
      <c r="C48" s="8">
        <v>4047.5</v>
      </c>
      <c r="D48" s="8">
        <f t="shared" si="0"/>
        <v>0.0024022982812422155</v>
      </c>
      <c r="E48" s="8">
        <v>0.036921273686266846</v>
      </c>
      <c r="F48" s="9"/>
      <c r="G48" s="9">
        <v>45.0</v>
      </c>
      <c r="H48" s="10">
        <f t="shared" si="1"/>
        <v>-0.00896721814905422</v>
      </c>
      <c r="K48" s="7"/>
    </row>
    <row r="49" spans="8:8">
      <c r="B49" s="7" t="s">
        <v>8623</v>
      </c>
      <c r="C49" s="8">
        <v>4037.8</v>
      </c>
      <c r="D49" s="8">
        <f t="shared" si="0"/>
        <v>0.001090891059651929</v>
      </c>
      <c r="E49" s="8">
        <v>0.03668854573737538</v>
      </c>
      <c r="F49" s="9"/>
      <c r="G49" s="9">
        <v>46.0</v>
      </c>
      <c r="H49" s="10">
        <f t="shared" si="1"/>
        <v>-0.006982477901029765</v>
      </c>
      <c r="K49" s="7"/>
    </row>
    <row r="50" spans="8:8">
      <c r="B50" s="7" t="s">
        <v>8624</v>
      </c>
      <c r="C50" s="8">
        <v>4033.4</v>
      </c>
      <c r="D50" s="8">
        <f t="shared" si="0"/>
        <v>0.02719910355014521</v>
      </c>
      <c r="E50" s="8">
        <v>0.03662283396829302</v>
      </c>
      <c r="F50" s="9"/>
      <c r="G50" s="9">
        <v>47.0</v>
      </c>
      <c r="H50" s="10">
        <f t="shared" si="1"/>
        <v>0.010887280431535445</v>
      </c>
      <c r="K50" s="7"/>
    </row>
    <row r="51" spans="8:8">
      <c r="B51" s="7" t="s">
        <v>8625</v>
      </c>
      <c r="C51" s="8">
        <v>3926.6</v>
      </c>
      <c r="D51" s="8">
        <f t="shared" si="0"/>
        <v>-4.836451571846992E-4</v>
      </c>
      <c r="E51" s="8">
        <v>0.03661955379044507</v>
      </c>
      <c r="F51" s="9"/>
      <c r="G51" s="9">
        <v>48.0</v>
      </c>
      <c r="H51" s="10">
        <f t="shared" si="1"/>
        <v>0.006112759548158882</v>
      </c>
      <c r="K51" s="7"/>
    </row>
    <row r="52" spans="8:8">
      <c r="B52" s="7" t="s">
        <v>8626</v>
      </c>
      <c r="C52" s="8">
        <v>3928.5</v>
      </c>
      <c r="D52" s="8">
        <f t="shared" si="0"/>
        <v>0.004551614800419409</v>
      </c>
      <c r="E52" s="8">
        <v>0.036434089021966175</v>
      </c>
      <c r="F52" s="9"/>
      <c r="G52" s="9">
        <v>49.0</v>
      </c>
      <c r="H52" s="10">
        <f t="shared" si="1"/>
        <v>-0.005536843572587554</v>
      </c>
      <c r="K52" s="7"/>
    </row>
    <row r="53" spans="8:8">
      <c r="B53" s="7" t="s">
        <v>8627</v>
      </c>
      <c r="C53" s="8">
        <v>3910.7</v>
      </c>
      <c r="D53" s="8">
        <f t="shared" si="0"/>
        <v>-0.0026268808977302173</v>
      </c>
      <c r="E53" s="8">
        <v>0.036363008495061716</v>
      </c>
      <c r="F53" s="9"/>
      <c r="G53" s="9">
        <v>50.0</v>
      </c>
      <c r="H53" s="10">
        <f t="shared" si="1"/>
        <v>-0.004555327103673608</v>
      </c>
      <c r="K53" s="7"/>
    </row>
    <row r="54" spans="8:8">
      <c r="B54" s="7" t="s">
        <v>8628</v>
      </c>
      <c r="C54" s="8">
        <v>3921.0</v>
      </c>
      <c r="D54" s="8">
        <f t="shared" si="0"/>
        <v>8.167849303179892E-4</v>
      </c>
      <c r="E54" s="8">
        <v>0.03628989966087463</v>
      </c>
      <c r="F54" s="9"/>
      <c r="G54" s="9">
        <v>51.0</v>
      </c>
      <c r="H54" s="10">
        <f t="shared" si="1"/>
        <v>0.008192262460689957</v>
      </c>
      <c r="K54" s="7"/>
    </row>
    <row r="55" spans="8:8">
      <c r="B55" s="7" t="s">
        <v>8629</v>
      </c>
      <c r="C55" s="8">
        <v>3917.8</v>
      </c>
      <c r="D55" s="8">
        <f t="shared" si="0"/>
        <v>0.0022512151445382915</v>
      </c>
      <c r="E55" s="8">
        <v>0.03622333352063075</v>
      </c>
      <c r="F55" s="9"/>
      <c r="G55" s="9">
        <v>52.0</v>
      </c>
      <c r="H55" s="10">
        <f t="shared" si="1"/>
        <v>0.010624948337775587</v>
      </c>
      <c r="K55" s="7"/>
    </row>
    <row r="56" spans="8:8">
      <c r="B56" s="7" t="s">
        <v>8630</v>
      </c>
      <c r="C56" s="8">
        <v>3909.0</v>
      </c>
      <c r="D56" s="8">
        <f t="shared" si="0"/>
        <v>-0.007968734138666148</v>
      </c>
      <c r="E56" s="8">
        <v>0.0361320170722965</v>
      </c>
      <c r="F56" s="9"/>
      <c r="G56" s="9">
        <v>53.0</v>
      </c>
      <c r="H56" s="10">
        <f t="shared" si="1"/>
        <v>-0.006630279905308762</v>
      </c>
      <c r="K56" s="7"/>
    </row>
    <row r="57" spans="8:8">
      <c r="B57" s="7" t="s">
        <v>8631</v>
      </c>
      <c r="C57" s="8">
        <v>3940.4</v>
      </c>
      <c r="D57" s="8">
        <f t="shared" si="0"/>
        <v>0.006282241176771007</v>
      </c>
      <c r="E57" s="8">
        <v>0.035962541031087085</v>
      </c>
      <c r="F57" s="9"/>
      <c r="G57" s="9">
        <v>54.0</v>
      </c>
      <c r="H57" s="10">
        <f t="shared" si="1"/>
        <v>0.0173981537912521</v>
      </c>
      <c r="K57" s="7"/>
    </row>
    <row r="58" spans="8:8">
      <c r="B58" s="7" t="s">
        <v>8632</v>
      </c>
      <c r="C58" s="8">
        <v>3915.8</v>
      </c>
      <c r="D58" s="8">
        <f t="shared" si="0"/>
        <v>0.015376636846881935</v>
      </c>
      <c r="E58" s="8">
        <v>0.03594200366844254</v>
      </c>
      <c r="F58" s="9"/>
      <c r="G58" s="9">
        <v>55.0</v>
      </c>
      <c r="H58" s="10">
        <f t="shared" si="1"/>
        <v>0.014253347946290369</v>
      </c>
      <c r="K58" s="7"/>
    </row>
    <row r="59" spans="8:8">
      <c r="B59" s="7">
        <v>46361.0</v>
      </c>
      <c r="C59" s="8">
        <v>3856.5</v>
      </c>
      <c r="D59" s="8">
        <f t="shared" si="0"/>
        <v>-0.021242576518958382</v>
      </c>
      <c r="E59" s="8">
        <v>0.03587704326711587</v>
      </c>
      <c r="F59" s="9"/>
      <c r="G59" s="9">
        <v>56.0</v>
      </c>
      <c r="H59" s="10">
        <f t="shared" si="1"/>
        <v>0.004431821736304666</v>
      </c>
      <c r="K59" s="7"/>
    </row>
    <row r="60" spans="8:8">
      <c r="B60" s="7">
        <v>46331.0</v>
      </c>
      <c r="C60" s="8">
        <v>3940.2</v>
      </c>
      <c r="D60" s="8">
        <f t="shared" si="0"/>
        <v>-0.008630016354258443</v>
      </c>
      <c r="E60" s="8">
        <v>0.03577709386678399</v>
      </c>
      <c r="F60" s="9"/>
      <c r="G60" s="9">
        <v>57.0</v>
      </c>
      <c r="H60" s="10">
        <f t="shared" si="1"/>
        <v>0.009147071280891175</v>
      </c>
      <c r="K60" s="7"/>
    </row>
    <row r="61" spans="8:8">
      <c r="B61" s="7">
        <v>46239.0</v>
      </c>
      <c r="C61" s="8">
        <v>3974.5</v>
      </c>
      <c r="D61" s="8">
        <f t="shared" si="0"/>
        <v>-0.01205567984091474</v>
      </c>
      <c r="E61" s="8">
        <v>0.03573198260199311</v>
      </c>
      <c r="F61" s="9"/>
      <c r="G61" s="9">
        <v>58.0</v>
      </c>
      <c r="H61" s="10">
        <f t="shared" si="1"/>
        <v>0.021612131738035605</v>
      </c>
      <c r="K61" s="7"/>
    </row>
    <row r="62" spans="8:8">
      <c r="B62" s="7">
        <v>46208.0</v>
      </c>
      <c r="C62" s="8">
        <v>4023.0</v>
      </c>
      <c r="D62" s="8">
        <f t="shared" si="0"/>
        <v>0.0036173132094299613</v>
      </c>
      <c r="E62" s="8">
        <v>0.034974738490002204</v>
      </c>
      <c r="F62" s="9"/>
      <c r="G62" s="9">
        <v>59.0</v>
      </c>
      <c r="H62" s="10">
        <f t="shared" si="1"/>
        <v>-0.0012047077323306104</v>
      </c>
      <c r="K62" s="7"/>
    </row>
    <row r="63" spans="8:8">
      <c r="B63" s="7">
        <v>46178.0</v>
      </c>
      <c r="C63" s="8">
        <v>4008.5</v>
      </c>
      <c r="D63" s="8">
        <f t="shared" si="0"/>
        <v>-0.0113454186706129</v>
      </c>
      <c r="E63" s="8">
        <v>0.03476799511109175</v>
      </c>
      <c r="F63" s="9"/>
      <c r="G63" s="9">
        <v>60.0</v>
      </c>
      <c r="H63" s="10">
        <f t="shared" si="1"/>
        <v>0.011780579290279886</v>
      </c>
      <c r="K63" s="7"/>
    </row>
    <row r="64" spans="8:8">
      <c r="B64" s="7">
        <v>46147.0</v>
      </c>
      <c r="C64" s="8">
        <v>4054.5</v>
      </c>
      <c r="D64" s="8">
        <f t="shared" si="0"/>
        <v>-0.011290479906359778</v>
      </c>
      <c r="E64" s="8">
        <v>0.03476141032007585</v>
      </c>
      <c r="F64" s="9"/>
      <c r="G64" s="9">
        <v>61.0</v>
      </c>
      <c r="H64" s="10">
        <f t="shared" si="1"/>
        <v>0.011598238178720265</v>
      </c>
      <c r="K64" s="7"/>
    </row>
    <row r="65" spans="8:8">
      <c r="B65" s="7">
        <v>46117.0</v>
      </c>
      <c r="C65" s="8">
        <v>4100.8</v>
      </c>
      <c r="D65" s="8">
        <f t="shared" si="0"/>
        <v>0.021624314897857544</v>
      </c>
      <c r="E65" s="8">
        <v>0.03449373450378619</v>
      </c>
      <c r="F65" s="9"/>
      <c r="G65" s="9">
        <v>62.0</v>
      </c>
      <c r="H65" s="10">
        <f t="shared" si="1"/>
        <v>0.0171977456963376</v>
      </c>
      <c r="K65" s="7"/>
    </row>
    <row r="66" spans="8:8">
      <c r="B66" s="7" t="s">
        <v>8633</v>
      </c>
      <c r="C66" s="8">
        <v>4014.0</v>
      </c>
      <c r="D66" s="8">
        <f t="shared" si="0"/>
        <v>-0.02004345597031331</v>
      </c>
      <c r="E66" s="8">
        <v>0.03440449600115282</v>
      </c>
      <c r="F66" s="9"/>
      <c r="G66" s="9">
        <v>63.0</v>
      </c>
      <c r="H66" s="10">
        <f t="shared" si="1"/>
        <v>0.015294839878818911</v>
      </c>
      <c r="K66" s="7"/>
    </row>
    <row r="67" spans="8:8">
      <c r="B67" s="7" t="s">
        <v>8634</v>
      </c>
      <c r="C67" s="8">
        <v>4096.1</v>
      </c>
      <c r="D67" s="8">
        <f t="shared" si="0"/>
        <v>0.014463679817718143</v>
      </c>
      <c r="E67" s="8">
        <v>0.034190182892338696</v>
      </c>
      <c r="F67" s="9"/>
      <c r="G67" s="9">
        <v>64.0</v>
      </c>
      <c r="H67" s="10">
        <f t="shared" si="1"/>
        <v>0.0010011894373992687</v>
      </c>
      <c r="K67" s="7"/>
    </row>
    <row r="68" spans="8:8">
      <c r="B68" s="7" t="s">
        <v>8635</v>
      </c>
      <c r="C68" s="8">
        <v>4037.7</v>
      </c>
      <c r="D68" s="8">
        <f t="shared" si="5" ref="D68:D131">(C68-C69)/C69</f>
        <v>-0.003922439313203101</v>
      </c>
      <c r="E68" s="8">
        <v>0.03410699122558735</v>
      </c>
      <c r="F68" s="9"/>
      <c r="G68" s="9">
        <v>65.0</v>
      </c>
      <c r="H68" s="10">
        <f t="shared" si="1"/>
        <v>-0.016505359913990148</v>
      </c>
      <c r="K68" s="7"/>
    </row>
    <row r="69" spans="8:8">
      <c r="B69" s="7" t="s">
        <v>8636</v>
      </c>
      <c r="C69" s="8">
        <v>4053.6</v>
      </c>
      <c r="D69" s="8">
        <f t="shared" si="5"/>
        <v>0.009790000747328232</v>
      </c>
      <c r="E69" s="8">
        <v>0.03404797108592066</v>
      </c>
      <c r="F69" s="9"/>
      <c r="G69" s="9">
        <v>66.0</v>
      </c>
      <c r="H69" s="10">
        <f t="shared" si="6" ref="H69:H132">_xlfn.NORM.INV(RAND(),N$6,N$7)</f>
        <v>-0.020496081937706738</v>
      </c>
      <c r="K69" s="7"/>
    </row>
    <row r="70" spans="8:8">
      <c r="B70" s="7" t="s">
        <v>8637</v>
      </c>
      <c r="C70" s="8">
        <v>4014.3</v>
      </c>
      <c r="D70" s="8">
        <f t="shared" si="5"/>
        <v>-0.009817222071483122</v>
      </c>
      <c r="E70" s="8">
        <v>0.034029885594209636</v>
      </c>
      <c r="F70" s="9"/>
      <c r="G70" s="9">
        <v>67.0</v>
      </c>
      <c r="H70" s="10">
        <f t="shared" si="6"/>
        <v>0.01032577975475478</v>
      </c>
      <c r="K70" s="7"/>
    </row>
    <row r="71" spans="8:8">
      <c r="B71" s="7" t="s">
        <v>8638</v>
      </c>
      <c r="C71" s="8">
        <v>4054.1</v>
      </c>
      <c r="D71" s="8">
        <f t="shared" si="5"/>
        <v>0.008206709606824004</v>
      </c>
      <c r="E71" s="8">
        <v>0.03394701392007187</v>
      </c>
      <c r="F71" s="9"/>
      <c r="G71" s="9">
        <v>68.0</v>
      </c>
      <c r="H71" s="10">
        <f t="shared" si="6"/>
        <v>-0.003503219102774166</v>
      </c>
      <c r="K71" s="7"/>
    </row>
    <row r="72" spans="8:8">
      <c r="B72" s="7" t="s">
        <v>8639</v>
      </c>
      <c r="C72" s="8">
        <v>4021.1</v>
      </c>
      <c r="D72" s="8">
        <f t="shared" si="5"/>
        <v>-0.013323845512097017</v>
      </c>
      <c r="E72" s="8">
        <v>0.033426970961253875</v>
      </c>
      <c r="F72" s="9"/>
      <c r="G72" s="9">
        <v>69.0</v>
      </c>
      <c r="H72" s="10">
        <f t="shared" si="6"/>
        <v>0.012669823032297026</v>
      </c>
      <c r="K72" s="7"/>
    </row>
    <row r="73" spans="8:8">
      <c r="B73" s="7" t="s">
        <v>8640</v>
      </c>
      <c r="C73" s="8">
        <v>4075.4</v>
      </c>
      <c r="D73" s="8">
        <f t="shared" si="5"/>
        <v>0.0060232041471241895</v>
      </c>
      <c r="E73" s="8">
        <v>0.0332064602407159</v>
      </c>
      <c r="F73" s="9"/>
      <c r="G73" s="9">
        <v>70.0</v>
      </c>
      <c r="H73" s="10">
        <f t="shared" si="6"/>
        <v>-0.009130418710121425</v>
      </c>
      <c r="K73" s="7"/>
    </row>
    <row r="74" spans="8:8">
      <c r="B74" s="7" t="s">
        <v>8641</v>
      </c>
      <c r="C74" s="8">
        <v>4051.0</v>
      </c>
      <c r="D74" s="8">
        <f t="shared" si="5"/>
        <v>-0.011010473377114905</v>
      </c>
      <c r="E74" s="8">
        <v>0.0330093155123532</v>
      </c>
      <c r="F74" s="9"/>
      <c r="G74" s="9">
        <v>71.0</v>
      </c>
      <c r="H74" s="10">
        <f t="shared" si="6"/>
        <v>-0.023207768971358782</v>
      </c>
      <c r="K74" s="7"/>
    </row>
    <row r="75" spans="8:8">
      <c r="B75" s="7" t="s">
        <v>8642</v>
      </c>
      <c r="C75" s="8">
        <v>4096.1</v>
      </c>
      <c r="D75" s="8">
        <f t="shared" si="5"/>
        <v>-0.00575270644206025</v>
      </c>
      <c r="E75" s="8">
        <v>0.03280979880089759</v>
      </c>
      <c r="F75" s="9"/>
      <c r="G75" s="9">
        <v>72.0</v>
      </c>
      <c r="H75" s="10">
        <f t="shared" si="6"/>
        <v>-0.006191572378212449</v>
      </c>
      <c r="K75" s="7"/>
    </row>
    <row r="76" spans="8:8">
      <c r="B76" s="7" t="s">
        <v>8643</v>
      </c>
      <c r="C76" s="8">
        <v>4119.8</v>
      </c>
      <c r="D76" s="8">
        <f t="shared" si="5"/>
        <v>0.010671442239285626</v>
      </c>
      <c r="E76" s="8">
        <v>0.03279844170299605</v>
      </c>
      <c r="F76" s="9"/>
      <c r="G76" s="9">
        <v>73.0</v>
      </c>
      <c r="H76" s="10">
        <f t="shared" si="6"/>
        <v>-0.016607432090090295</v>
      </c>
      <c r="K76" s="7"/>
    </row>
    <row r="77" spans="8:8">
      <c r="B77" s="7" t="s">
        <v>8644</v>
      </c>
      <c r="C77" s="8">
        <v>4076.3</v>
      </c>
      <c r="D77" s="8">
        <f t="shared" si="5"/>
        <v>0.03085248969476266</v>
      </c>
      <c r="E77" s="8">
        <v>0.03266836256526991</v>
      </c>
      <c r="F77" s="9"/>
      <c r="G77" s="9">
        <v>74.0</v>
      </c>
      <c r="H77" s="10">
        <f t="shared" si="6"/>
        <v>0.012244870137534891</v>
      </c>
      <c r="K77" s="7"/>
    </row>
    <row r="78" spans="8:8">
      <c r="B78" s="7" t="s">
        <v>8645</v>
      </c>
      <c r="C78" s="8">
        <v>3954.3</v>
      </c>
      <c r="D78" s="8">
        <f t="shared" si="5"/>
        <v>-0.0014141771256849691</v>
      </c>
      <c r="E78" s="8">
        <v>0.032559891990329305</v>
      </c>
      <c r="F78" s="9"/>
      <c r="G78" s="9">
        <v>75.0</v>
      </c>
      <c r="H78" s="10">
        <f t="shared" si="6"/>
        <v>0.0119685210442842</v>
      </c>
      <c r="K78" s="7"/>
    </row>
    <row r="79" spans="8:8">
      <c r="B79" s="7">
        <v>46299.0</v>
      </c>
      <c r="C79" s="8">
        <v>3959.9</v>
      </c>
      <c r="D79" s="8">
        <f t="shared" si="5"/>
        <v>0.01634926338483658</v>
      </c>
      <c r="E79" s="8">
        <v>0.03242320819112634</v>
      </c>
      <c r="F79" s="9"/>
      <c r="G79" s="9">
        <v>76.0</v>
      </c>
      <c r="H79" s="10">
        <f t="shared" si="6"/>
        <v>0.012980339729286264</v>
      </c>
      <c r="K79" s="7"/>
    </row>
    <row r="80" spans="8:8">
      <c r="B80" s="7">
        <v>46269.0</v>
      </c>
      <c r="C80" s="8">
        <v>3896.2</v>
      </c>
      <c r="D80" s="8">
        <f t="shared" si="5"/>
        <v>-0.027384607703637202</v>
      </c>
      <c r="E80" s="8">
        <v>0.0321150457568351</v>
      </c>
      <c r="F80" s="9"/>
      <c r="G80" s="9">
        <v>77.0</v>
      </c>
      <c r="H80" s="10">
        <f t="shared" si="6"/>
        <v>0.0024797534528569138</v>
      </c>
      <c r="K80" s="7"/>
    </row>
    <row r="81" spans="8:8">
      <c r="B81" s="7">
        <v>46238.0</v>
      </c>
      <c r="C81" s="8">
        <v>4005.9</v>
      </c>
      <c r="D81" s="8">
        <f t="shared" si="5"/>
        <v>0.07590041092579161</v>
      </c>
      <c r="E81" s="8">
        <v>0.03211358365641662</v>
      </c>
      <c r="F81" s="9"/>
      <c r="G81" s="9">
        <v>78.0</v>
      </c>
      <c r="H81" s="10">
        <f t="shared" si="6"/>
        <v>-0.004618866165913783</v>
      </c>
      <c r="K81" s="7"/>
    </row>
    <row r="82" spans="8:8">
      <c r="B82" s="7">
        <v>46207.0</v>
      </c>
      <c r="C82" s="8">
        <v>3723.3</v>
      </c>
      <c r="D82" s="8">
        <f t="shared" si="5"/>
        <v>-0.0011803524961771698</v>
      </c>
      <c r="E82" s="8">
        <v>0.03207338222695836</v>
      </c>
      <c r="F82" s="9"/>
      <c r="G82" s="9">
        <v>79.0</v>
      </c>
      <c r="H82" s="10">
        <f t="shared" si="6"/>
        <v>-0.001982014157677265</v>
      </c>
      <c r="K82" s="7"/>
    </row>
    <row r="83" spans="8:8">
      <c r="B83" s="7">
        <v>46177.0</v>
      </c>
      <c r="C83" s="8">
        <v>3727.7</v>
      </c>
      <c r="D83" s="8">
        <f t="shared" si="5"/>
        <v>0.03171791536353821</v>
      </c>
      <c r="E83" s="8">
        <v>0.03181761438112486</v>
      </c>
      <c r="F83" s="9"/>
      <c r="G83" s="9">
        <v>80.0</v>
      </c>
      <c r="H83" s="10">
        <f t="shared" si="6"/>
        <v>0.01607131273165898</v>
      </c>
      <c r="K83" s="7"/>
    </row>
    <row r="84" spans="8:8">
      <c r="B84" s="7">
        <v>46057.0</v>
      </c>
      <c r="C84" s="8">
        <v>3613.1</v>
      </c>
      <c r="D84" s="8">
        <f t="shared" si="5"/>
        <v>0.001552321552321527</v>
      </c>
      <c r="E84" s="8">
        <v>0.03153137672692281</v>
      </c>
      <c r="F84" s="9"/>
      <c r="G84" s="9">
        <v>81.0</v>
      </c>
      <c r="H84" s="10">
        <f t="shared" si="6"/>
        <v>-0.012905320917211981</v>
      </c>
      <c r="K84" s="7"/>
    </row>
    <row r="85" spans="8:8">
      <c r="B85" s="7">
        <v>46026.0</v>
      </c>
      <c r="C85" s="8">
        <v>3607.5</v>
      </c>
      <c r="D85" s="8">
        <f t="shared" si="5"/>
        <v>0.02950829028851919</v>
      </c>
      <c r="E85" s="8">
        <v>0.031441547305237086</v>
      </c>
      <c r="F85" s="9"/>
      <c r="G85" s="9">
        <v>82.0</v>
      </c>
      <c r="H85" s="10">
        <f t="shared" si="6"/>
        <v>-2.5998593428072907E-5</v>
      </c>
      <c r="K85" s="7"/>
    </row>
    <row r="86" spans="8:8">
      <c r="B86" s="7" t="s">
        <v>8646</v>
      </c>
      <c r="C86" s="8">
        <v>3504.1</v>
      </c>
      <c r="D86" s="8">
        <f t="shared" si="5"/>
        <v>-0.016834544485283803</v>
      </c>
      <c r="E86" s="8">
        <v>0.031169585788993072</v>
      </c>
      <c r="F86" s="9"/>
      <c r="G86" s="9">
        <v>83.0</v>
      </c>
      <c r="H86" s="10">
        <f t="shared" si="6"/>
        <v>-0.02812599601730063</v>
      </c>
      <c r="K86" s="7"/>
    </row>
    <row r="87" spans="8:8">
      <c r="B87" s="7" t="s">
        <v>8647</v>
      </c>
      <c r="C87" s="8">
        <v>3564.1</v>
      </c>
      <c r="D87" s="8">
        <f t="shared" si="5"/>
        <v>-0.023346943249390368</v>
      </c>
      <c r="E87" s="8">
        <v>0.03111401930312446</v>
      </c>
      <c r="F87" s="9"/>
      <c r="G87" s="9">
        <v>84.0</v>
      </c>
      <c r="H87" s="10">
        <f t="shared" si="6"/>
        <v>0.01311260372655965</v>
      </c>
      <c r="K87" s="7"/>
    </row>
    <row r="88" spans="8:8">
      <c r="B88" s="7" t="s">
        <v>8648</v>
      </c>
      <c r="C88" s="8">
        <v>3649.3</v>
      </c>
      <c r="D88" s="8">
        <f t="shared" si="5"/>
        <v>0.037676296633303</v>
      </c>
      <c r="E88" s="8">
        <v>0.03103506691512787</v>
      </c>
      <c r="F88" s="9"/>
      <c r="G88" s="9">
        <v>85.0</v>
      </c>
      <c r="H88" s="10">
        <f t="shared" si="6"/>
        <v>0.0185294052445085</v>
      </c>
      <c r="K88" s="7"/>
    </row>
    <row r="89" spans="8:8">
      <c r="B89" s="7" t="s">
        <v>8649</v>
      </c>
      <c r="C89" s="8">
        <v>3516.8</v>
      </c>
      <c r="D89" s="8">
        <f t="shared" si="5"/>
        <v>0.0521780756342748</v>
      </c>
      <c r="E89" s="8">
        <v>0.030963302752293552</v>
      </c>
      <c r="F89" s="9"/>
      <c r="G89" s="9">
        <v>86.0</v>
      </c>
      <c r="H89" s="10">
        <f t="shared" si="6"/>
        <v>-0.006866611513171168</v>
      </c>
      <c r="K89" s="7"/>
    </row>
    <row r="90" spans="8:8">
      <c r="B90" s="7" t="s">
        <v>8650</v>
      </c>
      <c r="C90" s="8">
        <v>3342.4</v>
      </c>
      <c r="D90" s="8">
        <f t="shared" si="5"/>
        <v>-0.02690112961453362</v>
      </c>
      <c r="E90" s="8">
        <v>0.030918881361820392</v>
      </c>
      <c r="F90" s="9"/>
      <c r="G90" s="9">
        <v>87.0</v>
      </c>
      <c r="H90" s="10">
        <f t="shared" si="6"/>
        <v>8.262165491675372E-4</v>
      </c>
      <c r="K90" s="7"/>
    </row>
    <row r="91" spans="8:8">
      <c r="B91" s="7" t="s">
        <v>8651</v>
      </c>
      <c r="C91" s="8">
        <v>3434.8</v>
      </c>
      <c r="D91" s="8">
        <f t="shared" si="5"/>
        <v>8.734895909162379E-5</v>
      </c>
      <c r="E91" s="8">
        <v>0.030666912987252954</v>
      </c>
      <c r="F91" s="9"/>
      <c r="G91" s="9">
        <v>88.0</v>
      </c>
      <c r="H91" s="10">
        <f t="shared" si="6"/>
        <v>0.01165090801483307</v>
      </c>
      <c r="K91" s="7"/>
    </row>
    <row r="92" spans="8:8">
      <c r="B92" s="7" t="s">
        <v>8652</v>
      </c>
      <c r="C92" s="8">
        <v>3434.5</v>
      </c>
      <c r="D92" s="8">
        <f t="shared" si="5"/>
        <v>-0.04806119903545001</v>
      </c>
      <c r="E92" s="8">
        <v>0.0306360949603045</v>
      </c>
      <c r="F92" s="9"/>
      <c r="G92" s="9">
        <v>89.0</v>
      </c>
      <c r="H92" s="10">
        <f t="shared" si="6"/>
        <v>0.015131498541796184</v>
      </c>
      <c r="K92" s="7"/>
    </row>
    <row r="93" spans="8:8">
      <c r="B93" s="7" t="s">
        <v>8653</v>
      </c>
      <c r="C93" s="8">
        <v>3607.9</v>
      </c>
      <c r="D93" s="8">
        <f t="shared" si="5"/>
        <v>0.01837529637574797</v>
      </c>
      <c r="E93" s="8">
        <v>0.030511354858643598</v>
      </c>
      <c r="F93" s="9"/>
      <c r="G93" s="9">
        <v>90.0</v>
      </c>
      <c r="H93" s="10">
        <f t="shared" si="6"/>
        <v>-0.007539270573329214</v>
      </c>
      <c r="K93" s="7"/>
    </row>
    <row r="94" spans="8:8">
      <c r="B94" s="7" t="s">
        <v>8654</v>
      </c>
      <c r="C94" s="8">
        <v>3542.8</v>
      </c>
      <c r="D94" s="8">
        <f t="shared" si="5"/>
        <v>0.021156395918602668</v>
      </c>
      <c r="E94" s="8">
        <v>0.030486314760508365</v>
      </c>
      <c r="F94" s="9"/>
      <c r="G94" s="9">
        <v>91.0</v>
      </c>
      <c r="H94" s="10">
        <f t="shared" si="6"/>
        <v>0.005669985142277579</v>
      </c>
      <c r="K94" s="7"/>
    </row>
    <row r="95" spans="8:8">
      <c r="B95" s="7" t="s">
        <v>8655</v>
      </c>
      <c r="C95" s="8">
        <v>3469.4</v>
      </c>
      <c r="D95" s="8">
        <f t="shared" si="5"/>
        <v>0.008839779005524889</v>
      </c>
      <c r="E95" s="8">
        <v>0.030442765039921518</v>
      </c>
      <c r="F95" s="9"/>
      <c r="G95" s="9">
        <v>92.0</v>
      </c>
      <c r="H95" s="10">
        <f t="shared" si="6"/>
        <v>0.009194092943326761</v>
      </c>
      <c r="K95" s="7"/>
    </row>
    <row r="96" spans="8:8">
      <c r="B96" s="7" t="s">
        <v>8656</v>
      </c>
      <c r="C96" s="8">
        <v>3439.0</v>
      </c>
      <c r="D96" s="8">
        <f t="shared" si="5"/>
        <v>-0.07541336201102299</v>
      </c>
      <c r="E96" s="8">
        <v>0.03034237977751803</v>
      </c>
      <c r="F96" s="9"/>
      <c r="G96" s="9">
        <v>93.0</v>
      </c>
      <c r="H96" s="10">
        <f t="shared" si="6"/>
        <v>0.023634694882917917</v>
      </c>
      <c r="K96" s="7"/>
    </row>
    <row r="97" spans="8:8">
      <c r="B97" s="7">
        <v>46359.0</v>
      </c>
      <c r="C97" s="8">
        <v>3719.5</v>
      </c>
      <c r="D97" s="8">
        <f t="shared" si="5"/>
        <v>-0.031077420027091844</v>
      </c>
      <c r="E97" s="8">
        <v>0.030096849331862147</v>
      </c>
      <c r="F97" s="9"/>
      <c r="G97" s="9">
        <v>94.0</v>
      </c>
      <c r="H97" s="10">
        <f t="shared" si="6"/>
        <v>0.0071474060457615216</v>
      </c>
      <c r="K97" s="7"/>
    </row>
    <row r="98" spans="8:8">
      <c r="B98" s="7">
        <v>46329.0</v>
      </c>
      <c r="C98" s="8">
        <v>3838.8</v>
      </c>
      <c r="D98" s="8">
        <f t="shared" si="5"/>
        <v>-0.009597523219814195</v>
      </c>
      <c r="E98" s="8">
        <v>0.030064452965652206</v>
      </c>
      <c r="F98" s="9"/>
      <c r="G98" s="9">
        <v>95.0</v>
      </c>
      <c r="H98" s="10">
        <f t="shared" si="6"/>
        <v>0.005445825238304091</v>
      </c>
      <c r="K98" s="7"/>
    </row>
    <row r="99" spans="8:8">
      <c r="B99" s="7">
        <v>46298.0</v>
      </c>
      <c r="C99" s="8">
        <v>3876.0</v>
      </c>
      <c r="D99" s="8">
        <f t="shared" si="5"/>
        <v>0.008823299757944898</v>
      </c>
      <c r="E99" s="8">
        <v>0.029927529748590895</v>
      </c>
      <c r="F99" s="9"/>
      <c r="G99" s="9">
        <v>96.0</v>
      </c>
      <c r="H99" s="10">
        <f t="shared" si="6"/>
        <v>0.005676368413668417</v>
      </c>
      <c r="K99" s="7"/>
    </row>
    <row r="100" spans="8:8">
      <c r="B100" s="7">
        <v>46268.0</v>
      </c>
      <c r="C100" s="8">
        <v>3842.1</v>
      </c>
      <c r="D100" s="8">
        <f t="shared" si="5"/>
        <v>-0.027267203402704002</v>
      </c>
      <c r="E100" s="8">
        <v>0.029763837980791366</v>
      </c>
      <c r="F100" s="9"/>
      <c r="G100" s="9">
        <v>97.0</v>
      </c>
      <c r="H100" s="10">
        <f t="shared" si="6"/>
        <v>0.015281527381603162</v>
      </c>
      <c r="K100" s="7"/>
    </row>
    <row r="101" spans="8:8">
      <c r="B101" s="7">
        <v>46176.0</v>
      </c>
      <c r="C101" s="8">
        <v>3949.8</v>
      </c>
      <c r="D101" s="8">
        <f t="shared" si="5"/>
        <v>-0.022012033575160236</v>
      </c>
      <c r="E101" s="8">
        <v>0.029600373720643936</v>
      </c>
      <c r="F101" s="9"/>
      <c r="G101" s="9">
        <v>98.0</v>
      </c>
      <c r="H101" s="10">
        <f t="shared" si="6"/>
        <v>-0.00624149211418634</v>
      </c>
      <c r="K101" s="7"/>
    </row>
    <row r="102" spans="8:8">
      <c r="B102" s="7">
        <v>46145.0</v>
      </c>
      <c r="C102" s="8">
        <v>4038.7</v>
      </c>
      <c r="D102" s="8">
        <f t="shared" si="5"/>
        <v>0.0402050172564776</v>
      </c>
      <c r="E102" s="8">
        <v>0.029512903548893143</v>
      </c>
      <c r="F102" s="9"/>
      <c r="G102" s="9">
        <v>99.0</v>
      </c>
      <c r="H102" s="10">
        <f t="shared" si="6"/>
        <v>-0.0034297776411170476</v>
      </c>
      <c r="K102" s="7"/>
    </row>
    <row r="103" spans="8:8">
      <c r="B103" s="7">
        <v>46115.0</v>
      </c>
      <c r="C103" s="8">
        <v>3882.6</v>
      </c>
      <c r="D103" s="8">
        <f t="shared" si="5"/>
        <v>-0.045270120736715255</v>
      </c>
      <c r="E103" s="8">
        <v>0.029460059886023376</v>
      </c>
      <c r="F103" s="9"/>
      <c r="G103" s="9">
        <v>100.0</v>
      </c>
      <c r="H103" s="10">
        <f t="shared" si="6"/>
        <v>0.008539342222695845</v>
      </c>
      <c r="K103" s="7"/>
    </row>
    <row r="104" spans="8:8">
      <c r="B104" s="7">
        <v>46056.0</v>
      </c>
      <c r="C104" s="8">
        <v>4066.7</v>
      </c>
      <c r="D104" s="8">
        <f t="shared" si="5"/>
        <v>-0.049458897225533587</v>
      </c>
      <c r="E104" s="8">
        <v>0.029412237161261217</v>
      </c>
      <c r="F104" s="9"/>
      <c r="G104" s="9">
        <v>101.0</v>
      </c>
      <c r="H104" s="10">
        <f t="shared" si="6"/>
        <v>0.04747649367197757</v>
      </c>
      <c r="K104" s="7"/>
    </row>
    <row r="105" spans="8:8">
      <c r="B105" s="7" t="s">
        <v>8657</v>
      </c>
      <c r="C105" s="8">
        <v>4278.3</v>
      </c>
      <c r="D105" s="8">
        <f t="shared" si="5"/>
        <v>-0.0019129826198529846</v>
      </c>
      <c r="E105" s="8">
        <v>0.029330659313110925</v>
      </c>
      <c r="F105" s="9"/>
      <c r="G105" s="9">
        <v>102.0</v>
      </c>
      <c r="H105" s="10">
        <f t="shared" si="6"/>
        <v>0.005335614392258024</v>
      </c>
      <c r="K105" s="7"/>
    </row>
    <row r="106" spans="8:8">
      <c r="B106" s="7" t="s">
        <v>8658</v>
      </c>
      <c r="C106" s="8">
        <v>4286.5</v>
      </c>
      <c r="D106" s="8">
        <f t="shared" si="5"/>
        <v>-0.0027916715133185993</v>
      </c>
      <c r="E106" s="8">
        <v>0.02909725090642071</v>
      </c>
      <c r="F106" s="9"/>
      <c r="G106" s="9">
        <v>103.0</v>
      </c>
      <c r="H106" s="10">
        <f t="shared" si="6"/>
        <v>0.004432791956267385</v>
      </c>
      <c r="K106" s="7"/>
    </row>
    <row r="107" spans="8:8">
      <c r="B107" s="7" t="s">
        <v>8659</v>
      </c>
      <c r="C107" s="8">
        <v>4298.5</v>
      </c>
      <c r="D107" s="8">
        <f t="shared" si="5"/>
        <v>0.009227084898572544</v>
      </c>
      <c r="E107" s="8">
        <v>0.029014657603921027</v>
      </c>
      <c r="F107" s="9"/>
      <c r="G107" s="9">
        <v>104.0</v>
      </c>
      <c r="H107" s="10">
        <f t="shared" si="6"/>
        <v>0.0027969871398059454</v>
      </c>
      <c r="K107" s="7"/>
    </row>
    <row r="108" spans="8:8">
      <c r="B108" s="7" t="s">
        <v>8660</v>
      </c>
      <c r="C108" s="8">
        <v>4259.2</v>
      </c>
      <c r="D108" s="8">
        <f t="shared" si="5"/>
        <v>-0.03596568660736528</v>
      </c>
      <c r="E108" s="8">
        <v>0.02900068619307296</v>
      </c>
      <c r="F108" s="9"/>
      <c r="G108" s="9">
        <v>105.0</v>
      </c>
      <c r="H108" s="10">
        <f t="shared" si="6"/>
        <v>0.0013361748237202009</v>
      </c>
      <c r="K108" s="7"/>
    </row>
    <row r="109" spans="8:8">
      <c r="B109" s="7" t="s">
        <v>8661</v>
      </c>
      <c r="C109" s="8">
        <v>4418.1</v>
      </c>
      <c r="D109" s="8">
        <f t="shared" si="5"/>
        <v>0.008560471168333104</v>
      </c>
      <c r="E109" s="8">
        <v>0.028723689502614384</v>
      </c>
      <c r="F109" s="9"/>
      <c r="G109" s="9">
        <v>106.0</v>
      </c>
      <c r="H109" s="10">
        <f t="shared" si="6"/>
        <v>-0.004007593834663524</v>
      </c>
      <c r="K109" s="7"/>
    </row>
    <row r="110" spans="8:8">
      <c r="B110" s="7" t="s">
        <v>8662</v>
      </c>
      <c r="C110" s="8">
        <v>4380.6</v>
      </c>
      <c r="D110" s="8">
        <f t="shared" si="5"/>
        <v>0.023385118560915866</v>
      </c>
      <c r="E110" s="8">
        <v>0.02860395411839299</v>
      </c>
      <c r="F110" s="9"/>
      <c r="G110" s="9">
        <v>107.0</v>
      </c>
      <c r="H110" s="10">
        <f t="shared" si="6"/>
        <v>-0.011207298970969462</v>
      </c>
      <c r="K110" s="7"/>
    </row>
    <row r="111" spans="8:8">
      <c r="B111" s="7" t="s">
        <v>8663</v>
      </c>
      <c r="C111" s="8">
        <v>4280.5</v>
      </c>
      <c r="D111" s="8">
        <f t="shared" si="5"/>
        <v>-0.010494925911370962</v>
      </c>
      <c r="E111" s="8">
        <v>0.028567210452498687</v>
      </c>
      <c r="F111" s="9"/>
      <c r="G111" s="9">
        <v>108.0</v>
      </c>
      <c r="H111" s="10">
        <f t="shared" si="6"/>
        <v>0.008590294157239477</v>
      </c>
      <c r="K111" s="7"/>
    </row>
    <row r="112" spans="8:8">
      <c r="B112" s="7" t="s">
        <v>8664</v>
      </c>
      <c r="C112" s="8">
        <v>4325.9</v>
      </c>
      <c r="D112" s="8">
        <f t="shared" si="5"/>
        <v>0.0107715313799709</v>
      </c>
      <c r="E112" s="8">
        <v>0.028383892141209864</v>
      </c>
      <c r="F112" s="9"/>
      <c r="G112" s="9">
        <v>109.0</v>
      </c>
      <c r="H112" s="10">
        <f t="shared" si="6"/>
        <v>-9.614151722522066E-5</v>
      </c>
      <c r="K112" s="7"/>
    </row>
    <row r="113" spans="8:8">
      <c r="B113" s="7" t="s">
        <v>8665</v>
      </c>
      <c r="C113" s="8">
        <v>4279.8</v>
      </c>
      <c r="D113" s="8">
        <f t="shared" si="5"/>
        <v>0.018636201356658378</v>
      </c>
      <c r="E113" s="8">
        <v>0.028328734046222954</v>
      </c>
      <c r="F113" s="9"/>
      <c r="G113" s="9">
        <v>110.0</v>
      </c>
      <c r="H113" s="10">
        <f t="shared" si="6"/>
        <v>-0.030488116659565172</v>
      </c>
      <c r="K113" s="7"/>
    </row>
    <row r="114" spans="8:8">
      <c r="B114" s="7" t="s">
        <v>8666</v>
      </c>
      <c r="C114" s="8">
        <v>4201.5</v>
      </c>
      <c r="D114" s="8">
        <f t="shared" si="5"/>
        <v>0.006612520664127163</v>
      </c>
      <c r="E114" s="8">
        <v>0.02823309805751624</v>
      </c>
      <c r="F114" s="9"/>
      <c r="G114" s="9">
        <v>111.0</v>
      </c>
      <c r="H114" s="10">
        <f t="shared" si="6"/>
        <v>-0.005029627616527257</v>
      </c>
      <c r="K114" s="7"/>
    </row>
    <row r="115" spans="8:8">
      <c r="B115" s="7" t="s">
        <v>8667</v>
      </c>
      <c r="C115" s="8">
        <v>4173.9</v>
      </c>
      <c r="D115" s="8">
        <f t="shared" si="5"/>
        <v>-0.00286676700351179</v>
      </c>
      <c r="E115" s="8">
        <v>0.028152178393306204</v>
      </c>
      <c r="F115" s="9"/>
      <c r="G115" s="9">
        <v>112.0</v>
      </c>
      <c r="H115" s="10">
        <f t="shared" si="6"/>
        <v>-0.007441677446050276</v>
      </c>
      <c r="K115" s="7"/>
    </row>
    <row r="116" spans="8:8">
      <c r="B116" s="7">
        <v>46358.0</v>
      </c>
      <c r="C116" s="8">
        <v>4185.9</v>
      </c>
      <c r="D116" s="8">
        <f t="shared" si="5"/>
        <v>0.0037166698638020335</v>
      </c>
      <c r="E116" s="8">
        <v>0.027853236263537286</v>
      </c>
      <c r="F116" s="9"/>
      <c r="G116" s="9">
        <v>113.0</v>
      </c>
      <c r="H116" s="10">
        <f t="shared" si="6"/>
        <v>0.01875562322578439</v>
      </c>
      <c r="K116" s="7"/>
    </row>
    <row r="117" spans="8:8">
      <c r="B117" s="7">
        <v>46328.0</v>
      </c>
      <c r="C117" s="8">
        <v>4170.4</v>
      </c>
      <c r="D117" s="8">
        <f t="shared" si="5"/>
        <v>3.3581194531053876E-4</v>
      </c>
      <c r="E117" s="8">
        <v>0.027512994864869224</v>
      </c>
      <c r="F117" s="9"/>
      <c r="G117" s="9">
        <v>114.0</v>
      </c>
      <c r="H117" s="10">
        <f t="shared" si="6"/>
        <v>0.00958971545131557</v>
      </c>
      <c r="K117" s="7"/>
    </row>
    <row r="118" spans="8:8">
      <c r="B118" s="7">
        <v>46297.0</v>
      </c>
      <c r="C118" s="8">
        <v>4169.0</v>
      </c>
      <c r="D118" s="8">
        <f t="shared" si="5"/>
        <v>0.013467522364838495</v>
      </c>
      <c r="E118" s="8">
        <v>0.02743902439024382</v>
      </c>
      <c r="F118" s="9"/>
      <c r="G118" s="9">
        <v>115.0</v>
      </c>
      <c r="H118" s="10">
        <f t="shared" si="6"/>
        <v>0.004927694305816472</v>
      </c>
      <c r="K118" s="7"/>
    </row>
    <row r="119" spans="8:8">
      <c r="B119" s="7">
        <v>46267.0</v>
      </c>
      <c r="C119" s="8">
        <v>4113.6</v>
      </c>
      <c r="D119" s="8">
        <f t="shared" si="5"/>
        <v>0.011184582483223238</v>
      </c>
      <c r="E119" s="8">
        <v>0.027423355491616196</v>
      </c>
      <c r="F119" s="9"/>
      <c r="G119" s="9">
        <v>116.0</v>
      </c>
      <c r="H119" s="10">
        <f t="shared" si="6"/>
        <v>0.021648383892059444</v>
      </c>
      <c r="K119" s="7"/>
    </row>
    <row r="120" spans="8:8">
      <c r="B120" s="7">
        <v>46175.0</v>
      </c>
      <c r="C120" s="8">
        <v>4068.1</v>
      </c>
      <c r="D120" s="8">
        <f t="shared" si="5"/>
        <v>0.0011813058351585477</v>
      </c>
      <c r="E120" s="8">
        <v>0.027420934385621237</v>
      </c>
      <c r="F120" s="9"/>
      <c r="G120" s="9">
        <v>117.0</v>
      </c>
      <c r="H120" s="10">
        <f t="shared" si="6"/>
        <v>-0.0075261151084623215</v>
      </c>
      <c r="K120" s="7"/>
    </row>
    <row r="121" spans="8:8">
      <c r="B121" s="7">
        <v>46144.0</v>
      </c>
      <c r="C121" s="8">
        <v>4063.3</v>
      </c>
      <c r="D121" s="8">
        <f t="shared" si="5"/>
        <v>-0.005823199823835905</v>
      </c>
      <c r="E121" s="8">
        <v>0.027417114560057892</v>
      </c>
      <c r="F121" s="9"/>
      <c r="G121" s="9">
        <v>118.0</v>
      </c>
      <c r="H121" s="10">
        <f t="shared" si="6"/>
        <v>-9.093457569868679E-4</v>
      </c>
      <c r="K121" s="7"/>
    </row>
    <row r="122" spans="8:8">
      <c r="B122" s="7">
        <v>46114.0</v>
      </c>
      <c r="C122" s="8">
        <v>4087.1</v>
      </c>
      <c r="D122" s="8">
        <f t="shared" si="5"/>
        <v>0.011958997722095605</v>
      </c>
      <c r="E122" s="8">
        <v>0.027227722772277228</v>
      </c>
      <c r="F122" s="9"/>
      <c r="G122" s="9">
        <v>119.0</v>
      </c>
      <c r="H122" s="10">
        <f t="shared" si="6"/>
        <v>0.004462991472521126</v>
      </c>
      <c r="K122" s="7"/>
    </row>
    <row r="123" spans="8:8">
      <c r="B123" s="7">
        <v>46083.0</v>
      </c>
      <c r="C123" s="8">
        <v>4038.8</v>
      </c>
      <c r="D123" s="8">
        <f t="shared" si="5"/>
        <v>0.02996455257185117</v>
      </c>
      <c r="E123" s="8">
        <v>0.027203919704559616</v>
      </c>
      <c r="F123" s="9"/>
      <c r="G123" s="9">
        <v>120.0</v>
      </c>
      <c r="H123" s="10">
        <f t="shared" si="6"/>
        <v>0.007729004220002267</v>
      </c>
      <c r="K123" s="7"/>
    </row>
    <row r="124" spans="8:8">
      <c r="B124" s="7">
        <v>46055.0</v>
      </c>
      <c r="C124" s="8">
        <v>3921.3</v>
      </c>
      <c r="D124" s="8">
        <f t="shared" si="5"/>
        <v>0.028133193497640322</v>
      </c>
      <c r="E124" s="8">
        <v>0.02691290530479818</v>
      </c>
      <c r="F124" s="9"/>
      <c r="G124" s="9">
        <v>121.0</v>
      </c>
      <c r="H124" s="10">
        <f t="shared" si="6"/>
        <v>0.005387622254305214</v>
      </c>
      <c r="K124" s="7"/>
    </row>
    <row r="125" spans="8:8">
      <c r="B125" s="7">
        <v>46024.0</v>
      </c>
      <c r="C125" s="8">
        <v>3814.0</v>
      </c>
      <c r="D125" s="8">
        <f t="shared" si="5"/>
        <v>-0.030084174656053755</v>
      </c>
      <c r="E125" s="8">
        <v>0.026895673879622405</v>
      </c>
      <c r="F125" s="9"/>
      <c r="G125" s="9">
        <v>122.0</v>
      </c>
      <c r="H125" s="10">
        <f t="shared" si="6"/>
        <v>0.00829876623301953</v>
      </c>
      <c r="K125" s="7"/>
    </row>
    <row r="126" spans="8:8">
      <c r="B126" s="7" t="s">
        <v>8668</v>
      </c>
      <c r="C126" s="8">
        <v>3932.3</v>
      </c>
      <c r="D126" s="8">
        <f t="shared" si="5"/>
        <v>-1.5255918024864834E-4</v>
      </c>
      <c r="E126" s="8">
        <v>0.02687111479486123</v>
      </c>
      <c r="F126" s="9"/>
      <c r="G126" s="9">
        <v>123.0</v>
      </c>
      <c r="H126" s="10">
        <f t="shared" si="6"/>
        <v>-0.01716807445829311</v>
      </c>
      <c r="K126" s="7"/>
    </row>
    <row r="127" spans="8:8">
      <c r="B127" s="7" t="s">
        <v>8669</v>
      </c>
      <c r="C127" s="8">
        <v>3932.9</v>
      </c>
      <c r="D127" s="8">
        <f t="shared" si="5"/>
        <v>0.03661043753294678</v>
      </c>
      <c r="E127" s="8">
        <v>0.026694627068691853</v>
      </c>
      <c r="F127" s="9"/>
      <c r="G127" s="9">
        <v>124.0</v>
      </c>
      <c r="H127" s="10">
        <f t="shared" si="6"/>
        <v>-0.010020161242411542</v>
      </c>
      <c r="K127" s="7"/>
    </row>
    <row r="128" spans="8:8">
      <c r="B128" s="7" t="s">
        <v>8670</v>
      </c>
      <c r="C128" s="8">
        <v>3794.0</v>
      </c>
      <c r="D128" s="8">
        <f t="shared" si="5"/>
        <v>0.0016368340461481118</v>
      </c>
      <c r="E128" s="8">
        <v>0.026644978893149058</v>
      </c>
      <c r="F128" s="9"/>
      <c r="G128" s="9">
        <v>125.0</v>
      </c>
      <c r="H128" s="10">
        <f t="shared" si="6"/>
        <v>-0.007977771320138629</v>
      </c>
      <c r="K128" s="7"/>
    </row>
    <row r="129" spans="8:8">
      <c r="B129" s="7" t="s">
        <v>8671</v>
      </c>
      <c r="C129" s="8">
        <v>3787.8</v>
      </c>
      <c r="D129" s="8">
        <f t="shared" si="5"/>
        <v>0.011752764570756984</v>
      </c>
      <c r="E129" s="8">
        <v>0.026460010275732224</v>
      </c>
      <c r="F129" s="9"/>
      <c r="G129" s="9">
        <v>126.0</v>
      </c>
      <c r="H129" s="10">
        <f t="shared" si="6"/>
        <v>-0.008755355910551734</v>
      </c>
      <c r="K129" s="7"/>
    </row>
    <row r="130" spans="8:8">
      <c r="B130" s="7" t="s">
        <v>8672</v>
      </c>
      <c r="C130" s="8">
        <v>3743.8</v>
      </c>
      <c r="D130" s="8">
        <f t="shared" si="5"/>
        <v>-0.013179397965100953</v>
      </c>
      <c r="E130" s="8">
        <v>0.026371520774505827</v>
      </c>
      <c r="F130" s="9"/>
      <c r="G130" s="9">
        <v>127.0</v>
      </c>
      <c r="H130" s="10">
        <f t="shared" si="6"/>
        <v>0.023665284317466388</v>
      </c>
      <c r="K130" s="7"/>
    </row>
    <row r="131" spans="8:8">
      <c r="B131" s="7" t="s">
        <v>8673</v>
      </c>
      <c r="C131" s="8">
        <v>3793.8</v>
      </c>
      <c r="D131" s="8">
        <f t="shared" si="5"/>
        <v>0.007248108323377189</v>
      </c>
      <c r="E131" s="8">
        <v>0.026194144838212564</v>
      </c>
      <c r="F131" s="9"/>
      <c r="G131" s="9">
        <v>128.0</v>
      </c>
      <c r="H131" s="10">
        <f t="shared" si="6"/>
        <v>-0.017800705079149423</v>
      </c>
      <c r="K131" s="7"/>
    </row>
    <row r="132" spans="8:8">
      <c r="B132" s="7" t="s">
        <v>8674</v>
      </c>
      <c r="C132" s="8">
        <v>3766.5</v>
      </c>
      <c r="D132" s="8">
        <f t="shared" si="7" ref="D132:D195">(C132-C133)/C133</f>
        <v>-0.011547041070725626</v>
      </c>
      <c r="E132" s="8">
        <v>0.026189097778725683</v>
      </c>
      <c r="F132" s="9"/>
      <c r="G132" s="9">
        <v>129.0</v>
      </c>
      <c r="H132" s="10">
        <f t="shared" si="6"/>
        <v>-0.005844550644411475</v>
      </c>
      <c r="K132" s="7"/>
    </row>
    <row r="133" spans="8:8">
      <c r="B133" s="7" t="s">
        <v>8675</v>
      </c>
      <c r="C133" s="8">
        <v>3810.5</v>
      </c>
      <c r="D133" s="8">
        <f t="shared" si="7"/>
        <v>-0.015323789343118554</v>
      </c>
      <c r="E133" s="8">
        <v>0.026178010471204185</v>
      </c>
      <c r="F133" s="9"/>
      <c r="G133" s="9">
        <v>130.0</v>
      </c>
      <c r="H133" s="10">
        <f t="shared" si="8" ref="H133:H196">_xlfn.NORM.INV(RAND(),N$6,N$7)</f>
        <v>0.023217054805831326</v>
      </c>
      <c r="K133" s="7"/>
    </row>
    <row r="134" spans="8:8">
      <c r="B134" s="7" t="s">
        <v>8676</v>
      </c>
      <c r="C134" s="8">
        <v>3869.8</v>
      </c>
      <c r="D134" s="8">
        <f t="shared" si="7"/>
        <v>0.003474743283891736</v>
      </c>
      <c r="E134" s="8">
        <v>0.025953721075672294</v>
      </c>
      <c r="F134" s="9"/>
      <c r="G134" s="9">
        <v>131.0</v>
      </c>
      <c r="H134" s="10">
        <f t="shared" si="8"/>
        <v>-0.011572746432032727</v>
      </c>
      <c r="K134" s="7"/>
    </row>
    <row r="135" spans="8:8">
      <c r="B135" s="7" t="s">
        <v>8677</v>
      </c>
      <c r="C135" s="8">
        <v>3856.4</v>
      </c>
      <c r="D135" s="8">
        <f t="shared" si="7"/>
        <v>-0.002431579491955117</v>
      </c>
      <c r="E135" s="8">
        <v>0.0259240930374205</v>
      </c>
      <c r="F135" s="9"/>
      <c r="G135" s="9">
        <v>132.0</v>
      </c>
      <c r="H135" s="10">
        <f t="shared" si="8"/>
        <v>0.02687861173791307</v>
      </c>
      <c r="K135" s="7"/>
    </row>
    <row r="136" spans="8:8">
      <c r="B136" s="7" t="s">
        <v>8678</v>
      </c>
      <c r="C136" s="8">
        <v>3865.8</v>
      </c>
      <c r="D136" s="8">
        <f t="shared" si="7"/>
        <v>-0.005556413026701628</v>
      </c>
      <c r="E136" s="8">
        <v>0.025918644255531222</v>
      </c>
      <c r="F136" s="9"/>
      <c r="G136" s="9">
        <v>133.0</v>
      </c>
      <c r="H136" s="10">
        <f t="shared" si="8"/>
        <v>0.011774181634758681</v>
      </c>
      <c r="K136" s="7"/>
    </row>
    <row r="137" spans="8:8">
      <c r="B137" s="7" t="s">
        <v>8679</v>
      </c>
      <c r="C137" s="8">
        <v>3887.4</v>
      </c>
      <c r="D137" s="8">
        <f t="shared" si="7"/>
        <v>-0.0327444637969644</v>
      </c>
      <c r="E137" s="8">
        <v>0.02578494026118363</v>
      </c>
      <c r="F137" s="9"/>
      <c r="G137" s="9">
        <v>134.0</v>
      </c>
      <c r="H137" s="10">
        <f t="shared" si="8"/>
        <v>-0.0019068963543452128</v>
      </c>
      <c r="K137" s="7"/>
    </row>
    <row r="138" spans="8:8">
      <c r="B138" s="7">
        <v>46357.0</v>
      </c>
      <c r="C138" s="8">
        <v>4019.0</v>
      </c>
      <c r="D138" s="8">
        <f t="shared" si="7"/>
        <v>-0.0015402961343535275</v>
      </c>
      <c r="E138" s="8">
        <v>0.025530158178341738</v>
      </c>
      <c r="F138" s="9"/>
      <c r="G138" s="9">
        <v>135.0</v>
      </c>
      <c r="H138" s="10">
        <f t="shared" si="8"/>
        <v>0.003638912578860335</v>
      </c>
      <c r="K138" s="7"/>
    </row>
    <row r="139" spans="8:8">
      <c r="B139" s="7">
        <v>46266.0</v>
      </c>
      <c r="C139" s="8">
        <v>4025.2</v>
      </c>
      <c r="D139" s="8">
        <f t="shared" si="7"/>
        <v>-7.943600436898701E-4</v>
      </c>
      <c r="E139" s="8">
        <v>0.025508741759816565</v>
      </c>
      <c r="F139" s="9"/>
      <c r="G139" s="9">
        <v>136.0</v>
      </c>
      <c r="H139" s="10">
        <f t="shared" si="8"/>
        <v>-0.023219318172328245</v>
      </c>
      <c r="K139" s="7"/>
    </row>
    <row r="140" spans="8:8">
      <c r="B140" s="7">
        <v>46235.0</v>
      </c>
      <c r="C140" s="8">
        <v>4028.4</v>
      </c>
      <c r="D140" s="8">
        <f t="shared" si="7"/>
        <v>-0.030935770988693746</v>
      </c>
      <c r="E140" s="8">
        <v>0.02516571830820664</v>
      </c>
      <c r="F140" s="9"/>
      <c r="G140" s="9">
        <v>137.0</v>
      </c>
      <c r="H140" s="10">
        <f t="shared" si="8"/>
        <v>0.020545893560602366</v>
      </c>
      <c r="K140" s="7"/>
    </row>
    <row r="141" spans="8:8">
      <c r="B141" s="7">
        <v>46204.0</v>
      </c>
      <c r="C141" s="8">
        <v>4157.0</v>
      </c>
      <c r="D141" s="8">
        <f t="shared" si="7"/>
        <v>0.003960778631116175</v>
      </c>
      <c r="E141" s="8">
        <v>0.025033484278334076</v>
      </c>
      <c r="F141" s="9"/>
      <c r="G141" s="9">
        <v>138.0</v>
      </c>
      <c r="H141" s="10">
        <f t="shared" si="8"/>
        <v>-0.006726964269793725</v>
      </c>
      <c r="K141" s="7"/>
    </row>
    <row r="142" spans="8:8">
      <c r="B142" s="7">
        <v>46174.0</v>
      </c>
      <c r="C142" s="8">
        <v>4140.6</v>
      </c>
      <c r="D142" s="8">
        <f t="shared" si="7"/>
        <v>-0.002361218195836371</v>
      </c>
      <c r="E142" s="8">
        <v>0.024924205034195967</v>
      </c>
      <c r="F142" s="9"/>
      <c r="G142" s="9">
        <v>139.0</v>
      </c>
      <c r="H142" s="10">
        <f t="shared" si="8"/>
        <v>0.003922488758839922</v>
      </c>
      <c r="K142" s="7"/>
    </row>
    <row r="143" spans="8:8">
      <c r="B143" s="7">
        <v>46143.0</v>
      </c>
      <c r="C143" s="8">
        <v>4150.4</v>
      </c>
      <c r="D143" s="8">
        <f t="shared" si="7"/>
        <v>-0.0031224479992313977</v>
      </c>
      <c r="E143" s="8">
        <v>0.024896827007645075</v>
      </c>
      <c r="F143" s="9"/>
      <c r="G143" s="9">
        <v>140.0</v>
      </c>
      <c r="H143" s="10">
        <f t="shared" si="8"/>
        <v>-0.010422219445220822</v>
      </c>
      <c r="K143" s="7"/>
    </row>
    <row r="144" spans="8:8">
      <c r="B144" s="7">
        <v>46054.0</v>
      </c>
      <c r="C144" s="8">
        <v>4163.4</v>
      </c>
      <c r="D144" s="8">
        <f t="shared" si="7"/>
        <v>0.00555501883875954</v>
      </c>
      <c r="E144" s="8">
        <v>0.02470984649943845</v>
      </c>
      <c r="F144" s="9"/>
      <c r="G144" s="9">
        <v>141.0</v>
      </c>
      <c r="H144" s="10">
        <f t="shared" si="8"/>
        <v>-0.010245076382272098</v>
      </c>
      <c r="K144" s="7"/>
    </row>
    <row r="145" spans="8:8">
      <c r="B145" s="7">
        <v>46023.0</v>
      </c>
      <c r="C145" s="8">
        <v>4140.4</v>
      </c>
      <c r="D145" s="8">
        <f t="shared" si="7"/>
        <v>0.01393412513774939</v>
      </c>
      <c r="E145" s="8">
        <v>0.024667717954494135</v>
      </c>
      <c r="F145" s="9"/>
      <c r="G145" s="9">
        <v>142.0</v>
      </c>
      <c r="H145" s="10">
        <f t="shared" si="8"/>
        <v>-0.0031496202843146375</v>
      </c>
      <c r="K145" s="7"/>
    </row>
    <row r="146" spans="8:8">
      <c r="B146" s="7" t="s">
        <v>8680</v>
      </c>
      <c r="C146" s="8">
        <v>4083.5</v>
      </c>
      <c r="D146" s="8">
        <f t="shared" si="7"/>
        <v>0.007773938795656466</v>
      </c>
      <c r="E146" s="8">
        <v>0.024459596260346602</v>
      </c>
      <c r="F146" s="9"/>
      <c r="G146" s="9">
        <v>143.0</v>
      </c>
      <c r="H146" s="10">
        <f t="shared" si="8"/>
        <v>0.008970996870309954</v>
      </c>
      <c r="K146" s="7"/>
    </row>
    <row r="147" spans="8:8">
      <c r="B147" s="7" t="s">
        <v>8681</v>
      </c>
      <c r="C147" s="8">
        <v>4052.0</v>
      </c>
      <c r="D147" s="8">
        <f t="shared" si="7"/>
        <v>0.0032931388813232433</v>
      </c>
      <c r="E147" s="8">
        <v>0.024444873527708123</v>
      </c>
      <c r="F147" s="9"/>
      <c r="G147" s="9">
        <v>144.0</v>
      </c>
      <c r="H147" s="10">
        <f t="shared" si="8"/>
        <v>-0.0024003844192654134</v>
      </c>
      <c r="K147" s="7"/>
    </row>
    <row r="148" spans="8:8">
      <c r="B148" s="7" t="s">
        <v>8682</v>
      </c>
      <c r="C148" s="8">
        <v>4038.7</v>
      </c>
      <c r="D148" s="8">
        <f t="shared" si="7"/>
        <v>-0.002124873372371794</v>
      </c>
      <c r="E148" s="8">
        <v>0.024338073765753344</v>
      </c>
      <c r="F148" s="9"/>
      <c r="G148" s="9">
        <v>145.0</v>
      </c>
      <c r="H148" s="10">
        <f t="shared" si="8"/>
        <v>0.0021239656628138327</v>
      </c>
      <c r="K148" s="7"/>
    </row>
    <row r="149" spans="8:8">
      <c r="B149" s="7" t="s">
        <v>8683</v>
      </c>
      <c r="C149" s="8">
        <v>4047.3</v>
      </c>
      <c r="D149" s="8">
        <f t="shared" si="7"/>
        <v>-0.0015541740674954922</v>
      </c>
      <c r="E149" s="8">
        <v>0.02423953591559711</v>
      </c>
      <c r="F149" s="9"/>
      <c r="G149" s="9">
        <v>146.0</v>
      </c>
      <c r="H149" s="10">
        <f t="shared" si="8"/>
        <v>0.006547172887087361</v>
      </c>
      <c r="K149" s="7"/>
    </row>
    <row r="150" spans="8:8">
      <c r="B150" s="7" t="s">
        <v>8684</v>
      </c>
      <c r="C150" s="8">
        <v>4053.6</v>
      </c>
      <c r="D150" s="8">
        <f t="shared" si="7"/>
        <v>-0.0012811668473441098</v>
      </c>
      <c r="E150" s="8">
        <v>0.024230981040044203</v>
      </c>
      <c r="F150" s="9"/>
      <c r="G150" s="9">
        <v>147.0</v>
      </c>
      <c r="H150" s="10">
        <f t="shared" si="8"/>
        <v>0.00816994648689432</v>
      </c>
      <c r="K150" s="7"/>
    </row>
    <row r="151" spans="8:8">
      <c r="B151" s="7" t="s">
        <v>8685</v>
      </c>
      <c r="C151" s="8">
        <v>4058.8</v>
      </c>
      <c r="D151" s="8">
        <f t="shared" si="7"/>
        <v>-0.0033395540713092794</v>
      </c>
      <c r="E151" s="8">
        <v>0.024142344467588596</v>
      </c>
      <c r="F151" s="9"/>
      <c r="G151" s="9">
        <v>148.0</v>
      </c>
      <c r="H151" s="10">
        <f t="shared" si="8"/>
        <v>-0.004741786442114222</v>
      </c>
      <c r="K151" s="7"/>
    </row>
    <row r="152" spans="8:8">
      <c r="B152" s="7" t="s">
        <v>8686</v>
      </c>
      <c r="C152" s="8">
        <v>4072.4</v>
      </c>
      <c r="D152" s="8">
        <f t="shared" si="7"/>
        <v>-2.7003805081622905E-4</v>
      </c>
      <c r="E152" s="8">
        <v>0.024138912610304635</v>
      </c>
      <c r="F152" s="9"/>
      <c r="G152" s="9">
        <v>149.0</v>
      </c>
      <c r="H152" s="10">
        <f t="shared" si="8"/>
        <v>0.012591944547900254</v>
      </c>
      <c r="K152" s="7"/>
    </row>
    <row r="153" spans="8:8">
      <c r="B153" s="7" t="s">
        <v>8687</v>
      </c>
      <c r="C153" s="8">
        <v>4073.5</v>
      </c>
      <c r="D153" s="8">
        <f t="shared" si="7"/>
        <v>0.010518220833023267</v>
      </c>
      <c r="E153" s="8">
        <v>0.024064508000504047</v>
      </c>
      <c r="F153" s="9"/>
      <c r="G153" s="9">
        <v>150.0</v>
      </c>
      <c r="H153" s="10">
        <f t="shared" si="8"/>
        <v>0.017307864857398693</v>
      </c>
      <c r="K153" s="7"/>
    </row>
    <row r="154" spans="8:8">
      <c r="B154" s="7" t="s">
        <v>8688</v>
      </c>
      <c r="C154" s="8">
        <v>4031.1</v>
      </c>
      <c r="D154" s="8">
        <f t="shared" si="7"/>
        <v>-0.0077048050413549085</v>
      </c>
      <c r="E154" s="8">
        <v>0.024059302930466445</v>
      </c>
      <c r="F154" s="9"/>
      <c r="G154" s="9">
        <v>151.0</v>
      </c>
      <c r="H154" s="10">
        <f t="shared" si="8"/>
        <v>0.021047582439097354</v>
      </c>
      <c r="K154" s="7"/>
    </row>
    <row r="155" spans="8:8">
      <c r="B155" s="7" t="s">
        <v>8689</v>
      </c>
      <c r="C155" s="8">
        <v>4062.4</v>
      </c>
      <c r="D155" s="8">
        <f t="shared" si="7"/>
        <v>-3.4450514296965667E-4</v>
      </c>
      <c r="E155" s="8">
        <v>0.024012528275621982</v>
      </c>
      <c r="F155" s="9"/>
      <c r="G155" s="9">
        <v>152.0</v>
      </c>
      <c r="H155" s="10">
        <f t="shared" si="8"/>
        <v>-0.006456196733733121</v>
      </c>
      <c r="K155" s="7"/>
    </row>
    <row r="156" spans="8:8">
      <c r="B156" s="7" t="s">
        <v>8690</v>
      </c>
      <c r="C156" s="8">
        <v>4063.8</v>
      </c>
      <c r="D156" s="8">
        <f t="shared" si="7"/>
        <v>-0.006964298805072941</v>
      </c>
      <c r="E156" s="8">
        <v>0.023914073606065334</v>
      </c>
      <c r="F156" s="9"/>
      <c r="G156" s="9">
        <v>153.0</v>
      </c>
      <c r="H156" s="10">
        <f t="shared" si="8"/>
        <v>0.015570204437414508</v>
      </c>
      <c r="K156" s="7"/>
    </row>
    <row r="157" spans="8:8">
      <c r="B157" s="7" t="s">
        <v>8691</v>
      </c>
      <c r="C157" s="8">
        <v>4092.3</v>
      </c>
      <c r="D157" s="8">
        <f t="shared" si="7"/>
        <v>0.004467244299354526</v>
      </c>
      <c r="E157" s="8">
        <v>0.023802979495354946</v>
      </c>
      <c r="F157" s="9"/>
      <c r="G157" s="9">
        <v>154.0</v>
      </c>
      <c r="H157" s="10">
        <f t="shared" si="8"/>
        <v>0.009259259736882158</v>
      </c>
      <c r="K157" s="7"/>
    </row>
    <row r="158" spans="8:8">
      <c r="B158" s="7">
        <v>46003.0</v>
      </c>
      <c r="C158" s="8">
        <v>4074.1</v>
      </c>
      <c r="D158" s="8">
        <f t="shared" si="7"/>
        <v>0.017532905417218168</v>
      </c>
      <c r="E158" s="8">
        <v>0.023772248849924307</v>
      </c>
      <c r="F158" s="9"/>
      <c r="G158" s="9">
        <v>155.0</v>
      </c>
      <c r="H158" s="10">
        <f t="shared" si="8"/>
        <v>0.013372996691363118</v>
      </c>
      <c r="K158" s="7"/>
    </row>
    <row r="159" spans="8:8">
      <c r="B159" s="7">
        <v>45973.0</v>
      </c>
      <c r="C159" s="8">
        <v>4003.9</v>
      </c>
      <c r="D159" s="8">
        <f t="shared" si="7"/>
        <v>0.0031568661839500686</v>
      </c>
      <c r="E159" s="8">
        <v>0.02375076124234748</v>
      </c>
      <c r="F159" s="9"/>
      <c r="G159" s="9">
        <v>156.0</v>
      </c>
      <c r="H159" s="10">
        <f t="shared" si="8"/>
        <v>0.017894554606021882</v>
      </c>
      <c r="K159" s="7"/>
    </row>
    <row r="160" spans="8:8">
      <c r="B160" s="7">
        <v>45942.0</v>
      </c>
      <c r="C160" s="8">
        <v>3991.3</v>
      </c>
      <c r="D160" s="8">
        <f t="shared" si="7"/>
        <v>-0.001550969355847359</v>
      </c>
      <c r="E160" s="8">
        <v>0.023732804560664244</v>
      </c>
      <c r="F160" s="9"/>
      <c r="G160" s="9">
        <v>157.0</v>
      </c>
      <c r="H160" s="10">
        <f t="shared" si="8"/>
        <v>0.01250935077650598</v>
      </c>
      <c r="K160" s="7"/>
    </row>
    <row r="161" spans="8:8">
      <c r="B161" s="7">
        <v>45912.0</v>
      </c>
      <c r="C161" s="8">
        <v>3997.5</v>
      </c>
      <c r="D161" s="8">
        <f t="shared" si="7"/>
        <v>2.0016513623744136E-4</v>
      </c>
      <c r="E161" s="8">
        <v>0.023727391385418652</v>
      </c>
      <c r="F161" s="9"/>
      <c r="G161" s="9">
        <v>158.0</v>
      </c>
      <c r="H161" s="10">
        <f t="shared" si="8"/>
        <v>0.020284822120809107</v>
      </c>
      <c r="K161" s="7"/>
    </row>
    <row r="162" spans="8:8">
      <c r="B162" s="7">
        <v>45881.0</v>
      </c>
      <c r="C162" s="8">
        <v>3996.7</v>
      </c>
      <c r="D162" s="8">
        <f t="shared" si="7"/>
        <v>-0.010276856024961617</v>
      </c>
      <c r="E162" s="8">
        <v>0.02369699573652387</v>
      </c>
      <c r="F162" s="9"/>
      <c r="G162" s="9">
        <v>159.0</v>
      </c>
      <c r="H162" s="10">
        <f t="shared" si="8"/>
        <v>-0.0018380202762771133</v>
      </c>
      <c r="K162" s="7"/>
    </row>
    <row r="163" spans="8:8">
      <c r="B163" s="7">
        <v>45789.0</v>
      </c>
      <c r="C163" s="8">
        <v>4038.2</v>
      </c>
      <c r="D163" s="8">
        <f t="shared" si="7"/>
        <v>0.01370619540114467</v>
      </c>
      <c r="E163" s="8">
        <v>0.023670568289263446</v>
      </c>
      <c r="F163" s="9"/>
      <c r="G163" s="9">
        <v>160.0</v>
      </c>
      <c r="H163" s="10">
        <f t="shared" si="8"/>
        <v>-0.012512440817759356</v>
      </c>
      <c r="K163" s="7"/>
    </row>
    <row r="164" spans="8:8">
      <c r="B164" s="7">
        <v>45759.0</v>
      </c>
      <c r="C164" s="8">
        <v>3983.6</v>
      </c>
      <c r="D164" s="8">
        <f t="shared" si="7"/>
        <v>-0.001103309929789391</v>
      </c>
      <c r="E164" s="8">
        <v>0.023656646236663838</v>
      </c>
      <c r="F164" s="9"/>
      <c r="G164" s="9">
        <v>161.0</v>
      </c>
      <c r="H164" s="10">
        <f t="shared" si="8"/>
        <v>0.013366740958753277</v>
      </c>
      <c r="K164" s="7"/>
    </row>
    <row r="165" spans="8:8">
      <c r="B165" s="7">
        <v>45728.0</v>
      </c>
      <c r="C165" s="8">
        <v>3988.0</v>
      </c>
      <c r="D165" s="8">
        <f t="shared" si="7"/>
        <v>-0.010544597444485796</v>
      </c>
      <c r="E165" s="8">
        <v>0.023650478425708655</v>
      </c>
      <c r="F165" s="9"/>
      <c r="G165" s="9">
        <v>162.0</v>
      </c>
      <c r="H165" s="10">
        <f t="shared" si="8"/>
        <v>0.020526712195309542</v>
      </c>
      <c r="K165" s="7"/>
    </row>
    <row r="166" spans="8:8">
      <c r="B166" s="7">
        <v>45700.0</v>
      </c>
      <c r="C166" s="8">
        <v>4030.5</v>
      </c>
      <c r="D166" s="8">
        <f t="shared" si="7"/>
        <v>-0.010483158204851179</v>
      </c>
      <c r="E166" s="8">
        <v>0.023592516680476173</v>
      </c>
      <c r="F166" s="9"/>
      <c r="G166" s="9">
        <v>163.0</v>
      </c>
      <c r="H166" s="10">
        <f t="shared" si="8"/>
        <v>0.0060781150197579655</v>
      </c>
      <c r="K166" s="7"/>
    </row>
    <row r="167" spans="8:8">
      <c r="B167" s="7">
        <v>45669.0</v>
      </c>
      <c r="C167" s="8">
        <v>4073.2</v>
      </c>
      <c r="D167" s="8">
        <f t="shared" si="7"/>
        <v>8.846078238647309E-4</v>
      </c>
      <c r="E167" s="8">
        <v>0.02355759288619284</v>
      </c>
      <c r="F167" s="9"/>
      <c r="G167" s="9">
        <v>164.0</v>
      </c>
      <c r="H167" s="10">
        <f t="shared" si="8"/>
        <v>0.007234231914348998</v>
      </c>
      <c r="K167" s="7"/>
    </row>
    <row r="168" spans="8:8">
      <c r="B168" s="7" t="s">
        <v>8692</v>
      </c>
      <c r="C168" s="8">
        <v>4069.6</v>
      </c>
      <c r="D168" s="8">
        <f t="shared" si="7"/>
        <v>-0.0028667336387916283</v>
      </c>
      <c r="E168" s="8">
        <v>0.023519105060987897</v>
      </c>
      <c r="F168" s="9"/>
      <c r="G168" s="9">
        <v>165.0</v>
      </c>
      <c r="H168" s="10">
        <f t="shared" si="8"/>
        <v>0.00585125544223725</v>
      </c>
      <c r="K168" s="7"/>
    </row>
    <row r="169" spans="8:8">
      <c r="B169" s="7" t="s">
        <v>8693</v>
      </c>
      <c r="C169" s="8">
        <v>4081.3</v>
      </c>
      <c r="D169" s="8">
        <f t="shared" si="7"/>
        <v>0.00475135401280162</v>
      </c>
      <c r="E169" s="8">
        <v>0.02349475499353359</v>
      </c>
      <c r="F169" s="9"/>
      <c r="G169" s="9">
        <v>166.0</v>
      </c>
      <c r="H169" s="10">
        <f t="shared" si="8"/>
        <v>-0.029717650511734767</v>
      </c>
      <c r="K169" s="7"/>
    </row>
    <row r="170" spans="8:8">
      <c r="B170" s="7" t="s">
        <v>8694</v>
      </c>
      <c r="C170" s="8">
        <v>4062.0</v>
      </c>
      <c r="D170" s="8">
        <f t="shared" si="7"/>
        <v>0.01633847924537748</v>
      </c>
      <c r="E170" s="8">
        <v>0.023444295089744493</v>
      </c>
      <c r="F170" s="9"/>
      <c r="G170" s="9">
        <v>167.0</v>
      </c>
      <c r="H170" s="10">
        <f t="shared" si="8"/>
        <v>-0.003326326027315727</v>
      </c>
      <c r="K170" s="7"/>
    </row>
    <row r="171" spans="8:8">
      <c r="B171" s="7" t="s">
        <v>8695</v>
      </c>
      <c r="C171" s="8">
        <v>3996.7</v>
      </c>
      <c r="D171" s="8">
        <f t="shared" si="7"/>
        <v>-0.0041362469787955955</v>
      </c>
      <c r="E171" s="8">
        <v>0.023340083129063296</v>
      </c>
      <c r="F171" s="9"/>
      <c r="G171" s="9">
        <v>168.0</v>
      </c>
      <c r="H171" s="10">
        <f t="shared" si="8"/>
        <v>0.0038028355611966235</v>
      </c>
      <c r="K171" s="7"/>
    </row>
    <row r="172" spans="8:8">
      <c r="B172" s="7" t="s">
        <v>8696</v>
      </c>
      <c r="C172" s="8">
        <v>4013.3</v>
      </c>
      <c r="D172" s="8">
        <f t="shared" si="7"/>
        <v>-0.002882059181594551</v>
      </c>
      <c r="E172" s="8">
        <v>0.023306197478991597</v>
      </c>
      <c r="F172" s="9"/>
      <c r="G172" s="9">
        <v>169.0</v>
      </c>
      <c r="H172" s="10">
        <f t="shared" si="8"/>
        <v>-0.011992203195948022</v>
      </c>
      <c r="K172" s="7"/>
    </row>
    <row r="173" spans="8:8">
      <c r="B173" s="7" t="s">
        <v>8697</v>
      </c>
      <c r="C173" s="8">
        <v>4024.9</v>
      </c>
      <c r="D173" s="8">
        <f t="shared" si="7"/>
        <v>-0.003096051914598504</v>
      </c>
      <c r="E173" s="8">
        <v>0.023238492477282748</v>
      </c>
      <c r="F173" s="9"/>
      <c r="G173" s="9">
        <v>170.0</v>
      </c>
      <c r="H173" s="10">
        <f t="shared" si="8"/>
        <v>0.007307816002951301</v>
      </c>
      <c r="K173" s="7"/>
    </row>
    <row r="174" spans="8:8">
      <c r="B174" s="7" t="s">
        <v>8698</v>
      </c>
      <c r="C174" s="8">
        <v>4037.4</v>
      </c>
      <c r="D174" s="8">
        <f t="shared" si="7"/>
        <v>0.004428301323514823</v>
      </c>
      <c r="E174" s="8">
        <v>0.023223045611105313</v>
      </c>
      <c r="F174" s="9"/>
      <c r="G174" s="9">
        <v>171.0</v>
      </c>
      <c r="H174" s="10">
        <f t="shared" si="8"/>
        <v>0.0022055021654486516</v>
      </c>
      <c r="K174" s="7"/>
    </row>
    <row r="175" spans="8:8">
      <c r="B175" s="7" t="s">
        <v>8699</v>
      </c>
      <c r="C175" s="8">
        <v>4019.6</v>
      </c>
      <c r="D175" s="8">
        <f t="shared" si="7"/>
        <v>0.005000500050005001</v>
      </c>
      <c r="E175" s="8">
        <v>0.023209078729608177</v>
      </c>
      <c r="F175" s="9"/>
      <c r="G175" s="9">
        <v>172.0</v>
      </c>
      <c r="H175" s="10">
        <f t="shared" si="8"/>
        <v>0.007060510785432196</v>
      </c>
      <c r="K175" s="7"/>
    </row>
    <row r="176" spans="8:8">
      <c r="B176" s="7" t="s">
        <v>8700</v>
      </c>
      <c r="C176" s="8">
        <v>3999.6</v>
      </c>
      <c r="D176" s="8">
        <f t="shared" si="7"/>
        <v>-0.006976686446358942</v>
      </c>
      <c r="E176" s="8">
        <v>0.023105185409643576</v>
      </c>
      <c r="F176" s="9"/>
      <c r="G176" s="9">
        <v>173.0</v>
      </c>
      <c r="H176" s="10">
        <f t="shared" si="8"/>
        <v>0.012211944031864822</v>
      </c>
      <c r="K176" s="7"/>
    </row>
    <row r="177" spans="8:8">
      <c r="B177" s="7" t="s">
        <v>8701</v>
      </c>
      <c r="C177" s="8">
        <v>4027.7</v>
      </c>
      <c r="D177" s="8">
        <f t="shared" si="7"/>
        <v>0.0058185995405053755</v>
      </c>
      <c r="E177" s="8">
        <v>0.02287358109158768</v>
      </c>
      <c r="F177" s="9"/>
      <c r="G177" s="9">
        <v>174.0</v>
      </c>
      <c r="H177" s="10">
        <f t="shared" si="8"/>
        <v>0.011794889720053863</v>
      </c>
      <c r="K177" s="7"/>
    </row>
    <row r="178" spans="8:8">
      <c r="B178" s="7" t="s">
        <v>8702</v>
      </c>
      <c r="C178" s="8">
        <v>4004.4</v>
      </c>
      <c r="D178" s="8">
        <f t="shared" si="7"/>
        <v>4.7470331043100337E-4</v>
      </c>
      <c r="E178" s="8">
        <v>0.022759629073838966</v>
      </c>
      <c r="F178" s="9"/>
      <c r="G178" s="9">
        <v>175.0</v>
      </c>
      <c r="H178" s="10">
        <f t="shared" si="8"/>
        <v>-0.006868866967530986</v>
      </c>
      <c r="K178" s="7"/>
    </row>
    <row r="179" spans="8:8">
      <c r="B179" s="7" t="s">
        <v>8703</v>
      </c>
      <c r="C179" s="8">
        <v>4002.5</v>
      </c>
      <c r="D179" s="8">
        <f t="shared" si="7"/>
        <v>0.012112476609518053</v>
      </c>
      <c r="E179" s="8">
        <v>0.022732491389207753</v>
      </c>
      <c r="F179" s="9"/>
      <c r="G179" s="9">
        <v>176.0</v>
      </c>
      <c r="H179" s="10">
        <f t="shared" si="8"/>
        <v>0.013185060962582453</v>
      </c>
      <c r="K179" s="7"/>
    </row>
    <row r="180" spans="8:8">
      <c r="B180" s="7">
        <v>46002.0</v>
      </c>
      <c r="C180" s="8">
        <v>3954.6</v>
      </c>
      <c r="D180" s="8">
        <f t="shared" si="7"/>
        <v>-1.011378002528675E-4</v>
      </c>
      <c r="E180" s="8">
        <v>0.022616395066043397</v>
      </c>
      <c r="F180" s="9"/>
      <c r="G180" s="9">
        <v>177.0</v>
      </c>
      <c r="H180" s="10">
        <f t="shared" si="8"/>
        <v>-0.0016996753843949832</v>
      </c>
      <c r="K180" s="7"/>
    </row>
    <row r="181" spans="8:8">
      <c r="B181" s="7">
        <v>45972.0</v>
      </c>
      <c r="C181" s="8">
        <v>3955.0</v>
      </c>
      <c r="D181" s="8">
        <f t="shared" si="7"/>
        <v>0.009314788822253414</v>
      </c>
      <c r="E181" s="8">
        <v>0.02224588806058449</v>
      </c>
      <c r="F181" s="9"/>
      <c r="G181" s="9">
        <v>178.0</v>
      </c>
      <c r="H181" s="10">
        <f t="shared" si="8"/>
        <v>-0.012945156769015143</v>
      </c>
      <c r="K181" s="7"/>
    </row>
    <row r="182" spans="8:8">
      <c r="B182" s="7">
        <v>45941.0</v>
      </c>
      <c r="C182" s="8">
        <v>3918.5</v>
      </c>
      <c r="D182" s="8">
        <f t="shared" si="7"/>
        <v>0.00927237604636188</v>
      </c>
      <c r="E182" s="8">
        <v>0.022245817135615506</v>
      </c>
      <c r="F182" s="9"/>
      <c r="G182" s="9">
        <v>179.0</v>
      </c>
      <c r="H182" s="10">
        <f t="shared" si="8"/>
        <v>0.006542341326505875</v>
      </c>
      <c r="K182" s="7"/>
    </row>
    <row r="183" spans="8:8">
      <c r="B183" s="7">
        <v>45849.0</v>
      </c>
      <c r="C183" s="8">
        <v>3882.5</v>
      </c>
      <c r="D183" s="8">
        <f t="shared" si="7"/>
        <v>2.3186314921684123E-4</v>
      </c>
      <c r="E183" s="8">
        <v>0.0222065993183658</v>
      </c>
      <c r="F183" s="9"/>
      <c r="G183" s="9">
        <v>180.0</v>
      </c>
      <c r="H183" s="10">
        <f t="shared" si="8"/>
        <v>0.01776320730111091</v>
      </c>
      <c r="K183" s="7"/>
    </row>
    <row r="184" spans="8:8">
      <c r="B184" s="7">
        <v>45819.0</v>
      </c>
      <c r="C184" s="8">
        <v>3881.6</v>
      </c>
      <c r="D184" s="8">
        <f t="shared" si="7"/>
        <v>-0.010906125777188917</v>
      </c>
      <c r="E184" s="8">
        <v>0.02220029600394672</v>
      </c>
      <c r="F184" s="9"/>
      <c r="G184" s="9">
        <v>181.0</v>
      </c>
      <c r="H184" s="10">
        <f t="shared" si="8"/>
        <v>0.025812203729732912</v>
      </c>
      <c r="K184" s="7"/>
    </row>
    <row r="185" spans="8:8">
      <c r="B185" s="7">
        <v>45758.0</v>
      </c>
      <c r="C185" s="8">
        <v>3924.4</v>
      </c>
      <c r="D185" s="8">
        <f t="shared" si="7"/>
        <v>-0.01409370682075114</v>
      </c>
      <c r="E185" s="8">
        <v>0.02211664482306684</v>
      </c>
      <c r="F185" s="9"/>
      <c r="G185" s="9">
        <v>182.0</v>
      </c>
      <c r="H185" s="10">
        <f t="shared" si="8"/>
        <v>0.012455998846563926</v>
      </c>
      <c r="K185" s="7"/>
    </row>
    <row r="186" spans="8:8">
      <c r="B186" s="7">
        <v>45727.0</v>
      </c>
      <c r="C186" s="8">
        <v>3980.5</v>
      </c>
      <c r="D186" s="8">
        <f t="shared" si="7"/>
        <v>-0.012503411148874963</v>
      </c>
      <c r="E186" s="8">
        <v>0.022062913293368795</v>
      </c>
      <c r="F186" s="9"/>
      <c r="G186" s="9">
        <v>183.0</v>
      </c>
      <c r="H186" s="10">
        <f t="shared" si="8"/>
        <v>0.014196727682680065</v>
      </c>
      <c r="K186" s="7"/>
    </row>
    <row r="187" spans="8:8">
      <c r="B187" s="7" t="s">
        <v>8704</v>
      </c>
      <c r="C187" s="8">
        <v>4030.9</v>
      </c>
      <c r="D187" s="8">
        <f t="shared" si="7"/>
        <v>0.010884012539184976</v>
      </c>
      <c r="E187" s="8">
        <v>0.021860680203472486</v>
      </c>
      <c r="F187" s="9"/>
      <c r="G187" s="9">
        <v>184.0</v>
      </c>
      <c r="H187" s="10">
        <f t="shared" si="8"/>
        <v>0.012164741710973863</v>
      </c>
      <c r="K187" s="7"/>
    </row>
    <row r="188" spans="8:8">
      <c r="B188" s="7" t="s">
        <v>8705</v>
      </c>
      <c r="C188" s="8">
        <v>3987.5</v>
      </c>
      <c r="D188" s="8">
        <f t="shared" si="7"/>
        <v>0.007427806270685453</v>
      </c>
      <c r="E188" s="8">
        <v>0.02184595094765051</v>
      </c>
      <c r="F188" s="9"/>
      <c r="G188" s="9">
        <v>185.0</v>
      </c>
      <c r="H188" s="10">
        <f t="shared" si="8"/>
        <v>0.0025491379060924115</v>
      </c>
      <c r="K188" s="7"/>
    </row>
    <row r="189" spans="8:8">
      <c r="B189" s="7" t="s">
        <v>8706</v>
      </c>
      <c r="C189" s="8">
        <v>3958.1</v>
      </c>
      <c r="D189" s="8">
        <f t="shared" si="7"/>
        <v>-0.003700161095449122</v>
      </c>
      <c r="E189" s="8">
        <v>0.021788680703109943</v>
      </c>
      <c r="F189" s="9"/>
      <c r="G189" s="9">
        <v>186.0</v>
      </c>
      <c r="H189" s="10">
        <f t="shared" si="8"/>
        <v>0.014510772114714438</v>
      </c>
      <c r="K189" s="7"/>
    </row>
    <row r="190" spans="8:8">
      <c r="B190" s="7" t="s">
        <v>8707</v>
      </c>
      <c r="C190" s="8">
        <v>3972.8</v>
      </c>
      <c r="D190" s="8">
        <f t="shared" si="7"/>
        <v>0.012487894388093175</v>
      </c>
      <c r="E190" s="8">
        <v>0.021727839335179976</v>
      </c>
      <c r="F190" s="9"/>
      <c r="G190" s="9">
        <v>187.0</v>
      </c>
      <c r="H190" s="10">
        <f t="shared" si="8"/>
        <v>0.008667936380501933</v>
      </c>
      <c r="K190" s="7"/>
    </row>
    <row r="191" spans="8:8">
      <c r="B191" s="7" t="s">
        <v>8708</v>
      </c>
      <c r="C191" s="8">
        <v>3923.8</v>
      </c>
      <c r="D191" s="8">
        <f t="shared" si="7"/>
        <v>0.004840072729135212</v>
      </c>
      <c r="E191" s="8">
        <v>0.021652659267338167</v>
      </c>
      <c r="F191" s="9"/>
      <c r="G191" s="9">
        <v>188.0</v>
      </c>
      <c r="H191" s="10">
        <f t="shared" si="8"/>
        <v>0.014952089932308142</v>
      </c>
      <c r="K191" s="7"/>
    </row>
    <row r="192" spans="8:8">
      <c r="B192" s="7" t="s">
        <v>8709</v>
      </c>
      <c r="C192" s="8">
        <v>3904.9</v>
      </c>
      <c r="D192" s="8">
        <f t="shared" si="7"/>
        <v>-0.0035215760328679733</v>
      </c>
      <c r="E192" s="8">
        <v>0.02159968582275167</v>
      </c>
      <c r="F192" s="9"/>
      <c r="G192" s="9">
        <v>189.0</v>
      </c>
      <c r="H192" s="10">
        <f t="shared" si="8"/>
        <v>-0.009610477165297865</v>
      </c>
      <c r="K192" s="7"/>
    </row>
    <row r="193" spans="8:8">
      <c r="B193" s="7" t="s">
        <v>8710</v>
      </c>
      <c r="C193" s="8">
        <v>3918.7</v>
      </c>
      <c r="D193" s="8">
        <f t="shared" si="7"/>
        <v>0.007844246695128851</v>
      </c>
      <c r="E193" s="8">
        <v>0.021562546152710176</v>
      </c>
      <c r="F193" s="9"/>
      <c r="G193" s="9">
        <v>190.0</v>
      </c>
      <c r="H193" s="10">
        <f t="shared" si="8"/>
        <v>4.3351956702213264E-4</v>
      </c>
      <c r="K193" s="7"/>
    </row>
    <row r="194" spans="8:8">
      <c r="B194" s="7" t="s">
        <v>8711</v>
      </c>
      <c r="C194" s="8">
        <v>3888.2</v>
      </c>
      <c r="D194" s="8">
        <f t="shared" si="7"/>
        <v>0.004002375603584063</v>
      </c>
      <c r="E194" s="8">
        <v>0.021437650049428072</v>
      </c>
      <c r="F194" s="9"/>
      <c r="G194" s="9">
        <v>191.0</v>
      </c>
      <c r="H194" s="10">
        <f t="shared" si="8"/>
        <v>0.010515945032961865</v>
      </c>
      <c r="K194" s="7"/>
    </row>
    <row r="195" spans="8:8">
      <c r="B195" s="7" t="s">
        <v>8712</v>
      </c>
      <c r="C195" s="8">
        <v>3872.7</v>
      </c>
      <c r="D195" s="8">
        <f t="shared" si="7"/>
        <v>0.008673230192217463</v>
      </c>
      <c r="E195" s="8">
        <v>0.021370319661884553</v>
      </c>
      <c r="F195" s="9"/>
      <c r="G195" s="9">
        <v>192.0</v>
      </c>
      <c r="H195" s="10">
        <f t="shared" si="8"/>
        <v>6.045292654708566E-4</v>
      </c>
      <c r="K195" s="7"/>
    </row>
    <row r="196" spans="8:8">
      <c r="B196" s="7" t="s">
        <v>8713</v>
      </c>
      <c r="C196" s="8">
        <v>3839.4</v>
      </c>
      <c r="D196" s="8">
        <f t="shared" si="9" ref="D196:D259">(C196-C197)/C197</f>
        <v>-0.005800403956704151</v>
      </c>
      <c r="E196" s="8">
        <v>0.02124929425653138</v>
      </c>
      <c r="F196" s="9"/>
      <c r="G196" s="9">
        <v>193.0</v>
      </c>
      <c r="H196" s="10">
        <f t="shared" si="8"/>
        <v>0.008123739862996339</v>
      </c>
      <c r="K196" s="7"/>
    </row>
    <row r="197" spans="8:8">
      <c r="B197" s="7" t="s">
        <v>8714</v>
      </c>
      <c r="C197" s="8">
        <v>3861.8</v>
      </c>
      <c r="D197" s="8">
        <f t="shared" si="9"/>
        <v>0.008645232063102455</v>
      </c>
      <c r="E197" s="8">
        <v>0.021190339275445606</v>
      </c>
      <c r="F197" s="9"/>
      <c r="G197" s="9">
        <v>194.0</v>
      </c>
      <c r="H197" s="10">
        <f t="shared" si="10" ref="H197:H260">_xlfn.NORM.INV(RAND(),N$6,N$7)</f>
        <v>-9.704780437650032E-4</v>
      </c>
      <c r="K197" s="7"/>
    </row>
    <row r="198" spans="8:8">
      <c r="B198" s="7" t="s">
        <v>8715</v>
      </c>
      <c r="C198" s="8">
        <v>3828.7</v>
      </c>
      <c r="D198" s="8">
        <f t="shared" si="9"/>
        <v>0.022540928878561982</v>
      </c>
      <c r="E198" s="8">
        <v>0.021067530417267777</v>
      </c>
      <c r="F198" s="9"/>
      <c r="G198" s="9">
        <v>195.0</v>
      </c>
      <c r="H198" s="10">
        <f t="shared" si="10"/>
        <v>0.009140738192129128</v>
      </c>
      <c r="K198" s="7"/>
    </row>
    <row r="199" spans="8:8">
      <c r="B199" s="7" t="s">
        <v>8716</v>
      </c>
      <c r="C199" s="8">
        <v>3744.3</v>
      </c>
      <c r="D199" s="8">
        <f t="shared" si="9"/>
        <v>-0.0066852367688021806</v>
      </c>
      <c r="E199" s="8">
        <v>0.021004004719254316</v>
      </c>
      <c r="F199" s="9"/>
      <c r="G199" s="9">
        <v>196.0</v>
      </c>
      <c r="H199" s="10">
        <f t="shared" si="10"/>
        <v>0.00790807694030397</v>
      </c>
      <c r="K199" s="7"/>
    </row>
    <row r="200" spans="8:8">
      <c r="B200" s="7" t="s">
        <v>8717</v>
      </c>
      <c r="C200" s="8">
        <v>3769.5</v>
      </c>
      <c r="D200" s="8">
        <f t="shared" si="9"/>
        <v>-0.003831923890063425</v>
      </c>
      <c r="E200" s="8">
        <v>0.020997235806931747</v>
      </c>
      <c r="F200" s="9"/>
      <c r="G200" s="9">
        <v>197.0</v>
      </c>
      <c r="H200" s="10">
        <f t="shared" si="10"/>
        <v>-0.013544290003846268</v>
      </c>
      <c r="K200" s="7"/>
    </row>
    <row r="201" spans="8:8">
      <c r="B201" s="7">
        <v>45940.0</v>
      </c>
      <c r="C201" s="8">
        <v>3784.0</v>
      </c>
      <c r="D201" s="8">
        <f t="shared" si="9"/>
        <v>0.003926562665817729</v>
      </c>
      <c r="E201" s="8">
        <v>0.02099152760726898</v>
      </c>
      <c r="F201" s="9"/>
      <c r="G201" s="9">
        <v>198.0</v>
      </c>
      <c r="H201" s="10">
        <f t="shared" si="10"/>
        <v>0.006669308727277825</v>
      </c>
      <c r="K201" s="7"/>
    </row>
    <row r="202" spans="8:8">
      <c r="B202" s="7">
        <v>45910.0</v>
      </c>
      <c r="C202" s="8">
        <v>3769.2</v>
      </c>
      <c r="D202" s="8">
        <f t="shared" si="9"/>
        <v>0.010563569092176426</v>
      </c>
      <c r="E202" s="8">
        <v>0.02098981873160375</v>
      </c>
      <c r="F202" s="9"/>
      <c r="G202" s="9">
        <v>199.0</v>
      </c>
      <c r="H202" s="10">
        <f t="shared" si="10"/>
        <v>-0.001971508195527133</v>
      </c>
      <c r="K202" s="7"/>
    </row>
    <row r="203" spans="8:8">
      <c r="B203" s="7">
        <v>45879.0</v>
      </c>
      <c r="C203" s="8">
        <v>3729.8</v>
      </c>
      <c r="D203" s="8">
        <f t="shared" si="9"/>
        <v>2.6811807920305602E-5</v>
      </c>
      <c r="E203" s="8">
        <v>0.020959715209415457</v>
      </c>
      <c r="F203" s="9"/>
      <c r="G203" s="9">
        <v>200.0</v>
      </c>
      <c r="H203" s="10">
        <f t="shared" si="10"/>
        <v>-0.0063563643306587215</v>
      </c>
      <c r="K203" s="7"/>
    </row>
    <row r="204" spans="8:8">
      <c r="B204" s="7">
        <v>45848.0</v>
      </c>
      <c r="C204" s="8">
        <v>3729.7</v>
      </c>
      <c r="D204" s="8">
        <f t="shared" si="9"/>
        <v>-0.001953438587102002</v>
      </c>
      <c r="E204" s="8">
        <v>0.020949720670391064</v>
      </c>
      <c r="F204" s="9"/>
      <c r="G204" s="9">
        <v>201.0</v>
      </c>
      <c r="H204" s="10">
        <f t="shared" si="10"/>
        <v>-0.019824834325984423</v>
      </c>
      <c r="K204" s="7"/>
    </row>
    <row r="205" spans="8:8">
      <c r="B205" s="7">
        <v>45818.0</v>
      </c>
      <c r="C205" s="8">
        <v>3737.0</v>
      </c>
      <c r="D205" s="8">
        <f t="shared" si="9"/>
        <v>0.001044708151402344</v>
      </c>
      <c r="E205" s="8">
        <v>0.020935454286708288</v>
      </c>
      <c r="F205" s="9"/>
      <c r="G205" s="9">
        <v>202.0</v>
      </c>
      <c r="H205" s="10">
        <f t="shared" si="10"/>
        <v>-0.001374669750870393</v>
      </c>
      <c r="K205" s="7"/>
    </row>
    <row r="206" spans="8:8">
      <c r="B206" s="7">
        <v>45726.0</v>
      </c>
      <c r="C206" s="8">
        <v>3733.1</v>
      </c>
      <c r="D206" s="8">
        <f t="shared" si="9"/>
        <v>0.017110317957660062</v>
      </c>
      <c r="E206" s="8">
        <v>0.020817591053347403</v>
      </c>
      <c r="F206" s="9"/>
      <c r="G206" s="9">
        <v>203.0</v>
      </c>
      <c r="H206" s="10">
        <f t="shared" si="10"/>
        <v>-0.012229858126667884</v>
      </c>
      <c r="K206" s="7"/>
    </row>
    <row r="207" spans="8:8">
      <c r="B207" s="7">
        <v>45667.0</v>
      </c>
      <c r="C207" s="8">
        <v>3670.3</v>
      </c>
      <c r="D207" s="8">
        <f t="shared" si="9"/>
        <v>0.00308827548510527</v>
      </c>
      <c r="E207" s="8">
        <v>0.020746887966804982</v>
      </c>
      <c r="F207" s="9"/>
      <c r="G207" s="9">
        <v>204.0</v>
      </c>
      <c r="H207" s="10">
        <f t="shared" si="10"/>
        <v>0.00945194477487057</v>
      </c>
      <c r="K207" s="7"/>
    </row>
    <row r="208" spans="8:8">
      <c r="B208" s="7" t="s">
        <v>8718</v>
      </c>
      <c r="C208" s="8">
        <v>3659.0</v>
      </c>
      <c r="D208" s="8">
        <f t="shared" si="9"/>
        <v>-0.007970935907168445</v>
      </c>
      <c r="E208" s="8">
        <v>0.020738018450461332</v>
      </c>
      <c r="F208" s="9"/>
      <c r="G208" s="9">
        <v>205.0</v>
      </c>
      <c r="H208" s="10">
        <f t="shared" si="10"/>
        <v>0.019374708981015613</v>
      </c>
      <c r="K208" s="7"/>
    </row>
    <row r="209" spans="8:8">
      <c r="B209" s="7" t="s">
        <v>8719</v>
      </c>
      <c r="C209" s="8">
        <v>3688.4</v>
      </c>
      <c r="D209" s="8">
        <f t="shared" si="9"/>
        <v>-0.01102024400053624</v>
      </c>
      <c r="E209" s="8">
        <v>0.0207089315207723</v>
      </c>
      <c r="F209" s="9"/>
      <c r="G209" s="9">
        <v>206.0</v>
      </c>
      <c r="H209" s="10">
        <f t="shared" si="10"/>
        <v>-5.73367007252943E-4</v>
      </c>
      <c r="K209" s="7"/>
    </row>
    <row r="210" spans="8:8">
      <c r="B210" s="7" t="s">
        <v>8720</v>
      </c>
      <c r="C210" s="8">
        <v>3729.5</v>
      </c>
      <c r="D210" s="8">
        <f t="shared" si="9"/>
        <v>0.023350894523103915</v>
      </c>
      <c r="E210" s="8">
        <v>0.020582877959927196</v>
      </c>
      <c r="F210" s="9"/>
      <c r="G210" s="9">
        <v>207.0</v>
      </c>
      <c r="H210" s="10">
        <f t="shared" si="10"/>
        <v>0.0033852322391375463</v>
      </c>
      <c r="K210" s="7"/>
    </row>
    <row r="211" spans="8:8">
      <c r="B211" s="7" t="s">
        <v>8721</v>
      </c>
      <c r="C211" s="8">
        <v>3644.4</v>
      </c>
      <c r="D211" s="8">
        <f t="shared" si="9"/>
        <v>-0.008002613098154523</v>
      </c>
      <c r="E211" s="8">
        <v>0.020411475875502058</v>
      </c>
      <c r="F211" s="9"/>
      <c r="G211" s="9">
        <v>208.0</v>
      </c>
      <c r="H211" s="10">
        <f t="shared" si="10"/>
        <v>-0.0013059468030099325</v>
      </c>
      <c r="K211" s="7"/>
    </row>
    <row r="212" spans="8:8">
      <c r="B212" s="7" t="s">
        <v>8722</v>
      </c>
      <c r="C212" s="8">
        <v>3673.8</v>
      </c>
      <c r="D212" s="8">
        <f t="shared" si="9"/>
        <v>0.004429133858267791</v>
      </c>
      <c r="E212" s="8">
        <v>0.02031988733527807</v>
      </c>
      <c r="F212" s="9"/>
      <c r="G212" s="9">
        <v>209.0</v>
      </c>
      <c r="H212" s="10">
        <f t="shared" si="10"/>
        <v>-0.0031651282253208537</v>
      </c>
      <c r="K212" s="7"/>
    </row>
    <row r="213" spans="8:8">
      <c r="B213" s="7" t="s">
        <v>8723</v>
      </c>
      <c r="C213" s="8">
        <v>3657.6</v>
      </c>
      <c r="D213" s="8">
        <f t="shared" si="9"/>
        <v>0.0035944574015639758</v>
      </c>
      <c r="E213" s="8">
        <v>0.020318675889328026</v>
      </c>
      <c r="F213" s="9"/>
      <c r="G213" s="9">
        <v>210.0</v>
      </c>
      <c r="H213" s="10">
        <f t="shared" si="10"/>
        <v>0.017261139294876417</v>
      </c>
      <c r="K213" s="7"/>
    </row>
    <row r="214" spans="8:8">
      <c r="B214" s="7" t="s">
        <v>8724</v>
      </c>
      <c r="C214" s="8">
        <v>3644.5</v>
      </c>
      <c r="D214" s="8">
        <f t="shared" si="9"/>
        <v>-0.008407248190673148</v>
      </c>
      <c r="E214" s="8">
        <v>0.02026268522676254</v>
      </c>
      <c r="F214" s="9"/>
      <c r="G214" s="9">
        <v>211.0</v>
      </c>
      <c r="H214" s="10">
        <f t="shared" si="10"/>
        <v>0.0018963229666133952</v>
      </c>
      <c r="K214" s="7"/>
    </row>
    <row r="215" spans="8:8">
      <c r="B215" s="7" t="s">
        <v>8725</v>
      </c>
      <c r="C215" s="8">
        <v>3675.4</v>
      </c>
      <c r="D215" s="8">
        <f t="shared" si="9"/>
        <v>-0.002875746066196394</v>
      </c>
      <c r="E215" s="8">
        <v>0.02020244095472154</v>
      </c>
      <c r="F215" s="9"/>
      <c r="G215" s="9">
        <v>212.0</v>
      </c>
      <c r="H215" s="10">
        <f t="shared" si="10"/>
        <v>0.03437286561175896</v>
      </c>
      <c r="K215" s="7"/>
    </row>
    <row r="216" spans="8:8">
      <c r="B216" s="7" t="s">
        <v>8726</v>
      </c>
      <c r="C216" s="8">
        <v>3686.0</v>
      </c>
      <c r="D216" s="8">
        <f t="shared" si="9"/>
        <v>1.35666802333469E-4</v>
      </c>
      <c r="E216" s="8">
        <v>0.020176374261977402</v>
      </c>
      <c r="F216" s="9"/>
      <c r="G216" s="9">
        <v>213.0</v>
      </c>
      <c r="H216" s="10">
        <f t="shared" si="10"/>
        <v>0.012119702380611462</v>
      </c>
      <c r="K216" s="7"/>
    </row>
    <row r="217" spans="8:8">
      <c r="B217" s="7" t="s">
        <v>8727</v>
      </c>
      <c r="C217" s="8">
        <v>3685.5</v>
      </c>
      <c r="D217" s="8">
        <f t="shared" si="9"/>
        <v>0.004825781122198543</v>
      </c>
      <c r="E217" s="8">
        <v>0.020152546175129026</v>
      </c>
      <c r="F217" s="9"/>
      <c r="G217" s="9">
        <v>214.0</v>
      </c>
      <c r="H217" s="10">
        <f t="shared" si="10"/>
        <v>0.01206078803973146</v>
      </c>
      <c r="K217" s="7"/>
    </row>
    <row r="218" spans="8:8">
      <c r="B218" s="7" t="s">
        <v>8728</v>
      </c>
      <c r="C218" s="8">
        <v>3667.8</v>
      </c>
      <c r="D218" s="8">
        <f t="shared" si="9"/>
        <v>0.022753889911326854</v>
      </c>
      <c r="E218" s="8">
        <v>0.02013878180416351</v>
      </c>
      <c r="F218" s="9"/>
      <c r="G218" s="9">
        <v>215.0</v>
      </c>
      <c r="H218" s="10">
        <f t="shared" si="10"/>
        <v>0.010216804310923162</v>
      </c>
      <c r="K218" s="7"/>
    </row>
    <row r="219" spans="8:8">
      <c r="B219" s="7" t="s">
        <v>8729</v>
      </c>
      <c r="C219" s="8">
        <v>3586.2</v>
      </c>
      <c r="D219" s="8">
        <f t="shared" si="9"/>
        <v>0.0017878093748253075</v>
      </c>
      <c r="E219" s="8">
        <v>0.020085698982324585</v>
      </c>
      <c r="F219" s="9"/>
      <c r="G219" s="9">
        <v>216.0</v>
      </c>
      <c r="H219" s="10">
        <f t="shared" si="10"/>
        <v>8.534974302695829E-4</v>
      </c>
      <c r="K219" s="7"/>
    </row>
    <row r="220" spans="8:8">
      <c r="B220" s="7">
        <v>46000.0</v>
      </c>
      <c r="C220" s="8">
        <v>3579.8</v>
      </c>
      <c r="D220" s="8">
        <f t="shared" si="9"/>
        <v>0.011328643670367648</v>
      </c>
      <c r="E220" s="8">
        <v>0.02005317471046821</v>
      </c>
      <c r="F220" s="9"/>
      <c r="G220" s="9">
        <v>217.0</v>
      </c>
      <c r="H220" s="10">
        <f t="shared" si="10"/>
        <v>0.018657464682959975</v>
      </c>
      <c r="K220" s="7"/>
    </row>
    <row r="221" spans="8:8">
      <c r="B221" s="7">
        <v>45970.0</v>
      </c>
      <c r="C221" s="8">
        <v>3539.7</v>
      </c>
      <c r="D221" s="8">
        <f t="shared" si="9"/>
        <v>-0.0029014084507042767</v>
      </c>
      <c r="E221" s="8">
        <v>0.019975960162555144</v>
      </c>
      <c r="F221" s="9"/>
      <c r="G221" s="9">
        <v>218.0</v>
      </c>
      <c r="H221" s="10">
        <f t="shared" si="10"/>
        <v>0.0024522405762540888</v>
      </c>
      <c r="K221" s="7"/>
    </row>
    <row r="222" spans="8:8">
      <c r="B222" s="7">
        <v>45939.0</v>
      </c>
      <c r="C222" s="8">
        <v>3550.0</v>
      </c>
      <c r="D222" s="8">
        <f t="shared" si="9"/>
        <v>0.0070921985815602835</v>
      </c>
      <c r="E222" s="8">
        <v>0.01996291474336228</v>
      </c>
      <c r="F222" s="9"/>
      <c r="G222" s="9">
        <v>219.0</v>
      </c>
      <c r="H222" s="10">
        <f t="shared" si="10"/>
        <v>0.00816264215487978</v>
      </c>
      <c r="K222" s="7"/>
    </row>
    <row r="223" spans="8:8">
      <c r="B223" s="7">
        <v>45909.0</v>
      </c>
      <c r="C223" s="8">
        <v>3525.0</v>
      </c>
      <c r="D223" s="8">
        <f t="shared" si="9"/>
        <v>-0.001303263825929258</v>
      </c>
      <c r="E223" s="8">
        <v>0.019937154621302515</v>
      </c>
      <c r="F223" s="9"/>
      <c r="G223" s="9">
        <v>220.0</v>
      </c>
      <c r="H223" s="10">
        <f t="shared" si="10"/>
        <v>0.00855966473864311</v>
      </c>
      <c r="K223" s="7"/>
    </row>
    <row r="224" spans="8:8">
      <c r="B224" s="7">
        <v>45878.0</v>
      </c>
      <c r="C224" s="8">
        <v>3529.6</v>
      </c>
      <c r="D224" s="8">
        <f t="shared" si="9"/>
        <v>-0.00675371454299865</v>
      </c>
      <c r="E224" s="8">
        <v>0.01993572022565343</v>
      </c>
      <c r="F224" s="9"/>
      <c r="G224" s="9">
        <v>221.0</v>
      </c>
      <c r="H224" s="10">
        <f t="shared" si="10"/>
        <v>0.01694028829321846</v>
      </c>
      <c r="K224" s="7"/>
    </row>
    <row r="225" spans="8:8">
      <c r="B225" s="7">
        <v>45786.0</v>
      </c>
      <c r="C225" s="8">
        <v>3553.6</v>
      </c>
      <c r="D225" s="8">
        <f t="shared" si="9"/>
        <v>-0.01085564772031398</v>
      </c>
      <c r="E225" s="8">
        <v>0.019831346321605065</v>
      </c>
      <c r="F225" s="9"/>
      <c r="G225" s="9">
        <v>222.0</v>
      </c>
      <c r="H225" s="10">
        <f t="shared" si="10"/>
        <v>0.020926781334717915</v>
      </c>
      <c r="K225" s="7"/>
    </row>
    <row r="226" spans="8:8">
      <c r="B226" s="7">
        <v>45756.0</v>
      </c>
      <c r="C226" s="8">
        <v>3592.6</v>
      </c>
      <c r="D226" s="8">
        <f t="shared" si="9"/>
        <v>-0.0022772717173962097</v>
      </c>
      <c r="E226" s="8">
        <v>0.019800245312773704</v>
      </c>
      <c r="F226" s="9"/>
      <c r="G226" s="9">
        <v>223.0</v>
      </c>
      <c r="H226" s="10">
        <f t="shared" si="10"/>
        <v>0.01521943443738764</v>
      </c>
      <c r="K226" s="7"/>
    </row>
    <row r="227" spans="8:8">
      <c r="B227" s="7">
        <v>45725.0</v>
      </c>
      <c r="C227" s="8">
        <v>3600.8</v>
      </c>
      <c r="D227" s="8">
        <f t="shared" si="9"/>
        <v>0.00724495790092033</v>
      </c>
      <c r="E227" s="8">
        <v>0.01975058177695561</v>
      </c>
      <c r="F227" s="9"/>
      <c r="G227" s="9">
        <v>224.0</v>
      </c>
      <c r="H227" s="10">
        <f t="shared" si="10"/>
        <v>0.003920171277628705</v>
      </c>
      <c r="K227" s="7"/>
    </row>
    <row r="228" spans="8:8">
      <c r="B228" s="7">
        <v>45697.0</v>
      </c>
      <c r="C228" s="8">
        <v>3574.9</v>
      </c>
      <c r="D228" s="8">
        <f t="shared" si="9"/>
        <v>-0.006530680302356603</v>
      </c>
      <c r="E228" s="8">
        <v>0.019699091853792938</v>
      </c>
      <c r="F228" s="9"/>
      <c r="G228" s="9">
        <v>225.0</v>
      </c>
      <c r="H228" s="10">
        <f t="shared" si="10"/>
        <v>0.013828260817906588</v>
      </c>
      <c r="K228" s="7"/>
    </row>
    <row r="229" spans="8:8">
      <c r="B229" s="7">
        <v>45666.0</v>
      </c>
      <c r="C229" s="8">
        <v>3598.4</v>
      </c>
      <c r="D229" s="8">
        <f t="shared" si="9"/>
        <v>-7.220216606497942E-4</v>
      </c>
      <c r="E229" s="8">
        <v>0.01969716832721564</v>
      </c>
      <c r="F229" s="9"/>
      <c r="G229" s="9">
        <v>226.0</v>
      </c>
      <c r="H229" s="10">
        <f t="shared" si="10"/>
        <v>2.9853379686142073E-4</v>
      </c>
      <c r="K229" s="7"/>
    </row>
    <row r="230" spans="8:8">
      <c r="B230" s="7" t="s">
        <v>8730</v>
      </c>
      <c r="C230" s="8">
        <v>3601.0</v>
      </c>
      <c r="D230" s="8">
        <f t="shared" si="9"/>
        <v>0.011488441335917556</v>
      </c>
      <c r="E230" s="8">
        <v>0.0196893630373393</v>
      </c>
      <c r="F230" s="9"/>
      <c r="G230" s="9">
        <v>227.0</v>
      </c>
      <c r="H230" s="10">
        <f t="shared" si="10"/>
        <v>0.0015109005226773648</v>
      </c>
      <c r="K230" s="7"/>
    </row>
    <row r="231" spans="8:8">
      <c r="B231" s="7" t="s">
        <v>8731</v>
      </c>
      <c r="C231" s="8">
        <v>3560.1</v>
      </c>
      <c r="D231" s="8">
        <f t="shared" si="9"/>
        <v>0.005308784909496435</v>
      </c>
      <c r="E231" s="8">
        <v>0.019671932691725683</v>
      </c>
      <c r="F231" s="9"/>
      <c r="G231" s="9">
        <v>228.0</v>
      </c>
      <c r="H231" s="10">
        <f t="shared" si="10"/>
        <v>0.02346587744777432</v>
      </c>
      <c r="K231" s="7"/>
    </row>
    <row r="232" spans="8:8">
      <c r="B232" s="7" t="s">
        <v>8732</v>
      </c>
      <c r="C232" s="8">
        <v>3541.3</v>
      </c>
      <c r="D232" s="8">
        <f t="shared" si="9"/>
        <v>-0.017151896977602544</v>
      </c>
      <c r="E232" s="8">
        <v>0.019605683445313438</v>
      </c>
      <c r="F232" s="9"/>
      <c r="G232" s="9">
        <v>229.0</v>
      </c>
      <c r="H232" s="10">
        <f t="shared" si="10"/>
        <v>0.0047493811168159965</v>
      </c>
      <c r="K232" s="7"/>
    </row>
    <row r="233" spans="8:8">
      <c r="B233" s="7" t="s">
        <v>8733</v>
      </c>
      <c r="C233" s="8">
        <v>3603.1</v>
      </c>
      <c r="D233" s="8">
        <f t="shared" si="9"/>
        <v>0.002030146281773104</v>
      </c>
      <c r="E233" s="8">
        <v>0.019350997320631138</v>
      </c>
      <c r="F233" s="9"/>
      <c r="G233" s="9">
        <v>230.0</v>
      </c>
      <c r="H233" s="10">
        <f t="shared" si="10"/>
        <v>-0.0044112878605356886</v>
      </c>
      <c r="K233" s="7"/>
    </row>
    <row r="234" spans="8:8">
      <c r="B234" s="7" t="s">
        <v>8734</v>
      </c>
      <c r="C234" s="8">
        <v>3595.8</v>
      </c>
      <c r="D234" s="8">
        <f t="shared" si="9"/>
        <v>-0.00465039030061444</v>
      </c>
      <c r="E234" s="8">
        <v>0.019325803035651335</v>
      </c>
      <c r="F234" s="9"/>
      <c r="G234" s="9">
        <v>231.0</v>
      </c>
      <c r="H234" s="10">
        <f t="shared" si="10"/>
        <v>0.004919759287915971</v>
      </c>
      <c r="K234" s="7"/>
    </row>
    <row r="235" spans="8:8">
      <c r="B235" s="7" t="s">
        <v>8735</v>
      </c>
      <c r="C235" s="8">
        <v>3612.6</v>
      </c>
      <c r="D235" s="8">
        <f t="shared" si="9"/>
        <v>0.005650975698020691</v>
      </c>
      <c r="E235" s="8">
        <v>0.01928292931005255</v>
      </c>
      <c r="F235" s="9"/>
      <c r="G235" s="9">
        <v>232.0</v>
      </c>
      <c r="H235" s="10">
        <f t="shared" si="10"/>
        <v>-0.010917508168333555</v>
      </c>
      <c r="K235" s="7"/>
    </row>
    <row r="236" spans="8:8">
      <c r="B236" s="7" t="s">
        <v>8736</v>
      </c>
      <c r="C236" s="8">
        <v>3592.3</v>
      </c>
      <c r="D236" s="8">
        <f t="shared" si="9"/>
        <v>-0.005729310822031502</v>
      </c>
      <c r="E236" s="8">
        <v>0.019277685480370614</v>
      </c>
      <c r="F236" s="9"/>
      <c r="G236" s="9">
        <v>233.0</v>
      </c>
      <c r="H236" s="10">
        <f t="shared" si="10"/>
        <v>0.016416168592328362</v>
      </c>
      <c r="K236" s="7"/>
    </row>
    <row r="237" spans="8:8">
      <c r="B237" s="7" t="s">
        <v>8737</v>
      </c>
      <c r="C237" s="8">
        <v>3613.0</v>
      </c>
      <c r="D237" s="8">
        <f t="shared" si="9"/>
        <v>-0.006079612665401202</v>
      </c>
      <c r="E237" s="8">
        <v>0.019216022373584694</v>
      </c>
      <c r="F237" s="9"/>
      <c r="G237" s="9">
        <v>234.0</v>
      </c>
      <c r="H237" s="10">
        <f t="shared" si="10"/>
        <v>-0.005522825150811921</v>
      </c>
      <c r="K237" s="7"/>
    </row>
    <row r="238" spans="8:8">
      <c r="B238" s="7" t="s">
        <v>8738</v>
      </c>
      <c r="C238" s="8">
        <v>3635.1</v>
      </c>
      <c r="D238" s="8">
        <f t="shared" si="9"/>
        <v>-0.011395159097090045</v>
      </c>
      <c r="E238" s="8">
        <v>0.01920612493017442</v>
      </c>
      <c r="F238" s="9"/>
      <c r="G238" s="9">
        <v>235.0</v>
      </c>
      <c r="H238" s="10">
        <f t="shared" si="10"/>
        <v>-0.0015305583771154574</v>
      </c>
      <c r="K238" s="7"/>
    </row>
    <row r="239" spans="8:8">
      <c r="B239" s="7" t="s">
        <v>8739</v>
      </c>
      <c r="C239" s="8">
        <v>3677.0</v>
      </c>
      <c r="D239" s="8">
        <f t="shared" si="9"/>
        <v>-0.004521211793052987</v>
      </c>
      <c r="E239" s="8">
        <v>0.019201690919437502</v>
      </c>
      <c r="F239" s="9"/>
      <c r="G239" s="9">
        <v>236.0</v>
      </c>
      <c r="H239" s="10">
        <f t="shared" si="10"/>
        <v>1.240425645322972E-4</v>
      </c>
      <c r="K239" s="7"/>
    </row>
    <row r="240" spans="8:8">
      <c r="B240" s="7" t="s">
        <v>8740</v>
      </c>
      <c r="C240" s="8">
        <v>3693.7</v>
      </c>
      <c r="D240" s="8">
        <f t="shared" si="9"/>
        <v>0.0020617997341363255</v>
      </c>
      <c r="E240" s="8">
        <v>0.019198433082651296</v>
      </c>
      <c r="F240" s="9"/>
      <c r="G240" s="9">
        <v>237.0</v>
      </c>
      <c r="H240" s="10">
        <f t="shared" si="10"/>
        <v>0.01618996913293855</v>
      </c>
      <c r="K240" s="7"/>
    </row>
    <row r="241" spans="8:8">
      <c r="B241" s="7">
        <v>45999.0</v>
      </c>
      <c r="C241" s="8">
        <v>3686.1</v>
      </c>
      <c r="D241" s="8">
        <f t="shared" si="9"/>
        <v>0.004824991822047709</v>
      </c>
      <c r="E241" s="8">
        <v>0.01919251023990635</v>
      </c>
      <c r="F241" s="9"/>
      <c r="G241" s="9">
        <v>238.0</v>
      </c>
      <c r="H241" s="10">
        <f t="shared" si="10"/>
        <v>-0.005147484345605565</v>
      </c>
      <c r="K241" s="7"/>
    </row>
    <row r="242" spans="8:8">
      <c r="B242" s="7">
        <v>45969.0</v>
      </c>
      <c r="C242" s="8">
        <v>3668.4</v>
      </c>
      <c r="D242" s="8">
        <f t="shared" si="9"/>
        <v>0.01685330967956541</v>
      </c>
      <c r="E242" s="8">
        <v>0.01915576967194316</v>
      </c>
      <c r="F242" s="9"/>
      <c r="G242" s="9">
        <v>239.0</v>
      </c>
      <c r="H242" s="10">
        <f t="shared" si="10"/>
        <v>0.01568160949732259</v>
      </c>
      <c r="K242" s="7"/>
    </row>
    <row r="243" spans="8:8">
      <c r="B243" s="7">
        <v>45877.0</v>
      </c>
      <c r="C243" s="8">
        <v>3607.6</v>
      </c>
      <c r="D243" s="8">
        <f t="shared" si="9"/>
        <v>-0.009336555360281195</v>
      </c>
      <c r="E243" s="8">
        <v>0.019079202377363248</v>
      </c>
      <c r="F243" s="9"/>
      <c r="G243" s="9">
        <v>240.0</v>
      </c>
      <c r="H243" s="10">
        <f t="shared" si="10"/>
        <v>0.004581551645716286</v>
      </c>
      <c r="K243" s="7"/>
    </row>
    <row r="244" spans="8:8">
      <c r="B244" s="7">
        <v>45846.0</v>
      </c>
      <c r="C244" s="8">
        <v>3641.6</v>
      </c>
      <c r="D244" s="8">
        <f t="shared" si="9"/>
        <v>0.0036379671480541885</v>
      </c>
      <c r="E244" s="8">
        <v>0.01906617493563433</v>
      </c>
      <c r="F244" s="9"/>
      <c r="G244" s="9">
        <v>241.0</v>
      </c>
      <c r="H244" s="10">
        <f t="shared" si="10"/>
        <v>0.004578330226901323</v>
      </c>
      <c r="K244" s="7"/>
    </row>
    <row r="245" spans="8:8">
      <c r="B245" s="7">
        <v>45816.0</v>
      </c>
      <c r="C245" s="8">
        <v>3628.4</v>
      </c>
      <c r="D245" s="8">
        <f t="shared" si="9"/>
        <v>-0.006625417510814165</v>
      </c>
      <c r="E245" s="8">
        <v>0.01904945836332672</v>
      </c>
      <c r="F245" s="9"/>
      <c r="G245" s="9">
        <v>242.0</v>
      </c>
      <c r="H245" s="10">
        <f t="shared" si="10"/>
        <v>0.010660819890976671</v>
      </c>
      <c r="K245" s="7"/>
    </row>
    <row r="246" spans="8:8">
      <c r="B246" s="7">
        <v>45785.0</v>
      </c>
      <c r="C246" s="8">
        <v>3652.6</v>
      </c>
      <c r="D246" s="8">
        <f t="shared" si="9"/>
        <v>0.005921070749910495</v>
      </c>
      <c r="E246" s="8">
        <v>0.019024156572914497</v>
      </c>
      <c r="F246" s="9"/>
      <c r="G246" s="9">
        <v>243.0</v>
      </c>
      <c r="H246" s="10">
        <f t="shared" si="10"/>
        <v>0.017877408842780124</v>
      </c>
      <c r="K246" s="7"/>
    </row>
    <row r="247" spans="8:8">
      <c r="B247" s="7">
        <v>45755.0</v>
      </c>
      <c r="C247" s="8">
        <v>3631.1</v>
      </c>
      <c r="D247" s="8">
        <f t="shared" si="9"/>
        <v>0.012209739915814045</v>
      </c>
      <c r="E247" s="8">
        <v>0.01899560726581978</v>
      </c>
      <c r="F247" s="9"/>
      <c r="G247" s="9">
        <v>244.0</v>
      </c>
      <c r="H247" s="10">
        <f t="shared" si="10"/>
        <v>-3.417069835457698E-4</v>
      </c>
      <c r="K247" s="7"/>
    </row>
    <row r="248" spans="8:8">
      <c r="B248" s="7">
        <v>45665.0</v>
      </c>
      <c r="C248" s="8">
        <v>3587.3</v>
      </c>
      <c r="D248" s="8">
        <f t="shared" si="9"/>
        <v>-0.013529492644025799</v>
      </c>
      <c r="E248" s="8">
        <v>0.018990423632527075</v>
      </c>
      <c r="F248" s="9"/>
      <c r="G248" s="9">
        <v>245.0</v>
      </c>
      <c r="H248" s="10">
        <f t="shared" si="10"/>
        <v>-0.0026855650792227863</v>
      </c>
      <c r="K248" s="7"/>
    </row>
    <row r="249" spans="8:8">
      <c r="B249" s="7" t="s">
        <v>8741</v>
      </c>
      <c r="C249" s="8">
        <v>3636.5</v>
      </c>
      <c r="D249" s="8">
        <f t="shared" si="9"/>
        <v>-0.007803334151864863</v>
      </c>
      <c r="E249" s="8">
        <v>0.01897101650256555</v>
      </c>
      <c r="F249" s="9"/>
      <c r="G249" s="9">
        <v>246.0</v>
      </c>
      <c r="H249" s="10">
        <f t="shared" si="10"/>
        <v>-0.031012810638018678</v>
      </c>
      <c r="K249" s="7"/>
    </row>
    <row r="250" spans="8:8">
      <c r="B250" s="7" t="s">
        <v>8742</v>
      </c>
      <c r="C250" s="8">
        <v>3665.1</v>
      </c>
      <c r="D250" s="8">
        <f t="shared" si="9"/>
        <v>0.04848952969447305</v>
      </c>
      <c r="E250" s="8">
        <v>0.01882434964486462</v>
      </c>
      <c r="F250" s="9"/>
      <c r="G250" s="9">
        <v>247.0</v>
      </c>
      <c r="H250" s="10">
        <f t="shared" si="10"/>
        <v>-0.01331028256551054</v>
      </c>
      <c r="K250" s="7"/>
    </row>
    <row r="251" spans="8:8">
      <c r="B251" s="7" t="s">
        <v>8743</v>
      </c>
      <c r="C251" s="8">
        <v>3495.6</v>
      </c>
      <c r="D251" s="8">
        <f t="shared" si="9"/>
        <v>0.02144819122202095</v>
      </c>
      <c r="E251" s="8">
        <v>0.018784754131555496</v>
      </c>
      <c r="F251" s="9"/>
      <c r="G251" s="9">
        <v>248.0</v>
      </c>
      <c r="H251" s="10">
        <f t="shared" si="10"/>
        <v>0.006956633402956375</v>
      </c>
      <c r="K251" s="7"/>
    </row>
    <row r="252" spans="8:8">
      <c r="B252" s="7" t="s">
        <v>8744</v>
      </c>
      <c r="C252" s="8">
        <v>3422.2</v>
      </c>
      <c r="D252" s="8">
        <f t="shared" si="9"/>
        <v>-0.006012373289959125</v>
      </c>
      <c r="E252" s="8">
        <v>0.018682248020296728</v>
      </c>
      <c r="F252" s="9"/>
      <c r="G252" s="9">
        <v>249.0</v>
      </c>
      <c r="H252" s="10">
        <f t="shared" si="10"/>
        <v>0.012451500515291477</v>
      </c>
      <c r="K252" s="7"/>
    </row>
    <row r="253" spans="8:8">
      <c r="B253" s="7" t="s">
        <v>8745</v>
      </c>
      <c r="C253" s="8">
        <v>3442.9</v>
      </c>
      <c r="D253" s="8">
        <f t="shared" si="9"/>
        <v>-0.009949676491732541</v>
      </c>
      <c r="E253" s="8">
        <v>0.01867016049787099</v>
      </c>
      <c r="F253" s="9"/>
      <c r="G253" s="9">
        <v>250.0</v>
      </c>
      <c r="H253" s="10">
        <f t="shared" si="10"/>
        <v>0.019346552515640214</v>
      </c>
      <c r="K253" s="7"/>
    </row>
    <row r="254" spans="8:8">
      <c r="B254" s="7" t="s">
        <v>8746</v>
      </c>
      <c r="C254" s="8">
        <v>3477.5</v>
      </c>
      <c r="D254" s="8">
        <f t="shared" si="9"/>
        <v>-0.0021234468707854144</v>
      </c>
      <c r="E254" s="8">
        <v>0.01858941983414529</v>
      </c>
      <c r="F254" s="9"/>
      <c r="G254" s="9">
        <v>251.0</v>
      </c>
      <c r="H254" s="10">
        <f t="shared" si="10"/>
        <v>-0.004666384825595578</v>
      </c>
      <c r="K254" s="7"/>
    </row>
    <row r="255" spans="8:8">
      <c r="B255" s="7" t="s">
        <v>8747</v>
      </c>
      <c r="C255" s="8">
        <v>3484.9</v>
      </c>
      <c r="D255" s="8">
        <f t="shared" si="9"/>
        <v>0.005859262252496733</v>
      </c>
      <c r="E255" s="8">
        <v>0.0185489477343109</v>
      </c>
      <c r="F255" s="9"/>
      <c r="G255" s="9">
        <v>252.0</v>
      </c>
      <c r="H255" s="10">
        <f t="shared" si="10"/>
        <v>0.011089984328813925</v>
      </c>
      <c r="K255" s="7"/>
    </row>
    <row r="256" spans="8:8">
      <c r="B256" s="7" t="s">
        <v>8748</v>
      </c>
      <c r="C256" s="8">
        <v>3464.6</v>
      </c>
      <c r="D256" s="8">
        <f t="shared" si="9"/>
        <v>-0.010905561265273573</v>
      </c>
      <c r="E256" s="8">
        <v>0.018541102544492597</v>
      </c>
      <c r="F256" s="9"/>
      <c r="G256" s="9">
        <v>253.0</v>
      </c>
      <c r="H256" s="10">
        <f t="shared" si="10"/>
        <v>0.01207470814202858</v>
      </c>
      <c r="K256" s="7"/>
    </row>
    <row r="257" spans="8:8">
      <c r="B257" s="7" t="s">
        <v>8749</v>
      </c>
      <c r="C257" s="8">
        <v>3502.8</v>
      </c>
      <c r="D257" s="8">
        <f t="shared" si="9"/>
        <v>0.010967444008312167</v>
      </c>
      <c r="E257" s="8">
        <v>0.018464954568031166</v>
      </c>
      <c r="F257" s="9"/>
      <c r="G257" s="9">
        <v>254.0</v>
      </c>
      <c r="H257" s="10">
        <f t="shared" si="10"/>
        <v>0.02752426958938039</v>
      </c>
      <c r="K257" s="7"/>
    </row>
    <row r="258" spans="8:8">
      <c r="B258" s="7" t="s">
        <v>8750</v>
      </c>
      <c r="C258" s="8">
        <v>3464.8</v>
      </c>
      <c r="D258" s="8">
        <f t="shared" si="9"/>
        <v>-0.002648244099021249</v>
      </c>
      <c r="E258" s="8">
        <v>0.018432819791849655</v>
      </c>
      <c r="F258" s="9"/>
      <c r="G258" s="9">
        <v>255.0</v>
      </c>
      <c r="H258" s="10">
        <f t="shared" si="10"/>
        <v>0.007314072795240953</v>
      </c>
      <c r="K258" s="7"/>
    </row>
    <row r="259" spans="8:8">
      <c r="B259" s="7" t="s">
        <v>8751</v>
      </c>
      <c r="C259" s="8">
        <v>3474.0</v>
      </c>
      <c r="D259" s="8">
        <f t="shared" si="9"/>
        <v>-0.00850505165819972</v>
      </c>
      <c r="E259" s="8">
        <v>0.018404703052976118</v>
      </c>
      <c r="F259" s="9"/>
      <c r="G259" s="9">
        <v>256.0</v>
      </c>
      <c r="H259" s="10">
        <f t="shared" si="10"/>
        <v>-0.0026552994598407122</v>
      </c>
      <c r="K259" s="7"/>
    </row>
    <row r="260" spans="8:8">
      <c r="B260" s="7" t="s">
        <v>8752</v>
      </c>
      <c r="C260" s="8">
        <v>3503.8</v>
      </c>
      <c r="D260" s="8">
        <f t="shared" si="11" ref="D260:D323">(C260-C261)/C261</f>
        <v>0.0028048082427018267</v>
      </c>
      <c r="E260" s="8">
        <v>0.018395442677427012</v>
      </c>
      <c r="F260" s="9"/>
      <c r="G260" s="9">
        <v>257.0</v>
      </c>
      <c r="H260" s="10">
        <f t="shared" si="10"/>
        <v>-0.018044544552267436</v>
      </c>
      <c r="K260" s="7"/>
    </row>
    <row r="261" spans="8:8">
      <c r="B261" s="7" t="s">
        <v>8753</v>
      </c>
      <c r="C261" s="8">
        <v>3494.0</v>
      </c>
      <c r="D261" s="8">
        <f t="shared" si="11"/>
        <v>-5.434938070311196E-4</v>
      </c>
      <c r="E261" s="8">
        <v>0.018334431050591973</v>
      </c>
      <c r="F261" s="9"/>
      <c r="G261" s="9">
        <v>258.0</v>
      </c>
      <c r="H261" s="10">
        <f t="shared" si="12" ref="H261:H324">_xlfn.NORM.INV(RAND(),N$6,N$7)</f>
        <v>1.1022304260560958E-4</v>
      </c>
      <c r="K261" s="7"/>
    </row>
    <row r="262" spans="8:8">
      <c r="B262" s="7" t="s">
        <v>8754</v>
      </c>
      <c r="C262" s="8">
        <v>3495.9</v>
      </c>
      <c r="D262" s="8">
        <f t="shared" si="11"/>
        <v>-0.012624978817149584</v>
      </c>
      <c r="E262" s="8">
        <v>0.018319874653489176</v>
      </c>
      <c r="F262" s="9"/>
      <c r="G262" s="9">
        <v>259.0</v>
      </c>
      <c r="H262" s="10">
        <f t="shared" si="12"/>
        <v>0.002675447268873977</v>
      </c>
      <c r="K262" s="7"/>
    </row>
    <row r="263" spans="8:8">
      <c r="B263" s="7">
        <v>45968.0</v>
      </c>
      <c r="C263" s="8">
        <v>3540.6</v>
      </c>
      <c r="D263" s="8">
        <f t="shared" si="11"/>
        <v>-0.009539262035975021</v>
      </c>
      <c r="E263" s="8">
        <v>0.01815398853806998</v>
      </c>
      <c r="F263" s="9"/>
      <c r="G263" s="9">
        <v>260.0</v>
      </c>
      <c r="H263" s="10">
        <f t="shared" si="12"/>
        <v>0.014331276369566468</v>
      </c>
      <c r="K263" s="7"/>
    </row>
    <row r="264" spans="8:8">
      <c r="B264" s="7">
        <v>45937.0</v>
      </c>
      <c r="C264" s="8">
        <v>3574.7</v>
      </c>
      <c r="D264" s="8">
        <f t="shared" si="11"/>
        <v>-0.0013967650920468197</v>
      </c>
      <c r="E264" s="8">
        <v>0.018138944313440958</v>
      </c>
      <c r="F264" s="9"/>
      <c r="G264" s="9">
        <v>261.0</v>
      </c>
      <c r="H264" s="10">
        <f t="shared" si="12"/>
        <v>-0.013493987226779872</v>
      </c>
      <c r="K264" s="7"/>
    </row>
    <row r="265" spans="8:8">
      <c r="B265" s="7">
        <v>45907.0</v>
      </c>
      <c r="C265" s="8">
        <v>3579.7</v>
      </c>
      <c r="D265" s="8">
        <f t="shared" si="11"/>
        <v>-0.00740350488021303</v>
      </c>
      <c r="E265" s="8">
        <v>0.017969610218013733</v>
      </c>
      <c r="F265" s="9"/>
      <c r="G265" s="9">
        <v>262.0</v>
      </c>
      <c r="H265" s="10">
        <f t="shared" si="12"/>
        <v>-0.025587591139235838</v>
      </c>
      <c r="K265" s="7"/>
    </row>
    <row r="266" spans="8:8">
      <c r="B266" s="7">
        <v>45876.0</v>
      </c>
      <c r="C266" s="8">
        <v>3606.4</v>
      </c>
      <c r="D266" s="8">
        <f t="shared" si="11"/>
        <v>0.006980510414921539</v>
      </c>
      <c r="E266" s="8">
        <v>0.017926795634529768</v>
      </c>
      <c r="F266" s="9"/>
      <c r="G266" s="9">
        <v>263.0</v>
      </c>
      <c r="H266" s="10">
        <f t="shared" si="12"/>
        <v>0.008769105546069047</v>
      </c>
      <c r="K266" s="7"/>
    </row>
    <row r="267" spans="8:8">
      <c r="B267" s="7">
        <v>45845.0</v>
      </c>
      <c r="C267" s="8">
        <v>3581.4</v>
      </c>
      <c r="D267" s="8">
        <f t="shared" si="11"/>
        <v>-0.0036721749290602066</v>
      </c>
      <c r="E267" s="8">
        <v>0.017921146953405017</v>
      </c>
      <c r="F267" s="9"/>
      <c r="G267" s="9">
        <v>264.0</v>
      </c>
      <c r="H267" s="10">
        <f t="shared" si="12"/>
        <v>-0.01687133541199897</v>
      </c>
      <c r="K267" s="7"/>
    </row>
    <row r="268" spans="8:8">
      <c r="B268" s="7">
        <v>45754.0</v>
      </c>
      <c r="C268" s="8">
        <v>3594.6</v>
      </c>
      <c r="D268" s="8">
        <f t="shared" si="11"/>
        <v>0.003265511178095905</v>
      </c>
      <c r="E268" s="8">
        <v>0.017908510868389786</v>
      </c>
      <c r="F268" s="9"/>
      <c r="G268" s="9">
        <v>265.0</v>
      </c>
      <c r="H268" s="10">
        <f t="shared" si="12"/>
        <v>-0.01016081538229829</v>
      </c>
      <c r="K268" s="7"/>
    </row>
    <row r="269" spans="8:8">
      <c r="B269" s="7">
        <v>45723.0</v>
      </c>
      <c r="C269" s="8">
        <v>3582.9</v>
      </c>
      <c r="D269" s="8">
        <f t="shared" si="11"/>
        <v>-0.003864546263345221</v>
      </c>
      <c r="E269" s="8">
        <v>0.017892310915566652</v>
      </c>
      <c r="F269" s="9"/>
      <c r="G269" s="9">
        <v>266.0</v>
      </c>
      <c r="H269" s="10">
        <f t="shared" si="12"/>
        <v>0.008062994665826348</v>
      </c>
      <c r="K269" s="7"/>
    </row>
    <row r="270" spans="8:8">
      <c r="B270" s="7">
        <v>45695.0</v>
      </c>
      <c r="C270" s="8">
        <v>3596.8</v>
      </c>
      <c r="D270" s="8">
        <f t="shared" si="11"/>
        <v>-0.019063463059426633</v>
      </c>
      <c r="E270" s="8">
        <v>0.017653072122793337</v>
      </c>
      <c r="F270" s="9"/>
      <c r="G270" s="9">
        <v>267.0</v>
      </c>
      <c r="H270" s="10">
        <f t="shared" si="12"/>
        <v>0.014057027040889757</v>
      </c>
      <c r="K270" s="7"/>
    </row>
    <row r="271" spans="8:8">
      <c r="B271" s="7">
        <v>45664.0</v>
      </c>
      <c r="C271" s="8">
        <v>3666.7</v>
      </c>
      <c r="D271" s="8">
        <f t="shared" si="11"/>
        <v>-8.44732682980098E-4</v>
      </c>
      <c r="E271" s="8">
        <v>0.017649645122793833</v>
      </c>
      <c r="F271" s="9"/>
      <c r="G271" s="9">
        <v>268.0</v>
      </c>
      <c r="H271" s="10">
        <f t="shared" si="12"/>
        <v>-7.468402848603587E-4</v>
      </c>
      <c r="K271" s="7"/>
    </row>
    <row r="272" spans="8:8">
      <c r="B272" s="7" t="s">
        <v>8755</v>
      </c>
      <c r="C272" s="8">
        <v>3669.8</v>
      </c>
      <c r="D272" s="8">
        <f t="shared" si="11"/>
        <v>-0.002554903239834648</v>
      </c>
      <c r="E272" s="8">
        <v>0.01756689719571619</v>
      </c>
      <c r="F272" s="9"/>
      <c r="G272" s="9">
        <v>269.0</v>
      </c>
      <c r="H272" s="10">
        <f t="shared" si="12"/>
        <v>-0.002255764309919102</v>
      </c>
      <c r="K272" s="7"/>
    </row>
    <row r="273" spans="8:8">
      <c r="B273" s="7" t="s">
        <v>8756</v>
      </c>
      <c r="C273" s="8">
        <v>3679.2</v>
      </c>
      <c r="D273" s="8">
        <f t="shared" si="11"/>
        <v>0.005355776587605178</v>
      </c>
      <c r="E273" s="8">
        <v>0.017558150058828728</v>
      </c>
      <c r="F273" s="9"/>
      <c r="G273" s="9">
        <v>270.0</v>
      </c>
      <c r="H273" s="10">
        <f t="shared" si="12"/>
        <v>0.005993025528769941</v>
      </c>
      <c r="K273" s="7"/>
    </row>
    <row r="274" spans="8:8">
      <c r="B274" s="7" t="s">
        <v>8757</v>
      </c>
      <c r="C274" s="8">
        <v>3659.6</v>
      </c>
      <c r="D274" s="8">
        <f t="shared" si="11"/>
        <v>0.010995082601248611</v>
      </c>
      <c r="E274" s="8">
        <v>0.017457208549774336</v>
      </c>
      <c r="F274" s="9"/>
      <c r="G274" s="9">
        <v>271.0</v>
      </c>
      <c r="H274" s="10">
        <f t="shared" si="12"/>
        <v>-0.001806096099488311</v>
      </c>
      <c r="K274" s="7"/>
    </row>
    <row r="275" spans="8:8">
      <c r="B275" s="7" t="s">
        <v>8758</v>
      </c>
      <c r="C275" s="8">
        <v>3619.8</v>
      </c>
      <c r="D275" s="8">
        <f t="shared" si="11"/>
        <v>0.004161118508655126</v>
      </c>
      <c r="E275" s="8">
        <v>0.017436718893394067</v>
      </c>
      <c r="F275" s="9"/>
      <c r="G275" s="9">
        <v>272.0</v>
      </c>
      <c r="H275" s="10">
        <f t="shared" si="12"/>
        <v>-0.006705855202123498</v>
      </c>
      <c r="K275" s="7"/>
    </row>
    <row r="276" spans="8:8">
      <c r="B276" s="7" t="s">
        <v>8759</v>
      </c>
      <c r="C276" s="8">
        <v>3604.8</v>
      </c>
      <c r="D276" s="8">
        <f t="shared" si="11"/>
        <v>0.005887769623573504</v>
      </c>
      <c r="E276" s="8">
        <v>0.01742260619150471</v>
      </c>
      <c r="F276" s="9"/>
      <c r="G276" s="9">
        <v>273.0</v>
      </c>
      <c r="H276" s="10">
        <f t="shared" si="12"/>
        <v>-0.0052614206988131325</v>
      </c>
      <c r="K276" s="7"/>
    </row>
    <row r="277" spans="8:8">
      <c r="B277" s="7" t="s">
        <v>8760</v>
      </c>
      <c r="C277" s="8">
        <v>3583.7</v>
      </c>
      <c r="D277" s="8">
        <f t="shared" si="11"/>
        <v>-0.021381758601856957</v>
      </c>
      <c r="E277" s="8">
        <v>0.01740250844029811</v>
      </c>
      <c r="F277" s="9"/>
      <c r="G277" s="9">
        <v>274.0</v>
      </c>
      <c r="H277" s="10">
        <f t="shared" si="12"/>
        <v>9.316998929427729E-5</v>
      </c>
      <c r="K277" s="7"/>
    </row>
    <row r="278" spans="8:8">
      <c r="B278" s="7" t="s">
        <v>8761</v>
      </c>
      <c r="C278" s="8">
        <v>3662.0</v>
      </c>
      <c r="D278" s="8">
        <f t="shared" si="11"/>
        <v>0.011294910386346715</v>
      </c>
      <c r="E278" s="8">
        <v>0.01738902481649781</v>
      </c>
      <c r="F278" s="9"/>
      <c r="G278" s="9">
        <v>275.0</v>
      </c>
      <c r="H278" s="10">
        <f t="shared" si="12"/>
        <v>-0.01023124306970661</v>
      </c>
      <c r="K278" s="7"/>
    </row>
    <row r="279" spans="8:8">
      <c r="B279" s="7" t="s">
        <v>8762</v>
      </c>
      <c r="C279" s="8">
        <v>3621.1</v>
      </c>
      <c r="D279" s="8">
        <f t="shared" si="11"/>
        <v>0.005442176870748274</v>
      </c>
      <c r="E279" s="8">
        <v>0.01736632001830703</v>
      </c>
      <c r="F279" s="9"/>
      <c r="G279" s="9">
        <v>276.0</v>
      </c>
      <c r="H279" s="10">
        <f t="shared" si="12"/>
        <v>0.004263121217471804</v>
      </c>
      <c r="K279" s="7"/>
    </row>
    <row r="280" spans="8:8">
      <c r="B280" s="7" t="s">
        <v>8763</v>
      </c>
      <c r="C280" s="8">
        <v>3601.5</v>
      </c>
      <c r="D280" s="8">
        <f t="shared" si="11"/>
        <v>-0.005742207989399051</v>
      </c>
      <c r="E280" s="8">
        <v>0.017355632691700852</v>
      </c>
      <c r="F280" s="9"/>
      <c r="G280" s="9">
        <v>277.0</v>
      </c>
      <c r="H280" s="10">
        <f t="shared" si="12"/>
        <v>-0.0024137344412068955</v>
      </c>
      <c r="K280" s="7"/>
    </row>
    <row r="281" spans="8:8">
      <c r="B281" s="7" t="s">
        <v>8764</v>
      </c>
      <c r="C281" s="8">
        <v>3622.3</v>
      </c>
      <c r="D281" s="8">
        <f t="shared" si="11"/>
        <v>-0.0017637170336483139</v>
      </c>
      <c r="E281" s="8">
        <v>0.017346004121822738</v>
      </c>
      <c r="F281" s="9"/>
      <c r="G281" s="9">
        <v>278.0</v>
      </c>
      <c r="H281" s="10">
        <f t="shared" si="12"/>
        <v>-0.004650477723694978</v>
      </c>
      <c r="K281" s="7"/>
    </row>
    <row r="282" spans="8:8">
      <c r="B282" s="7" t="s">
        <v>8765</v>
      </c>
      <c r="C282" s="8">
        <v>3628.7</v>
      </c>
      <c r="D282" s="8">
        <f t="shared" si="11"/>
        <v>0.011512516028321271</v>
      </c>
      <c r="E282" s="8">
        <v>0.01733560761652807</v>
      </c>
      <c r="F282" s="9"/>
      <c r="G282" s="9">
        <v>279.0</v>
      </c>
      <c r="H282" s="10">
        <f t="shared" si="12"/>
        <v>0.015185111942738864</v>
      </c>
      <c r="K282" s="7"/>
    </row>
    <row r="283" spans="8:8">
      <c r="B283" s="7" t="s">
        <v>8766</v>
      </c>
      <c r="C283" s="8">
        <v>3587.4</v>
      </c>
      <c r="D283" s="8">
        <f t="shared" si="11"/>
        <v>-0.004578373428785482</v>
      </c>
      <c r="E283" s="8">
        <v>0.017328977100994625</v>
      </c>
      <c r="F283" s="9"/>
      <c r="G283" s="9">
        <v>280.0</v>
      </c>
      <c r="H283" s="10">
        <f t="shared" si="12"/>
        <v>0.03014811414980054</v>
      </c>
      <c r="K283" s="7"/>
    </row>
    <row r="284" spans="8:8">
      <c r="B284" s="7">
        <v>45997.0</v>
      </c>
      <c r="C284" s="8">
        <v>3603.9</v>
      </c>
      <c r="D284" s="8">
        <f t="shared" si="11"/>
        <v>-0.02195505861919238</v>
      </c>
      <c r="E284" s="8">
        <v>0.017319811360126874</v>
      </c>
      <c r="F284" s="9"/>
      <c r="G284" s="9">
        <v>281.0</v>
      </c>
      <c r="H284" s="10">
        <f t="shared" si="12"/>
        <v>0.0012270113511159836</v>
      </c>
      <c r="K284" s="7"/>
    </row>
    <row r="285" spans="8:8">
      <c r="B285" s="7">
        <v>45967.0</v>
      </c>
      <c r="C285" s="8">
        <v>3684.8</v>
      </c>
      <c r="D285" s="8">
        <f t="shared" si="11"/>
        <v>0.0013587694983423011</v>
      </c>
      <c r="E285" s="8">
        <v>0.01730042512990091</v>
      </c>
      <c r="F285" s="9"/>
      <c r="G285" s="9">
        <v>282.0</v>
      </c>
      <c r="H285" s="10">
        <f t="shared" si="12"/>
        <v>-0.008239269300960608</v>
      </c>
      <c r="K285" s="7"/>
    </row>
    <row r="286" spans="8:8">
      <c r="B286" s="7">
        <v>45936.0</v>
      </c>
      <c r="C286" s="8">
        <v>3679.8</v>
      </c>
      <c r="D286" s="8">
        <f t="shared" si="11"/>
        <v>2.4463834298298157E-4</v>
      </c>
      <c r="E286" s="8">
        <v>0.017278419419400937</v>
      </c>
      <c r="F286" s="9"/>
      <c r="G286" s="9">
        <v>283.0</v>
      </c>
      <c r="H286" s="10">
        <f t="shared" si="12"/>
        <v>0.009339916951305347</v>
      </c>
      <c r="K286" s="7"/>
    </row>
    <row r="287" spans="8:8">
      <c r="B287" s="7">
        <v>45906.0</v>
      </c>
      <c r="C287" s="8">
        <v>3678.9</v>
      </c>
      <c r="D287" s="8">
        <f t="shared" si="11"/>
        <v>0.006181112053168478</v>
      </c>
      <c r="E287" s="8">
        <v>0.017190298445006077</v>
      </c>
      <c r="F287" s="9"/>
      <c r="G287" s="9">
        <v>284.0</v>
      </c>
      <c r="H287" s="10">
        <f t="shared" si="12"/>
        <v>0.04412169690122975</v>
      </c>
      <c r="K287" s="7"/>
    </row>
    <row r="288" spans="8:8">
      <c r="B288" s="7">
        <v>45814.0</v>
      </c>
      <c r="C288" s="8">
        <v>3656.3</v>
      </c>
      <c r="D288" s="8">
        <f t="shared" si="11"/>
        <v>0.0037610497995937717</v>
      </c>
      <c r="E288" s="8">
        <v>0.017162276975361126</v>
      </c>
      <c r="F288" s="9"/>
      <c r="G288" s="9">
        <v>285.0</v>
      </c>
      <c r="H288" s="10">
        <f t="shared" si="12"/>
        <v>0.002367858051531207</v>
      </c>
      <c r="K288" s="7"/>
    </row>
    <row r="289" spans="8:8">
      <c r="B289" s="7">
        <v>45783.0</v>
      </c>
      <c r="C289" s="8">
        <v>3642.6</v>
      </c>
      <c r="D289" s="8">
        <f t="shared" si="11"/>
        <v>0.004439542258375819</v>
      </c>
      <c r="E289" s="8">
        <v>0.017138828920121644</v>
      </c>
      <c r="F289" s="9"/>
      <c r="G289" s="9">
        <v>286.0</v>
      </c>
      <c r="H289" s="10">
        <f t="shared" si="12"/>
        <v>0.01792032962997553</v>
      </c>
      <c r="K289" s="7"/>
    </row>
    <row r="290" spans="8:8">
      <c r="B290" s="7">
        <v>45753.0</v>
      </c>
      <c r="C290" s="8">
        <v>3626.5</v>
      </c>
      <c r="D290" s="8">
        <f t="shared" si="11"/>
        <v>-0.005020851624231832</v>
      </c>
      <c r="E290" s="8">
        <v>0.017136622712138495</v>
      </c>
      <c r="F290" s="9"/>
      <c r="G290" s="9">
        <v>287.0</v>
      </c>
      <c r="H290" s="10">
        <f t="shared" si="12"/>
        <v>0.013562536984802503</v>
      </c>
      <c r="K290" s="7"/>
    </row>
    <row r="291" spans="8:8">
      <c r="B291" s="7">
        <v>45722.0</v>
      </c>
      <c r="C291" s="8">
        <v>3644.8</v>
      </c>
      <c r="D291" s="8">
        <f t="shared" si="11"/>
        <v>-0.009457549733666628</v>
      </c>
      <c r="E291" s="8">
        <v>0.01711762613263025</v>
      </c>
      <c r="F291" s="9"/>
      <c r="G291" s="9">
        <v>288.0</v>
      </c>
      <c r="H291" s="10">
        <f t="shared" si="12"/>
        <v>0.01127793976216618</v>
      </c>
      <c r="K291" s="7"/>
    </row>
    <row r="292" spans="8:8">
      <c r="B292" s="7">
        <v>45694.0</v>
      </c>
      <c r="C292" s="8">
        <v>3679.6</v>
      </c>
      <c r="D292" s="8">
        <f t="shared" si="11"/>
        <v>0.0012244564773747654</v>
      </c>
      <c r="E292" s="8">
        <v>0.01707802082114864</v>
      </c>
      <c r="F292" s="9"/>
      <c r="G292" s="9">
        <v>289.0</v>
      </c>
      <c r="H292" s="10">
        <f t="shared" si="12"/>
        <v>0.014429029380966987</v>
      </c>
      <c r="K292" s="7"/>
    </row>
    <row r="293" spans="8:8">
      <c r="B293" s="7" t="s">
        <v>8767</v>
      </c>
      <c r="C293" s="8">
        <v>3675.1</v>
      </c>
      <c r="D293" s="8">
        <f t="shared" si="11"/>
        <v>0.005416792055371577</v>
      </c>
      <c r="E293" s="8">
        <v>0.017056751690052885</v>
      </c>
      <c r="F293" s="9"/>
      <c r="G293" s="9">
        <v>290.0</v>
      </c>
      <c r="H293" s="10">
        <f t="shared" si="12"/>
        <v>0.017913654145274373</v>
      </c>
      <c r="K293" s="7"/>
    </row>
    <row r="294" spans="8:8">
      <c r="B294" s="7" t="s">
        <v>8768</v>
      </c>
      <c r="C294" s="8">
        <v>3655.3</v>
      </c>
      <c r="D294" s="8">
        <f t="shared" si="11"/>
        <v>0.0024682554918684695</v>
      </c>
      <c r="E294" s="8">
        <v>0.017004048582996003</v>
      </c>
      <c r="F294" s="9"/>
      <c r="G294" s="9">
        <v>291.0</v>
      </c>
      <c r="H294" s="10">
        <f t="shared" si="12"/>
        <v>0.002949213452618958</v>
      </c>
      <c r="K294" s="7"/>
    </row>
    <row r="295" spans="8:8">
      <c r="B295" s="7" t="s">
        <v>8769</v>
      </c>
      <c r="C295" s="8">
        <v>3646.3</v>
      </c>
      <c r="D295" s="8">
        <f t="shared" si="11"/>
        <v>0.0017307692307692807</v>
      </c>
      <c r="E295" s="8">
        <v>0.016952170661348305</v>
      </c>
      <c r="F295" s="9"/>
      <c r="G295" s="9">
        <v>292.0</v>
      </c>
      <c r="H295" s="10">
        <f t="shared" si="12"/>
        <v>0.003028576606668362</v>
      </c>
      <c r="K295" s="7"/>
    </row>
    <row r="296" spans="8:8">
      <c r="B296" s="7" t="s">
        <v>8770</v>
      </c>
      <c r="C296" s="8">
        <v>3640.0</v>
      </c>
      <c r="D296" s="8">
        <f t="shared" si="11"/>
        <v>-0.0023844108860689613</v>
      </c>
      <c r="E296" s="8">
        <v>0.016934078053292508</v>
      </c>
      <c r="F296" s="9"/>
      <c r="G296" s="9">
        <v>293.0</v>
      </c>
      <c r="H296" s="10">
        <f t="shared" si="12"/>
        <v>-0.012563615071317046</v>
      </c>
      <c r="K296" s="7"/>
    </row>
    <row r="297" spans="8:8">
      <c r="B297" s="7" t="s">
        <v>8771</v>
      </c>
      <c r="C297" s="8">
        <v>3648.7</v>
      </c>
      <c r="D297" s="8">
        <f t="shared" si="11"/>
        <v>0.01355593210922518</v>
      </c>
      <c r="E297" s="8">
        <v>0.01689425770308119</v>
      </c>
      <c r="F297" s="9"/>
      <c r="G297" s="9">
        <v>294.0</v>
      </c>
      <c r="H297" s="10">
        <f t="shared" si="12"/>
        <v>0.024257942008897162</v>
      </c>
      <c r="K297" s="7"/>
    </row>
    <row r="298" spans="8:8">
      <c r="B298" s="7" t="s">
        <v>8772</v>
      </c>
      <c r="C298" s="8">
        <v>3599.9</v>
      </c>
      <c r="D298" s="8">
        <f t="shared" si="11"/>
        <v>0.013656586135045334</v>
      </c>
      <c r="E298" s="8">
        <v>0.01689078386356185</v>
      </c>
      <c r="F298" s="9"/>
      <c r="G298" s="9">
        <v>295.0</v>
      </c>
      <c r="H298" s="10">
        <f t="shared" si="12"/>
        <v>-0.011320132318810926</v>
      </c>
      <c r="K298" s="7"/>
    </row>
    <row r="299" spans="8:8">
      <c r="B299" s="7" t="s">
        <v>8773</v>
      </c>
      <c r="C299" s="8">
        <v>3551.4</v>
      </c>
      <c r="D299" s="8">
        <f t="shared" si="11"/>
        <v>-0.010476455837280555</v>
      </c>
      <c r="E299" s="8">
        <v>0.016878079463256132</v>
      </c>
      <c r="F299" s="9"/>
      <c r="G299" s="9">
        <v>296.0</v>
      </c>
      <c r="H299" s="10">
        <f t="shared" si="12"/>
        <v>0.012649778380144791</v>
      </c>
      <c r="K299" s="7"/>
    </row>
    <row r="300" spans="8:8">
      <c r="B300" s="7" t="s">
        <v>8774</v>
      </c>
      <c r="C300" s="8">
        <v>3589.0</v>
      </c>
      <c r="D300" s="8">
        <f t="shared" si="11"/>
        <v>0.005942037109703408</v>
      </c>
      <c r="E300" s="8">
        <v>0.016818120168181325</v>
      </c>
      <c r="F300" s="9"/>
      <c r="G300" s="9">
        <v>297.0</v>
      </c>
      <c r="H300" s="10">
        <f t="shared" si="12"/>
        <v>-0.007745304750885552</v>
      </c>
      <c r="K300" s="7"/>
    </row>
    <row r="301" spans="8:8">
      <c r="B301" s="7" t="s">
        <v>8775</v>
      </c>
      <c r="C301" s="8">
        <v>3567.8</v>
      </c>
      <c r="D301" s="8">
        <f t="shared" si="11"/>
        <v>-0.008999500027776134</v>
      </c>
      <c r="E301" s="8">
        <v>0.016691344730111694</v>
      </c>
      <c r="F301" s="9"/>
      <c r="G301" s="9">
        <v>298.0</v>
      </c>
      <c r="H301" s="10">
        <f t="shared" si="12"/>
        <v>-0.010764077306603566</v>
      </c>
      <c r="K301" s="7"/>
    </row>
    <row r="302" spans="8:8">
      <c r="B302" s="7" t="s">
        <v>8776</v>
      </c>
      <c r="C302" s="8">
        <v>3600.2</v>
      </c>
      <c r="D302" s="8">
        <f t="shared" si="11"/>
        <v>-0.0012483701833717093</v>
      </c>
      <c r="E302" s="8">
        <v>0.01666173715863166</v>
      </c>
      <c r="F302" s="9"/>
      <c r="G302" s="9">
        <v>299.0</v>
      </c>
      <c r="H302" s="10">
        <f t="shared" si="12"/>
        <v>-0.0027475376861142093</v>
      </c>
      <c r="K302" s="7"/>
    </row>
    <row r="303" spans="8:8">
      <c r="B303" s="7" t="s">
        <v>8777</v>
      </c>
      <c r="C303" s="8">
        <v>3604.7</v>
      </c>
      <c r="D303" s="8">
        <f t="shared" si="11"/>
        <v>-0.003731137029462164</v>
      </c>
      <c r="E303" s="8">
        <v>0.0165597948060276</v>
      </c>
      <c r="F303" s="9"/>
      <c r="G303" s="9">
        <v>300.0</v>
      </c>
      <c r="H303" s="10">
        <f t="shared" si="12"/>
        <v>-0.0014459086274196103</v>
      </c>
      <c r="K303" s="7"/>
    </row>
    <row r="304" spans="8:8">
      <c r="B304" s="7" t="s">
        <v>8778</v>
      </c>
      <c r="C304" s="8">
        <v>3618.2</v>
      </c>
      <c r="D304" s="8">
        <f t="shared" si="11"/>
        <v>0.012622092860541242</v>
      </c>
      <c r="E304" s="8">
        <v>0.0165337482979965</v>
      </c>
      <c r="F304" s="9"/>
      <c r="G304" s="9">
        <v>301.0</v>
      </c>
      <c r="H304" s="10">
        <f t="shared" si="12"/>
        <v>0.019563239374958987</v>
      </c>
      <c r="K304" s="7"/>
    </row>
    <row r="305" spans="8:8">
      <c r="B305" s="7" t="s">
        <v>8779</v>
      </c>
      <c r="C305" s="8">
        <v>3573.1</v>
      </c>
      <c r="D305" s="8">
        <f t="shared" si="11"/>
        <v>0.0017101205494813314</v>
      </c>
      <c r="E305" s="8">
        <v>0.016531467456076275</v>
      </c>
      <c r="F305" s="9"/>
      <c r="G305" s="9">
        <v>302.0</v>
      </c>
      <c r="H305" s="10">
        <f t="shared" si="12"/>
        <v>0.005451221896910152</v>
      </c>
      <c r="K305" s="7"/>
    </row>
    <row r="306" spans="8:8">
      <c r="B306" s="7" t="s">
        <v>8780</v>
      </c>
      <c r="C306" s="8">
        <v>3567.0</v>
      </c>
      <c r="D306" s="8">
        <f t="shared" si="11"/>
        <v>-0.005631132917038308</v>
      </c>
      <c r="E306" s="8">
        <v>0.01648383539381268</v>
      </c>
      <c r="F306" s="9"/>
      <c r="G306" s="9">
        <v>303.0</v>
      </c>
      <c r="H306" s="10">
        <f t="shared" si="12"/>
        <v>0.02741438558269046</v>
      </c>
      <c r="K306" s="7"/>
    </row>
    <row r="307" spans="8:8">
      <c r="B307" s="7">
        <v>45996.0</v>
      </c>
      <c r="C307" s="8">
        <v>3587.2</v>
      </c>
      <c r="D307" s="8">
        <f t="shared" si="11"/>
        <v>0.04160980283980363</v>
      </c>
      <c r="E307" s="8">
        <v>0.016482174833143418</v>
      </c>
      <c r="F307" s="9"/>
      <c r="G307" s="9">
        <v>304.0</v>
      </c>
      <c r="H307" s="10">
        <f t="shared" si="12"/>
        <v>-0.004045035328593186</v>
      </c>
      <c r="K307" s="7"/>
    </row>
    <row r="308" spans="8:8">
      <c r="B308" s="7">
        <v>45905.0</v>
      </c>
      <c r="C308" s="8">
        <v>3443.9</v>
      </c>
      <c r="D308" s="8">
        <f t="shared" si="11"/>
        <v>0.03610216913866241</v>
      </c>
      <c r="E308" s="8">
        <v>0.016445003594536264</v>
      </c>
      <c r="F308" s="9"/>
      <c r="G308" s="9">
        <v>305.0</v>
      </c>
      <c r="H308" s="10">
        <f t="shared" si="12"/>
        <v>0.009335078831079889</v>
      </c>
      <c r="K308" s="7"/>
    </row>
    <row r="309" spans="8:8">
      <c r="B309" s="7">
        <v>45874.0</v>
      </c>
      <c r="C309" s="8">
        <v>3323.9</v>
      </c>
      <c r="D309" s="8">
        <f t="shared" si="11"/>
        <v>7.526946468356717E-4</v>
      </c>
      <c r="E309" s="8">
        <v>0.016418155005734854</v>
      </c>
      <c r="F309" s="9"/>
      <c r="G309" s="9">
        <v>306.0</v>
      </c>
      <c r="H309" s="10">
        <f t="shared" si="12"/>
        <v>0.0017892074988494796</v>
      </c>
      <c r="K309" s="7"/>
    </row>
    <row r="310" spans="8:8">
      <c r="B310" s="7">
        <v>45843.0</v>
      </c>
      <c r="C310" s="8">
        <v>3321.4</v>
      </c>
      <c r="D310" s="8">
        <f t="shared" si="11"/>
        <v>-0.003779244151169739</v>
      </c>
      <c r="E310" s="8">
        <v>0.016404170847694216</v>
      </c>
      <c r="F310" s="9"/>
      <c r="G310" s="9">
        <v>307.0</v>
      </c>
      <c r="H310" s="10">
        <f t="shared" si="12"/>
        <v>-0.0020319820115640274</v>
      </c>
      <c r="K310" s="7"/>
    </row>
    <row r="311" spans="8:8">
      <c r="B311" s="7">
        <v>45813.0</v>
      </c>
      <c r="C311" s="8">
        <v>3334.0</v>
      </c>
      <c r="D311" s="8">
        <f t="shared" si="11"/>
        <v>0.0011410726082518113</v>
      </c>
      <c r="E311" s="8">
        <v>0.016381606392195786</v>
      </c>
      <c r="F311" s="9"/>
      <c r="G311" s="9">
        <v>308.0</v>
      </c>
      <c r="H311" s="10">
        <f t="shared" si="12"/>
        <v>0.011317477310161597</v>
      </c>
      <c r="K311" s="7"/>
    </row>
    <row r="312" spans="8:8">
      <c r="B312" s="7">
        <v>45782.0</v>
      </c>
      <c r="C312" s="8">
        <v>3330.2</v>
      </c>
      <c r="D312" s="8">
        <f t="shared" si="11"/>
        <v>1.2012733497496432E-4</v>
      </c>
      <c r="E312" s="8">
        <v>0.01636913587568954</v>
      </c>
      <c r="F312" s="9"/>
      <c r="G312" s="9">
        <v>309.0</v>
      </c>
      <c r="H312" s="10">
        <f t="shared" si="12"/>
        <v>0.0040952859634940855</v>
      </c>
      <c r="K312" s="7"/>
    </row>
    <row r="313" spans="8:8">
      <c r="B313" s="7">
        <v>45693.0</v>
      </c>
      <c r="C313" s="8">
        <v>3329.8</v>
      </c>
      <c r="D313" s="8">
        <f t="shared" si="11"/>
        <v>-0.0033522897336126364</v>
      </c>
      <c r="E313" s="8">
        <v>0.0163096907282955</v>
      </c>
      <c r="F313" s="9"/>
      <c r="G313" s="9">
        <v>310.0</v>
      </c>
      <c r="H313" s="10">
        <f t="shared" si="12"/>
        <v>-0.011907200695413504</v>
      </c>
      <c r="K313" s="7"/>
    </row>
    <row r="314" spans="8:8">
      <c r="B314" s="7" t="s">
        <v>8781</v>
      </c>
      <c r="C314" s="8">
        <v>3341.0</v>
      </c>
      <c r="D314" s="8">
        <f t="shared" si="11"/>
        <v>0.0056286307678415</v>
      </c>
      <c r="E314" s="8">
        <v>0.016209521728044293</v>
      </c>
      <c r="F314" s="9"/>
      <c r="G314" s="9">
        <v>311.0</v>
      </c>
      <c r="H314" s="10">
        <f t="shared" si="12"/>
        <v>0.007899152097864808</v>
      </c>
      <c r="K314" s="7"/>
    </row>
    <row r="315" spans="8:8">
      <c r="B315" s="7" t="s">
        <v>8782</v>
      </c>
      <c r="C315" s="8">
        <v>3322.3</v>
      </c>
      <c r="D315" s="8">
        <f t="shared" si="11"/>
        <v>-0.0015027199230607398</v>
      </c>
      <c r="E315" s="8">
        <v>0.016161377845936027</v>
      </c>
      <c r="F315" s="9"/>
      <c r="G315" s="9">
        <v>312.0</v>
      </c>
      <c r="H315" s="10">
        <f t="shared" si="12"/>
        <v>-0.007027304521397025</v>
      </c>
      <c r="K315" s="7"/>
    </row>
    <row r="316" spans="8:8">
      <c r="B316" s="7" t="s">
        <v>8783</v>
      </c>
      <c r="C316" s="8">
        <v>3327.3</v>
      </c>
      <c r="D316" s="8">
        <f t="shared" si="11"/>
        <v>0.01686990006417905</v>
      </c>
      <c r="E316" s="8">
        <v>0.01615042971679068</v>
      </c>
      <c r="F316" s="9"/>
      <c r="G316" s="9">
        <v>313.0</v>
      </c>
      <c r="H316" s="10">
        <f t="shared" si="12"/>
        <v>0.002111385752638832</v>
      </c>
      <c r="K316" s="7"/>
    </row>
    <row r="317" spans="8:8">
      <c r="B317" s="7" t="s">
        <v>8784</v>
      </c>
      <c r="C317" s="8">
        <v>3272.1</v>
      </c>
      <c r="D317" s="8">
        <f t="shared" si="11"/>
        <v>-0.008634793673877476</v>
      </c>
      <c r="E317" s="8">
        <v>0.016028694726223244</v>
      </c>
      <c r="F317" s="9"/>
      <c r="G317" s="9">
        <v>314.0</v>
      </c>
      <c r="H317" s="10">
        <f t="shared" si="12"/>
        <v>-0.014842329507866507</v>
      </c>
      <c r="K317" s="7"/>
    </row>
    <row r="318" spans="8:8">
      <c r="B318" s="7" t="s">
        <v>8785</v>
      </c>
      <c r="C318" s="8">
        <v>3300.6</v>
      </c>
      <c r="D318" s="8">
        <f t="shared" si="11"/>
        <v>-1.2117540139354467E-4</v>
      </c>
      <c r="E318" s="8">
        <v>0.015997662442017505</v>
      </c>
      <c r="F318" s="9"/>
      <c r="G318" s="9">
        <v>315.0</v>
      </c>
      <c r="H318" s="10">
        <f t="shared" si="12"/>
        <v>0.005514965967005382</v>
      </c>
      <c r="K318" s="7"/>
    </row>
    <row r="319" spans="8:8">
      <c r="B319" s="7" t="s">
        <v>8786</v>
      </c>
      <c r="C319" s="8">
        <v>3301.0</v>
      </c>
      <c r="D319" s="8">
        <f t="shared" si="11"/>
        <v>0.013260482534225494</v>
      </c>
      <c r="E319" s="8">
        <v>0.01598373027852371</v>
      </c>
      <c r="F319" s="9"/>
      <c r="G319" s="9">
        <v>316.0</v>
      </c>
      <c r="H319" s="10">
        <f t="shared" si="12"/>
        <v>0.0012975531465719988</v>
      </c>
      <c r="K319" s="7"/>
    </row>
    <row r="320" spans="8:8">
      <c r="B320" s="7" t="s">
        <v>8787</v>
      </c>
      <c r="C320" s="8">
        <v>3257.8</v>
      </c>
      <c r="D320" s="8">
        <f t="shared" si="11"/>
        <v>-0.00691967687852456</v>
      </c>
      <c r="E320" s="8">
        <v>0.015971353870637663</v>
      </c>
      <c r="F320" s="9"/>
      <c r="G320" s="9">
        <v>317.0</v>
      </c>
      <c r="H320" s="10">
        <f t="shared" si="12"/>
        <v>3.226416670786933E-4</v>
      </c>
      <c r="K320" s="7"/>
    </row>
    <row r="321" spans="8:8">
      <c r="B321" s="7" t="s">
        <v>8788</v>
      </c>
      <c r="C321" s="8">
        <v>3280.5</v>
      </c>
      <c r="D321" s="8">
        <f t="shared" si="11"/>
        <v>0.01022387829889441</v>
      </c>
      <c r="E321" s="8">
        <v>0.01595817054444387</v>
      </c>
      <c r="F321" s="9"/>
      <c r="G321" s="9">
        <v>318.0</v>
      </c>
      <c r="H321" s="10">
        <f t="shared" si="12"/>
        <v>0.009170152771136697</v>
      </c>
      <c r="K321" s="7"/>
    </row>
    <row r="322" spans="8:8">
      <c r="B322" s="7" t="s">
        <v>8789</v>
      </c>
      <c r="C322" s="8">
        <v>3247.3</v>
      </c>
      <c r="D322" s="8">
        <f t="shared" si="11"/>
        <v>0.006072435480373134</v>
      </c>
      <c r="E322" s="8">
        <v>0.01589610389610385</v>
      </c>
      <c r="F322" s="9"/>
      <c r="G322" s="9">
        <v>319.0</v>
      </c>
      <c r="H322" s="10">
        <f t="shared" si="12"/>
        <v>-0.016135092503561543</v>
      </c>
      <c r="K322" s="7"/>
    </row>
    <row r="323" spans="8:8">
      <c r="B323" s="7" t="s">
        <v>8790</v>
      </c>
      <c r="C323" s="8">
        <v>3227.7</v>
      </c>
      <c r="D323" s="8">
        <f t="shared" si="11"/>
        <v>-0.00917853634577606</v>
      </c>
      <c r="E323" s="8">
        <v>0.01588163998829774</v>
      </c>
      <c r="F323" s="9"/>
      <c r="G323" s="9">
        <v>320.0</v>
      </c>
      <c r="H323" s="10">
        <f t="shared" si="12"/>
        <v>0.009784992052529088</v>
      </c>
      <c r="K323" s="7"/>
    </row>
    <row r="324" spans="8:8">
      <c r="B324" s="7" t="s">
        <v>8791</v>
      </c>
      <c r="C324" s="8">
        <v>3257.6</v>
      </c>
      <c r="D324" s="8">
        <f t="shared" si="13" ref="D324:D387">(C324-C325)/C325</f>
        <v>0.04545965114972965</v>
      </c>
      <c r="E324" s="8">
        <v>0.01586644999261333</v>
      </c>
      <c r="F324" s="9"/>
      <c r="G324" s="9">
        <v>321.0</v>
      </c>
      <c r="H324" s="10">
        <f t="shared" si="12"/>
        <v>-0.005336031228694973</v>
      </c>
      <c r="K324" s="7"/>
    </row>
    <row r="325" spans="8:8">
      <c r="B325" s="7">
        <v>45965.0</v>
      </c>
      <c r="C325" s="8">
        <v>3115.95</v>
      </c>
      <c r="D325" s="8">
        <f t="shared" si="13"/>
        <v>0.020234762536221116</v>
      </c>
      <c r="E325" s="8">
        <v>0.01582114533933759</v>
      </c>
      <c r="F325" s="9"/>
      <c r="G325" s="9">
        <v>322.0</v>
      </c>
      <c r="H325" s="10">
        <f t="shared" si="14" ref="H325:H388">_xlfn.NORM.INV(RAND(),N$6,N$7)</f>
        <v>0.012884400194116574</v>
      </c>
      <c r="K325" s="7"/>
    </row>
    <row r="326" spans="8:8">
      <c r="B326" s="7">
        <v>45904.0</v>
      </c>
      <c r="C326" s="8">
        <v>3054.15</v>
      </c>
      <c r="D326" s="8">
        <f t="shared" si="13"/>
        <v>-0.03383315934326653</v>
      </c>
      <c r="E326" s="8">
        <v>0.015803882528621166</v>
      </c>
      <c r="F326" s="9"/>
      <c r="G326" s="9">
        <v>323.0</v>
      </c>
      <c r="H326" s="10">
        <f t="shared" si="14"/>
        <v>0.019049838498161425</v>
      </c>
      <c r="K326" s="7"/>
    </row>
    <row r="327" spans="8:8">
      <c r="B327" s="7">
        <v>45873.0</v>
      </c>
      <c r="C327" s="8">
        <v>3161.1</v>
      </c>
      <c r="D327" s="8">
        <f t="shared" si="13"/>
        <v>0.030177611210689233</v>
      </c>
      <c r="E327" s="8">
        <v>0.015744251908030395</v>
      </c>
      <c r="F327" s="9"/>
      <c r="G327" s="9">
        <v>324.0</v>
      </c>
      <c r="H327" s="10">
        <f t="shared" si="14"/>
        <v>0.01843143375844945</v>
      </c>
      <c r="K327" s="7"/>
    </row>
    <row r="328" spans="8:8">
      <c r="B328" s="7">
        <v>45842.0</v>
      </c>
      <c r="C328" s="8">
        <v>3068.5</v>
      </c>
      <c r="D328" s="8">
        <f t="shared" si="13"/>
        <v>-0.05878563869760597</v>
      </c>
      <c r="E328" s="8">
        <v>0.015716036737915</v>
      </c>
      <c r="F328" s="9"/>
      <c r="G328" s="9">
        <v>325.0</v>
      </c>
      <c r="H328" s="10">
        <f t="shared" si="14"/>
        <v>0.009874388690357873</v>
      </c>
      <c r="K328" s="7"/>
    </row>
    <row r="329" spans="8:8">
      <c r="B329" s="7">
        <v>45751.0</v>
      </c>
      <c r="C329" s="8">
        <v>3260.15</v>
      </c>
      <c r="D329" s="8">
        <f t="shared" si="13"/>
        <v>-0.04678157390757715</v>
      </c>
      <c r="E329" s="8">
        <v>0.01570633476827766</v>
      </c>
      <c r="F329" s="9"/>
      <c r="G329" s="9">
        <v>326.0</v>
      </c>
      <c r="H329" s="10">
        <f t="shared" si="14"/>
        <v>-0.006247367227881137</v>
      </c>
      <c r="K329" s="7"/>
    </row>
    <row r="330" spans="8:8">
      <c r="B330" s="7">
        <v>45720.0</v>
      </c>
      <c r="C330" s="8">
        <v>3420.15</v>
      </c>
      <c r="D330" s="8">
        <f t="shared" si="13"/>
        <v>7.310155267697885E-5</v>
      </c>
      <c r="E330" s="8">
        <v>0.01568717477808387</v>
      </c>
      <c r="F330" s="9"/>
      <c r="G330" s="9">
        <v>327.0</v>
      </c>
      <c r="H330" s="10">
        <f t="shared" si="14"/>
        <v>-0.014312353325803297</v>
      </c>
      <c r="K330" s="7"/>
    </row>
    <row r="331" spans="8:8">
      <c r="B331" s="7">
        <v>45692.0</v>
      </c>
      <c r="C331" s="8">
        <v>3419.9</v>
      </c>
      <c r="D331" s="8">
        <f t="shared" si="13"/>
        <v>-0.004917364990689039</v>
      </c>
      <c r="E331" s="8">
        <v>0.015629738493479834</v>
      </c>
      <c r="F331" s="9"/>
      <c r="G331" s="9">
        <v>328.0</v>
      </c>
      <c r="H331" s="10">
        <f t="shared" si="14"/>
        <v>-0.0059689143443161395</v>
      </c>
      <c r="K331" s="7"/>
    </row>
    <row r="332" spans="8:8">
      <c r="B332" s="7">
        <v>45661.0</v>
      </c>
      <c r="C332" s="8">
        <v>3436.8</v>
      </c>
      <c r="D332" s="8">
        <f t="shared" si="13"/>
        <v>-0.015892105489219138</v>
      </c>
      <c r="E332" s="8">
        <v>0.015626113605587758</v>
      </c>
      <c r="F332" s="9"/>
      <c r="G332" s="9">
        <v>329.0</v>
      </c>
      <c r="H332" s="10">
        <f t="shared" si="14"/>
        <v>0.001995054030769</v>
      </c>
      <c r="K332" s="7"/>
    </row>
    <row r="333" spans="8:8">
      <c r="B333" s="7" t="s">
        <v>8792</v>
      </c>
      <c r="C333" s="8">
        <v>3492.3</v>
      </c>
      <c r="D333" s="8">
        <f t="shared" si="13"/>
        <v>-0.002655928718300128</v>
      </c>
      <c r="E333" s="8">
        <v>0.015603280511537424</v>
      </c>
      <c r="F333" s="9"/>
      <c r="G333" s="9">
        <v>330.0</v>
      </c>
      <c r="H333" s="10">
        <f t="shared" si="14"/>
        <v>-0.007733730433558786</v>
      </c>
      <c r="K333" s="7"/>
    </row>
    <row r="334" spans="8:8">
      <c r="B334" s="7" t="s">
        <v>8793</v>
      </c>
      <c r="C334" s="8">
        <v>3501.6</v>
      </c>
      <c r="D334" s="8">
        <f t="shared" si="13"/>
        <v>0.01648862052949365</v>
      </c>
      <c r="E334" s="8">
        <v>0.015594309862508211</v>
      </c>
      <c r="F334" s="9"/>
      <c r="G334" s="9">
        <v>331.0</v>
      </c>
      <c r="H334" s="10">
        <f t="shared" si="14"/>
        <v>0.01745705658200906</v>
      </c>
      <c r="K334" s="7"/>
    </row>
    <row r="335" spans="8:8">
      <c r="B335" s="7" t="s">
        <v>8794</v>
      </c>
      <c r="C335" s="8">
        <v>3444.8</v>
      </c>
      <c r="D335" s="8">
        <f t="shared" si="13"/>
        <v>-0.007147798017062407</v>
      </c>
      <c r="E335" s="8">
        <v>0.015585677838138082</v>
      </c>
      <c r="F335" s="9"/>
      <c r="G335" s="9">
        <v>332.0</v>
      </c>
      <c r="H335" s="10">
        <f t="shared" si="14"/>
        <v>-0.0024039094643802245</v>
      </c>
      <c r="K335" s="7"/>
    </row>
    <row r="336" spans="8:8">
      <c r="B336" s="7" t="s">
        <v>8795</v>
      </c>
      <c r="C336" s="8">
        <v>3469.6</v>
      </c>
      <c r="D336" s="8">
        <f t="shared" si="13"/>
        <v>-0.003518244611341672</v>
      </c>
      <c r="E336" s="8">
        <v>0.015572433479457618</v>
      </c>
      <c r="F336" s="9"/>
      <c r="G336" s="9">
        <v>333.0</v>
      </c>
      <c r="H336" s="10">
        <f t="shared" si="14"/>
        <v>-0.0011183814418303118</v>
      </c>
      <c r="K336" s="7"/>
    </row>
    <row r="337" spans="8:8">
      <c r="B337" s="7" t="s">
        <v>8796</v>
      </c>
      <c r="C337" s="8">
        <v>3481.85</v>
      </c>
      <c r="D337" s="8">
        <f t="shared" si="13"/>
        <v>0.019291851461526104</v>
      </c>
      <c r="E337" s="8">
        <v>0.015559380378657424</v>
      </c>
      <c r="F337" s="9"/>
      <c r="G337" s="9">
        <v>334.0</v>
      </c>
      <c r="H337" s="10">
        <f t="shared" si="14"/>
        <v>-0.019143447466241508</v>
      </c>
      <c r="K337" s="7"/>
    </row>
    <row r="338" spans="8:8">
      <c r="B338" s="7" t="s">
        <v>8797</v>
      </c>
      <c r="C338" s="8">
        <v>3415.95</v>
      </c>
      <c r="D338" s="8">
        <f t="shared" si="13"/>
        <v>0.019367064054549958</v>
      </c>
      <c r="E338" s="8">
        <v>0.01553190858701132</v>
      </c>
      <c r="F338" s="9"/>
      <c r="G338" s="9">
        <v>335.0</v>
      </c>
      <c r="H338" s="10">
        <f t="shared" si="14"/>
        <v>0.007143263820845799</v>
      </c>
      <c r="K338" s="7"/>
    </row>
    <row r="339" spans="8:8">
      <c r="B339" s="7" t="s">
        <v>8798</v>
      </c>
      <c r="C339" s="8">
        <v>3351.05</v>
      </c>
      <c r="D339" s="8">
        <f t="shared" si="13"/>
        <v>0.009489237999126387</v>
      </c>
      <c r="E339" s="8">
        <v>0.015531876467400955</v>
      </c>
      <c r="F339" s="9"/>
      <c r="G339" s="9">
        <v>336.0</v>
      </c>
      <c r="H339" s="10">
        <f t="shared" si="14"/>
        <v>-0.018345270189202654</v>
      </c>
      <c r="K339" s="7"/>
    </row>
    <row r="340" spans="8:8">
      <c r="B340" s="7" t="s">
        <v>8799</v>
      </c>
      <c r="C340" s="8">
        <v>3319.55</v>
      </c>
      <c r="D340" s="8">
        <f t="shared" si="13"/>
        <v>0.014935640688537734</v>
      </c>
      <c r="E340" s="8">
        <v>0.015516883476335423</v>
      </c>
      <c r="F340" s="9"/>
      <c r="G340" s="9">
        <v>337.0</v>
      </c>
      <c r="H340" s="10">
        <f t="shared" si="14"/>
        <v>0.016596051207920064</v>
      </c>
      <c r="K340" s="7"/>
    </row>
    <row r="341" spans="8:8">
      <c r="B341" s="7" t="s">
        <v>8800</v>
      </c>
      <c r="C341" s="8">
        <v>3270.7</v>
      </c>
      <c r="D341" s="8">
        <f t="shared" si="13"/>
        <v>0.030644881753296885</v>
      </c>
      <c r="E341" s="8">
        <v>0.015466758525663139</v>
      </c>
      <c r="F341" s="9"/>
      <c r="G341" s="9">
        <v>338.0</v>
      </c>
      <c r="H341" s="10">
        <f t="shared" si="14"/>
        <v>-0.017735062429866773</v>
      </c>
      <c r="K341" s="7"/>
    </row>
    <row r="342" spans="8:8">
      <c r="B342" s="7" t="s">
        <v>8801</v>
      </c>
      <c r="C342" s="8">
        <v>3173.45</v>
      </c>
      <c r="D342" s="8">
        <f t="shared" si="13"/>
        <v>-0.004345370689925757</v>
      </c>
      <c r="E342" s="8">
        <v>0.015439739413680861</v>
      </c>
      <c r="F342" s="9"/>
      <c r="G342" s="9">
        <v>339.0</v>
      </c>
      <c r="H342" s="10">
        <f t="shared" si="14"/>
        <v>-0.006899479538676583</v>
      </c>
      <c r="K342" s="7"/>
    </row>
    <row r="343" spans="8:8">
      <c r="B343" s="7" t="s">
        <v>8802</v>
      </c>
      <c r="C343" s="8">
        <v>3187.3</v>
      </c>
      <c r="D343" s="8">
        <f t="shared" si="13"/>
        <v>-0.001988320573638285</v>
      </c>
      <c r="E343" s="8">
        <v>0.015373864430468124</v>
      </c>
      <c r="F343" s="9"/>
      <c r="G343" s="9">
        <v>340.0</v>
      </c>
      <c r="H343" s="10">
        <f t="shared" si="14"/>
        <v>0.0054226652642276885</v>
      </c>
      <c r="K343" s="7"/>
    </row>
    <row r="344" spans="8:8">
      <c r="B344" s="7">
        <v>45994.0</v>
      </c>
      <c r="C344" s="8">
        <v>3193.65</v>
      </c>
      <c r="D344" s="8">
        <f t="shared" si="13"/>
        <v>-5.63300943528995E-4</v>
      </c>
      <c r="E344" s="8">
        <v>0.015338932722490818</v>
      </c>
      <c r="F344" s="9"/>
      <c r="G344" s="9">
        <v>341.0</v>
      </c>
      <c r="H344" s="10">
        <f t="shared" si="14"/>
        <v>0.006786606107155797</v>
      </c>
      <c r="K344" s="7"/>
    </row>
    <row r="345" spans="8:8">
      <c r="B345" s="7">
        <v>45964.0</v>
      </c>
      <c r="C345" s="8">
        <v>3195.45</v>
      </c>
      <c r="D345" s="8">
        <f t="shared" si="13"/>
        <v>0.005585801051074677</v>
      </c>
      <c r="E345" s="8">
        <v>0.015334974386268501</v>
      </c>
      <c r="F345" s="9"/>
      <c r="G345" s="9">
        <v>342.0</v>
      </c>
      <c r="H345" s="10">
        <f t="shared" si="14"/>
        <v>-0.013993446275866517</v>
      </c>
      <c r="K345" s="7"/>
    </row>
    <row r="346" spans="8:8">
      <c r="B346" s="7">
        <v>45933.0</v>
      </c>
      <c r="C346" s="8">
        <v>3177.7</v>
      </c>
      <c r="D346" s="8">
        <f t="shared" si="13"/>
        <v>-0.020649058464572996</v>
      </c>
      <c r="E346" s="8">
        <v>0.01530464914813736</v>
      </c>
      <c r="F346" s="9"/>
      <c r="G346" s="9">
        <v>343.0</v>
      </c>
      <c r="H346" s="10">
        <f t="shared" si="14"/>
        <v>-0.006377509423817345</v>
      </c>
      <c r="K346" s="7"/>
    </row>
    <row r="347" spans="8:8">
      <c r="B347" s="7">
        <v>45841.0</v>
      </c>
      <c r="C347" s="8">
        <v>3244.7</v>
      </c>
      <c r="D347" s="8">
        <f t="shared" si="13"/>
        <v>-0.004662719715328775</v>
      </c>
      <c r="E347" s="8">
        <v>0.015274910865077807</v>
      </c>
      <c r="F347" s="9"/>
      <c r="G347" s="9">
        <v>344.0</v>
      </c>
      <c r="H347" s="10">
        <f t="shared" si="14"/>
        <v>-0.013579795620700708</v>
      </c>
      <c r="K347" s="7"/>
    </row>
    <row r="348" spans="8:8">
      <c r="B348" s="7">
        <v>45811.0</v>
      </c>
      <c r="C348" s="8">
        <v>3259.9</v>
      </c>
      <c r="D348" s="8">
        <f t="shared" si="13"/>
        <v>0.006250675227262204</v>
      </c>
      <c r="E348" s="8">
        <v>0.015259987986817969</v>
      </c>
      <c r="F348" s="9"/>
      <c r="G348" s="9">
        <v>345.0</v>
      </c>
      <c r="H348" s="10">
        <f t="shared" si="14"/>
        <v>0.008664257077479039</v>
      </c>
      <c r="K348" s="7"/>
    </row>
    <row r="349" spans="8:8">
      <c r="B349" s="7">
        <v>45780.0</v>
      </c>
      <c r="C349" s="8">
        <v>3239.65</v>
      </c>
      <c r="D349" s="8">
        <f t="shared" si="13"/>
        <v>0.008294428882664205</v>
      </c>
      <c r="E349" s="8">
        <v>0.01525885558583109</v>
      </c>
      <c r="F349" s="9"/>
      <c r="G349" s="9">
        <v>346.0</v>
      </c>
      <c r="H349" s="10">
        <f t="shared" si="14"/>
        <v>2.932055071730318E-4</v>
      </c>
      <c r="K349" s="7"/>
    </row>
    <row r="350" spans="8:8">
      <c r="B350" s="7">
        <v>45750.0</v>
      </c>
      <c r="C350" s="8">
        <v>3213.0</v>
      </c>
      <c r="D350" s="8">
        <f t="shared" si="13"/>
        <v>0.004910393144215375</v>
      </c>
      <c r="E350" s="8">
        <v>0.015255332902391667</v>
      </c>
      <c r="F350" s="9"/>
      <c r="G350" s="9">
        <v>347.0</v>
      </c>
      <c r="H350" s="10">
        <f t="shared" si="14"/>
        <v>0.007407826350172522</v>
      </c>
      <c r="K350" s="7"/>
    </row>
    <row r="351" spans="8:8">
      <c r="B351" s="7">
        <v>45719.0</v>
      </c>
      <c r="C351" s="8">
        <v>3197.3</v>
      </c>
      <c r="D351" s="8">
        <f t="shared" si="13"/>
        <v>0.010572561910330855</v>
      </c>
      <c r="E351" s="8">
        <v>0.015146576681941063</v>
      </c>
      <c r="F351" s="9"/>
      <c r="G351" s="9">
        <v>348.0</v>
      </c>
      <c r="H351" s="10">
        <f t="shared" si="14"/>
        <v>0.029271606109677745</v>
      </c>
      <c r="K351" s="7"/>
    </row>
    <row r="352" spans="8:8">
      <c r="B352" s="7" t="s">
        <v>8803</v>
      </c>
      <c r="C352" s="8">
        <v>3163.85</v>
      </c>
      <c r="D352" s="8">
        <f t="shared" si="13"/>
        <v>-0.014223399283377501</v>
      </c>
      <c r="E352" s="8">
        <v>0.015137368640616765</v>
      </c>
      <c r="F352" s="9"/>
      <c r="G352" s="9">
        <v>349.0</v>
      </c>
      <c r="H352" s="10">
        <f t="shared" si="14"/>
        <v>0.001051044938399746</v>
      </c>
      <c r="K352" s="7"/>
    </row>
    <row r="353" spans="8:8">
      <c r="B353" s="7" t="s">
        <v>8804</v>
      </c>
      <c r="C353" s="8">
        <v>3209.5</v>
      </c>
      <c r="D353" s="8">
        <f t="shared" si="13"/>
        <v>-0.005083852568275548</v>
      </c>
      <c r="E353" s="8">
        <v>0.015093646713183955</v>
      </c>
      <c r="F353" s="9"/>
      <c r="G353" s="9">
        <v>350.0</v>
      </c>
      <c r="H353" s="10">
        <f t="shared" si="14"/>
        <v>9.871601200469068E-4</v>
      </c>
      <c r="K353" s="7"/>
    </row>
    <row r="354" spans="8:8">
      <c r="B354" s="7" t="s">
        <v>8805</v>
      </c>
      <c r="C354" s="8">
        <v>3225.9</v>
      </c>
      <c r="D354" s="8">
        <f t="shared" si="13"/>
        <v>-0.009761488166497754</v>
      </c>
      <c r="E354" s="8">
        <v>0.015072923658997874</v>
      </c>
      <c r="F354" s="9"/>
      <c r="G354" s="9">
        <v>351.0</v>
      </c>
      <c r="H354" s="10">
        <f t="shared" si="14"/>
        <v>-0.0036766115560806223</v>
      </c>
      <c r="K354" s="7"/>
    </row>
    <row r="355" spans="8:8">
      <c r="B355" s="7" t="s">
        <v>8806</v>
      </c>
      <c r="C355" s="8">
        <v>3257.7</v>
      </c>
      <c r="D355" s="8">
        <f t="shared" si="13"/>
        <v>-0.017314711471750503</v>
      </c>
      <c r="E355" s="8">
        <v>0.01494384455926493</v>
      </c>
      <c r="F355" s="9"/>
      <c r="G355" s="9">
        <v>352.0</v>
      </c>
      <c r="H355" s="10">
        <f t="shared" si="14"/>
        <v>0.013424975050677374</v>
      </c>
      <c r="K355" s="7"/>
    </row>
    <row r="356" spans="8:8">
      <c r="B356" s="7" t="s">
        <v>8807</v>
      </c>
      <c r="C356" s="8">
        <v>3315.1</v>
      </c>
      <c r="D356" s="8">
        <f t="shared" si="13"/>
        <v>0.011997069418157313</v>
      </c>
      <c r="E356" s="8">
        <v>0.014913215113728902</v>
      </c>
      <c r="F356" s="9"/>
      <c r="G356" s="9">
        <v>353.0</v>
      </c>
      <c r="H356" s="10">
        <f t="shared" si="14"/>
        <v>-0.004907869239130139</v>
      </c>
      <c r="K356" s="7"/>
    </row>
    <row r="357" spans="8:8">
      <c r="B357" s="7" t="s">
        <v>8808</v>
      </c>
      <c r="C357" s="8">
        <v>3275.8</v>
      </c>
      <c r="D357" s="8">
        <f t="shared" si="13"/>
        <v>-3.052596233093472E-5</v>
      </c>
      <c r="E357" s="8">
        <v>0.01490698753882958</v>
      </c>
      <c r="F357" s="9"/>
      <c r="G357" s="9">
        <v>354.0</v>
      </c>
      <c r="H357" s="10">
        <f t="shared" si="14"/>
        <v>0.016939735817840106</v>
      </c>
      <c r="K357" s="7"/>
    </row>
    <row r="358" spans="8:8">
      <c r="B358" s="7" t="s">
        <v>8809</v>
      </c>
      <c r="C358" s="8">
        <v>3275.9</v>
      </c>
      <c r="D358" s="8">
        <f t="shared" si="13"/>
        <v>0.017312858096672514</v>
      </c>
      <c r="E358" s="8">
        <v>0.014898474107893715</v>
      </c>
      <c r="F358" s="9"/>
      <c r="G358" s="9">
        <v>355.0</v>
      </c>
      <c r="H358" s="10">
        <f t="shared" si="14"/>
        <v>0.004645575367631384</v>
      </c>
      <c r="K358" s="7"/>
    </row>
    <row r="359" spans="8:8">
      <c r="B359" s="7" t="s">
        <v>8810</v>
      </c>
      <c r="C359" s="8">
        <v>3220.15</v>
      </c>
      <c r="D359" s="8">
        <f t="shared" si="13"/>
        <v>-5.276471592407524E-4</v>
      </c>
      <c r="E359" s="8">
        <v>0.014890911524561639</v>
      </c>
      <c r="F359" s="9"/>
      <c r="G359" s="9">
        <v>356.0</v>
      </c>
      <c r="H359" s="10">
        <f t="shared" si="14"/>
        <v>0.0107582934631043</v>
      </c>
      <c r="K359" s="7"/>
    </row>
    <row r="360" spans="8:8">
      <c r="B360" s="7" t="s">
        <v>8811</v>
      </c>
      <c r="C360" s="8">
        <v>3221.85</v>
      </c>
      <c r="D360" s="8">
        <f t="shared" si="13"/>
        <v>-0.004880082776087651</v>
      </c>
      <c r="E360" s="8">
        <v>0.014879906268307024</v>
      </c>
      <c r="F360" s="9"/>
      <c r="G360" s="9">
        <v>357.0</v>
      </c>
      <c r="H360" s="10">
        <f t="shared" si="14"/>
        <v>0.007892447690478841</v>
      </c>
      <c r="K360" s="7"/>
    </row>
    <row r="361" spans="8:8">
      <c r="B361" s="7" t="s">
        <v>8812</v>
      </c>
      <c r="C361" s="8">
        <v>3237.65</v>
      </c>
      <c r="D361" s="8">
        <f t="shared" si="13"/>
        <v>-0.007966540529774946</v>
      </c>
      <c r="E361" s="8">
        <v>0.014841833846927954</v>
      </c>
      <c r="F361" s="9"/>
      <c r="G361" s="9">
        <v>358.0</v>
      </c>
      <c r="H361" s="10">
        <f t="shared" si="14"/>
        <v>0.007509468367423121</v>
      </c>
      <c r="K361" s="7"/>
    </row>
    <row r="362" spans="8:8">
      <c r="B362" s="7" t="s">
        <v>8813</v>
      </c>
      <c r="C362" s="8">
        <v>3263.65</v>
      </c>
      <c r="D362" s="8">
        <f t="shared" si="13"/>
        <v>-0.007903576368306658</v>
      </c>
      <c r="E362" s="8">
        <v>0.014784782343616631</v>
      </c>
      <c r="F362" s="9"/>
      <c r="G362" s="9">
        <v>359.0</v>
      </c>
      <c r="H362" s="10">
        <f t="shared" si="14"/>
        <v>0.005532104194386496</v>
      </c>
      <c r="K362" s="7"/>
    </row>
    <row r="363" spans="8:8">
      <c r="B363" s="7">
        <v>45993.0</v>
      </c>
      <c r="C363" s="8">
        <v>3289.65</v>
      </c>
      <c r="D363" s="8">
        <f t="shared" si="13"/>
        <v>0.01543376599324001</v>
      </c>
      <c r="E363" s="8">
        <v>0.014751107636174031</v>
      </c>
      <c r="F363" s="9"/>
      <c r="G363" s="9">
        <v>360.0</v>
      </c>
      <c r="H363" s="10">
        <f t="shared" si="14"/>
        <v>-0.009173468263968507</v>
      </c>
      <c r="K363" s="7"/>
    </row>
    <row r="364" spans="8:8">
      <c r="B364" s="7">
        <v>45963.0</v>
      </c>
      <c r="C364" s="8">
        <v>3239.65</v>
      </c>
      <c r="D364" s="8">
        <f t="shared" si="13"/>
        <v>-0.026737566280624278</v>
      </c>
      <c r="E364" s="8">
        <v>0.01474756898345829</v>
      </c>
      <c r="F364" s="9"/>
      <c r="G364" s="9">
        <v>361.0</v>
      </c>
      <c r="H364" s="10">
        <f t="shared" si="14"/>
        <v>0.005402467405258201</v>
      </c>
      <c r="K364" s="7"/>
    </row>
    <row r="365" spans="8:8">
      <c r="B365" s="7">
        <v>45932.0</v>
      </c>
      <c r="C365" s="8">
        <v>3328.65</v>
      </c>
      <c r="D365" s="8">
        <f t="shared" si="13"/>
        <v>-0.002472354580598759</v>
      </c>
      <c r="E365" s="8">
        <v>0.014676300340736482</v>
      </c>
      <c r="F365" s="9"/>
      <c r="G365" s="9">
        <v>362.0</v>
      </c>
      <c r="H365" s="10">
        <f t="shared" si="14"/>
        <v>-0.009095813452079642</v>
      </c>
      <c r="K365" s="7"/>
    </row>
    <row r="366" spans="8:8">
      <c r="B366" s="7">
        <v>45840.0</v>
      </c>
      <c r="C366" s="8">
        <v>3336.9</v>
      </c>
      <c r="D366" s="8">
        <f t="shared" si="13"/>
        <v>-0.004727462530758305</v>
      </c>
      <c r="E366" s="8">
        <v>0.014651311580294365</v>
      </c>
      <c r="F366" s="9"/>
      <c r="G366" s="9">
        <v>363.0</v>
      </c>
      <c r="H366" s="10">
        <f t="shared" si="14"/>
        <v>-0.020842050695635477</v>
      </c>
      <c r="K366" s="7"/>
    </row>
    <row r="367" spans="8:8">
      <c r="B367" s="7">
        <v>45810.0</v>
      </c>
      <c r="C367" s="8">
        <v>3352.75</v>
      </c>
      <c r="D367" s="8">
        <f t="shared" si="13"/>
        <v>-0.009000354693780983</v>
      </c>
      <c r="E367" s="8">
        <v>0.014584855899081723</v>
      </c>
      <c r="F367" s="9"/>
      <c r="G367" s="9">
        <v>364.0</v>
      </c>
      <c r="H367" s="10">
        <f t="shared" si="14"/>
        <v>0.002867391575854215</v>
      </c>
      <c r="K367" s="7"/>
    </row>
    <row r="368" spans="8:8">
      <c r="B368" s="7">
        <v>45779.0</v>
      </c>
      <c r="C368" s="8">
        <v>3383.2</v>
      </c>
      <c r="D368" s="8">
        <f t="shared" si="13"/>
        <v>-0.01626855473009327</v>
      </c>
      <c r="E368" s="8">
        <v>0.014560183918112599</v>
      </c>
      <c r="F368" s="9"/>
      <c r="G368" s="9">
        <v>365.0</v>
      </c>
      <c r="H368" s="10">
        <f t="shared" si="14"/>
        <v>-0.017163404147108055</v>
      </c>
      <c r="K368" s="7"/>
    </row>
    <row r="369" spans="8:8">
      <c r="B369" s="7">
        <v>45749.0</v>
      </c>
      <c r="C369" s="8">
        <v>3439.15</v>
      </c>
      <c r="D369" s="8">
        <f t="shared" si="13"/>
        <v>0.04558859297093527</v>
      </c>
      <c r="E369" s="8">
        <v>0.014554265714330905</v>
      </c>
      <c r="F369" s="9"/>
      <c r="G369" s="9">
        <v>366.0</v>
      </c>
      <c r="H369" s="10">
        <f t="shared" si="14"/>
        <v>0.0057824898904998475</v>
      </c>
      <c r="K369" s="7"/>
    </row>
    <row r="370" spans="8:8">
      <c r="B370" s="7">
        <v>45718.0</v>
      </c>
      <c r="C370" s="8">
        <v>3289.2</v>
      </c>
      <c r="D370" s="8">
        <f t="shared" si="13"/>
        <v>-0.045917331399564956</v>
      </c>
      <c r="E370" s="8">
        <v>0.014553014553014554</v>
      </c>
      <c r="F370" s="9"/>
      <c r="G370" s="9">
        <v>367.0</v>
      </c>
      <c r="H370" s="10">
        <f t="shared" si="14"/>
        <v>-5.647897816275444E-4</v>
      </c>
      <c r="K370" s="7"/>
    </row>
    <row r="371" spans="8:8">
      <c r="B371" s="7">
        <v>45659.0</v>
      </c>
      <c r="C371" s="8">
        <v>3447.5</v>
      </c>
      <c r="D371" s="8">
        <f t="shared" si="13"/>
        <v>-0.03360991198071427</v>
      </c>
      <c r="E371" s="8">
        <v>0.014527388214577787</v>
      </c>
      <c r="F371" s="9"/>
      <c r="G371" s="9">
        <v>368.0</v>
      </c>
      <c r="H371" s="10">
        <f t="shared" si="14"/>
        <v>0.007490960804343674</v>
      </c>
      <c r="K371" s="7"/>
    </row>
    <row r="372" spans="8:8">
      <c r="B372" s="7" t="s">
        <v>8814</v>
      </c>
      <c r="C372" s="8">
        <v>3567.4</v>
      </c>
      <c r="D372" s="8">
        <f t="shared" si="13"/>
        <v>0.04280974583083655</v>
      </c>
      <c r="E372" s="8">
        <v>0.014457307462362118</v>
      </c>
      <c r="F372" s="9"/>
      <c r="G372" s="9">
        <v>369.0</v>
      </c>
      <c r="H372" s="10">
        <f t="shared" si="14"/>
        <v>0.0025483304936621833</v>
      </c>
      <c r="K372" s="7"/>
    </row>
    <row r="373" spans="8:8">
      <c r="B373" s="7" t="s">
        <v>8815</v>
      </c>
      <c r="C373" s="8">
        <v>3420.95</v>
      </c>
      <c r="D373" s="8">
        <f t="shared" si="13"/>
        <v>-0.008334058034031946</v>
      </c>
      <c r="E373" s="8">
        <v>0.014403947159000587</v>
      </c>
      <c r="F373" s="9"/>
      <c r="G373" s="9">
        <v>370.0</v>
      </c>
      <c r="H373" s="10">
        <f t="shared" si="14"/>
        <v>-0.0021333031668422297</v>
      </c>
      <c r="K373" s="7"/>
    </row>
    <row r="374" spans="8:8">
      <c r="B374" s="7" t="s">
        <v>8816</v>
      </c>
      <c r="C374" s="8">
        <v>3449.7</v>
      </c>
      <c r="D374" s="8">
        <f t="shared" si="13"/>
        <v>0.010486540320454532</v>
      </c>
      <c r="E374" s="8">
        <v>0.014354066985645808</v>
      </c>
      <c r="F374" s="9"/>
      <c r="G374" s="9">
        <v>371.0</v>
      </c>
      <c r="H374" s="10">
        <f t="shared" si="14"/>
        <v>-0.018227046934453726</v>
      </c>
      <c r="K374" s="7"/>
    </row>
    <row r="375" spans="8:8">
      <c r="B375" s="7" t="s">
        <v>8817</v>
      </c>
      <c r="C375" s="8">
        <v>3413.9</v>
      </c>
      <c r="D375" s="8">
        <f t="shared" si="13"/>
        <v>-0.01265310254074299</v>
      </c>
      <c r="E375" s="8">
        <v>0.014340462356286342</v>
      </c>
      <c r="F375" s="9"/>
      <c r="G375" s="9">
        <v>372.0</v>
      </c>
      <c r="H375" s="10">
        <f t="shared" si="14"/>
        <v>-0.006081129734929191</v>
      </c>
      <c r="K375" s="7"/>
    </row>
    <row r="376" spans="8:8">
      <c r="B376" s="7" t="s">
        <v>8818</v>
      </c>
      <c r="C376" s="8">
        <v>3457.65</v>
      </c>
      <c r="D376" s="8">
        <f t="shared" si="13"/>
        <v>-1.5904227632864703E-4</v>
      </c>
      <c r="E376" s="8">
        <v>0.014312070218594458</v>
      </c>
      <c r="F376" s="9"/>
      <c r="G376" s="9">
        <v>373.0</v>
      </c>
      <c r="H376" s="10">
        <f t="shared" si="14"/>
        <v>0.012123979031287667</v>
      </c>
      <c r="K376" s="7"/>
    </row>
    <row r="377" spans="8:8">
      <c r="B377" s="7" t="s">
        <v>8819</v>
      </c>
      <c r="C377" s="8">
        <v>3458.2</v>
      </c>
      <c r="D377" s="8">
        <f t="shared" si="13"/>
        <v>-0.012859487618639887</v>
      </c>
      <c r="E377" s="8">
        <v>0.014287462522180834</v>
      </c>
      <c r="F377" s="9"/>
      <c r="G377" s="9">
        <v>374.0</v>
      </c>
      <c r="H377" s="10">
        <f t="shared" si="14"/>
        <v>-0.008030996993161173</v>
      </c>
      <c r="K377" s="7"/>
    </row>
    <row r="378" spans="8:8">
      <c r="B378" s="7" t="s">
        <v>8820</v>
      </c>
      <c r="C378" s="8">
        <v>3503.25</v>
      </c>
      <c r="D378" s="8">
        <f t="shared" si="13"/>
        <v>-0.004249332044795583</v>
      </c>
      <c r="E378" s="8">
        <v>0.01425220676442668</v>
      </c>
      <c r="F378" s="9"/>
      <c r="G378" s="9">
        <v>375.0</v>
      </c>
      <c r="H378" s="10">
        <f t="shared" si="14"/>
        <v>0.002970211646557513</v>
      </c>
      <c r="K378" s="7"/>
    </row>
    <row r="379" spans="8:8">
      <c r="B379" s="7" t="s">
        <v>8821</v>
      </c>
      <c r="C379" s="8">
        <v>3518.2</v>
      </c>
      <c r="D379" s="8">
        <f t="shared" si="13"/>
        <v>-0.006466917059670749</v>
      </c>
      <c r="E379" s="8">
        <v>0.014251396798833903</v>
      </c>
      <c r="F379" s="9"/>
      <c r="G379" s="9">
        <v>376.0</v>
      </c>
      <c r="H379" s="10">
        <f t="shared" si="14"/>
        <v>0.009219492431080861</v>
      </c>
      <c r="K379" s="7"/>
    </row>
    <row r="380" spans="8:8">
      <c r="B380" s="7" t="s">
        <v>8822</v>
      </c>
      <c r="C380" s="8">
        <v>3541.1</v>
      </c>
      <c r="D380" s="8">
        <f t="shared" si="13"/>
        <v>-0.01444475368772616</v>
      </c>
      <c r="E380" s="8">
        <v>0.014233797698364655</v>
      </c>
      <c r="F380" s="9"/>
      <c r="G380" s="9">
        <v>377.0</v>
      </c>
      <c r="H380" s="10">
        <f t="shared" si="14"/>
        <v>0.001134457983807723</v>
      </c>
      <c r="K380" s="7"/>
    </row>
    <row r="381" spans="8:8">
      <c r="B381" s="7" t="s">
        <v>8823</v>
      </c>
      <c r="C381" s="8">
        <v>3593.0</v>
      </c>
      <c r="D381" s="8">
        <f t="shared" si="13"/>
        <v>0.006823308534039457</v>
      </c>
      <c r="E381" s="8">
        <v>0.014203486686819216</v>
      </c>
      <c r="F381" s="9"/>
      <c r="G381" s="9">
        <v>378.0</v>
      </c>
      <c r="H381" s="10">
        <f t="shared" si="14"/>
        <v>-0.0012212378876148532</v>
      </c>
      <c r="K381" s="7"/>
    </row>
    <row r="382" spans="8:8">
      <c r="B382" s="7" t="s">
        <v>8824</v>
      </c>
      <c r="C382" s="8">
        <v>3568.65</v>
      </c>
      <c r="D382" s="8">
        <f t="shared" si="13"/>
        <v>0.017318053536303772</v>
      </c>
      <c r="E382" s="8">
        <v>0.014152403697315467</v>
      </c>
      <c r="F382" s="9"/>
      <c r="G382" s="9">
        <v>379.0</v>
      </c>
      <c r="H382" s="10">
        <f t="shared" si="14"/>
        <v>0.02704603918134437</v>
      </c>
      <c r="K382" s="7"/>
    </row>
    <row r="383" spans="8:8">
      <c r="B383" s="7" t="s">
        <v>8825</v>
      </c>
      <c r="C383" s="8">
        <v>3507.9</v>
      </c>
      <c r="D383" s="8">
        <f t="shared" si="13"/>
        <v>0.0018564002970240475</v>
      </c>
      <c r="E383" s="8">
        <v>0.01411331560646356</v>
      </c>
      <c r="F383" s="9"/>
      <c r="G383" s="9">
        <v>380.0</v>
      </c>
      <c r="H383" s="10">
        <f t="shared" si="14"/>
        <v>0.008544044727360341</v>
      </c>
      <c r="K383" s="7"/>
    </row>
    <row r="384" spans="8:8">
      <c r="B384" s="7" t="s">
        <v>8826</v>
      </c>
      <c r="C384" s="8">
        <v>3501.4</v>
      </c>
      <c r="D384" s="8">
        <f t="shared" si="13"/>
        <v>0.011205452550106909</v>
      </c>
      <c r="E384" s="8">
        <v>0.014071109944896232</v>
      </c>
      <c r="F384" s="9"/>
      <c r="G384" s="9">
        <v>381.0</v>
      </c>
      <c r="H384" s="10">
        <f t="shared" si="14"/>
        <v>0.01258189706395256</v>
      </c>
      <c r="K384" s="7"/>
    </row>
    <row r="385" spans="8:8">
      <c r="B385" s="7" t="s">
        <v>8827</v>
      </c>
      <c r="C385" s="8">
        <v>3462.6</v>
      </c>
      <c r="D385" s="8">
        <f t="shared" si="13"/>
        <v>-4.907196258985287E-4</v>
      </c>
      <c r="E385" s="8">
        <v>0.014063062314868566</v>
      </c>
      <c r="F385" s="9"/>
      <c r="G385" s="9">
        <v>382.0</v>
      </c>
      <c r="H385" s="10">
        <f t="shared" si="14"/>
        <v>-2.7994939486691243E-4</v>
      </c>
      <c r="K385" s="7"/>
    </row>
    <row r="386" spans="8:8">
      <c r="B386" s="7" t="s">
        <v>8828</v>
      </c>
      <c r="C386" s="8">
        <v>3464.3</v>
      </c>
      <c r="D386" s="8">
        <f t="shared" si="13"/>
        <v>-0.020318708199595577</v>
      </c>
      <c r="E386" s="8">
        <v>0.014036124552136814</v>
      </c>
      <c r="F386" s="9"/>
      <c r="G386" s="9">
        <v>383.0</v>
      </c>
      <c r="H386" s="10">
        <f t="shared" si="14"/>
        <v>8.845171548233855E-5</v>
      </c>
      <c r="K386" s="7"/>
    </row>
    <row r="387" spans="8:8">
      <c r="B387" s="7">
        <v>45931.0</v>
      </c>
      <c r="C387" s="8">
        <v>3536.15</v>
      </c>
      <c r="D387" s="8">
        <f t="shared" si="13"/>
        <v>0.002338501658210267</v>
      </c>
      <c r="E387" s="8">
        <v>0.014024201054917721</v>
      </c>
      <c r="F387" s="9"/>
      <c r="G387" s="9">
        <v>384.0</v>
      </c>
      <c r="H387" s="10">
        <f t="shared" si="14"/>
        <v>-0.03240292204216413</v>
      </c>
      <c r="K387" s="7"/>
    </row>
    <row r="388" spans="8:8">
      <c r="B388" s="7">
        <v>45901.0</v>
      </c>
      <c r="C388" s="8">
        <v>3527.9</v>
      </c>
      <c r="D388" s="8">
        <f t="shared" si="15" ref="D388:D451">(C388-C389)/C389</f>
        <v>-0.019033186425125425</v>
      </c>
      <c r="E388" s="8">
        <v>0.01400142387361433</v>
      </c>
      <c r="F388" s="9"/>
      <c r="G388" s="9">
        <v>385.0</v>
      </c>
      <c r="H388" s="10">
        <f t="shared" si="14"/>
        <v>-0.007288577026397006</v>
      </c>
      <c r="K388" s="7"/>
    </row>
    <row r="389" spans="8:8">
      <c r="B389" s="7">
        <v>45870.0</v>
      </c>
      <c r="C389" s="8">
        <v>3596.35</v>
      </c>
      <c r="D389" s="8">
        <f t="shared" si="15"/>
        <v>-0.012886668679493939</v>
      </c>
      <c r="E389" s="8">
        <v>0.01394091997789108</v>
      </c>
      <c r="F389" s="9"/>
      <c r="G389" s="9">
        <v>386.0</v>
      </c>
      <c r="H389" s="10">
        <f t="shared" si="16" ref="H389:H452">_xlfn.NORM.INV(RAND(),N$6,N$7)</f>
        <v>0.021567064430937</v>
      </c>
      <c r="K389" s="7"/>
    </row>
    <row r="390" spans="8:8">
      <c r="B390" s="7">
        <v>45839.0</v>
      </c>
      <c r="C390" s="8">
        <v>3643.3</v>
      </c>
      <c r="D390" s="8">
        <f t="shared" si="15"/>
        <v>0.011128996447602233</v>
      </c>
      <c r="E390" s="8">
        <v>0.013940520446096654</v>
      </c>
      <c r="F390" s="9"/>
      <c r="G390" s="9">
        <v>387.0</v>
      </c>
      <c r="H390" s="10">
        <f t="shared" si="16"/>
        <v>-0.01313698471573018</v>
      </c>
      <c r="K390" s="7"/>
    </row>
    <row r="391" spans="8:8">
      <c r="B391" s="7">
        <v>45809.0</v>
      </c>
      <c r="C391" s="8">
        <v>3603.2</v>
      </c>
      <c r="D391" s="8">
        <f t="shared" si="15"/>
        <v>-0.015492226563567385</v>
      </c>
      <c r="E391" s="8">
        <v>0.013939194380419198</v>
      </c>
      <c r="F391" s="9"/>
      <c r="G391" s="9">
        <v>388.0</v>
      </c>
      <c r="H391" s="10">
        <f t="shared" si="16"/>
        <v>-0.0027036565604793613</v>
      </c>
      <c r="K391" s="7"/>
    </row>
    <row r="392" spans="8:8">
      <c r="B392" s="7">
        <v>45717.0</v>
      </c>
      <c r="C392" s="8">
        <v>3659.9</v>
      </c>
      <c r="D392" s="8">
        <f t="shared" si="15"/>
        <v>-0.014433822539383306</v>
      </c>
      <c r="E392" s="8">
        <v>0.013936852491366454</v>
      </c>
      <c r="F392" s="9"/>
      <c r="G392" s="9">
        <v>389.0</v>
      </c>
      <c r="H392" s="10">
        <f t="shared" si="16"/>
        <v>-9.862464031187125E-4</v>
      </c>
      <c r="K392" s="7"/>
    </row>
    <row r="393" spans="8:8">
      <c r="B393" s="7">
        <v>45689.0</v>
      </c>
      <c r="C393" s="8">
        <v>3713.5</v>
      </c>
      <c r="D393" s="8">
        <f t="shared" si="15"/>
        <v>0.012542603953646899</v>
      </c>
      <c r="E393" s="8">
        <v>0.01391945934215832</v>
      </c>
      <c r="F393" s="9"/>
      <c r="G393" s="9">
        <v>390.0</v>
      </c>
      <c r="H393" s="10">
        <f t="shared" si="16"/>
        <v>-0.005520899864291888</v>
      </c>
      <c r="K393" s="7"/>
    </row>
    <row r="394" spans="8:8">
      <c r="B394" s="7">
        <v>45658.0</v>
      </c>
      <c r="C394" s="8">
        <v>3667.5</v>
      </c>
      <c r="D394" s="8">
        <f t="shared" si="15"/>
        <v>0.016589746788075316</v>
      </c>
      <c r="E394" s="8">
        <v>0.013882505823996362</v>
      </c>
      <c r="F394" s="9"/>
      <c r="G394" s="9">
        <v>391.0</v>
      </c>
      <c r="H394" s="10">
        <f t="shared" si="16"/>
        <v>-0.012349083685555894</v>
      </c>
      <c r="K394" s="7"/>
    </row>
    <row r="395" spans="8:8">
      <c r="B395" s="7" t="s">
        <v>8829</v>
      </c>
      <c r="C395" s="8">
        <v>3607.65</v>
      </c>
      <c r="D395" s="8">
        <f t="shared" si="15"/>
        <v>0.008019111750653202</v>
      </c>
      <c r="E395" s="8">
        <v>0.01383705815757474</v>
      </c>
      <c r="F395" s="9"/>
      <c r="G395" s="9">
        <v>392.0</v>
      </c>
      <c r="H395" s="10">
        <f t="shared" si="16"/>
        <v>0.0029260085811215284</v>
      </c>
      <c r="K395" s="7"/>
    </row>
    <row r="396" spans="8:8">
      <c r="B396" s="7" t="s">
        <v>8830</v>
      </c>
      <c r="C396" s="8">
        <v>3578.95</v>
      </c>
      <c r="D396" s="8">
        <f t="shared" si="15"/>
        <v>-0.008079044372384383</v>
      </c>
      <c r="E396" s="8">
        <v>0.01382717804713313</v>
      </c>
      <c r="F396" s="9"/>
      <c r="G396" s="9">
        <v>393.0</v>
      </c>
      <c r="H396" s="10">
        <f t="shared" si="16"/>
        <v>0.024245131058490896</v>
      </c>
      <c r="K396" s="7"/>
    </row>
    <row r="397" spans="8:8">
      <c r="B397" s="7" t="s">
        <v>8831</v>
      </c>
      <c r="C397" s="8">
        <v>3608.1</v>
      </c>
      <c r="D397" s="8">
        <f t="shared" si="15"/>
        <v>-0.005896128943380656</v>
      </c>
      <c r="E397" s="8">
        <v>0.013815516115628814</v>
      </c>
      <c r="F397" s="9"/>
      <c r="G397" s="9">
        <v>394.0</v>
      </c>
      <c r="H397" s="10">
        <f t="shared" si="16"/>
        <v>-0.010751665355276604</v>
      </c>
      <c r="K397" s="7"/>
    </row>
    <row r="398" spans="8:8">
      <c r="B398" s="7" t="s">
        <v>8832</v>
      </c>
      <c r="C398" s="8">
        <v>3629.5</v>
      </c>
      <c r="D398" s="8">
        <f t="shared" si="15"/>
        <v>-0.002816127481283055</v>
      </c>
      <c r="E398" s="8">
        <v>0.013803901519387712</v>
      </c>
      <c r="F398" s="9"/>
      <c r="G398" s="9">
        <v>395.0</v>
      </c>
      <c r="H398" s="10">
        <f t="shared" si="16"/>
        <v>-0.005793226793723886</v>
      </c>
      <c r="K398" s="7"/>
    </row>
    <row r="399" spans="8:8">
      <c r="B399" s="7" t="s">
        <v>8833</v>
      </c>
      <c r="C399" s="8">
        <v>3639.75</v>
      </c>
      <c r="D399" s="8">
        <f t="shared" si="15"/>
        <v>-2.0601565718994644E-4</v>
      </c>
      <c r="E399" s="8">
        <v>0.013773511815090603</v>
      </c>
      <c r="F399" s="9"/>
      <c r="G399" s="9">
        <v>396.0</v>
      </c>
      <c r="H399" s="10">
        <f t="shared" si="16"/>
        <v>0.014108422722776983</v>
      </c>
      <c r="K399" s="7"/>
    </row>
    <row r="400" spans="8:8">
      <c r="B400" s="7" t="s">
        <v>8834</v>
      </c>
      <c r="C400" s="8">
        <v>3640.5</v>
      </c>
      <c r="D400" s="8">
        <f t="shared" si="15"/>
        <v>0.0029340055374189266</v>
      </c>
      <c r="E400" s="8">
        <v>0.013713531635637283</v>
      </c>
      <c r="F400" s="9"/>
      <c r="G400" s="9">
        <v>397.0</v>
      </c>
      <c r="H400" s="10">
        <f t="shared" si="16"/>
        <v>-0.005469800848575255</v>
      </c>
      <c r="K400" s="7"/>
    </row>
    <row r="401" spans="8:8">
      <c r="B401" s="7" t="s">
        <v>8835</v>
      </c>
      <c r="C401" s="8">
        <v>3629.85</v>
      </c>
      <c r="D401" s="8">
        <f t="shared" si="15"/>
        <v>-0.02327552571743781</v>
      </c>
      <c r="E401" s="8">
        <v>0.013707230302396213</v>
      </c>
      <c r="F401" s="9"/>
      <c r="G401" s="9">
        <v>398.0</v>
      </c>
      <c r="H401" s="10">
        <f t="shared" si="16"/>
        <v>0.023023576199670912</v>
      </c>
      <c r="K401" s="7"/>
    </row>
    <row r="402" spans="8:8">
      <c r="B402" s="7" t="s">
        <v>8836</v>
      </c>
      <c r="C402" s="8">
        <v>3716.35</v>
      </c>
      <c r="D402" s="8">
        <f t="shared" si="15"/>
        <v>-0.011122493780184447</v>
      </c>
      <c r="E402" s="8">
        <v>0.01369812571344415</v>
      </c>
      <c r="F402" s="9"/>
      <c r="G402" s="9">
        <v>399.0</v>
      </c>
      <c r="H402" s="10">
        <f t="shared" si="16"/>
        <v>0.0029722851940044053</v>
      </c>
      <c r="K402" s="7"/>
    </row>
    <row r="403" spans="8:8">
      <c r="B403" s="7" t="s">
        <v>8837</v>
      </c>
      <c r="C403" s="8">
        <v>3758.15</v>
      </c>
      <c r="D403" s="8">
        <f t="shared" si="15"/>
        <v>-0.012883483925194297</v>
      </c>
      <c r="E403" s="8">
        <v>0.01369224106339753</v>
      </c>
      <c r="F403" s="9"/>
      <c r="G403" s="9">
        <v>400.0</v>
      </c>
      <c r="H403" s="10">
        <f t="shared" si="16"/>
        <v>-0.0068588097782612</v>
      </c>
      <c r="K403" s="7"/>
    </row>
    <row r="404" spans="8:8">
      <c r="B404" s="7" t="s">
        <v>8838</v>
      </c>
      <c r="C404" s="8">
        <v>3807.2</v>
      </c>
      <c r="D404" s="8">
        <f t="shared" si="15"/>
        <v>-0.018218858388024315</v>
      </c>
      <c r="E404" s="8">
        <v>0.013685700802265258</v>
      </c>
      <c r="F404" s="9"/>
      <c r="G404" s="9">
        <v>401.0</v>
      </c>
      <c r="H404" s="10">
        <f t="shared" si="16"/>
        <v>-0.008778444421444844</v>
      </c>
      <c r="K404" s="7"/>
    </row>
    <row r="405" spans="8:8">
      <c r="B405" s="7" t="s">
        <v>8839</v>
      </c>
      <c r="C405" s="8">
        <v>3877.85</v>
      </c>
      <c r="D405" s="8">
        <f t="shared" si="15"/>
        <v>-0.002354000514535655</v>
      </c>
      <c r="E405" s="8">
        <v>0.013678395225855927</v>
      </c>
      <c r="F405" s="9"/>
      <c r="G405" s="9">
        <v>402.0</v>
      </c>
      <c r="H405" s="10">
        <f t="shared" si="16"/>
        <v>-2.873978711412633E-4</v>
      </c>
      <c r="K405" s="7"/>
    </row>
    <row r="406" spans="8:8">
      <c r="B406" s="7" t="s">
        <v>8840</v>
      </c>
      <c r="C406" s="8">
        <v>3887.0</v>
      </c>
      <c r="D406" s="8">
        <f t="shared" si="15"/>
        <v>0.007020907277390583</v>
      </c>
      <c r="E406" s="8">
        <v>0.01364602363819392</v>
      </c>
      <c r="F406" s="9"/>
      <c r="G406" s="9">
        <v>403.0</v>
      </c>
      <c r="H406" s="10">
        <f t="shared" si="16"/>
        <v>7.149928791530887E-4</v>
      </c>
      <c r="K406" s="7"/>
    </row>
    <row r="407" spans="8:8">
      <c r="B407" s="7">
        <v>45638.0</v>
      </c>
      <c r="C407" s="8">
        <v>3859.9</v>
      </c>
      <c r="D407" s="8">
        <f t="shared" si="15"/>
        <v>-0.014514584796068146</v>
      </c>
      <c r="E407" s="8">
        <v>0.013627738485423455</v>
      </c>
      <c r="F407" s="9"/>
      <c r="G407" s="9">
        <v>404.0</v>
      </c>
      <c r="H407" s="10">
        <f t="shared" si="16"/>
        <v>0.014573561712041064</v>
      </c>
      <c r="K407" s="7"/>
    </row>
    <row r="408" spans="8:8">
      <c r="B408" s="7">
        <v>45608.0</v>
      </c>
      <c r="C408" s="8">
        <v>3916.75</v>
      </c>
      <c r="D408" s="8">
        <f t="shared" si="15"/>
        <v>-0.0016313421612734896</v>
      </c>
      <c r="E408" s="8">
        <v>0.01361876362989003</v>
      </c>
      <c r="F408" s="9"/>
      <c r="G408" s="9">
        <v>405.0</v>
      </c>
      <c r="H408" s="10">
        <f t="shared" si="16"/>
        <v>0.009318571856557704</v>
      </c>
      <c r="K408" s="7"/>
    </row>
    <row r="409" spans="8:8">
      <c r="B409" s="7">
        <v>45577.0</v>
      </c>
      <c r="C409" s="8">
        <v>3923.15</v>
      </c>
      <c r="D409" s="8">
        <f t="shared" si="15"/>
        <v>-0.006118106047171507</v>
      </c>
      <c r="E409" s="8">
        <v>0.013601058236950075</v>
      </c>
      <c r="F409" s="9"/>
      <c r="G409" s="9">
        <v>406.0</v>
      </c>
      <c r="H409" s="10">
        <f t="shared" si="16"/>
        <v>-0.01117586419356843</v>
      </c>
      <c r="K409" s="7"/>
    </row>
    <row r="410" spans="8:8">
      <c r="B410" s="7">
        <v>45547.0</v>
      </c>
      <c r="C410" s="8">
        <v>3947.3</v>
      </c>
      <c r="D410" s="8">
        <f t="shared" si="15"/>
        <v>0.02084464789096655</v>
      </c>
      <c r="E410" s="8">
        <v>0.01355397093244793</v>
      </c>
      <c r="F410" s="9"/>
      <c r="G410" s="9">
        <v>407.0</v>
      </c>
      <c r="H410" s="10">
        <f t="shared" si="16"/>
        <v>0.02692509156512332</v>
      </c>
      <c r="K410" s="7"/>
    </row>
    <row r="411" spans="8:8">
      <c r="B411" s="7">
        <v>45455.0</v>
      </c>
      <c r="C411" s="8">
        <v>3866.7</v>
      </c>
      <c r="D411" s="8">
        <f t="shared" si="15"/>
        <v>0.009173833044068233</v>
      </c>
      <c r="E411" s="8">
        <v>0.013530927835051448</v>
      </c>
      <c r="F411" s="9"/>
      <c r="G411" s="9">
        <v>408.0</v>
      </c>
      <c r="H411" s="10">
        <f t="shared" si="16"/>
        <v>0.005559229628430903</v>
      </c>
      <c r="K411" s="7"/>
    </row>
    <row r="412" spans="8:8">
      <c r="B412" s="7">
        <v>45424.0</v>
      </c>
      <c r="C412" s="8">
        <v>3831.55</v>
      </c>
      <c r="D412" s="8">
        <f t="shared" si="15"/>
        <v>0.01098973587693609</v>
      </c>
      <c r="E412" s="8">
        <v>0.013519068280429281</v>
      </c>
      <c r="F412" s="9"/>
      <c r="G412" s="9">
        <v>409.0</v>
      </c>
      <c r="H412" s="10">
        <f t="shared" si="16"/>
        <v>0.02628414631059613</v>
      </c>
      <c r="K412" s="7"/>
    </row>
    <row r="413" spans="8:8">
      <c r="B413" s="7">
        <v>45394.0</v>
      </c>
      <c r="C413" s="8">
        <v>3789.9</v>
      </c>
      <c r="D413" s="8">
        <f t="shared" si="15"/>
        <v>7.525646611478351E-4</v>
      </c>
      <c r="E413" s="8">
        <v>0.013471275864224513</v>
      </c>
      <c r="F413" s="9"/>
      <c r="G413" s="9">
        <v>410.0</v>
      </c>
      <c r="H413" s="10">
        <f t="shared" si="16"/>
        <v>-0.012170154658552559</v>
      </c>
      <c r="K413" s="7"/>
    </row>
    <row r="414" spans="8:8">
      <c r="B414" s="7">
        <v>45363.0</v>
      </c>
      <c r="C414" s="8">
        <v>3787.05</v>
      </c>
      <c r="D414" s="8">
        <f t="shared" si="15"/>
        <v>0.022407904860895504</v>
      </c>
      <c r="E414" s="8">
        <v>0.013458250930177868</v>
      </c>
      <c r="F414" s="9"/>
      <c r="G414" s="9">
        <v>411.0</v>
      </c>
      <c r="H414" s="10">
        <f t="shared" si="16"/>
        <v>-0.01100145085063206</v>
      </c>
      <c r="K414" s="7"/>
    </row>
    <row r="415" spans="8:8">
      <c r="B415" s="7">
        <v>45334.0</v>
      </c>
      <c r="C415" s="8">
        <v>3704.05</v>
      </c>
      <c r="D415" s="8">
        <f t="shared" si="15"/>
        <v>-0.005570768900343643</v>
      </c>
      <c r="E415" s="8">
        <v>0.013444738636183498</v>
      </c>
      <c r="F415" s="9"/>
      <c r="G415" s="9">
        <v>412.0</v>
      </c>
      <c r="H415" s="10">
        <f t="shared" si="16"/>
        <v>0.0048151562234038155</v>
      </c>
      <c r="K415" s="7"/>
    </row>
    <row r="416" spans="8:8">
      <c r="B416" s="7" t="s">
        <v>8841</v>
      </c>
      <c r="C416" s="8">
        <v>3724.8</v>
      </c>
      <c r="D416" s="8">
        <f t="shared" si="15"/>
        <v>0.016025422457413292</v>
      </c>
      <c r="E416" s="8">
        <v>0.013399598305258628</v>
      </c>
      <c r="F416" s="9"/>
      <c r="G416" s="9">
        <v>413.0</v>
      </c>
      <c r="H416" s="10">
        <f t="shared" si="16"/>
        <v>0.00446123270521747</v>
      </c>
      <c r="K416" s="7"/>
    </row>
    <row r="417" spans="8:8">
      <c r="B417" s="7" t="s">
        <v>8842</v>
      </c>
      <c r="C417" s="8">
        <v>3666.05</v>
      </c>
      <c r="D417" s="8">
        <f t="shared" si="15"/>
        <v>-0.008827425852326395</v>
      </c>
      <c r="E417" s="8">
        <v>0.013375281214848047</v>
      </c>
      <c r="F417" s="9"/>
      <c r="G417" s="9">
        <v>414.0</v>
      </c>
      <c r="H417" s="10">
        <f t="shared" si="16"/>
        <v>0.014542795056146668</v>
      </c>
      <c r="K417" s="7"/>
    </row>
    <row r="418" spans="8:8">
      <c r="B418" s="7" t="s">
        <v>8843</v>
      </c>
      <c r="C418" s="8">
        <v>3698.7</v>
      </c>
      <c r="D418" s="8">
        <f t="shared" si="15"/>
        <v>-0.001053313887538511</v>
      </c>
      <c r="E418" s="8">
        <v>0.013337952537675356</v>
      </c>
      <c r="F418" s="9"/>
      <c r="G418" s="9">
        <v>415.0</v>
      </c>
      <c r="H418" s="10">
        <f t="shared" si="16"/>
        <v>0.0013097841389827598</v>
      </c>
      <c r="K418" s="7"/>
    </row>
    <row r="419" spans="8:8">
      <c r="B419" s="7" t="s">
        <v>8844</v>
      </c>
      <c r="C419" s="8">
        <v>3702.6</v>
      </c>
      <c r="D419" s="8">
        <f t="shared" si="15"/>
        <v>-0.013429256594724244</v>
      </c>
      <c r="E419" s="8">
        <v>0.013271539919949442</v>
      </c>
      <c r="F419" s="9"/>
      <c r="G419" s="9">
        <v>416.0</v>
      </c>
      <c r="H419" s="10">
        <f t="shared" si="16"/>
        <v>0.015937106346951432</v>
      </c>
      <c r="K419" s="7"/>
    </row>
    <row r="420" spans="8:8">
      <c r="B420" s="7" t="s">
        <v>8845</v>
      </c>
      <c r="C420" s="8">
        <v>3753.0</v>
      </c>
      <c r="D420" s="8">
        <f t="shared" si="15"/>
        <v>0.04148744276397946</v>
      </c>
      <c r="E420" s="8">
        <v>0.013250682438580502</v>
      </c>
      <c r="F420" s="9"/>
      <c r="G420" s="9">
        <v>417.0</v>
      </c>
      <c r="H420" s="10">
        <f t="shared" si="16"/>
        <v>-0.006038617507563296</v>
      </c>
      <c r="K420" s="7"/>
    </row>
    <row r="421" spans="8:8">
      <c r="B421" s="7" t="s">
        <v>8846</v>
      </c>
      <c r="C421" s="8">
        <v>3603.5</v>
      </c>
      <c r="D421" s="8">
        <f t="shared" si="15"/>
        <v>0.03444811253050093</v>
      </c>
      <c r="E421" s="8">
        <v>0.013166212140367454</v>
      </c>
      <c r="F421" s="9"/>
      <c r="G421" s="9">
        <v>418.0</v>
      </c>
      <c r="H421" s="10">
        <f t="shared" si="16"/>
        <v>0.005744493366346744</v>
      </c>
      <c r="K421" s="7"/>
    </row>
    <row r="422" spans="8:8">
      <c r="B422" s="7" t="s">
        <v>8847</v>
      </c>
      <c r="C422" s="8">
        <v>3483.5</v>
      </c>
      <c r="D422" s="8">
        <f t="shared" si="15"/>
        <v>-0.0063892295844148695</v>
      </c>
      <c r="E422" s="8">
        <v>0.013145943878770496</v>
      </c>
      <c r="F422" s="9"/>
      <c r="G422" s="9">
        <v>419.0</v>
      </c>
      <c r="H422" s="10">
        <f t="shared" si="16"/>
        <v>0.0033720000215153893</v>
      </c>
      <c r="K422" s="7"/>
    </row>
    <row r="423" spans="8:8">
      <c r="B423" s="7" t="s">
        <v>8848</v>
      </c>
      <c r="C423" s="8">
        <v>3505.9</v>
      </c>
      <c r="D423" s="8">
        <f t="shared" si="15"/>
        <v>-0.010233897491636435</v>
      </c>
      <c r="E423" s="8">
        <v>0.013102282333051605</v>
      </c>
      <c r="F423" s="9"/>
      <c r="G423" s="9">
        <v>420.0</v>
      </c>
      <c r="H423" s="10">
        <f t="shared" si="16"/>
        <v>-0.008553721562219244</v>
      </c>
      <c r="K423" s="7"/>
    </row>
    <row r="424" spans="8:8">
      <c r="B424" s="7" t="s">
        <v>8849</v>
      </c>
      <c r="C424" s="8">
        <v>3542.15</v>
      </c>
      <c r="D424" s="8">
        <f t="shared" si="15"/>
        <v>0.004509039347749051</v>
      </c>
      <c r="E424" s="8">
        <v>0.013093965601010725</v>
      </c>
      <c r="F424" s="9"/>
      <c r="G424" s="9">
        <v>421.0</v>
      </c>
      <c r="H424" s="10">
        <f t="shared" si="16"/>
        <v>-0.004455181173409115</v>
      </c>
      <c r="K424" s="7"/>
    </row>
    <row r="425" spans="8:8">
      <c r="B425" s="7" t="s">
        <v>8850</v>
      </c>
      <c r="C425" s="8">
        <v>3526.25</v>
      </c>
      <c r="D425" s="8">
        <f t="shared" si="15"/>
        <v>-0.006116207951070285</v>
      </c>
      <c r="E425" s="8">
        <v>0.013090895624641217</v>
      </c>
      <c r="F425" s="9"/>
      <c r="G425" s="9">
        <v>422.0</v>
      </c>
      <c r="H425" s="10">
        <f t="shared" si="16"/>
        <v>0.014057224943633238</v>
      </c>
      <c r="K425" s="7"/>
    </row>
    <row r="426" spans="8:8">
      <c r="B426" s="7" t="s">
        <v>8851</v>
      </c>
      <c r="C426" s="8">
        <v>3547.95</v>
      </c>
      <c r="D426" s="8">
        <f t="shared" si="15"/>
        <v>-0.012084592145015132</v>
      </c>
      <c r="E426" s="8">
        <v>0.013067595652108853</v>
      </c>
      <c r="F426" s="9"/>
      <c r="G426" s="9">
        <v>423.0</v>
      </c>
      <c r="H426" s="10">
        <f t="shared" si="16"/>
        <v>-0.02232526697066868</v>
      </c>
      <c r="K426" s="7"/>
    </row>
    <row r="427" spans="8:8">
      <c r="B427" s="7">
        <v>45637.0</v>
      </c>
      <c r="C427" s="8">
        <v>3591.35</v>
      </c>
      <c r="D427" s="8">
        <f t="shared" si="15"/>
        <v>-0.010333852322361078</v>
      </c>
      <c r="E427" s="8">
        <v>0.013045295554040123</v>
      </c>
      <c r="F427" s="9"/>
      <c r="G427" s="9">
        <v>424.0</v>
      </c>
      <c r="H427" s="10">
        <f t="shared" si="16"/>
        <v>0.014471150970292307</v>
      </c>
      <c r="K427" s="7"/>
    </row>
    <row r="428" spans="8:8">
      <c r="B428" s="7">
        <v>45607.0</v>
      </c>
      <c r="C428" s="8">
        <v>3628.85</v>
      </c>
      <c r="D428" s="8">
        <f t="shared" si="15"/>
        <v>-0.008592191896839131</v>
      </c>
      <c r="E428" s="8">
        <v>0.013023010251220867</v>
      </c>
      <c r="F428" s="9"/>
      <c r="G428" s="9">
        <v>425.0</v>
      </c>
      <c r="H428" s="10">
        <f t="shared" si="16"/>
        <v>0.005756588878231437</v>
      </c>
      <c r="K428" s="7"/>
    </row>
    <row r="429" spans="8:8">
      <c r="B429" s="7">
        <v>45515.0</v>
      </c>
      <c r="C429" s="8">
        <v>3660.3</v>
      </c>
      <c r="D429" s="8">
        <f t="shared" si="15"/>
        <v>0.0037706873620271214</v>
      </c>
      <c r="E429" s="8">
        <v>0.012951334379905852</v>
      </c>
      <c r="F429" s="9"/>
      <c r="G429" s="9">
        <v>426.0</v>
      </c>
      <c r="H429" s="10">
        <f t="shared" si="16"/>
        <v>0.010670416869703898</v>
      </c>
      <c r="K429" s="7"/>
    </row>
    <row r="430" spans="8:8">
      <c r="B430" s="7">
        <v>45484.0</v>
      </c>
      <c r="C430" s="8">
        <v>3646.55</v>
      </c>
      <c r="D430" s="8">
        <f t="shared" si="15"/>
        <v>3.0174601215223466E-4</v>
      </c>
      <c r="E430" s="8">
        <v>0.012949975264092192</v>
      </c>
      <c r="F430" s="9"/>
      <c r="G430" s="9">
        <v>427.0</v>
      </c>
      <c r="H430" s="10">
        <f t="shared" si="16"/>
        <v>0.010576381118304501</v>
      </c>
      <c r="K430" s="7"/>
    </row>
    <row r="431" spans="8:8">
      <c r="B431" s="7">
        <v>45454.0</v>
      </c>
      <c r="C431" s="8">
        <v>3645.45</v>
      </c>
      <c r="D431" s="8">
        <f t="shared" si="15"/>
        <v>0.019763343403826683</v>
      </c>
      <c r="E431" s="8">
        <v>0.012897837988308307</v>
      </c>
      <c r="F431" s="9"/>
      <c r="G431" s="9">
        <v>428.0</v>
      </c>
      <c r="H431" s="10">
        <f t="shared" si="16"/>
        <v>-0.0011589000559769054</v>
      </c>
      <c r="K431" s="7"/>
    </row>
    <row r="432" spans="8:8">
      <c r="B432" s="7">
        <v>45423.0</v>
      </c>
      <c r="C432" s="8">
        <v>3574.8</v>
      </c>
      <c r="D432" s="8">
        <f t="shared" si="15"/>
        <v>9.791716208098136E-5</v>
      </c>
      <c r="E432" s="8">
        <v>0.012839981102787246</v>
      </c>
      <c r="F432" s="9"/>
      <c r="G432" s="9">
        <v>429.0</v>
      </c>
      <c r="H432" s="10">
        <f t="shared" si="16"/>
        <v>-0.009175212479684829</v>
      </c>
      <c r="K432" s="7"/>
    </row>
    <row r="433" spans="8:8">
      <c r="B433" s="7">
        <v>45393.0</v>
      </c>
      <c r="C433" s="8">
        <v>3574.45</v>
      </c>
      <c r="D433" s="8">
        <f t="shared" si="15"/>
        <v>-0.01431191142608962</v>
      </c>
      <c r="E433" s="8">
        <v>0.012828517908838002</v>
      </c>
      <c r="F433" s="9"/>
      <c r="G433" s="9">
        <v>430.0</v>
      </c>
      <c r="H433" s="10">
        <f t="shared" si="16"/>
        <v>0.02078042990002692</v>
      </c>
      <c r="K433" s="7"/>
    </row>
    <row r="434" spans="8:8">
      <c r="B434" s="7">
        <v>45302.0</v>
      </c>
      <c r="C434" s="8">
        <v>3626.35</v>
      </c>
      <c r="D434" s="8">
        <f t="shared" si="15"/>
        <v>0.0011180741517819416</v>
      </c>
      <c r="E434" s="8">
        <v>0.012791693427531505</v>
      </c>
      <c r="F434" s="9"/>
      <c r="G434" s="9">
        <v>431.0</v>
      </c>
      <c r="H434" s="10">
        <f t="shared" si="16"/>
        <v>0.007152555684533475</v>
      </c>
      <c r="K434" s="7"/>
    </row>
    <row r="435" spans="8:8">
      <c r="B435" s="7" t="s">
        <v>8852</v>
      </c>
      <c r="C435" s="8">
        <v>3622.3</v>
      </c>
      <c r="D435" s="8">
        <f t="shared" si="15"/>
        <v>0.06277230918186227</v>
      </c>
      <c r="E435" s="8">
        <v>0.012782239414707831</v>
      </c>
      <c r="F435" s="9"/>
      <c r="G435" s="9">
        <v>432.0</v>
      </c>
      <c r="H435" s="10">
        <f t="shared" si="16"/>
        <v>-0.021619760085482633</v>
      </c>
      <c r="K435" s="7"/>
    </row>
    <row r="436" spans="8:8">
      <c r="B436" s="7" t="s">
        <v>8853</v>
      </c>
      <c r="C436" s="8">
        <v>3408.35</v>
      </c>
      <c r="D436" s="8">
        <f t="shared" si="15"/>
        <v>0.008119139873997995</v>
      </c>
      <c r="E436" s="8">
        <v>0.012764617144372792</v>
      </c>
      <c r="F436" s="9"/>
      <c r="G436" s="9">
        <v>433.0</v>
      </c>
      <c r="H436" s="10">
        <f t="shared" si="16"/>
        <v>-0.02172949002879684</v>
      </c>
      <c r="K436" s="7"/>
    </row>
    <row r="437" spans="8:8">
      <c r="B437" s="7" t="s">
        <v>8854</v>
      </c>
      <c r="C437" s="8">
        <v>3380.9</v>
      </c>
      <c r="D437" s="8">
        <f t="shared" si="15"/>
        <v>0.012003113026819896</v>
      </c>
      <c r="E437" s="8">
        <v>0.01272553471143503</v>
      </c>
      <c r="F437" s="9"/>
      <c r="G437" s="9">
        <v>434.0</v>
      </c>
      <c r="H437" s="10">
        <f t="shared" si="16"/>
        <v>-0.010279650371920569</v>
      </c>
      <c r="K437" s="7"/>
    </row>
    <row r="438" spans="8:8">
      <c r="B438" s="7" t="s">
        <v>8855</v>
      </c>
      <c r="C438" s="8">
        <v>3340.8</v>
      </c>
      <c r="D438" s="8">
        <f t="shared" si="15"/>
        <v>0.004329004329004356</v>
      </c>
      <c r="E438" s="8">
        <v>0.012704174228675206</v>
      </c>
      <c r="F438" s="9"/>
      <c r="G438" s="9">
        <v>435.0</v>
      </c>
      <c r="H438" s="10">
        <f t="shared" si="16"/>
        <v>-0.008086687914592945</v>
      </c>
      <c r="K438" s="7"/>
    </row>
    <row r="439" spans="8:8">
      <c r="B439" s="7" t="s">
        <v>8856</v>
      </c>
      <c r="C439" s="8">
        <v>3326.4</v>
      </c>
      <c r="D439" s="8">
        <f t="shared" si="15"/>
        <v>-0.033767591826064224</v>
      </c>
      <c r="E439" s="8">
        <v>0.012693271059718743</v>
      </c>
      <c r="F439" s="9"/>
      <c r="G439" s="9">
        <v>436.0</v>
      </c>
      <c r="H439" s="10">
        <f t="shared" si="16"/>
        <v>0.006854499386820451</v>
      </c>
      <c r="K439" s="7"/>
    </row>
    <row r="440" spans="8:8">
      <c r="B440" s="7" t="s">
        <v>8857</v>
      </c>
      <c r="C440" s="8">
        <v>3442.65</v>
      </c>
      <c r="D440" s="8">
        <f t="shared" si="15"/>
        <v>-0.0036898767147074143</v>
      </c>
      <c r="E440" s="8">
        <v>0.012613355317394851</v>
      </c>
      <c r="F440" s="9"/>
      <c r="G440" s="9">
        <v>437.0</v>
      </c>
      <c r="H440" s="10">
        <f t="shared" si="16"/>
        <v>0.001995157481693529</v>
      </c>
      <c r="K440" s="7"/>
    </row>
    <row r="441" spans="8:8">
      <c r="B441" s="7" t="s">
        <v>8858</v>
      </c>
      <c r="C441" s="8">
        <v>3455.4</v>
      </c>
      <c r="D441" s="8">
        <f t="shared" si="15"/>
        <v>-0.016088157407671062</v>
      </c>
      <c r="E441" s="8">
        <v>0.012610917596806567</v>
      </c>
      <c r="F441" s="9"/>
      <c r="G441" s="9">
        <v>438.0</v>
      </c>
      <c r="H441" s="10">
        <f t="shared" si="16"/>
        <v>0.002186853618116434</v>
      </c>
      <c r="K441" s="7"/>
    </row>
    <row r="442" spans="8:8">
      <c r="B442" s="7" t="s">
        <v>8859</v>
      </c>
      <c r="C442" s="8">
        <v>3511.9</v>
      </c>
      <c r="D442" s="8">
        <f t="shared" si="15"/>
        <v>-0.020554439982150775</v>
      </c>
      <c r="E442" s="8">
        <v>0.012592389816589104</v>
      </c>
      <c r="F442" s="9"/>
      <c r="G442" s="9">
        <v>439.0</v>
      </c>
      <c r="H442" s="10">
        <f t="shared" si="16"/>
        <v>0.02241574584009166</v>
      </c>
      <c r="K442" s="7"/>
    </row>
    <row r="443" spans="8:8">
      <c r="B443" s="7" t="s">
        <v>8860</v>
      </c>
      <c r="C443" s="8">
        <v>3585.6</v>
      </c>
      <c r="D443" s="8">
        <f t="shared" si="15"/>
        <v>0.0021801106825422682</v>
      </c>
      <c r="E443" s="8">
        <v>0.012588097840424993</v>
      </c>
      <c r="F443" s="9"/>
      <c r="G443" s="9">
        <v>440.0</v>
      </c>
      <c r="H443" s="10">
        <f t="shared" si="16"/>
        <v>0.010272310616836054</v>
      </c>
      <c r="K443" s="7"/>
    </row>
    <row r="444" spans="8:8">
      <c r="B444" s="7" t="s">
        <v>8861</v>
      </c>
      <c r="C444" s="8">
        <v>3577.8</v>
      </c>
      <c r="D444" s="8">
        <f t="shared" si="15"/>
        <v>0.0021006638097638853</v>
      </c>
      <c r="E444" s="8">
        <v>0.012580279561768107</v>
      </c>
      <c r="F444" s="9"/>
      <c r="G444" s="9">
        <v>441.0</v>
      </c>
      <c r="H444" s="10">
        <f t="shared" si="16"/>
        <v>0.019619335484876883</v>
      </c>
      <c r="K444" s="7"/>
    </row>
    <row r="445" spans="8:8">
      <c r="B445" s="7" t="s">
        <v>8862</v>
      </c>
      <c r="C445" s="8">
        <v>3570.3</v>
      </c>
      <c r="D445" s="8">
        <f t="shared" si="15"/>
        <v>0.010672026269603202</v>
      </c>
      <c r="E445" s="8">
        <v>0.012539286524317083</v>
      </c>
      <c r="F445" s="9"/>
      <c r="G445" s="9">
        <v>442.0</v>
      </c>
      <c r="H445" s="10">
        <f t="shared" si="16"/>
        <v>-0.017306195083600578</v>
      </c>
      <c r="K445" s="7"/>
    </row>
    <row r="446" spans="8:8">
      <c r="B446" s="7" t="s">
        <v>8863</v>
      </c>
      <c r="C446" s="8">
        <v>3532.6</v>
      </c>
      <c r="D446" s="8">
        <f t="shared" si="15"/>
        <v>-0.005433711534671635</v>
      </c>
      <c r="E446" s="8">
        <v>0.01249140084724284</v>
      </c>
      <c r="F446" s="9"/>
      <c r="G446" s="9">
        <v>443.0</v>
      </c>
      <c r="H446" s="10">
        <f t="shared" si="16"/>
        <v>-0.0012567523924892406</v>
      </c>
      <c r="K446" s="7"/>
    </row>
    <row r="447" spans="8:8">
      <c r="B447" s="7" t="s">
        <v>8864</v>
      </c>
      <c r="C447" s="8">
        <v>3551.9</v>
      </c>
      <c r="D447" s="8">
        <f t="shared" si="15"/>
        <v>-8.86063487152105E-4</v>
      </c>
      <c r="E447" s="8">
        <v>0.012486096659610414</v>
      </c>
      <c r="F447" s="9"/>
      <c r="G447" s="9">
        <v>444.0</v>
      </c>
      <c r="H447" s="10">
        <f t="shared" si="16"/>
        <v>0.00655487512838411</v>
      </c>
      <c r="K447" s="7"/>
    </row>
    <row r="448" spans="8:8">
      <c r="B448" s="7" t="s">
        <v>8865</v>
      </c>
      <c r="C448" s="8">
        <v>3555.05</v>
      </c>
      <c r="D448" s="8">
        <f t="shared" si="15"/>
        <v>0.020818078706694807</v>
      </c>
      <c r="E448" s="8">
        <v>0.012457490603186032</v>
      </c>
      <c r="F448" s="9"/>
      <c r="G448" s="9">
        <v>445.0</v>
      </c>
      <c r="H448" s="10">
        <f t="shared" si="16"/>
        <v>-0.0034833738687230584</v>
      </c>
      <c r="K448" s="7"/>
    </row>
    <row r="449" spans="8:8">
      <c r="B449" s="7">
        <v>45606.0</v>
      </c>
      <c r="C449" s="8">
        <v>3482.55</v>
      </c>
      <c r="D449" s="8">
        <f t="shared" si="15"/>
        <v>0.00641553600069365</v>
      </c>
      <c r="E449" s="8">
        <v>0.012397066102686281</v>
      </c>
      <c r="F449" s="9"/>
      <c r="G449" s="9">
        <v>446.0</v>
      </c>
      <c r="H449" s="10">
        <f t="shared" si="16"/>
        <v>0.0061371177715391755</v>
      </c>
      <c r="K449" s="7"/>
    </row>
    <row r="450" spans="8:8">
      <c r="B450" s="7">
        <v>45575.0</v>
      </c>
      <c r="C450" s="8">
        <v>3460.35</v>
      </c>
      <c r="D450" s="8">
        <f t="shared" si="15"/>
        <v>-0.0076711307390094925</v>
      </c>
      <c r="E450" s="8">
        <v>0.012392875147034112</v>
      </c>
      <c r="F450" s="9"/>
      <c r="G450" s="9">
        <v>447.0</v>
      </c>
      <c r="H450" s="10">
        <f t="shared" si="16"/>
        <v>0.0021132680910663387</v>
      </c>
      <c r="K450" s="7"/>
    </row>
    <row r="451" spans="8:8">
      <c r="B451" s="7">
        <v>45545.0</v>
      </c>
      <c r="C451" s="8">
        <v>3487.1</v>
      </c>
      <c r="D451" s="8">
        <f t="shared" si="15"/>
        <v>-0.012824142226248494</v>
      </c>
      <c r="E451" s="8">
        <v>0.01238441215323646</v>
      </c>
      <c r="F451" s="9"/>
      <c r="G451" s="9">
        <v>448.0</v>
      </c>
      <c r="H451" s="10">
        <f t="shared" si="16"/>
        <v>0.01190156748712454</v>
      </c>
      <c r="K451" s="7"/>
    </row>
    <row r="452" spans="8:8">
      <c r="B452" s="7">
        <v>45514.0</v>
      </c>
      <c r="C452" s="8">
        <v>3532.4</v>
      </c>
      <c r="D452" s="8">
        <f t="shared" si="17" ref="D452:D515">(C452-C453)/C453</f>
        <v>0.018466994392146174</v>
      </c>
      <c r="E452" s="8">
        <v>0.012382541494686924</v>
      </c>
      <c r="F452" s="9"/>
      <c r="G452" s="9">
        <v>449.0</v>
      </c>
      <c r="H452" s="10">
        <f t="shared" si="16"/>
        <v>0.00944237622080804</v>
      </c>
      <c r="K452" s="7"/>
    </row>
    <row r="453" spans="8:8">
      <c r="B453" s="7">
        <v>45483.0</v>
      </c>
      <c r="C453" s="8">
        <v>3468.35</v>
      </c>
      <c r="D453" s="8">
        <f t="shared" si="17"/>
        <v>-0.007326950872221958</v>
      </c>
      <c r="E453" s="8">
        <v>0.01237908288680213</v>
      </c>
      <c r="F453" s="9"/>
      <c r="G453" s="9">
        <v>450.0</v>
      </c>
      <c r="H453" s="10">
        <f t="shared" si="18" ref="H453:H516">_xlfn.NORM.INV(RAND(),N$6,N$7)</f>
        <v>0.006399102144267615</v>
      </c>
      <c r="K453" s="7"/>
    </row>
    <row r="454" spans="8:8">
      <c r="B454" s="7">
        <v>45392.0</v>
      </c>
      <c r="C454" s="8">
        <v>3493.95</v>
      </c>
      <c r="D454" s="8">
        <f t="shared" si="17"/>
        <v>-0.0010578531299587645</v>
      </c>
      <c r="E454" s="8">
        <v>0.012368930062099248</v>
      </c>
      <c r="F454" s="9"/>
      <c r="G454" s="9">
        <v>451.0</v>
      </c>
      <c r="H454" s="10">
        <f t="shared" si="18"/>
        <v>0.020390826958140866</v>
      </c>
      <c r="K454" s="7"/>
    </row>
    <row r="455" spans="8:8">
      <c r="B455" s="7">
        <v>45361.0</v>
      </c>
      <c r="C455" s="8">
        <v>3497.65</v>
      </c>
      <c r="D455" s="8">
        <f t="shared" si="17"/>
        <v>-0.04265772546872859</v>
      </c>
      <c r="E455" s="8">
        <v>0.012368491640091794</v>
      </c>
      <c r="F455" s="9"/>
      <c r="G455" s="9">
        <v>452.0</v>
      </c>
      <c r="H455" s="10">
        <f t="shared" si="18"/>
        <v>0.010123975265439698</v>
      </c>
      <c r="K455" s="7"/>
    </row>
    <row r="456" spans="8:8">
      <c r="B456" s="7">
        <v>45301.0</v>
      </c>
      <c r="C456" s="8">
        <v>3653.5</v>
      </c>
      <c r="D456" s="8">
        <f t="shared" si="17"/>
        <v>-0.005999102175184716</v>
      </c>
      <c r="E456" s="8">
        <v>0.01236751810903551</v>
      </c>
      <c r="F456" s="9"/>
      <c r="G456" s="9">
        <v>453.0</v>
      </c>
      <c r="H456" s="10">
        <f t="shared" si="18"/>
        <v>0.0242508249551204</v>
      </c>
      <c r="K456" s="7"/>
    </row>
    <row r="457" spans="8:8">
      <c r="B457" s="7" t="s">
        <v>8866</v>
      </c>
      <c r="C457" s="8">
        <v>3675.55</v>
      </c>
      <c r="D457" s="8">
        <f t="shared" si="17"/>
        <v>-0.00812273150459431</v>
      </c>
      <c r="E457" s="8">
        <v>0.01234930470918187</v>
      </c>
      <c r="F457" s="9"/>
      <c r="G457" s="9">
        <v>454.0</v>
      </c>
      <c r="H457" s="10">
        <f t="shared" si="18"/>
        <v>0.00779326543128943</v>
      </c>
      <c r="K457" s="7"/>
    </row>
    <row r="458" spans="8:8">
      <c r="B458" s="7" t="s">
        <v>8867</v>
      </c>
      <c r="C458" s="8">
        <v>3705.65</v>
      </c>
      <c r="D458" s="8">
        <f t="shared" si="17"/>
        <v>-0.015018008319710804</v>
      </c>
      <c r="E458" s="8">
        <v>0.012342957901697156</v>
      </c>
      <c r="F458" s="9"/>
      <c r="G458" s="9">
        <v>455.0</v>
      </c>
      <c r="H458" s="10">
        <f t="shared" si="18"/>
        <v>0.024151690626914725</v>
      </c>
      <c r="K458" s="7"/>
    </row>
    <row r="459" spans="8:8">
      <c r="B459" s="7" t="s">
        <v>8868</v>
      </c>
      <c r="C459" s="8">
        <v>3762.15</v>
      </c>
      <c r="D459" s="8">
        <f t="shared" si="17"/>
        <v>-0.008355628187724822</v>
      </c>
      <c r="E459" s="8">
        <v>0.0123392513146249</v>
      </c>
      <c r="F459" s="9"/>
      <c r="G459" s="9">
        <v>456.0</v>
      </c>
      <c r="H459" s="10">
        <f t="shared" si="18"/>
        <v>0.007035763148223682</v>
      </c>
      <c r="K459" s="7"/>
    </row>
    <row r="460" spans="8:8">
      <c r="B460" s="7" t="s">
        <v>8869</v>
      </c>
      <c r="C460" s="8">
        <v>3793.85</v>
      </c>
      <c r="D460" s="8">
        <f t="shared" si="17"/>
        <v>5.934170271125646E-4</v>
      </c>
      <c r="E460" s="8">
        <v>0.012267435931057566</v>
      </c>
      <c r="F460" s="9"/>
      <c r="G460" s="9">
        <v>457.0</v>
      </c>
      <c r="H460" s="10">
        <f t="shared" si="18"/>
        <v>0.011285057090453535</v>
      </c>
      <c r="K460" s="7"/>
    </row>
    <row r="461" spans="8:8">
      <c r="B461" s="7" t="s">
        <v>8870</v>
      </c>
      <c r="C461" s="8">
        <v>3791.6</v>
      </c>
      <c r="D461" s="8">
        <f t="shared" si="17"/>
        <v>0.0010296485994139165</v>
      </c>
      <c r="E461" s="8">
        <v>0.012241171832856135</v>
      </c>
      <c r="F461" s="9"/>
      <c r="G461" s="9">
        <v>458.0</v>
      </c>
      <c r="H461" s="10">
        <f t="shared" si="18"/>
        <v>-0.009533726050350695</v>
      </c>
      <c r="K461" s="7"/>
    </row>
    <row r="462" spans="8:8">
      <c r="B462" s="7" t="s">
        <v>8871</v>
      </c>
      <c r="C462" s="8">
        <v>3787.7</v>
      </c>
      <c r="D462" s="8">
        <f t="shared" si="17"/>
        <v>-0.001634202272068392</v>
      </c>
      <c r="E462" s="8">
        <v>0.012205387205387205</v>
      </c>
      <c r="F462" s="9"/>
      <c r="G462" s="9">
        <v>459.0</v>
      </c>
      <c r="H462" s="10">
        <f t="shared" si="18"/>
        <v>0.005154231671534905</v>
      </c>
      <c r="K462" s="7"/>
    </row>
    <row r="463" spans="8:8">
      <c r="B463" s="7" t="s">
        <v>8872</v>
      </c>
      <c r="C463" s="8">
        <v>3793.9</v>
      </c>
      <c r="D463" s="8">
        <f t="shared" si="17"/>
        <v>0.029915574015256477</v>
      </c>
      <c r="E463" s="8">
        <v>0.012192966955292414</v>
      </c>
      <c r="F463" s="9"/>
      <c r="G463" s="9">
        <v>460.0</v>
      </c>
      <c r="H463" s="10">
        <f t="shared" si="18"/>
        <v>0.018190650857882077</v>
      </c>
      <c r="K463" s="7"/>
    </row>
    <row r="464" spans="8:8">
      <c r="B464" s="7" t="s">
        <v>8873</v>
      </c>
      <c r="C464" s="8">
        <v>3683.7</v>
      </c>
      <c r="D464" s="8">
        <f t="shared" si="17"/>
        <v>-0.012532000160838505</v>
      </c>
      <c r="E464" s="8">
        <v>0.012169613995056068</v>
      </c>
      <c r="F464" s="9"/>
      <c r="G464" s="9">
        <v>461.0</v>
      </c>
      <c r="H464" s="10">
        <f t="shared" si="18"/>
        <v>2.0781625254598412E-4</v>
      </c>
      <c r="K464" s="7"/>
    </row>
    <row r="465" spans="8:8">
      <c r="B465" s="7" t="s">
        <v>8874</v>
      </c>
      <c r="C465" s="8">
        <v>3730.45</v>
      </c>
      <c r="D465" s="8">
        <f t="shared" si="17"/>
        <v>0.009539402468066682</v>
      </c>
      <c r="E465" s="8">
        <v>0.012137529240411353</v>
      </c>
      <c r="F465" s="9"/>
      <c r="G465" s="9">
        <v>462.0</v>
      </c>
      <c r="H465" s="10">
        <f t="shared" si="18"/>
        <v>0.026943923810916693</v>
      </c>
      <c r="K465" s="7"/>
    </row>
    <row r="466" spans="8:8">
      <c r="B466" s="7" t="s">
        <v>8875</v>
      </c>
      <c r="C466" s="8">
        <v>3695.2</v>
      </c>
      <c r="D466" s="8">
        <f t="shared" si="17"/>
        <v>0.008997201174141529</v>
      </c>
      <c r="E466" s="8">
        <v>0.012103369316323193</v>
      </c>
      <c r="F466" s="9"/>
      <c r="G466" s="9">
        <v>463.0</v>
      </c>
      <c r="H466" s="10">
        <f t="shared" si="18"/>
        <v>-0.004997644719824188</v>
      </c>
      <c r="K466" s="7"/>
    </row>
    <row r="467" spans="8:8">
      <c r="B467" s="7" t="s">
        <v>8876</v>
      </c>
      <c r="C467" s="8">
        <v>3662.25</v>
      </c>
      <c r="D467" s="8">
        <f t="shared" si="17"/>
        <v>0.013631331303625796</v>
      </c>
      <c r="E467" s="8">
        <v>0.012075586095392008</v>
      </c>
      <c r="F467" s="9"/>
      <c r="G467" s="9">
        <v>464.0</v>
      </c>
      <c r="H467" s="10">
        <f t="shared" si="18"/>
        <v>-0.0021527029553722295</v>
      </c>
      <c r="K467" s="7"/>
    </row>
    <row r="468" spans="8:8">
      <c r="B468" s="7" t="s">
        <v>8877</v>
      </c>
      <c r="C468" s="8">
        <v>3613.0</v>
      </c>
      <c r="D468" s="8">
        <f t="shared" si="17"/>
        <v>-0.002484815019326339</v>
      </c>
      <c r="E468" s="8">
        <v>0.012070160084600485</v>
      </c>
      <c r="F468" s="9"/>
      <c r="G468" s="9">
        <v>465.0</v>
      </c>
      <c r="H468" s="10">
        <f t="shared" si="18"/>
        <v>0.005168283926747763</v>
      </c>
      <c r="K468" s="7"/>
    </row>
    <row r="469" spans="8:8">
      <c r="B469" s="7">
        <v>45635.0</v>
      </c>
      <c r="C469" s="8">
        <v>3622.0</v>
      </c>
      <c r="D469" s="8">
        <f t="shared" si="17"/>
        <v>0.024046141449554047</v>
      </c>
      <c r="E469" s="8">
        <v>0.012056342511539147</v>
      </c>
      <c r="F469" s="9"/>
      <c r="G469" s="9">
        <v>466.0</v>
      </c>
      <c r="H469" s="10">
        <f t="shared" si="18"/>
        <v>0.024156809582748642</v>
      </c>
      <c r="K469" s="7"/>
    </row>
    <row r="470" spans="8:8">
      <c r="B470" s="7">
        <v>45605.0</v>
      </c>
      <c r="C470" s="8">
        <v>3536.95</v>
      </c>
      <c r="D470" s="8">
        <f t="shared" si="17"/>
        <v>-0.01646204969203183</v>
      </c>
      <c r="E470" s="8">
        <v>0.012051377744604092</v>
      </c>
      <c r="F470" s="9"/>
      <c r="G470" s="9">
        <v>467.0</v>
      </c>
      <c r="H470" s="10">
        <f t="shared" si="18"/>
        <v>-0.010673893519519445</v>
      </c>
      <c r="K470" s="7"/>
    </row>
    <row r="471" spans="8:8">
      <c r="B471" s="7">
        <v>45574.0</v>
      </c>
      <c r="C471" s="8">
        <v>3596.15</v>
      </c>
      <c r="D471" s="8">
        <f t="shared" si="17"/>
        <v>0.004988402313947938</v>
      </c>
      <c r="E471" s="8">
        <v>0.012044156589988194</v>
      </c>
      <c r="F471" s="9"/>
      <c r="G471" s="9">
        <v>468.0</v>
      </c>
      <c r="H471" s="10">
        <f t="shared" si="18"/>
        <v>0.015009285987831932</v>
      </c>
      <c r="K471" s="7"/>
    </row>
    <row r="472" spans="8:8">
      <c r="B472" s="7">
        <v>45544.0</v>
      </c>
      <c r="C472" s="8">
        <v>3578.3</v>
      </c>
      <c r="D472" s="8">
        <f t="shared" si="17"/>
        <v>9.930764389118629E-4</v>
      </c>
      <c r="E472" s="8">
        <v>0.012006647278770292</v>
      </c>
      <c r="F472" s="9"/>
      <c r="G472" s="9">
        <v>469.0</v>
      </c>
      <c r="H472" s="10">
        <f t="shared" si="18"/>
        <v>3.168138414228728E-4</v>
      </c>
      <c r="K472" s="7"/>
    </row>
    <row r="473" spans="8:8">
      <c r="B473" s="7">
        <v>45452.0</v>
      </c>
      <c r="C473" s="8">
        <v>3574.75</v>
      </c>
      <c r="D473" s="8">
        <f t="shared" si="17"/>
        <v>-0.013630782390353625</v>
      </c>
      <c r="E473" s="8">
        <v>0.011987833243871837</v>
      </c>
      <c r="F473" s="9"/>
      <c r="G473" s="9">
        <v>470.0</v>
      </c>
      <c r="H473" s="10">
        <f t="shared" si="18"/>
        <v>0.011082731783289678</v>
      </c>
      <c r="K473" s="7"/>
    </row>
    <row r="474" spans="8:8">
      <c r="B474" s="7">
        <v>45421.0</v>
      </c>
      <c r="C474" s="8">
        <v>3624.15</v>
      </c>
      <c r="D474" s="8">
        <f t="shared" si="17"/>
        <v>-0.007299769913443653</v>
      </c>
      <c r="E474" s="8">
        <v>0.011923388184515733</v>
      </c>
      <c r="F474" s="9"/>
      <c r="G474" s="9">
        <v>471.0</v>
      </c>
      <c r="H474" s="10">
        <f t="shared" si="18"/>
        <v>0.009800353294405557</v>
      </c>
      <c r="K474" s="7"/>
    </row>
    <row r="475" spans="8:8">
      <c r="B475" s="7">
        <v>45391.0</v>
      </c>
      <c r="C475" s="8">
        <v>3650.8</v>
      </c>
      <c r="D475" s="8">
        <f t="shared" si="17"/>
        <v>-0.010663523163015028</v>
      </c>
      <c r="E475" s="8">
        <v>0.011911345556642703</v>
      </c>
      <c r="F475" s="9"/>
      <c r="G475" s="9">
        <v>472.0</v>
      </c>
      <c r="H475" s="10">
        <f t="shared" si="18"/>
        <v>0.007598098764905319</v>
      </c>
      <c r="K475" s="7"/>
    </row>
    <row r="476" spans="8:8">
      <c r="B476" s="7">
        <v>45360.0</v>
      </c>
      <c r="C476" s="8">
        <v>3690.15</v>
      </c>
      <c r="D476" s="8">
        <f t="shared" si="17"/>
        <v>0.0019141484075914806</v>
      </c>
      <c r="E476" s="8">
        <v>0.01190155891429925</v>
      </c>
      <c r="F476" s="9"/>
      <c r="G476" s="9">
        <v>473.0</v>
      </c>
      <c r="H476" s="10">
        <f t="shared" si="18"/>
        <v>0.01265589474044912</v>
      </c>
      <c r="K476" s="7"/>
    </row>
    <row r="477" spans="8:8">
      <c r="B477" s="7">
        <v>45331.0</v>
      </c>
      <c r="C477" s="8">
        <v>3683.1</v>
      </c>
      <c r="D477" s="8">
        <f t="shared" si="17"/>
        <v>-0.005817013752986161</v>
      </c>
      <c r="E477" s="8">
        <v>0.01188753900054031</v>
      </c>
      <c r="F477" s="9"/>
      <c r="G477" s="9">
        <v>474.0</v>
      </c>
      <c r="H477" s="10">
        <f t="shared" si="18"/>
        <v>-1.4711645581505896E-4</v>
      </c>
      <c r="K477" s="7"/>
    </row>
    <row r="478" spans="8:8">
      <c r="B478" s="7" t="s">
        <v>8878</v>
      </c>
      <c r="C478" s="8">
        <v>3704.65</v>
      </c>
      <c r="D478" s="8">
        <f t="shared" si="17"/>
        <v>0.0057554738085219765</v>
      </c>
      <c r="E478" s="8">
        <v>0.011825975482733784</v>
      </c>
      <c r="F478" s="9"/>
      <c r="G478" s="9">
        <v>475.0</v>
      </c>
      <c r="H478" s="10">
        <f t="shared" si="18"/>
        <v>-0.008601847453656827</v>
      </c>
      <c r="K478" s="7"/>
    </row>
    <row r="479" spans="8:8">
      <c r="B479" s="7" t="s">
        <v>8879</v>
      </c>
      <c r="C479" s="8">
        <v>3683.45</v>
      </c>
      <c r="D479" s="8">
        <f t="shared" si="17"/>
        <v>-0.0015180059907023119</v>
      </c>
      <c r="E479" s="8">
        <v>0.011825849876458999</v>
      </c>
      <c r="F479" s="9"/>
      <c r="G479" s="9">
        <v>476.0</v>
      </c>
      <c r="H479" s="10">
        <f t="shared" si="18"/>
        <v>-4.523339312926637E-4</v>
      </c>
      <c r="K479" s="7"/>
    </row>
    <row r="480" spans="8:8">
      <c r="B480" s="7" t="s">
        <v>8880</v>
      </c>
      <c r="C480" s="8">
        <v>3689.05</v>
      </c>
      <c r="D480" s="8">
        <f t="shared" si="17"/>
        <v>-0.003686499041240078</v>
      </c>
      <c r="E480" s="8">
        <v>0.011821410451547415</v>
      </c>
      <c r="F480" s="9"/>
      <c r="G480" s="9">
        <v>477.0</v>
      </c>
      <c r="H480" s="10">
        <f t="shared" si="18"/>
        <v>0.004950878831902722</v>
      </c>
      <c r="K480" s="7"/>
    </row>
    <row r="481" spans="8:8">
      <c r="B481" s="7" t="s">
        <v>8881</v>
      </c>
      <c r="C481" s="8">
        <v>3702.7</v>
      </c>
      <c r="D481" s="8">
        <f t="shared" si="17"/>
        <v>0.016694582498146496</v>
      </c>
      <c r="E481" s="8">
        <v>0.01180421951935314</v>
      </c>
      <c r="F481" s="9"/>
      <c r="G481" s="9">
        <v>478.0</v>
      </c>
      <c r="H481" s="10">
        <f t="shared" si="18"/>
        <v>-0.006512664322209116</v>
      </c>
      <c r="K481" s="7"/>
    </row>
    <row r="482" spans="8:8">
      <c r="B482" s="7" t="s">
        <v>8882</v>
      </c>
      <c r="C482" s="8">
        <v>3641.9</v>
      </c>
      <c r="D482" s="8">
        <f t="shared" si="17"/>
        <v>0.012046518736713372</v>
      </c>
      <c r="E482" s="8">
        <v>0.011799619711051416</v>
      </c>
      <c r="F482" s="9"/>
      <c r="G482" s="9">
        <v>479.0</v>
      </c>
      <c r="H482" s="10">
        <f t="shared" si="18"/>
        <v>-0.024849875259663815</v>
      </c>
      <c r="K482" s="7"/>
    </row>
    <row r="483" spans="8:8">
      <c r="B483" s="7" t="s">
        <v>8883</v>
      </c>
      <c r="C483" s="8">
        <v>3598.55</v>
      </c>
      <c r="D483" s="8">
        <f t="shared" si="17"/>
        <v>-0.0022043532510743983</v>
      </c>
      <c r="E483" s="8">
        <v>0.011763974897997262</v>
      </c>
      <c r="F483" s="9"/>
      <c r="G483" s="9">
        <v>480.0</v>
      </c>
      <c r="H483" s="10">
        <f t="shared" si="18"/>
        <v>0.0030575484709125878</v>
      </c>
      <c r="K483" s="7"/>
    </row>
    <row r="484" spans="8:8">
      <c r="B484" s="7" t="s">
        <v>8884</v>
      </c>
      <c r="C484" s="8">
        <v>3606.5</v>
      </c>
      <c r="D484" s="8">
        <f t="shared" si="17"/>
        <v>0.0029059662685446026</v>
      </c>
      <c r="E484" s="8">
        <v>0.011735589972856434</v>
      </c>
      <c r="F484" s="9"/>
      <c r="G484" s="9">
        <v>481.0</v>
      </c>
      <c r="H484" s="10">
        <f t="shared" si="18"/>
        <v>0.013562605161417378</v>
      </c>
      <c r="K484" s="7"/>
    </row>
    <row r="485" spans="8:8">
      <c r="B485" s="7" t="s">
        <v>8885</v>
      </c>
      <c r="C485" s="8">
        <v>3596.05</v>
      </c>
      <c r="D485" s="8">
        <f t="shared" si="17"/>
        <v>0.0065356733003051936</v>
      </c>
      <c r="E485" s="8">
        <v>0.011734219918838313</v>
      </c>
      <c r="F485" s="9"/>
      <c r="G485" s="9">
        <v>482.0</v>
      </c>
      <c r="H485" s="10">
        <f t="shared" si="18"/>
        <v>0.003102109557379074</v>
      </c>
      <c r="K485" s="7"/>
    </row>
    <row r="486" spans="8:8">
      <c r="B486" s="7" t="s">
        <v>8886</v>
      </c>
      <c r="C486" s="8">
        <v>3572.7</v>
      </c>
      <c r="D486" s="8">
        <f t="shared" si="17"/>
        <v>0.004964768428010755</v>
      </c>
      <c r="E486" s="8">
        <v>0.011687981705767791</v>
      </c>
      <c r="F486" s="9"/>
      <c r="G486" s="9">
        <v>483.0</v>
      </c>
      <c r="H486" s="10">
        <f t="shared" si="18"/>
        <v>-0.003254996558264175</v>
      </c>
      <c r="K486" s="7"/>
    </row>
    <row r="487" spans="8:8">
      <c r="B487" s="7" t="s">
        <v>8887</v>
      </c>
      <c r="C487" s="8">
        <v>3555.05</v>
      </c>
      <c r="D487" s="8">
        <f t="shared" si="17"/>
        <v>-0.0037272128574830743</v>
      </c>
      <c r="E487" s="8">
        <v>0.01164650257266027</v>
      </c>
      <c r="F487" s="9"/>
      <c r="G487" s="9">
        <v>484.0</v>
      </c>
      <c r="H487" s="10">
        <f t="shared" si="18"/>
        <v>-0.003319505543578561</v>
      </c>
      <c r="K487" s="7"/>
    </row>
    <row r="488" spans="8:8">
      <c r="B488" s="7" t="s">
        <v>8888</v>
      </c>
      <c r="C488" s="8">
        <v>3568.35</v>
      </c>
      <c r="D488" s="8">
        <f t="shared" si="17"/>
        <v>0.006529955996840825</v>
      </c>
      <c r="E488" s="8">
        <v>0.011621775537322446</v>
      </c>
      <c r="F488" s="9"/>
      <c r="G488" s="9">
        <v>485.0</v>
      </c>
      <c r="H488" s="10">
        <f t="shared" si="18"/>
        <v>0.001323240684143039</v>
      </c>
      <c r="K488" s="7"/>
    </row>
    <row r="489" spans="8:8">
      <c r="B489" s="7" t="s">
        <v>8889</v>
      </c>
      <c r="C489" s="8">
        <v>3545.2</v>
      </c>
      <c r="D489" s="8">
        <f t="shared" si="17"/>
        <v>-0.0018582127372037736</v>
      </c>
      <c r="E489" s="8">
        <v>0.0116107876597739</v>
      </c>
      <c r="F489" s="9"/>
      <c r="G489" s="9">
        <v>486.0</v>
      </c>
      <c r="H489" s="10">
        <f t="shared" si="18"/>
        <v>3.175610035245852E-4</v>
      </c>
      <c r="K489" s="7"/>
    </row>
    <row r="490" spans="8:8">
      <c r="B490" s="7" t="s">
        <v>8890</v>
      </c>
      <c r="C490" s="8">
        <v>3551.8</v>
      </c>
      <c r="D490" s="8">
        <f t="shared" si="17"/>
        <v>-0.005641176388247214</v>
      </c>
      <c r="E490" s="8">
        <v>0.011593052984219422</v>
      </c>
      <c r="F490" s="9"/>
      <c r="G490" s="9">
        <v>487.0</v>
      </c>
      <c r="H490" s="10">
        <f t="shared" si="18"/>
        <v>0.023112513072970426</v>
      </c>
      <c r="K490" s="7"/>
    </row>
    <row r="491" spans="8:8">
      <c r="B491" s="7">
        <v>45634.0</v>
      </c>
      <c r="C491" s="8">
        <v>3571.95</v>
      </c>
      <c r="D491" s="8">
        <f t="shared" si="17"/>
        <v>-0.005595690483150392</v>
      </c>
      <c r="E491" s="8">
        <v>0.011560438914758261</v>
      </c>
      <c r="F491" s="9"/>
      <c r="G491" s="9">
        <v>488.0</v>
      </c>
      <c r="H491" s="10">
        <f t="shared" si="18"/>
        <v>-0.003999546604405731</v>
      </c>
      <c r="K491" s="7"/>
    </row>
    <row r="492" spans="8:8">
      <c r="B492" s="7">
        <v>45543.0</v>
      </c>
      <c r="C492" s="8">
        <v>3592.05</v>
      </c>
      <c r="D492" s="8">
        <f t="shared" si="17"/>
        <v>0.010834236186348862</v>
      </c>
      <c r="E492" s="8">
        <v>0.011556134695837142</v>
      </c>
      <c r="F492" s="9"/>
      <c r="G492" s="9">
        <v>489.0</v>
      </c>
      <c r="H492" s="10">
        <f t="shared" si="18"/>
        <v>0.006646581950682225</v>
      </c>
      <c r="K492" s="7"/>
    </row>
    <row r="493" spans="8:8">
      <c r="B493" s="7">
        <v>45512.0</v>
      </c>
      <c r="C493" s="8">
        <v>3553.55</v>
      </c>
      <c r="D493" s="8">
        <f t="shared" si="17"/>
        <v>-0.02328042328042323</v>
      </c>
      <c r="E493" s="8">
        <v>0.011536250923721122</v>
      </c>
      <c r="F493" s="9"/>
      <c r="G493" s="9">
        <v>490.0</v>
      </c>
      <c r="H493" s="10">
        <f t="shared" si="18"/>
        <v>0.00207240057182199</v>
      </c>
      <c r="K493" s="7"/>
    </row>
    <row r="494" spans="8:8">
      <c r="B494" s="7">
        <v>45481.0</v>
      </c>
      <c r="C494" s="8">
        <v>3638.25</v>
      </c>
      <c r="D494" s="8">
        <f t="shared" si="17"/>
        <v>0.017350819305408025</v>
      </c>
      <c r="E494" s="8">
        <v>0.011531550391653923</v>
      </c>
      <c r="F494" s="9"/>
      <c r="G494" s="9">
        <v>491.0</v>
      </c>
      <c r="H494" s="10">
        <f t="shared" si="18"/>
        <v>-0.014937528735968743</v>
      </c>
      <c r="K494" s="7"/>
    </row>
    <row r="495" spans="8:8">
      <c r="B495" s="7">
        <v>45451.0</v>
      </c>
      <c r="C495" s="8">
        <v>3576.2</v>
      </c>
      <c r="D495" s="8">
        <f t="shared" si="17"/>
        <v>0.013662131519274324</v>
      </c>
      <c r="E495" s="8">
        <v>0.01152351601232736</v>
      </c>
      <c r="F495" s="9"/>
      <c r="G495" s="9">
        <v>492.0</v>
      </c>
      <c r="H495" s="10">
        <f t="shared" si="18"/>
        <v>-0.003760032069719964</v>
      </c>
      <c r="K495" s="7"/>
    </row>
    <row r="496" spans="8:8">
      <c r="B496" s="7">
        <v>45420.0</v>
      </c>
      <c r="C496" s="8">
        <v>3528.0</v>
      </c>
      <c r="D496" s="8">
        <f t="shared" si="17"/>
        <v>-0.037564448809231474</v>
      </c>
      <c r="E496" s="8">
        <v>0.011503477795612504</v>
      </c>
      <c r="F496" s="9"/>
      <c r="G496" s="9">
        <v>493.0</v>
      </c>
      <c r="H496" s="10">
        <f t="shared" si="18"/>
        <v>-0.003966415125363069</v>
      </c>
      <c r="K496" s="7"/>
    </row>
    <row r="497" spans="8:8">
      <c r="B497" s="7">
        <v>45330.0</v>
      </c>
      <c r="C497" s="8">
        <v>3665.7</v>
      </c>
      <c r="D497" s="8">
        <f t="shared" si="17"/>
        <v>-0.0300584764374356</v>
      </c>
      <c r="E497" s="8">
        <v>0.01148362882670924</v>
      </c>
      <c r="F497" s="9"/>
      <c r="G497" s="9">
        <v>494.0</v>
      </c>
      <c r="H497" s="10">
        <f t="shared" si="18"/>
        <v>0.007092394297544826</v>
      </c>
      <c r="K497" s="7"/>
    </row>
    <row r="498" spans="8:8">
      <c r="B498" s="7">
        <v>45299.0</v>
      </c>
      <c r="C498" s="8">
        <v>3779.3</v>
      </c>
      <c r="D498" s="8">
        <f t="shared" si="17"/>
        <v>-0.009357798165137567</v>
      </c>
      <c r="E498" s="8">
        <v>0.011480335441051127</v>
      </c>
      <c r="F498" s="9"/>
      <c r="G498" s="9">
        <v>495.0</v>
      </c>
      <c r="H498" s="10">
        <f t="shared" si="18"/>
        <v>0.006627838343651507</v>
      </c>
      <c r="K498" s="7"/>
    </row>
    <row r="499" spans="8:8">
      <c r="B499" s="7" t="s">
        <v>8891</v>
      </c>
      <c r="C499" s="8">
        <v>3815.0</v>
      </c>
      <c r="D499" s="8">
        <f t="shared" si="17"/>
        <v>0.008019235596422366</v>
      </c>
      <c r="E499" s="8">
        <v>0.011467353147671371</v>
      </c>
      <c r="F499" s="9"/>
      <c r="G499" s="9">
        <v>496.0</v>
      </c>
      <c r="H499" s="10">
        <f t="shared" si="18"/>
        <v>-0.001274629828316995</v>
      </c>
      <c r="K499" s="7"/>
    </row>
    <row r="500" spans="8:8">
      <c r="B500" s="7" t="s">
        <v>8892</v>
      </c>
      <c r="C500" s="8">
        <v>3784.65</v>
      </c>
      <c r="D500" s="8">
        <f t="shared" si="17"/>
        <v>0.0025695704578869317</v>
      </c>
      <c r="E500" s="8">
        <v>0.011458333333333333</v>
      </c>
      <c r="F500" s="9"/>
      <c r="G500" s="9">
        <v>497.0</v>
      </c>
      <c r="H500" s="10">
        <f t="shared" si="18"/>
        <v>0.00962649606355621</v>
      </c>
      <c r="K500" s="7"/>
    </row>
    <row r="501" spans="8:8">
      <c r="B501" s="7" t="s">
        <v>8893</v>
      </c>
      <c r="C501" s="8">
        <v>3774.95</v>
      </c>
      <c r="D501" s="8">
        <f t="shared" si="17"/>
        <v>0.02582950623658244</v>
      </c>
      <c r="E501" s="8">
        <v>0.011453919491525393</v>
      </c>
      <c r="F501" s="9"/>
      <c r="G501" s="9">
        <v>498.0</v>
      </c>
      <c r="H501" s="10">
        <f t="shared" si="18"/>
        <v>0.007373655438099652</v>
      </c>
      <c r="K501" s="7"/>
    </row>
    <row r="502" spans="8:8">
      <c r="B502" s="7" t="s">
        <v>8894</v>
      </c>
      <c r="C502" s="8">
        <v>3679.9</v>
      </c>
      <c r="D502" s="8">
        <f t="shared" si="17"/>
        <v>0.016785709351643342</v>
      </c>
      <c r="E502" s="8">
        <v>0.011396168244879882</v>
      </c>
      <c r="F502" s="9"/>
      <c r="G502" s="9">
        <v>499.0</v>
      </c>
      <c r="H502" s="10">
        <f t="shared" si="18"/>
        <v>0.005991957889097616</v>
      </c>
      <c r="K502" s="7"/>
    </row>
    <row r="503" spans="8:8">
      <c r="B503" s="7" t="s">
        <v>8895</v>
      </c>
      <c r="C503" s="8">
        <v>3619.15</v>
      </c>
      <c r="D503" s="8">
        <f t="shared" si="17"/>
        <v>0.02832828993166554</v>
      </c>
      <c r="E503" s="8">
        <v>0.011379924423402604</v>
      </c>
      <c r="F503" s="9"/>
      <c r="G503" s="9">
        <v>500.0</v>
      </c>
      <c r="H503" s="10">
        <f t="shared" si="18"/>
        <v>0.022906869395229502</v>
      </c>
      <c r="K503" s="7"/>
    </row>
    <row r="504" spans="8:8">
      <c r="B504" s="7" t="s">
        <v>8896</v>
      </c>
      <c r="C504" s="8">
        <v>3519.45</v>
      </c>
      <c r="D504" s="8">
        <f t="shared" si="17"/>
        <v>-0.005257133166574911</v>
      </c>
      <c r="E504" s="8">
        <v>0.011319345926976806</v>
      </c>
      <c r="F504" s="9"/>
      <c r="G504" s="9">
        <v>501.0</v>
      </c>
      <c r="H504" s="10">
        <f t="shared" si="18"/>
        <v>0.014630773528570989</v>
      </c>
      <c r="K504" s="7"/>
    </row>
    <row r="505" spans="8:8">
      <c r="B505" s="7" t="s">
        <v>8897</v>
      </c>
      <c r="C505" s="8">
        <v>3538.05</v>
      </c>
      <c r="D505" s="8">
        <f t="shared" si="17"/>
        <v>-0.031056155773733624</v>
      </c>
      <c r="E505" s="8">
        <v>0.01128909229595725</v>
      </c>
      <c r="F505" s="9"/>
      <c r="G505" s="9">
        <v>502.0</v>
      </c>
      <c r="H505" s="10">
        <f t="shared" si="18"/>
        <v>-0.015455339560478263</v>
      </c>
      <c r="K505" s="7"/>
    </row>
    <row r="506" spans="8:8">
      <c r="B506" s="7" t="s">
        <v>8898</v>
      </c>
      <c r="C506" s="8">
        <v>3651.45</v>
      </c>
      <c r="D506" s="8">
        <f t="shared" si="17"/>
        <v>0.009105983142185938</v>
      </c>
      <c r="E506" s="8">
        <v>0.01127412161880537</v>
      </c>
      <c r="F506" s="9"/>
      <c r="G506" s="9">
        <v>503.0</v>
      </c>
      <c r="H506" s="10">
        <f t="shared" si="18"/>
        <v>0.002880199298397001</v>
      </c>
      <c r="K506" s="7"/>
    </row>
    <row r="507" spans="8:8">
      <c r="B507" s="7" t="s">
        <v>8899</v>
      </c>
      <c r="C507" s="8">
        <v>3618.5</v>
      </c>
      <c r="D507" s="8">
        <f t="shared" si="17"/>
        <v>-0.010311252119687057</v>
      </c>
      <c r="E507" s="8">
        <v>0.011260582481711802</v>
      </c>
      <c r="F507" s="9"/>
      <c r="G507" s="9">
        <v>504.0</v>
      </c>
      <c r="H507" s="10">
        <f t="shared" si="18"/>
        <v>0.013611239939559316</v>
      </c>
      <c r="K507" s="7"/>
    </row>
    <row r="508" spans="8:8">
      <c r="B508" s="7" t="s">
        <v>8900</v>
      </c>
      <c r="C508" s="8">
        <v>3656.2</v>
      </c>
      <c r="D508" s="8">
        <f t="shared" si="17"/>
        <v>0.005403473072004959</v>
      </c>
      <c r="E508" s="8">
        <v>0.011229623666733786</v>
      </c>
      <c r="F508" s="9"/>
      <c r="G508" s="9">
        <v>505.0</v>
      </c>
      <c r="H508" s="10">
        <f t="shared" si="18"/>
        <v>0.011514167026606254</v>
      </c>
      <c r="K508" s="7"/>
    </row>
    <row r="509" spans="8:8">
      <c r="B509" s="7" t="s">
        <v>8901</v>
      </c>
      <c r="C509" s="8">
        <v>3636.55</v>
      </c>
      <c r="D509" s="8">
        <f t="shared" si="17"/>
        <v>-0.004121480994632415</v>
      </c>
      <c r="E509" s="8">
        <v>0.011202504450309987</v>
      </c>
      <c r="F509" s="9"/>
      <c r="G509" s="9">
        <v>506.0</v>
      </c>
      <c r="H509" s="10">
        <f t="shared" si="18"/>
        <v>-0.004772993063992149</v>
      </c>
      <c r="K509" s="7"/>
    </row>
    <row r="510" spans="8:8">
      <c r="B510" s="7" t="s">
        <v>8902</v>
      </c>
      <c r="C510" s="8">
        <v>3651.6</v>
      </c>
      <c r="D510" s="8">
        <f t="shared" si="17"/>
        <v>6.165481524107033E-4</v>
      </c>
      <c r="E510" s="8">
        <v>0.0111867954635142</v>
      </c>
      <c r="F510" s="9"/>
      <c r="G510" s="9">
        <v>507.0</v>
      </c>
      <c r="H510" s="10">
        <f t="shared" si="18"/>
        <v>0.010351225606783802</v>
      </c>
      <c r="K510" s="7"/>
    </row>
    <row r="511" spans="8:8">
      <c r="B511" s="7">
        <v>45633.0</v>
      </c>
      <c r="C511" s="8">
        <v>3649.35</v>
      </c>
      <c r="D511" s="8">
        <f t="shared" si="17"/>
        <v>0.007801496782745575</v>
      </c>
      <c r="E511" s="8">
        <v>0.011148475160269714</v>
      </c>
      <c r="F511" s="9"/>
      <c r="G511" s="9">
        <v>508.0</v>
      </c>
      <c r="H511" s="10">
        <f t="shared" si="18"/>
        <v>0.009985688931417581</v>
      </c>
      <c r="K511" s="7"/>
    </row>
    <row r="512" spans="8:8">
      <c r="B512" s="7">
        <v>45603.0</v>
      </c>
      <c r="C512" s="8">
        <v>3621.1</v>
      </c>
      <c r="D512" s="8">
        <f t="shared" si="17"/>
        <v>-0.007931398200024732</v>
      </c>
      <c r="E512" s="8">
        <v>0.011123296255679106</v>
      </c>
      <c r="F512" s="9"/>
      <c r="G512" s="9">
        <v>509.0</v>
      </c>
      <c r="H512" s="10">
        <f t="shared" si="18"/>
        <v>0.01564385050787578</v>
      </c>
      <c r="K512" s="7"/>
    </row>
    <row r="513" spans="8:8">
      <c r="B513" s="7">
        <v>45572.0</v>
      </c>
      <c r="C513" s="8">
        <v>3650.05</v>
      </c>
      <c r="D513" s="8">
        <f t="shared" si="17"/>
        <v>-0.0043779493194402025</v>
      </c>
      <c r="E513" s="8">
        <v>0.011104669312759058</v>
      </c>
      <c r="F513" s="9"/>
      <c r="G513" s="9">
        <v>510.0</v>
      </c>
      <c r="H513" s="10">
        <f t="shared" si="18"/>
        <v>0.0020986555184999336</v>
      </c>
      <c r="K513" s="7"/>
    </row>
    <row r="514" spans="8:8">
      <c r="B514" s="7">
        <v>45542.0</v>
      </c>
      <c r="C514" s="8">
        <v>3666.1</v>
      </c>
      <c r="D514" s="8">
        <f t="shared" si="17"/>
        <v>0.009388766519823764</v>
      </c>
      <c r="E514" s="8">
        <v>0.011103291891469231</v>
      </c>
      <c r="F514" s="9"/>
      <c r="G514" s="9">
        <v>511.0</v>
      </c>
      <c r="H514" s="10">
        <f t="shared" si="18"/>
        <v>0.007260408971185656</v>
      </c>
      <c r="K514" s="7"/>
    </row>
    <row r="515" spans="8:8">
      <c r="B515" s="7">
        <v>45511.0</v>
      </c>
      <c r="C515" s="8">
        <v>3632.0</v>
      </c>
      <c r="D515" s="8">
        <f t="shared" si="17"/>
        <v>0.001337137973339925</v>
      </c>
      <c r="E515" s="8">
        <v>0.011077027948193593</v>
      </c>
      <c r="F515" s="9"/>
      <c r="G515" s="9">
        <v>512.0</v>
      </c>
      <c r="H515" s="10">
        <f t="shared" si="18"/>
        <v>-0.0027274797676762755</v>
      </c>
      <c r="K515" s="7"/>
    </row>
    <row r="516" spans="8:8">
      <c r="B516" s="7">
        <v>45419.0</v>
      </c>
      <c r="C516" s="8">
        <v>3627.15</v>
      </c>
      <c r="D516" s="8">
        <f t="shared" si="19" ref="D516:D579">(C516-C517)/C517</f>
        <v>0.015070103265888648</v>
      </c>
      <c r="E516" s="8">
        <v>0.011065123743559474</v>
      </c>
      <c r="F516" s="9"/>
      <c r="G516" s="9">
        <v>513.0</v>
      </c>
      <c r="H516" s="10">
        <f t="shared" si="18"/>
        <v>0.01404526782816791</v>
      </c>
      <c r="K516" s="7"/>
    </row>
    <row r="517" spans="8:8">
      <c r="B517" s="7">
        <v>45389.0</v>
      </c>
      <c r="C517" s="8">
        <v>3573.3</v>
      </c>
      <c r="D517" s="8">
        <f t="shared" si="19"/>
        <v>-0.011357505498913976</v>
      </c>
      <c r="E517" s="8">
        <v>0.011046983497159346</v>
      </c>
      <c r="F517" s="9"/>
      <c r="G517" s="9">
        <v>514.0</v>
      </c>
      <c r="H517" s="10">
        <f t="shared" si="20" ref="H517:H580">_xlfn.NORM.INV(RAND(),N$6,N$7)</f>
        <v>0.001417161005195084</v>
      </c>
      <c r="K517" s="7"/>
    </row>
    <row r="518" spans="8:8">
      <c r="B518" s="7">
        <v>45358.0</v>
      </c>
      <c r="C518" s="8">
        <v>3614.35</v>
      </c>
      <c r="D518" s="8">
        <f t="shared" si="19"/>
        <v>-0.0033503377912588147</v>
      </c>
      <c r="E518" s="8">
        <v>0.011039879819029787</v>
      </c>
      <c r="F518" s="9"/>
      <c r="G518" s="9">
        <v>515.0</v>
      </c>
      <c r="H518" s="10">
        <f t="shared" si="20"/>
        <v>-0.005035657052244722</v>
      </c>
      <c r="K518" s="7"/>
    </row>
    <row r="519" spans="8:8">
      <c r="B519" s="7">
        <v>45329.0</v>
      </c>
      <c r="C519" s="8">
        <v>3626.5</v>
      </c>
      <c r="D519" s="8">
        <f t="shared" si="19"/>
        <v>0.028342147424536675</v>
      </c>
      <c r="E519" s="8">
        <v>0.011038444236824835</v>
      </c>
      <c r="F519" s="9"/>
      <c r="G519" s="9">
        <v>516.0</v>
      </c>
      <c r="H519" s="10">
        <f t="shared" si="20"/>
        <v>0.0028577136106421428</v>
      </c>
      <c r="K519" s="7"/>
    </row>
    <row r="520" spans="8:8">
      <c r="B520" s="7">
        <v>45298.0</v>
      </c>
      <c r="C520" s="8">
        <v>3526.55</v>
      </c>
      <c r="D520" s="8">
        <f t="shared" si="19"/>
        <v>-0.006171708774253445</v>
      </c>
      <c r="E520" s="8">
        <v>0.011009633429250631</v>
      </c>
      <c r="F520" s="9"/>
      <c r="G520" s="9">
        <v>517.0</v>
      </c>
      <c r="H520" s="10">
        <f t="shared" si="20"/>
        <v>-0.0022062756830754328</v>
      </c>
      <c r="K520" s="7"/>
    </row>
    <row r="521" spans="8:8">
      <c r="B521" s="7" t="s">
        <v>8903</v>
      </c>
      <c r="C521" s="8">
        <v>3548.45</v>
      </c>
      <c r="D521" s="8">
        <f t="shared" si="19"/>
        <v>-0.004474806419032733</v>
      </c>
      <c r="E521" s="8">
        <v>0.010969000650336087</v>
      </c>
      <c r="F521" s="9"/>
      <c r="G521" s="9">
        <v>518.0</v>
      </c>
      <c r="H521" s="10">
        <f t="shared" si="20"/>
        <v>-0.00903549773435361</v>
      </c>
      <c r="K521" s="7"/>
    </row>
    <row r="522" spans="8:8">
      <c r="B522" s="7" t="s">
        <v>8904</v>
      </c>
      <c r="C522" s="8">
        <v>3564.4</v>
      </c>
      <c r="D522" s="8">
        <f t="shared" si="19"/>
        <v>-0.01069956563371674</v>
      </c>
      <c r="E522" s="8">
        <v>0.010959083899333954</v>
      </c>
      <c r="F522" s="9"/>
      <c r="G522" s="9">
        <v>519.0</v>
      </c>
      <c r="H522" s="10">
        <f t="shared" si="20"/>
        <v>-0.006027759235635533</v>
      </c>
      <c r="K522" s="7"/>
    </row>
    <row r="523" spans="8:8">
      <c r="B523" s="7" t="s">
        <v>8905</v>
      </c>
      <c r="C523" s="8">
        <v>3602.95</v>
      </c>
      <c r="D523" s="8">
        <f t="shared" si="19"/>
        <v>0.004222643402642186</v>
      </c>
      <c r="E523" s="8">
        <v>0.01094797897408005</v>
      </c>
      <c r="F523" s="9"/>
      <c r="G523" s="9">
        <v>520.0</v>
      </c>
      <c r="H523" s="10">
        <f t="shared" si="20"/>
        <v>0.0023113341220018365</v>
      </c>
      <c r="K523" s="7"/>
    </row>
    <row r="524" spans="8:8">
      <c r="B524" s="7" t="s">
        <v>8906</v>
      </c>
      <c r="C524" s="8">
        <v>3587.8</v>
      </c>
      <c r="D524" s="8">
        <f t="shared" si="19"/>
        <v>0.015913466983803453</v>
      </c>
      <c r="E524" s="8">
        <v>0.010911757094798665</v>
      </c>
      <c r="F524" s="9"/>
      <c r="G524" s="9">
        <v>521.0</v>
      </c>
      <c r="H524" s="10">
        <f t="shared" si="20"/>
        <v>-0.010855558716602116</v>
      </c>
      <c r="K524" s="7"/>
    </row>
    <row r="525" spans="8:8">
      <c r="B525" s="7" t="s">
        <v>8907</v>
      </c>
      <c r="C525" s="8">
        <v>3531.6</v>
      </c>
      <c r="D525" s="8">
        <f t="shared" si="19"/>
        <v>-9.618104667609875E-4</v>
      </c>
      <c r="E525" s="8">
        <v>0.010899050571594652</v>
      </c>
      <c r="F525" s="9"/>
      <c r="G525" s="9">
        <v>522.0</v>
      </c>
      <c r="H525" s="10">
        <f t="shared" si="20"/>
        <v>0.005453804914467288</v>
      </c>
      <c r="K525" s="7"/>
    </row>
    <row r="526" spans="8:8">
      <c r="B526" s="7" t="s">
        <v>8908</v>
      </c>
      <c r="C526" s="8">
        <v>3535.0</v>
      </c>
      <c r="D526" s="8">
        <f t="shared" si="19"/>
        <v>-0.016539387110684478</v>
      </c>
      <c r="E526" s="8">
        <v>0.010870011075105624</v>
      </c>
      <c r="F526" s="9"/>
      <c r="G526" s="9">
        <v>523.0</v>
      </c>
      <c r="H526" s="10">
        <f t="shared" si="20"/>
        <v>0.0024288629108824254</v>
      </c>
      <c r="K526" s="7"/>
    </row>
    <row r="527" spans="8:8">
      <c r="B527" s="7" t="s">
        <v>8909</v>
      </c>
      <c r="C527" s="8">
        <v>3594.45</v>
      </c>
      <c r="D527" s="8">
        <f t="shared" si="19"/>
        <v>0.001253499352358668</v>
      </c>
      <c r="E527" s="8">
        <v>0.010855206478662968</v>
      </c>
      <c r="F527" s="9"/>
      <c r="G527" s="9">
        <v>524.0</v>
      </c>
      <c r="H527" s="10">
        <f t="shared" si="20"/>
        <v>0.0036343405418128387</v>
      </c>
      <c r="K527" s="7"/>
    </row>
    <row r="528" spans="8:8">
      <c r="B528" s="7" t="s">
        <v>8910</v>
      </c>
      <c r="C528" s="8">
        <v>3589.95</v>
      </c>
      <c r="D528" s="8">
        <f t="shared" si="19"/>
        <v>-0.026902851566735338</v>
      </c>
      <c r="E528" s="8">
        <v>0.010846872302017167</v>
      </c>
      <c r="F528" s="9"/>
      <c r="G528" s="9">
        <v>525.0</v>
      </c>
      <c r="H528" s="10">
        <f t="shared" si="20"/>
        <v>0.017360072612310318</v>
      </c>
      <c r="K528" s="7"/>
    </row>
    <row r="529" spans="8:8">
      <c r="B529" s="7" t="s">
        <v>8911</v>
      </c>
      <c r="C529" s="8">
        <v>3689.2</v>
      </c>
      <c r="D529" s="8">
        <f t="shared" si="19"/>
        <v>3.7963013178578996E-4</v>
      </c>
      <c r="E529" s="8">
        <v>0.01080652357110999</v>
      </c>
      <c r="F529" s="9"/>
      <c r="G529" s="9">
        <v>526.0</v>
      </c>
      <c r="H529" s="10">
        <f t="shared" si="20"/>
        <v>-0.008566867650826482</v>
      </c>
      <c r="K529" s="7"/>
    </row>
    <row r="530" spans="8:8">
      <c r="B530" s="7" t="s">
        <v>8912</v>
      </c>
      <c r="C530" s="8">
        <v>3687.8</v>
      </c>
      <c r="D530" s="8">
        <f t="shared" si="19"/>
        <v>-0.004279562053649754</v>
      </c>
      <c r="E530" s="8">
        <v>0.010760121959866663</v>
      </c>
      <c r="F530" s="9"/>
      <c r="G530" s="9">
        <v>527.0</v>
      </c>
      <c r="H530" s="10">
        <f t="shared" si="20"/>
        <v>-0.002301163319458048</v>
      </c>
      <c r="K530" s="7"/>
    </row>
    <row r="531" spans="8:8">
      <c r="B531" s="7" t="s">
        <v>8913</v>
      </c>
      <c r="C531" s="8">
        <v>3703.65</v>
      </c>
      <c r="D531" s="8">
        <f t="shared" si="19"/>
        <v>0.02020494174035201</v>
      </c>
      <c r="E531" s="8">
        <v>0.010737294201861132</v>
      </c>
      <c r="F531" s="9"/>
      <c r="G531" s="9">
        <v>528.0</v>
      </c>
      <c r="H531" s="10">
        <f t="shared" si="20"/>
        <v>-0.015440615880244733</v>
      </c>
      <c r="K531" s="7"/>
    </row>
    <row r="532" spans="8:8">
      <c r="B532" s="7">
        <v>45632.0</v>
      </c>
      <c r="C532" s="8">
        <v>3630.3</v>
      </c>
      <c r="D532" s="8">
        <f t="shared" si="19"/>
        <v>0.008780948675910847</v>
      </c>
      <c r="E532" s="8">
        <v>0.010701419792328908</v>
      </c>
      <c r="F532" s="9"/>
      <c r="G532" s="9">
        <v>529.0</v>
      </c>
      <c r="H532" s="10">
        <f t="shared" si="20"/>
        <v>0.003291574507709592</v>
      </c>
      <c r="K532" s="7"/>
    </row>
    <row r="533" spans="8:8">
      <c r="B533" s="7">
        <v>45602.0</v>
      </c>
      <c r="C533" s="8">
        <v>3598.7</v>
      </c>
      <c r="D533" s="8">
        <f t="shared" si="19"/>
        <v>0.015506172839506121</v>
      </c>
      <c r="E533" s="8">
        <v>0.010693086592178772</v>
      </c>
      <c r="F533" s="9"/>
      <c r="G533" s="9">
        <v>530.0</v>
      </c>
      <c r="H533" s="10">
        <f t="shared" si="20"/>
        <v>0.026320384143448936</v>
      </c>
      <c r="K533" s="7"/>
    </row>
    <row r="534" spans="8:8">
      <c r="B534" s="7">
        <v>45571.0</v>
      </c>
      <c r="C534" s="8">
        <v>3543.75</v>
      </c>
      <c r="D534" s="8">
        <f t="shared" si="19"/>
        <v>0.0031847133757961785</v>
      </c>
      <c r="E534" s="8">
        <v>0.010677836115863452</v>
      </c>
      <c r="F534" s="9"/>
      <c r="G534" s="9">
        <v>531.0</v>
      </c>
      <c r="H534" s="10">
        <f t="shared" si="20"/>
        <v>-0.002354763481665005</v>
      </c>
      <c r="K534" s="7"/>
    </row>
    <row r="535" spans="8:8">
      <c r="B535" s="7">
        <v>45479.0</v>
      </c>
      <c r="C535" s="8">
        <v>3532.5</v>
      </c>
      <c r="D535" s="8">
        <f t="shared" si="19"/>
        <v>0.014342938364129679</v>
      </c>
      <c r="E535" s="8">
        <v>0.010630296344582083</v>
      </c>
      <c r="F535" s="9"/>
      <c r="G535" s="9">
        <v>532.0</v>
      </c>
      <c r="H535" s="10">
        <f t="shared" si="20"/>
        <v>0.016527330926906305</v>
      </c>
      <c r="K535" s="7"/>
    </row>
    <row r="536" spans="8:8">
      <c r="B536" s="7">
        <v>45449.0</v>
      </c>
      <c r="C536" s="8">
        <v>3482.55</v>
      </c>
      <c r="D536" s="8">
        <f t="shared" si="19"/>
        <v>0.021575242006453558</v>
      </c>
      <c r="E536" s="8">
        <v>0.010621525184632132</v>
      </c>
      <c r="F536" s="9"/>
      <c r="G536" s="9">
        <v>533.0</v>
      </c>
      <c r="H536" s="10">
        <f t="shared" si="20"/>
        <v>-0.00703559769778997</v>
      </c>
      <c r="K536" s="7"/>
    </row>
    <row r="537" spans="8:8">
      <c r="B537" s="7">
        <v>45418.0</v>
      </c>
      <c r="C537" s="8">
        <v>3409.0</v>
      </c>
      <c r="D537" s="8">
        <f t="shared" si="19"/>
        <v>0.0017042783262812007</v>
      </c>
      <c r="E537" s="8">
        <v>0.010581441228164568</v>
      </c>
      <c r="F537" s="9"/>
      <c r="G537" s="9">
        <v>534.0</v>
      </c>
      <c r="H537" s="10">
        <f t="shared" si="20"/>
        <v>-0.005975532297662082</v>
      </c>
      <c r="K537" s="7"/>
    </row>
    <row r="538" spans="8:8">
      <c r="B538" s="7">
        <v>45388.0</v>
      </c>
      <c r="C538" s="8">
        <v>3403.2</v>
      </c>
      <c r="D538" s="8">
        <f t="shared" si="19"/>
        <v>-0.12674646857318816</v>
      </c>
      <c r="E538" s="8">
        <v>0.010570824524312896</v>
      </c>
      <c r="F538" s="9"/>
      <c r="G538" s="9">
        <v>535.0</v>
      </c>
      <c r="H538" s="10">
        <f t="shared" si="20"/>
        <v>0.010116414310085841</v>
      </c>
      <c r="K538" s="7"/>
    </row>
    <row r="539" spans="8:8">
      <c r="B539" s="7">
        <v>45357.0</v>
      </c>
      <c r="C539" s="8">
        <v>3897.15</v>
      </c>
      <c r="D539" s="8">
        <f t="shared" si="19"/>
        <v>0.062096312648189</v>
      </c>
      <c r="E539" s="8">
        <v>0.010564061099295047</v>
      </c>
      <c r="F539" s="9"/>
      <c r="G539" s="9">
        <v>536.0</v>
      </c>
      <c r="H539" s="10">
        <f t="shared" si="20"/>
        <v>0.025655406651019577</v>
      </c>
      <c r="K539" s="7"/>
    </row>
    <row r="540" spans="8:8">
      <c r="B540" s="7" t="s">
        <v>8914</v>
      </c>
      <c r="C540" s="8">
        <v>3669.3</v>
      </c>
      <c r="D540" s="8">
        <f t="shared" si="19"/>
        <v>0.00951935510496062</v>
      </c>
      <c r="E540" s="8">
        <v>0.010551756661164738</v>
      </c>
      <c r="F540" s="9"/>
      <c r="G540" s="9">
        <v>537.0</v>
      </c>
      <c r="H540" s="10">
        <f t="shared" si="20"/>
        <v>0.013079274290739525</v>
      </c>
      <c r="K540" s="7"/>
    </row>
    <row r="541" spans="8:8">
      <c r="B541" s="7" t="s">
        <v>8915</v>
      </c>
      <c r="C541" s="8">
        <v>3634.7</v>
      </c>
      <c r="D541" s="8">
        <f t="shared" si="19"/>
        <v>-2.751183008703747E-5</v>
      </c>
      <c r="E541" s="8">
        <v>0.010541546093426965</v>
      </c>
      <c r="F541" s="9"/>
      <c r="G541" s="9">
        <v>538.0</v>
      </c>
      <c r="H541" s="10">
        <f t="shared" si="20"/>
        <v>0.009255653204882757</v>
      </c>
      <c r="K541" s="7"/>
    </row>
    <row r="542" spans="8:8">
      <c r="B542" s="7" t="s">
        <v>8916</v>
      </c>
      <c r="C542" s="8">
        <v>3634.8</v>
      </c>
      <c r="D542" s="8">
        <f t="shared" si="19"/>
        <v>-0.006396588486140626</v>
      </c>
      <c r="E542" s="8">
        <v>0.010531170727957428</v>
      </c>
      <c r="F542" s="9"/>
      <c r="G542" s="9">
        <v>539.0</v>
      </c>
      <c r="H542" s="10">
        <f t="shared" si="20"/>
        <v>-0.006045912750944842</v>
      </c>
      <c r="K542" s="7"/>
    </row>
    <row r="543" spans="8:8">
      <c r="B543" s="7" t="s">
        <v>8917</v>
      </c>
      <c r="C543" s="8">
        <v>3658.2</v>
      </c>
      <c r="D543" s="8">
        <f t="shared" si="19"/>
        <v>0.001697699890470925</v>
      </c>
      <c r="E543" s="8">
        <v>0.010527470117337494</v>
      </c>
      <c r="F543" s="9"/>
      <c r="G543" s="9">
        <v>540.0</v>
      </c>
      <c r="H543" s="10">
        <f t="shared" si="20"/>
        <v>0.008665847368813536</v>
      </c>
      <c r="K543" s="7"/>
    </row>
    <row r="544" spans="8:8">
      <c r="B544" s="7" t="s">
        <v>8918</v>
      </c>
      <c r="C544" s="8">
        <v>3652.0</v>
      </c>
      <c r="D544" s="8">
        <f t="shared" si="19"/>
        <v>0.007198212857497424</v>
      </c>
      <c r="E544" s="8">
        <v>0.01052260819794815</v>
      </c>
      <c r="F544" s="9"/>
      <c r="G544" s="9">
        <v>541.0</v>
      </c>
      <c r="H544" s="10">
        <f t="shared" si="20"/>
        <v>0.009365953728043004</v>
      </c>
      <c r="K544" s="7"/>
    </row>
    <row r="545" spans="8:8">
      <c r="B545" s="7" t="s">
        <v>8919</v>
      </c>
      <c r="C545" s="8">
        <v>3625.9</v>
      </c>
      <c r="D545" s="8">
        <f t="shared" si="19"/>
        <v>0.011295810788196574</v>
      </c>
      <c r="E545" s="8">
        <v>0.010513836458365775</v>
      </c>
      <c r="F545" s="9"/>
      <c r="G545" s="9">
        <v>542.0</v>
      </c>
      <c r="H545" s="10">
        <f t="shared" si="20"/>
        <v>-0.014528100438682273</v>
      </c>
      <c r="K545" s="7"/>
    </row>
    <row r="546" spans="8:8">
      <c r="B546" s="7" t="s">
        <v>8920</v>
      </c>
      <c r="C546" s="8">
        <v>3585.4</v>
      </c>
      <c r="D546" s="8">
        <f t="shared" si="19"/>
        <v>0.035988268777901435</v>
      </c>
      <c r="E546" s="8">
        <v>0.010491344640671446</v>
      </c>
      <c r="F546" s="9"/>
      <c r="G546" s="9">
        <v>543.0</v>
      </c>
      <c r="H546" s="10">
        <f t="shared" si="20"/>
        <v>0.014102359601419506</v>
      </c>
      <c r="K546" s="7"/>
    </row>
    <row r="547" spans="8:8">
      <c r="B547" s="7" t="s">
        <v>8921</v>
      </c>
      <c r="C547" s="8">
        <v>3460.85</v>
      </c>
      <c r="D547" s="8">
        <f t="shared" si="19"/>
        <v>0.005783286592365507</v>
      </c>
      <c r="E547" s="8">
        <v>0.010484367059830383</v>
      </c>
      <c r="F547" s="9"/>
      <c r="G547" s="9">
        <v>544.0</v>
      </c>
      <c r="H547" s="10">
        <f t="shared" si="20"/>
        <v>-0.0034146429539409513</v>
      </c>
      <c r="K547" s="7"/>
    </row>
    <row r="548" spans="8:8">
      <c r="B548" s="7" t="s">
        <v>8922</v>
      </c>
      <c r="C548" s="8">
        <v>3440.95</v>
      </c>
      <c r="D548" s="8">
        <f t="shared" si="19"/>
        <v>-0.006711506264072514</v>
      </c>
      <c r="E548" s="8">
        <v>0.010453881760850008</v>
      </c>
      <c r="F548" s="9"/>
      <c r="G548" s="9">
        <v>545.0</v>
      </c>
      <c r="H548" s="10">
        <f t="shared" si="20"/>
        <v>-0.007032490316698596</v>
      </c>
      <c r="K548" s="7"/>
    </row>
    <row r="549" spans="8:8">
      <c r="B549" s="7" t="s">
        <v>8923</v>
      </c>
      <c r="C549" s="8">
        <v>3464.2</v>
      </c>
      <c r="D549" s="8">
        <f t="shared" si="19"/>
        <v>0.003897703397812017</v>
      </c>
      <c r="E549" s="8">
        <v>0.01044293995309523</v>
      </c>
      <c r="F549" s="9"/>
      <c r="G549" s="9">
        <v>546.0</v>
      </c>
      <c r="H549" s="10">
        <f t="shared" si="20"/>
        <v>-3.3914597327572814E-4</v>
      </c>
      <c r="K549" s="7"/>
    </row>
    <row r="550" spans="8:8">
      <c r="B550" s="7" t="s">
        <v>8924</v>
      </c>
      <c r="C550" s="8">
        <v>3450.75</v>
      </c>
      <c r="D550" s="8">
        <f t="shared" si="19"/>
        <v>-0.0028463272264924898</v>
      </c>
      <c r="E550" s="8">
        <v>0.010424621286117802</v>
      </c>
      <c r="F550" s="9"/>
      <c r="G550" s="9">
        <v>547.0</v>
      </c>
      <c r="H550" s="10">
        <f t="shared" si="20"/>
        <v>0.004890559751991857</v>
      </c>
      <c r="K550" s="7"/>
    </row>
    <row r="551" spans="8:8">
      <c r="B551" s="7" t="s">
        <v>8925</v>
      </c>
      <c r="C551" s="8">
        <v>3460.6</v>
      </c>
      <c r="D551" s="8">
        <f t="shared" si="19"/>
        <v>0.014451968457772616</v>
      </c>
      <c r="E551" s="8">
        <v>0.010424028268551197</v>
      </c>
      <c r="F551" s="9"/>
      <c r="G551" s="9">
        <v>548.0</v>
      </c>
      <c r="H551" s="10">
        <f t="shared" si="20"/>
        <v>0.01706641475783761</v>
      </c>
      <c r="K551" s="7"/>
    </row>
    <row r="552" spans="8:8">
      <c r="B552" s="7" t="s">
        <v>8926</v>
      </c>
      <c r="C552" s="8">
        <v>3411.3</v>
      </c>
      <c r="D552" s="8">
        <f t="shared" si="19"/>
        <v>0.009424610513545211</v>
      </c>
      <c r="E552" s="8">
        <v>0.010422165835050462</v>
      </c>
      <c r="F552" s="9"/>
      <c r="G552" s="9">
        <v>549.0</v>
      </c>
      <c r="H552" s="10">
        <f t="shared" si="20"/>
        <v>0.0029543249277086663</v>
      </c>
      <c r="K552" s="7"/>
    </row>
    <row r="553" spans="8:8">
      <c r="B553" s="7" t="s">
        <v>8927</v>
      </c>
      <c r="C553" s="8">
        <v>3379.45</v>
      </c>
      <c r="D553" s="8">
        <f t="shared" si="19"/>
        <v>0.02598782579656023</v>
      </c>
      <c r="E553" s="8">
        <v>0.010394404507480203</v>
      </c>
      <c r="F553" s="9"/>
      <c r="G553" s="9">
        <v>550.0</v>
      </c>
      <c r="H553" s="10">
        <f t="shared" si="20"/>
        <v>9.303279177970106E-4</v>
      </c>
      <c r="K553" s="7"/>
    </row>
    <row r="554" spans="8:8">
      <c r="B554" s="7" t="s">
        <v>8928</v>
      </c>
      <c r="C554" s="8">
        <v>3293.85</v>
      </c>
      <c r="D554" s="8">
        <f t="shared" si="19"/>
        <v>0.006847116721942897</v>
      </c>
      <c r="E554" s="8">
        <v>0.010384169712095635</v>
      </c>
      <c r="F554" s="9"/>
      <c r="G554" s="9">
        <v>551.0</v>
      </c>
      <c r="H554" s="10">
        <f t="shared" si="20"/>
        <v>0.015354089190441227</v>
      </c>
      <c r="K554" s="7"/>
    </row>
    <row r="555" spans="8:8">
      <c r="B555" s="7">
        <v>45570.0</v>
      </c>
      <c r="C555" s="8">
        <v>3271.45</v>
      </c>
      <c r="D555" s="8">
        <f t="shared" si="19"/>
        <v>-0.0012212062464699509</v>
      </c>
      <c r="E555" s="8">
        <v>0.01029630477062121</v>
      </c>
      <c r="F555" s="9"/>
      <c r="G555" s="9">
        <v>552.0</v>
      </c>
      <c r="H555" s="10">
        <f t="shared" si="20"/>
        <v>-0.009248220014396343</v>
      </c>
      <c r="K555" s="7"/>
    </row>
    <row r="556" spans="8:8">
      <c r="B556" s="7">
        <v>45540.0</v>
      </c>
      <c r="C556" s="8">
        <v>3275.45</v>
      </c>
      <c r="D556" s="8">
        <f t="shared" si="19"/>
        <v>-0.060627787257840196</v>
      </c>
      <c r="E556" s="8">
        <v>0.010284358106623141</v>
      </c>
      <c r="F556" s="9"/>
      <c r="G556" s="9">
        <v>553.0</v>
      </c>
      <c r="H556" s="10">
        <f t="shared" si="20"/>
        <v>-0.007121216072808919</v>
      </c>
      <c r="K556" s="7"/>
    </row>
    <row r="557" spans="8:8">
      <c r="B557" s="7">
        <v>45509.0</v>
      </c>
      <c r="C557" s="8">
        <v>3486.85</v>
      </c>
      <c r="D557" s="8">
        <f t="shared" si="19"/>
        <v>0.01724163080738091</v>
      </c>
      <c r="E557" s="8">
        <v>0.01025667815971853</v>
      </c>
      <c r="F557" s="9"/>
      <c r="G557" s="9">
        <v>554.0</v>
      </c>
      <c r="H557" s="10">
        <f t="shared" si="20"/>
        <v>0.005114749539172957</v>
      </c>
      <c r="K557" s="7"/>
    </row>
    <row r="558" spans="8:8">
      <c r="B558" s="7">
        <v>45478.0</v>
      </c>
      <c r="C558" s="8">
        <v>3427.75</v>
      </c>
      <c r="D558" s="8">
        <f t="shared" si="19"/>
        <v>-0.010264776369358757</v>
      </c>
      <c r="E558" s="8">
        <v>0.0102384139502913</v>
      </c>
      <c r="F558" s="9"/>
      <c r="G558" s="9">
        <v>555.0</v>
      </c>
      <c r="H558" s="10">
        <f t="shared" si="20"/>
        <v>0.01860085603699771</v>
      </c>
      <c r="K558" s="7"/>
    </row>
    <row r="559" spans="8:8">
      <c r="B559" s="7">
        <v>45448.0</v>
      </c>
      <c r="C559" s="8">
        <v>3463.3</v>
      </c>
      <c r="D559" s="8">
        <f t="shared" si="19"/>
        <v>-0.010429167380993198</v>
      </c>
      <c r="E559" s="8">
        <v>0.01022336769759458</v>
      </c>
      <c r="F559" s="9"/>
      <c r="G559" s="9">
        <v>556.0</v>
      </c>
      <c r="H559" s="10">
        <f t="shared" si="20"/>
        <v>-0.007175501965242997</v>
      </c>
      <c r="K559" s="7"/>
    </row>
    <row r="560" spans="8:8">
      <c r="B560" s="7">
        <v>45356.0</v>
      </c>
      <c r="C560" s="8">
        <v>3499.8</v>
      </c>
      <c r="D560" s="8">
        <f t="shared" si="19"/>
        <v>-0.02769829142936514</v>
      </c>
      <c r="E560" s="8">
        <v>0.01021703994458544</v>
      </c>
      <c r="F560" s="9"/>
      <c r="G560" s="9">
        <v>557.0</v>
      </c>
      <c r="H560" s="10">
        <f t="shared" si="20"/>
        <v>-0.011164379125100418</v>
      </c>
      <c r="K560" s="7"/>
    </row>
    <row r="561" spans="8:8">
      <c r="B561" s="7">
        <v>45327.0</v>
      </c>
      <c r="C561" s="8">
        <v>3599.5</v>
      </c>
      <c r="D561" s="8">
        <f t="shared" si="19"/>
        <v>0.0014467351083659733</v>
      </c>
      <c r="E561" s="8">
        <v>0.010212435902960433</v>
      </c>
      <c r="F561" s="9"/>
      <c r="G561" s="9">
        <v>558.0</v>
      </c>
      <c r="H561" s="10">
        <f t="shared" si="20"/>
        <v>0.006411045238221011</v>
      </c>
      <c r="K561" s="7"/>
    </row>
    <row r="562" spans="8:8">
      <c r="B562" s="7" t="s">
        <v>8929</v>
      </c>
      <c r="C562" s="8">
        <v>3594.3</v>
      </c>
      <c r="D562" s="8">
        <f t="shared" si="19"/>
        <v>-0.011006246044630328</v>
      </c>
      <c r="E562" s="8">
        <v>0.010205882824911399</v>
      </c>
      <c r="F562" s="9"/>
      <c r="G562" s="9">
        <v>559.0</v>
      </c>
      <c r="H562" s="10">
        <f t="shared" si="20"/>
        <v>0.0033601059374419985</v>
      </c>
      <c r="K562" s="7"/>
    </row>
    <row r="563" spans="8:8">
      <c r="B563" s="7" t="s">
        <v>8930</v>
      </c>
      <c r="C563" s="8">
        <v>3634.3</v>
      </c>
      <c r="D563" s="8">
        <f t="shared" si="19"/>
        <v>0.0080716742483081</v>
      </c>
      <c r="E563" s="8">
        <v>0.010175292539660515</v>
      </c>
      <c r="F563" s="9"/>
      <c r="G563" s="9">
        <v>560.0</v>
      </c>
      <c r="H563" s="10">
        <f t="shared" si="20"/>
        <v>-0.008397946051469762</v>
      </c>
      <c r="K563" s="7"/>
    </row>
    <row r="564" spans="8:8">
      <c r="B564" s="7" t="s">
        <v>8931</v>
      </c>
      <c r="C564" s="8">
        <v>3605.2</v>
      </c>
      <c r="D564" s="8">
        <f t="shared" si="19"/>
        <v>-0.01289598335295577</v>
      </c>
      <c r="E564" s="8">
        <v>0.01016248492851814</v>
      </c>
      <c r="F564" s="9"/>
      <c r="G564" s="9">
        <v>561.0</v>
      </c>
      <c r="H564" s="10">
        <f t="shared" si="20"/>
        <v>-0.006153663822095067</v>
      </c>
      <c r="K564" s="7"/>
    </row>
    <row r="565" spans="8:8">
      <c r="B565" s="7" t="s">
        <v>8932</v>
      </c>
      <c r="C565" s="8">
        <v>3652.3</v>
      </c>
      <c r="D565" s="8">
        <f t="shared" si="19"/>
        <v>0.004800748311484731</v>
      </c>
      <c r="E565" s="8">
        <v>0.010068684429013482</v>
      </c>
      <c r="F565" s="9"/>
      <c r="G565" s="9">
        <v>562.0</v>
      </c>
      <c r="H565" s="10">
        <f t="shared" si="20"/>
        <v>-0.011843364362500094</v>
      </c>
      <c r="K565" s="7"/>
    </row>
    <row r="566" spans="8:8">
      <c r="B566" s="7" t="s">
        <v>8933</v>
      </c>
      <c r="C566" s="8">
        <v>3634.85</v>
      </c>
      <c r="D566" s="8">
        <f t="shared" si="19"/>
        <v>0.006841820976967666</v>
      </c>
      <c r="E566" s="8">
        <v>0.010060812019316759</v>
      </c>
      <c r="F566" s="9"/>
      <c r="G566" s="9">
        <v>563.0</v>
      </c>
      <c r="H566" s="10">
        <f t="shared" si="20"/>
        <v>0.003882314660817677</v>
      </c>
      <c r="K566" s="7"/>
    </row>
    <row r="567" spans="8:8">
      <c r="B567" s="7" t="s">
        <v>8934</v>
      </c>
      <c r="C567" s="8">
        <v>3610.15</v>
      </c>
      <c r="D567" s="8">
        <f t="shared" si="19"/>
        <v>-7.058432751127211E-4</v>
      </c>
      <c r="E567" s="8">
        <v>0.010038629663515299</v>
      </c>
      <c r="F567" s="9"/>
      <c r="G567" s="9">
        <v>564.0</v>
      </c>
      <c r="H567" s="10">
        <f t="shared" si="20"/>
        <v>0.014997448931719982</v>
      </c>
      <c r="K567" s="7"/>
    </row>
    <row r="568" spans="8:8">
      <c r="B568" s="7" t="s">
        <v>8935</v>
      </c>
      <c r="C568" s="8">
        <v>3612.7</v>
      </c>
      <c r="D568" s="8">
        <f t="shared" si="19"/>
        <v>0.026816547529381646</v>
      </c>
      <c r="E568" s="8">
        <v>0.01003683732849297</v>
      </c>
      <c r="F568" s="9"/>
      <c r="G568" s="9">
        <v>565.0</v>
      </c>
      <c r="H568" s="10">
        <f t="shared" si="20"/>
        <v>0.008844354154342864</v>
      </c>
      <c r="K568" s="7"/>
    </row>
    <row r="569" spans="8:8">
      <c r="B569" s="7" t="s">
        <v>8936</v>
      </c>
      <c r="C569" s="8">
        <v>3518.35</v>
      </c>
      <c r="D569" s="8">
        <f t="shared" si="19"/>
        <v>-0.009180641800081643</v>
      </c>
      <c r="E569" s="8">
        <v>0.010016265730673784</v>
      </c>
      <c r="F569" s="9"/>
      <c r="G569" s="9">
        <v>566.0</v>
      </c>
      <c r="H569" s="10">
        <f t="shared" si="20"/>
        <v>-6.990269384096982E-4</v>
      </c>
      <c r="K569" s="7"/>
    </row>
    <row r="570" spans="8:8">
      <c r="B570" s="7" t="s">
        <v>8937</v>
      </c>
      <c r="C570" s="8">
        <v>3550.95</v>
      </c>
      <c r="D570" s="8">
        <f t="shared" si="19"/>
        <v>0.002116581297887652</v>
      </c>
      <c r="E570" s="8">
        <v>0.010014758591608686</v>
      </c>
      <c r="F570" s="9"/>
      <c r="G570" s="9">
        <v>567.0</v>
      </c>
      <c r="H570" s="10">
        <f t="shared" si="20"/>
        <v>0.0059045158128311764</v>
      </c>
      <c r="K570" s="7"/>
    </row>
    <row r="571" spans="8:8">
      <c r="B571" s="7" t="s">
        <v>8938</v>
      </c>
      <c r="C571" s="8">
        <v>3543.45</v>
      </c>
      <c r="D571" s="8">
        <f t="shared" si="19"/>
        <v>-0.015927016218618185</v>
      </c>
      <c r="E571" s="8">
        <v>0.010014377076000109</v>
      </c>
      <c r="F571" s="9"/>
      <c r="G571" s="9">
        <v>568.0</v>
      </c>
      <c r="H571" s="10">
        <f t="shared" si="20"/>
        <v>0.009452668608915887</v>
      </c>
      <c r="K571" s="7"/>
    </row>
    <row r="572" spans="8:8">
      <c r="B572" s="7" t="s">
        <v>8939</v>
      </c>
      <c r="C572" s="8">
        <v>3600.8</v>
      </c>
      <c r="D572" s="8">
        <f t="shared" si="19"/>
        <v>-0.021322280356050775</v>
      </c>
      <c r="E572" s="8">
        <v>0.00997161365455988</v>
      </c>
      <c r="F572" s="9"/>
      <c r="G572" s="9">
        <v>569.0</v>
      </c>
      <c r="H572" s="10">
        <f t="shared" si="20"/>
        <v>0.004344018925085692</v>
      </c>
      <c r="K572" s="7"/>
    </row>
    <row r="573" spans="8:8">
      <c r="B573" s="7">
        <v>45630.0</v>
      </c>
      <c r="C573" s="8">
        <v>3679.25</v>
      </c>
      <c r="D573" s="8">
        <f t="shared" si="19"/>
        <v>-0.019703186614089263</v>
      </c>
      <c r="E573" s="8">
        <v>0.009894736842105263</v>
      </c>
      <c r="F573" s="9"/>
      <c r="G573" s="9">
        <v>570.0</v>
      </c>
      <c r="H573" s="10">
        <f t="shared" si="20"/>
        <v>0.0061667529193699215</v>
      </c>
      <c r="K573" s="7"/>
    </row>
    <row r="574" spans="8:8">
      <c r="B574" s="7">
        <v>45569.0</v>
      </c>
      <c r="C574" s="8">
        <v>3753.2</v>
      </c>
      <c r="D574" s="8">
        <f t="shared" si="19"/>
        <v>-0.008467076150848737</v>
      </c>
      <c r="E574" s="8">
        <v>0.009890173078028893</v>
      </c>
      <c r="F574" s="9"/>
      <c r="G574" s="9">
        <v>571.0</v>
      </c>
      <c r="H574" s="10">
        <f t="shared" si="20"/>
        <v>-0.005106883419908685</v>
      </c>
      <c r="K574" s="7"/>
    </row>
    <row r="575" spans="8:8">
      <c r="B575" s="7">
        <v>45539.0</v>
      </c>
      <c r="C575" s="8">
        <v>3785.25</v>
      </c>
      <c r="D575" s="8">
        <f t="shared" si="19"/>
        <v>-0.005935107737962343</v>
      </c>
      <c r="E575" s="8">
        <v>0.0098836818395751</v>
      </c>
      <c r="F575" s="9"/>
      <c r="G575" s="9">
        <v>572.0</v>
      </c>
      <c r="H575" s="10">
        <f t="shared" si="20"/>
        <v>-0.0220341173342594</v>
      </c>
      <c r="K575" s="7"/>
    </row>
    <row r="576" spans="8:8">
      <c r="B576" s="7">
        <v>45508.0</v>
      </c>
      <c r="C576" s="8">
        <v>3807.85</v>
      </c>
      <c r="D576" s="8">
        <f t="shared" si="19"/>
        <v>0.01729849589912105</v>
      </c>
      <c r="E576" s="8">
        <v>0.00985881789901886</v>
      </c>
      <c r="F576" s="9"/>
      <c r="G576" s="9">
        <v>573.0</v>
      </c>
      <c r="H576" s="10">
        <f t="shared" si="20"/>
        <v>-0.01372674763110631</v>
      </c>
      <c r="K576" s="7"/>
    </row>
    <row r="577" spans="8:8">
      <c r="B577" s="7">
        <v>45416.0</v>
      </c>
      <c r="C577" s="8">
        <v>3743.1</v>
      </c>
      <c r="D577" s="8">
        <f t="shared" si="19"/>
        <v>-0.014416051186855721</v>
      </c>
      <c r="E577" s="8">
        <v>0.00979812484162506</v>
      </c>
      <c r="F577" s="9"/>
      <c r="G577" s="9">
        <v>574.0</v>
      </c>
      <c r="H577" s="10">
        <f t="shared" si="20"/>
        <v>0.044017243425476464</v>
      </c>
      <c r="K577" s="7"/>
    </row>
    <row r="578" spans="8:8">
      <c r="B578" s="7">
        <v>45386.0</v>
      </c>
      <c r="C578" s="8">
        <v>3797.85</v>
      </c>
      <c r="D578" s="8">
        <f t="shared" si="19"/>
        <v>0.004071435180901292</v>
      </c>
      <c r="E578" s="8">
        <v>0.009748099567744766</v>
      </c>
      <c r="F578" s="9"/>
      <c r="G578" s="9">
        <v>575.0</v>
      </c>
      <c r="H578" s="10">
        <f t="shared" si="20"/>
        <v>-0.0033938639942345293</v>
      </c>
      <c r="K578" s="7"/>
    </row>
    <row r="579" spans="8:8">
      <c r="B579" s="7">
        <v>45355.0</v>
      </c>
      <c r="C579" s="8">
        <v>3782.45</v>
      </c>
      <c r="D579" s="8">
        <f t="shared" si="19"/>
        <v>-0.006553028313284728</v>
      </c>
      <c r="E579" s="8">
        <v>0.009736604240338662</v>
      </c>
      <c r="F579" s="9"/>
      <c r="G579" s="9">
        <v>576.0</v>
      </c>
      <c r="H579" s="10">
        <f t="shared" si="20"/>
        <v>-0.003026819677151304</v>
      </c>
      <c r="K579" s="7"/>
    </row>
    <row r="580" spans="8:8">
      <c r="B580" s="7">
        <v>45326.0</v>
      </c>
      <c r="C580" s="8">
        <v>3807.4</v>
      </c>
      <c r="D580" s="8">
        <f t="shared" si="21" ref="D580:D643">(C580-C581)/C581</f>
        <v>-0.007972902553413212</v>
      </c>
      <c r="E580" s="8">
        <v>0.009717237153112263</v>
      </c>
      <c r="F580" s="9"/>
      <c r="G580" s="9">
        <v>577.0</v>
      </c>
      <c r="H580" s="10">
        <f t="shared" si="20"/>
        <v>-0.008232479755665018</v>
      </c>
      <c r="K580" s="7"/>
    </row>
    <row r="581" spans="8:8">
      <c r="B581" s="7">
        <v>45295.0</v>
      </c>
      <c r="C581" s="8">
        <v>3838.0</v>
      </c>
      <c r="D581" s="8">
        <f t="shared" si="21"/>
        <v>0.01968702675416454</v>
      </c>
      <c r="E581" s="8">
        <v>0.009709933332160765</v>
      </c>
      <c r="F581" s="9"/>
      <c r="G581" s="9">
        <v>578.0</v>
      </c>
      <c r="H581" s="10">
        <f t="shared" si="22" ref="H581:H644">_xlfn.NORM.INV(RAND(),N$6,N$7)</f>
        <v>0.013972409702668834</v>
      </c>
      <c r="K581" s="7"/>
    </row>
    <row r="582" spans="8:8">
      <c r="B582" s="7" t="s">
        <v>8940</v>
      </c>
      <c r="C582" s="8">
        <v>3763.9</v>
      </c>
      <c r="D582" s="8">
        <f t="shared" si="21"/>
        <v>0.015513706022015973</v>
      </c>
      <c r="E582" s="8">
        <v>0.009675963836294148</v>
      </c>
      <c r="F582" s="9"/>
      <c r="G582" s="9">
        <v>579.0</v>
      </c>
      <c r="H582" s="10">
        <f t="shared" si="22"/>
        <v>0.009277634047314213</v>
      </c>
      <c r="K582" s="7"/>
    </row>
    <row r="583" spans="8:8">
      <c r="B583" s="7" t="s">
        <v>8941</v>
      </c>
      <c r="C583" s="8">
        <v>3706.4</v>
      </c>
      <c r="D583" s="8">
        <f t="shared" si="21"/>
        <v>0.009890738671970841</v>
      </c>
      <c r="E583" s="8">
        <v>0.009672040022234625</v>
      </c>
      <c r="F583" s="9"/>
      <c r="G583" s="9">
        <v>580.0</v>
      </c>
      <c r="H583" s="10">
        <f t="shared" si="22"/>
        <v>-0.018771176436266718</v>
      </c>
      <c r="K583" s="7"/>
    </row>
    <row r="584" spans="8:8">
      <c r="B584" s="7" t="s">
        <v>8942</v>
      </c>
      <c r="C584" s="8">
        <v>3670.1</v>
      </c>
      <c r="D584" s="8">
        <f t="shared" si="21"/>
        <v>0.014456299408480216</v>
      </c>
      <c r="E584" s="8">
        <v>0.009671905615541865</v>
      </c>
      <c r="F584" s="9"/>
      <c r="G584" s="9">
        <v>581.0</v>
      </c>
      <c r="H584" s="10">
        <f t="shared" si="22"/>
        <v>0.01665700141715589</v>
      </c>
      <c r="K584" s="7"/>
    </row>
    <row r="585" spans="8:8">
      <c r="B585" s="7" t="s">
        <v>8943</v>
      </c>
      <c r="C585" s="8">
        <v>3617.8</v>
      </c>
      <c r="D585" s="8">
        <f t="shared" si="21"/>
        <v>0.016235955056179828</v>
      </c>
      <c r="E585" s="8">
        <v>0.009669728011303533</v>
      </c>
      <c r="F585" s="9"/>
      <c r="G585" s="9">
        <v>582.0</v>
      </c>
      <c r="H585" s="10">
        <f t="shared" si="22"/>
        <v>0.008564073534730533</v>
      </c>
      <c r="K585" s="7"/>
    </row>
    <row r="586" spans="8:8">
      <c r="B586" s="7" t="s">
        <v>8944</v>
      </c>
      <c r="C586" s="8">
        <v>3560.0</v>
      </c>
      <c r="D586" s="8">
        <f t="shared" si="21"/>
        <v>0.014331709262900016</v>
      </c>
      <c r="E586" s="8">
        <v>0.009654917540536767</v>
      </c>
      <c r="F586" s="9"/>
      <c r="G586" s="9">
        <v>583.0</v>
      </c>
      <c r="H586" s="10">
        <f t="shared" si="22"/>
        <v>0.0071175319453416885</v>
      </c>
      <c r="K586" s="7"/>
    </row>
    <row r="587" spans="8:8">
      <c r="B587" s="7" t="s">
        <v>8945</v>
      </c>
      <c r="C587" s="8">
        <v>3509.7</v>
      </c>
      <c r="D587" s="8">
        <f t="shared" si="21"/>
        <v>0.0022846046206128454</v>
      </c>
      <c r="E587" s="8">
        <v>0.009648797274046054</v>
      </c>
      <c r="F587" s="9"/>
      <c r="G587" s="9">
        <v>584.0</v>
      </c>
      <c r="H587" s="10">
        <f t="shared" si="22"/>
        <v>-0.0016006095582807526</v>
      </c>
      <c r="K587" s="7"/>
    </row>
    <row r="588" spans="8:8">
      <c r="B588" s="7" t="s">
        <v>8946</v>
      </c>
      <c r="C588" s="8">
        <v>3501.7</v>
      </c>
      <c r="D588" s="8">
        <f t="shared" si="21"/>
        <v>-0.016707851286083344</v>
      </c>
      <c r="E588" s="8">
        <v>0.00956995577291741</v>
      </c>
      <c r="F588" s="9"/>
      <c r="G588" s="9">
        <v>585.0</v>
      </c>
      <c r="H588" s="10">
        <f t="shared" si="22"/>
        <v>0.006581604833130701</v>
      </c>
      <c r="K588" s="7"/>
    </row>
    <row r="589" spans="8:8">
      <c r="B589" s="7" t="s">
        <v>8947</v>
      </c>
      <c r="C589" s="8">
        <v>3561.2</v>
      </c>
      <c r="D589" s="8">
        <f t="shared" si="21"/>
        <v>0.0067992592906717915</v>
      </c>
      <c r="E589" s="8">
        <v>0.00956862249731579</v>
      </c>
      <c r="F589" s="9"/>
      <c r="G589" s="9">
        <v>586.0</v>
      </c>
      <c r="H589" s="10">
        <f t="shared" si="22"/>
        <v>0.009036685854464259</v>
      </c>
      <c r="K589" s="7"/>
    </row>
    <row r="590" spans="8:8">
      <c r="B590" s="7" t="s">
        <v>8948</v>
      </c>
      <c r="C590" s="8">
        <v>3537.15</v>
      </c>
      <c r="D590" s="8">
        <f t="shared" si="21"/>
        <v>-0.019691258799401288</v>
      </c>
      <c r="E590" s="8">
        <v>0.009559359067734887</v>
      </c>
      <c r="F590" s="9"/>
      <c r="G590" s="9">
        <v>587.0</v>
      </c>
      <c r="H590" s="10">
        <f t="shared" si="22"/>
        <v>-0.010657350031438386</v>
      </c>
      <c r="K590" s="7"/>
    </row>
    <row r="591" spans="8:8">
      <c r="B591" s="7" t="s">
        <v>8949</v>
      </c>
      <c r="C591" s="8">
        <v>3608.2</v>
      </c>
      <c r="D591" s="8">
        <f t="shared" si="21"/>
        <v>0.019683203572084508</v>
      </c>
      <c r="E591" s="8">
        <v>0.009558954294860396</v>
      </c>
      <c r="F591" s="9"/>
      <c r="G591" s="9">
        <v>588.0</v>
      </c>
      <c r="H591" s="10">
        <f t="shared" si="22"/>
        <v>-0.01868522198511947</v>
      </c>
      <c r="K591" s="7"/>
    </row>
    <row r="592" spans="8:8">
      <c r="B592" s="7" t="s">
        <v>8950</v>
      </c>
      <c r="C592" s="8">
        <v>3538.55</v>
      </c>
      <c r="D592" s="8">
        <f t="shared" si="21"/>
        <v>-0.022945342592464734</v>
      </c>
      <c r="E592" s="8">
        <v>0.009556156813079348</v>
      </c>
      <c r="F592" s="9"/>
      <c r="G592" s="9">
        <v>589.0</v>
      </c>
      <c r="H592" s="10">
        <f t="shared" si="22"/>
        <v>0.005926868048190419</v>
      </c>
      <c r="K592" s="7"/>
    </row>
    <row r="593" spans="8:8">
      <c r="B593" s="7">
        <v>45629.0</v>
      </c>
      <c r="C593" s="8">
        <v>3621.65</v>
      </c>
      <c r="D593" s="8">
        <f t="shared" si="21"/>
        <v>-0.005205185958358462</v>
      </c>
      <c r="E593" s="8">
        <v>0.00954778231056332</v>
      </c>
      <c r="F593" s="9"/>
      <c r="G593" s="9">
        <v>590.0</v>
      </c>
      <c r="H593" s="10">
        <f t="shared" si="22"/>
        <v>-0.007824866907583973</v>
      </c>
      <c r="K593" s="7"/>
    </row>
    <row r="594" spans="8:8">
      <c r="B594" s="7">
        <v>45599.0</v>
      </c>
      <c r="C594" s="8">
        <v>3640.6</v>
      </c>
      <c r="D594" s="8">
        <f t="shared" si="21"/>
        <v>-0.009885910877221587</v>
      </c>
      <c r="E594" s="8">
        <v>0.00954626488009656</v>
      </c>
      <c r="F594" s="9"/>
      <c r="G594" s="9">
        <v>591.0</v>
      </c>
      <c r="H594" s="10">
        <f t="shared" si="22"/>
        <v>0.027975437891293038</v>
      </c>
      <c r="K594" s="7"/>
    </row>
    <row r="595" spans="8:8">
      <c r="B595" s="7">
        <v>45476.0</v>
      </c>
      <c r="C595" s="8">
        <v>3676.95</v>
      </c>
      <c r="D595" s="8">
        <f t="shared" si="21"/>
        <v>0.009540936796441711</v>
      </c>
      <c r="E595" s="8">
        <v>0.009539014168828613</v>
      </c>
      <c r="F595" s="9"/>
      <c r="G595" s="9">
        <v>592.0</v>
      </c>
      <c r="H595" s="10">
        <f t="shared" si="22"/>
        <v>0.021180991021154876</v>
      </c>
      <c r="K595" s="7"/>
    </row>
    <row r="596" spans="8:8">
      <c r="B596" s="7">
        <v>45446.0</v>
      </c>
      <c r="C596" s="8">
        <v>3642.2</v>
      </c>
      <c r="D596" s="8">
        <f t="shared" si="21"/>
        <v>0.008193544815368407</v>
      </c>
      <c r="E596" s="8">
        <v>0.00952214554031632</v>
      </c>
      <c r="F596" s="9"/>
      <c r="G596" s="9">
        <v>593.0</v>
      </c>
      <c r="H596" s="10">
        <f t="shared" si="22"/>
        <v>0.006331887830627512</v>
      </c>
      <c r="K596" s="7"/>
    </row>
    <row r="597" spans="8:8">
      <c r="B597" s="7">
        <v>45415.0</v>
      </c>
      <c r="C597" s="8">
        <v>3612.6</v>
      </c>
      <c r="D597" s="8">
        <f t="shared" si="21"/>
        <v>-0.008739315946164691</v>
      </c>
      <c r="E597" s="8">
        <v>0.009521094640821006</v>
      </c>
      <c r="F597" s="9"/>
      <c r="G597" s="9">
        <v>594.0</v>
      </c>
      <c r="H597" s="10">
        <f t="shared" si="22"/>
        <v>0.0032281916660458006</v>
      </c>
      <c r="K597" s="7"/>
    </row>
    <row r="598" spans="8:8">
      <c r="B598" s="7">
        <v>45385.0</v>
      </c>
      <c r="C598" s="8">
        <v>3644.45</v>
      </c>
      <c r="D598" s="8">
        <f t="shared" si="21"/>
        <v>-0.0029546542644142484</v>
      </c>
      <c r="E598" s="8">
        <v>0.009504891982401936</v>
      </c>
      <c r="F598" s="9"/>
      <c r="G598" s="9">
        <v>595.0</v>
      </c>
      <c r="H598" s="10">
        <f t="shared" si="22"/>
        <v>3.5553047284834615E-4</v>
      </c>
      <c r="K598" s="7"/>
    </row>
    <row r="599" spans="8:8">
      <c r="B599" s="7">
        <v>45325.0</v>
      </c>
      <c r="C599" s="8">
        <v>3655.25</v>
      </c>
      <c r="D599" s="8">
        <f t="shared" si="21"/>
        <v>0.005985963946607954</v>
      </c>
      <c r="E599" s="8">
        <v>0.009490606236684148</v>
      </c>
      <c r="F599" s="9"/>
      <c r="G599" s="9">
        <v>596.0</v>
      </c>
      <c r="H599" s="10">
        <f t="shared" si="22"/>
        <v>0.0041028257028647335</v>
      </c>
      <c r="K599" s="7"/>
    </row>
    <row r="600" spans="8:8">
      <c r="B600" s="7">
        <v>45294.0</v>
      </c>
      <c r="C600" s="8">
        <v>3633.5</v>
      </c>
      <c r="D600" s="8">
        <f t="shared" si="21"/>
        <v>0.044844790153987665</v>
      </c>
      <c r="E600" s="8">
        <v>0.009475568752456344</v>
      </c>
      <c r="F600" s="9"/>
      <c r="G600" s="9">
        <v>597.0</v>
      </c>
      <c r="H600" s="10">
        <f t="shared" si="22"/>
        <v>-0.0037023208663902827</v>
      </c>
      <c r="K600" s="7"/>
    </row>
    <row r="601" spans="8:8">
      <c r="B601" s="7" t="s">
        <v>8951</v>
      </c>
      <c r="C601" s="8">
        <v>3477.55</v>
      </c>
      <c r="D601" s="8">
        <f t="shared" si="21"/>
        <v>0.002118033542735394</v>
      </c>
      <c r="E601" s="8">
        <v>0.009469323337936451</v>
      </c>
      <c r="F601" s="9"/>
      <c r="G601" s="9">
        <v>598.0</v>
      </c>
      <c r="H601" s="10">
        <f t="shared" si="22"/>
        <v>0.018748343309612177</v>
      </c>
      <c r="K601" s="7"/>
    </row>
    <row r="602" spans="8:8">
      <c r="B602" s="7" t="s">
        <v>8952</v>
      </c>
      <c r="C602" s="8">
        <v>3470.2</v>
      </c>
      <c r="D602" s="8">
        <f t="shared" si="21"/>
        <v>-0.010338091231872692</v>
      </c>
      <c r="E602" s="8">
        <v>0.009462643459755298</v>
      </c>
      <c r="F602" s="9"/>
      <c r="G602" s="9">
        <v>599.0</v>
      </c>
      <c r="H602" s="10">
        <f t="shared" si="22"/>
        <v>0.006299167265811237</v>
      </c>
      <c r="K602" s="7"/>
    </row>
    <row r="603" spans="8:8">
      <c r="B603" s="7" t="s">
        <v>8953</v>
      </c>
      <c r="C603" s="8">
        <v>3506.45</v>
      </c>
      <c r="D603" s="8">
        <f t="shared" si="21"/>
        <v>0.010460642911689617</v>
      </c>
      <c r="E603" s="8">
        <v>0.009441004698546524</v>
      </c>
      <c r="F603" s="9"/>
      <c r="G603" s="9">
        <v>600.0</v>
      </c>
      <c r="H603" s="10">
        <f t="shared" si="22"/>
        <v>0.002437439081296281</v>
      </c>
      <c r="K603" s="7"/>
    </row>
    <row r="604" spans="8:8">
      <c r="B604" s="7" t="s">
        <v>8954</v>
      </c>
      <c r="C604" s="8">
        <v>3470.15</v>
      </c>
      <c r="D604" s="8">
        <f t="shared" si="21"/>
        <v>0.024262459599462882</v>
      </c>
      <c r="E604" s="8">
        <v>0.009435405722446066</v>
      </c>
      <c r="F604" s="9"/>
      <c r="G604" s="9">
        <v>601.0</v>
      </c>
      <c r="H604" s="10">
        <f t="shared" si="22"/>
        <v>0.01578783425074142</v>
      </c>
      <c r="K604" s="7"/>
    </row>
    <row r="605" spans="8:8">
      <c r="B605" s="7" t="s">
        <v>8955</v>
      </c>
      <c r="C605" s="8">
        <v>3387.95</v>
      </c>
      <c r="D605" s="8">
        <f t="shared" si="21"/>
        <v>0.007194351542177575</v>
      </c>
      <c r="E605" s="8">
        <v>0.009391683878258802</v>
      </c>
      <c r="F605" s="9"/>
      <c r="G605" s="9">
        <v>602.0</v>
      </c>
      <c r="H605" s="10">
        <f t="shared" si="22"/>
        <v>-0.026465892086838475</v>
      </c>
      <c r="K605" s="7"/>
    </row>
    <row r="606" spans="8:8">
      <c r="B606" s="7" t="s">
        <v>8956</v>
      </c>
      <c r="C606" s="8">
        <v>3363.75</v>
      </c>
      <c r="D606" s="8">
        <f t="shared" si="21"/>
        <v>0.02043137968693117</v>
      </c>
      <c r="E606" s="8">
        <v>0.009388596290359567</v>
      </c>
      <c r="F606" s="9"/>
      <c r="G606" s="9">
        <v>603.0</v>
      </c>
      <c r="H606" s="10">
        <f t="shared" si="22"/>
        <v>0.008380316272064672</v>
      </c>
      <c r="K606" s="7"/>
    </row>
    <row r="607" spans="8:8">
      <c r="B607" s="7" t="s">
        <v>8957</v>
      </c>
      <c r="C607" s="8">
        <v>3296.4</v>
      </c>
      <c r="D607" s="8">
        <f t="shared" si="21"/>
        <v>-0.017978699635063652</v>
      </c>
      <c r="E607" s="8">
        <v>0.009346170889900422</v>
      </c>
      <c r="F607" s="9"/>
      <c r="G607" s="9">
        <v>604.0</v>
      </c>
      <c r="H607" s="10">
        <f t="shared" si="22"/>
        <v>-0.005678989087243339</v>
      </c>
      <c r="K607" s="7"/>
    </row>
    <row r="608" spans="8:8">
      <c r="B608" s="7" t="s">
        <v>8958</v>
      </c>
      <c r="C608" s="8">
        <v>3356.75</v>
      </c>
      <c r="D608" s="8">
        <f t="shared" si="21"/>
        <v>0.005060107489857356</v>
      </c>
      <c r="E608" s="8">
        <v>0.009327784165438528</v>
      </c>
      <c r="F608" s="9"/>
      <c r="G608" s="9">
        <v>605.0</v>
      </c>
      <c r="H608" s="10">
        <f t="shared" si="22"/>
        <v>-0.010624649841330068</v>
      </c>
      <c r="K608" s="7"/>
    </row>
    <row r="609" spans="8:8">
      <c r="B609" s="7" t="s">
        <v>8959</v>
      </c>
      <c r="C609" s="8">
        <v>3339.85</v>
      </c>
      <c r="D609" s="8">
        <f t="shared" si="21"/>
        <v>-0.013848084446741002</v>
      </c>
      <c r="E609" s="8">
        <v>0.00925101606347981</v>
      </c>
      <c r="F609" s="9"/>
      <c r="G609" s="9">
        <v>606.0</v>
      </c>
      <c r="H609" s="10">
        <f t="shared" si="22"/>
        <v>-0.0030851110655891172</v>
      </c>
      <c r="K609" s="7"/>
    </row>
    <row r="610" spans="8:8">
      <c r="B610" s="7" t="s">
        <v>8960</v>
      </c>
      <c r="C610" s="8">
        <v>3386.75</v>
      </c>
      <c r="D610" s="8">
        <f t="shared" si="21"/>
        <v>0.026194588370754116</v>
      </c>
      <c r="E610" s="8">
        <v>0.009231962761830947</v>
      </c>
      <c r="F610" s="9"/>
      <c r="G610" s="9">
        <v>607.0</v>
      </c>
      <c r="H610" s="10">
        <f t="shared" si="22"/>
        <v>0.0058670005837445655</v>
      </c>
      <c r="K610" s="7"/>
    </row>
    <row r="611" spans="8:8">
      <c r="B611" s="7" t="s">
        <v>8961</v>
      </c>
      <c r="C611" s="8">
        <v>3300.3</v>
      </c>
      <c r="D611" s="8">
        <f t="shared" si="21"/>
        <v>-0.0026291931097007608</v>
      </c>
      <c r="E611" s="8">
        <v>0.0092288634252091</v>
      </c>
      <c r="F611" s="9"/>
      <c r="G611" s="9">
        <v>608.0</v>
      </c>
      <c r="H611" s="10">
        <f t="shared" si="22"/>
        <v>-0.007844780352771752</v>
      </c>
      <c r="K611" s="7"/>
    </row>
    <row r="612" spans="8:8">
      <c r="B612" s="7" t="s">
        <v>8962</v>
      </c>
      <c r="C612" s="8">
        <v>3309.0</v>
      </c>
      <c r="D612" s="8">
        <f t="shared" si="21"/>
        <v>-0.003763359927743489</v>
      </c>
      <c r="E612" s="8">
        <v>0.009226247176332808</v>
      </c>
      <c r="F612" s="9"/>
      <c r="G612" s="9">
        <v>609.0</v>
      </c>
      <c r="H612" s="10">
        <f t="shared" si="22"/>
        <v>0.006471393574559616</v>
      </c>
      <c r="K612" s="7"/>
    </row>
    <row r="613" spans="8:8">
      <c r="B613" s="7" t="s">
        <v>8963</v>
      </c>
      <c r="C613" s="8">
        <v>3321.5</v>
      </c>
      <c r="D613" s="8">
        <f t="shared" si="21"/>
        <v>0.006652422300010552</v>
      </c>
      <c r="E613" s="8">
        <v>0.009196650124069507</v>
      </c>
      <c r="F613" s="9"/>
      <c r="G613" s="9">
        <v>610.0</v>
      </c>
      <c r="H613" s="10">
        <f t="shared" si="22"/>
        <v>0.016500076527366382</v>
      </c>
      <c r="K613" s="7"/>
    </row>
    <row r="614" spans="8:8">
      <c r="B614" s="7">
        <v>45628.0</v>
      </c>
      <c r="C614" s="8">
        <v>3299.55</v>
      </c>
      <c r="D614" s="8">
        <f t="shared" si="21"/>
        <v>-0.007519814711765502</v>
      </c>
      <c r="E614" s="8">
        <v>0.009174716598297331</v>
      </c>
      <c r="F614" s="9"/>
      <c r="G614" s="9">
        <v>611.0</v>
      </c>
      <c r="H614" s="10">
        <f t="shared" si="22"/>
        <v>-0.005899777051041047</v>
      </c>
      <c r="K614" s="7"/>
    </row>
    <row r="615" spans="8:8">
      <c r="B615" s="7">
        <v>45537.0</v>
      </c>
      <c r="C615" s="8">
        <v>3324.55</v>
      </c>
      <c r="D615" s="8">
        <f t="shared" si="21"/>
        <v>-0.0032828661370108885</v>
      </c>
      <c r="E615" s="8">
        <v>0.009171936033839048</v>
      </c>
      <c r="F615" s="9"/>
      <c r="G615" s="9">
        <v>612.0</v>
      </c>
      <c r="H615" s="10">
        <f t="shared" si="22"/>
        <v>-0.011239896782245622</v>
      </c>
      <c r="K615" s="7"/>
    </row>
    <row r="616" spans="8:8">
      <c r="B616" s="7">
        <v>45506.0</v>
      </c>
      <c r="C616" s="8">
        <v>3335.5</v>
      </c>
      <c r="D616" s="8">
        <f t="shared" si="21"/>
        <v>-0.01743894894983351</v>
      </c>
      <c r="E616" s="8">
        <v>0.00915082063552018</v>
      </c>
      <c r="F616" s="9"/>
      <c r="G616" s="9">
        <v>613.0</v>
      </c>
      <c r="H616" s="10">
        <f t="shared" si="22"/>
        <v>0.013507274968646898</v>
      </c>
      <c r="K616" s="7"/>
    </row>
    <row r="617" spans="8:8">
      <c r="B617" s="7">
        <v>45475.0</v>
      </c>
      <c r="C617" s="8">
        <v>3394.7</v>
      </c>
      <c r="D617" s="8">
        <f t="shared" si="21"/>
        <v>-0.0086296269256042</v>
      </c>
      <c r="E617" s="8">
        <v>0.009139541513642232</v>
      </c>
      <c r="F617" s="9"/>
      <c r="G617" s="9">
        <v>614.0</v>
      </c>
      <c r="H617" s="10">
        <f t="shared" si="22"/>
        <v>-0.002403661298177911</v>
      </c>
      <c r="K617" s="7"/>
    </row>
    <row r="618" spans="8:8">
      <c r="B618" s="7">
        <v>45445.0</v>
      </c>
      <c r="C618" s="8">
        <v>3424.25</v>
      </c>
      <c r="D618" s="8">
        <f t="shared" si="21"/>
        <v>0.024687663649285554</v>
      </c>
      <c r="E618" s="8">
        <v>0.00912344260846518</v>
      </c>
      <c r="F618" s="9"/>
      <c r="G618" s="9">
        <v>615.0</v>
      </c>
      <c r="H618" s="10">
        <f t="shared" si="22"/>
        <v>0.002071225972090511</v>
      </c>
      <c r="K618" s="7"/>
    </row>
    <row r="619" spans="8:8">
      <c r="B619" s="7">
        <v>45414.0</v>
      </c>
      <c r="C619" s="8">
        <v>3341.75</v>
      </c>
      <c r="D619" s="8">
        <f t="shared" si="21"/>
        <v>-0.01015980213563193</v>
      </c>
      <c r="E619" s="8">
        <v>0.009101736534870465</v>
      </c>
      <c r="F619" s="9"/>
      <c r="G619" s="9">
        <v>616.0</v>
      </c>
      <c r="H619" s="10">
        <f t="shared" si="22"/>
        <v>-0.007371411469204518</v>
      </c>
      <c r="K619" s="7"/>
    </row>
    <row r="620" spans="8:8">
      <c r="B620" s="7">
        <v>45324.0</v>
      </c>
      <c r="C620" s="8">
        <v>3376.05</v>
      </c>
      <c r="D620" s="8">
        <f t="shared" si="21"/>
        <v>-0.006459682165979935</v>
      </c>
      <c r="E620" s="8">
        <v>0.009083659813472877</v>
      </c>
      <c r="F620" s="9"/>
      <c r="G620" s="9">
        <v>617.0</v>
      </c>
      <c r="H620" s="10">
        <f t="shared" si="22"/>
        <v>0.030169689085425083</v>
      </c>
      <c r="K620" s="7"/>
    </row>
    <row r="621" spans="8:8">
      <c r="B621" s="7">
        <v>45293.0</v>
      </c>
      <c r="C621" s="8">
        <v>3398.0</v>
      </c>
      <c r="D621" s="8">
        <f t="shared" si="21"/>
        <v>-0.02349306703067749</v>
      </c>
      <c r="E621" s="8">
        <v>0.009083263246425593</v>
      </c>
      <c r="F621" s="9"/>
      <c r="G621" s="9">
        <v>618.0</v>
      </c>
      <c r="H621" s="10">
        <f t="shared" si="22"/>
        <v>-0.002312595380162822</v>
      </c>
      <c r="K621" s="7"/>
    </row>
    <row r="622" spans="8:8">
      <c r="B622" s="7" t="s">
        <v>8964</v>
      </c>
      <c r="C622" s="8">
        <v>3479.75</v>
      </c>
      <c r="D622" s="8">
        <f t="shared" si="21"/>
        <v>-0.0422618556133543</v>
      </c>
      <c r="E622" s="8">
        <v>0.009075215782984015</v>
      </c>
      <c r="F622" s="9"/>
      <c r="G622" s="9">
        <v>619.0</v>
      </c>
      <c r="H622" s="10">
        <f t="shared" si="22"/>
        <v>0.012520104868019959</v>
      </c>
      <c r="K622" s="7"/>
    </row>
    <row r="623" spans="8:8">
      <c r="B623" s="7" t="s">
        <v>8965</v>
      </c>
      <c r="C623" s="8">
        <v>3633.3</v>
      </c>
      <c r="D623" s="8">
        <f t="shared" si="21"/>
        <v>-0.020145631067961117</v>
      </c>
      <c r="E623" s="8">
        <v>0.009061374234755896</v>
      </c>
      <c r="F623" s="9"/>
      <c r="G623" s="9">
        <v>620.0</v>
      </c>
      <c r="H623" s="10">
        <f t="shared" si="22"/>
        <v>-0.008072041217270193</v>
      </c>
      <c r="K623" s="7"/>
    </row>
    <row r="624" spans="8:8">
      <c r="B624" s="7" t="s">
        <v>8966</v>
      </c>
      <c r="C624" s="8">
        <v>3708.0</v>
      </c>
      <c r="D624" s="8">
        <f t="shared" si="21"/>
        <v>0.031877443682255265</v>
      </c>
      <c r="E624" s="8">
        <v>0.009007058415970088</v>
      </c>
      <c r="F624" s="9"/>
      <c r="G624" s="9">
        <v>621.0</v>
      </c>
      <c r="H624" s="10">
        <f t="shared" si="22"/>
        <v>-0.0014330645432062365</v>
      </c>
      <c r="K624" s="7"/>
    </row>
    <row r="625" spans="8:8">
      <c r="B625" s="7" t="s">
        <v>8967</v>
      </c>
      <c r="C625" s="8">
        <v>3593.45</v>
      </c>
      <c r="D625" s="8">
        <f t="shared" si="21"/>
        <v>0.001184107879193135</v>
      </c>
      <c r="E625" s="8">
        <v>0.00896659023910911</v>
      </c>
      <c r="F625" s="9"/>
      <c r="G625" s="9">
        <v>622.0</v>
      </c>
      <c r="H625" s="10">
        <f t="shared" si="22"/>
        <v>0.03269131975224221</v>
      </c>
      <c r="K625" s="7"/>
    </row>
    <row r="626" spans="8:8">
      <c r="B626" s="7" t="s">
        <v>8968</v>
      </c>
      <c r="C626" s="8">
        <v>3589.2</v>
      </c>
      <c r="D626" s="8">
        <f t="shared" si="21"/>
        <v>0.010757533089270577</v>
      </c>
      <c r="E626" s="8">
        <v>0.008964893777309026</v>
      </c>
      <c r="F626" s="9"/>
      <c r="G626" s="9">
        <v>623.0</v>
      </c>
      <c r="H626" s="10">
        <f t="shared" si="22"/>
        <v>0.0033489393740637227</v>
      </c>
      <c r="K626" s="7"/>
    </row>
    <row r="627" spans="8:8">
      <c r="B627" s="7" t="s">
        <v>8969</v>
      </c>
      <c r="C627" s="8">
        <v>3551.0</v>
      </c>
      <c r="D627" s="8">
        <f t="shared" si="21"/>
        <v>-0.022974274315586737</v>
      </c>
      <c r="E627" s="8">
        <v>0.008958160729080341</v>
      </c>
      <c r="F627" s="9"/>
      <c r="G627" s="9">
        <v>624.0</v>
      </c>
      <c r="H627" s="10">
        <f t="shared" si="22"/>
        <v>-0.013958043376419791</v>
      </c>
      <c r="K627" s="7"/>
    </row>
    <row r="628" spans="8:8">
      <c r="B628" s="7" t="s">
        <v>8970</v>
      </c>
      <c r="C628" s="8">
        <v>3634.5</v>
      </c>
      <c r="D628" s="8">
        <f t="shared" si="21"/>
        <v>-0.003154141524958859</v>
      </c>
      <c r="E628" s="8">
        <v>0.008950390107463593</v>
      </c>
      <c r="F628" s="9"/>
      <c r="G628" s="9">
        <v>625.0</v>
      </c>
      <c r="H628" s="10">
        <f t="shared" si="22"/>
        <v>0.01635418056935349</v>
      </c>
      <c r="K628" s="7"/>
    </row>
    <row r="629" spans="8:8">
      <c r="B629" s="7" t="s">
        <v>8971</v>
      </c>
      <c r="C629" s="8">
        <v>3646.0</v>
      </c>
      <c r="D629" s="8">
        <f t="shared" si="21"/>
        <v>0.013904338153503892</v>
      </c>
      <c r="E629" s="8">
        <v>0.008943450727696872</v>
      </c>
      <c r="F629" s="9"/>
      <c r="G629" s="9">
        <v>626.0</v>
      </c>
      <c r="H629" s="10">
        <f t="shared" si="22"/>
        <v>-0.0017714455192157294</v>
      </c>
      <c r="K629" s="7"/>
    </row>
    <row r="630" spans="8:8">
      <c r="B630" s="7" t="s">
        <v>8972</v>
      </c>
      <c r="C630" s="8">
        <v>3596.0</v>
      </c>
      <c r="D630" s="8">
        <f t="shared" si="21"/>
        <v>0.007014940001960314</v>
      </c>
      <c r="E630" s="8">
        <v>0.00890987476904119</v>
      </c>
      <c r="F630" s="9"/>
      <c r="G630" s="9">
        <v>627.0</v>
      </c>
      <c r="H630" s="10">
        <f t="shared" si="22"/>
        <v>0.007389381465488232</v>
      </c>
      <c r="K630" s="7"/>
    </row>
    <row r="631" spans="8:8">
      <c r="B631" s="7" t="s">
        <v>8973</v>
      </c>
      <c r="C631" s="8">
        <v>3570.95</v>
      </c>
      <c r="D631" s="8">
        <f t="shared" si="21"/>
        <v>-7.135861200504216E-4</v>
      </c>
      <c r="E631" s="8">
        <v>0.008887077048512026</v>
      </c>
      <c r="F631" s="9"/>
      <c r="G631" s="9">
        <v>628.0</v>
      </c>
      <c r="H631" s="10">
        <f t="shared" si="22"/>
        <v>0.019834659919751297</v>
      </c>
      <c r="K631" s="7"/>
    </row>
    <row r="632" spans="8:8">
      <c r="B632" s="7" t="s">
        <v>8974</v>
      </c>
      <c r="C632" s="8">
        <v>3573.5</v>
      </c>
      <c r="D632" s="8">
        <f t="shared" si="21"/>
        <v>0.008594290230168871</v>
      </c>
      <c r="E632" s="8">
        <v>0.008882761509196983</v>
      </c>
      <c r="F632" s="9"/>
      <c r="G632" s="9">
        <v>629.0</v>
      </c>
      <c r="H632" s="10">
        <f t="shared" si="22"/>
        <v>-0.005457300062938291</v>
      </c>
      <c r="K632" s="7"/>
    </row>
    <row r="633" spans="8:8">
      <c r="B633" s="7" t="s">
        <v>8975</v>
      </c>
      <c r="C633" s="8">
        <v>3543.05</v>
      </c>
      <c r="D633" s="8">
        <f t="shared" si="21"/>
        <v>-0.007215310468504819</v>
      </c>
      <c r="E633" s="8">
        <v>0.008841975393262183</v>
      </c>
      <c r="F633" s="9"/>
      <c r="G633" s="9">
        <v>630.0</v>
      </c>
      <c r="H633" s="10">
        <f t="shared" si="22"/>
        <v>9.21825668174117E-4</v>
      </c>
      <c r="K633" s="7"/>
    </row>
    <row r="634" spans="8:8">
      <c r="B634" s="7">
        <v>45627.0</v>
      </c>
      <c r="C634" s="8">
        <v>3568.8</v>
      </c>
      <c r="D634" s="8">
        <f t="shared" si="21"/>
        <v>0.0182461446281582</v>
      </c>
      <c r="E634" s="8">
        <v>0.00883174622247592</v>
      </c>
      <c r="F634" s="9"/>
      <c r="G634" s="9">
        <v>631.0</v>
      </c>
      <c r="H634" s="10">
        <f t="shared" si="22"/>
        <v>7.613020440994274E-5</v>
      </c>
      <c r="K634" s="7"/>
    </row>
    <row r="635" spans="8:8">
      <c r="B635" s="7">
        <v>45597.0</v>
      </c>
      <c r="C635" s="8">
        <v>3504.85</v>
      </c>
      <c r="D635" s="8">
        <f t="shared" si="21"/>
        <v>-0.011465237625158678</v>
      </c>
      <c r="E635" s="8">
        <v>0.008797143106001338</v>
      </c>
      <c r="F635" s="9"/>
      <c r="G635" s="9">
        <v>632.0</v>
      </c>
      <c r="H635" s="10">
        <f t="shared" si="22"/>
        <v>0.002383929194018993</v>
      </c>
      <c r="K635" s="7"/>
    </row>
    <row r="636" spans="8:8">
      <c r="B636" s="7">
        <v>45566.0</v>
      </c>
      <c r="C636" s="8">
        <v>3545.5</v>
      </c>
      <c r="D636" s="8">
        <f t="shared" si="21"/>
        <v>-0.002938736483921264</v>
      </c>
      <c r="E636" s="8">
        <v>0.008758086054699016</v>
      </c>
      <c r="F636" s="9"/>
      <c r="G636" s="9">
        <v>633.0</v>
      </c>
      <c r="H636" s="10">
        <f t="shared" si="22"/>
        <v>-0.017407960150756196</v>
      </c>
      <c r="K636" s="7"/>
    </row>
    <row r="637" spans="8:8">
      <c r="B637" s="7">
        <v>45536.0</v>
      </c>
      <c r="C637" s="8">
        <v>3555.95</v>
      </c>
      <c r="D637" s="8">
        <f t="shared" si="21"/>
        <v>0.015666504812773104</v>
      </c>
      <c r="E637" s="8">
        <v>0.008742774566473923</v>
      </c>
      <c r="F637" s="9"/>
      <c r="G637" s="9">
        <v>634.0</v>
      </c>
      <c r="H637" s="10">
        <f t="shared" si="22"/>
        <v>0.005921039858684853</v>
      </c>
      <c r="K637" s="7"/>
    </row>
    <row r="638" spans="8:8">
      <c r="B638" s="7">
        <v>45505.0</v>
      </c>
      <c r="C638" s="8">
        <v>3501.1</v>
      </c>
      <c r="D638" s="8">
        <f t="shared" si="21"/>
        <v>-0.005905903063687266</v>
      </c>
      <c r="E638" s="8">
        <v>0.00870679748961384</v>
      </c>
      <c r="F638" s="9"/>
      <c r="G638" s="9">
        <v>635.0</v>
      </c>
      <c r="H638" s="10">
        <f t="shared" si="22"/>
        <v>0.0038253495173168972</v>
      </c>
      <c r="K638" s="7"/>
    </row>
    <row r="639" spans="8:8">
      <c r="B639" s="7">
        <v>45413.0</v>
      </c>
      <c r="C639" s="8">
        <v>3521.9</v>
      </c>
      <c r="D639" s="8">
        <f t="shared" si="21"/>
        <v>0.01827276144216043</v>
      </c>
      <c r="E639" s="8">
        <v>0.008699771738662224</v>
      </c>
      <c r="F639" s="9"/>
      <c r="G639" s="9">
        <v>636.0</v>
      </c>
      <c r="H639" s="10">
        <f t="shared" si="22"/>
        <v>-0.015764813846358017</v>
      </c>
      <c r="K639" s="7"/>
    </row>
    <row r="640" spans="8:8">
      <c r="B640" s="7">
        <v>45383.0</v>
      </c>
      <c r="C640" s="8">
        <v>3458.7</v>
      </c>
      <c r="D640" s="8">
        <f t="shared" si="21"/>
        <v>0.005333759646547563</v>
      </c>
      <c r="E640" s="8">
        <v>0.008688387635756006</v>
      </c>
      <c r="F640" s="9"/>
      <c r="G640" s="9">
        <v>637.0</v>
      </c>
      <c r="H640" s="10">
        <f t="shared" si="22"/>
        <v>-0.005424749787308254</v>
      </c>
      <c r="K640" s="7"/>
    </row>
    <row r="641" spans="8:8">
      <c r="B641" s="7">
        <v>45352.0</v>
      </c>
      <c r="C641" s="8">
        <v>3440.35</v>
      </c>
      <c r="D641" s="8">
        <f t="shared" si="21"/>
        <v>6.544312265495477E-4</v>
      </c>
      <c r="E641" s="8">
        <v>0.008631676514888114</v>
      </c>
      <c r="F641" s="9"/>
      <c r="G641" s="9">
        <v>638.0</v>
      </c>
      <c r="H641" s="10">
        <f t="shared" si="22"/>
        <v>0.005073363611938955</v>
      </c>
      <c r="K641" s="7"/>
    </row>
    <row r="642" spans="8:8">
      <c r="B642" s="7">
        <v>45323.0</v>
      </c>
      <c r="C642" s="8">
        <v>3438.1</v>
      </c>
      <c r="D642" s="8">
        <f t="shared" si="21"/>
        <v>-0.02477697882539815</v>
      </c>
      <c r="E642" s="8">
        <v>0.0086210612526402</v>
      </c>
      <c r="F642" s="9"/>
      <c r="G642" s="9">
        <v>639.0</v>
      </c>
      <c r="H642" s="10">
        <f t="shared" si="22"/>
        <v>0.01026836440971654</v>
      </c>
      <c r="K642" s="7"/>
    </row>
    <row r="643" spans="8:8">
      <c r="B643" s="7">
        <v>45292.0</v>
      </c>
      <c r="C643" s="8">
        <v>3525.45</v>
      </c>
      <c r="D643" s="8">
        <f t="shared" si="21"/>
        <v>-1.5598411798076629E-4</v>
      </c>
      <c r="E643" s="8">
        <v>0.00860182600166007</v>
      </c>
      <c r="F643" s="9"/>
      <c r="G643" s="9">
        <v>640.0</v>
      </c>
      <c r="H643" s="10">
        <f t="shared" si="22"/>
        <v>0.01894230881477137</v>
      </c>
      <c r="K643" s="7"/>
    </row>
    <row r="644" spans="8:8">
      <c r="B644" s="7" t="s">
        <v>8976</v>
      </c>
      <c r="C644" s="8">
        <v>3526.0</v>
      </c>
      <c r="D644" s="8">
        <f t="shared" si="23" ref="D644:D707">(C644-C645)/C645</f>
        <v>0.002259774591037597</v>
      </c>
      <c r="E644" s="8">
        <v>0.00856255808894781</v>
      </c>
      <c r="F644" s="9"/>
      <c r="G644" s="9">
        <v>641.0</v>
      </c>
      <c r="H644" s="10">
        <f t="shared" si="22"/>
        <v>-0.01602907320506923</v>
      </c>
      <c r="K644" s="7"/>
    </row>
    <row r="645" spans="8:8">
      <c r="B645" s="7" t="s">
        <v>8977</v>
      </c>
      <c r="C645" s="8">
        <v>3518.05</v>
      </c>
      <c r="D645" s="8">
        <f t="shared" si="23"/>
        <v>-0.007322234762979633</v>
      </c>
      <c r="E645" s="8">
        <v>0.008555994634376212</v>
      </c>
      <c r="F645" s="9"/>
      <c r="G645" s="9">
        <v>642.0</v>
      </c>
      <c r="H645" s="10">
        <f t="shared" si="24" ref="H645:H708">_xlfn.NORM.INV(RAND(),N$6,N$7)</f>
        <v>0.009885488751166058</v>
      </c>
      <c r="K645" s="7"/>
    </row>
    <row r="646" spans="8:8">
      <c r="B646" s="7" t="s">
        <v>8978</v>
      </c>
      <c r="C646" s="8">
        <v>3544.0</v>
      </c>
      <c r="D646" s="8">
        <f t="shared" si="23"/>
        <v>0.015458231257431789</v>
      </c>
      <c r="E646" s="8">
        <v>0.008553722614995159</v>
      </c>
      <c r="F646" s="9"/>
      <c r="G646" s="9">
        <v>643.0</v>
      </c>
      <c r="H646" s="10">
        <f t="shared" si="24"/>
        <v>0.013604792548913634</v>
      </c>
      <c r="K646" s="7"/>
    </row>
    <row r="647" spans="8:8">
      <c r="B647" s="7" t="s">
        <v>8979</v>
      </c>
      <c r="C647" s="8">
        <v>3490.05</v>
      </c>
      <c r="D647" s="8">
        <f t="shared" si="23"/>
        <v>0.003479060941071713</v>
      </c>
      <c r="E647" s="8">
        <v>0.008547438282467696</v>
      </c>
      <c r="F647" s="9"/>
      <c r="G647" s="9">
        <v>644.0</v>
      </c>
      <c r="H647" s="10">
        <f t="shared" si="24"/>
        <v>0.011216154481618688</v>
      </c>
      <c r="K647" s="7"/>
    </row>
    <row r="648" spans="8:8">
      <c r="B648" s="7" t="s">
        <v>8980</v>
      </c>
      <c r="C648" s="8">
        <v>3477.95</v>
      </c>
      <c r="D648" s="8">
        <f t="shared" si="23"/>
        <v>0.015711928507804777</v>
      </c>
      <c r="E648" s="8">
        <v>0.00851460534493477</v>
      </c>
      <c r="F648" s="9"/>
      <c r="G648" s="9">
        <v>645.0</v>
      </c>
      <c r="H648" s="10">
        <f t="shared" si="24"/>
        <v>0.021620520492215106</v>
      </c>
      <c r="K648" s="7"/>
    </row>
    <row r="649" spans="8:8">
      <c r="B649" s="7" t="s">
        <v>8981</v>
      </c>
      <c r="C649" s="8">
        <v>3424.15</v>
      </c>
      <c r="D649" s="8">
        <f t="shared" si="23"/>
        <v>0.001652771683486936</v>
      </c>
      <c r="E649" s="8">
        <v>0.008503119651040855</v>
      </c>
      <c r="F649" s="9"/>
      <c r="G649" s="9">
        <v>646.0</v>
      </c>
      <c r="H649" s="10">
        <f t="shared" si="24"/>
        <v>-0.00386971500087033</v>
      </c>
      <c r="K649" s="7"/>
    </row>
    <row r="650" spans="8:8">
      <c r="B650" s="7" t="s">
        <v>8982</v>
      </c>
      <c r="C650" s="8">
        <v>3418.5</v>
      </c>
      <c r="D650" s="8">
        <f t="shared" si="23"/>
        <v>-0.022992612069335037</v>
      </c>
      <c r="E650" s="8">
        <v>0.00847798135647698</v>
      </c>
      <c r="F650" s="9"/>
      <c r="G650" s="9">
        <v>647.0</v>
      </c>
      <c r="H650" s="10">
        <f t="shared" si="24"/>
        <v>0.0020126457171321405</v>
      </c>
      <c r="K650" s="7"/>
    </row>
    <row r="651" spans="8:8">
      <c r="B651" s="7" t="s">
        <v>8983</v>
      </c>
      <c r="C651" s="8">
        <v>3498.95</v>
      </c>
      <c r="D651" s="8">
        <f t="shared" si="23"/>
        <v>0.0021050521251002145</v>
      </c>
      <c r="E651" s="8">
        <v>0.00846181544404069</v>
      </c>
      <c r="F651" s="9"/>
      <c r="G651" s="9">
        <v>648.0</v>
      </c>
      <c r="H651" s="10">
        <f t="shared" si="24"/>
        <v>0.009722888611863906</v>
      </c>
      <c r="K651" s="7"/>
    </row>
    <row r="652" spans="8:8">
      <c r="B652" s="7" t="s">
        <v>8984</v>
      </c>
      <c r="C652" s="8">
        <v>3491.6</v>
      </c>
      <c r="D652" s="8">
        <f t="shared" si="23"/>
        <v>0.001032110091743093</v>
      </c>
      <c r="E652" s="8">
        <v>0.008460977388767367</v>
      </c>
      <c r="F652" s="9"/>
      <c r="G652" s="9">
        <v>649.0</v>
      </c>
      <c r="H652" s="10">
        <f t="shared" si="24"/>
        <v>0.008586871486178212</v>
      </c>
      <c r="K652" s="7"/>
    </row>
    <row r="653" spans="8:8">
      <c r="B653" s="7" t="s">
        <v>8985</v>
      </c>
      <c r="C653" s="8">
        <v>3488.0</v>
      </c>
      <c r="D653" s="8">
        <f t="shared" si="23"/>
        <v>0.015991378054819285</v>
      </c>
      <c r="E653" s="8">
        <v>0.008445945945945946</v>
      </c>
      <c r="F653" s="9"/>
      <c r="G653" s="9">
        <v>650.0</v>
      </c>
      <c r="H653" s="10">
        <f t="shared" si="24"/>
        <v>0.002563411591357619</v>
      </c>
      <c r="K653" s="7"/>
    </row>
    <row r="654" spans="8:8">
      <c r="B654" s="7" t="s">
        <v>8986</v>
      </c>
      <c r="C654" s="8">
        <v>3433.1</v>
      </c>
      <c r="D654" s="8">
        <f t="shared" si="23"/>
        <v>0.00979469380551789</v>
      </c>
      <c r="E654" s="8">
        <v>0.00838513139270109</v>
      </c>
      <c r="F654" s="9"/>
      <c r="G654" s="9">
        <v>651.0</v>
      </c>
      <c r="H654" s="10">
        <f t="shared" si="24"/>
        <v>-0.014555912129043284</v>
      </c>
      <c r="K654" s="7"/>
    </row>
    <row r="655" spans="8:8">
      <c r="B655" s="7" t="s">
        <v>8987</v>
      </c>
      <c r="C655" s="8">
        <v>3399.8</v>
      </c>
      <c r="D655" s="8">
        <f t="shared" si="23"/>
        <v>0.01717328865485881</v>
      </c>
      <c r="E655" s="8">
        <v>0.008349116771674813</v>
      </c>
      <c r="F655" s="9"/>
      <c r="G655" s="9">
        <v>652.0</v>
      </c>
      <c r="H655" s="10">
        <f t="shared" si="24"/>
        <v>-0.019955721450693485</v>
      </c>
      <c r="K655" s="7"/>
    </row>
    <row r="656" spans="8:8">
      <c r="B656" s="7">
        <v>45272.0</v>
      </c>
      <c r="C656" s="8">
        <v>3342.4</v>
      </c>
      <c r="D656" s="8">
        <f t="shared" si="23"/>
        <v>-0.012818240888416352</v>
      </c>
      <c r="E656" s="8">
        <v>0.008335728657660248</v>
      </c>
      <c r="F656" s="9"/>
      <c r="G656" s="9">
        <v>653.0</v>
      </c>
      <c r="H656" s="10">
        <f t="shared" si="24"/>
        <v>-0.0022700433800318222</v>
      </c>
      <c r="K656" s="7"/>
    </row>
    <row r="657" spans="8:8">
      <c r="B657" s="7">
        <v>45242.0</v>
      </c>
      <c r="C657" s="8">
        <v>3385.8</v>
      </c>
      <c r="D657" s="8">
        <f t="shared" si="23"/>
        <v>0.002175553878257889</v>
      </c>
      <c r="E657" s="8">
        <v>0.008331186120415675</v>
      </c>
      <c r="F657" s="9"/>
      <c r="G657" s="9">
        <v>654.0</v>
      </c>
      <c r="H657" s="10">
        <f t="shared" si="24"/>
        <v>-0.0010442738161988508</v>
      </c>
      <c r="K657" s="7"/>
    </row>
    <row r="658" spans="8:8">
      <c r="B658" s="7">
        <v>45150.0</v>
      </c>
      <c r="C658" s="8">
        <v>3378.45</v>
      </c>
      <c r="D658" s="8">
        <f t="shared" si="23"/>
        <v>0.0068095124567886245</v>
      </c>
      <c r="E658" s="8">
        <v>0.008330270733798752</v>
      </c>
      <c r="F658" s="9"/>
      <c r="G658" s="9">
        <v>655.0</v>
      </c>
      <c r="H658" s="10">
        <f t="shared" si="24"/>
        <v>-0.015910447870745203</v>
      </c>
      <c r="K658" s="7"/>
    </row>
    <row r="659" spans="8:8">
      <c r="B659" s="7">
        <v>45119.0</v>
      </c>
      <c r="C659" s="8">
        <v>3355.6</v>
      </c>
      <c r="D659" s="8">
        <f t="shared" si="23"/>
        <v>-0.010818618636323519</v>
      </c>
      <c r="E659" s="8">
        <v>0.008321985171735512</v>
      </c>
      <c r="F659" s="9"/>
      <c r="G659" s="9">
        <v>656.0</v>
      </c>
      <c r="H659" s="10">
        <f t="shared" si="24"/>
        <v>0.01722913339660879</v>
      </c>
      <c r="K659" s="7"/>
    </row>
    <row r="660" spans="8:8">
      <c r="B660" s="7">
        <v>45089.0</v>
      </c>
      <c r="C660" s="8">
        <v>3392.3</v>
      </c>
      <c r="D660" s="8">
        <f t="shared" si="23"/>
        <v>0.02317935725165524</v>
      </c>
      <c r="E660" s="8">
        <v>0.00830800405268495</v>
      </c>
      <c r="F660" s="9"/>
      <c r="G660" s="9">
        <v>657.0</v>
      </c>
      <c r="H660" s="10">
        <f t="shared" si="24"/>
        <v>0.0014961517940970327</v>
      </c>
      <c r="K660" s="7"/>
    </row>
    <row r="661" spans="8:8">
      <c r="B661" s="7">
        <v>45058.0</v>
      </c>
      <c r="C661" s="8">
        <v>3315.45</v>
      </c>
      <c r="D661" s="8">
        <f t="shared" si="23"/>
        <v>5.734031476813798E-4</v>
      </c>
      <c r="E661" s="8">
        <v>0.008294930875575963</v>
      </c>
      <c r="F661" s="9"/>
      <c r="G661" s="9">
        <v>658.0</v>
      </c>
      <c r="H661" s="10">
        <f t="shared" si="24"/>
        <v>2.424250011279559E-4</v>
      </c>
      <c r="K661" s="7"/>
    </row>
    <row r="662" spans="8:8">
      <c r="B662" s="7">
        <v>45028.0</v>
      </c>
      <c r="C662" s="8">
        <v>3313.55</v>
      </c>
      <c r="D662" s="8">
        <f t="shared" si="23"/>
        <v>0.0385187971103067</v>
      </c>
      <c r="E662" s="8">
        <v>0.008287203913491246</v>
      </c>
      <c r="F662" s="9"/>
      <c r="G662" s="9">
        <v>659.0</v>
      </c>
      <c r="H662" s="10">
        <f t="shared" si="24"/>
        <v>0.001273159442449624</v>
      </c>
      <c r="K662" s="7"/>
    </row>
    <row r="663" spans="8:8">
      <c r="B663" s="7">
        <v>44938.0</v>
      </c>
      <c r="C663" s="8">
        <v>3190.65</v>
      </c>
      <c r="D663" s="8">
        <f t="shared" si="23"/>
        <v>0.026196449247394917</v>
      </c>
      <c r="E663" s="8">
        <v>0.00827738626412573</v>
      </c>
      <c r="F663" s="9"/>
      <c r="G663" s="9">
        <v>660.0</v>
      </c>
      <c r="H663" s="10">
        <f t="shared" si="24"/>
        <v>-0.015063874415713784</v>
      </c>
      <c r="K663" s="7"/>
    </row>
    <row r="664" spans="8:8">
      <c r="B664" s="7" t="s">
        <v>8988</v>
      </c>
      <c r="C664" s="8">
        <v>3109.2</v>
      </c>
      <c r="D664" s="8">
        <f t="shared" si="23"/>
        <v>0.008252938792055069</v>
      </c>
      <c r="E664" s="8">
        <v>0.008270625720290182</v>
      </c>
      <c r="F664" s="9"/>
      <c r="G664" s="9">
        <v>661.0</v>
      </c>
      <c r="H664" s="10">
        <f t="shared" si="24"/>
        <v>0.016354639914933425</v>
      </c>
      <c r="K664" s="7"/>
    </row>
    <row r="665" spans="8:8">
      <c r="B665" s="7" t="s">
        <v>8989</v>
      </c>
      <c r="C665" s="8">
        <v>3083.75</v>
      </c>
      <c r="D665" s="8">
        <f t="shared" si="23"/>
        <v>0.011065573770491803</v>
      </c>
      <c r="E665" s="8">
        <v>0.00823519186476045</v>
      </c>
      <c r="F665" s="9"/>
      <c r="G665" s="9">
        <v>662.0</v>
      </c>
      <c r="H665" s="10">
        <f t="shared" si="24"/>
        <v>0.013724313322964705</v>
      </c>
      <c r="K665" s="7"/>
    </row>
    <row r="666" spans="8:8">
      <c r="B666" s="7" t="s">
        <v>8990</v>
      </c>
      <c r="C666" s="8">
        <v>3050.0</v>
      </c>
      <c r="D666" s="8">
        <f t="shared" si="23"/>
        <v>-0.0013915036424654171</v>
      </c>
      <c r="E666" s="8">
        <v>0.00819964349376114</v>
      </c>
      <c r="F666" s="9"/>
      <c r="G666" s="9">
        <v>663.0</v>
      </c>
      <c r="H666" s="10">
        <f t="shared" si="24"/>
        <v>0.006244435664445222</v>
      </c>
      <c r="K666" s="7"/>
    </row>
    <row r="667" spans="8:8">
      <c r="B667" s="7" t="s">
        <v>8991</v>
      </c>
      <c r="C667" s="8">
        <v>3054.25</v>
      </c>
      <c r="D667" s="8">
        <f t="shared" si="23"/>
        <v>0.002823699374517725</v>
      </c>
      <c r="E667" s="8">
        <v>0.008189921720637587</v>
      </c>
      <c r="F667" s="9"/>
      <c r="G667" s="9">
        <v>664.0</v>
      </c>
      <c r="H667" s="10">
        <f t="shared" si="24"/>
        <v>0.0011275792626010295</v>
      </c>
      <c r="K667" s="7"/>
    </row>
    <row r="668" spans="8:8">
      <c r="B668" s="7" t="s">
        <v>8992</v>
      </c>
      <c r="C668" s="8">
        <v>3045.65</v>
      </c>
      <c r="D668" s="8">
        <f t="shared" si="23"/>
        <v>-0.011890471401226385</v>
      </c>
      <c r="E668" s="8">
        <v>0.00818597398915621</v>
      </c>
      <c r="F668" s="9"/>
      <c r="G668" s="9">
        <v>665.0</v>
      </c>
      <c r="H668" s="10">
        <f t="shared" si="24"/>
        <v>-0.018088090725563236</v>
      </c>
      <c r="K668" s="7"/>
    </row>
    <row r="669" spans="8:8">
      <c r="B669" s="7" t="s">
        <v>8993</v>
      </c>
      <c r="C669" s="8">
        <v>3082.3</v>
      </c>
      <c r="D669" s="8">
        <f t="shared" si="23"/>
        <v>0.0024228824170285618</v>
      </c>
      <c r="E669" s="8">
        <v>0.008177370239846748</v>
      </c>
      <c r="F669" s="9"/>
      <c r="G669" s="9">
        <v>666.0</v>
      </c>
      <c r="H669" s="10">
        <f t="shared" si="24"/>
        <v>0.019114571116111454</v>
      </c>
      <c r="K669" s="7"/>
    </row>
    <row r="670" spans="8:8">
      <c r="B670" s="7" t="s">
        <v>8994</v>
      </c>
      <c r="C670" s="8">
        <v>3074.85</v>
      </c>
      <c r="D670" s="8">
        <f t="shared" si="23"/>
        <v>-0.0045163170163171045</v>
      </c>
      <c r="E670" s="8">
        <v>0.008145324890883383</v>
      </c>
      <c r="F670" s="9"/>
      <c r="G670" s="9">
        <v>667.0</v>
      </c>
      <c r="H670" s="10">
        <f t="shared" si="24"/>
        <v>0.002340937372701887</v>
      </c>
      <c r="K670" s="7"/>
    </row>
    <row r="671" spans="8:8">
      <c r="B671" s="7" t="s">
        <v>8995</v>
      </c>
      <c r="C671" s="8">
        <v>3088.8</v>
      </c>
      <c r="D671" s="8">
        <f t="shared" si="23"/>
        <v>-0.006497266001929822</v>
      </c>
      <c r="E671" s="8">
        <v>0.008107276023671815</v>
      </c>
      <c r="F671" s="9"/>
      <c r="G671" s="9">
        <v>668.0</v>
      </c>
      <c r="H671" s="10">
        <f t="shared" si="24"/>
        <v>0.015750462363844413</v>
      </c>
      <c r="K671" s="7"/>
    </row>
    <row r="672" spans="8:8">
      <c r="B672" s="7" t="s">
        <v>8996</v>
      </c>
      <c r="C672" s="8">
        <v>3109.0</v>
      </c>
      <c r="D672" s="8">
        <f t="shared" si="23"/>
        <v>0.01896006423807414</v>
      </c>
      <c r="E672" s="8">
        <v>0.008083140877598033</v>
      </c>
      <c r="F672" s="9"/>
      <c r="G672" s="9">
        <v>669.0</v>
      </c>
      <c r="H672" s="10">
        <f t="shared" si="24"/>
        <v>-0.0021106662784049343</v>
      </c>
      <c r="K672" s="7"/>
    </row>
    <row r="673" spans="8:8">
      <c r="B673" s="7" t="s">
        <v>8997</v>
      </c>
      <c r="C673" s="8">
        <v>3051.15</v>
      </c>
      <c r="D673" s="8">
        <f t="shared" si="23"/>
        <v>-0.004502520432633396</v>
      </c>
      <c r="E673" s="8">
        <v>0.008082030832769706</v>
      </c>
      <c r="F673" s="9"/>
      <c r="G673" s="9">
        <v>670.0</v>
      </c>
      <c r="H673" s="10">
        <f t="shared" si="24"/>
        <v>5.27962313240924E-4</v>
      </c>
      <c r="K673" s="7"/>
    </row>
    <row r="674" spans="8:8">
      <c r="B674" s="7" t="s">
        <v>8998</v>
      </c>
      <c r="C674" s="8">
        <v>3064.95</v>
      </c>
      <c r="D674" s="8">
        <f t="shared" si="23"/>
        <v>0.0053960964408725</v>
      </c>
      <c r="E674" s="8">
        <v>0.00807884466446976</v>
      </c>
      <c r="F674" s="9"/>
      <c r="G674" s="9">
        <v>671.0</v>
      </c>
      <c r="H674" s="10">
        <f t="shared" si="24"/>
        <v>-0.027330961707836676</v>
      </c>
      <c r="K674" s="7"/>
    </row>
    <row r="675" spans="8:8">
      <c r="B675" s="7" t="s">
        <v>8999</v>
      </c>
      <c r="C675" s="8">
        <v>3048.5</v>
      </c>
      <c r="D675" s="8">
        <f t="shared" si="23"/>
        <v>-0.0011467889908256881</v>
      </c>
      <c r="E675" s="8">
        <v>0.008063289213449062</v>
      </c>
      <c r="F675" s="9"/>
      <c r="G675" s="9">
        <v>672.0</v>
      </c>
      <c r="H675" s="10">
        <f t="shared" si="24"/>
        <v>-0.01136502984941717</v>
      </c>
      <c r="K675" s="7"/>
    </row>
    <row r="676" spans="8:8">
      <c r="B676" s="7">
        <v>45271.0</v>
      </c>
      <c r="C676" s="8">
        <v>3052.0</v>
      </c>
      <c r="D676" s="8">
        <f t="shared" si="23"/>
        <v>0.006181488502431385</v>
      </c>
      <c r="E676" s="8">
        <v>0.00806029975601255</v>
      </c>
      <c r="F676" s="9"/>
      <c r="G676" s="9">
        <v>673.0</v>
      </c>
      <c r="H676" s="10">
        <f t="shared" si="24"/>
        <v>-0.0011791846798565857</v>
      </c>
      <c r="K676" s="7"/>
    </row>
    <row r="677" spans="8:8">
      <c r="B677" s="7">
        <v>45210.0</v>
      </c>
      <c r="C677" s="8">
        <v>3033.25</v>
      </c>
      <c r="D677" s="8">
        <f t="shared" si="23"/>
        <v>0.0027769972064730785</v>
      </c>
      <c r="E677" s="8">
        <v>0.00805974227038854</v>
      </c>
      <c r="F677" s="9"/>
      <c r="G677" s="9">
        <v>674.0</v>
      </c>
      <c r="H677" s="10">
        <f t="shared" si="24"/>
        <v>0.016415814373639884</v>
      </c>
      <c r="K677" s="7"/>
    </row>
    <row r="678" spans="8:8">
      <c r="B678" s="7">
        <v>45180.0</v>
      </c>
      <c r="C678" s="8">
        <v>3024.85</v>
      </c>
      <c r="D678" s="8">
        <f t="shared" si="23"/>
        <v>0.00947788216055669</v>
      </c>
      <c r="E678" s="8">
        <v>0.008042510412178691</v>
      </c>
      <c r="F678" s="9"/>
      <c r="G678" s="9">
        <v>675.0</v>
      </c>
      <c r="H678" s="10">
        <f t="shared" si="24"/>
        <v>-0.005594159567561229</v>
      </c>
      <c r="K678" s="7"/>
    </row>
    <row r="679" spans="8:8">
      <c r="B679" s="7">
        <v>45149.0</v>
      </c>
      <c r="C679" s="8">
        <v>2996.45</v>
      </c>
      <c r="D679" s="8">
        <f t="shared" si="23"/>
        <v>0.011869786917907552</v>
      </c>
      <c r="E679" s="8">
        <v>0.008032826789999083</v>
      </c>
      <c r="F679" s="9"/>
      <c r="G679" s="9">
        <v>676.0</v>
      </c>
      <c r="H679" s="10">
        <f t="shared" si="24"/>
        <v>0.008382312909451059</v>
      </c>
      <c r="K679" s="7"/>
    </row>
    <row r="680" spans="8:8">
      <c r="B680" s="7">
        <v>45118.0</v>
      </c>
      <c r="C680" s="8">
        <v>2961.3</v>
      </c>
      <c r="D680" s="8">
        <f t="shared" si="23"/>
        <v>-0.004755583189097325</v>
      </c>
      <c r="E680" s="8">
        <v>0.008025327639522798</v>
      </c>
      <c r="F680" s="9"/>
      <c r="G680" s="9">
        <v>677.0</v>
      </c>
      <c r="H680" s="10">
        <f t="shared" si="24"/>
        <v>0.00964491874885953</v>
      </c>
      <c r="K680" s="7"/>
    </row>
    <row r="681" spans="8:8">
      <c r="B681" s="7">
        <v>45088.0</v>
      </c>
      <c r="C681" s="8">
        <v>2975.45</v>
      </c>
      <c r="D681" s="8">
        <f t="shared" si="23"/>
        <v>0.022052382996994357</v>
      </c>
      <c r="E681" s="8">
        <v>0.008021390374331454</v>
      </c>
      <c r="F681" s="9"/>
      <c r="G681" s="9">
        <v>678.0</v>
      </c>
      <c r="H681" s="10">
        <f t="shared" si="24"/>
        <v>0.01222407153199737</v>
      </c>
      <c r="K681" s="7"/>
    </row>
    <row r="682" spans="8:8">
      <c r="B682" s="7">
        <v>44996.0</v>
      </c>
      <c r="C682" s="8">
        <v>2911.25</v>
      </c>
      <c r="D682" s="8">
        <f t="shared" si="23"/>
        <v>-0.0023474178403755557</v>
      </c>
      <c r="E682" s="8">
        <v>0.007994251324890048</v>
      </c>
      <c r="F682" s="9"/>
      <c r="G682" s="9">
        <v>679.0</v>
      </c>
      <c r="H682" s="10">
        <f t="shared" si="24"/>
        <v>-0.004428962082460697</v>
      </c>
      <c r="K682" s="7"/>
    </row>
    <row r="683" spans="8:8">
      <c r="B683" s="7">
        <v>44968.0</v>
      </c>
      <c r="C683" s="8">
        <v>2918.1</v>
      </c>
      <c r="D683" s="8">
        <f t="shared" si="23"/>
        <v>0.007874831623665847</v>
      </c>
      <c r="E683" s="8">
        <v>0.007973954892894259</v>
      </c>
      <c r="F683" s="9"/>
      <c r="G683" s="9">
        <v>680.0</v>
      </c>
      <c r="H683" s="10">
        <f t="shared" si="24"/>
        <v>0.011628802046338125</v>
      </c>
      <c r="K683" s="7"/>
    </row>
    <row r="684" spans="8:8">
      <c r="B684" s="7">
        <v>44937.0</v>
      </c>
      <c r="C684" s="8">
        <v>2895.3</v>
      </c>
      <c r="D684" s="8">
        <f t="shared" si="23"/>
        <v>-0.011522507297587954</v>
      </c>
      <c r="E684" s="8">
        <v>0.007957940703286549</v>
      </c>
      <c r="F684" s="9"/>
      <c r="G684" s="9">
        <v>681.0</v>
      </c>
      <c r="H684" s="10">
        <f t="shared" si="24"/>
        <v>0.021954701432804452</v>
      </c>
      <c r="K684" s="7"/>
    </row>
    <row r="685" spans="8:8">
      <c r="B685" s="7" t="s">
        <v>9000</v>
      </c>
      <c r="C685" s="8">
        <v>2929.05</v>
      </c>
      <c r="D685" s="8">
        <f t="shared" si="23"/>
        <v>9.226510841151171E-4</v>
      </c>
      <c r="E685" s="8">
        <v>0.007956152758132957</v>
      </c>
      <c r="F685" s="9"/>
      <c r="G685" s="9">
        <v>682.0</v>
      </c>
      <c r="H685" s="10">
        <f t="shared" si="24"/>
        <v>0.0037729898933962294</v>
      </c>
      <c r="K685" s="7"/>
    </row>
    <row r="686" spans="8:8">
      <c r="B686" s="7" t="s">
        <v>9001</v>
      </c>
      <c r="C686" s="8">
        <v>2926.35</v>
      </c>
      <c r="D686" s="8">
        <f t="shared" si="23"/>
        <v>0.00842551431820525</v>
      </c>
      <c r="E686" s="8">
        <v>0.00795026375282589</v>
      </c>
      <c r="F686" s="9"/>
      <c r="G686" s="9">
        <v>683.0</v>
      </c>
      <c r="H686" s="10">
        <f t="shared" si="24"/>
        <v>0.009265856066238488</v>
      </c>
      <c r="K686" s="7"/>
    </row>
    <row r="687" spans="8:8">
      <c r="B687" s="7" t="s">
        <v>9002</v>
      </c>
      <c r="C687" s="8">
        <v>2901.9</v>
      </c>
      <c r="D687" s="8">
        <f t="shared" si="23"/>
        <v>0.013021015150457371</v>
      </c>
      <c r="E687" s="8">
        <v>0.007944779511011637</v>
      </c>
      <c r="F687" s="9"/>
      <c r="G687" s="9">
        <v>684.0</v>
      </c>
      <c r="H687" s="10">
        <f t="shared" si="24"/>
        <v>0.007278147724788949</v>
      </c>
      <c r="K687" s="7"/>
    </row>
    <row r="688" spans="8:8">
      <c r="B688" s="7" t="s">
        <v>9003</v>
      </c>
      <c r="C688" s="8">
        <v>2864.6</v>
      </c>
      <c r="D688" s="8">
        <f t="shared" si="23"/>
        <v>-0.01766057405438771</v>
      </c>
      <c r="E688" s="8">
        <v>0.007930227757517437</v>
      </c>
      <c r="F688" s="9"/>
      <c r="G688" s="9">
        <v>685.0</v>
      </c>
      <c r="H688" s="10">
        <f t="shared" si="24"/>
        <v>1.7014650736143144E-4</v>
      </c>
      <c r="K688" s="7"/>
    </row>
    <row r="689" spans="8:8">
      <c r="B689" s="7" t="s">
        <v>9004</v>
      </c>
      <c r="C689" s="8">
        <v>2916.1</v>
      </c>
      <c r="D689" s="8">
        <f t="shared" si="23"/>
        <v>-0.014264949464219407</v>
      </c>
      <c r="E689" s="8">
        <v>0.00792067415061189</v>
      </c>
      <c r="F689" s="9"/>
      <c r="G689" s="9">
        <v>686.0</v>
      </c>
      <c r="H689" s="10">
        <f t="shared" si="24"/>
        <v>-0.004200608532972549</v>
      </c>
      <c r="K689" s="7"/>
    </row>
    <row r="690" spans="8:8">
      <c r="B690" s="7" t="s">
        <v>9005</v>
      </c>
      <c r="C690" s="8">
        <v>2958.3</v>
      </c>
      <c r="D690" s="8">
        <f t="shared" si="23"/>
        <v>-0.01794280213122636</v>
      </c>
      <c r="E690" s="8">
        <v>0.007910317383286363</v>
      </c>
      <c r="F690" s="9"/>
      <c r="G690" s="9">
        <v>687.0</v>
      </c>
      <c r="H690" s="10">
        <f t="shared" si="24"/>
        <v>-0.00452893809904406</v>
      </c>
      <c r="K690" s="7"/>
    </row>
    <row r="691" spans="8:8">
      <c r="B691" s="7" t="s">
        <v>9006</v>
      </c>
      <c r="C691" s="8">
        <v>3012.35</v>
      </c>
      <c r="D691" s="8">
        <f t="shared" si="23"/>
        <v>-0.013767024620220069</v>
      </c>
      <c r="E691" s="8">
        <v>0.007893102246731462</v>
      </c>
      <c r="F691" s="9"/>
      <c r="G691" s="9">
        <v>688.0</v>
      </c>
      <c r="H691" s="10">
        <f t="shared" si="24"/>
        <v>-4.0146829907855824E-4</v>
      </c>
      <c r="K691" s="7"/>
    </row>
    <row r="692" spans="8:8">
      <c r="B692" s="7" t="s">
        <v>9007</v>
      </c>
      <c r="C692" s="8">
        <v>3054.4</v>
      </c>
      <c r="D692" s="8">
        <f t="shared" si="23"/>
        <v>0.0028894142369320273</v>
      </c>
      <c r="E692" s="8">
        <v>0.007881632214380395</v>
      </c>
      <c r="F692" s="9"/>
      <c r="G692" s="9">
        <v>689.0</v>
      </c>
      <c r="H692" s="10">
        <f t="shared" si="24"/>
        <v>-0.004144456900165716</v>
      </c>
      <c r="K692" s="7"/>
    </row>
    <row r="693" spans="8:8">
      <c r="B693" s="7" t="s">
        <v>9008</v>
      </c>
      <c r="C693" s="8">
        <v>3045.6</v>
      </c>
      <c r="D693" s="8">
        <f t="shared" si="23"/>
        <v>-0.006750807161725947</v>
      </c>
      <c r="E693" s="8">
        <v>0.007876599934361779</v>
      </c>
      <c r="F693" s="9"/>
      <c r="G693" s="9">
        <v>690.0</v>
      </c>
      <c r="H693" s="10">
        <f t="shared" si="24"/>
        <v>0.001574482007691087</v>
      </c>
      <c r="K693" s="7"/>
    </row>
    <row r="694" spans="8:8">
      <c r="B694" s="7" t="s">
        <v>9009</v>
      </c>
      <c r="C694" s="8">
        <v>3066.3</v>
      </c>
      <c r="D694" s="8">
        <f t="shared" si="23"/>
        <v>-0.011476836777458947</v>
      </c>
      <c r="E694" s="8">
        <v>0.007827307827307891</v>
      </c>
      <c r="F694" s="9"/>
      <c r="G694" s="9">
        <v>691.0</v>
      </c>
      <c r="H694" s="10">
        <f t="shared" si="24"/>
        <v>0.009685674380694297</v>
      </c>
      <c r="K694" s="7"/>
    </row>
    <row r="695" spans="8:8">
      <c r="B695" s="7" t="s">
        <v>9010</v>
      </c>
      <c r="C695" s="8">
        <v>3101.9</v>
      </c>
      <c r="D695" s="8">
        <f t="shared" si="23"/>
        <v>0.003981097876747858</v>
      </c>
      <c r="E695" s="8">
        <v>0.00782646206939055</v>
      </c>
      <c r="F695" s="9"/>
      <c r="G695" s="9">
        <v>692.0</v>
      </c>
      <c r="H695" s="10">
        <f t="shared" si="24"/>
        <v>0.018364451178128193</v>
      </c>
      <c r="K695" s="7"/>
    </row>
    <row r="696" spans="8:8">
      <c r="B696" s="7" t="s">
        <v>9011</v>
      </c>
      <c r="C696" s="8">
        <v>3089.6</v>
      </c>
      <c r="D696" s="8">
        <f t="shared" si="23"/>
        <v>0.0025472539952948515</v>
      </c>
      <c r="E696" s="8">
        <v>0.00782447366298298</v>
      </c>
      <c r="F696" s="9"/>
      <c r="G696" s="9">
        <v>693.0</v>
      </c>
      <c r="H696" s="10">
        <f t="shared" si="24"/>
        <v>-0.004838032179476234</v>
      </c>
      <c r="K696" s="7"/>
    </row>
    <row r="697" spans="8:8">
      <c r="B697" s="7">
        <v>45270.0</v>
      </c>
      <c r="C697" s="8">
        <v>3081.75</v>
      </c>
      <c r="D697" s="8">
        <f t="shared" si="23"/>
        <v>-0.002250137598342286</v>
      </c>
      <c r="E697" s="8">
        <v>0.007795304475421863</v>
      </c>
      <c r="F697" s="9"/>
      <c r="G697" s="9">
        <v>694.0</v>
      </c>
      <c r="H697" s="10">
        <f t="shared" si="24"/>
        <v>-0.00492346372604134</v>
      </c>
      <c r="K697" s="7"/>
    </row>
    <row r="698" spans="8:8">
      <c r="B698" s="7">
        <v>45240.0</v>
      </c>
      <c r="C698" s="8">
        <v>3088.7</v>
      </c>
      <c r="D698" s="8">
        <f t="shared" si="23"/>
        <v>0.004128738621586417</v>
      </c>
      <c r="E698" s="8">
        <v>0.007792963070660129</v>
      </c>
      <c r="F698" s="9"/>
      <c r="G698" s="9">
        <v>695.0</v>
      </c>
      <c r="H698" s="10">
        <f t="shared" si="24"/>
        <v>0.010176245522290635</v>
      </c>
      <c r="K698" s="7"/>
    </row>
    <row r="699" spans="8:8">
      <c r="B699" s="7">
        <v>45209.0</v>
      </c>
      <c r="C699" s="8">
        <v>3076.0</v>
      </c>
      <c r="D699" s="8">
        <f t="shared" si="23"/>
        <v>4.2280547695716067E-4</v>
      </c>
      <c r="E699" s="8">
        <v>0.007792543732014216</v>
      </c>
      <c r="F699" s="9"/>
      <c r="G699" s="9">
        <v>696.0</v>
      </c>
      <c r="H699" s="10">
        <f t="shared" si="24"/>
        <v>0.021067498136875275</v>
      </c>
      <c r="K699" s="7"/>
    </row>
    <row r="700" spans="8:8">
      <c r="B700" s="7">
        <v>45179.0</v>
      </c>
      <c r="C700" s="8">
        <v>3074.7</v>
      </c>
      <c r="D700" s="8">
        <f t="shared" si="23"/>
        <v>-0.006141513398196335</v>
      </c>
      <c r="E700" s="8">
        <v>0.007778877356102108</v>
      </c>
      <c r="F700" s="9"/>
      <c r="G700" s="9">
        <v>697.0</v>
      </c>
      <c r="H700" s="10">
        <f t="shared" si="24"/>
        <v>-0.014904096676265608</v>
      </c>
      <c r="K700" s="7"/>
    </row>
    <row r="701" spans="8:8">
      <c r="B701" s="7">
        <v>45087.0</v>
      </c>
      <c r="C701" s="8">
        <v>3093.7</v>
      </c>
      <c r="D701" s="8">
        <f t="shared" si="23"/>
        <v>-7.590316693853018E-4</v>
      </c>
      <c r="E701" s="8">
        <v>0.007748150216389876</v>
      </c>
      <c r="F701" s="9"/>
      <c r="G701" s="9">
        <v>698.0</v>
      </c>
      <c r="H701" s="10">
        <f t="shared" si="24"/>
        <v>0.0028034386906294452</v>
      </c>
      <c r="K701" s="7"/>
    </row>
    <row r="702" spans="8:8">
      <c r="B702" s="7">
        <v>45056.0</v>
      </c>
      <c r="C702" s="8">
        <v>3096.05</v>
      </c>
      <c r="D702" s="8">
        <f t="shared" si="23"/>
        <v>0.022558005119313083</v>
      </c>
      <c r="E702" s="8">
        <v>0.007725371747212002</v>
      </c>
      <c r="F702" s="9"/>
      <c r="G702" s="9">
        <v>699.0</v>
      </c>
      <c r="H702" s="10">
        <f t="shared" si="24"/>
        <v>-0.014835866180302977</v>
      </c>
      <c r="K702" s="7"/>
    </row>
    <row r="703" spans="8:8">
      <c r="B703" s="7">
        <v>45026.0</v>
      </c>
      <c r="C703" s="8">
        <v>3027.75</v>
      </c>
      <c r="D703" s="8">
        <f t="shared" si="23"/>
        <v>-0.014805173676075815</v>
      </c>
      <c r="E703" s="8">
        <v>0.0077155212643498505</v>
      </c>
      <c r="F703" s="9"/>
      <c r="G703" s="9">
        <v>700.0</v>
      </c>
      <c r="H703" s="10">
        <f t="shared" si="24"/>
        <v>-9.452552655809096E-4</v>
      </c>
      <c r="K703" s="7"/>
    </row>
    <row r="704" spans="8:8">
      <c r="B704" s="7">
        <v>44995.0</v>
      </c>
      <c r="C704" s="8">
        <v>3073.25</v>
      </c>
      <c r="D704" s="8">
        <f t="shared" si="23"/>
        <v>0.01643763126126567</v>
      </c>
      <c r="E704" s="8">
        <v>0.007713014757822896</v>
      </c>
      <c r="F704" s="9"/>
      <c r="G704" s="9">
        <v>701.0</v>
      </c>
      <c r="H704" s="10">
        <f t="shared" si="24"/>
        <v>0.0042597935030621505</v>
      </c>
      <c r="K704" s="7"/>
    </row>
    <row r="705" spans="8:8">
      <c r="B705" s="7" t="s">
        <v>9012</v>
      </c>
      <c r="C705" s="8">
        <v>3023.55</v>
      </c>
      <c r="D705" s="8">
        <f t="shared" si="23"/>
        <v>0.004501661129568167</v>
      </c>
      <c r="E705" s="8">
        <v>0.007692831370413203</v>
      </c>
      <c r="F705" s="9"/>
      <c r="G705" s="9">
        <v>702.0</v>
      </c>
      <c r="H705" s="10">
        <f t="shared" si="24"/>
        <v>0.0026368019091938177</v>
      </c>
      <c r="K705" s="7"/>
    </row>
    <row r="706" spans="8:8">
      <c r="B706" s="7" t="s">
        <v>9013</v>
      </c>
      <c r="C706" s="8">
        <v>3010.0</v>
      </c>
      <c r="D706" s="8">
        <f t="shared" si="23"/>
        <v>0.015159946712534296</v>
      </c>
      <c r="E706" s="8">
        <v>0.007680958166984819</v>
      </c>
      <c r="F706" s="9"/>
      <c r="G706" s="9">
        <v>703.0</v>
      </c>
      <c r="H706" s="10">
        <f t="shared" si="24"/>
        <v>0.008699874068532558</v>
      </c>
      <c r="K706" s="7"/>
    </row>
    <row r="707" spans="8:8">
      <c r="B707" s="7" t="s">
        <v>9014</v>
      </c>
      <c r="C707" s="8">
        <v>2965.05</v>
      </c>
      <c r="D707" s="8">
        <f t="shared" si="23"/>
        <v>0.01802544162331977</v>
      </c>
      <c r="E707" s="8">
        <v>0.007673159926008899</v>
      </c>
      <c r="F707" s="9"/>
      <c r="G707" s="9">
        <v>704.0</v>
      </c>
      <c r="H707" s="10">
        <f t="shared" si="24"/>
        <v>-0.006065022166251475</v>
      </c>
      <c r="K707" s="7"/>
    </row>
    <row r="708" spans="8:8">
      <c r="B708" s="7" t="s">
        <v>9015</v>
      </c>
      <c r="C708" s="8">
        <v>2912.55</v>
      </c>
      <c r="D708" s="8">
        <f t="shared" si="25" ref="D708:D771">(C708-C709)/C709</f>
        <v>0.0034625322997416646</v>
      </c>
      <c r="E708" s="8">
        <v>0.007669327150310016</v>
      </c>
      <c r="F708" s="9"/>
      <c r="G708" s="9">
        <v>705.0</v>
      </c>
      <c r="H708" s="10">
        <f t="shared" si="24"/>
        <v>0.010091564370325662</v>
      </c>
      <c r="K708" s="7"/>
    </row>
    <row r="709" spans="8:8">
      <c r="B709" s="7" t="s">
        <v>9016</v>
      </c>
      <c r="C709" s="8">
        <v>2902.5</v>
      </c>
      <c r="D709" s="8">
        <f t="shared" si="25"/>
        <v>-0.005482268288504369</v>
      </c>
      <c r="E709" s="8">
        <v>0.007664474964011912</v>
      </c>
      <c r="F709" s="9"/>
      <c r="G709" s="9">
        <v>706.0</v>
      </c>
      <c r="H709" s="10">
        <f t="shared" si="26" ref="H709:H772">_xlfn.NORM.INV(RAND(),N$6,N$7)</f>
        <v>-0.015033260074180564</v>
      </c>
      <c r="K709" s="7"/>
    </row>
    <row r="710" spans="8:8">
      <c r="B710" s="7" t="s">
        <v>9017</v>
      </c>
      <c r="C710" s="8">
        <v>2918.5</v>
      </c>
      <c r="D710" s="8">
        <f t="shared" si="25"/>
        <v>0.0066049286909135125</v>
      </c>
      <c r="E710" s="8">
        <v>0.007621157945980365</v>
      </c>
      <c r="F710" s="9"/>
      <c r="G710" s="9">
        <v>707.0</v>
      </c>
      <c r="H710" s="10">
        <f t="shared" si="26"/>
        <v>0.006453732000053598</v>
      </c>
      <c r="K710" s="7"/>
    </row>
    <row r="711" spans="8:8">
      <c r="B711" s="7" t="s">
        <v>9018</v>
      </c>
      <c r="C711" s="8">
        <v>2899.35</v>
      </c>
      <c r="D711" s="8">
        <f t="shared" si="25"/>
        <v>0.003235294117647027</v>
      </c>
      <c r="E711" s="8">
        <v>0.007604187240766314</v>
      </c>
      <c r="F711" s="9"/>
      <c r="G711" s="9">
        <v>708.0</v>
      </c>
      <c r="H711" s="10">
        <f t="shared" si="26"/>
        <v>0.013340856923447757</v>
      </c>
      <c r="K711" s="7"/>
    </row>
    <row r="712" spans="8:8">
      <c r="B712" s="7" t="s">
        <v>9019</v>
      </c>
      <c r="C712" s="8">
        <v>2890.0</v>
      </c>
      <c r="D712" s="8">
        <f t="shared" si="25"/>
        <v>-0.010223127900405813</v>
      </c>
      <c r="E712" s="8">
        <v>0.0075617487782327596</v>
      </c>
      <c r="F712" s="9"/>
      <c r="G712" s="9">
        <v>709.0</v>
      </c>
      <c r="H712" s="10">
        <f t="shared" si="26"/>
        <v>-0.011155994309905954</v>
      </c>
      <c r="K712" s="7"/>
    </row>
    <row r="713" spans="8:8">
      <c r="B713" s="7" t="s">
        <v>9020</v>
      </c>
      <c r="C713" s="8">
        <v>2919.85</v>
      </c>
      <c r="D713" s="8">
        <f t="shared" si="25"/>
        <v>0.0038850973852949844</v>
      </c>
      <c r="E713" s="8">
        <v>0.007554786620530512</v>
      </c>
      <c r="F713" s="9"/>
      <c r="G713" s="9">
        <v>710.0</v>
      </c>
      <c r="H713" s="10">
        <f t="shared" si="26"/>
        <v>0.007294290270970918</v>
      </c>
      <c r="K713" s="7"/>
    </row>
    <row r="714" spans="8:8">
      <c r="B714" s="7" t="s">
        <v>9021</v>
      </c>
      <c r="C714" s="8">
        <v>2908.55</v>
      </c>
      <c r="D714" s="8">
        <f t="shared" si="25"/>
        <v>-0.0034434317823613127</v>
      </c>
      <c r="E714" s="8">
        <v>0.0075431484809226155</v>
      </c>
      <c r="F714" s="9"/>
      <c r="G714" s="9">
        <v>711.0</v>
      </c>
      <c r="H714" s="10">
        <f t="shared" si="26"/>
        <v>0.008896256575746282</v>
      </c>
      <c r="K714" s="7"/>
    </row>
    <row r="715" spans="8:8">
      <c r="B715" s="7" t="s">
        <v>9022</v>
      </c>
      <c r="C715" s="8">
        <v>2918.6</v>
      </c>
      <c r="D715" s="8">
        <f t="shared" si="25"/>
        <v>0.004076717984002721</v>
      </c>
      <c r="E715" s="8">
        <v>0.007534361253595945</v>
      </c>
      <c r="F715" s="9"/>
      <c r="G715" s="9">
        <v>712.0</v>
      </c>
      <c r="H715" s="10">
        <f t="shared" si="26"/>
        <v>0.009507362020054661</v>
      </c>
      <c r="K715" s="7"/>
    </row>
    <row r="716" spans="8:8">
      <c r="B716" s="7" t="s">
        <v>9023</v>
      </c>
      <c r="C716" s="8">
        <v>2906.75</v>
      </c>
      <c r="D716" s="8">
        <f t="shared" si="25"/>
        <v>-0.012686389728609731</v>
      </c>
      <c r="E716" s="8">
        <v>0.007532631821056947</v>
      </c>
      <c r="F716" s="9"/>
      <c r="G716" s="9">
        <v>713.0</v>
      </c>
      <c r="H716" s="10">
        <f t="shared" si="26"/>
        <v>0.0019334372088614087</v>
      </c>
      <c r="K716" s="7"/>
    </row>
    <row r="717" spans="8:8">
      <c r="B717" s="7">
        <v>45269.0</v>
      </c>
      <c r="C717" s="8">
        <v>2944.1</v>
      </c>
      <c r="D717" s="8">
        <f t="shared" si="25"/>
        <v>0.01724137931034486</v>
      </c>
      <c r="E717" s="8">
        <v>0.007514088916718848</v>
      </c>
      <c r="F717" s="9"/>
      <c r="G717" s="9">
        <v>714.0</v>
      </c>
      <c r="H717" s="10">
        <f t="shared" si="26"/>
        <v>0.012710312930228902</v>
      </c>
      <c r="K717" s="7"/>
    </row>
    <row r="718" spans="8:8">
      <c r="B718" s="7">
        <v>45239.0</v>
      </c>
      <c r="C718" s="8">
        <v>2894.2</v>
      </c>
      <c r="D718" s="8">
        <f t="shared" si="25"/>
        <v>-0.00255031706644613</v>
      </c>
      <c r="E718" s="8">
        <v>0.007509118214975327</v>
      </c>
      <c r="F718" s="9"/>
      <c r="G718" s="9">
        <v>715.0</v>
      </c>
      <c r="H718" s="10">
        <f t="shared" si="26"/>
        <v>0.010854207773584583</v>
      </c>
      <c r="K718" s="7"/>
    </row>
    <row r="719" spans="8:8">
      <c r="B719" s="7">
        <v>45147.0</v>
      </c>
      <c r="C719" s="8">
        <v>2901.6</v>
      </c>
      <c r="D719" s="8">
        <f t="shared" si="25"/>
        <v>0.019392917369308534</v>
      </c>
      <c r="E719" s="8">
        <v>0.007492633646695613</v>
      </c>
      <c r="F719" s="9"/>
      <c r="G719" s="9">
        <v>716.0</v>
      </c>
      <c r="H719" s="10">
        <f t="shared" si="26"/>
        <v>-0.012063273925817027</v>
      </c>
      <c r="K719" s="7"/>
    </row>
    <row r="720" spans="8:8">
      <c r="B720" s="7">
        <v>45116.0</v>
      </c>
      <c r="C720" s="8">
        <v>2846.4</v>
      </c>
      <c r="D720" s="8">
        <f t="shared" si="25"/>
        <v>0.04246552766027588</v>
      </c>
      <c r="E720" s="8">
        <v>0.00746761140634226</v>
      </c>
      <c r="F720" s="9"/>
      <c r="G720" s="9">
        <v>717.0</v>
      </c>
      <c r="H720" s="10">
        <f t="shared" si="26"/>
        <v>-0.004683331256373094</v>
      </c>
      <c r="K720" s="7"/>
    </row>
    <row r="721" spans="8:8">
      <c r="B721" s="7">
        <v>45086.0</v>
      </c>
      <c r="C721" s="8">
        <v>2730.45</v>
      </c>
      <c r="D721" s="8">
        <f t="shared" si="25"/>
        <v>-9.147624361953202E-4</v>
      </c>
      <c r="E721" s="8">
        <v>0.007464524562832661</v>
      </c>
      <c r="F721" s="9"/>
      <c r="G721" s="9">
        <v>718.0</v>
      </c>
      <c r="H721" s="10">
        <f t="shared" si="26"/>
        <v>0.002219780336042771</v>
      </c>
      <c r="K721" s="7"/>
    </row>
    <row r="722" spans="8:8">
      <c r="B722" s="7">
        <v>45055.0</v>
      </c>
      <c r="C722" s="8">
        <v>2732.95</v>
      </c>
      <c r="D722" s="8">
        <f t="shared" si="25"/>
        <v>0.0080594592600789</v>
      </c>
      <c r="E722" s="8">
        <v>0.007424517406368586</v>
      </c>
      <c r="F722" s="9"/>
      <c r="G722" s="9">
        <v>719.0</v>
      </c>
      <c r="H722" s="10">
        <f t="shared" si="26"/>
        <v>-0.016614658186002853</v>
      </c>
      <c r="K722" s="7"/>
    </row>
    <row r="723" spans="8:8">
      <c r="B723" s="7">
        <v>45025.0</v>
      </c>
      <c r="C723" s="8">
        <v>2711.1</v>
      </c>
      <c r="D723" s="8">
        <f t="shared" si="25"/>
        <v>0.0033307427556345066</v>
      </c>
      <c r="E723" s="8">
        <v>0.007404588076537176</v>
      </c>
      <c r="F723" s="9"/>
      <c r="G723" s="9">
        <v>720.0</v>
      </c>
      <c r="H723" s="10">
        <f t="shared" si="26"/>
        <v>0.003633903934877936</v>
      </c>
      <c r="K723" s="7"/>
    </row>
    <row r="724" spans="8:8">
      <c r="B724" s="7">
        <v>44935.0</v>
      </c>
      <c r="C724" s="8">
        <v>2702.1</v>
      </c>
      <c r="D724" s="8">
        <f t="shared" si="25"/>
        <v>-2.2200022200018836E-4</v>
      </c>
      <c r="E724" s="8">
        <v>0.007360556295309991</v>
      </c>
      <c r="F724" s="9"/>
      <c r="G724" s="9">
        <v>721.0</v>
      </c>
      <c r="H724" s="10">
        <f t="shared" si="26"/>
        <v>0.009759710158181178</v>
      </c>
      <c r="K724" s="7"/>
    </row>
    <row r="725" spans="8:8">
      <c r="B725" s="7" t="s">
        <v>9024</v>
      </c>
      <c r="C725" s="8">
        <v>2702.7</v>
      </c>
      <c r="D725" s="8">
        <f t="shared" si="25"/>
        <v>-0.0023255813953489044</v>
      </c>
      <c r="E725" s="8">
        <v>0.0073375262054508</v>
      </c>
      <c r="F725" s="9"/>
      <c r="G725" s="9">
        <v>722.0</v>
      </c>
      <c r="H725" s="10">
        <f t="shared" si="26"/>
        <v>0.006382342710968537</v>
      </c>
      <c r="K725" s="7"/>
    </row>
    <row r="726" spans="8:8">
      <c r="B726" s="7" t="s">
        <v>9025</v>
      </c>
      <c r="C726" s="8">
        <v>2709.0</v>
      </c>
      <c r="D726" s="8">
        <f t="shared" si="25"/>
        <v>-0.003659500910277798</v>
      </c>
      <c r="E726" s="8">
        <v>0.007330827067669202</v>
      </c>
      <c r="F726" s="9"/>
      <c r="G726" s="9">
        <v>723.0</v>
      </c>
      <c r="H726" s="10">
        <f t="shared" si="26"/>
        <v>0.005164912006284491</v>
      </c>
      <c r="K726" s="7"/>
    </row>
    <row r="727" spans="8:8">
      <c r="B727" s="7" t="s">
        <v>9026</v>
      </c>
      <c r="C727" s="8">
        <v>2718.95</v>
      </c>
      <c r="D727" s="8">
        <f t="shared" si="25"/>
        <v>0.00875582020887822</v>
      </c>
      <c r="E727" s="8">
        <v>0.007296908698777923</v>
      </c>
      <c r="F727" s="9"/>
      <c r="G727" s="9">
        <v>724.0</v>
      </c>
      <c r="H727" s="10">
        <f t="shared" si="26"/>
        <v>0.013620351431002545</v>
      </c>
      <c r="K727" s="7"/>
    </row>
    <row r="728" spans="8:8">
      <c r="B728" s="7" t="s">
        <v>9027</v>
      </c>
      <c r="C728" s="8">
        <v>2695.35</v>
      </c>
      <c r="D728" s="8">
        <f t="shared" si="25"/>
        <v>0.021585051546391683</v>
      </c>
      <c r="E728" s="8">
        <v>0.007294353447567818</v>
      </c>
      <c r="F728" s="9"/>
      <c r="G728" s="9">
        <v>725.0</v>
      </c>
      <c r="H728" s="10">
        <f t="shared" si="26"/>
        <v>0.026639988778405635</v>
      </c>
      <c r="K728" s="7"/>
    </row>
    <row r="729" spans="8:8">
      <c r="B729" s="7" t="s">
        <v>9028</v>
      </c>
      <c r="C729" s="8">
        <v>2638.4</v>
      </c>
      <c r="D729" s="8">
        <f t="shared" si="25"/>
        <v>-0.01850715175864442</v>
      </c>
      <c r="E729" s="8">
        <v>0.007284410090021342</v>
      </c>
      <c r="F729" s="9"/>
      <c r="G729" s="9">
        <v>726.0</v>
      </c>
      <c r="H729" s="10">
        <f t="shared" si="26"/>
        <v>-0.003690175161723705</v>
      </c>
      <c r="K729" s="7"/>
    </row>
    <row r="730" spans="8:8">
      <c r="B730" s="7" t="s">
        <v>9029</v>
      </c>
      <c r="C730" s="8">
        <v>2688.15</v>
      </c>
      <c r="D730" s="8">
        <f t="shared" si="25"/>
        <v>-0.01083676773623779</v>
      </c>
      <c r="E730" s="8">
        <v>0.007275379031984472</v>
      </c>
      <c r="F730" s="9"/>
      <c r="G730" s="9">
        <v>727.0</v>
      </c>
      <c r="H730" s="10">
        <f t="shared" si="26"/>
        <v>-0.007271072427729932</v>
      </c>
      <c r="K730" s="7"/>
    </row>
    <row r="731" spans="8:8">
      <c r="B731" s="7" t="s">
        <v>9030</v>
      </c>
      <c r="C731" s="8">
        <v>2717.6</v>
      </c>
      <c r="D731" s="8">
        <f t="shared" si="25"/>
        <v>0.014484097357025431</v>
      </c>
      <c r="E731" s="8">
        <v>0.007265992306596414</v>
      </c>
      <c r="F731" s="9"/>
      <c r="G731" s="9">
        <v>728.0</v>
      </c>
      <c r="H731" s="10">
        <f t="shared" si="26"/>
        <v>0.004604000398823814</v>
      </c>
      <c r="K731" s="7"/>
    </row>
    <row r="732" spans="8:8">
      <c r="B732" s="7" t="s">
        <v>9031</v>
      </c>
      <c r="C732" s="8">
        <v>2678.8</v>
      </c>
      <c r="D732" s="8">
        <f t="shared" si="25"/>
        <v>0.006216546154568572</v>
      </c>
      <c r="E732" s="8">
        <v>0.007261987491313444</v>
      </c>
      <c r="F732" s="9"/>
      <c r="G732" s="9">
        <v>729.0</v>
      </c>
      <c r="H732" s="10">
        <f t="shared" si="26"/>
        <v>-0.010905914184476336</v>
      </c>
      <c r="K732" s="7"/>
    </row>
    <row r="733" spans="8:8">
      <c r="B733" s="7" t="s">
        <v>9032</v>
      </c>
      <c r="C733" s="8">
        <v>2662.25</v>
      </c>
      <c r="D733" s="8">
        <f t="shared" si="25"/>
        <v>0.0076837184655274265</v>
      </c>
      <c r="E733" s="8">
        <v>0.007200559382299202</v>
      </c>
      <c r="F733" s="9"/>
      <c r="G733" s="9">
        <v>730.0</v>
      </c>
      <c r="H733" s="10">
        <f t="shared" si="26"/>
        <v>-0.005748420197368066</v>
      </c>
      <c r="K733" s="7"/>
    </row>
    <row r="734" spans="8:8">
      <c r="B734" s="7" t="s">
        <v>9033</v>
      </c>
      <c r="C734" s="8">
        <v>2641.95</v>
      </c>
      <c r="D734" s="8">
        <f t="shared" si="25"/>
        <v>-0.003977379830348796</v>
      </c>
      <c r="E734" s="8">
        <v>0.007200188857412726</v>
      </c>
      <c r="F734" s="9"/>
      <c r="G734" s="9">
        <v>731.0</v>
      </c>
      <c r="H734" s="10">
        <f t="shared" si="26"/>
        <v>0.0260275168350286</v>
      </c>
      <c r="K734" s="7"/>
    </row>
    <row r="735" spans="8:8">
      <c r="B735" s="7" t="s">
        <v>9034</v>
      </c>
      <c r="C735" s="8">
        <v>2652.5</v>
      </c>
      <c r="D735" s="8">
        <f t="shared" si="25"/>
        <v>-0.014325263373032898</v>
      </c>
      <c r="E735" s="8">
        <v>0.007169688341537756</v>
      </c>
      <c r="F735" s="9"/>
      <c r="G735" s="9">
        <v>732.0</v>
      </c>
      <c r="H735" s="10">
        <f t="shared" si="26"/>
        <v>-0.004720329414885317</v>
      </c>
      <c r="K735" s="7"/>
    </row>
    <row r="736" spans="8:8">
      <c r="B736" s="7" t="s">
        <v>9035</v>
      </c>
      <c r="C736" s="8">
        <v>2691.05</v>
      </c>
      <c r="D736" s="8">
        <f t="shared" si="25"/>
        <v>0.011710966577690924</v>
      </c>
      <c r="E736" s="8">
        <v>0.007163947163947221</v>
      </c>
      <c r="F736" s="9"/>
      <c r="G736" s="9">
        <v>733.0</v>
      </c>
      <c r="H736" s="10">
        <f t="shared" si="26"/>
        <v>0.019094445506687967</v>
      </c>
      <c r="K736" s="7"/>
    </row>
    <row r="737" spans="8:8">
      <c r="B737" s="7" t="s">
        <v>9036</v>
      </c>
      <c r="C737" s="8">
        <v>2659.9</v>
      </c>
      <c r="D737" s="8">
        <f t="shared" si="25"/>
        <v>0.00811066894068603</v>
      </c>
      <c r="E737" s="8">
        <v>0.00715605402170236</v>
      </c>
      <c r="F737" s="9"/>
      <c r="G737" s="9">
        <v>734.0</v>
      </c>
      <c r="H737" s="10">
        <f t="shared" si="26"/>
        <v>0.004087232828347798</v>
      </c>
      <c r="K737" s="7"/>
    </row>
    <row r="738" spans="8:8">
      <c r="B738" s="7">
        <v>45238.0</v>
      </c>
      <c r="C738" s="8">
        <v>2638.5</v>
      </c>
      <c r="D738" s="8">
        <f t="shared" si="25"/>
        <v>-0.0018914318138831096</v>
      </c>
      <c r="E738" s="8">
        <v>0.0071180956782990945</v>
      </c>
      <c r="F738" s="9"/>
      <c r="G738" s="9">
        <v>735.0</v>
      </c>
      <c r="H738" s="10">
        <f t="shared" si="26"/>
        <v>0.011093493343912755</v>
      </c>
      <c r="K738" s="7"/>
    </row>
    <row r="739" spans="8:8">
      <c r="B739" s="7">
        <v>45207.0</v>
      </c>
      <c r="C739" s="8">
        <v>2643.5</v>
      </c>
      <c r="D739" s="8">
        <f t="shared" si="25"/>
        <v>-0.0030547593905566107</v>
      </c>
      <c r="E739" s="8">
        <v>0.0071071942573870395</v>
      </c>
      <c r="F739" s="9"/>
      <c r="G739" s="9">
        <v>736.0</v>
      </c>
      <c r="H739" s="10">
        <f t="shared" si="26"/>
        <v>0.007116292715607271</v>
      </c>
      <c r="K739" s="7"/>
    </row>
    <row r="740" spans="8:8">
      <c r="B740" s="7">
        <v>45177.0</v>
      </c>
      <c r="C740" s="8">
        <v>2651.6</v>
      </c>
      <c r="D740" s="8">
        <f t="shared" si="25"/>
        <v>0.00737026061849407</v>
      </c>
      <c r="E740" s="8">
        <v>0.007096069868995696</v>
      </c>
      <c r="F740" s="9"/>
      <c r="G740" s="9">
        <v>737.0</v>
      </c>
      <c r="H740" s="10">
        <f t="shared" si="26"/>
        <v>0.002060896517364616</v>
      </c>
      <c r="K740" s="7"/>
    </row>
    <row r="741" spans="8:8">
      <c r="B741" s="7">
        <v>45146.0</v>
      </c>
      <c r="C741" s="8">
        <v>2632.2</v>
      </c>
      <c r="D741" s="8">
        <f t="shared" si="25"/>
        <v>-0.0014036951325923869</v>
      </c>
      <c r="E741" s="8">
        <v>0.007095793208312347</v>
      </c>
      <c r="F741" s="9"/>
      <c r="G741" s="9">
        <v>738.0</v>
      </c>
      <c r="H741" s="10">
        <f t="shared" si="26"/>
        <v>-0.02295069253594697</v>
      </c>
      <c r="K741" s="7"/>
    </row>
    <row r="742" spans="8:8">
      <c r="B742" s="7">
        <v>45115.0</v>
      </c>
      <c r="C742" s="8">
        <v>2635.9</v>
      </c>
      <c r="D742" s="8">
        <f t="shared" si="25"/>
        <v>0.0034260915908485286</v>
      </c>
      <c r="E742" s="8">
        <v>0.0070449928685655805</v>
      </c>
      <c r="F742" s="9"/>
      <c r="G742" s="9">
        <v>739.0</v>
      </c>
      <c r="H742" s="10">
        <f t="shared" si="26"/>
        <v>0.013740272796215869</v>
      </c>
      <c r="K742" s="7"/>
    </row>
    <row r="743" spans="8:8">
      <c r="B743" s="7">
        <v>45024.0</v>
      </c>
      <c r="C743" s="8">
        <v>2626.9</v>
      </c>
      <c r="D743" s="8">
        <f t="shared" si="25"/>
        <v>0.011085023671144369</v>
      </c>
      <c r="E743" s="8">
        <v>0.007043811771647702</v>
      </c>
      <c r="F743" s="9"/>
      <c r="G743" s="9">
        <v>740.0</v>
      </c>
      <c r="H743" s="10">
        <f t="shared" si="26"/>
        <v>-0.0049558137767127955</v>
      </c>
      <c r="K743" s="7"/>
    </row>
    <row r="744" spans="8:8">
      <c r="B744" s="7">
        <v>44993.0</v>
      </c>
      <c r="C744" s="8">
        <v>2598.1</v>
      </c>
      <c r="D744" s="8">
        <f t="shared" si="25"/>
        <v>-0.009171862784356418</v>
      </c>
      <c r="E744" s="8">
        <v>0.007043739349184393</v>
      </c>
      <c r="F744" s="9"/>
      <c r="G744" s="9">
        <v>741.0</v>
      </c>
      <c r="H744" s="10">
        <f t="shared" si="26"/>
        <v>-0.0011197267072416634</v>
      </c>
      <c r="K744" s="7"/>
    </row>
    <row r="745" spans="8:8">
      <c r="B745" s="7">
        <v>44965.0</v>
      </c>
      <c r="C745" s="8">
        <v>2622.15</v>
      </c>
      <c r="D745" s="8">
        <f t="shared" si="25"/>
        <v>-0.014470148272038788</v>
      </c>
      <c r="E745" s="8">
        <v>0.007030558015943211</v>
      </c>
      <c r="F745" s="9"/>
      <c r="G745" s="9">
        <v>742.0</v>
      </c>
      <c r="H745" s="10">
        <f t="shared" si="26"/>
        <v>-0.004203126167909845</v>
      </c>
      <c r="K745" s="7"/>
    </row>
    <row r="746" spans="8:8">
      <c r="B746" s="7">
        <v>44934.0</v>
      </c>
      <c r="C746" s="8">
        <v>2660.65</v>
      </c>
      <c r="D746" s="8">
        <f t="shared" si="25"/>
        <v>-0.005483456184680738</v>
      </c>
      <c r="E746" s="8">
        <v>0.007017885861884078</v>
      </c>
      <c r="F746" s="9"/>
      <c r="G746" s="9">
        <v>743.0</v>
      </c>
      <c r="H746" s="10">
        <f t="shared" si="26"/>
        <v>0.013330922406861775</v>
      </c>
      <c r="K746" s="7"/>
    </row>
    <row r="747" spans="8:8">
      <c r="B747" s="7" t="s">
        <v>9037</v>
      </c>
      <c r="C747" s="8">
        <v>2675.32</v>
      </c>
      <c r="D747" s="8">
        <f t="shared" si="25"/>
        <v>0.012002617652510417</v>
      </c>
      <c r="E747" s="8">
        <v>0.007008035881143711</v>
      </c>
      <c r="F747" s="9"/>
      <c r="G747" s="9">
        <v>744.0</v>
      </c>
      <c r="H747" s="10">
        <f t="shared" si="26"/>
        <v>8.013221314361152E-4</v>
      </c>
      <c r="K747" s="7"/>
    </row>
    <row r="748" spans="8:8">
      <c r="B748" s="7" t="s">
        <v>9038</v>
      </c>
      <c r="C748" s="8">
        <v>2643.59</v>
      </c>
      <c r="D748" s="8">
        <f t="shared" si="25"/>
        <v>-0.004004943071787438</v>
      </c>
      <c r="E748" s="8">
        <v>0.007003171247357333</v>
      </c>
      <c r="F748" s="9"/>
      <c r="G748" s="9">
        <v>745.0</v>
      </c>
      <c r="H748" s="10">
        <f t="shared" si="26"/>
        <v>0.015674469986539714</v>
      </c>
      <c r="K748" s="7"/>
    </row>
    <row r="749" spans="8:8">
      <c r="B749" s="7" t="s">
        <v>9039</v>
      </c>
      <c r="C749" s="8">
        <v>2654.22</v>
      </c>
      <c r="D749" s="8">
        <f t="shared" si="25"/>
        <v>0.0052721281672535765</v>
      </c>
      <c r="E749" s="8">
        <v>0.006992422554044994</v>
      </c>
      <c r="F749" s="9"/>
      <c r="G749" s="9">
        <v>746.0</v>
      </c>
      <c r="H749" s="10">
        <f t="shared" si="26"/>
        <v>0.011669502135612454</v>
      </c>
      <c r="K749" s="7"/>
    </row>
    <row r="750" spans="8:8">
      <c r="B750" s="7" t="s">
        <v>9040</v>
      </c>
      <c r="C750" s="8">
        <v>2640.3</v>
      </c>
      <c r="D750" s="8">
        <f t="shared" si="25"/>
        <v>0.033328897829473264</v>
      </c>
      <c r="E750" s="8">
        <v>0.006986602856678523</v>
      </c>
      <c r="F750" s="9"/>
      <c r="G750" s="9">
        <v>747.0</v>
      </c>
      <c r="H750" s="10">
        <f t="shared" si="26"/>
        <v>-5.82420804326504E-4</v>
      </c>
      <c r="K750" s="7"/>
    </row>
    <row r="751" spans="8:8">
      <c r="B751" s="7" t="s">
        <v>9041</v>
      </c>
      <c r="C751" s="8">
        <v>2555.14</v>
      </c>
      <c r="D751" s="8">
        <f t="shared" si="25"/>
        <v>-0.01702322467963638</v>
      </c>
      <c r="E751" s="8">
        <v>0.00697833891331539</v>
      </c>
      <c r="F751" s="9"/>
      <c r="G751" s="9">
        <v>748.0</v>
      </c>
      <c r="H751" s="10">
        <f t="shared" si="26"/>
        <v>0.0026756153137835028</v>
      </c>
      <c r="K751" s="7"/>
    </row>
    <row r="752" spans="8:8">
      <c r="B752" s="7" t="s">
        <v>9042</v>
      </c>
      <c r="C752" s="8">
        <v>2599.39</v>
      </c>
      <c r="D752" s="8">
        <f t="shared" si="25"/>
        <v>0.00734761260720114</v>
      </c>
      <c r="E752" s="8">
        <v>0.006971569839307817</v>
      </c>
      <c r="F752" s="9"/>
      <c r="G752" s="9">
        <v>749.0</v>
      </c>
      <c r="H752" s="10">
        <f t="shared" si="26"/>
        <v>0.00409062227138832</v>
      </c>
      <c r="K752" s="7"/>
    </row>
    <row r="753" spans="8:8">
      <c r="B753" s="7" t="s">
        <v>9043</v>
      </c>
      <c r="C753" s="8">
        <v>2580.43</v>
      </c>
      <c r="D753" s="8">
        <f t="shared" si="25"/>
        <v>0.03877863210015697</v>
      </c>
      <c r="E753" s="8">
        <v>0.006971046002001682</v>
      </c>
      <c r="F753" s="9"/>
      <c r="G753" s="9">
        <v>750.0</v>
      </c>
      <c r="H753" s="10">
        <f t="shared" si="26"/>
        <v>-0.0024988756820266567</v>
      </c>
      <c r="K753" s="7"/>
    </row>
    <row r="754" spans="8:8">
      <c r="B754" s="7" t="s">
        <v>9044</v>
      </c>
      <c r="C754" s="8">
        <v>2484.1</v>
      </c>
      <c r="D754" s="8">
        <f t="shared" si="25"/>
        <v>-0.0017841786750464347</v>
      </c>
      <c r="E754" s="8">
        <v>0.0069590696822636544</v>
      </c>
      <c r="F754" s="9"/>
      <c r="G754" s="9">
        <v>751.0</v>
      </c>
      <c r="H754" s="10">
        <f t="shared" si="26"/>
        <v>0.003551141541340227</v>
      </c>
      <c r="K754" s="7"/>
    </row>
    <row r="755" spans="8:8">
      <c r="B755" s="7" t="s">
        <v>9045</v>
      </c>
      <c r="C755" s="8">
        <v>2488.54</v>
      </c>
      <c r="D755" s="8">
        <f t="shared" si="25"/>
        <v>0.007861068473510853</v>
      </c>
      <c r="E755" s="8">
        <v>0.006955778940464079</v>
      </c>
      <c r="F755" s="9"/>
      <c r="G755" s="9">
        <v>752.0</v>
      </c>
      <c r="H755" s="10">
        <f t="shared" si="26"/>
        <v>-0.0027918946003611</v>
      </c>
      <c r="K755" s="7"/>
    </row>
    <row r="756" spans="8:8">
      <c r="B756" s="7" t="s">
        <v>9046</v>
      </c>
      <c r="C756" s="8">
        <v>2469.13</v>
      </c>
      <c r="D756" s="8">
        <f t="shared" si="25"/>
        <v>0.0023870902263270514</v>
      </c>
      <c r="E756" s="8">
        <v>0.006941876013542374</v>
      </c>
      <c r="F756" s="9"/>
      <c r="G756" s="9">
        <v>753.0</v>
      </c>
      <c r="H756" s="10">
        <f t="shared" si="26"/>
        <v>0.03639855427036976</v>
      </c>
      <c r="K756" s="7"/>
    </row>
    <row r="757" spans="8:8">
      <c r="B757" s="7" t="s">
        <v>9047</v>
      </c>
      <c r="C757" s="8">
        <v>2463.25</v>
      </c>
      <c r="D757" s="8">
        <f t="shared" si="25"/>
        <v>-0.0013945814026083759</v>
      </c>
      <c r="E757" s="8">
        <v>0.0069414655071558425</v>
      </c>
      <c r="F757" s="9"/>
      <c r="G757" s="9">
        <v>754.0</v>
      </c>
      <c r="H757" s="10">
        <f t="shared" si="26"/>
        <v>0.01817836097282349</v>
      </c>
      <c r="K757" s="7"/>
    </row>
    <row r="758" spans="8:8">
      <c r="B758" s="7" t="s">
        <v>9048</v>
      </c>
      <c r="C758" s="8">
        <v>2466.69</v>
      </c>
      <c r="D758" s="8">
        <f t="shared" si="25"/>
        <v>0.009019732966817275</v>
      </c>
      <c r="E758" s="8">
        <v>0.0069270052078943345</v>
      </c>
      <c r="F758" s="9"/>
      <c r="G758" s="9">
        <v>755.0</v>
      </c>
      <c r="H758" s="10">
        <f t="shared" si="26"/>
        <v>-0.005684017568470304</v>
      </c>
      <c r="K758" s="7"/>
    </row>
    <row r="759" spans="8:8">
      <c r="B759" s="7" t="s">
        <v>9049</v>
      </c>
      <c r="C759" s="8">
        <v>2444.64</v>
      </c>
      <c r="D759" s="8">
        <f t="shared" si="25"/>
        <v>-0.001955557007140422</v>
      </c>
      <c r="E759" s="8">
        <v>0.006919103360030288</v>
      </c>
      <c r="F759" s="9"/>
      <c r="G759" s="9">
        <v>756.0</v>
      </c>
      <c r="H759" s="10">
        <f t="shared" si="26"/>
        <v>0.0033466219931830507</v>
      </c>
      <c r="K759" s="7"/>
    </row>
    <row r="760" spans="8:8">
      <c r="B760" s="7">
        <v>45267.0</v>
      </c>
      <c r="C760" s="8">
        <v>2449.43</v>
      </c>
      <c r="D760" s="8">
        <f t="shared" si="25"/>
        <v>-0.007918249641552456</v>
      </c>
      <c r="E760" s="8">
        <v>0.0069167024332265235</v>
      </c>
      <c r="F760" s="9"/>
      <c r="G760" s="9">
        <v>757.0</v>
      </c>
      <c r="H760" s="10">
        <f t="shared" si="26"/>
        <v>0.0036977360200789724</v>
      </c>
      <c r="K760" s="7"/>
    </row>
    <row r="761" spans="8:8">
      <c r="B761" s="7">
        <v>45237.0</v>
      </c>
      <c r="C761" s="8">
        <v>2468.98</v>
      </c>
      <c r="D761" s="8">
        <f t="shared" si="25"/>
        <v>0.014679894462572762</v>
      </c>
      <c r="E761" s="8">
        <v>0.0069058055282226255</v>
      </c>
      <c r="F761" s="9"/>
      <c r="G761" s="9">
        <v>758.0</v>
      </c>
      <c r="H761" s="10">
        <f t="shared" si="26"/>
        <v>-0.005109214727275415</v>
      </c>
      <c r="K761" s="7"/>
    </row>
    <row r="762" spans="8:8">
      <c r="B762" s="7">
        <v>45206.0</v>
      </c>
      <c r="C762" s="8">
        <v>2433.26</v>
      </c>
      <c r="D762" s="8">
        <f t="shared" si="25"/>
        <v>-0.004329252324211047</v>
      </c>
      <c r="E762" s="8">
        <v>0.006877093986951182</v>
      </c>
      <c r="F762" s="9"/>
      <c r="G762" s="9">
        <v>759.0</v>
      </c>
      <c r="H762" s="10">
        <f t="shared" si="26"/>
        <v>-0.00592660046573591</v>
      </c>
      <c r="K762" s="7"/>
    </row>
    <row r="763" spans="8:8">
      <c r="B763" s="7">
        <v>45114.0</v>
      </c>
      <c r="C763" s="8">
        <v>2443.84</v>
      </c>
      <c r="D763" s="8">
        <f t="shared" si="25"/>
        <v>-0.01577124446234388</v>
      </c>
      <c r="E763" s="8">
        <v>0.006872766971020201</v>
      </c>
      <c r="F763" s="9"/>
      <c r="G763" s="9">
        <v>760.0</v>
      </c>
      <c r="H763" s="10">
        <f t="shared" si="26"/>
        <v>0.01943303151250303</v>
      </c>
      <c r="K763" s="7"/>
    </row>
    <row r="764" spans="8:8">
      <c r="B764" s="7">
        <v>45084.0</v>
      </c>
      <c r="C764" s="8">
        <v>2483.0</v>
      </c>
      <c r="D764" s="8">
        <f t="shared" si="25"/>
        <v>0.007204166734273426</v>
      </c>
      <c r="E764" s="8">
        <v>0.006859425197533961</v>
      </c>
      <c r="F764" s="9"/>
      <c r="G764" s="9">
        <v>761.0</v>
      </c>
      <c r="H764" s="10">
        <f t="shared" si="26"/>
        <v>0.0049902629931094875</v>
      </c>
      <c r="K764" s="7"/>
    </row>
    <row r="765" spans="8:8">
      <c r="B765" s="7">
        <v>45053.0</v>
      </c>
      <c r="C765" s="8">
        <v>2465.24</v>
      </c>
      <c r="D765" s="8">
        <f t="shared" si="25"/>
        <v>0.003635534602717017</v>
      </c>
      <c r="E765" s="8">
        <v>0.006831327704275043</v>
      </c>
      <c r="F765" s="9"/>
      <c r="G765" s="9">
        <v>762.0</v>
      </c>
      <c r="H765" s="10">
        <f t="shared" si="26"/>
        <v>0.01426502550282617</v>
      </c>
      <c r="K765" s="7"/>
    </row>
    <row r="766" spans="8:8">
      <c r="B766" s="7">
        <v>45023.0</v>
      </c>
      <c r="C766" s="8">
        <v>2456.31</v>
      </c>
      <c r="D766" s="8">
        <f t="shared" si="25"/>
        <v>0.0031774166540739727</v>
      </c>
      <c r="E766" s="8">
        <v>0.006826015454279255</v>
      </c>
      <c r="F766" s="9"/>
      <c r="G766" s="9">
        <v>763.0</v>
      </c>
      <c r="H766" s="10">
        <f t="shared" si="26"/>
        <v>6.196101171547586E-4</v>
      </c>
      <c r="K766" s="7"/>
    </row>
    <row r="767" spans="8:8">
      <c r="B767" s="7">
        <v>44992.0</v>
      </c>
      <c r="C767" s="8">
        <v>2448.53</v>
      </c>
      <c r="D767" s="8">
        <f t="shared" si="25"/>
        <v>-0.008684280844379232</v>
      </c>
      <c r="E767" s="8">
        <v>0.006810769329155121</v>
      </c>
      <c r="F767" s="9"/>
      <c r="G767" s="9">
        <v>764.0</v>
      </c>
      <c r="H767" s="10">
        <f t="shared" si="26"/>
        <v>-0.008055469239604367</v>
      </c>
      <c r="K767" s="7"/>
    </row>
    <row r="768" spans="8:8">
      <c r="B768" s="7" t="s">
        <v>9050</v>
      </c>
      <c r="C768" s="8">
        <v>2469.98</v>
      </c>
      <c r="D768" s="8">
        <f t="shared" si="25"/>
        <v>0.022342715231788088</v>
      </c>
      <c r="E768" s="8">
        <v>0.006809248197096784</v>
      </c>
      <c r="F768" s="9"/>
      <c r="G768" s="9">
        <v>765.0</v>
      </c>
      <c r="H768" s="10">
        <f t="shared" si="26"/>
        <v>-0.016524669266996174</v>
      </c>
      <c r="K768" s="7"/>
    </row>
    <row r="769" spans="8:8">
      <c r="B769" s="7" t="s">
        <v>9051</v>
      </c>
      <c r="C769" s="8">
        <v>2416.0</v>
      </c>
      <c r="D769" s="8">
        <f t="shared" si="25"/>
        <v>0.0139842530260044</v>
      </c>
      <c r="E769" s="8">
        <v>0.006789646686903917</v>
      </c>
      <c r="F769" s="9"/>
      <c r="G769" s="9">
        <v>766.0</v>
      </c>
      <c r="H769" s="10">
        <f t="shared" si="26"/>
        <v>0.018085494194472515</v>
      </c>
      <c r="K769" s="7"/>
    </row>
    <row r="770" spans="8:8">
      <c r="B770" s="7" t="s">
        <v>9052</v>
      </c>
      <c r="C770" s="8">
        <v>2382.68</v>
      </c>
      <c r="D770" s="8">
        <f t="shared" si="25"/>
        <v>0.004417839979765626</v>
      </c>
      <c r="E770" s="8">
        <v>0.006788447296963713</v>
      </c>
      <c r="F770" s="9"/>
      <c r="G770" s="9">
        <v>767.0</v>
      </c>
      <c r="H770" s="10">
        <f t="shared" si="26"/>
        <v>-0.004292532554733371</v>
      </c>
      <c r="K770" s="7"/>
    </row>
    <row r="771" spans="8:8">
      <c r="B771" s="7" t="s">
        <v>9053</v>
      </c>
      <c r="C771" s="8">
        <v>2372.2</v>
      </c>
      <c r="D771" s="8">
        <f t="shared" si="25"/>
        <v>-0.005020615140698966</v>
      </c>
      <c r="E771" s="8">
        <v>0.006784083496412224</v>
      </c>
      <c r="F771" s="9"/>
      <c r="G771" s="9">
        <v>768.0</v>
      </c>
      <c r="H771" s="10">
        <f t="shared" si="26"/>
        <v>-0.003410571141419629</v>
      </c>
      <c r="K771" s="7"/>
    </row>
    <row r="772" spans="8:8">
      <c r="B772" s="7" t="s">
        <v>9054</v>
      </c>
      <c r="C772" s="8">
        <v>2384.17</v>
      </c>
      <c r="D772" s="8">
        <f t="shared" si="27" ref="D772:D835">(C772-C773)/C773</f>
        <v>-0.011050227931690956</v>
      </c>
      <c r="E772" s="8">
        <v>0.006770904678968993</v>
      </c>
      <c r="F772" s="9"/>
      <c r="G772" s="9">
        <v>769.0</v>
      </c>
      <c r="H772" s="10">
        <f t="shared" si="26"/>
        <v>-0.0022382167035970508</v>
      </c>
      <c r="K772" s="7"/>
    </row>
    <row r="773" spans="8:8">
      <c r="B773" s="7" t="s">
        <v>9055</v>
      </c>
      <c r="C773" s="8">
        <v>2410.81</v>
      </c>
      <c r="D773" s="8">
        <f t="shared" si="27"/>
        <v>0.00910399906239274</v>
      </c>
      <c r="E773" s="8">
        <v>0.006759308209349782</v>
      </c>
      <c r="F773" s="9"/>
      <c r="G773" s="9">
        <v>770.0</v>
      </c>
      <c r="H773" s="10">
        <f t="shared" si="28" ref="H773:H836">_xlfn.NORM.INV(RAND(),N$6,N$7)</f>
        <v>-0.012558845079745896</v>
      </c>
      <c r="K773" s="7"/>
    </row>
    <row r="774" spans="8:8">
      <c r="B774" s="7" t="s">
        <v>9056</v>
      </c>
      <c r="C774" s="8">
        <v>2389.06</v>
      </c>
      <c r="D774" s="8">
        <f t="shared" si="27"/>
        <v>0.005225865086845325</v>
      </c>
      <c r="E774" s="8">
        <v>0.006740762450120736</v>
      </c>
      <c r="F774" s="9"/>
      <c r="G774" s="9">
        <v>771.0</v>
      </c>
      <c r="H774" s="10">
        <f t="shared" si="28"/>
        <v>0.020298249569086952</v>
      </c>
      <c r="K774" s="7"/>
    </row>
    <row r="775" spans="8:8">
      <c r="B775" s="7" t="s">
        <v>9057</v>
      </c>
      <c r="C775" s="8">
        <v>2376.64</v>
      </c>
      <c r="D775" s="8">
        <f t="shared" si="27"/>
        <v>0.006611521242847262</v>
      </c>
      <c r="E775" s="8">
        <v>0.006727205337286913</v>
      </c>
      <c r="F775" s="9"/>
      <c r="G775" s="9">
        <v>772.0</v>
      </c>
      <c r="H775" s="10">
        <f t="shared" si="28"/>
        <v>-0.00609996178832579</v>
      </c>
      <c r="K775" s="7"/>
    </row>
    <row r="776" spans="8:8">
      <c r="B776" s="7" t="s">
        <v>9058</v>
      </c>
      <c r="C776" s="8">
        <v>2361.03</v>
      </c>
      <c r="D776" s="8">
        <f t="shared" si="27"/>
        <v>-1.9055846333647462E-4</v>
      </c>
      <c r="E776" s="8">
        <v>0.006705272782688205</v>
      </c>
      <c r="F776" s="9"/>
      <c r="G776" s="9">
        <v>773.0</v>
      </c>
      <c r="H776" s="10">
        <f t="shared" si="28"/>
        <v>0.0034471691793408134</v>
      </c>
      <c r="K776" s="7"/>
    </row>
    <row r="777" spans="8:8">
      <c r="B777" s="7" t="s">
        <v>9059</v>
      </c>
      <c r="C777" s="8">
        <v>2361.48</v>
      </c>
      <c r="D777" s="8">
        <f t="shared" si="27"/>
        <v>0.0023302306036953623</v>
      </c>
      <c r="E777" s="8">
        <v>0.0066917775284501815</v>
      </c>
      <c r="F777" s="9"/>
      <c r="G777" s="9">
        <v>774.0</v>
      </c>
      <c r="H777" s="10">
        <f t="shared" si="28"/>
        <v>-0.014200310470711193</v>
      </c>
      <c r="K777" s="7"/>
    </row>
    <row r="778" spans="8:8">
      <c r="B778" s="7" t="s">
        <v>9060</v>
      </c>
      <c r="C778" s="8">
        <v>2355.99</v>
      </c>
      <c r="D778" s="8">
        <f t="shared" si="27"/>
        <v>0.0026556016597509445</v>
      </c>
      <c r="E778" s="8">
        <v>0.006690096117203787</v>
      </c>
      <c r="F778" s="9"/>
      <c r="G778" s="9">
        <v>775.0</v>
      </c>
      <c r="H778" s="10">
        <f t="shared" si="28"/>
        <v>0.008942097739442685</v>
      </c>
      <c r="K778" s="7"/>
    </row>
    <row r="779" spans="8:8">
      <c r="B779" s="7" t="s">
        <v>9061</v>
      </c>
      <c r="C779" s="8">
        <v>2349.75</v>
      </c>
      <c r="D779" s="8">
        <f t="shared" si="27"/>
        <v>2.7670171555067516E-4</v>
      </c>
      <c r="E779" s="8">
        <v>0.006683339082442222</v>
      </c>
      <c r="F779" s="9"/>
      <c r="G779" s="9">
        <v>776.0</v>
      </c>
      <c r="H779" s="10">
        <f t="shared" si="28"/>
        <v>2.3210888409089594E-4</v>
      </c>
      <c r="K779" s="7"/>
    </row>
    <row r="780" spans="8:8">
      <c r="B780" s="7" t="s">
        <v>9062</v>
      </c>
      <c r="C780" s="8">
        <v>2349.1</v>
      </c>
      <c r="D780" s="8">
        <f t="shared" si="27"/>
        <v>0.006172125635523283</v>
      </c>
      <c r="E780" s="8">
        <v>0.0066613930638244724</v>
      </c>
      <c r="F780" s="9"/>
      <c r="G780" s="9">
        <v>777.0</v>
      </c>
      <c r="H780" s="10">
        <f t="shared" si="28"/>
        <v>0.01217266935359335</v>
      </c>
      <c r="K780" s="7"/>
    </row>
    <row r="781" spans="8:8">
      <c r="B781" s="7">
        <v>45266.0</v>
      </c>
      <c r="C781" s="8">
        <v>2334.69</v>
      </c>
      <c r="D781" s="8">
        <f t="shared" si="27"/>
        <v>-0.009751111261918403</v>
      </c>
      <c r="E781" s="8">
        <v>0.00664401661004149</v>
      </c>
      <c r="F781" s="9"/>
      <c r="G781" s="9">
        <v>778.0</v>
      </c>
      <c r="H781" s="10">
        <f t="shared" si="28"/>
        <v>-0.00271457553500509</v>
      </c>
      <c r="K781" s="7"/>
    </row>
    <row r="782" spans="8:8">
      <c r="B782" s="7">
        <v>45175.0</v>
      </c>
      <c r="C782" s="8">
        <v>2357.68</v>
      </c>
      <c r="D782" s="8">
        <f t="shared" si="27"/>
        <v>0.009700089506344515</v>
      </c>
      <c r="E782" s="8">
        <v>0.0066369239985495645</v>
      </c>
      <c r="F782" s="9"/>
      <c r="G782" s="9">
        <v>779.0</v>
      </c>
      <c r="H782" s="10">
        <f t="shared" si="28"/>
        <v>-0.031865316377725904</v>
      </c>
      <c r="K782" s="7"/>
    </row>
    <row r="783" spans="8:8">
      <c r="B783" s="7">
        <v>45144.0</v>
      </c>
      <c r="C783" s="8">
        <v>2335.03</v>
      </c>
      <c r="D783" s="8">
        <f t="shared" si="27"/>
        <v>0.010708612338710828</v>
      </c>
      <c r="E783" s="8">
        <v>0.006621033776867905</v>
      </c>
      <c r="F783" s="9"/>
      <c r="G783" s="9">
        <v>780.0</v>
      </c>
      <c r="H783" s="10">
        <f t="shared" si="28"/>
        <v>-0.020012919649502758</v>
      </c>
      <c r="K783" s="7"/>
    </row>
    <row r="784" spans="8:8">
      <c r="B784" s="7">
        <v>45113.0</v>
      </c>
      <c r="C784" s="8">
        <v>2310.29</v>
      </c>
      <c r="D784" s="8">
        <f t="shared" si="27"/>
        <v>0.016486127366003377</v>
      </c>
      <c r="E784" s="8">
        <v>0.0065799337009211905</v>
      </c>
      <c r="F784" s="9"/>
      <c r="G784" s="9">
        <v>781.0</v>
      </c>
      <c r="H784" s="10">
        <f t="shared" si="28"/>
        <v>0.003506203758448127</v>
      </c>
      <c r="K784" s="7"/>
    </row>
    <row r="785" spans="8:8">
      <c r="B785" s="7">
        <v>45083.0</v>
      </c>
      <c r="C785" s="8">
        <v>2272.82</v>
      </c>
      <c r="D785" s="8">
        <f t="shared" si="27"/>
        <v>0.0042506185931426065</v>
      </c>
      <c r="E785" s="8">
        <v>0.006545902329952305</v>
      </c>
      <c r="F785" s="9"/>
      <c r="G785" s="9">
        <v>782.0</v>
      </c>
      <c r="H785" s="10">
        <f t="shared" si="28"/>
        <v>-0.008526751916354419</v>
      </c>
      <c r="K785" s="7"/>
    </row>
    <row r="786" spans="8:8">
      <c r="B786" s="7">
        <v>45052.0</v>
      </c>
      <c r="C786" s="8">
        <v>2263.2</v>
      </c>
      <c r="D786" s="8">
        <f t="shared" si="27"/>
        <v>0.015106390613226092</v>
      </c>
      <c r="E786" s="8">
        <v>0.006541894116627834</v>
      </c>
      <c r="F786" s="9"/>
      <c r="G786" s="9">
        <v>783.0</v>
      </c>
      <c r="H786" s="10">
        <f t="shared" si="28"/>
        <v>0.007600435103400121</v>
      </c>
      <c r="K786" s="7"/>
    </row>
    <row r="787" spans="8:8">
      <c r="B787" s="7">
        <v>44963.0</v>
      </c>
      <c r="C787" s="8">
        <v>2229.52</v>
      </c>
      <c r="D787" s="8">
        <f t="shared" si="27"/>
        <v>0.01211623230117624</v>
      </c>
      <c r="E787" s="8">
        <v>0.006511131442512933</v>
      </c>
      <c r="F787" s="9"/>
      <c r="G787" s="9">
        <v>784.0</v>
      </c>
      <c r="H787" s="10">
        <f t="shared" si="28"/>
        <v>0.0010938965419362385</v>
      </c>
      <c r="K787" s="7"/>
    </row>
    <row r="788" spans="8:8">
      <c r="B788" s="7">
        <v>44932.0</v>
      </c>
      <c r="C788" s="8">
        <v>2202.83</v>
      </c>
      <c r="D788" s="8">
        <f t="shared" si="27"/>
        <v>9.724222857375971E-4</v>
      </c>
      <c r="E788" s="8">
        <v>0.0065111231687466084</v>
      </c>
      <c r="F788" s="9"/>
      <c r="G788" s="9">
        <v>785.0</v>
      </c>
      <c r="H788" s="10">
        <f t="shared" si="28"/>
        <v>0.006187863792902277</v>
      </c>
      <c r="K788" s="7"/>
    </row>
    <row r="789" spans="8:8">
      <c r="B789" s="7" t="s">
        <v>9063</v>
      </c>
      <c r="C789" s="8">
        <v>2200.69</v>
      </c>
      <c r="D789" s="8">
        <f t="shared" si="27"/>
        <v>-0.0023301886364769145</v>
      </c>
      <c r="E789" s="8">
        <v>0.0064838915818513955</v>
      </c>
      <c r="F789" s="9"/>
      <c r="G789" s="9">
        <v>786.0</v>
      </c>
      <c r="H789" s="10">
        <f t="shared" si="28"/>
        <v>0.013331695229676106</v>
      </c>
      <c r="K789" s="7"/>
    </row>
    <row r="790" spans="8:8">
      <c r="B790" s="7" t="s">
        <v>9064</v>
      </c>
      <c r="C790" s="8">
        <v>2205.83</v>
      </c>
      <c r="D790" s="8">
        <f t="shared" si="27"/>
        <v>-0.006176955585391584</v>
      </c>
      <c r="E790" s="8">
        <v>0.006481417637730188</v>
      </c>
      <c r="F790" s="9"/>
      <c r="G790" s="9">
        <v>787.0</v>
      </c>
      <c r="H790" s="10">
        <f t="shared" si="28"/>
        <v>0.007240196683079438</v>
      </c>
      <c r="K790" s="7"/>
    </row>
    <row r="791" spans="8:8">
      <c r="B791" s="7" t="s">
        <v>9065</v>
      </c>
      <c r="C791" s="8">
        <v>2219.54</v>
      </c>
      <c r="D791" s="8">
        <f t="shared" si="27"/>
        <v>0.0027468307536616552</v>
      </c>
      <c r="E791" s="8">
        <v>0.006480233114425971</v>
      </c>
      <c r="F791" s="9"/>
      <c r="G791" s="9">
        <v>788.0</v>
      </c>
      <c r="H791" s="10">
        <f t="shared" si="28"/>
        <v>-0.003986495698455973</v>
      </c>
      <c r="K791" s="7"/>
    </row>
    <row r="792" spans="8:8">
      <c r="B792" s="7" t="s">
        <v>9066</v>
      </c>
      <c r="C792" s="8">
        <v>2213.46</v>
      </c>
      <c r="D792" s="8">
        <f t="shared" si="27"/>
        <v>0.0062371007482703664</v>
      </c>
      <c r="E792" s="8">
        <v>0.006475887268912156</v>
      </c>
      <c r="F792" s="9"/>
      <c r="G792" s="9">
        <v>789.0</v>
      </c>
      <c r="H792" s="10">
        <f t="shared" si="28"/>
        <v>0.001842067282974875</v>
      </c>
      <c r="K792" s="7"/>
    </row>
    <row r="793" spans="8:8">
      <c r="B793" s="7" t="s">
        <v>9067</v>
      </c>
      <c r="C793" s="8">
        <v>2199.74</v>
      </c>
      <c r="D793" s="8">
        <f t="shared" si="27"/>
        <v>0.0089485971663539</v>
      </c>
      <c r="E793" s="8">
        <v>0.006467425679949341</v>
      </c>
      <c r="F793" s="9"/>
      <c r="G793" s="9">
        <v>790.0</v>
      </c>
      <c r="H793" s="10">
        <f t="shared" si="28"/>
        <v>-0.017351758787610704</v>
      </c>
      <c r="K793" s="7"/>
    </row>
    <row r="794" spans="8:8">
      <c r="B794" s="7" t="s">
        <v>9068</v>
      </c>
      <c r="C794" s="8">
        <v>2180.23</v>
      </c>
      <c r="D794" s="8">
        <f t="shared" si="27"/>
        <v>-0.005691587122784143</v>
      </c>
      <c r="E794" s="8">
        <v>0.006464467566969187</v>
      </c>
      <c r="F794" s="9"/>
      <c r="G794" s="9">
        <v>791.0</v>
      </c>
      <c r="H794" s="10">
        <f t="shared" si="28"/>
        <v>-0.0023422257698159686</v>
      </c>
      <c r="K794" s="7"/>
    </row>
    <row r="795" spans="8:8">
      <c r="B795" s="7" t="s">
        <v>9069</v>
      </c>
      <c r="C795" s="8">
        <v>2192.71</v>
      </c>
      <c r="D795" s="8">
        <f t="shared" si="27"/>
        <v>-0.008545810518129367</v>
      </c>
      <c r="E795" s="8">
        <v>0.006454117532877266</v>
      </c>
      <c r="F795" s="9"/>
      <c r="G795" s="9">
        <v>792.0</v>
      </c>
      <c r="H795" s="10">
        <f t="shared" si="28"/>
        <v>0.0018896165054858138</v>
      </c>
      <c r="K795" s="7"/>
    </row>
    <row r="796" spans="8:8">
      <c r="B796" s="7" t="s">
        <v>9070</v>
      </c>
      <c r="C796" s="8">
        <v>2211.61</v>
      </c>
      <c r="D796" s="8">
        <f t="shared" si="27"/>
        <v>0.01212290400527213</v>
      </c>
      <c r="E796" s="8">
        <v>0.006451928246737288</v>
      </c>
      <c r="F796" s="9"/>
      <c r="G796" s="9">
        <v>793.0</v>
      </c>
      <c r="H796" s="10">
        <f t="shared" si="28"/>
        <v>0.021457210149950865</v>
      </c>
      <c r="K796" s="7"/>
    </row>
    <row r="797" spans="8:8">
      <c r="B797" s="7" t="s">
        <v>9071</v>
      </c>
      <c r="C797" s="8">
        <v>2185.12</v>
      </c>
      <c r="D797" s="8">
        <f t="shared" si="27"/>
        <v>8.42768678318718E-4</v>
      </c>
      <c r="E797" s="8">
        <v>0.0064312684120990836</v>
      </c>
      <c r="F797" s="9"/>
      <c r="G797" s="9">
        <v>794.0</v>
      </c>
      <c r="H797" s="10">
        <f t="shared" si="28"/>
        <v>0.018497762674949132</v>
      </c>
      <c r="K797" s="7"/>
    </row>
    <row r="798" spans="8:8">
      <c r="B798" s="7" t="s">
        <v>9072</v>
      </c>
      <c r="C798" s="8">
        <v>2183.28</v>
      </c>
      <c r="D798" s="8">
        <f t="shared" si="27"/>
        <v>-0.014146960412894335</v>
      </c>
      <c r="E798" s="8">
        <v>0.0064084306465394475</v>
      </c>
      <c r="F798" s="9"/>
      <c r="G798" s="9">
        <v>795.0</v>
      </c>
      <c r="H798" s="10">
        <f t="shared" si="28"/>
        <v>0.011911952519436796</v>
      </c>
      <c r="K798" s="7"/>
    </row>
    <row r="799" spans="8:8">
      <c r="B799" s="7" t="s">
        <v>9073</v>
      </c>
      <c r="C799" s="8">
        <v>2214.61</v>
      </c>
      <c r="D799" s="8">
        <f t="shared" si="27"/>
        <v>-0.00341104946021714</v>
      </c>
      <c r="E799" s="8">
        <v>0.006390364860077983</v>
      </c>
      <c r="F799" s="9"/>
      <c r="G799" s="9">
        <v>796.0</v>
      </c>
      <c r="H799" s="10">
        <f t="shared" si="28"/>
        <v>0.013716175939239558</v>
      </c>
      <c r="K799" s="7"/>
    </row>
    <row r="800" spans="8:8">
      <c r="B800" s="7" t="s">
        <v>9074</v>
      </c>
      <c r="C800" s="8">
        <v>2222.19</v>
      </c>
      <c r="D800" s="8">
        <f t="shared" si="27"/>
        <v>-0.008743013395545483</v>
      </c>
      <c r="E800" s="8">
        <v>0.006382179952446388</v>
      </c>
      <c r="F800" s="9"/>
      <c r="G800" s="9">
        <v>797.0</v>
      </c>
      <c r="H800" s="10">
        <f t="shared" si="28"/>
        <v>0.017319183412071504</v>
      </c>
      <c r="K800" s="7"/>
    </row>
    <row r="801" spans="8:8">
      <c r="B801" s="7" t="s">
        <v>9075</v>
      </c>
      <c r="C801" s="8">
        <v>2241.79</v>
      </c>
      <c r="D801" s="8">
        <f t="shared" si="27"/>
        <v>0.011592437164387914</v>
      </c>
      <c r="E801" s="8">
        <v>0.00635734427069979</v>
      </c>
      <c r="F801" s="9"/>
      <c r="G801" s="9">
        <v>798.0</v>
      </c>
      <c r="H801" s="10">
        <f t="shared" si="28"/>
        <v>0.0031395344617697503</v>
      </c>
      <c r="K801" s="7"/>
    </row>
    <row r="802" spans="8:8">
      <c r="B802" s="7">
        <v>45265.0</v>
      </c>
      <c r="C802" s="8">
        <v>2216.1</v>
      </c>
      <c r="D802" s="8">
        <f t="shared" si="27"/>
        <v>-0.009387153010594073</v>
      </c>
      <c r="E802" s="8">
        <v>0.006317674835138025</v>
      </c>
      <c r="F802" s="9"/>
      <c r="G802" s="9">
        <v>799.0</v>
      </c>
      <c r="H802" s="10">
        <f t="shared" si="28"/>
        <v>-0.020995700338080278</v>
      </c>
      <c r="K802" s="7"/>
    </row>
    <row r="803" spans="8:8">
      <c r="B803" s="7">
        <v>45235.0</v>
      </c>
      <c r="C803" s="8">
        <v>2237.1</v>
      </c>
      <c r="D803" s="8">
        <f t="shared" si="27"/>
        <v>-0.051726695858219</v>
      </c>
      <c r="E803" s="8">
        <v>0.006316581521524008</v>
      </c>
      <c r="F803" s="9"/>
      <c r="G803" s="9">
        <v>800.0</v>
      </c>
      <c r="H803" s="10">
        <f t="shared" si="28"/>
        <v>-0.01730612828057583</v>
      </c>
      <c r="K803" s="7"/>
    </row>
    <row r="804" spans="8:8">
      <c r="B804" s="7">
        <v>45204.0</v>
      </c>
      <c r="C804" s="8">
        <v>2359.13</v>
      </c>
      <c r="D804" s="8">
        <f t="shared" si="27"/>
        <v>-0.004170518486625261</v>
      </c>
      <c r="E804" s="8">
        <v>0.006285767895674845</v>
      </c>
      <c r="F804" s="9"/>
      <c r="G804" s="9">
        <v>801.0</v>
      </c>
      <c r="H804" s="10">
        <f t="shared" si="28"/>
        <v>0.006089328855890811</v>
      </c>
      <c r="K804" s="7"/>
    </row>
    <row r="805" spans="8:8">
      <c r="B805" s="7">
        <v>45174.0</v>
      </c>
      <c r="C805" s="8">
        <v>2369.01</v>
      </c>
      <c r="D805" s="8">
        <f t="shared" si="27"/>
        <v>0.0037837700416936252</v>
      </c>
      <c r="E805" s="8">
        <v>0.006270086331841841</v>
      </c>
      <c r="F805" s="9"/>
      <c r="G805" s="9">
        <v>802.0</v>
      </c>
      <c r="H805" s="10">
        <f t="shared" si="28"/>
        <v>0.011348607040686933</v>
      </c>
      <c r="K805" s="7"/>
    </row>
    <row r="806" spans="8:8">
      <c r="B806" s="7">
        <v>45143.0</v>
      </c>
      <c r="C806" s="8">
        <v>2360.08</v>
      </c>
      <c r="D806" s="8">
        <f t="shared" si="27"/>
        <v>-0.005088211116497761</v>
      </c>
      <c r="E806" s="8">
        <v>0.006264099699936563</v>
      </c>
      <c r="F806" s="9"/>
      <c r="G806" s="9">
        <v>803.0</v>
      </c>
      <c r="H806" s="10">
        <f t="shared" si="28"/>
        <v>0.02791637714761062</v>
      </c>
      <c r="K806" s="7"/>
    </row>
    <row r="807" spans="8:8">
      <c r="B807" s="7">
        <v>45051.0</v>
      </c>
      <c r="C807" s="8">
        <v>2372.15</v>
      </c>
      <c r="D807" s="8">
        <f t="shared" si="27"/>
        <v>0.008738731076713805</v>
      </c>
      <c r="E807" s="8">
        <v>0.006246420389461724</v>
      </c>
      <c r="F807" s="9"/>
      <c r="G807" s="9">
        <v>804.0</v>
      </c>
      <c r="H807" s="10">
        <f t="shared" si="28"/>
        <v>0.02959432627992011</v>
      </c>
      <c r="K807" s="7"/>
    </row>
    <row r="808" spans="8:8">
      <c r="B808" s="7">
        <v>45021.0</v>
      </c>
      <c r="C808" s="8">
        <v>2351.6</v>
      </c>
      <c r="D808" s="8">
        <f t="shared" si="27"/>
        <v>2.55210548702641E-4</v>
      </c>
      <c r="E808" s="8">
        <v>0.0062427525296650166</v>
      </c>
      <c r="F808" s="9"/>
      <c r="G808" s="9">
        <v>805.0</v>
      </c>
      <c r="H808" s="10">
        <f t="shared" si="28"/>
        <v>-0.004018594145315047</v>
      </c>
      <c r="K808" s="7"/>
    </row>
    <row r="809" spans="8:8">
      <c r="B809" s="7">
        <v>44990.0</v>
      </c>
      <c r="C809" s="8">
        <v>2351.0</v>
      </c>
      <c r="D809" s="8">
        <f t="shared" si="27"/>
        <v>-0.011802881786236665</v>
      </c>
      <c r="E809" s="8">
        <v>0.006218142029836456</v>
      </c>
      <c r="F809" s="9"/>
      <c r="G809" s="9">
        <v>806.0</v>
      </c>
      <c r="H809" s="10">
        <f t="shared" si="28"/>
        <v>-0.027257946863704596</v>
      </c>
      <c r="K809" s="7"/>
    </row>
    <row r="810" spans="8:8">
      <c r="B810" s="7">
        <v>44962.0</v>
      </c>
      <c r="C810" s="8">
        <v>2379.08</v>
      </c>
      <c r="D810" s="8">
        <f t="shared" si="27"/>
        <v>0.008477881207928514</v>
      </c>
      <c r="E810" s="8">
        <v>0.006209265457107586</v>
      </c>
      <c r="F810" s="9"/>
      <c r="G810" s="9">
        <v>807.0</v>
      </c>
      <c r="H810" s="10">
        <f t="shared" si="28"/>
        <v>0.010327035283736704</v>
      </c>
      <c r="K810" s="7"/>
    </row>
    <row r="811" spans="8:8">
      <c r="B811" s="7" t="s">
        <v>9076</v>
      </c>
      <c r="C811" s="8">
        <v>2359.08</v>
      </c>
      <c r="D811" s="8">
        <f t="shared" si="27"/>
        <v>0.025504149260349274</v>
      </c>
      <c r="E811" s="8">
        <v>0.006205398696866274</v>
      </c>
      <c r="F811" s="9"/>
      <c r="G811" s="9">
        <v>808.0</v>
      </c>
      <c r="H811" s="10">
        <f t="shared" si="28"/>
        <v>-0.0030714756693066454</v>
      </c>
      <c r="K811" s="7"/>
    </row>
    <row r="812" spans="8:8">
      <c r="B812" s="7" t="s">
        <v>9077</v>
      </c>
      <c r="C812" s="8">
        <v>2300.41</v>
      </c>
      <c r="D812" s="8">
        <f t="shared" si="27"/>
        <v>0.012936861247979839</v>
      </c>
      <c r="E812" s="8">
        <v>0.006189264229523395</v>
      </c>
      <c r="F812" s="9"/>
      <c r="G812" s="9">
        <v>809.0</v>
      </c>
      <c r="H812" s="10">
        <f t="shared" si="28"/>
        <v>-0.01671005333774779</v>
      </c>
      <c r="K812" s="7"/>
    </row>
    <row r="813" spans="8:8">
      <c r="B813" s="7" t="s">
        <v>9078</v>
      </c>
      <c r="C813" s="8">
        <v>2271.03</v>
      </c>
      <c r="D813" s="8">
        <f t="shared" si="27"/>
        <v>0.01254631301579673</v>
      </c>
      <c r="E813" s="8">
        <v>0.0061719534950481275</v>
      </c>
      <c r="F813" s="9"/>
      <c r="G813" s="9">
        <v>810.0</v>
      </c>
      <c r="H813" s="10">
        <f t="shared" si="28"/>
        <v>0.007219335823705177</v>
      </c>
      <c r="K813" s="7"/>
    </row>
    <row r="814" spans="8:8">
      <c r="B814" s="7" t="s">
        <v>9079</v>
      </c>
      <c r="C814" s="8">
        <v>2242.89</v>
      </c>
      <c r="D814" s="8">
        <f t="shared" si="27"/>
        <v>0.008543588037178099</v>
      </c>
      <c r="E814" s="8">
        <v>0.006139019077166779</v>
      </c>
      <c r="F814" s="9"/>
      <c r="G814" s="9">
        <v>811.0</v>
      </c>
      <c r="H814" s="10">
        <f t="shared" si="28"/>
        <v>-0.018157347362551566</v>
      </c>
      <c r="K814" s="7"/>
    </row>
    <row r="815" spans="8:8">
      <c r="B815" s="7" t="s">
        <v>9080</v>
      </c>
      <c r="C815" s="8">
        <v>2223.89</v>
      </c>
      <c r="D815" s="8">
        <f t="shared" si="27"/>
        <v>0.00618490467012337</v>
      </c>
      <c r="E815" s="8">
        <v>0.006126173096975977</v>
      </c>
      <c r="F815" s="9"/>
      <c r="G815" s="9">
        <v>812.0</v>
      </c>
      <c r="H815" s="10">
        <f t="shared" si="28"/>
        <v>-0.005835792836080146</v>
      </c>
      <c r="K815" s="7"/>
    </row>
    <row r="816" spans="8:8">
      <c r="B816" s="7" t="s">
        <v>9081</v>
      </c>
      <c r="C816" s="8">
        <v>2210.22</v>
      </c>
      <c r="D816" s="8">
        <f t="shared" si="27"/>
        <v>-0.00786001894304975</v>
      </c>
      <c r="E816" s="8">
        <v>0.006122515797400327</v>
      </c>
      <c r="F816" s="9"/>
      <c r="G816" s="9">
        <v>813.0</v>
      </c>
      <c r="H816" s="10">
        <f t="shared" si="28"/>
        <v>-0.011757018989431968</v>
      </c>
      <c r="K816" s="7"/>
    </row>
    <row r="817" spans="8:8">
      <c r="B817" s="7" t="s">
        <v>9082</v>
      </c>
      <c r="C817" s="8">
        <v>2227.73</v>
      </c>
      <c r="D817" s="8">
        <f t="shared" si="27"/>
        <v>0.005924293667959546</v>
      </c>
      <c r="E817" s="8">
        <v>0.006122355736281783</v>
      </c>
      <c r="F817" s="9"/>
      <c r="G817" s="9">
        <v>814.0</v>
      </c>
      <c r="H817" s="10">
        <f t="shared" si="28"/>
        <v>-0.013969296765040228</v>
      </c>
      <c r="K817" s="7"/>
    </row>
    <row r="818" spans="8:8">
      <c r="B818" s="7" t="s">
        <v>9083</v>
      </c>
      <c r="C818" s="8">
        <v>2214.61</v>
      </c>
      <c r="D818" s="8">
        <f t="shared" si="27"/>
        <v>0.001356477860020528</v>
      </c>
      <c r="E818" s="8">
        <v>0.006021631102016927</v>
      </c>
      <c r="F818" s="9"/>
      <c r="G818" s="9">
        <v>815.0</v>
      </c>
      <c r="H818" s="10">
        <f t="shared" si="28"/>
        <v>0.0017595745830653808</v>
      </c>
      <c r="K818" s="7"/>
    </row>
    <row r="819" spans="8:8">
      <c r="B819" s="7" t="s">
        <v>9084</v>
      </c>
      <c r="C819" s="8">
        <v>2211.61</v>
      </c>
      <c r="D819" s="8">
        <f t="shared" si="27"/>
        <v>0.0011724656182380176</v>
      </c>
      <c r="E819" s="8">
        <v>0.0060065756196256955</v>
      </c>
      <c r="F819" s="9"/>
      <c r="G819" s="9">
        <v>816.0</v>
      </c>
      <c r="H819" s="10">
        <f t="shared" si="28"/>
        <v>0.004261299099940188</v>
      </c>
      <c r="K819" s="7"/>
    </row>
    <row r="820" spans="8:8">
      <c r="B820" s="7" t="s">
        <v>9085</v>
      </c>
      <c r="C820" s="8">
        <v>2209.02</v>
      </c>
      <c r="D820" s="8">
        <f t="shared" si="27"/>
        <v>-0.019812128661250355</v>
      </c>
      <c r="E820" s="8">
        <v>0.005994051017035669</v>
      </c>
      <c r="F820" s="9"/>
      <c r="G820" s="9">
        <v>817.0</v>
      </c>
      <c r="H820" s="10">
        <f t="shared" si="28"/>
        <v>0.011096818639477484</v>
      </c>
      <c r="K820" s="7"/>
    </row>
    <row r="821" spans="8:8">
      <c r="B821" s="7" t="s">
        <v>9086</v>
      </c>
      <c r="C821" s="8">
        <v>2253.67</v>
      </c>
      <c r="D821" s="8">
        <f t="shared" si="27"/>
        <v>-0.012998445266822799</v>
      </c>
      <c r="E821" s="8">
        <v>0.005991851082527762</v>
      </c>
      <c r="F821" s="9"/>
      <c r="G821" s="9">
        <v>818.0</v>
      </c>
      <c r="H821" s="10">
        <f t="shared" si="28"/>
        <v>0.002786354015772655</v>
      </c>
      <c r="K821" s="7"/>
    </row>
    <row r="822" spans="8:8">
      <c r="B822" s="7">
        <v>45264.0</v>
      </c>
      <c r="C822" s="8">
        <v>2283.35</v>
      </c>
      <c r="D822" s="8">
        <f t="shared" si="27"/>
        <v>-0.005648167502787178</v>
      </c>
      <c r="E822" s="8">
        <v>0.005989926033489256</v>
      </c>
      <c r="F822" s="9"/>
      <c r="G822" s="9">
        <v>819.0</v>
      </c>
      <c r="H822" s="10">
        <f t="shared" si="28"/>
        <v>-0.007243926646934775</v>
      </c>
      <c r="K822" s="7"/>
    </row>
    <row r="823" spans="8:8">
      <c r="B823" s="7">
        <v>45234.0</v>
      </c>
      <c r="C823" s="8">
        <v>2296.32</v>
      </c>
      <c r="D823" s="8">
        <f t="shared" si="27"/>
        <v>-0.003549576914731975</v>
      </c>
      <c r="E823" s="8">
        <v>0.005988281923143241</v>
      </c>
      <c r="F823" s="9"/>
      <c r="G823" s="9">
        <v>820.0</v>
      </c>
      <c r="H823" s="10">
        <f t="shared" si="28"/>
        <v>0.017746611839642976</v>
      </c>
      <c r="K823" s="7"/>
    </row>
    <row r="824" spans="8:8">
      <c r="B824" s="7">
        <v>45203.0</v>
      </c>
      <c r="C824" s="8">
        <v>2304.5</v>
      </c>
      <c r="D824" s="8">
        <f t="shared" si="27"/>
        <v>0.015587471850444835</v>
      </c>
      <c r="E824" s="8">
        <v>0.005968358701357154</v>
      </c>
      <c r="F824" s="9"/>
      <c r="G824" s="9">
        <v>821.0</v>
      </c>
      <c r="H824" s="10">
        <f t="shared" si="28"/>
        <v>0.0014556928029542116</v>
      </c>
      <c r="K824" s="7"/>
    </row>
    <row r="825" spans="8:8">
      <c r="B825" s="7">
        <v>45081.0</v>
      </c>
      <c r="C825" s="8">
        <v>2269.13</v>
      </c>
      <c r="D825" s="8">
        <f t="shared" si="27"/>
        <v>0.007306884719022332</v>
      </c>
      <c r="E825" s="8">
        <v>0.0059457117674300754</v>
      </c>
      <c r="F825" s="9"/>
      <c r="G825" s="9">
        <v>822.0</v>
      </c>
      <c r="H825" s="10">
        <f t="shared" si="28"/>
        <v>0.02030762974275105</v>
      </c>
      <c r="K825" s="7"/>
    </row>
    <row r="826" spans="8:8">
      <c r="B826" s="7">
        <v>45050.0</v>
      </c>
      <c r="C826" s="8">
        <v>2252.67</v>
      </c>
      <c r="D826" s="8">
        <f t="shared" si="27"/>
        <v>0.04036448110397322</v>
      </c>
      <c r="E826" s="8">
        <v>0.0059353955027964065</v>
      </c>
      <c r="F826" s="9"/>
      <c r="G826" s="9">
        <v>823.0</v>
      </c>
      <c r="H826" s="10">
        <f t="shared" si="28"/>
        <v>0.0102862791664066</v>
      </c>
      <c r="K826" s="7"/>
    </row>
    <row r="827" spans="8:8">
      <c r="B827" s="7">
        <v>44989.0</v>
      </c>
      <c r="C827" s="8">
        <v>2165.27</v>
      </c>
      <c r="D827" s="8">
        <f t="shared" si="27"/>
        <v>0.0027508532739322173</v>
      </c>
      <c r="E827" s="8">
        <v>0.005897687935381737</v>
      </c>
      <c r="F827" s="9"/>
      <c r="G827" s="9">
        <v>824.0</v>
      </c>
      <c r="H827" s="10">
        <f t="shared" si="28"/>
        <v>0.00329349410875652</v>
      </c>
      <c r="K827" s="7"/>
    </row>
    <row r="828" spans="8:8">
      <c r="B828" s="7" t="s">
        <v>9087</v>
      </c>
      <c r="C828" s="8">
        <v>2159.33</v>
      </c>
      <c r="D828" s="8">
        <f t="shared" si="27"/>
        <v>0.007798863074180227</v>
      </c>
      <c r="E828" s="8">
        <v>0.0058921423109791335</v>
      </c>
      <c r="F828" s="9"/>
      <c r="G828" s="9">
        <v>825.0</v>
      </c>
      <c r="H828" s="10">
        <f t="shared" si="28"/>
        <v>0.011451146071463435</v>
      </c>
      <c r="K828" s="7"/>
    </row>
    <row r="829" spans="8:8">
      <c r="B829" s="7" t="s">
        <v>9088</v>
      </c>
      <c r="C829" s="8">
        <v>2142.62</v>
      </c>
      <c r="D829" s="8">
        <f t="shared" si="27"/>
        <v>0.006491920330702606</v>
      </c>
      <c r="E829" s="8">
        <v>0.0058616130453945274</v>
      </c>
      <c r="F829" s="9"/>
      <c r="G829" s="9">
        <v>826.0</v>
      </c>
      <c r="H829" s="10">
        <f t="shared" si="28"/>
        <v>-0.0017225282629807909</v>
      </c>
      <c r="K829" s="7"/>
    </row>
    <row r="830" spans="8:8">
      <c r="B830" s="7" t="s">
        <v>9089</v>
      </c>
      <c r="C830" s="8">
        <v>2128.8</v>
      </c>
      <c r="D830" s="8">
        <f t="shared" si="27"/>
        <v>-0.009468859781774147</v>
      </c>
      <c r="E830" s="8">
        <v>0.005859079047057863</v>
      </c>
      <c r="F830" s="9"/>
      <c r="G830" s="9">
        <v>827.0</v>
      </c>
      <c r="H830" s="10">
        <f t="shared" si="28"/>
        <v>0.007297775426757889</v>
      </c>
      <c r="K830" s="7"/>
    </row>
    <row r="831" spans="8:8">
      <c r="B831" s="7" t="s">
        <v>9090</v>
      </c>
      <c r="C831" s="8">
        <v>2149.15</v>
      </c>
      <c r="D831" s="8">
        <f t="shared" si="27"/>
        <v>-0.005612414865265078</v>
      </c>
      <c r="E831" s="8">
        <v>0.005857411373868991</v>
      </c>
      <c r="F831" s="9"/>
      <c r="G831" s="9">
        <v>828.0</v>
      </c>
      <c r="H831" s="10">
        <f t="shared" si="28"/>
        <v>0.017311267861721068</v>
      </c>
      <c r="K831" s="7"/>
    </row>
    <row r="832" spans="8:8">
      <c r="B832" s="7" t="s">
        <v>9091</v>
      </c>
      <c r="C832" s="8">
        <v>2161.28</v>
      </c>
      <c r="D832" s="8">
        <f t="shared" si="27"/>
        <v>-0.01835408254568075</v>
      </c>
      <c r="E832" s="8">
        <v>0.005851040429369664</v>
      </c>
      <c r="F832" s="9"/>
      <c r="G832" s="9">
        <v>829.0</v>
      </c>
      <c r="H832" s="10">
        <f t="shared" si="28"/>
        <v>-0.00335336507860677</v>
      </c>
      <c r="K832" s="7"/>
    </row>
    <row r="833" spans="8:8">
      <c r="B833" s="7" t="s">
        <v>9092</v>
      </c>
      <c r="C833" s="8">
        <v>2201.69</v>
      </c>
      <c r="D833" s="8">
        <f t="shared" si="27"/>
        <v>-0.003295653630424925</v>
      </c>
      <c r="E833" s="8">
        <v>0.00585009140767819</v>
      </c>
      <c r="F833" s="9"/>
      <c r="G833" s="9">
        <v>830.0</v>
      </c>
      <c r="H833" s="10">
        <f t="shared" si="28"/>
        <v>-0.006399356672452952</v>
      </c>
      <c r="K833" s="7"/>
    </row>
    <row r="834" spans="8:8">
      <c r="B834" s="7" t="s">
        <v>9093</v>
      </c>
      <c r="C834" s="8">
        <v>2208.97</v>
      </c>
      <c r="D834" s="8">
        <f t="shared" si="27"/>
        <v>0.002491513424219771</v>
      </c>
      <c r="E834" s="8">
        <v>0.005845343804381737</v>
      </c>
      <c r="F834" s="9"/>
      <c r="G834" s="9">
        <v>831.0</v>
      </c>
      <c r="H834" s="10">
        <f t="shared" si="28"/>
        <v>0.016531805324929504</v>
      </c>
      <c r="K834" s="7"/>
    </row>
    <row r="835" spans="8:8">
      <c r="B835" s="7" t="s">
        <v>9094</v>
      </c>
      <c r="C835" s="8">
        <v>2203.48</v>
      </c>
      <c r="D835" s="8">
        <f t="shared" si="27"/>
        <v>0.014190044415805549</v>
      </c>
      <c r="E835" s="8">
        <v>0.005827405947381912</v>
      </c>
      <c r="F835" s="9"/>
      <c r="G835" s="9">
        <v>832.0</v>
      </c>
      <c r="H835" s="10">
        <f t="shared" si="28"/>
        <v>-0.0019362375858189337</v>
      </c>
      <c r="K835" s="7"/>
    </row>
    <row r="836" spans="8:8">
      <c r="B836" s="7" t="s">
        <v>9095</v>
      </c>
      <c r="C836" s="8">
        <v>2172.65</v>
      </c>
      <c r="D836" s="8">
        <f t="shared" si="29" ref="D836:D899">(C836-C837)/C837</f>
        <v>-0.008289171584938838</v>
      </c>
      <c r="E836" s="8">
        <v>0.005816937553464499</v>
      </c>
      <c r="F836" s="9"/>
      <c r="G836" s="9">
        <v>833.0</v>
      </c>
      <c r="H836" s="10">
        <f t="shared" si="28"/>
        <v>0.008066035995001958</v>
      </c>
      <c r="K836" s="7"/>
    </row>
    <row r="837" spans="8:8">
      <c r="B837" s="7" t="s">
        <v>9096</v>
      </c>
      <c r="C837" s="8">
        <v>2190.81</v>
      </c>
      <c r="D837" s="8">
        <f t="shared" si="29"/>
        <v>0.010190389678656856</v>
      </c>
      <c r="E837" s="8">
        <v>0.005799157244774538</v>
      </c>
      <c r="F837" s="9"/>
      <c r="G837" s="9">
        <v>834.0</v>
      </c>
      <c r="H837" s="10">
        <f t="shared" si="30" ref="H837:H900">_xlfn.NORM.INV(RAND(),N$6,N$7)</f>
        <v>0.009018536605582071</v>
      </c>
      <c r="K837" s="7"/>
    </row>
    <row r="838" spans="8:8">
      <c r="B838" s="7" t="s">
        <v>9097</v>
      </c>
      <c r="C838" s="8">
        <v>2168.71</v>
      </c>
      <c r="D838" s="8">
        <f t="shared" si="29"/>
        <v>-0.001399792793829844</v>
      </c>
      <c r="E838" s="8">
        <v>0.005786624307064015</v>
      </c>
      <c r="F838" s="9"/>
      <c r="G838" s="9">
        <v>835.0</v>
      </c>
      <c r="H838" s="10">
        <f t="shared" si="30"/>
        <v>0.030869102335122064</v>
      </c>
      <c r="K838" s="7"/>
    </row>
    <row r="839" spans="8:8">
      <c r="B839" s="7" t="s">
        <v>9098</v>
      </c>
      <c r="C839" s="8">
        <v>2171.75</v>
      </c>
      <c r="D839" s="8">
        <f t="shared" si="29"/>
        <v>0.015130551842122432</v>
      </c>
      <c r="E839" s="8">
        <v>0.005773248488907997</v>
      </c>
      <c r="F839" s="9"/>
      <c r="G839" s="9">
        <v>836.0</v>
      </c>
      <c r="H839" s="10">
        <f t="shared" si="30"/>
        <v>-1.906187217781295E-5</v>
      </c>
      <c r="K839" s="7"/>
    </row>
    <row r="840" spans="8:8">
      <c r="B840" s="7" t="s">
        <v>9099</v>
      </c>
      <c r="C840" s="8">
        <v>2139.38</v>
      </c>
      <c r="D840" s="8">
        <f t="shared" si="29"/>
        <v>0.004851929264225794</v>
      </c>
      <c r="E840" s="8">
        <v>0.0057679117041840745</v>
      </c>
      <c r="F840" s="9"/>
      <c r="G840" s="9">
        <v>837.0</v>
      </c>
      <c r="H840" s="10">
        <f t="shared" si="30"/>
        <v>8.894835686121239E-4</v>
      </c>
      <c r="K840" s="7"/>
    </row>
    <row r="841" spans="8:8">
      <c r="B841" s="7" t="s">
        <v>9100</v>
      </c>
      <c r="C841" s="8">
        <v>2129.05</v>
      </c>
      <c r="D841" s="8">
        <f t="shared" si="29"/>
        <v>-0.011124013005109066</v>
      </c>
      <c r="E841" s="8">
        <v>0.005741187277528993</v>
      </c>
      <c r="F841" s="9"/>
      <c r="G841" s="9">
        <v>838.0</v>
      </c>
      <c r="H841" s="10">
        <f t="shared" si="30"/>
        <v>0.012055252413714933</v>
      </c>
      <c r="K841" s="7"/>
    </row>
    <row r="842" spans="8:8">
      <c r="B842" s="7">
        <v>45202.0</v>
      </c>
      <c r="C842" s="8">
        <v>2153.0</v>
      </c>
      <c r="D842" s="8">
        <f t="shared" si="29"/>
        <v>-0.016113258936323937</v>
      </c>
      <c r="E842" s="8">
        <v>0.00573059089287846</v>
      </c>
      <c r="F842" s="9"/>
      <c r="G842" s="9">
        <v>839.0</v>
      </c>
      <c r="H842" s="10">
        <f t="shared" si="30"/>
        <v>-0.0032135430438516507</v>
      </c>
      <c r="K842" s="7"/>
    </row>
    <row r="843" spans="8:8">
      <c r="B843" s="7">
        <v>45172.0</v>
      </c>
      <c r="C843" s="8">
        <v>2188.26</v>
      </c>
      <c r="D843" s="8">
        <f t="shared" si="29"/>
        <v>0.010314323705400082</v>
      </c>
      <c r="E843" s="8">
        <v>0.00571494879754004</v>
      </c>
      <c r="F843" s="9"/>
      <c r="G843" s="9">
        <v>840.0</v>
      </c>
      <c r="H843" s="10">
        <f t="shared" si="30"/>
        <v>0.019210725116450725</v>
      </c>
      <c r="K843" s="7"/>
    </row>
    <row r="844" spans="8:8">
      <c r="B844" s="7">
        <v>45141.0</v>
      </c>
      <c r="C844" s="8">
        <v>2165.92</v>
      </c>
      <c r="D844" s="8">
        <f t="shared" si="29"/>
        <v>0.013850856375185551</v>
      </c>
      <c r="E844" s="8">
        <v>0.0056966808114863425</v>
      </c>
      <c r="F844" s="9"/>
      <c r="G844" s="9">
        <v>841.0</v>
      </c>
      <c r="H844" s="10">
        <f t="shared" si="30"/>
        <v>0.030430587302198917</v>
      </c>
      <c r="K844" s="7"/>
    </row>
    <row r="845" spans="8:8">
      <c r="B845" s="7">
        <v>45080.0</v>
      </c>
      <c r="C845" s="8">
        <v>2136.33</v>
      </c>
      <c r="D845" s="8">
        <f t="shared" si="29"/>
        <v>-0.005067040485094662</v>
      </c>
      <c r="E845" s="8">
        <v>0.005683836589697992</v>
      </c>
      <c r="F845" s="9"/>
      <c r="G845" s="9">
        <v>842.0</v>
      </c>
      <c r="H845" s="10">
        <f t="shared" si="30"/>
        <v>0.012677930805316064</v>
      </c>
      <c r="K845" s="7"/>
    </row>
    <row r="846" spans="8:8">
      <c r="B846" s="7">
        <v>44988.0</v>
      </c>
      <c r="C846" s="8">
        <v>2147.21</v>
      </c>
      <c r="D846" s="8">
        <f t="shared" si="29"/>
        <v>0.014351648455473567</v>
      </c>
      <c r="E846" s="8">
        <v>0.005615917877616288</v>
      </c>
      <c r="F846" s="9"/>
      <c r="G846" s="9">
        <v>843.0</v>
      </c>
      <c r="H846" s="10">
        <f t="shared" si="30"/>
        <v>0.026972198892401242</v>
      </c>
      <c r="K846" s="7"/>
    </row>
    <row r="847" spans="8:8">
      <c r="B847" s="7">
        <v>44960.0</v>
      </c>
      <c r="C847" s="8">
        <v>2116.83</v>
      </c>
      <c r="D847" s="8">
        <f t="shared" si="29"/>
        <v>0.0029802799283595496</v>
      </c>
      <c r="E847" s="8">
        <v>0.005582226191805292</v>
      </c>
      <c r="F847" s="9"/>
      <c r="G847" s="9">
        <v>844.0</v>
      </c>
      <c r="H847" s="10">
        <f t="shared" si="30"/>
        <v>-0.01213895998754393</v>
      </c>
      <c r="K847" s="7"/>
    </row>
    <row r="848" spans="8:8">
      <c r="B848" s="7">
        <v>44929.0</v>
      </c>
      <c r="C848" s="8">
        <v>2110.54</v>
      </c>
      <c r="D848" s="8">
        <f t="shared" si="29"/>
        <v>0.00291769625546468</v>
      </c>
      <c r="E848" s="8">
        <v>0.005576737039776905</v>
      </c>
      <c r="F848" s="9"/>
      <c r="G848" s="9">
        <v>845.0</v>
      </c>
      <c r="H848" s="10">
        <f t="shared" si="30"/>
        <v>0.007016920881621144</v>
      </c>
      <c r="K848" s="7"/>
    </row>
    <row r="849" spans="8:8">
      <c r="B849" s="7" t="s">
        <v>9101</v>
      </c>
      <c r="C849" s="8">
        <v>2104.4</v>
      </c>
      <c r="D849" s="8">
        <f t="shared" si="29"/>
        <v>-0.002152740239172268</v>
      </c>
      <c r="E849" s="8">
        <v>0.005533675656812358</v>
      </c>
      <c r="F849" s="9"/>
      <c r="G849" s="9">
        <v>846.0</v>
      </c>
      <c r="H849" s="10">
        <f t="shared" si="30"/>
        <v>0.004208719882554368</v>
      </c>
      <c r="K849" s="7"/>
    </row>
    <row r="850" spans="8:8">
      <c r="B850" s="7" t="s">
        <v>9102</v>
      </c>
      <c r="C850" s="8">
        <v>2108.94</v>
      </c>
      <c r="D850" s="8">
        <f t="shared" si="29"/>
        <v>-0.009538569918985532</v>
      </c>
      <c r="E850" s="8">
        <v>0.005531729753247476</v>
      </c>
      <c r="F850" s="9"/>
      <c r="G850" s="9">
        <v>847.0</v>
      </c>
      <c r="H850" s="10">
        <f t="shared" si="30"/>
        <v>0.0022782764437606334</v>
      </c>
      <c r="K850" s="7"/>
    </row>
    <row r="851" spans="8:8">
      <c r="B851" s="7" t="s">
        <v>9103</v>
      </c>
      <c r="C851" s="8">
        <v>2129.25</v>
      </c>
      <c r="D851" s="8">
        <f t="shared" si="29"/>
        <v>-0.011623319051752533</v>
      </c>
      <c r="E851" s="8">
        <v>0.005510128393055793</v>
      </c>
      <c r="F851" s="9"/>
      <c r="G851" s="9">
        <v>848.0</v>
      </c>
      <c r="H851" s="10">
        <f t="shared" si="30"/>
        <v>0.0020907849249919867</v>
      </c>
      <c r="K851" s="7"/>
    </row>
    <row r="852" spans="8:8">
      <c r="B852" s="7" t="s">
        <v>9104</v>
      </c>
      <c r="C852" s="8">
        <v>2154.29</v>
      </c>
      <c r="D852" s="8">
        <f t="shared" si="29"/>
        <v>-0.016220585347587226</v>
      </c>
      <c r="E852" s="8">
        <v>0.0055021615634713965</v>
      </c>
      <c r="F852" s="9"/>
      <c r="G852" s="9">
        <v>849.0</v>
      </c>
      <c r="H852" s="10">
        <f t="shared" si="30"/>
        <v>-0.013090451340268264</v>
      </c>
      <c r="K852" s="7"/>
    </row>
    <row r="853" spans="8:8">
      <c r="B853" s="7" t="s">
        <v>9105</v>
      </c>
      <c r="C853" s="8">
        <v>2189.81</v>
      </c>
      <c r="D853" s="8">
        <f t="shared" si="29"/>
        <v>-0.015563537625369148</v>
      </c>
      <c r="E853" s="8">
        <v>0.005489510489510426</v>
      </c>
      <c r="F853" s="9"/>
      <c r="G853" s="9">
        <v>850.0</v>
      </c>
      <c r="H853" s="10">
        <f t="shared" si="30"/>
        <v>-3.177666358880069E-4</v>
      </c>
      <c r="K853" s="7"/>
    </row>
    <row r="854" spans="8:8">
      <c r="B854" s="7" t="s">
        <v>9106</v>
      </c>
      <c r="C854" s="8">
        <v>2224.43</v>
      </c>
      <c r="D854" s="8">
        <f t="shared" si="29"/>
        <v>0.0017743831316511468</v>
      </c>
      <c r="E854" s="8">
        <v>0.005488116831775351</v>
      </c>
      <c r="F854" s="9"/>
      <c r="G854" s="9">
        <v>851.0</v>
      </c>
      <c r="H854" s="10">
        <f t="shared" si="30"/>
        <v>0.011924493935089753</v>
      </c>
      <c r="K854" s="7"/>
    </row>
    <row r="855" spans="8:8">
      <c r="B855" s="7" t="s">
        <v>9107</v>
      </c>
      <c r="C855" s="8">
        <v>2220.49</v>
      </c>
      <c r="D855" s="8">
        <f t="shared" si="29"/>
        <v>-3.8265191280954905E-4</v>
      </c>
      <c r="E855" s="8">
        <v>0.00547932519409159</v>
      </c>
      <c r="F855" s="9"/>
      <c r="G855" s="9">
        <v>852.0</v>
      </c>
      <c r="H855" s="10">
        <f t="shared" si="30"/>
        <v>-0.008360961202111578</v>
      </c>
      <c r="K855" s="7"/>
    </row>
    <row r="856" spans="8:8">
      <c r="B856" s="7" t="s">
        <v>9108</v>
      </c>
      <c r="C856" s="8">
        <v>2221.34</v>
      </c>
      <c r="D856" s="8">
        <f t="shared" si="29"/>
        <v>0.022057605594920426</v>
      </c>
      <c r="E856" s="8">
        <v>0.005455841780588335</v>
      </c>
      <c r="F856" s="9"/>
      <c r="G856" s="9">
        <v>853.0</v>
      </c>
      <c r="H856" s="10">
        <f t="shared" si="30"/>
        <v>0.001369394052794487</v>
      </c>
      <c r="K856" s="7"/>
    </row>
    <row r="857" spans="8:8">
      <c r="B857" s="7" t="s">
        <v>9109</v>
      </c>
      <c r="C857" s="8">
        <v>2173.4</v>
      </c>
      <c r="D857" s="8">
        <f t="shared" si="29"/>
        <v>0.0014929774763152194</v>
      </c>
      <c r="E857" s="8">
        <v>0.005441494288360746</v>
      </c>
      <c r="F857" s="9"/>
      <c r="G857" s="9">
        <v>854.0</v>
      </c>
      <c r="H857" s="10">
        <f t="shared" si="30"/>
        <v>-0.003623882651447006</v>
      </c>
      <c r="K857" s="7"/>
    </row>
    <row r="858" spans="8:8">
      <c r="B858" s="7" t="s">
        <v>9110</v>
      </c>
      <c r="C858" s="8">
        <v>2170.16</v>
      </c>
      <c r="D858" s="8">
        <f t="shared" si="29"/>
        <v>-0.0075729860247310795</v>
      </c>
      <c r="E858" s="8">
        <v>0.005433594078560044</v>
      </c>
      <c r="F858" s="9"/>
      <c r="G858" s="9">
        <v>855.0</v>
      </c>
      <c r="H858" s="10">
        <f t="shared" si="30"/>
        <v>0.017484717552506704</v>
      </c>
      <c r="K858" s="7"/>
    </row>
    <row r="859" spans="8:8">
      <c r="B859" s="7" t="s">
        <v>9111</v>
      </c>
      <c r="C859" s="8">
        <v>2186.72</v>
      </c>
      <c r="D859" s="8">
        <f t="shared" si="29"/>
        <v>-0.005285806563134158</v>
      </c>
      <c r="E859" s="8">
        <v>0.005427710430792537</v>
      </c>
      <c r="F859" s="9"/>
      <c r="G859" s="9">
        <v>856.0</v>
      </c>
      <c r="H859" s="10">
        <f t="shared" si="30"/>
        <v>5.121782812434997E-4</v>
      </c>
      <c r="K859" s="7"/>
    </row>
    <row r="860" spans="8:8">
      <c r="B860" s="7" t="s">
        <v>9112</v>
      </c>
      <c r="C860" s="8">
        <v>2198.34</v>
      </c>
      <c r="D860" s="8">
        <f t="shared" si="29"/>
        <v>0.018230831225856715</v>
      </c>
      <c r="E860" s="8">
        <v>0.005416487382621704</v>
      </c>
      <c r="F860" s="9"/>
      <c r="G860" s="9">
        <v>857.0</v>
      </c>
      <c r="H860" s="10">
        <f t="shared" si="30"/>
        <v>0.004566550894991845</v>
      </c>
      <c r="K860" s="7"/>
    </row>
    <row r="861" spans="8:8">
      <c r="B861" s="7">
        <v>45201.0</v>
      </c>
      <c r="C861" s="8">
        <v>2158.98</v>
      </c>
      <c r="D861" s="8">
        <f t="shared" si="29"/>
        <v>0.007659026309525408</v>
      </c>
      <c r="E861" s="8">
        <v>0.005411563657077755</v>
      </c>
      <c r="F861" s="9"/>
      <c r="G861" s="9">
        <v>858.0</v>
      </c>
      <c r="H861" s="10">
        <f t="shared" si="30"/>
        <v>-0.015987609110368887</v>
      </c>
      <c r="K861" s="7"/>
    </row>
    <row r="862" spans="8:8">
      <c r="B862" s="7">
        <v>45171.0</v>
      </c>
      <c r="C862" s="8">
        <v>2142.57</v>
      </c>
      <c r="D862" s="8">
        <f t="shared" si="29"/>
        <v>0.007765538131567416</v>
      </c>
      <c r="E862" s="8">
        <v>0.00541043198917902</v>
      </c>
      <c r="F862" s="9"/>
      <c r="G862" s="9">
        <v>859.0</v>
      </c>
      <c r="H862" s="10">
        <f t="shared" si="30"/>
        <v>-0.009627144086477621</v>
      </c>
      <c r="K862" s="7"/>
    </row>
    <row r="863" spans="8:8">
      <c r="B863" s="7">
        <v>45140.0</v>
      </c>
      <c r="C863" s="8">
        <v>2126.06</v>
      </c>
      <c r="D863" s="8">
        <f t="shared" si="29"/>
        <v>-0.015908869993473473</v>
      </c>
      <c r="E863" s="8">
        <v>0.005385450597177021</v>
      </c>
      <c r="F863" s="9"/>
      <c r="G863" s="9">
        <v>860.0</v>
      </c>
      <c r="H863" s="10">
        <f t="shared" si="30"/>
        <v>0.006548079909656387</v>
      </c>
      <c r="K863" s="7"/>
    </row>
    <row r="864" spans="8:8">
      <c r="B864" s="7">
        <v>45109.0</v>
      </c>
      <c r="C864" s="8">
        <v>2160.43</v>
      </c>
      <c r="D864" s="8">
        <f t="shared" si="29"/>
        <v>0.0042672864613595984</v>
      </c>
      <c r="E864" s="8">
        <v>0.005374656728128606</v>
      </c>
      <c r="F864" s="9"/>
      <c r="G864" s="9">
        <v>861.0</v>
      </c>
      <c r="H864" s="10">
        <f t="shared" si="30"/>
        <v>0.013078186956805245</v>
      </c>
      <c r="K864" s="7"/>
    </row>
    <row r="865" spans="8:8">
      <c r="B865" s="7">
        <v>45079.0</v>
      </c>
      <c r="C865" s="8">
        <v>2151.25</v>
      </c>
      <c r="D865" s="8">
        <f t="shared" si="29"/>
        <v>-0.004824950964064911</v>
      </c>
      <c r="E865" s="8">
        <v>0.0053636839351125865</v>
      </c>
      <c r="F865" s="9"/>
      <c r="G865" s="9">
        <v>862.0</v>
      </c>
      <c r="H865" s="10">
        <f t="shared" si="30"/>
        <v>-0.017567482300961487</v>
      </c>
      <c r="K865" s="7"/>
    </row>
    <row r="866" spans="8:8">
      <c r="B866" s="7">
        <v>44987.0</v>
      </c>
      <c r="C866" s="8">
        <v>2161.68</v>
      </c>
      <c r="D866" s="8">
        <f t="shared" si="29"/>
        <v>0.010097800539234545</v>
      </c>
      <c r="E866" s="8">
        <v>0.0053435751857728074</v>
      </c>
      <c r="F866" s="9"/>
      <c r="G866" s="9">
        <v>863.0</v>
      </c>
      <c r="H866" s="10">
        <f t="shared" si="30"/>
        <v>0.0035616875332026296</v>
      </c>
      <c r="K866" s="7"/>
    </row>
    <row r="867" spans="8:8">
      <c r="B867" s="7">
        <v>44959.0</v>
      </c>
      <c r="C867" s="8">
        <v>2140.07</v>
      </c>
      <c r="D867" s="8">
        <f t="shared" si="29"/>
        <v>-3.03636159796534E-4</v>
      </c>
      <c r="E867" s="8">
        <v>0.0053421348123446925</v>
      </c>
      <c r="F867" s="9"/>
      <c r="G867" s="9">
        <v>864.0</v>
      </c>
      <c r="H867" s="10">
        <f t="shared" si="30"/>
        <v>-0.004228272518230392</v>
      </c>
      <c r="K867" s="7"/>
    </row>
    <row r="868" spans="8:8">
      <c r="B868" s="7">
        <v>44928.0</v>
      </c>
      <c r="C868" s="8">
        <v>2140.72</v>
      </c>
      <c r="D868" s="8">
        <f t="shared" si="29"/>
        <v>0.009954614506373742</v>
      </c>
      <c r="E868" s="8">
        <v>0.00532000128192799</v>
      </c>
      <c r="F868" s="9"/>
      <c r="G868" s="9">
        <v>865.0</v>
      </c>
      <c r="H868" s="10">
        <f t="shared" si="30"/>
        <v>0.0351354909090713</v>
      </c>
      <c r="K868" s="7"/>
    </row>
    <row r="869" spans="8:8">
      <c r="B869" s="7" t="s">
        <v>9113</v>
      </c>
      <c r="C869" s="8">
        <v>2119.62</v>
      </c>
      <c r="D869" s="8">
        <f t="shared" si="29"/>
        <v>0.005440789317648079</v>
      </c>
      <c r="E869" s="8">
        <v>0.005316007088009316</v>
      </c>
      <c r="F869" s="9"/>
      <c r="G869" s="9">
        <v>866.0</v>
      </c>
      <c r="H869" s="10">
        <f t="shared" si="30"/>
        <v>-0.0033536742288051086</v>
      </c>
      <c r="K869" s="7"/>
    </row>
    <row r="870" spans="8:8">
      <c r="B870" s="7" t="s">
        <v>9114</v>
      </c>
      <c r="C870" s="8">
        <v>2108.15</v>
      </c>
      <c r="D870" s="8">
        <f t="shared" si="29"/>
        <v>-0.021735599701158563</v>
      </c>
      <c r="E870" s="8">
        <v>0.005314239780880618</v>
      </c>
      <c r="F870" s="9"/>
      <c r="G870" s="9">
        <v>867.0</v>
      </c>
      <c r="H870" s="10">
        <f t="shared" si="30"/>
        <v>0.021537329250570843</v>
      </c>
      <c r="K870" s="7"/>
    </row>
    <row r="871" spans="8:8">
      <c r="B871" s="7" t="s">
        <v>9115</v>
      </c>
      <c r="C871" s="8">
        <v>2154.99</v>
      </c>
      <c r="D871" s="8">
        <f t="shared" si="29"/>
        <v>-0.00683009111396858</v>
      </c>
      <c r="E871" s="8">
        <v>0.005306898968659287</v>
      </c>
      <c r="F871" s="9"/>
      <c r="G871" s="9">
        <v>868.0</v>
      </c>
      <c r="H871" s="10">
        <f t="shared" si="30"/>
        <v>7.583038884499149E-4</v>
      </c>
      <c r="K871" s="7"/>
    </row>
    <row r="872" spans="8:8">
      <c r="B872" s="7" t="s">
        <v>9116</v>
      </c>
      <c r="C872" s="8">
        <v>2169.81</v>
      </c>
      <c r="D872" s="8">
        <f t="shared" si="29"/>
        <v>-0.014855643282951992</v>
      </c>
      <c r="E872" s="8">
        <v>0.005306319343946004</v>
      </c>
      <c r="F872" s="9"/>
      <c r="G872" s="9">
        <v>869.0</v>
      </c>
      <c r="H872" s="10">
        <f t="shared" si="30"/>
        <v>0.01207890737142948</v>
      </c>
      <c r="K872" s="7"/>
    </row>
    <row r="873" spans="8:8">
      <c r="B873" s="7" t="s">
        <v>9117</v>
      </c>
      <c r="C873" s="8">
        <v>2202.53</v>
      </c>
      <c r="D873" s="8">
        <f t="shared" si="29"/>
        <v>-0.011644708500861491</v>
      </c>
      <c r="E873" s="8">
        <v>0.0053034254912188395</v>
      </c>
      <c r="F873" s="9"/>
      <c r="G873" s="9">
        <v>870.0</v>
      </c>
      <c r="H873" s="10">
        <f t="shared" si="30"/>
        <v>0.009835039955840133</v>
      </c>
      <c r="K873" s="7"/>
    </row>
    <row r="874" spans="8:8">
      <c r="B874" s="7" t="s">
        <v>9118</v>
      </c>
      <c r="C874" s="8">
        <v>2228.48</v>
      </c>
      <c r="D874" s="8">
        <f t="shared" si="29"/>
        <v>-0.007309935007951327</v>
      </c>
      <c r="E874" s="8">
        <v>0.005288361440766112</v>
      </c>
      <c r="F874" s="9"/>
      <c r="G874" s="9">
        <v>871.0</v>
      </c>
      <c r="H874" s="10">
        <f t="shared" si="30"/>
        <v>-0.010905528938316283</v>
      </c>
      <c r="K874" s="7"/>
    </row>
    <row r="875" spans="8:8">
      <c r="B875" s="7" t="s">
        <v>9119</v>
      </c>
      <c r="C875" s="8">
        <v>2244.89</v>
      </c>
      <c r="D875" s="8">
        <f t="shared" si="29"/>
        <v>-0.010185230093607075</v>
      </c>
      <c r="E875" s="8">
        <v>0.005270740363329703</v>
      </c>
      <c r="F875" s="9"/>
      <c r="G875" s="9">
        <v>872.0</v>
      </c>
      <c r="H875" s="10">
        <f t="shared" si="30"/>
        <v>-0.006399249369168916</v>
      </c>
      <c r="K875" s="7"/>
    </row>
    <row r="876" spans="8:8">
      <c r="B876" s="7" t="s">
        <v>9120</v>
      </c>
      <c r="C876" s="8">
        <v>2267.99</v>
      </c>
      <c r="D876" s="8">
        <f t="shared" si="29"/>
        <v>0.0029141239939858895</v>
      </c>
      <c r="E876" s="8">
        <v>0.005254833040421729</v>
      </c>
      <c r="F876" s="9"/>
      <c r="G876" s="9">
        <v>873.0</v>
      </c>
      <c r="H876" s="10">
        <f t="shared" si="30"/>
        <v>0.004202872326848308</v>
      </c>
      <c r="K876" s="7"/>
    </row>
    <row r="877" spans="8:8">
      <c r="B877" s="7" t="s">
        <v>9121</v>
      </c>
      <c r="C877" s="8">
        <v>2261.4</v>
      </c>
      <c r="D877" s="8">
        <f t="shared" si="29"/>
        <v>0.02412912341720568</v>
      </c>
      <c r="E877" s="8">
        <v>0.0052203538850423125</v>
      </c>
      <c r="F877" s="9"/>
      <c r="G877" s="9">
        <v>874.0</v>
      </c>
      <c r="H877" s="10">
        <f t="shared" si="30"/>
        <v>-0.00890277480767809</v>
      </c>
      <c r="K877" s="7"/>
    </row>
    <row r="878" spans="8:8">
      <c r="B878" s="7" t="s">
        <v>9122</v>
      </c>
      <c r="C878" s="8">
        <v>2208.12</v>
      </c>
      <c r="D878" s="8">
        <f t="shared" si="29"/>
        <v>0.03551414140940448</v>
      </c>
      <c r="E878" s="8">
        <v>0.0052201012855473666</v>
      </c>
      <c r="F878" s="9"/>
      <c r="G878" s="9">
        <v>875.0</v>
      </c>
      <c r="H878" s="10">
        <f t="shared" si="30"/>
        <v>-0.004733622362648776</v>
      </c>
      <c r="K878" s="7"/>
    </row>
    <row r="879" spans="8:8">
      <c r="B879" s="7" t="s">
        <v>9123</v>
      </c>
      <c r="C879" s="8">
        <v>2132.39</v>
      </c>
      <c r="D879" s="8">
        <f t="shared" si="29"/>
        <v>-0.007521351609224969</v>
      </c>
      <c r="E879" s="8">
        <v>0.005217118424665487</v>
      </c>
      <c r="F879" s="9"/>
      <c r="G879" s="9">
        <v>876.0</v>
      </c>
      <c r="H879" s="10">
        <f t="shared" si="30"/>
        <v>0.006029043585282395</v>
      </c>
      <c r="K879" s="7"/>
    </row>
    <row r="880" spans="8:8">
      <c r="B880" s="7" t="s">
        <v>9124</v>
      </c>
      <c r="C880" s="8">
        <v>2148.55</v>
      </c>
      <c r="D880" s="8">
        <f t="shared" si="29"/>
        <v>-0.0029421455387512547</v>
      </c>
      <c r="E880" s="8">
        <v>0.005207585117080879</v>
      </c>
      <c r="F880" s="9"/>
      <c r="G880" s="9">
        <v>877.0</v>
      </c>
      <c r="H880" s="10">
        <f t="shared" si="30"/>
        <v>0.006310341346527299</v>
      </c>
      <c r="K880" s="7"/>
    </row>
    <row r="881" spans="8:8">
      <c r="B881" s="7">
        <v>45261.0</v>
      </c>
      <c r="C881" s="8">
        <v>2154.89</v>
      </c>
      <c r="D881" s="8">
        <f t="shared" si="29"/>
        <v>0.01618432779865777</v>
      </c>
      <c r="E881" s="8">
        <v>0.005202620996091004</v>
      </c>
      <c r="F881" s="9"/>
      <c r="G881" s="9">
        <v>878.0</v>
      </c>
      <c r="H881" s="10">
        <f t="shared" si="30"/>
        <v>-0.007187891998160545</v>
      </c>
      <c r="K881" s="7"/>
    </row>
    <row r="882" spans="8:8">
      <c r="B882" s="7">
        <v>45231.0</v>
      </c>
      <c r="C882" s="8">
        <v>2120.57</v>
      </c>
      <c r="D882" s="8">
        <f t="shared" si="29"/>
        <v>0.008877639860888577</v>
      </c>
      <c r="E882" s="8">
        <v>0.005202124200715325</v>
      </c>
      <c r="F882" s="9"/>
      <c r="G882" s="9">
        <v>879.0</v>
      </c>
      <c r="H882" s="10">
        <f t="shared" si="30"/>
        <v>-0.001610986303938626</v>
      </c>
      <c r="K882" s="7"/>
    </row>
    <row r="883" spans="8:8">
      <c r="B883" s="7">
        <v>45200.0</v>
      </c>
      <c r="C883" s="8">
        <v>2101.91</v>
      </c>
      <c r="D883" s="8">
        <f t="shared" si="29"/>
        <v>-0.0070951802846574916</v>
      </c>
      <c r="E883" s="8">
        <v>0.005194656924306506</v>
      </c>
      <c r="F883" s="9"/>
      <c r="G883" s="9">
        <v>880.0</v>
      </c>
      <c r="H883" s="10">
        <f t="shared" si="30"/>
        <v>-0.007653767575373651</v>
      </c>
      <c r="K883" s="7"/>
    </row>
    <row r="884" spans="8:8">
      <c r="B884" s="7">
        <v>45170.0</v>
      </c>
      <c r="C884" s="8">
        <v>2116.93</v>
      </c>
      <c r="D884" s="8">
        <f t="shared" si="29"/>
        <v>0.016850397483007866</v>
      </c>
      <c r="E884" s="8">
        <v>0.005192107995846313</v>
      </c>
      <c r="F884" s="9"/>
      <c r="G884" s="9">
        <v>881.0</v>
      </c>
      <c r="H884" s="10">
        <f t="shared" si="30"/>
        <v>0.007649703824683359</v>
      </c>
      <c r="K884" s="7"/>
    </row>
    <row r="885" spans="8:8">
      <c r="B885" s="7">
        <v>45078.0</v>
      </c>
      <c r="C885" s="8">
        <v>2081.85</v>
      </c>
      <c r="D885" s="8">
        <f t="shared" si="29"/>
        <v>-3.841259933258982E-4</v>
      </c>
      <c r="E885" s="8">
        <v>0.005181347150259171</v>
      </c>
      <c r="F885" s="9"/>
      <c r="G885" s="9">
        <v>882.0</v>
      </c>
      <c r="H885" s="10">
        <f t="shared" si="30"/>
        <v>-0.003087134036340095</v>
      </c>
      <c r="K885" s="7"/>
    </row>
    <row r="886" spans="8:8">
      <c r="B886" s="7">
        <v>45047.0</v>
      </c>
      <c r="C886" s="8">
        <v>2082.65</v>
      </c>
      <c r="D886" s="8">
        <f t="shared" si="29"/>
        <v>0.008112726234213932</v>
      </c>
      <c r="E886" s="8">
        <v>0.005154085686674573</v>
      </c>
      <c r="F886" s="9"/>
      <c r="G886" s="9">
        <v>883.0</v>
      </c>
      <c r="H886" s="10">
        <f t="shared" si="30"/>
        <v>0.0044824831355914875</v>
      </c>
      <c r="K886" s="7"/>
    </row>
    <row r="887" spans="8:8">
      <c r="B887" s="7">
        <v>45017.0</v>
      </c>
      <c r="C887" s="8">
        <v>2065.89</v>
      </c>
      <c r="D887" s="8">
        <f t="shared" si="29"/>
        <v>-0.008808924073407762</v>
      </c>
      <c r="E887" s="8">
        <v>0.005152462201199348</v>
      </c>
      <c r="F887" s="9"/>
      <c r="G887" s="9">
        <v>884.0</v>
      </c>
      <c r="H887" s="10">
        <f t="shared" si="30"/>
        <v>0.010785960488424753</v>
      </c>
      <c r="K887" s="7"/>
    </row>
    <row r="888" spans="8:8">
      <c r="B888" s="7">
        <v>44986.0</v>
      </c>
      <c r="C888" s="8">
        <v>2084.25</v>
      </c>
      <c r="D888" s="8">
        <f t="shared" si="29"/>
        <v>-2.398369109005876E-4</v>
      </c>
      <c r="E888" s="8">
        <v>0.005114794446794495</v>
      </c>
      <c r="F888" s="9"/>
      <c r="G888" s="9">
        <v>885.0</v>
      </c>
      <c r="H888" s="10">
        <f t="shared" si="30"/>
        <v>-0.010468938627794074</v>
      </c>
      <c r="K888" s="7"/>
    </row>
    <row r="889" spans="8:8">
      <c r="B889" s="7">
        <v>44958.0</v>
      </c>
      <c r="C889" s="8">
        <v>2084.75</v>
      </c>
      <c r="D889" s="8">
        <f t="shared" si="29"/>
        <v>0.0017490666038795992</v>
      </c>
      <c r="E889" s="8">
        <v>0.005111603339580848</v>
      </c>
      <c r="F889" s="9"/>
      <c r="G889" s="9">
        <v>886.0</v>
      </c>
      <c r="H889" s="10">
        <f t="shared" si="30"/>
        <v>1.1691022057674482E-4</v>
      </c>
      <c r="K889" s="7"/>
    </row>
    <row r="890" spans="8:8">
      <c r="B890" s="7" t="s">
        <v>9125</v>
      </c>
      <c r="C890" s="8">
        <v>2081.11</v>
      </c>
      <c r="D890" s="8">
        <f t="shared" si="29"/>
        <v>-0.011888991762220146</v>
      </c>
      <c r="E890" s="8">
        <v>0.00509720906913269</v>
      </c>
      <c r="F890" s="9"/>
      <c r="G890" s="9">
        <v>887.0</v>
      </c>
      <c r="H890" s="10">
        <f t="shared" si="30"/>
        <v>0.002952553854579667</v>
      </c>
      <c r="K890" s="7"/>
    </row>
    <row r="891" spans="8:8">
      <c r="B891" s="7" t="s">
        <v>9126</v>
      </c>
      <c r="C891" s="8">
        <v>2106.15</v>
      </c>
      <c r="D891" s="8">
        <f t="shared" si="29"/>
        <v>-0.004810213908038839</v>
      </c>
      <c r="E891" s="8">
        <v>0.005091116715040119</v>
      </c>
      <c r="F891" s="9"/>
      <c r="G891" s="9">
        <v>888.0</v>
      </c>
      <c r="H891" s="10">
        <f t="shared" si="30"/>
        <v>4.4487974170846637E-4</v>
      </c>
      <c r="K891" s="7"/>
    </row>
    <row r="892" spans="8:8">
      <c r="B892" s="7" t="s">
        <v>9127</v>
      </c>
      <c r="C892" s="8">
        <v>2116.33</v>
      </c>
      <c r="D892" s="8">
        <f t="shared" si="29"/>
        <v>-0.0014108298888323785</v>
      </c>
      <c r="E892" s="8">
        <v>0.0050840456293095235</v>
      </c>
      <c r="F892" s="9"/>
      <c r="G892" s="9">
        <v>889.0</v>
      </c>
      <c r="H892" s="10">
        <f t="shared" si="30"/>
        <v>0.002545130239075288</v>
      </c>
      <c r="K892" s="7"/>
    </row>
    <row r="893" spans="8:8">
      <c r="B893" s="7" t="s">
        <v>9128</v>
      </c>
      <c r="C893" s="8">
        <v>2119.32</v>
      </c>
      <c r="D893" s="8">
        <f t="shared" si="29"/>
        <v>0.015807586491175942</v>
      </c>
      <c r="E893" s="8">
        <v>0.005064715813168191</v>
      </c>
      <c r="F893" s="9"/>
      <c r="G893" s="9">
        <v>890.0</v>
      </c>
      <c r="H893" s="10">
        <f t="shared" si="30"/>
        <v>0.018192220648139235</v>
      </c>
      <c r="K893" s="7"/>
    </row>
    <row r="894" spans="8:8">
      <c r="B894" s="7" t="s">
        <v>9129</v>
      </c>
      <c r="C894" s="8">
        <v>2086.34</v>
      </c>
      <c r="D894" s="8">
        <f t="shared" si="29"/>
        <v>0.013716468021631505</v>
      </c>
      <c r="E894" s="8">
        <v>0.00506329113924048</v>
      </c>
      <c r="F894" s="9"/>
      <c r="G894" s="9">
        <v>891.0</v>
      </c>
      <c r="H894" s="10">
        <f t="shared" si="30"/>
        <v>-0.006061375481833169</v>
      </c>
      <c r="K894" s="7"/>
    </row>
    <row r="895" spans="8:8">
      <c r="B895" s="7" t="s">
        <v>9130</v>
      </c>
      <c r="C895" s="8">
        <v>2058.11</v>
      </c>
      <c r="D895" s="8">
        <f t="shared" si="29"/>
        <v>-0.022368421052631433</v>
      </c>
      <c r="E895" s="8">
        <v>0.005058502683205771</v>
      </c>
      <c r="F895" s="9"/>
      <c r="G895" s="9">
        <v>892.0</v>
      </c>
      <c r="H895" s="10">
        <f t="shared" si="30"/>
        <v>0.03450619487828347</v>
      </c>
      <c r="K895" s="7"/>
    </row>
    <row r="896" spans="8:8">
      <c r="B896" s="7" t="s">
        <v>9131</v>
      </c>
      <c r="C896" s="8">
        <v>2105.2</v>
      </c>
      <c r="D896" s="8">
        <f t="shared" si="29"/>
        <v>-0.016936963861272858</v>
      </c>
      <c r="E896" s="8">
        <v>0.0050439168623358155</v>
      </c>
      <c r="F896" s="9"/>
      <c r="G896" s="9">
        <v>893.0</v>
      </c>
      <c r="H896" s="10">
        <f t="shared" si="30"/>
        <v>-1.9043993360932107E-4</v>
      </c>
      <c r="K896" s="7"/>
    </row>
    <row r="897" spans="8:8">
      <c r="B897" s="7" t="s">
        <v>9132</v>
      </c>
      <c r="C897" s="8">
        <v>2141.47</v>
      </c>
      <c r="D897" s="8">
        <f t="shared" si="29"/>
        <v>-0.00783457963843267</v>
      </c>
      <c r="E897" s="8">
        <v>0.005030642676891787</v>
      </c>
      <c r="F897" s="9"/>
      <c r="G897" s="9">
        <v>894.0</v>
      </c>
      <c r="H897" s="10">
        <f t="shared" si="30"/>
        <v>0.005669445384887803</v>
      </c>
      <c r="K897" s="7"/>
    </row>
    <row r="898" spans="8:8">
      <c r="B898" s="7" t="s">
        <v>9133</v>
      </c>
      <c r="C898" s="8">
        <v>2158.38</v>
      </c>
      <c r="D898" s="8">
        <f t="shared" si="29"/>
        <v>-0.009503967252385186</v>
      </c>
      <c r="E898" s="8">
        <v>0.0050263534503822435</v>
      </c>
      <c r="F898" s="9"/>
      <c r="G898" s="9">
        <v>895.0</v>
      </c>
      <c r="H898" s="10">
        <f t="shared" si="30"/>
        <v>0.008340438276456481</v>
      </c>
      <c r="K898" s="7"/>
    </row>
    <row r="899" spans="8:8">
      <c r="B899" s="7" t="s">
        <v>9134</v>
      </c>
      <c r="C899" s="8">
        <v>2179.09</v>
      </c>
      <c r="D899" s="8">
        <f t="shared" si="29"/>
        <v>0.004138039085576316</v>
      </c>
      <c r="E899" s="8">
        <v>0.0050127479365627715</v>
      </c>
      <c r="F899" s="9"/>
      <c r="G899" s="9">
        <v>896.0</v>
      </c>
      <c r="H899" s="10">
        <f t="shared" si="30"/>
        <v>0.006906214704947913</v>
      </c>
      <c r="K899" s="7"/>
    </row>
    <row r="900" spans="8:8">
      <c r="B900" s="7" t="s">
        <v>9135</v>
      </c>
      <c r="C900" s="8">
        <v>2170.11</v>
      </c>
      <c r="D900" s="8">
        <f t="shared" si="31" ref="D900:D963">(C900-C901)/C901</f>
        <v>-0.001169079235035539</v>
      </c>
      <c r="E900" s="8">
        <v>0.005004121040857176</v>
      </c>
      <c r="F900" s="9"/>
      <c r="G900" s="9">
        <v>897.0</v>
      </c>
      <c r="H900" s="10">
        <f t="shared" si="30"/>
        <v>-0.0027786179591804206</v>
      </c>
      <c r="K900" s="7"/>
    </row>
    <row r="901" spans="8:8">
      <c r="B901" s="7" t="s">
        <v>9136</v>
      </c>
      <c r="C901" s="8">
        <v>2172.65</v>
      </c>
      <c r="D901" s="8">
        <f t="shared" si="31"/>
        <v>-0.008153352415647555</v>
      </c>
      <c r="E901" s="8">
        <v>0.004996117881375865</v>
      </c>
      <c r="F901" s="9"/>
      <c r="G901" s="9">
        <v>898.0</v>
      </c>
      <c r="H901" s="10">
        <f t="shared" si="32" ref="H901:H964">_xlfn.NORM.INV(RAND(),N$6,N$7)</f>
        <v>0.010463127040396307</v>
      </c>
      <c r="K901" s="7"/>
    </row>
    <row r="902" spans="8:8">
      <c r="B902" s="7" t="s">
        <v>9137</v>
      </c>
      <c r="C902" s="8">
        <v>2190.51</v>
      </c>
      <c r="D902" s="8">
        <f t="shared" si="31"/>
        <v>0.010378180912449665</v>
      </c>
      <c r="E902" s="8">
        <v>0.004964728993660181</v>
      </c>
      <c r="F902" s="9"/>
      <c r="G902" s="9">
        <v>899.0</v>
      </c>
      <c r="H902" s="10">
        <f t="shared" si="32"/>
        <v>0.006891318563876234</v>
      </c>
      <c r="K902" s="7"/>
    </row>
    <row r="903" spans="8:8">
      <c r="B903" s="7" t="s">
        <v>9138</v>
      </c>
      <c r="C903" s="8">
        <v>2168.01</v>
      </c>
      <c r="D903" s="8">
        <f t="shared" si="31"/>
        <v>0.004252303330971078</v>
      </c>
      <c r="E903" s="8">
        <v>0.004962118840398336</v>
      </c>
      <c r="F903" s="9"/>
      <c r="G903" s="9">
        <v>900.0</v>
      </c>
      <c r="H903" s="10">
        <f t="shared" si="32"/>
        <v>0.010069099143544969</v>
      </c>
      <c r="K903" s="7"/>
    </row>
    <row r="904" spans="8:8">
      <c r="B904" s="7">
        <v>44907.0</v>
      </c>
      <c r="C904" s="8">
        <v>2158.83</v>
      </c>
      <c r="D904" s="8">
        <f t="shared" si="31"/>
        <v>0.004480737018425511</v>
      </c>
      <c r="E904" s="8">
        <v>0.004954643156399107</v>
      </c>
      <c r="F904" s="9"/>
      <c r="G904" s="9">
        <v>901.0</v>
      </c>
      <c r="H904" s="10">
        <f t="shared" si="32"/>
        <v>-0.003190431962084193</v>
      </c>
      <c r="K904" s="7"/>
    </row>
    <row r="905" spans="8:8">
      <c r="B905" s="7">
        <v>44816.0</v>
      </c>
      <c r="C905" s="8">
        <v>2149.2</v>
      </c>
      <c r="D905" s="8">
        <f t="shared" si="31"/>
        <v>-0.00629733403611967</v>
      </c>
      <c r="E905" s="8">
        <v>0.0049504950495049506</v>
      </c>
      <c r="F905" s="9"/>
      <c r="G905" s="9">
        <v>902.0</v>
      </c>
      <c r="H905" s="10">
        <f t="shared" si="32"/>
        <v>0.031804371424587446</v>
      </c>
      <c r="K905" s="7"/>
    </row>
    <row r="906" spans="8:8">
      <c r="B906" s="7">
        <v>44785.0</v>
      </c>
      <c r="C906" s="8">
        <v>2162.82</v>
      </c>
      <c r="D906" s="8">
        <f t="shared" si="31"/>
        <v>0.020573607270599734</v>
      </c>
      <c r="E906" s="8">
        <v>0.004934589783400632</v>
      </c>
      <c r="F906" s="9"/>
      <c r="G906" s="9">
        <v>903.0</v>
      </c>
      <c r="H906" s="10">
        <f t="shared" si="32"/>
        <v>0.009083333399558228</v>
      </c>
      <c r="K906" s="7"/>
    </row>
    <row r="907" spans="8:8">
      <c r="B907" s="7">
        <v>44754.0</v>
      </c>
      <c r="C907" s="8">
        <v>2119.22</v>
      </c>
      <c r="D907" s="8">
        <f t="shared" si="31"/>
        <v>0.014568242858305448</v>
      </c>
      <c r="E907" s="8">
        <v>0.004908326546783215</v>
      </c>
      <c r="F907" s="9"/>
      <c r="G907" s="9">
        <v>904.0</v>
      </c>
      <c r="H907" s="10">
        <f t="shared" si="32"/>
        <v>0.013938450156712044</v>
      </c>
      <c r="K907" s="7"/>
    </row>
    <row r="908" spans="8:8">
      <c r="B908" s="7">
        <v>44724.0</v>
      </c>
      <c r="C908" s="8">
        <v>2088.79</v>
      </c>
      <c r="D908" s="8">
        <f t="shared" si="31"/>
        <v>0.0037868048113566225</v>
      </c>
      <c r="E908" s="8">
        <v>0.004904966278356739</v>
      </c>
      <c r="F908" s="9"/>
      <c r="G908" s="9">
        <v>905.0</v>
      </c>
      <c r="H908" s="10">
        <f t="shared" si="32"/>
        <v>-0.02106411963626486</v>
      </c>
      <c r="K908" s="7"/>
    </row>
    <row r="909" spans="8:8">
      <c r="B909" s="7">
        <v>44693.0</v>
      </c>
      <c r="C909" s="8">
        <v>2080.91</v>
      </c>
      <c r="D909" s="8">
        <f t="shared" si="31"/>
        <v>4.805820810160902E-5</v>
      </c>
      <c r="E909" s="8">
        <v>0.004902467476853534</v>
      </c>
      <c r="F909" s="9"/>
      <c r="G909" s="9">
        <v>906.0</v>
      </c>
      <c r="H909" s="10">
        <f t="shared" si="32"/>
        <v>-0.009257141018601516</v>
      </c>
      <c r="K909" s="7"/>
    </row>
    <row r="910" spans="8:8">
      <c r="B910" s="7">
        <v>44604.0</v>
      </c>
      <c r="C910" s="8">
        <v>2080.81</v>
      </c>
      <c r="D910" s="8">
        <f t="shared" si="31"/>
        <v>-0.008906840167467777</v>
      </c>
      <c r="E910" s="8">
        <v>0.004886623308138545</v>
      </c>
      <c r="F910" s="9"/>
      <c r="G910" s="9">
        <v>907.0</v>
      </c>
      <c r="H910" s="10">
        <f t="shared" si="32"/>
        <v>0.030383144181228477</v>
      </c>
      <c r="K910" s="7"/>
    </row>
    <row r="911" spans="8:8">
      <c r="B911" s="7">
        <v>44573.0</v>
      </c>
      <c r="C911" s="8">
        <v>2099.51</v>
      </c>
      <c r="D911" s="8">
        <f t="shared" si="31"/>
        <v>0.014167850138635474</v>
      </c>
      <c r="E911" s="8">
        <v>0.004885557488957271</v>
      </c>
      <c r="F911" s="9"/>
      <c r="G911" s="9">
        <v>908.0</v>
      </c>
      <c r="H911" s="10">
        <f t="shared" si="32"/>
        <v>-0.013994444847366474</v>
      </c>
      <c r="K911" s="7"/>
    </row>
    <row r="912" spans="8:8">
      <c r="B912" s="7" t="s">
        <v>9139</v>
      </c>
      <c r="C912" s="8">
        <v>2070.18</v>
      </c>
      <c r="D912" s="8">
        <f t="shared" si="31"/>
        <v>0.01184785477579977</v>
      </c>
      <c r="E912" s="8">
        <v>0.004875741367390618</v>
      </c>
      <c r="F912" s="9"/>
      <c r="G912" s="9">
        <v>909.0</v>
      </c>
      <c r="H912" s="10">
        <f t="shared" si="32"/>
        <v>0.006051417729090691</v>
      </c>
      <c r="K912" s="7"/>
    </row>
    <row r="913" spans="8:8">
      <c r="B913" s="7" t="s">
        <v>9140</v>
      </c>
      <c r="C913" s="8">
        <v>2045.94</v>
      </c>
      <c r="D913" s="8">
        <f t="shared" si="31"/>
        <v>-0.006728808622196391</v>
      </c>
      <c r="E913" s="8">
        <v>0.004873392282958108</v>
      </c>
      <c r="F913" s="9"/>
      <c r="G913" s="9">
        <v>910.0</v>
      </c>
      <c r="H913" s="10">
        <f t="shared" si="32"/>
        <v>0.02234335655976102</v>
      </c>
      <c r="K913" s="7"/>
    </row>
    <row r="914" spans="8:8">
      <c r="B914" s="7" t="s">
        <v>9141</v>
      </c>
      <c r="C914" s="8">
        <v>2059.8</v>
      </c>
      <c r="D914" s="8">
        <f t="shared" si="31"/>
        <v>8.211417271185964E-4</v>
      </c>
      <c r="E914" s="8">
        <v>0.004849438054982053</v>
      </c>
      <c r="F914" s="9"/>
      <c r="G914" s="9">
        <v>911.0</v>
      </c>
      <c r="H914" s="10">
        <f t="shared" si="32"/>
        <v>-0.008189970567597495</v>
      </c>
      <c r="K914" s="7"/>
    </row>
    <row r="915" spans="8:8">
      <c r="B915" s="7" t="s">
        <v>9142</v>
      </c>
      <c r="C915" s="8">
        <v>2058.11</v>
      </c>
      <c r="D915" s="8">
        <f t="shared" si="31"/>
        <v>0.005142656208792917</v>
      </c>
      <c r="E915" s="8">
        <v>0.0048453006421482515</v>
      </c>
      <c r="F915" s="9"/>
      <c r="G915" s="9">
        <v>912.0</v>
      </c>
      <c r="H915" s="10">
        <f t="shared" si="32"/>
        <v>0.0029729334820062076</v>
      </c>
      <c r="K915" s="7"/>
    </row>
    <row r="916" spans="8:8">
      <c r="B916" s="7" t="s">
        <v>9143</v>
      </c>
      <c r="C916" s="8">
        <v>2047.58</v>
      </c>
      <c r="D916" s="8">
        <f t="shared" si="31"/>
        <v>0.01343271762586361</v>
      </c>
      <c r="E916" s="8">
        <v>0.004840388199133571</v>
      </c>
      <c r="F916" s="9"/>
      <c r="G916" s="9">
        <v>913.0</v>
      </c>
      <c r="H916" s="10">
        <f t="shared" si="32"/>
        <v>-0.003593667265176702</v>
      </c>
      <c r="K916" s="7"/>
    </row>
    <row r="917" spans="8:8">
      <c r="B917" s="7" t="s">
        <v>9144</v>
      </c>
      <c r="C917" s="8">
        <v>2020.44</v>
      </c>
      <c r="D917" s="8">
        <f t="shared" si="31"/>
        <v>-0.002365163462915305</v>
      </c>
      <c r="E917" s="8">
        <v>0.004839890700623194</v>
      </c>
      <c r="F917" s="9"/>
      <c r="G917" s="9">
        <v>914.0</v>
      </c>
      <c r="H917" s="10">
        <f t="shared" si="32"/>
        <v>0.00439446059840886</v>
      </c>
      <c r="K917" s="7"/>
    </row>
    <row r="918" spans="8:8">
      <c r="B918" s="7" t="s">
        <v>9145</v>
      </c>
      <c r="C918" s="8">
        <v>2025.23</v>
      </c>
      <c r="D918" s="8">
        <f t="shared" si="31"/>
        <v>0.009123432922089543</v>
      </c>
      <c r="E918" s="8">
        <v>0.004829146035821177</v>
      </c>
      <c r="F918" s="9"/>
      <c r="G918" s="9">
        <v>915.0</v>
      </c>
      <c r="H918" s="10">
        <f t="shared" si="32"/>
        <v>0.017032528148253574</v>
      </c>
      <c r="K918" s="7"/>
    </row>
    <row r="919" spans="8:8">
      <c r="B919" s="7" t="s">
        <v>9146</v>
      </c>
      <c r="C919" s="8">
        <v>2006.92</v>
      </c>
      <c r="D919" s="8">
        <f t="shared" si="31"/>
        <v>-0.006426060696074072</v>
      </c>
      <c r="E919" s="8">
        <v>0.004814655341136017</v>
      </c>
      <c r="F919" s="9"/>
      <c r="G919" s="9">
        <v>916.0</v>
      </c>
      <c r="H919" s="10">
        <f t="shared" si="32"/>
        <v>0.013845438072102353</v>
      </c>
      <c r="K919" s="7"/>
    </row>
    <row r="920" spans="8:8">
      <c r="B920" s="7" t="s">
        <v>9147</v>
      </c>
      <c r="C920" s="8">
        <v>2019.9</v>
      </c>
      <c r="D920" s="8">
        <f t="shared" si="31"/>
        <v>-0.0025086667522641838</v>
      </c>
      <c r="E920" s="8">
        <v>0.004807487768559958</v>
      </c>
      <c r="F920" s="9"/>
      <c r="G920" s="9">
        <v>917.0</v>
      </c>
      <c r="H920" s="10">
        <f t="shared" si="32"/>
        <v>0.010905434847605373</v>
      </c>
      <c r="K920" s="7"/>
    </row>
    <row r="921" spans="8:8">
      <c r="B921" s="7" t="s">
        <v>9148</v>
      </c>
      <c r="C921" s="8">
        <v>2024.98</v>
      </c>
      <c r="D921" s="8">
        <f t="shared" si="31"/>
        <v>0.012950892656158603</v>
      </c>
      <c r="E921" s="8">
        <v>0.00476514635806682</v>
      </c>
      <c r="F921" s="9"/>
      <c r="G921" s="9">
        <v>918.0</v>
      </c>
      <c r="H921" s="10">
        <f t="shared" si="32"/>
        <v>-0.001742250827040221</v>
      </c>
      <c r="K921" s="7"/>
    </row>
    <row r="922" spans="8:8">
      <c r="B922" s="7" t="s">
        <v>9149</v>
      </c>
      <c r="C922" s="8">
        <v>1999.09</v>
      </c>
      <c r="D922" s="8">
        <f t="shared" si="31"/>
        <v>0.0035290101703763805</v>
      </c>
      <c r="E922" s="8">
        <v>0.004763252216562869</v>
      </c>
      <c r="F922" s="9"/>
      <c r="G922" s="9">
        <v>919.0</v>
      </c>
      <c r="H922" s="10">
        <f t="shared" si="32"/>
        <v>-0.017491844062551942</v>
      </c>
      <c r="K922" s="7"/>
    </row>
    <row r="923" spans="8:8">
      <c r="B923" s="7" t="s">
        <v>9150</v>
      </c>
      <c r="C923" s="8">
        <v>1992.06</v>
      </c>
      <c r="D923" s="8">
        <f t="shared" si="31"/>
        <v>-0.0016238159675236853</v>
      </c>
      <c r="E923" s="8">
        <v>0.004757323070344287</v>
      </c>
      <c r="F923" s="9"/>
      <c r="G923" s="9">
        <v>920.0</v>
      </c>
      <c r="H923" s="10">
        <f t="shared" si="32"/>
        <v>-0.008434688251120395</v>
      </c>
      <c r="K923" s="7"/>
    </row>
    <row r="924" spans="8:8">
      <c r="B924" s="7" t="s">
        <v>9151</v>
      </c>
      <c r="C924" s="8">
        <v>1995.3</v>
      </c>
      <c r="D924" s="8">
        <f t="shared" si="31"/>
        <v>-0.00561654963445082</v>
      </c>
      <c r="E924" s="8">
        <v>0.004753134097795734</v>
      </c>
      <c r="F924" s="9"/>
      <c r="G924" s="9">
        <v>921.0</v>
      </c>
      <c r="H924" s="10">
        <f t="shared" si="32"/>
        <v>0.016096582126942566</v>
      </c>
      <c r="K924" s="7"/>
    </row>
    <row r="925" spans="8:8">
      <c r="B925" s="7">
        <v>44876.0</v>
      </c>
      <c r="C925" s="8">
        <v>2006.57</v>
      </c>
      <c r="D925" s="8">
        <f t="shared" si="31"/>
        <v>0.016911615649706006</v>
      </c>
      <c r="E925" s="8">
        <v>0.004748590955487426</v>
      </c>
      <c r="F925" s="9"/>
      <c r="G925" s="9">
        <v>922.0</v>
      </c>
      <c r="H925" s="10">
        <f t="shared" si="32"/>
        <v>0.00596881036071908</v>
      </c>
      <c r="K925" s="7"/>
    </row>
    <row r="926" spans="8:8">
      <c r="B926" s="7">
        <v>44845.0</v>
      </c>
      <c r="C926" s="8">
        <v>1973.2</v>
      </c>
      <c r="D926" s="8">
        <f t="shared" si="31"/>
        <v>-0.012901515265208913</v>
      </c>
      <c r="E926" s="8">
        <v>0.004744662254963252</v>
      </c>
      <c r="F926" s="9"/>
      <c r="G926" s="9">
        <v>923.0</v>
      </c>
      <c r="H926" s="10">
        <f t="shared" si="32"/>
        <v>-0.022171109104447976</v>
      </c>
      <c r="K926" s="7"/>
    </row>
    <row r="927" spans="8:8">
      <c r="B927" s="7">
        <v>44815.0</v>
      </c>
      <c r="C927" s="8">
        <v>1998.99</v>
      </c>
      <c r="D927" s="8">
        <f t="shared" si="31"/>
        <v>-0.007014023078718943</v>
      </c>
      <c r="E927" s="8">
        <v>0.004740658114891159</v>
      </c>
      <c r="F927" s="9"/>
      <c r="G927" s="9">
        <v>924.0</v>
      </c>
      <c r="H927" s="10">
        <f t="shared" si="32"/>
        <v>0.02448951718804888</v>
      </c>
      <c r="K927" s="7"/>
    </row>
    <row r="928" spans="8:8">
      <c r="B928" s="7">
        <v>44753.0</v>
      </c>
      <c r="C928" s="8">
        <v>2013.11</v>
      </c>
      <c r="D928" s="8">
        <f t="shared" si="31"/>
        <v>0.0012633233361683321</v>
      </c>
      <c r="E928" s="8">
        <v>0.00473596125770029</v>
      </c>
      <c r="F928" s="9"/>
      <c r="G928" s="9">
        <v>925.0</v>
      </c>
      <c r="H928" s="10">
        <f t="shared" si="32"/>
        <v>0.021942413959884628</v>
      </c>
      <c r="K928" s="7"/>
    </row>
    <row r="929" spans="8:8">
      <c r="B929" s="7">
        <v>44662.0</v>
      </c>
      <c r="C929" s="8">
        <v>2010.57</v>
      </c>
      <c r="D929" s="8">
        <f t="shared" si="31"/>
        <v>0.0031883363769720646</v>
      </c>
      <c r="E929" s="8">
        <v>0.004724347961893005</v>
      </c>
      <c r="F929" s="9"/>
      <c r="G929" s="9">
        <v>926.0</v>
      </c>
      <c r="H929" s="10">
        <f t="shared" si="32"/>
        <v>0.001503834229985282</v>
      </c>
      <c r="K929" s="7"/>
    </row>
    <row r="930" spans="8:8">
      <c r="B930" s="7">
        <v>44631.0</v>
      </c>
      <c r="C930" s="8">
        <v>2004.18</v>
      </c>
      <c r="D930" s="8">
        <f t="shared" si="31"/>
        <v>-0.0022849803611164634</v>
      </c>
      <c r="E930" s="8">
        <v>0.004724236431553538</v>
      </c>
      <c r="F930" s="9"/>
      <c r="G930" s="9">
        <v>927.0</v>
      </c>
      <c r="H930" s="10">
        <f t="shared" si="32"/>
        <v>0.014793708358922464</v>
      </c>
      <c r="K930" s="7"/>
    </row>
    <row r="931" spans="8:8">
      <c r="B931" s="7">
        <v>44603.0</v>
      </c>
      <c r="C931" s="8">
        <v>2008.77</v>
      </c>
      <c r="D931" s="8">
        <f t="shared" si="31"/>
        <v>-0.005510173770978815</v>
      </c>
      <c r="E931" s="8">
        <v>0.00472155149874653</v>
      </c>
      <c r="F931" s="9"/>
      <c r="G931" s="9">
        <v>928.0</v>
      </c>
      <c r="H931" s="10">
        <f t="shared" si="32"/>
        <v>-0.004398540754860322</v>
      </c>
      <c r="K931" s="7"/>
    </row>
    <row r="932" spans="8:8">
      <c r="B932" s="7">
        <v>44572.0</v>
      </c>
      <c r="C932" s="8">
        <v>2019.9</v>
      </c>
      <c r="D932" s="8">
        <f t="shared" si="31"/>
        <v>6.687969086721342E-4</v>
      </c>
      <c r="E932" s="8">
        <v>0.004719046460715066</v>
      </c>
      <c r="F932" s="9"/>
      <c r="G932" s="9">
        <v>929.0</v>
      </c>
      <c r="H932" s="10">
        <f t="shared" si="32"/>
        <v>0.0027360675628741397</v>
      </c>
      <c r="K932" s="7"/>
    </row>
    <row r="933" spans="8:8">
      <c r="B933" s="7" t="s">
        <v>9152</v>
      </c>
      <c r="C933" s="8">
        <v>2018.55</v>
      </c>
      <c r="D933" s="8">
        <f t="shared" si="31"/>
        <v>0.024327492502321645</v>
      </c>
      <c r="E933" s="8">
        <v>0.004703211157962986</v>
      </c>
      <c r="F933" s="9"/>
      <c r="G933" s="9">
        <v>930.0</v>
      </c>
      <c r="H933" s="10">
        <f t="shared" si="32"/>
        <v>0.009460479534070379</v>
      </c>
      <c r="K933" s="7"/>
    </row>
    <row r="934" spans="8:8">
      <c r="B934" s="7" t="s">
        <v>9153</v>
      </c>
      <c r="C934" s="8">
        <v>1970.61</v>
      </c>
      <c r="D934" s="8">
        <f t="shared" si="31"/>
        <v>0.005603098544112812</v>
      </c>
      <c r="E934" s="8">
        <v>0.004695960515597166</v>
      </c>
      <c r="F934" s="9"/>
      <c r="G934" s="9">
        <v>931.0</v>
      </c>
      <c r="H934" s="10">
        <f t="shared" si="32"/>
        <v>0.0027045618529943907</v>
      </c>
      <c r="K934" s="7"/>
    </row>
    <row r="935" spans="8:8">
      <c r="B935" s="7" t="s">
        <v>9154</v>
      </c>
      <c r="C935" s="8">
        <v>1959.63</v>
      </c>
      <c r="D935" s="8">
        <f t="shared" si="31"/>
        <v>0.0076720950681593</v>
      </c>
      <c r="E935" s="8">
        <v>0.004693665628245143</v>
      </c>
      <c r="F935" s="9"/>
      <c r="G935" s="9">
        <v>932.0</v>
      </c>
      <c r="H935" s="10">
        <f t="shared" si="32"/>
        <v>-0.006378651336260632</v>
      </c>
      <c r="K935" s="7"/>
    </row>
    <row r="936" spans="8:8">
      <c r="B936" s="7" t="s">
        <v>9155</v>
      </c>
      <c r="C936" s="8">
        <v>1944.71</v>
      </c>
      <c r="D936" s="8">
        <f t="shared" si="31"/>
        <v>0.0206040567844866</v>
      </c>
      <c r="E936" s="8">
        <v>0.004682181793051084</v>
      </c>
      <c r="F936" s="9"/>
      <c r="G936" s="9">
        <v>933.0</v>
      </c>
      <c r="H936" s="10">
        <f t="shared" si="32"/>
        <v>0.00981564564913808</v>
      </c>
      <c r="K936" s="7"/>
    </row>
    <row r="937" spans="8:8">
      <c r="B937" s="7" t="s">
        <v>9156</v>
      </c>
      <c r="C937" s="8">
        <v>1905.45</v>
      </c>
      <c r="D937" s="8">
        <f t="shared" si="31"/>
        <v>0.01758049270238665</v>
      </c>
      <c r="E937" s="8">
        <v>0.0046650924379428305</v>
      </c>
      <c r="F937" s="9"/>
      <c r="G937" s="9">
        <v>934.0</v>
      </c>
      <c r="H937" s="10">
        <f t="shared" si="32"/>
        <v>0.011653151942632358</v>
      </c>
      <c r="K937" s="7"/>
    </row>
    <row r="938" spans="8:8">
      <c r="B938" s="7" t="s">
        <v>9157</v>
      </c>
      <c r="C938" s="8">
        <v>1872.53</v>
      </c>
      <c r="D938" s="8">
        <f t="shared" si="31"/>
        <v>-0.014390458294514845</v>
      </c>
      <c r="E938" s="8">
        <v>0.00466041320351455</v>
      </c>
      <c r="F938" s="9"/>
      <c r="G938" s="9">
        <v>935.0</v>
      </c>
      <c r="H938" s="10">
        <f t="shared" si="32"/>
        <v>-0.0035356928193749316</v>
      </c>
      <c r="K938" s="7"/>
    </row>
    <row r="939" spans="8:8">
      <c r="B939" s="7" t="s">
        <v>9158</v>
      </c>
      <c r="C939" s="8">
        <v>1899.87</v>
      </c>
      <c r="D939" s="8">
        <f t="shared" si="31"/>
        <v>-3.8934868279131917E-4</v>
      </c>
      <c r="E939" s="8">
        <v>0.004659572988385713</v>
      </c>
      <c r="F939" s="9"/>
      <c r="G939" s="9">
        <v>936.0</v>
      </c>
      <c r="H939" s="10">
        <f t="shared" si="32"/>
        <v>-0.012570594273333027</v>
      </c>
      <c r="K939" s="7"/>
    </row>
    <row r="940" spans="8:8">
      <c r="B940" s="7" t="s">
        <v>9159</v>
      </c>
      <c r="C940" s="8">
        <v>1900.61</v>
      </c>
      <c r="D940" s="8">
        <f t="shared" si="31"/>
        <v>-0.0068816687393535685</v>
      </c>
      <c r="E940" s="8">
        <v>0.00465871823949498</v>
      </c>
      <c r="F940" s="9"/>
      <c r="G940" s="9">
        <v>937.0</v>
      </c>
      <c r="H940" s="10">
        <f t="shared" si="32"/>
        <v>0.00397075160024775</v>
      </c>
      <c r="K940" s="7"/>
    </row>
    <row r="941" spans="8:8">
      <c r="B941" s="7" t="s">
        <v>9160</v>
      </c>
      <c r="C941" s="8">
        <v>1913.78</v>
      </c>
      <c r="D941" s="8">
        <f t="shared" si="31"/>
        <v>0.018531528079363018</v>
      </c>
      <c r="E941" s="8">
        <v>0.004647943037974654</v>
      </c>
      <c r="F941" s="9"/>
      <c r="G941" s="9">
        <v>938.0</v>
      </c>
      <c r="H941" s="10">
        <f t="shared" si="32"/>
        <v>0.0037249345662661777</v>
      </c>
      <c r="K941" s="7"/>
    </row>
    <row r="942" spans="8:8">
      <c r="B942" s="7" t="s">
        <v>9161</v>
      </c>
      <c r="C942" s="8">
        <v>1878.96</v>
      </c>
      <c r="D942" s="8">
        <f t="shared" si="31"/>
        <v>-0.014858700781208996</v>
      </c>
      <c r="E942" s="8">
        <v>0.0046235921754593234</v>
      </c>
      <c r="F942" s="9"/>
      <c r="G942" s="9">
        <v>939.0</v>
      </c>
      <c r="H942" s="10">
        <f t="shared" si="32"/>
        <v>0.025753617349951755</v>
      </c>
      <c r="K942" s="7"/>
    </row>
    <row r="943" spans="8:8">
      <c r="B943" s="7" t="s">
        <v>9162</v>
      </c>
      <c r="C943" s="8">
        <v>1907.3</v>
      </c>
      <c r="D943" s="8">
        <f t="shared" si="31"/>
        <v>0.018894937310689978</v>
      </c>
      <c r="E943" s="8">
        <v>0.004614753537977712</v>
      </c>
      <c r="F943" s="9"/>
      <c r="G943" s="9">
        <v>940.0</v>
      </c>
      <c r="H943" s="10">
        <f t="shared" si="32"/>
        <v>0.005612269302119459</v>
      </c>
      <c r="K943" s="7"/>
    </row>
    <row r="944" spans="8:8">
      <c r="B944" s="7" t="s">
        <v>9163</v>
      </c>
      <c r="C944" s="8">
        <v>1871.93</v>
      </c>
      <c r="D944" s="8">
        <f t="shared" si="31"/>
        <v>-0.018364403891030168</v>
      </c>
      <c r="E944" s="8">
        <v>0.004599892254775977</v>
      </c>
      <c r="F944" s="9"/>
      <c r="G944" s="9">
        <v>941.0</v>
      </c>
      <c r="H944" s="10">
        <f t="shared" si="32"/>
        <v>0.02310270931509207</v>
      </c>
      <c r="K944" s="7"/>
    </row>
    <row r="945" spans="8:8">
      <c r="B945" s="7">
        <v>44905.0</v>
      </c>
      <c r="C945" s="8">
        <v>1906.95</v>
      </c>
      <c r="D945" s="8">
        <f t="shared" si="31"/>
        <v>0.01719190065716481</v>
      </c>
      <c r="E945" s="8">
        <v>0.00459521774882701</v>
      </c>
      <c r="F945" s="9"/>
      <c r="G945" s="9">
        <v>942.0</v>
      </c>
      <c r="H945" s="10">
        <f t="shared" si="32"/>
        <v>-0.012953911752732309</v>
      </c>
      <c r="K945" s="7"/>
    </row>
    <row r="946" spans="8:8">
      <c r="B946" s="7">
        <v>44875.0</v>
      </c>
      <c r="C946" s="8">
        <v>1874.72</v>
      </c>
      <c r="D946" s="8">
        <f t="shared" si="31"/>
        <v>-0.016075786600886915</v>
      </c>
      <c r="E946" s="8">
        <v>0.004574198311559079</v>
      </c>
      <c r="F946" s="9"/>
      <c r="G946" s="9">
        <v>943.0</v>
      </c>
      <c r="H946" s="10">
        <f t="shared" si="32"/>
        <v>-0.014527812122811283</v>
      </c>
      <c r="K946" s="7"/>
    </row>
    <row r="947" spans="8:8">
      <c r="B947" s="7">
        <v>44844.0</v>
      </c>
      <c r="C947" s="8">
        <v>1905.35</v>
      </c>
      <c r="D947" s="8">
        <f t="shared" si="31"/>
        <v>-0.007743904344293944</v>
      </c>
      <c r="E947" s="8">
        <v>0.004564110424223877</v>
      </c>
      <c r="F947" s="9"/>
      <c r="G947" s="9">
        <v>944.0</v>
      </c>
      <c r="H947" s="10">
        <f t="shared" si="32"/>
        <v>0.006079560464023527</v>
      </c>
      <c r="K947" s="7"/>
    </row>
    <row r="948" spans="8:8">
      <c r="B948" s="7">
        <v>44752.0</v>
      </c>
      <c r="C948" s="8">
        <v>1920.22</v>
      </c>
      <c r="D948" s="8">
        <f t="shared" si="31"/>
        <v>0.006061876195216481</v>
      </c>
      <c r="E948" s="8">
        <v>0.004561783657410047</v>
      </c>
      <c r="F948" s="9"/>
      <c r="G948" s="9">
        <v>945.0</v>
      </c>
      <c r="H948" s="10">
        <f t="shared" si="32"/>
        <v>-4.1985895205367846E-4</v>
      </c>
      <c r="K948" s="7"/>
    </row>
    <row r="949" spans="8:8">
      <c r="B949" s="7">
        <v>44722.0</v>
      </c>
      <c r="C949" s="8">
        <v>1908.65</v>
      </c>
      <c r="D949" s="8">
        <f t="shared" si="31"/>
        <v>0.022122377285336454</v>
      </c>
      <c r="E949" s="8">
        <v>0.004560278981773028</v>
      </c>
      <c r="F949" s="9"/>
      <c r="G949" s="9">
        <v>946.0</v>
      </c>
      <c r="H949" s="10">
        <f t="shared" si="32"/>
        <v>0.03404364755364232</v>
      </c>
      <c r="K949" s="7"/>
    </row>
    <row r="950" spans="8:8">
      <c r="B950" s="7">
        <v>44661.0</v>
      </c>
      <c r="C950" s="8">
        <v>1867.34</v>
      </c>
      <c r="D950" s="8">
        <f t="shared" si="31"/>
        <v>0.02871844029065501</v>
      </c>
      <c r="E950" s="8">
        <v>0.004530570134122777</v>
      </c>
      <c r="F950" s="9"/>
      <c r="G950" s="9">
        <v>947.0</v>
      </c>
      <c r="H950" s="10">
        <f t="shared" si="32"/>
        <v>0.01639649307039652</v>
      </c>
      <c r="K950" s="7"/>
    </row>
    <row r="951" spans="8:8">
      <c r="B951" s="7">
        <v>44630.0</v>
      </c>
      <c r="C951" s="8">
        <v>1815.21</v>
      </c>
      <c r="D951" s="8">
        <f t="shared" si="31"/>
        <v>-0.015367174023888784</v>
      </c>
      <c r="E951" s="8">
        <v>0.004525159888982744</v>
      </c>
      <c r="F951" s="9"/>
      <c r="G951" s="9">
        <v>948.0</v>
      </c>
      <c r="H951" s="10">
        <f t="shared" si="32"/>
        <v>0.011908797363548537</v>
      </c>
      <c r="K951" s="7"/>
    </row>
    <row r="952" spans="8:8">
      <c r="B952" s="7" t="s">
        <v>9164</v>
      </c>
      <c r="C952" s="8">
        <v>1843.54</v>
      </c>
      <c r="D952" s="8">
        <f t="shared" si="31"/>
        <v>0.017731945103841126</v>
      </c>
      <c r="E952" s="8">
        <v>0.004514476711377389</v>
      </c>
      <c r="F952" s="9"/>
      <c r="G952" s="9">
        <v>949.0</v>
      </c>
      <c r="H952" s="10">
        <f t="shared" si="32"/>
        <v>-0.006450677516645923</v>
      </c>
      <c r="K952" s="7"/>
    </row>
    <row r="953" spans="8:8">
      <c r="B953" s="7" t="s">
        <v>9165</v>
      </c>
      <c r="C953" s="8">
        <v>1811.42</v>
      </c>
      <c r="D953" s="8">
        <f t="shared" si="31"/>
        <v>-0.010866478824017574</v>
      </c>
      <c r="E953" s="8">
        <v>0.004512002803574438</v>
      </c>
      <c r="F953" s="9"/>
      <c r="G953" s="9">
        <v>950.0</v>
      </c>
      <c r="H953" s="10">
        <f t="shared" si="32"/>
        <v>-0.0025360879167932457</v>
      </c>
      <c r="K953" s="7"/>
    </row>
    <row r="954" spans="8:8">
      <c r="B954" s="7" t="s">
        <v>9166</v>
      </c>
      <c r="C954" s="8">
        <v>1831.32</v>
      </c>
      <c r="D954" s="8">
        <f t="shared" si="31"/>
        <v>-0.003124557717222088</v>
      </c>
      <c r="E954" s="8">
        <v>0.004500522382062313</v>
      </c>
      <c r="F954" s="9"/>
      <c r="G954" s="9">
        <v>951.0</v>
      </c>
      <c r="H954" s="10">
        <f t="shared" si="32"/>
        <v>0.022548054565429347</v>
      </c>
      <c r="K954" s="7"/>
    </row>
    <row r="955" spans="8:8">
      <c r="B955" s="7" t="s">
        <v>9167</v>
      </c>
      <c r="C955" s="8">
        <v>1837.06</v>
      </c>
      <c r="D955" s="8">
        <f t="shared" si="31"/>
        <v>-0.005532458533627835</v>
      </c>
      <c r="E955" s="8">
        <v>0.004482163194827075</v>
      </c>
      <c r="F955" s="9"/>
      <c r="G955" s="9">
        <v>952.0</v>
      </c>
      <c r="H955" s="10">
        <f t="shared" si="32"/>
        <v>-0.0019806147953030295</v>
      </c>
      <c r="K955" s="7"/>
    </row>
    <row r="956" spans="8:8">
      <c r="B956" s="7" t="s">
        <v>9168</v>
      </c>
      <c r="C956" s="8">
        <v>1847.28</v>
      </c>
      <c r="D956" s="8">
        <f t="shared" si="31"/>
        <v>-0.0029093146647811534</v>
      </c>
      <c r="E956" s="8">
        <v>0.004479825650028811</v>
      </c>
      <c r="F956" s="9"/>
      <c r="G956" s="9">
        <v>953.0</v>
      </c>
      <c r="H956" s="10">
        <f t="shared" si="32"/>
        <v>0.011020230839623269</v>
      </c>
      <c r="K956" s="7"/>
    </row>
    <row r="957" spans="8:8">
      <c r="B957" s="7" t="s">
        <v>9169</v>
      </c>
      <c r="C957" s="8">
        <v>1852.67</v>
      </c>
      <c r="D957" s="8">
        <f t="shared" si="31"/>
        <v>-0.016603413041747377</v>
      </c>
      <c r="E957" s="8">
        <v>0.004463887152932774</v>
      </c>
      <c r="F957" s="9"/>
      <c r="G957" s="9">
        <v>954.0</v>
      </c>
      <c r="H957" s="10">
        <f t="shared" si="32"/>
        <v>-0.003269890596321318</v>
      </c>
      <c r="K957" s="7"/>
    </row>
    <row r="958" spans="8:8">
      <c r="B958" s="7" t="s">
        <v>9170</v>
      </c>
      <c r="C958" s="8">
        <v>1883.95</v>
      </c>
      <c r="D958" s="8">
        <f t="shared" si="31"/>
        <v>-0.003933614960425959</v>
      </c>
      <c r="E958" s="8">
        <v>0.004447162154650064</v>
      </c>
      <c r="F958" s="9"/>
      <c r="G958" s="9">
        <v>955.0</v>
      </c>
      <c r="H958" s="10">
        <f t="shared" si="32"/>
        <v>0.004247992420955309</v>
      </c>
      <c r="K958" s="7"/>
    </row>
    <row r="959" spans="8:8">
      <c r="B959" s="7" t="s">
        <v>9171</v>
      </c>
      <c r="C959" s="8">
        <v>1891.39</v>
      </c>
      <c r="D959" s="8">
        <f t="shared" si="31"/>
        <v>-0.019166645059247447</v>
      </c>
      <c r="E959" s="8">
        <v>0.004438971739560028</v>
      </c>
      <c r="F959" s="9"/>
      <c r="G959" s="9">
        <v>956.0</v>
      </c>
      <c r="H959" s="10">
        <f t="shared" si="32"/>
        <v>0.010813082204347835</v>
      </c>
      <c r="K959" s="7"/>
    </row>
    <row r="960" spans="8:8">
      <c r="B960" s="7" t="s">
        <v>9172</v>
      </c>
      <c r="C960" s="8">
        <v>1928.35</v>
      </c>
      <c r="D960" s="8">
        <f t="shared" si="31"/>
        <v>0.011513848090641952</v>
      </c>
      <c r="E960" s="8">
        <v>0.0044295302013422815</v>
      </c>
      <c r="F960" s="9"/>
      <c r="G960" s="9">
        <v>957.0</v>
      </c>
      <c r="H960" s="10">
        <f t="shared" si="32"/>
        <v>3.1374518840688106E-5</v>
      </c>
      <c r="K960" s="7"/>
    </row>
    <row r="961" spans="8:8">
      <c r="B961" s="7" t="s">
        <v>9173</v>
      </c>
      <c r="C961" s="8">
        <v>1906.4</v>
      </c>
      <c r="D961" s="8">
        <f t="shared" si="31"/>
        <v>-0.004844232857262159</v>
      </c>
      <c r="E961" s="8">
        <v>0.004427586817598182</v>
      </c>
      <c r="F961" s="9"/>
      <c r="G961" s="9">
        <v>958.0</v>
      </c>
      <c r="H961" s="10">
        <f t="shared" si="32"/>
        <v>0.0049967833928210355</v>
      </c>
      <c r="K961" s="7"/>
    </row>
    <row r="962" spans="8:8">
      <c r="B962" s="7" t="s">
        <v>9174</v>
      </c>
      <c r="C962" s="8">
        <v>1915.68</v>
      </c>
      <c r="D962" s="8">
        <f t="shared" si="31"/>
        <v>-0.01915928523885098</v>
      </c>
      <c r="E962" s="8">
        <v>0.00441958041958047</v>
      </c>
      <c r="F962" s="9"/>
      <c r="G962" s="9">
        <v>959.0</v>
      </c>
      <c r="H962" s="10">
        <f t="shared" si="32"/>
        <v>0.019070038319898806</v>
      </c>
      <c r="K962" s="7"/>
    </row>
    <row r="963" spans="8:8">
      <c r="B963" s="7" t="s">
        <v>9175</v>
      </c>
      <c r="C963" s="8">
        <v>1953.1</v>
      </c>
      <c r="D963" s="8">
        <f t="shared" si="31"/>
        <v>0.0018466273403436313</v>
      </c>
      <c r="E963" s="8">
        <v>0.004405737704918064</v>
      </c>
      <c r="F963" s="9"/>
      <c r="G963" s="9">
        <v>960.0</v>
      </c>
      <c r="H963" s="10">
        <f t="shared" si="32"/>
        <v>0.009744117746012328</v>
      </c>
      <c r="K963" s="7"/>
    </row>
    <row r="964" spans="8:8">
      <c r="B964" s="7" t="s">
        <v>9176</v>
      </c>
      <c r="C964" s="8">
        <v>1949.5</v>
      </c>
      <c r="D964" s="8">
        <f t="shared" si="33" ref="D964:D1027">(C964-C965)/C965</f>
        <v>-0.01880847765581034</v>
      </c>
      <c r="E964" s="8">
        <v>0.004403928304047211</v>
      </c>
      <c r="F964" s="9"/>
      <c r="G964" s="9">
        <v>961.0</v>
      </c>
      <c r="H964" s="10">
        <f t="shared" si="32"/>
        <v>0.005336369566980438</v>
      </c>
      <c r="K964" s="7"/>
    </row>
    <row r="965" spans="8:8">
      <c r="B965" s="7" t="s">
        <v>9177</v>
      </c>
      <c r="C965" s="8">
        <v>1986.87</v>
      </c>
      <c r="D965" s="8">
        <f t="shared" si="33"/>
        <v>0.015009016648871708</v>
      </c>
      <c r="E965" s="8">
        <v>0.0043967033345977445</v>
      </c>
      <c r="F965" s="9"/>
      <c r="G965" s="9">
        <v>962.0</v>
      </c>
      <c r="H965" s="10">
        <f t="shared" si="34" ref="H965:H1028">_xlfn.NORM.INV(RAND(),N$6,N$7)</f>
        <v>0.015583658619140243</v>
      </c>
      <c r="K965" s="7"/>
    </row>
    <row r="966" spans="8:8">
      <c r="B966" s="7">
        <v>44904.0</v>
      </c>
      <c r="C966" s="8">
        <v>1957.49</v>
      </c>
      <c r="D966" s="8">
        <f t="shared" si="33"/>
        <v>0.006235349755315268</v>
      </c>
      <c r="E966" s="8">
        <v>0.0043861702957933915</v>
      </c>
      <c r="F966" s="9"/>
      <c r="G966" s="9">
        <v>963.0</v>
      </c>
      <c r="H966" s="10">
        <f t="shared" si="34"/>
        <v>-0.01699377787621858</v>
      </c>
      <c r="K966" s="7"/>
    </row>
    <row r="967" spans="8:8">
      <c r="B967" s="7">
        <v>44813.0</v>
      </c>
      <c r="C967" s="8">
        <v>1945.36</v>
      </c>
      <c r="D967" s="8">
        <f t="shared" si="33"/>
        <v>-0.012487563199252845</v>
      </c>
      <c r="E967" s="8">
        <v>0.004375586015984365</v>
      </c>
      <c r="F967" s="9"/>
      <c r="G967" s="9">
        <v>964.0</v>
      </c>
      <c r="H967" s="10">
        <f t="shared" si="34"/>
        <v>0.013969920592416966</v>
      </c>
      <c r="K967" s="7"/>
    </row>
    <row r="968" spans="8:8">
      <c r="B968" s="7">
        <v>44782.0</v>
      </c>
      <c r="C968" s="8">
        <v>1969.96</v>
      </c>
      <c r="D968" s="8">
        <f t="shared" si="33"/>
        <v>0.008327830925069985</v>
      </c>
      <c r="E968" s="8">
        <v>0.004366212653778584</v>
      </c>
      <c r="F968" s="9"/>
      <c r="G968" s="9">
        <v>965.0</v>
      </c>
      <c r="H968" s="10">
        <f t="shared" si="34"/>
        <v>2.268352707807857E-4</v>
      </c>
      <c r="K968" s="7"/>
    </row>
    <row r="969" spans="8:8">
      <c r="B969" s="7">
        <v>44751.0</v>
      </c>
      <c r="C969" s="8">
        <v>1953.69</v>
      </c>
      <c r="D969" s="8">
        <f t="shared" si="33"/>
        <v>-0.0021451664802415076</v>
      </c>
      <c r="E969" s="8">
        <v>0.004363396863293915</v>
      </c>
      <c r="F969" s="9"/>
      <c r="G969" s="9">
        <v>966.0</v>
      </c>
      <c r="H969" s="10">
        <f t="shared" si="34"/>
        <v>0.031977643661350134</v>
      </c>
      <c r="K969" s="7"/>
    </row>
    <row r="970" spans="8:8">
      <c r="B970" s="7">
        <v>44721.0</v>
      </c>
      <c r="C970" s="8">
        <v>1957.89</v>
      </c>
      <c r="D970" s="8">
        <f t="shared" si="33"/>
        <v>-0.0030703898325797245</v>
      </c>
      <c r="E970" s="8">
        <v>0.004356541494053236</v>
      </c>
      <c r="F970" s="9"/>
      <c r="G970" s="9">
        <v>967.0</v>
      </c>
      <c r="H970" s="10">
        <f t="shared" si="34"/>
        <v>0.015713462551969464</v>
      </c>
      <c r="K970" s="7"/>
    </row>
    <row r="971" spans="8:8">
      <c r="B971" s="7">
        <v>44690.0</v>
      </c>
      <c r="C971" s="8">
        <v>1963.92</v>
      </c>
      <c r="D971" s="8">
        <f t="shared" si="33"/>
        <v>0.014353375031635253</v>
      </c>
      <c r="E971" s="8">
        <v>0.004351626280847198</v>
      </c>
      <c r="F971" s="9"/>
      <c r="G971" s="9">
        <v>968.0</v>
      </c>
      <c r="H971" s="10">
        <f t="shared" si="34"/>
        <v>-0.01787132281933507</v>
      </c>
      <c r="K971" s="7"/>
    </row>
    <row r="972" spans="8:8">
      <c r="B972" s="7">
        <v>44601.0</v>
      </c>
      <c r="C972" s="8">
        <v>1936.13</v>
      </c>
      <c r="D972" s="8">
        <f t="shared" si="33"/>
        <v>0.014397610876797745</v>
      </c>
      <c r="E972" s="8">
        <v>0.004330461660877304</v>
      </c>
      <c r="F972" s="9"/>
      <c r="G972" s="9">
        <v>969.0</v>
      </c>
      <c r="H972" s="10">
        <f t="shared" si="34"/>
        <v>0.007225077325383791</v>
      </c>
      <c r="K972" s="7"/>
    </row>
    <row r="973" spans="8:8">
      <c r="B973" s="7">
        <v>44570.0</v>
      </c>
      <c r="C973" s="8">
        <v>1908.65</v>
      </c>
      <c r="D973" s="8">
        <f t="shared" si="33"/>
        <v>-0.004963063753473353</v>
      </c>
      <c r="E973" s="8">
        <v>0.004328018223234684</v>
      </c>
      <c r="F973" s="9"/>
      <c r="G973" s="9">
        <v>970.0</v>
      </c>
      <c r="H973" s="10">
        <f t="shared" si="34"/>
        <v>0.005378368604272157</v>
      </c>
      <c r="K973" s="7"/>
    </row>
    <row r="974" spans="8:8">
      <c r="B974" s="7" t="s">
        <v>9178</v>
      </c>
      <c r="C974" s="8">
        <v>1918.17</v>
      </c>
      <c r="D974" s="8">
        <f t="shared" si="33"/>
        <v>0.021786956591220277</v>
      </c>
      <c r="E974" s="8">
        <v>0.004323084388371664</v>
      </c>
      <c r="F974" s="9"/>
      <c r="G974" s="9">
        <v>971.0</v>
      </c>
      <c r="H974" s="10">
        <f t="shared" si="34"/>
        <v>0.015822217336925203</v>
      </c>
      <c r="K974" s="7"/>
    </row>
    <row r="975" spans="8:8">
      <c r="B975" s="7" t="s">
        <v>9179</v>
      </c>
      <c r="C975" s="8">
        <v>1877.27</v>
      </c>
      <c r="D975" s="8">
        <f t="shared" si="33"/>
        <v>-0.012540042396284234</v>
      </c>
      <c r="E975" s="8">
        <v>0.004310592562790965</v>
      </c>
      <c r="F975" s="9"/>
      <c r="G975" s="9">
        <v>972.0</v>
      </c>
      <c r="H975" s="10">
        <f t="shared" si="34"/>
        <v>-0.0030386613274671894</v>
      </c>
      <c r="K975" s="7"/>
    </row>
    <row r="976" spans="8:8">
      <c r="B976" s="7" t="s">
        <v>9180</v>
      </c>
      <c r="C976" s="8">
        <v>1901.11</v>
      </c>
      <c r="D976" s="8">
        <f t="shared" si="33"/>
        <v>0.014639639639639553</v>
      </c>
      <c r="E976" s="8">
        <v>0.0043077204091572195</v>
      </c>
      <c r="F976" s="9"/>
      <c r="G976" s="9">
        <v>973.0</v>
      </c>
      <c r="H976" s="10">
        <f t="shared" si="34"/>
        <v>0.013744416659600765</v>
      </c>
      <c r="K976" s="7"/>
    </row>
    <row r="977" spans="8:8">
      <c r="B977" s="7" t="s">
        <v>9181</v>
      </c>
      <c r="C977" s="8">
        <v>1873.68</v>
      </c>
      <c r="D977" s="8">
        <f t="shared" si="33"/>
        <v>-0.00815736677447864</v>
      </c>
      <c r="E977" s="8">
        <v>0.004291263890143644</v>
      </c>
      <c r="F977" s="9"/>
      <c r="G977" s="9">
        <v>974.0</v>
      </c>
      <c r="H977" s="10">
        <f t="shared" si="34"/>
        <v>0.016678095325565953</v>
      </c>
      <c r="K977" s="7"/>
    </row>
    <row r="978" spans="8:8">
      <c r="B978" s="7" t="s">
        <v>9182</v>
      </c>
      <c r="C978" s="8">
        <v>1889.09</v>
      </c>
      <c r="D978" s="8">
        <f t="shared" si="33"/>
        <v>0.008682048023579284</v>
      </c>
      <c r="E978" s="8">
        <v>0.004287496102276271</v>
      </c>
      <c r="F978" s="9"/>
      <c r="G978" s="9">
        <v>975.0</v>
      </c>
      <c r="H978" s="10">
        <f t="shared" si="34"/>
        <v>0.015101797969263898</v>
      </c>
      <c r="K978" s="7"/>
    </row>
    <row r="979" spans="8:8">
      <c r="B979" s="7" t="s">
        <v>9183</v>
      </c>
      <c r="C979" s="8">
        <v>1872.83</v>
      </c>
      <c r="D979" s="8">
        <f t="shared" si="33"/>
        <v>-0.0019132177231111081</v>
      </c>
      <c r="E979" s="8">
        <v>0.004282898726500806</v>
      </c>
      <c r="F979" s="9"/>
      <c r="G979" s="9">
        <v>976.0</v>
      </c>
      <c r="H979" s="10">
        <f t="shared" si="34"/>
        <v>0.02004507520238537</v>
      </c>
      <c r="K979" s="7"/>
    </row>
    <row r="980" spans="8:8">
      <c r="B980" s="7" t="s">
        <v>9184</v>
      </c>
      <c r="C980" s="8">
        <v>1876.42</v>
      </c>
      <c r="D980" s="8">
        <f t="shared" si="33"/>
        <v>-0.028612251448213732</v>
      </c>
      <c r="E980" s="8">
        <v>0.004277478147666041</v>
      </c>
      <c r="F980" s="9"/>
      <c r="G980" s="9">
        <v>977.0</v>
      </c>
      <c r="H980" s="10">
        <f t="shared" si="34"/>
        <v>-0.009923822129464722</v>
      </c>
      <c r="K980" s="7"/>
    </row>
    <row r="981" spans="8:8">
      <c r="B981" s="7" t="s">
        <v>9185</v>
      </c>
      <c r="C981" s="8">
        <v>1931.69</v>
      </c>
      <c r="D981" s="8">
        <f t="shared" si="33"/>
        <v>0.02190140137227626</v>
      </c>
      <c r="E981" s="8">
        <v>0.004252461951656171</v>
      </c>
      <c r="F981" s="9"/>
      <c r="G981" s="9">
        <v>978.0</v>
      </c>
      <c r="H981" s="10">
        <f t="shared" si="34"/>
        <v>0.00785954163383203</v>
      </c>
      <c r="K981" s="7"/>
    </row>
    <row r="982" spans="8:8">
      <c r="B982" s="7" t="s">
        <v>9186</v>
      </c>
      <c r="C982" s="8">
        <v>1890.29</v>
      </c>
      <c r="D982" s="8">
        <f t="shared" si="33"/>
        <v>0.020934038335862767</v>
      </c>
      <c r="E982" s="8">
        <v>0.004232568500779683</v>
      </c>
      <c r="F982" s="9"/>
      <c r="G982" s="9">
        <v>979.0</v>
      </c>
      <c r="H982" s="10">
        <f t="shared" si="34"/>
        <v>-0.011073303620925862</v>
      </c>
      <c r="K982" s="7"/>
    </row>
    <row r="983" spans="8:8">
      <c r="B983" s="7" t="s">
        <v>9187</v>
      </c>
      <c r="C983" s="8">
        <v>1851.53</v>
      </c>
      <c r="D983" s="8">
        <f t="shared" si="33"/>
        <v>0.0036807354966011275</v>
      </c>
      <c r="E983" s="8">
        <v>0.004230845508031905</v>
      </c>
      <c r="F983" s="9"/>
      <c r="G983" s="9">
        <v>980.0</v>
      </c>
      <c r="H983" s="10">
        <f t="shared" si="34"/>
        <v>0.003374767978552161</v>
      </c>
      <c r="K983" s="7"/>
    </row>
    <row r="984" spans="8:8">
      <c r="B984" s="7" t="s">
        <v>9188</v>
      </c>
      <c r="C984" s="8">
        <v>1844.74</v>
      </c>
      <c r="D984" s="8">
        <f t="shared" si="33"/>
        <v>0.001324431417250206</v>
      </c>
      <c r="E984" s="8">
        <v>0.004223289397500116</v>
      </c>
      <c r="F984" s="9"/>
      <c r="G984" s="9">
        <v>981.0</v>
      </c>
      <c r="H984" s="10">
        <f t="shared" si="34"/>
        <v>-0.0011446280260432031</v>
      </c>
      <c r="K984" s="7"/>
    </row>
    <row r="985" spans="8:8">
      <c r="B985" s="7">
        <v>44903.0</v>
      </c>
      <c r="C985" s="8">
        <v>1842.3</v>
      </c>
      <c r="D985" s="8">
        <f t="shared" si="33"/>
        <v>-0.011084570170965452</v>
      </c>
      <c r="E985" s="8">
        <v>0.004183853859752451</v>
      </c>
      <c r="F985" s="9"/>
      <c r="G985" s="9">
        <v>982.0</v>
      </c>
      <c r="H985" s="10">
        <f t="shared" si="34"/>
        <v>0.014927190579125709</v>
      </c>
      <c r="K985" s="7"/>
    </row>
    <row r="986" spans="8:8">
      <c r="B986" s="7">
        <v>44873.0</v>
      </c>
      <c r="C986" s="8">
        <v>1862.95</v>
      </c>
      <c r="D986" s="8">
        <f t="shared" si="33"/>
        <v>0.00646684459043319</v>
      </c>
      <c r="E986" s="8">
        <v>0.0041474535665524375</v>
      </c>
      <c r="F986" s="9"/>
      <c r="G986" s="9">
        <v>983.0</v>
      </c>
      <c r="H986" s="10">
        <f t="shared" si="34"/>
        <v>-0.01926614202037423</v>
      </c>
      <c r="K986" s="7"/>
    </row>
    <row r="987" spans="8:8">
      <c r="B987" s="7">
        <v>44842.0</v>
      </c>
      <c r="C987" s="8">
        <v>1850.98</v>
      </c>
      <c r="D987" s="8">
        <f t="shared" si="33"/>
        <v>0.01394115681473328</v>
      </c>
      <c r="E987" s="8">
        <v>0.004134281461881924</v>
      </c>
      <c r="F987" s="9"/>
      <c r="G987" s="9">
        <v>984.0</v>
      </c>
      <c r="H987" s="10">
        <f t="shared" si="34"/>
        <v>0.01853948131018734</v>
      </c>
      <c r="K987" s="7"/>
    </row>
    <row r="988" spans="8:8">
      <c r="B988" s="7">
        <v>44781.0</v>
      </c>
      <c r="C988" s="8">
        <v>1825.53</v>
      </c>
      <c r="D988" s="8">
        <f t="shared" si="33"/>
        <v>0.023606197047262807</v>
      </c>
      <c r="E988" s="8">
        <v>0.004122663353476001</v>
      </c>
      <c r="F988" s="9"/>
      <c r="G988" s="9">
        <v>985.0</v>
      </c>
      <c r="H988" s="10">
        <f t="shared" si="34"/>
        <v>0.00982104823715253</v>
      </c>
      <c r="K988" s="7"/>
    </row>
    <row r="989" spans="8:8">
      <c r="B989" s="7">
        <v>44689.0</v>
      </c>
      <c r="C989" s="8">
        <v>1783.43</v>
      </c>
      <c r="D989" s="8">
        <f t="shared" si="33"/>
        <v>0.004132673456863191</v>
      </c>
      <c r="E989" s="8">
        <v>0.004118183577015586</v>
      </c>
      <c r="F989" s="9"/>
      <c r="G989" s="9">
        <v>986.0</v>
      </c>
      <c r="H989" s="10">
        <f t="shared" si="34"/>
        <v>0.0128838291307074</v>
      </c>
      <c r="K989" s="7"/>
    </row>
    <row r="990" spans="8:8">
      <c r="B990" s="7">
        <v>44659.0</v>
      </c>
      <c r="C990" s="8">
        <v>1776.09</v>
      </c>
      <c r="D990" s="8">
        <f t="shared" si="33"/>
        <v>-0.005420630876316695</v>
      </c>
      <c r="E990" s="8">
        <v>0.004108069207472433</v>
      </c>
      <c r="F990" s="9"/>
      <c r="G990" s="9">
        <v>987.0</v>
      </c>
      <c r="H990" s="10">
        <f t="shared" si="34"/>
        <v>0.01218236627934114</v>
      </c>
      <c r="K990" s="7"/>
    </row>
    <row r="991" spans="8:8">
      <c r="B991" s="7">
        <v>44628.0</v>
      </c>
      <c r="C991" s="8">
        <v>1785.77</v>
      </c>
      <c r="D991" s="8">
        <f t="shared" si="33"/>
        <v>-0.001816637041508759</v>
      </c>
      <c r="E991" s="8">
        <v>0.004077366933584523</v>
      </c>
      <c r="F991" s="9"/>
      <c r="G991" s="9">
        <v>988.0</v>
      </c>
      <c r="H991" s="10">
        <f t="shared" si="34"/>
        <v>-0.004281221482400507</v>
      </c>
      <c r="K991" s="7"/>
    </row>
    <row r="992" spans="8:8">
      <c r="B992" s="7">
        <v>44600.0</v>
      </c>
      <c r="C992" s="8">
        <v>1789.02</v>
      </c>
      <c r="D992" s="8">
        <f t="shared" si="33"/>
        <v>-0.011929615269907497</v>
      </c>
      <c r="E992" s="8">
        <v>0.004075905385540599</v>
      </c>
      <c r="F992" s="9"/>
      <c r="G992" s="9">
        <v>989.0</v>
      </c>
      <c r="H992" s="10">
        <f t="shared" si="34"/>
        <v>0.002975889934173444</v>
      </c>
      <c r="K992" s="7"/>
    </row>
    <row r="993" spans="8:8">
      <c r="B993" s="7">
        <v>44569.0</v>
      </c>
      <c r="C993" s="8">
        <v>1810.62</v>
      </c>
      <c r="D993" s="8">
        <f t="shared" si="33"/>
        <v>0.0036807503409127997</v>
      </c>
      <c r="E993" s="8">
        <v>0.004060638873849486</v>
      </c>
      <c r="F993" s="9"/>
      <c r="G993" s="9">
        <v>990.0</v>
      </c>
      <c r="H993" s="10">
        <f t="shared" si="34"/>
        <v>-0.006956091702572823</v>
      </c>
      <c r="K993" s="7"/>
    </row>
    <row r="994" spans="8:8">
      <c r="B994" s="7" t="s">
        <v>9189</v>
      </c>
      <c r="C994" s="8">
        <v>1803.98</v>
      </c>
      <c r="D994" s="8">
        <f t="shared" si="33"/>
        <v>0.0037725350545292527</v>
      </c>
      <c r="E994" s="8">
        <v>0.004059247743662863</v>
      </c>
      <c r="F994" s="9"/>
      <c r="G994" s="9">
        <v>991.0</v>
      </c>
      <c r="H994" s="10">
        <f t="shared" si="34"/>
        <v>6.629575419519634E-4</v>
      </c>
      <c r="K994" s="7"/>
    </row>
    <row r="995" spans="8:8">
      <c r="B995" s="7" t="s">
        <v>9190</v>
      </c>
      <c r="C995" s="8">
        <v>1797.2</v>
      </c>
      <c r="D995" s="8">
        <f t="shared" si="33"/>
        <v>0.002560512325603531</v>
      </c>
      <c r="E995" s="8">
        <v>0.004051215364609337</v>
      </c>
      <c r="F995" s="9"/>
      <c r="G995" s="9">
        <v>992.0</v>
      </c>
      <c r="H995" s="10">
        <f t="shared" si="34"/>
        <v>0.018169044316403263</v>
      </c>
      <c r="K995" s="7"/>
    </row>
    <row r="996" spans="8:8">
      <c r="B996" s="7" t="s">
        <v>9191</v>
      </c>
      <c r="C996" s="8">
        <v>1792.61</v>
      </c>
      <c r="D996" s="8">
        <f t="shared" si="33"/>
        <v>0.025925565583668587</v>
      </c>
      <c r="E996" s="8">
        <v>0.004049899491545411</v>
      </c>
      <c r="F996" s="9"/>
      <c r="G996" s="9">
        <v>993.0</v>
      </c>
      <c r="H996" s="10">
        <f t="shared" si="34"/>
        <v>-0.012196368945178584</v>
      </c>
      <c r="K996" s="7"/>
    </row>
    <row r="997" spans="8:8">
      <c r="B997" s="7" t="s">
        <v>9192</v>
      </c>
      <c r="C997" s="8">
        <v>1747.31</v>
      </c>
      <c r="D997" s="8">
        <f t="shared" si="33"/>
        <v>-0.01750410472099149</v>
      </c>
      <c r="E997" s="8">
        <v>0.004041829729903046</v>
      </c>
      <c r="F997" s="9"/>
      <c r="G997" s="9">
        <v>994.0</v>
      </c>
      <c r="H997" s="10">
        <f t="shared" si="34"/>
        <v>0.002894138254821158</v>
      </c>
      <c r="K997" s="7"/>
    </row>
    <row r="998" spans="8:8">
      <c r="B998" s="7" t="s">
        <v>9193</v>
      </c>
      <c r="C998" s="8">
        <v>1778.44</v>
      </c>
      <c r="D998" s="8">
        <f t="shared" si="33"/>
        <v>0.008317411000300534</v>
      </c>
      <c r="E998" s="8">
        <v>0.004026578733699015</v>
      </c>
      <c r="F998" s="9"/>
      <c r="G998" s="9">
        <v>995.0</v>
      </c>
      <c r="H998" s="10">
        <f t="shared" si="34"/>
        <v>-0.015593858616752755</v>
      </c>
      <c r="K998" s="7"/>
    </row>
    <row r="999" spans="8:8">
      <c r="B999" s="7" t="s">
        <v>9194</v>
      </c>
      <c r="C999" s="8">
        <v>1763.77</v>
      </c>
      <c r="D999" s="8">
        <f t="shared" si="33"/>
        <v>0.0014706049353274044</v>
      </c>
      <c r="E999" s="8">
        <v>0.00400114318376679</v>
      </c>
      <c r="F999" s="9"/>
      <c r="G999" s="9">
        <v>996.0</v>
      </c>
      <c r="H999" s="10">
        <f t="shared" si="34"/>
        <v>0.0022926901455411876</v>
      </c>
      <c r="K999" s="7"/>
    </row>
    <row r="1000" spans="8:8">
      <c r="B1000" s="7" t="s">
        <v>9195</v>
      </c>
      <c r="C1000" s="8">
        <v>1761.18</v>
      </c>
      <c r="D1000" s="8">
        <f t="shared" si="33"/>
        <v>0.014481233151309936</v>
      </c>
      <c r="E1000" s="8">
        <v>0.003992273019961395</v>
      </c>
      <c r="F1000" s="9"/>
      <c r="G1000" s="9">
        <v>997.0</v>
      </c>
      <c r="H1000" s="10">
        <f t="shared" si="34"/>
        <v>-8.529972865951255E-4</v>
      </c>
      <c r="K1000" s="7"/>
    </row>
    <row r="1001" spans="8:8">
      <c r="B1001" s="7" t="s">
        <v>9196</v>
      </c>
      <c r="C1001" s="8">
        <v>1736.04</v>
      </c>
      <c r="D1001" s="8">
        <f t="shared" si="33"/>
        <v>0.0058693674641203085</v>
      </c>
      <c r="E1001" s="8">
        <v>0.003990724262525073</v>
      </c>
      <c r="F1001" s="9"/>
      <c r="G1001" s="9">
        <v>998.0</v>
      </c>
      <c r="H1001" s="10">
        <f t="shared" si="34"/>
        <v>0.014461814205687665</v>
      </c>
      <c r="K1001" s="7"/>
    </row>
    <row r="1002" spans="8:8">
      <c r="B1002" s="7" t="s">
        <v>9197</v>
      </c>
      <c r="C1002" s="8">
        <v>1725.91</v>
      </c>
      <c r="D1002" s="8">
        <f t="shared" si="33"/>
        <v>0.0012472734023298434</v>
      </c>
      <c r="E1002" s="8">
        <v>0.003988542006599224</v>
      </c>
      <c r="F1002" s="9"/>
      <c r="G1002" s="9">
        <v>999.0</v>
      </c>
      <c r="H1002" s="10">
        <f t="shared" si="34"/>
        <v>0.006404079588949637</v>
      </c>
      <c r="K1002" s="7"/>
    </row>
    <row r="1003" spans="8:8">
      <c r="B1003" s="7" t="s">
        <v>9198</v>
      </c>
      <c r="C1003" s="8">
        <v>1723.76</v>
      </c>
      <c r="D1003" s="8">
        <f t="shared" si="33"/>
        <v>0.02540064007233534</v>
      </c>
      <c r="E1003" s="8">
        <v>0.003986636345770464</v>
      </c>
      <c r="F1003" s="9"/>
      <c r="G1003" s="9">
        <v>1000.0</v>
      </c>
      <c r="H1003" s="10">
        <f t="shared" si="34"/>
        <v>0.0012907154911984244</v>
      </c>
      <c r="K1003" s="7"/>
    </row>
    <row r="1004" spans="8:8">
      <c r="B1004" s="7" t="s">
        <v>9199</v>
      </c>
      <c r="C1004" s="8">
        <v>1681.06</v>
      </c>
      <c r="D1004" s="8">
        <f t="shared" si="33"/>
        <v>0.02350756491826229</v>
      </c>
      <c r="E1004" s="8">
        <v>0.0039654250579219796</v>
      </c>
      <c r="F1004" s="9"/>
      <c r="G1004" s="9">
        <v>1001.0</v>
      </c>
      <c r="H1004" s="10">
        <f t="shared" si="34"/>
        <v>0.003552735326152677</v>
      </c>
      <c r="K1004" s="7"/>
    </row>
    <row r="1005" spans="8:8">
      <c r="B1005" s="7" t="s">
        <v>9200</v>
      </c>
      <c r="C1005" s="8">
        <v>1642.45</v>
      </c>
      <c r="D1005" s="8">
        <f t="shared" si="33"/>
        <v>-6.632025992673852E-4</v>
      </c>
      <c r="E1005" s="8">
        <v>0.003953719234587248</v>
      </c>
      <c r="F1005" s="9"/>
      <c r="G1005" s="9">
        <v>1002.0</v>
      </c>
      <c r="H1005" s="10">
        <f t="shared" si="34"/>
        <v>-0.016477475432458456</v>
      </c>
      <c r="K1005" s="7"/>
    </row>
    <row r="1006" spans="8:8">
      <c r="B1006" s="7" t="s">
        <v>9201</v>
      </c>
      <c r="C1006" s="8">
        <v>1643.54</v>
      </c>
      <c r="D1006" s="8">
        <f t="shared" si="33"/>
        <v>-0.0039332618194820755</v>
      </c>
      <c r="E1006" s="8">
        <v>0.003931078493937483</v>
      </c>
      <c r="F1006" s="9"/>
      <c r="G1006" s="9">
        <v>1003.0</v>
      </c>
      <c r="H1006" s="10">
        <f t="shared" si="34"/>
        <v>-0.004244467182422484</v>
      </c>
      <c r="K1006" s="7"/>
    </row>
    <row r="1007" spans="8:8">
      <c r="B1007" s="7">
        <v>44902.0</v>
      </c>
      <c r="C1007" s="8">
        <v>1650.03</v>
      </c>
      <c r="D1007" s="8">
        <f t="shared" si="33"/>
        <v>-0.0055627207309282565</v>
      </c>
      <c r="E1007" s="8">
        <v>0.003923150252988127</v>
      </c>
      <c r="F1007" s="9"/>
      <c r="G1007" s="9">
        <v>1004.0</v>
      </c>
      <c r="H1007" s="10">
        <f t="shared" si="34"/>
        <v>-0.004518756662489417</v>
      </c>
      <c r="K1007" s="7"/>
    </row>
    <row r="1008" spans="8:8">
      <c r="B1008" s="7">
        <v>44872.0</v>
      </c>
      <c r="C1008" s="8">
        <v>1659.26</v>
      </c>
      <c r="D1008" s="8">
        <f t="shared" si="33"/>
        <v>-0.014486383749591719</v>
      </c>
      <c r="E1008" s="8">
        <v>0.003920885248758386</v>
      </c>
      <c r="F1008" s="9"/>
      <c r="G1008" s="9">
        <v>1005.0</v>
      </c>
      <c r="H1008" s="10">
        <f t="shared" si="34"/>
        <v>-0.010285712612087088</v>
      </c>
      <c r="K1008" s="7"/>
    </row>
    <row r="1009" spans="8:8">
      <c r="B1009" s="7">
        <v>44780.0</v>
      </c>
      <c r="C1009" s="8">
        <v>1683.65</v>
      </c>
      <c r="D1009" s="8">
        <f t="shared" si="33"/>
        <v>0.047391242138267</v>
      </c>
      <c r="E1009" s="8">
        <v>0.0038990760884919976</v>
      </c>
      <c r="F1009" s="9"/>
      <c r="G1009" s="9">
        <v>1006.0</v>
      </c>
      <c r="H1009" s="10">
        <f t="shared" si="34"/>
        <v>0.03336004183121055</v>
      </c>
      <c r="K1009" s="7"/>
    </row>
    <row r="1010" spans="8:8">
      <c r="B1010" s="7">
        <v>44749.0</v>
      </c>
      <c r="C1010" s="8">
        <v>1607.47</v>
      </c>
      <c r="D1010" s="8">
        <f t="shared" si="33"/>
        <v>0.035307377709077985</v>
      </c>
      <c r="E1010" s="8">
        <v>0.003899010806517781</v>
      </c>
      <c r="F1010" s="9"/>
      <c r="G1010" s="9">
        <v>1007.0</v>
      </c>
      <c r="H1010" s="10">
        <f t="shared" si="34"/>
        <v>-0.004032455254366681</v>
      </c>
      <c r="K1010" s="7"/>
    </row>
    <row r="1011" spans="8:8">
      <c r="B1011" s="7">
        <v>44719.0</v>
      </c>
      <c r="C1011" s="8">
        <v>1552.65</v>
      </c>
      <c r="D1011" s="8">
        <f t="shared" si="33"/>
        <v>-0.0055912077777350916</v>
      </c>
      <c r="E1011" s="8">
        <v>0.003884589152803697</v>
      </c>
      <c r="F1011" s="9"/>
      <c r="G1011" s="9">
        <v>1008.0</v>
      </c>
      <c r="H1011" s="10">
        <f t="shared" si="34"/>
        <v>-0.0022390631079858463</v>
      </c>
      <c r="K1011" s="7"/>
    </row>
    <row r="1012" spans="8:8">
      <c r="B1012" s="7">
        <v>44688.0</v>
      </c>
      <c r="C1012" s="8">
        <v>1561.38</v>
      </c>
      <c r="D1012" s="8">
        <f t="shared" si="33"/>
        <v>-0.010620097076305011</v>
      </c>
      <c r="E1012" s="8">
        <v>0.003880924116519039</v>
      </c>
      <c r="F1012" s="9"/>
      <c r="G1012" s="9">
        <v>1009.0</v>
      </c>
      <c r="H1012" s="10">
        <f t="shared" si="34"/>
        <v>-0.006874307511315418</v>
      </c>
      <c r="K1012" s="7"/>
    </row>
    <row r="1013" spans="8:8">
      <c r="B1013" s="7">
        <v>44658.0</v>
      </c>
      <c r="C1013" s="8">
        <v>1578.14</v>
      </c>
      <c r="D1013" s="8">
        <f t="shared" si="33"/>
        <v>0.006075442589298934</v>
      </c>
      <c r="E1013" s="8">
        <v>0.003879673882485206</v>
      </c>
      <c r="F1013" s="9"/>
      <c r="G1013" s="9">
        <v>1010.0</v>
      </c>
      <c r="H1013" s="10">
        <f t="shared" si="34"/>
        <v>-0.013018438558271481</v>
      </c>
      <c r="K1013" s="7"/>
    </row>
    <row r="1014" spans="8:8">
      <c r="B1014" s="7">
        <v>44568.0</v>
      </c>
      <c r="C1014" s="8">
        <v>1568.61</v>
      </c>
      <c r="D1014" s="8">
        <f t="shared" si="33"/>
        <v>0.008921105779744453</v>
      </c>
      <c r="E1014" s="8">
        <v>0.0038793800176009563</v>
      </c>
      <c r="F1014" s="9"/>
      <c r="G1014" s="9">
        <v>1011.0</v>
      </c>
      <c r="H1014" s="10">
        <f t="shared" si="34"/>
        <v>-0.014651270684807267</v>
      </c>
      <c r="K1014" s="7"/>
    </row>
    <row r="1015" spans="8:8">
      <c r="B1015" s="7" t="s">
        <v>9202</v>
      </c>
      <c r="C1015" s="8">
        <v>1554.74</v>
      </c>
      <c r="D1015" s="8">
        <f t="shared" si="33"/>
        <v>0.006682120148664182</v>
      </c>
      <c r="E1015" s="8">
        <v>0.003849114703618168</v>
      </c>
      <c r="F1015" s="9"/>
      <c r="G1015" s="9">
        <v>1012.0</v>
      </c>
      <c r="H1015" s="10">
        <f t="shared" si="34"/>
        <v>-0.004065140638816574</v>
      </c>
      <c r="K1015" s="7"/>
    </row>
    <row r="1016" spans="8:8">
      <c r="B1016" s="7" t="s">
        <v>9203</v>
      </c>
      <c r="C1016" s="8">
        <v>1544.42</v>
      </c>
      <c r="D1016" s="8">
        <f t="shared" si="33"/>
        <v>-0.0023191064657204527</v>
      </c>
      <c r="E1016" s="8">
        <v>0.0038355217691775773</v>
      </c>
      <c r="F1016" s="9"/>
      <c r="G1016" s="9">
        <v>1013.0</v>
      </c>
      <c r="H1016" s="10">
        <f t="shared" si="34"/>
        <v>0.012647791818170998</v>
      </c>
      <c r="K1016" s="7"/>
    </row>
    <row r="1017" spans="8:8">
      <c r="B1017" s="7" t="s">
        <v>9204</v>
      </c>
      <c r="C1017" s="8">
        <v>1548.01</v>
      </c>
      <c r="D1017" s="8">
        <f t="shared" si="33"/>
        <v>0.010226190010050037</v>
      </c>
      <c r="E1017" s="8">
        <v>0.003831865913944003</v>
      </c>
      <c r="F1017" s="9"/>
      <c r="G1017" s="9">
        <v>1014.0</v>
      </c>
      <c r="H1017" s="10">
        <f t="shared" si="34"/>
        <v>0.010656180185866261</v>
      </c>
      <c r="K1017" s="7"/>
    </row>
    <row r="1018" spans="8:8">
      <c r="B1018" s="7" t="s">
        <v>9205</v>
      </c>
      <c r="C1018" s="8">
        <v>1532.34</v>
      </c>
      <c r="D1018" s="8">
        <f t="shared" si="33"/>
        <v>0.02738871866388639</v>
      </c>
      <c r="E1018" s="8">
        <v>0.003820018365472944</v>
      </c>
      <c r="F1018" s="9"/>
      <c r="G1018" s="9">
        <v>1015.0</v>
      </c>
      <c r="H1018" s="10">
        <f t="shared" si="34"/>
        <v>-0.012741200772031353</v>
      </c>
      <c r="K1018" s="7"/>
    </row>
    <row r="1019" spans="8:8">
      <c r="B1019" s="7" t="s">
        <v>9206</v>
      </c>
      <c r="C1019" s="8">
        <v>1491.49</v>
      </c>
      <c r="D1019" s="8">
        <f t="shared" si="33"/>
        <v>3.6889479120551764E-4</v>
      </c>
      <c r="E1019" s="8">
        <v>0.003805426869622794</v>
      </c>
      <c r="F1019" s="9"/>
      <c r="G1019" s="9">
        <v>1016.0</v>
      </c>
      <c r="H1019" s="10">
        <f t="shared" si="34"/>
        <v>-0.014143735921323699</v>
      </c>
      <c r="K1019" s="7"/>
    </row>
    <row r="1020" spans="8:8">
      <c r="B1020" s="7" t="s">
        <v>9207</v>
      </c>
      <c r="C1020" s="8">
        <v>1490.94</v>
      </c>
      <c r="D1020" s="8">
        <f t="shared" si="33"/>
        <v>0.010519038646622644</v>
      </c>
      <c r="E1020" s="8">
        <v>0.003787936180851225</v>
      </c>
      <c r="F1020" s="9"/>
      <c r="G1020" s="9">
        <v>1017.0</v>
      </c>
      <c r="H1020" s="10">
        <f t="shared" si="34"/>
        <v>-0.0072448274098891015</v>
      </c>
      <c r="K1020" s="7"/>
    </row>
    <row r="1021" spans="8:8">
      <c r="B1021" s="7" t="s">
        <v>9208</v>
      </c>
      <c r="C1021" s="8">
        <v>1475.42</v>
      </c>
      <c r="D1021" s="8">
        <f t="shared" si="33"/>
        <v>-0.014362825000668038</v>
      </c>
      <c r="E1021" s="8">
        <v>0.0037849647659784543</v>
      </c>
      <c r="F1021" s="9"/>
      <c r="G1021" s="9">
        <v>1018.0</v>
      </c>
      <c r="H1021" s="10">
        <f t="shared" si="34"/>
        <v>-0.0029938680878263055</v>
      </c>
      <c r="K1021" s="7"/>
    </row>
    <row r="1022" spans="8:8">
      <c r="B1022" s="7" t="s">
        <v>9209</v>
      </c>
      <c r="C1022" s="8">
        <v>1496.92</v>
      </c>
      <c r="D1022" s="8">
        <f t="shared" si="33"/>
        <v>0.01936002288064615</v>
      </c>
      <c r="E1022" s="8">
        <v>0.0037757355560304583</v>
      </c>
      <c r="F1022" s="9"/>
      <c r="G1022" s="9">
        <v>1019.0</v>
      </c>
      <c r="H1022" s="10">
        <f t="shared" si="34"/>
        <v>0.03678042373837019</v>
      </c>
      <c r="K1022" s="7"/>
    </row>
    <row r="1023" spans="8:8">
      <c r="B1023" s="7" t="s">
        <v>9210</v>
      </c>
      <c r="C1023" s="8">
        <v>1468.49</v>
      </c>
      <c r="D1023" s="8">
        <f t="shared" si="33"/>
        <v>-0.012182160635005988</v>
      </c>
      <c r="E1023" s="8">
        <v>0.00377143358330047</v>
      </c>
      <c r="F1023" s="9"/>
      <c r="G1023" s="9">
        <v>1020.0</v>
      </c>
      <c r="H1023" s="10">
        <f t="shared" si="34"/>
        <v>0.0043679244411951625</v>
      </c>
      <c r="K1023" s="7"/>
    </row>
    <row r="1024" spans="8:8">
      <c r="B1024" s="7" t="s">
        <v>9211</v>
      </c>
      <c r="C1024" s="8">
        <v>1486.6</v>
      </c>
      <c r="D1024" s="8">
        <f t="shared" si="33"/>
        <v>-0.02451507913593541</v>
      </c>
      <c r="E1024" s="8">
        <v>0.003761005214120748</v>
      </c>
      <c r="F1024" s="9"/>
      <c r="G1024" s="9">
        <v>1021.0</v>
      </c>
      <c r="H1024" s="10">
        <f t="shared" si="34"/>
        <v>-0.00860005346185743</v>
      </c>
      <c r="K1024" s="7"/>
    </row>
    <row r="1025" spans="8:8">
      <c r="B1025" s="7" t="s">
        <v>9212</v>
      </c>
      <c r="C1025" s="8">
        <v>1523.96</v>
      </c>
      <c r="D1025" s="8">
        <f t="shared" si="33"/>
        <v>-0.021119704015826857</v>
      </c>
      <c r="E1025" s="8">
        <v>0.0037447683383507666</v>
      </c>
      <c r="F1025" s="9"/>
      <c r="G1025" s="9">
        <v>1022.0</v>
      </c>
      <c r="H1025" s="10">
        <f t="shared" si="34"/>
        <v>0.010253516764286838</v>
      </c>
      <c r="K1025" s="7"/>
    </row>
    <row r="1026" spans="8:8">
      <c r="B1026" s="7" t="s">
        <v>9213</v>
      </c>
      <c r="C1026" s="8">
        <v>1556.84</v>
      </c>
      <c r="D1026" s="8">
        <f t="shared" si="33"/>
        <v>0.010161045432720289</v>
      </c>
      <c r="E1026" s="8">
        <v>0.0037262872628725774</v>
      </c>
      <c r="F1026" s="9"/>
      <c r="G1026" s="9">
        <v>1023.0</v>
      </c>
      <c r="H1026" s="10">
        <f t="shared" si="34"/>
        <v>0.014692602007768906</v>
      </c>
      <c r="K1026" s="7"/>
    </row>
    <row r="1027" spans="8:8">
      <c r="B1027" s="7" t="s">
        <v>9214</v>
      </c>
      <c r="C1027" s="8">
        <v>1541.18</v>
      </c>
      <c r="D1027" s="8">
        <f t="shared" si="33"/>
        <v>0.008229752714902627</v>
      </c>
      <c r="E1027" s="8">
        <v>0.0037076436907480708</v>
      </c>
      <c r="F1027" s="9"/>
      <c r="G1027" s="9">
        <v>1024.0</v>
      </c>
      <c r="H1027" s="10">
        <f t="shared" si="34"/>
        <v>0.012264770927925113</v>
      </c>
      <c r="K1027" s="7"/>
    </row>
    <row r="1028" spans="8:8">
      <c r="B1028" s="7" t="s">
        <v>9215</v>
      </c>
      <c r="C1028" s="8">
        <v>1528.6</v>
      </c>
      <c r="D1028" s="8">
        <f t="shared" si="35" ref="D1028:D1091">(C1028-C1029)/C1029</f>
        <v>-0.033467591509487686</v>
      </c>
      <c r="E1028" s="8">
        <v>0.0037004698349341362</v>
      </c>
      <c r="F1028" s="9"/>
      <c r="G1028" s="9">
        <v>1025.0</v>
      </c>
      <c r="H1028" s="10">
        <f t="shared" si="34"/>
        <v>0.014560716700144673</v>
      </c>
      <c r="K1028" s="7"/>
    </row>
    <row r="1029" spans="8:8">
      <c r="B1029" s="7">
        <v>44840.0</v>
      </c>
      <c r="C1029" s="8">
        <v>1581.53</v>
      </c>
      <c r="D1029" s="8">
        <f t="shared" si="35"/>
        <v>-0.006270774296108738</v>
      </c>
      <c r="E1029" s="8">
        <v>0.0036862052852915926</v>
      </c>
      <c r="F1029" s="9"/>
      <c r="G1029" s="9">
        <v>1026.0</v>
      </c>
      <c r="H1029" s="10">
        <f t="shared" si="36" ref="H1029:H1092">_xlfn.NORM.INV(RAND(),N$6,N$7)</f>
        <v>-0.014959412449177523</v>
      </c>
      <c r="K1029" s="7"/>
    </row>
    <row r="1030" spans="8:8">
      <c r="B1030" s="7">
        <v>44810.0</v>
      </c>
      <c r="C1030" s="8">
        <v>1591.51</v>
      </c>
      <c r="D1030" s="8">
        <f t="shared" si="35"/>
        <v>0.00666042581183821</v>
      </c>
      <c r="E1030" s="8">
        <v>0.003676470588235294</v>
      </c>
      <c r="F1030" s="9"/>
      <c r="G1030" s="9">
        <v>1027.0</v>
      </c>
      <c r="H1030" s="10">
        <f t="shared" si="36"/>
        <v>0.0018294963551266452</v>
      </c>
      <c r="K1030" s="7"/>
    </row>
    <row r="1031" spans="8:8">
      <c r="B1031" s="7">
        <v>44779.0</v>
      </c>
      <c r="C1031" s="8">
        <v>1580.98</v>
      </c>
      <c r="D1031" s="8">
        <f t="shared" si="35"/>
        <v>-0.0030834809915061593</v>
      </c>
      <c r="E1031" s="8">
        <v>0.0036461331798118926</v>
      </c>
      <c r="F1031" s="9"/>
      <c r="G1031" s="9">
        <v>1028.0</v>
      </c>
      <c r="H1031" s="10">
        <f t="shared" si="36"/>
        <v>0.021154946801425458</v>
      </c>
      <c r="K1031" s="7"/>
    </row>
    <row r="1032" spans="8:8">
      <c r="B1032" s="7">
        <v>44748.0</v>
      </c>
      <c r="C1032" s="8">
        <v>1585.87</v>
      </c>
      <c r="D1032" s="8">
        <f t="shared" si="35"/>
        <v>-0.03094389890682006</v>
      </c>
      <c r="E1032" s="8">
        <v>0.0036448097194925204</v>
      </c>
      <c r="F1032" s="9"/>
      <c r="G1032" s="9">
        <v>1029.0</v>
      </c>
      <c r="H1032" s="10">
        <f t="shared" si="36"/>
        <v>0.009216427293125617</v>
      </c>
      <c r="K1032" s="7"/>
    </row>
    <row r="1033" spans="8:8">
      <c r="B1033" s="7">
        <v>44718.0</v>
      </c>
      <c r="C1033" s="8">
        <v>1636.51</v>
      </c>
      <c r="D1033" s="8">
        <f t="shared" si="35"/>
        <v>-0.007170894177743496</v>
      </c>
      <c r="E1033" s="8">
        <v>0.00364312549808353</v>
      </c>
      <c r="F1033" s="9"/>
      <c r="G1033" s="9">
        <v>1030.0</v>
      </c>
      <c r="H1033" s="10">
        <f t="shared" si="36"/>
        <v>0.003992271198136447</v>
      </c>
      <c r="K1033" s="7"/>
    </row>
    <row r="1034" spans="8:8">
      <c r="B1034" s="7">
        <v>44626.0</v>
      </c>
      <c r="C1034" s="8">
        <v>1648.33</v>
      </c>
      <c r="D1034" s="8">
        <f t="shared" si="35"/>
        <v>0.009097197989555914</v>
      </c>
      <c r="E1034" s="8">
        <v>0.003635445594546893</v>
      </c>
      <c r="F1034" s="9"/>
      <c r="G1034" s="9">
        <v>1031.0</v>
      </c>
      <c r="H1034" s="10">
        <f t="shared" si="36"/>
        <v>0.010736828408662734</v>
      </c>
      <c r="K1034" s="7"/>
    </row>
    <row r="1035" spans="8:8">
      <c r="B1035" s="7">
        <v>44598.0</v>
      </c>
      <c r="C1035" s="8">
        <v>1633.47</v>
      </c>
      <c r="D1035" s="8">
        <f t="shared" si="35"/>
        <v>-0.006580347748876376</v>
      </c>
      <c r="E1035" s="8">
        <v>0.003632246804094447</v>
      </c>
      <c r="F1035" s="9"/>
      <c r="G1035" s="9">
        <v>1032.0</v>
      </c>
      <c r="H1035" s="10">
        <f t="shared" si="36"/>
        <v>0.011805167681321217</v>
      </c>
      <c r="K1035" s="7"/>
    </row>
    <row r="1036" spans="8:8">
      <c r="B1036" s="7">
        <v>44567.0</v>
      </c>
      <c r="C1036" s="8">
        <v>1644.29</v>
      </c>
      <c r="D1036" s="8">
        <f t="shared" si="35"/>
        <v>-0.003931474817964847</v>
      </c>
      <c r="E1036" s="8">
        <v>0.0036240229726201153</v>
      </c>
      <c r="F1036" s="9"/>
      <c r="G1036" s="9">
        <v>1033.0</v>
      </c>
      <c r="H1036" s="10">
        <f t="shared" si="36"/>
        <v>0.008906613465596116</v>
      </c>
      <c r="K1036" s="7"/>
    </row>
    <row r="1037" spans="8:8">
      <c r="B1037" s="7" t="s">
        <v>9216</v>
      </c>
      <c r="C1037" s="8">
        <v>1650.78</v>
      </c>
      <c r="D1037" s="8">
        <f t="shared" si="35"/>
        <v>-0.0038199033256693447</v>
      </c>
      <c r="E1037" s="8">
        <v>0.0036203562759699603</v>
      </c>
      <c r="F1037" s="9"/>
      <c r="G1037" s="9">
        <v>1034.0</v>
      </c>
      <c r="H1037" s="10">
        <f t="shared" si="36"/>
        <v>0.00964428199886211</v>
      </c>
      <c r="K1037" s="7"/>
    </row>
    <row r="1038" spans="8:8">
      <c r="B1038" s="7" t="s">
        <v>9217</v>
      </c>
      <c r="C1038" s="8">
        <v>1657.11</v>
      </c>
      <c r="D1038" s="8">
        <f t="shared" si="35"/>
        <v>0.03783428320911872</v>
      </c>
      <c r="E1038" s="8">
        <v>0.003588660519583191</v>
      </c>
      <c r="F1038" s="9"/>
      <c r="G1038" s="9">
        <v>1035.0</v>
      </c>
      <c r="H1038" s="10">
        <f t="shared" si="36"/>
        <v>-4.0458812981231194E-4</v>
      </c>
      <c r="K1038" s="7"/>
    </row>
    <row r="1039" spans="8:8">
      <c r="B1039" s="7" t="s">
        <v>9218</v>
      </c>
      <c r="C1039" s="8">
        <v>1596.7</v>
      </c>
      <c r="D1039" s="8">
        <f t="shared" si="35"/>
        <v>0.020549039659966184</v>
      </c>
      <c r="E1039" s="8">
        <v>0.0035746376528499792</v>
      </c>
      <c r="F1039" s="9"/>
      <c r="G1039" s="9">
        <v>1036.0</v>
      </c>
      <c r="H1039" s="10">
        <f t="shared" si="36"/>
        <v>-0.0102411880730791</v>
      </c>
      <c r="K1039" s="7"/>
    </row>
    <row r="1040" spans="8:8">
      <c r="B1040" s="7" t="s">
        <v>9219</v>
      </c>
      <c r="C1040" s="8">
        <v>1564.55</v>
      </c>
      <c r="D1040" s="8">
        <f t="shared" si="35"/>
        <v>-0.006477218606127985</v>
      </c>
      <c r="E1040" s="8">
        <v>0.0035643985742405946</v>
      </c>
      <c r="F1040" s="9"/>
      <c r="G1040" s="9">
        <v>1037.0</v>
      </c>
      <c r="H1040" s="10">
        <f t="shared" si="36"/>
        <v>0.006334544682634712</v>
      </c>
      <c r="K1040" s="7"/>
    </row>
    <row r="1041" spans="8:8">
      <c r="B1041" s="7" t="s">
        <v>9220</v>
      </c>
      <c r="C1041" s="8">
        <v>1574.75</v>
      </c>
      <c r="D1041" s="8">
        <f t="shared" si="35"/>
        <v>-0.03169771874807843</v>
      </c>
      <c r="E1041" s="8">
        <v>0.003557951482479817</v>
      </c>
      <c r="F1041" s="9"/>
      <c r="G1041" s="9">
        <v>1038.0</v>
      </c>
      <c r="H1041" s="10">
        <f t="shared" si="36"/>
        <v>2.0710281545508477E-4</v>
      </c>
      <c r="K1041" s="7"/>
    </row>
    <row r="1042" spans="8:8">
      <c r="B1042" s="7" t="s">
        <v>9221</v>
      </c>
      <c r="C1042" s="8">
        <v>1626.3</v>
      </c>
      <c r="D1042" s="8">
        <f t="shared" si="35"/>
        <v>-0.010856673661162384</v>
      </c>
      <c r="E1042" s="8">
        <v>0.003547516738283232</v>
      </c>
      <c r="F1042" s="9"/>
      <c r="G1042" s="9">
        <v>1039.0</v>
      </c>
      <c r="H1042" s="10">
        <f t="shared" si="36"/>
        <v>-0.004376297575804512</v>
      </c>
      <c r="K1042" s="7"/>
    </row>
    <row r="1043" spans="8:8">
      <c r="B1043" s="7" t="s">
        <v>9222</v>
      </c>
      <c r="C1043" s="8">
        <v>1644.15</v>
      </c>
      <c r="D1043" s="8">
        <f t="shared" si="35"/>
        <v>0.021147754797838758</v>
      </c>
      <c r="E1043" s="8">
        <v>0.00354699771978718</v>
      </c>
      <c r="F1043" s="9"/>
      <c r="G1043" s="9">
        <v>1040.0</v>
      </c>
      <c r="H1043" s="10">
        <f t="shared" si="36"/>
        <v>-0.0012858872079567329</v>
      </c>
      <c r="K1043" s="7"/>
    </row>
    <row r="1044" spans="8:8">
      <c r="B1044" s="7" t="s">
        <v>9223</v>
      </c>
      <c r="C1044" s="8">
        <v>1610.1</v>
      </c>
      <c r="D1044" s="8">
        <f t="shared" si="35"/>
        <v>0.040149875641978014</v>
      </c>
      <c r="E1044" s="8">
        <v>0.0035453373442200582</v>
      </c>
      <c r="F1044" s="9"/>
      <c r="G1044" s="9">
        <v>1041.0</v>
      </c>
      <c r="H1044" s="10">
        <f t="shared" si="36"/>
        <v>0.005555344236074523</v>
      </c>
      <c r="K1044" s="7"/>
    </row>
    <row r="1045" spans="8:8">
      <c r="B1045" s="7" t="s">
        <v>9224</v>
      </c>
      <c r="C1045" s="8">
        <v>1547.95</v>
      </c>
      <c r="D1045" s="8">
        <f t="shared" si="35"/>
        <v>-0.015612082670906172</v>
      </c>
      <c r="E1045" s="8">
        <v>0.0035438331493639324</v>
      </c>
      <c r="F1045" s="9"/>
      <c r="G1045" s="9">
        <v>1042.0</v>
      </c>
      <c r="H1045" s="10">
        <f t="shared" si="36"/>
        <v>0.011000460718283912</v>
      </c>
      <c r="K1045" s="7"/>
    </row>
    <row r="1046" spans="8:8">
      <c r="B1046" s="7" t="s">
        <v>9225</v>
      </c>
      <c r="C1046" s="8">
        <v>1572.5</v>
      </c>
      <c r="D1046" s="8">
        <f t="shared" si="35"/>
        <v>-0.019699519980051063</v>
      </c>
      <c r="E1046" s="8">
        <v>0.0035321647754867763</v>
      </c>
      <c r="F1046" s="9"/>
      <c r="G1046" s="9">
        <v>1043.0</v>
      </c>
      <c r="H1046" s="10">
        <f t="shared" si="36"/>
        <v>-0.003019311555405536</v>
      </c>
      <c r="K1046" s="7"/>
    </row>
    <row r="1047" spans="8:8">
      <c r="B1047" s="7" t="s">
        <v>9226</v>
      </c>
      <c r="C1047" s="8">
        <v>1604.1</v>
      </c>
      <c r="D1047" s="8">
        <f t="shared" si="35"/>
        <v>0.03966556484542084</v>
      </c>
      <c r="E1047" s="8">
        <v>0.003506056633869886</v>
      </c>
      <c r="F1047" s="9"/>
      <c r="G1047" s="9">
        <v>1044.0</v>
      </c>
      <c r="H1047" s="10">
        <f t="shared" si="36"/>
        <v>0.0076307685399724205</v>
      </c>
      <c r="K1047" s="7"/>
    </row>
    <row r="1048" spans="8:8">
      <c r="B1048" s="7" t="s">
        <v>9227</v>
      </c>
      <c r="C1048" s="8">
        <v>1542.9</v>
      </c>
      <c r="D1048" s="8">
        <f t="shared" si="35"/>
        <v>0.005474095796676501</v>
      </c>
      <c r="E1048" s="8">
        <v>0.003505008233747763</v>
      </c>
      <c r="F1048" s="9"/>
      <c r="G1048" s="9">
        <v>1045.0</v>
      </c>
      <c r="H1048" s="10">
        <f t="shared" si="36"/>
        <v>-0.004299877323988719</v>
      </c>
      <c r="K1048" s="7"/>
    </row>
    <row r="1049" spans="8:8">
      <c r="B1049" s="7" t="s">
        <v>9228</v>
      </c>
      <c r="C1049" s="8">
        <v>1534.5</v>
      </c>
      <c r="D1049" s="8">
        <f t="shared" si="35"/>
        <v>0.005471283949808281</v>
      </c>
      <c r="E1049" s="8">
        <v>0.00349882720875677</v>
      </c>
      <c r="F1049" s="9"/>
      <c r="G1049" s="9">
        <v>1046.0</v>
      </c>
      <c r="H1049" s="10">
        <f t="shared" si="36"/>
        <v>3.1954039699256045E-4</v>
      </c>
      <c r="K1049" s="7"/>
    </row>
    <row r="1050" spans="8:8">
      <c r="B1050" s="7">
        <v>44900.0</v>
      </c>
      <c r="C1050" s="8">
        <v>1526.15</v>
      </c>
      <c r="D1050" s="8">
        <f t="shared" si="35"/>
        <v>-0.02842500636618275</v>
      </c>
      <c r="E1050" s="8">
        <v>0.0034916437845349765</v>
      </c>
      <c r="F1050" s="9"/>
      <c r="G1050" s="9">
        <v>1047.0</v>
      </c>
      <c r="H1050" s="10">
        <f t="shared" si="36"/>
        <v>0.003908104894698233</v>
      </c>
      <c r="K1050" s="7"/>
    </row>
    <row r="1051" spans="8:8">
      <c r="B1051" s="7">
        <v>44870.0</v>
      </c>
      <c r="C1051" s="8">
        <v>1570.8</v>
      </c>
      <c r="D1051" s="8">
        <f t="shared" si="35"/>
        <v>-0.02310395223732087</v>
      </c>
      <c r="E1051" s="8">
        <v>0.0034888534090237663</v>
      </c>
      <c r="F1051" s="9"/>
      <c r="G1051" s="9">
        <v>1048.0</v>
      </c>
      <c r="H1051" s="10">
        <f t="shared" si="36"/>
        <v>0.01734192547994597</v>
      </c>
      <c r="K1051" s="7"/>
    </row>
    <row r="1052" spans="8:8">
      <c r="B1052" s="7">
        <v>44839.0</v>
      </c>
      <c r="C1052" s="8">
        <v>1607.95</v>
      </c>
      <c r="D1052" s="8">
        <f t="shared" si="35"/>
        <v>-0.005073786467840265</v>
      </c>
      <c r="E1052" s="8">
        <v>0.0034869282713340475</v>
      </c>
      <c r="F1052" s="9"/>
      <c r="G1052" s="9">
        <v>1049.0</v>
      </c>
      <c r="H1052" s="10">
        <f t="shared" si="36"/>
        <v>0.013686577542016277</v>
      </c>
      <c r="K1052" s="7"/>
    </row>
    <row r="1053" spans="8:8">
      <c r="B1053" s="7">
        <v>44809.0</v>
      </c>
      <c r="C1053" s="8">
        <v>1616.15</v>
      </c>
      <c r="D1053" s="8">
        <f t="shared" si="35"/>
        <v>-0.003883016425775805</v>
      </c>
      <c r="E1053" s="8">
        <v>0.003483706820628277</v>
      </c>
      <c r="F1053" s="9"/>
      <c r="G1053" s="9">
        <v>1050.0</v>
      </c>
      <c r="H1053" s="10">
        <f t="shared" si="36"/>
        <v>0.005514067310126998</v>
      </c>
      <c r="K1053" s="7"/>
    </row>
    <row r="1054" spans="8:8">
      <c r="B1054" s="7">
        <v>44717.0</v>
      </c>
      <c r="C1054" s="8">
        <v>1622.45</v>
      </c>
      <c r="D1054" s="8">
        <f t="shared" si="35"/>
        <v>-0.00928159252587552</v>
      </c>
      <c r="E1054" s="8">
        <v>0.00345258856065817</v>
      </c>
      <c r="F1054" s="9"/>
      <c r="G1054" s="9">
        <v>1051.0</v>
      </c>
      <c r="H1054" s="10">
        <f t="shared" si="36"/>
        <v>-0.0014280658681316344</v>
      </c>
      <c r="K1054" s="7"/>
    </row>
    <row r="1055" spans="8:8">
      <c r="B1055" s="7">
        <v>44686.0</v>
      </c>
      <c r="C1055" s="8">
        <v>1637.65</v>
      </c>
      <c r="D1055" s="8">
        <f t="shared" si="35"/>
        <v>0.002264451176596619</v>
      </c>
      <c r="E1055" s="8">
        <v>0.003443043884220408</v>
      </c>
      <c r="F1055" s="9"/>
      <c r="G1055" s="9">
        <v>1052.0</v>
      </c>
      <c r="H1055" s="10">
        <f t="shared" si="36"/>
        <v>-0.0034480643769175777</v>
      </c>
      <c r="K1055" s="7"/>
    </row>
    <row r="1056" spans="8:8">
      <c r="B1056" s="7">
        <v>44656.0</v>
      </c>
      <c r="C1056" s="8">
        <v>1633.95</v>
      </c>
      <c r="D1056" s="8">
        <f t="shared" si="35"/>
        <v>-0.027092202804489564</v>
      </c>
      <c r="E1056" s="8">
        <v>0.0034364261168385274</v>
      </c>
      <c r="F1056" s="9"/>
      <c r="G1056" s="9">
        <v>1053.0</v>
      </c>
      <c r="H1056" s="10">
        <f t="shared" si="36"/>
        <v>-0.0014785031766057265</v>
      </c>
      <c r="K1056" s="7"/>
    </row>
    <row r="1057" spans="8:8">
      <c r="B1057" s="7">
        <v>44597.0</v>
      </c>
      <c r="C1057" s="8">
        <v>1679.45</v>
      </c>
      <c r="D1057" s="8">
        <f t="shared" si="35"/>
        <v>-0.00879393277658091</v>
      </c>
      <c r="E1057" s="8">
        <v>0.0034319168264862997</v>
      </c>
      <c r="F1057" s="9"/>
      <c r="G1057" s="9">
        <v>1054.0</v>
      </c>
      <c r="H1057" s="10">
        <f t="shared" si="36"/>
        <v>0.014354761739245516</v>
      </c>
      <c r="K1057" s="7"/>
    </row>
    <row r="1058" spans="8:8">
      <c r="B1058" s="7" t="s">
        <v>9229</v>
      </c>
      <c r="C1058" s="8">
        <v>1694.35</v>
      </c>
      <c r="D1058" s="8">
        <f t="shared" si="35"/>
        <v>-0.01448305947360773</v>
      </c>
      <c r="E1058" s="8">
        <v>0.003429076447193926</v>
      </c>
      <c r="F1058" s="9"/>
      <c r="G1058" s="9">
        <v>1055.0</v>
      </c>
      <c r="H1058" s="10">
        <f t="shared" si="36"/>
        <v>-0.004687240502890311</v>
      </c>
      <c r="K1058" s="7"/>
    </row>
    <row r="1059" spans="8:8">
      <c r="B1059" s="7" t="s">
        <v>9230</v>
      </c>
      <c r="C1059" s="8">
        <v>1719.25</v>
      </c>
      <c r="D1059" s="8">
        <f t="shared" si="35"/>
        <v>0.025163233058048386</v>
      </c>
      <c r="E1059" s="8">
        <v>0.00341620019756346</v>
      </c>
      <c r="F1059" s="9"/>
      <c r="G1059" s="9">
        <v>1056.0</v>
      </c>
      <c r="H1059" s="10">
        <f t="shared" si="36"/>
        <v>0.0038579238491927826</v>
      </c>
      <c r="K1059" s="7"/>
    </row>
    <row r="1060" spans="8:8">
      <c r="B1060" s="7" t="s">
        <v>9231</v>
      </c>
      <c r="C1060" s="8">
        <v>1677.05</v>
      </c>
      <c r="D1060" s="8">
        <f t="shared" si="35"/>
        <v>-0.013470984440718897</v>
      </c>
      <c r="E1060" s="8">
        <v>0.0034144139059766095</v>
      </c>
      <c r="F1060" s="9"/>
      <c r="G1060" s="9">
        <v>1057.0</v>
      </c>
      <c r="H1060" s="10">
        <f t="shared" si="36"/>
        <v>0.04429354215007475</v>
      </c>
      <c r="K1060" s="7"/>
    </row>
    <row r="1061" spans="8:8">
      <c r="B1061" s="7" t="s">
        <v>9232</v>
      </c>
      <c r="C1061" s="8">
        <v>1699.95</v>
      </c>
      <c r="D1061" s="8">
        <f t="shared" si="35"/>
        <v>0.02570368359127531</v>
      </c>
      <c r="E1061" s="8">
        <v>0.003379003888168731</v>
      </c>
      <c r="F1061" s="9"/>
      <c r="G1061" s="9">
        <v>1058.0</v>
      </c>
      <c r="H1061" s="10">
        <f t="shared" si="36"/>
        <v>0.04068666865744407</v>
      </c>
      <c r="K1061" s="7"/>
    </row>
    <row r="1062" spans="8:8">
      <c r="B1062" s="7" t="s">
        <v>9233</v>
      </c>
      <c r="C1062" s="8">
        <v>1657.35</v>
      </c>
      <c r="D1062" s="8">
        <f t="shared" si="35"/>
        <v>-0.02183728273379172</v>
      </c>
      <c r="E1062" s="8">
        <v>0.0033545848920737593</v>
      </c>
      <c r="F1062" s="9"/>
      <c r="G1062" s="9">
        <v>1059.0</v>
      </c>
      <c r="H1062" s="10">
        <f t="shared" si="36"/>
        <v>-0.00670379621157879</v>
      </c>
      <c r="K1062" s="7"/>
    </row>
    <row r="1063" spans="8:8">
      <c r="B1063" s="7" t="s">
        <v>9234</v>
      </c>
      <c r="C1063" s="8">
        <v>1694.35</v>
      </c>
      <c r="D1063" s="8">
        <f t="shared" si="35"/>
        <v>-0.011752697579469286</v>
      </c>
      <c r="E1063" s="8">
        <v>0.003346445135912667</v>
      </c>
      <c r="F1063" s="9"/>
      <c r="G1063" s="9">
        <v>1060.0</v>
      </c>
      <c r="H1063" s="10">
        <f t="shared" si="36"/>
        <v>-0.001004689511394298</v>
      </c>
      <c r="K1063" s="7"/>
    </row>
    <row r="1064" spans="8:8">
      <c r="B1064" s="7" t="s">
        <v>9235</v>
      </c>
      <c r="C1064" s="8">
        <v>1714.5</v>
      </c>
      <c r="D1064" s="8">
        <f t="shared" si="35"/>
        <v>0.013537479309529494</v>
      </c>
      <c r="E1064" s="8">
        <v>0.003341648232691846</v>
      </c>
      <c r="F1064" s="9"/>
      <c r="G1064" s="9">
        <v>1061.0</v>
      </c>
      <c r="H1064" s="10">
        <f t="shared" si="36"/>
        <v>0.01947923018845394</v>
      </c>
      <c r="K1064" s="7"/>
    </row>
    <row r="1065" spans="8:8">
      <c r="B1065" s="7" t="s">
        <v>9236</v>
      </c>
      <c r="C1065" s="8">
        <v>1691.6</v>
      </c>
      <c r="D1065" s="8">
        <f t="shared" si="35"/>
        <v>-0.008295471200351805</v>
      </c>
      <c r="E1065" s="8">
        <v>0.003331314354936402</v>
      </c>
      <c r="F1065" s="9"/>
      <c r="G1065" s="9">
        <v>1062.0</v>
      </c>
      <c r="H1065" s="10">
        <f t="shared" si="36"/>
        <v>0.00867552476746129</v>
      </c>
      <c r="K1065" s="7"/>
    </row>
    <row r="1066" spans="8:8">
      <c r="B1066" s="7" t="s">
        <v>9237</v>
      </c>
      <c r="C1066" s="8">
        <v>1705.75</v>
      </c>
      <c r="D1066" s="8">
        <f t="shared" si="35"/>
        <v>-0.018753415595248315</v>
      </c>
      <c r="E1066" s="8">
        <v>0.003321871903957001</v>
      </c>
      <c r="F1066" s="9"/>
      <c r="G1066" s="9">
        <v>1063.0</v>
      </c>
      <c r="H1066" s="10">
        <f t="shared" si="36"/>
        <v>-0.0012502365624792186</v>
      </c>
      <c r="K1066" s="7"/>
    </row>
    <row r="1067" spans="8:8">
      <c r="B1067" s="7" t="s">
        <v>9238</v>
      </c>
      <c r="C1067" s="8">
        <v>1738.35</v>
      </c>
      <c r="D1067" s="8">
        <f t="shared" si="35"/>
        <v>-0.012749886415265815</v>
      </c>
      <c r="E1067" s="8">
        <v>0.0033191780153268816</v>
      </c>
      <c r="F1067" s="9"/>
      <c r="G1067" s="9">
        <v>1064.0</v>
      </c>
      <c r="H1067" s="10">
        <f t="shared" si="36"/>
        <v>-0.0037201004231530582</v>
      </c>
      <c r="K1067" s="7"/>
    </row>
    <row r="1068" spans="8:8">
      <c r="B1068" s="7" t="s">
        <v>9239</v>
      </c>
      <c r="C1068" s="8">
        <v>1760.8</v>
      </c>
      <c r="D1068" s="8">
        <f t="shared" si="35"/>
        <v>0.0074955656005034664</v>
      </c>
      <c r="E1068" s="8">
        <v>0.00331562622553379</v>
      </c>
      <c r="F1068" s="9"/>
      <c r="G1068" s="9">
        <v>1065.0</v>
      </c>
      <c r="H1068" s="10">
        <f t="shared" si="36"/>
        <v>0.016687282845241357</v>
      </c>
      <c r="K1068" s="7"/>
    </row>
    <row r="1069" spans="8:8">
      <c r="B1069" s="7">
        <v>44899.0</v>
      </c>
      <c r="C1069" s="8">
        <v>1747.7</v>
      </c>
      <c r="D1069" s="8">
        <f t="shared" si="35"/>
        <v>-0.018972775750771796</v>
      </c>
      <c r="E1069" s="8">
        <v>0.0033055213605069985</v>
      </c>
      <c r="F1069" s="9"/>
      <c r="G1069" s="9">
        <v>1066.0</v>
      </c>
      <c r="H1069" s="10">
        <f t="shared" si="36"/>
        <v>0.0012069912094136962</v>
      </c>
      <c r="K1069" s="7"/>
    </row>
    <row r="1070" spans="8:8">
      <c r="B1070" s="7">
        <v>44869.0</v>
      </c>
      <c r="C1070" s="8">
        <v>1781.5</v>
      </c>
      <c r="D1070" s="8">
        <f t="shared" si="35"/>
        <v>-0.02690154308343575</v>
      </c>
      <c r="E1070" s="8">
        <v>0.0032872048486270984</v>
      </c>
      <c r="F1070" s="9"/>
      <c r="G1070" s="9">
        <v>1067.0</v>
      </c>
      <c r="H1070" s="10">
        <f t="shared" si="36"/>
        <v>-0.005041502054290661</v>
      </c>
      <c r="K1070" s="7"/>
    </row>
    <row r="1071" spans="8:8">
      <c r="B1071" s="7">
        <v>44777.0</v>
      </c>
      <c r="C1071" s="8">
        <v>1830.75</v>
      </c>
      <c r="D1071" s="8">
        <f t="shared" si="35"/>
        <v>0.0024366204895143436</v>
      </c>
      <c r="E1071" s="8">
        <v>0.00327744863229536</v>
      </c>
      <c r="F1071" s="9"/>
      <c r="G1071" s="9">
        <v>1068.0</v>
      </c>
      <c r="H1071" s="10">
        <f t="shared" si="36"/>
        <v>0.004293345976377854</v>
      </c>
      <c r="K1071" s="7"/>
    </row>
    <row r="1072" spans="8:8">
      <c r="B1072" s="7">
        <v>44746.0</v>
      </c>
      <c r="C1072" s="8">
        <v>1826.3</v>
      </c>
      <c r="D1072" s="8">
        <f t="shared" si="35"/>
        <v>-0.014302677029360968</v>
      </c>
      <c r="E1072" s="8">
        <v>0.0032729805013927893</v>
      </c>
      <c r="F1072" s="9"/>
      <c r="G1072" s="9">
        <v>1069.0</v>
      </c>
      <c r="H1072" s="10">
        <f t="shared" si="36"/>
        <v>0.0026714920652609934</v>
      </c>
      <c r="K1072" s="7"/>
    </row>
    <row r="1073" spans="8:8">
      <c r="B1073" s="7">
        <v>44716.0</v>
      </c>
      <c r="C1073" s="8">
        <v>1852.8</v>
      </c>
      <c r="D1073" s="8">
        <f t="shared" si="35"/>
        <v>0.009122845238419433</v>
      </c>
      <c r="E1073" s="8">
        <v>0.003260530421216792</v>
      </c>
      <c r="F1073" s="9"/>
      <c r="G1073" s="9">
        <v>1070.0</v>
      </c>
      <c r="H1073" s="10">
        <f t="shared" si="36"/>
        <v>0.022407358119596193</v>
      </c>
      <c r="K1073" s="7"/>
    </row>
    <row r="1074" spans="8:8">
      <c r="B1074" s="7">
        <v>44685.0</v>
      </c>
      <c r="C1074" s="8">
        <v>1836.05</v>
      </c>
      <c r="D1074" s="8">
        <f t="shared" si="35"/>
        <v>0.005311139704875871</v>
      </c>
      <c r="E1074" s="8">
        <v>0.0032551635605070303</v>
      </c>
      <c r="F1074" s="9"/>
      <c r="G1074" s="9">
        <v>1071.0</v>
      </c>
      <c r="H1074" s="10">
        <f t="shared" si="36"/>
        <v>0.0024005302314995857</v>
      </c>
      <c r="K1074" s="7"/>
    </row>
    <row r="1075" spans="8:8">
      <c r="B1075" s="7">
        <v>44655.0</v>
      </c>
      <c r="C1075" s="8">
        <v>1826.35</v>
      </c>
      <c r="D1075" s="8">
        <f t="shared" si="35"/>
        <v>0.020250265348304566</v>
      </c>
      <c r="E1075" s="8">
        <v>0.0032506274945478483</v>
      </c>
      <c r="F1075" s="9"/>
      <c r="G1075" s="9">
        <v>1072.0</v>
      </c>
      <c r="H1075" s="10">
        <f t="shared" si="36"/>
        <v>0.005936201451293881</v>
      </c>
      <c r="K1075" s="7"/>
    </row>
    <row r="1076" spans="8:8">
      <c r="B1076" s="7">
        <v>44565.0</v>
      </c>
      <c r="C1076" s="8">
        <v>1790.1</v>
      </c>
      <c r="D1076" s="8">
        <f t="shared" si="35"/>
        <v>0.012700478035810153</v>
      </c>
      <c r="E1076" s="8">
        <v>0.003250116075574095</v>
      </c>
      <c r="F1076" s="9"/>
      <c r="G1076" s="9">
        <v>1073.0</v>
      </c>
      <c r="H1076" s="10">
        <f t="shared" si="36"/>
        <v>0.02637638714724842</v>
      </c>
      <c r="K1076" s="7"/>
    </row>
    <row r="1077" spans="8:8">
      <c r="B1077" s="7" t="s">
        <v>9240</v>
      </c>
      <c r="C1077" s="8">
        <v>1767.65</v>
      </c>
      <c r="D1077" s="8">
        <f t="shared" si="35"/>
        <v>-0.003354758682904724</v>
      </c>
      <c r="E1077" s="8">
        <v>0.0032488866175075163</v>
      </c>
      <c r="F1077" s="9"/>
      <c r="G1077" s="9">
        <v>1074.0</v>
      </c>
      <c r="H1077" s="10">
        <f t="shared" si="36"/>
        <v>0.009604295325599511</v>
      </c>
      <c r="K1077" s="7"/>
    </row>
    <row r="1078" spans="8:8">
      <c r="B1078" s="7" t="s">
        <v>9241</v>
      </c>
      <c r="C1078" s="8">
        <v>1773.6</v>
      </c>
      <c r="D1078" s="8">
        <f t="shared" si="35"/>
        <v>0.015429536541379107</v>
      </c>
      <c r="E1078" s="8">
        <v>0.0032404950135487233</v>
      </c>
      <c r="F1078" s="9"/>
      <c r="G1078" s="9">
        <v>1075.0</v>
      </c>
      <c r="H1078" s="10">
        <f t="shared" si="36"/>
        <v>-0.006479751147824178</v>
      </c>
      <c r="K1078" s="7"/>
    </row>
    <row r="1079" spans="8:8">
      <c r="B1079" s="7" t="s">
        <v>9242</v>
      </c>
      <c r="C1079" s="8">
        <v>1746.65</v>
      </c>
      <c r="D1079" s="8">
        <f t="shared" si="35"/>
        <v>0.0028996325218191214</v>
      </c>
      <c r="E1079" s="8">
        <v>0.003230644975193209</v>
      </c>
      <c r="F1079" s="9"/>
      <c r="G1079" s="9">
        <v>1076.0</v>
      </c>
      <c r="H1079" s="10">
        <f t="shared" si="36"/>
        <v>-0.018355958778735696</v>
      </c>
      <c r="K1079" s="7"/>
    </row>
    <row r="1080" spans="8:8">
      <c r="B1080" s="7" t="s">
        <v>9243</v>
      </c>
      <c r="C1080" s="8">
        <v>1741.6</v>
      </c>
      <c r="D1080" s="8">
        <f t="shared" si="35"/>
        <v>-0.005425161327165782</v>
      </c>
      <c r="E1080" s="8">
        <v>0.0032291176596382456</v>
      </c>
      <c r="F1080" s="9"/>
      <c r="G1080" s="9">
        <v>1077.0</v>
      </c>
      <c r="H1080" s="10">
        <f t="shared" si="36"/>
        <v>-0.00436512102981059</v>
      </c>
      <c r="K1080" s="7"/>
    </row>
    <row r="1081" spans="8:8">
      <c r="B1081" s="7" t="s">
        <v>9244</v>
      </c>
      <c r="C1081" s="8">
        <v>1751.1</v>
      </c>
      <c r="D1081" s="8">
        <f t="shared" si="35"/>
        <v>-0.011543563546047273</v>
      </c>
      <c r="E1081" s="8">
        <v>0.0032256206439722</v>
      </c>
      <c r="F1081" s="9"/>
      <c r="G1081" s="9">
        <v>1078.0</v>
      </c>
      <c r="H1081" s="10">
        <f t="shared" si="36"/>
        <v>-0.00533728435477663</v>
      </c>
      <c r="K1081" s="7"/>
    </row>
    <row r="1082" spans="8:8">
      <c r="B1082" s="7" t="s">
        <v>9245</v>
      </c>
      <c r="C1082" s="8">
        <v>1771.55</v>
      </c>
      <c r="D1082" s="8">
        <f t="shared" si="35"/>
        <v>0.002433158862639669</v>
      </c>
      <c r="E1082" s="8">
        <v>0.003219114385864511</v>
      </c>
      <c r="F1082" s="9"/>
      <c r="G1082" s="9">
        <v>1079.0</v>
      </c>
      <c r="H1082" s="10">
        <f t="shared" si="36"/>
        <v>-0.0011096731982845626</v>
      </c>
      <c r="K1082" s="7"/>
    </row>
    <row r="1083" spans="8:8">
      <c r="B1083" s="7" t="s">
        <v>9246</v>
      </c>
      <c r="C1083" s="8">
        <v>1767.25</v>
      </c>
      <c r="D1083" s="8">
        <f t="shared" si="35"/>
        <v>-0.003833037400298726</v>
      </c>
      <c r="E1083" s="8">
        <v>0.0032109535926330922</v>
      </c>
      <c r="F1083" s="9"/>
      <c r="G1083" s="9">
        <v>1080.0</v>
      </c>
      <c r="H1083" s="10">
        <f t="shared" si="36"/>
        <v>0.0016509459629561042</v>
      </c>
      <c r="K1083" s="7"/>
    </row>
    <row r="1084" spans="8:8">
      <c r="B1084" s="7" t="s">
        <v>9247</v>
      </c>
      <c r="C1084" s="8">
        <v>1774.05</v>
      </c>
      <c r="D1084" s="8">
        <f t="shared" si="35"/>
        <v>0.010106473837043786</v>
      </c>
      <c r="E1084" s="8">
        <v>0.0032037999298669792</v>
      </c>
      <c r="F1084" s="9"/>
      <c r="G1084" s="9">
        <v>1081.0</v>
      </c>
      <c r="H1084" s="10">
        <f t="shared" si="36"/>
        <v>-0.01247830007555185</v>
      </c>
      <c r="K1084" s="7"/>
    </row>
    <row r="1085" spans="8:8">
      <c r="B1085" s="7" t="s">
        <v>9248</v>
      </c>
      <c r="C1085" s="8">
        <v>1756.3</v>
      </c>
      <c r="D1085" s="8">
        <f t="shared" si="35"/>
        <v>-0.017674366575311892</v>
      </c>
      <c r="E1085" s="8">
        <v>0.0031857681328559652</v>
      </c>
      <c r="F1085" s="9"/>
      <c r="G1085" s="9">
        <v>1082.0</v>
      </c>
      <c r="H1085" s="10">
        <f t="shared" si="36"/>
        <v>-0.0014119443978818005</v>
      </c>
      <c r="K1085" s="7"/>
    </row>
    <row r="1086" spans="8:8">
      <c r="B1086" s="7" t="s">
        <v>9249</v>
      </c>
      <c r="C1086" s="8">
        <v>1787.9</v>
      </c>
      <c r="D1086" s="8">
        <f t="shared" si="35"/>
        <v>0.01805033595262501</v>
      </c>
      <c r="E1086" s="8">
        <v>0.003170382491307039</v>
      </c>
      <c r="F1086" s="9"/>
      <c r="G1086" s="9">
        <v>1083.0</v>
      </c>
      <c r="H1086" s="10">
        <f t="shared" si="36"/>
        <v>0.0028384818768399872</v>
      </c>
      <c r="K1086" s="7"/>
    </row>
    <row r="1087" spans="8:8">
      <c r="B1087" s="7" t="s">
        <v>9250</v>
      </c>
      <c r="C1087" s="8">
        <v>1756.2</v>
      </c>
      <c r="D1087" s="8">
        <f t="shared" si="35"/>
        <v>0.007313086122343629</v>
      </c>
      <c r="E1087" s="8">
        <v>0.003149955634427644</v>
      </c>
      <c r="F1087" s="9"/>
      <c r="G1087" s="9">
        <v>1084.0</v>
      </c>
      <c r="H1087" s="10">
        <f t="shared" si="36"/>
        <v>-1.0630923764918133E-4</v>
      </c>
      <c r="K1087" s="7"/>
    </row>
    <row r="1088" spans="8:8">
      <c r="B1088" s="7" t="s">
        <v>9251</v>
      </c>
      <c r="C1088" s="8">
        <v>1743.45</v>
      </c>
      <c r="D1088" s="8">
        <f t="shared" si="35"/>
        <v>-0.001889222842421614</v>
      </c>
      <c r="E1088" s="8">
        <v>0.0031454783748360938</v>
      </c>
      <c r="F1088" s="9"/>
      <c r="G1088" s="9">
        <v>1085.0</v>
      </c>
      <c r="H1088" s="10">
        <f t="shared" si="36"/>
        <v>0.012592804131572509</v>
      </c>
      <c r="K1088" s="7"/>
    </row>
    <row r="1089" spans="8:8">
      <c r="B1089" s="7" t="s">
        <v>9252</v>
      </c>
      <c r="C1089" s="8">
        <v>1746.75</v>
      </c>
      <c r="D1089" s="8">
        <f t="shared" si="35"/>
        <v>0.010470598443872332</v>
      </c>
      <c r="E1089" s="8">
        <v>0.0031419026407890913</v>
      </c>
      <c r="F1089" s="9"/>
      <c r="G1089" s="9">
        <v>1086.0</v>
      </c>
      <c r="H1089" s="10">
        <f t="shared" si="36"/>
        <v>0.004135281874414511</v>
      </c>
      <c r="K1089" s="7"/>
    </row>
    <row r="1090" spans="8:8">
      <c r="B1090" s="7">
        <v>44868.0</v>
      </c>
      <c r="C1090" s="8">
        <v>1728.65</v>
      </c>
      <c r="D1090" s="8">
        <f t="shared" si="35"/>
        <v>2.603865293369086E-4</v>
      </c>
      <c r="E1090" s="8">
        <v>0.0031379025598679026</v>
      </c>
      <c r="F1090" s="9"/>
      <c r="G1090" s="9">
        <v>1087.0</v>
      </c>
      <c r="H1090" s="10">
        <f t="shared" si="36"/>
        <v>0.007874937836935672</v>
      </c>
      <c r="K1090" s="7"/>
    </row>
    <row r="1091" spans="8:8">
      <c r="B1091" s="7">
        <v>44837.0</v>
      </c>
      <c r="C1091" s="8">
        <v>1728.2</v>
      </c>
      <c r="D1091" s="8">
        <f t="shared" si="35"/>
        <v>0.022029036931902186</v>
      </c>
      <c r="E1091" s="8">
        <v>0.0031268321282000664</v>
      </c>
      <c r="F1091" s="9"/>
      <c r="G1091" s="9">
        <v>1088.0</v>
      </c>
      <c r="H1091" s="10">
        <f t="shared" si="36"/>
        <v>-0.00817617931707329</v>
      </c>
      <c r="K1091" s="7"/>
    </row>
    <row r="1092" spans="8:8">
      <c r="B1092" s="7">
        <v>44807.0</v>
      </c>
      <c r="C1092" s="8">
        <v>1690.95</v>
      </c>
      <c r="D1092" s="8">
        <f t="shared" si="37" ref="D1092:D1155">(C1092-C1093)/C1093</f>
        <v>0.019565872776605393</v>
      </c>
      <c r="E1092" s="8">
        <v>0.003116225471897135</v>
      </c>
      <c r="F1092" s="9"/>
      <c r="G1092" s="9">
        <v>1089.0</v>
      </c>
      <c r="H1092" s="10">
        <f t="shared" si="36"/>
        <v>0.013777549934765366</v>
      </c>
      <c r="K1092" s="7"/>
    </row>
    <row r="1093" spans="8:8">
      <c r="B1093" s="7">
        <v>44776.0</v>
      </c>
      <c r="C1093" s="8">
        <v>1658.5</v>
      </c>
      <c r="D1093" s="8">
        <f t="shared" si="37"/>
        <v>0.014714429930557651</v>
      </c>
      <c r="E1093" s="8">
        <v>0.0031153150826446576</v>
      </c>
      <c r="F1093" s="9"/>
      <c r="G1093" s="9">
        <v>1090.0</v>
      </c>
      <c r="H1093" s="10">
        <f t="shared" si="38" ref="H1093:H1156">_xlfn.NORM.INV(RAND(),N$6,N$7)</f>
        <v>-0.004314350034699378</v>
      </c>
      <c r="K1093" s="7"/>
    </row>
    <row r="1094" spans="8:8">
      <c r="B1094" s="7">
        <v>44745.0</v>
      </c>
      <c r="C1094" s="8">
        <v>1634.45</v>
      </c>
      <c r="D1094" s="8">
        <f t="shared" si="37"/>
        <v>-0.04515846356068348</v>
      </c>
      <c r="E1094" s="8">
        <v>0.0031055211729997113</v>
      </c>
      <c r="F1094" s="9"/>
      <c r="G1094" s="9">
        <v>1091.0</v>
      </c>
      <c r="H1094" s="10">
        <f t="shared" si="38"/>
        <v>0.0030820841660297595</v>
      </c>
      <c r="K1094" s="7"/>
    </row>
    <row r="1095" spans="8:8">
      <c r="B1095" s="7">
        <v>44654.0</v>
      </c>
      <c r="C1095" s="8">
        <v>1711.75</v>
      </c>
      <c r="D1095" s="8">
        <f t="shared" si="37"/>
        <v>-0.02314101466643837</v>
      </c>
      <c r="E1095" s="8">
        <v>0.0030828869252018097</v>
      </c>
      <c r="F1095" s="9"/>
      <c r="G1095" s="9">
        <v>1092.0</v>
      </c>
      <c r="H1095" s="10">
        <f t="shared" si="38"/>
        <v>0.00947681190863598</v>
      </c>
      <c r="K1095" s="7"/>
    </row>
    <row r="1096" spans="8:8">
      <c r="B1096" s="7">
        <v>44623.0</v>
      </c>
      <c r="C1096" s="8">
        <v>1752.3</v>
      </c>
      <c r="D1096" s="8">
        <f t="shared" si="37"/>
        <v>-0.01804427010367052</v>
      </c>
      <c r="E1096" s="8">
        <v>0.0030695770804910977</v>
      </c>
      <c r="F1096" s="9"/>
      <c r="G1096" s="9">
        <v>1093.0</v>
      </c>
      <c r="H1096" s="10">
        <f t="shared" si="38"/>
        <v>-0.008161661847591681</v>
      </c>
      <c r="K1096" s="7"/>
    </row>
    <row r="1097" spans="8:8">
      <c r="B1097" s="7">
        <v>44595.0</v>
      </c>
      <c r="C1097" s="8">
        <v>1784.5</v>
      </c>
      <c r="D1097" s="8">
        <f t="shared" si="37"/>
        <v>-0.01775147928994083</v>
      </c>
      <c r="E1097" s="8">
        <v>0.0030607039619112396</v>
      </c>
      <c r="F1097" s="9"/>
      <c r="G1097" s="9">
        <v>1094.0</v>
      </c>
      <c r="H1097" s="10">
        <f t="shared" si="38"/>
        <v>0.011204253094012562</v>
      </c>
      <c r="K1097" s="7"/>
    </row>
    <row r="1098" spans="8:8">
      <c r="B1098" s="7" t="s">
        <v>9253</v>
      </c>
      <c r="C1098" s="8">
        <v>1816.75</v>
      </c>
      <c r="D1098" s="8">
        <f t="shared" si="37"/>
        <v>0.02234039559944855</v>
      </c>
      <c r="E1098" s="8">
        <v>0.0030574554194723116</v>
      </c>
      <c r="F1098" s="9"/>
      <c r="G1098" s="9">
        <v>1095.0</v>
      </c>
      <c r="H1098" s="10">
        <f t="shared" si="38"/>
        <v>-0.007384862050173367</v>
      </c>
      <c r="K1098" s="7"/>
    </row>
    <row r="1099" spans="8:8">
      <c r="B1099" s="7" t="s">
        <v>9254</v>
      </c>
      <c r="C1099" s="8">
        <v>1777.05</v>
      </c>
      <c r="D1099" s="8">
        <f t="shared" si="37"/>
        <v>0.011210060602611914</v>
      </c>
      <c r="E1099" s="8">
        <v>0.0030559901044130283</v>
      </c>
      <c r="F1099" s="9"/>
      <c r="G1099" s="9">
        <v>1096.0</v>
      </c>
      <c r="H1099" s="10">
        <f t="shared" si="38"/>
        <v>-0.013835802660617739</v>
      </c>
      <c r="K1099" s="7"/>
    </row>
    <row r="1100" spans="8:8">
      <c r="B1100" s="7" t="s">
        <v>9255</v>
      </c>
      <c r="C1100" s="8">
        <v>1757.35</v>
      </c>
      <c r="D1100" s="8">
        <f t="shared" si="37"/>
        <v>-0.03458221172334233</v>
      </c>
      <c r="E1100" s="8">
        <v>0.003053377563329278</v>
      </c>
      <c r="F1100" s="9"/>
      <c r="G1100" s="9">
        <v>1097.0</v>
      </c>
      <c r="H1100" s="10">
        <f t="shared" si="38"/>
        <v>-3.3547430491441196E-5</v>
      </c>
      <c r="K1100" s="7"/>
    </row>
    <row r="1101" spans="8:8">
      <c r="B1101" s="7" t="s">
        <v>9256</v>
      </c>
      <c r="C1101" s="8">
        <v>1820.3</v>
      </c>
      <c r="D1101" s="8">
        <f t="shared" si="37"/>
        <v>-0.013093334056222771</v>
      </c>
      <c r="E1101" s="8">
        <v>0.00301525363604112</v>
      </c>
      <c r="F1101" s="9"/>
      <c r="G1101" s="9">
        <v>1098.0</v>
      </c>
      <c r="H1101" s="10">
        <f t="shared" si="38"/>
        <v>-0.007451967615556607</v>
      </c>
      <c r="K1101" s="7"/>
    </row>
    <row r="1102" spans="8:8">
      <c r="B1102" s="7" t="s">
        <v>9257</v>
      </c>
      <c r="C1102" s="8">
        <v>1844.45</v>
      </c>
      <c r="D1102" s="8">
        <f t="shared" si="37"/>
        <v>-0.01046165401432442</v>
      </c>
      <c r="E1102" s="8">
        <v>0.00300731780666288</v>
      </c>
      <c r="F1102" s="9"/>
      <c r="G1102" s="9">
        <v>1099.0</v>
      </c>
      <c r="H1102" s="10">
        <f t="shared" si="38"/>
        <v>-0.0021091066201630523</v>
      </c>
      <c r="K1102" s="7"/>
    </row>
    <row r="1103" spans="8:8">
      <c r="B1103" s="7" t="s">
        <v>9258</v>
      </c>
      <c r="C1103" s="8">
        <v>1863.95</v>
      </c>
      <c r="D1103" s="8">
        <f t="shared" si="37"/>
        <v>-0.010169401518772166</v>
      </c>
      <c r="E1103" s="8">
        <v>0.0030001904882849127</v>
      </c>
      <c r="F1103" s="9"/>
      <c r="G1103" s="9">
        <v>1100.0</v>
      </c>
      <c r="H1103" s="10">
        <f t="shared" si="38"/>
        <v>-0.012402506619201462</v>
      </c>
      <c r="K1103" s="7"/>
    </row>
    <row r="1104" spans="8:8">
      <c r="B1104" s="7" t="s">
        <v>9259</v>
      </c>
      <c r="C1104" s="8">
        <v>1883.1</v>
      </c>
      <c r="D1104" s="8">
        <f t="shared" si="37"/>
        <v>0.007705891796435952</v>
      </c>
      <c r="E1104" s="8">
        <v>0.0029962881803140616</v>
      </c>
      <c r="F1104" s="9"/>
      <c r="G1104" s="9">
        <v>1101.0</v>
      </c>
      <c r="H1104" s="10">
        <f t="shared" si="38"/>
        <v>-0.021809837985126774</v>
      </c>
      <c r="K1104" s="7"/>
    </row>
    <row r="1105" spans="8:8">
      <c r="B1105" s="7" t="s">
        <v>9260</v>
      </c>
      <c r="C1105" s="8">
        <v>1868.7</v>
      </c>
      <c r="D1105" s="8">
        <f t="shared" si="37"/>
        <v>0.004299457193529317</v>
      </c>
      <c r="E1105" s="8">
        <v>0.002984260675927441</v>
      </c>
      <c r="F1105" s="9"/>
      <c r="G1105" s="9">
        <v>1102.0</v>
      </c>
      <c r="H1105" s="10">
        <f t="shared" si="38"/>
        <v>9.758819107343547E-4</v>
      </c>
      <c r="K1105" s="7"/>
    </row>
    <row r="1106" spans="8:8">
      <c r="B1106" s="7" t="s">
        <v>9261</v>
      </c>
      <c r="C1106" s="8">
        <v>1860.7</v>
      </c>
      <c r="D1106" s="8">
        <f t="shared" si="37"/>
        <v>-0.008182084699235048</v>
      </c>
      <c r="E1106" s="8">
        <v>0.002953439888811556</v>
      </c>
      <c r="F1106" s="9"/>
      <c r="G1106" s="9">
        <v>1103.0</v>
      </c>
      <c r="H1106" s="10">
        <f t="shared" si="38"/>
        <v>0.00482325486868785</v>
      </c>
      <c r="K1106" s="7"/>
    </row>
    <row r="1107" spans="8:8">
      <c r="B1107" s="7" t="s">
        <v>9262</v>
      </c>
      <c r="C1107" s="8">
        <v>1876.05</v>
      </c>
      <c r="D1107" s="8">
        <f t="shared" si="37"/>
        <v>0.04282934963868813</v>
      </c>
      <c r="E1107" s="8">
        <v>0.0029390154298310324</v>
      </c>
      <c r="F1107" s="9"/>
      <c r="G1107" s="9">
        <v>1104.0</v>
      </c>
      <c r="H1107" s="10">
        <f t="shared" si="38"/>
        <v>0.001784775758178889</v>
      </c>
      <c r="K1107" s="7"/>
    </row>
    <row r="1108" spans="8:8">
      <c r="B1108" s="7" t="s">
        <v>9263</v>
      </c>
      <c r="C1108" s="8">
        <v>1799.0</v>
      </c>
      <c r="D1108" s="8">
        <f t="shared" si="37"/>
        <v>-0.03861055444221777</v>
      </c>
      <c r="E1108" s="8">
        <v>0.002934606456134323</v>
      </c>
      <c r="F1108" s="9"/>
      <c r="G1108" s="9">
        <v>1105.0</v>
      </c>
      <c r="H1108" s="10">
        <f t="shared" si="38"/>
        <v>0.02489855926481563</v>
      </c>
      <c r="K1108" s="7"/>
    </row>
    <row r="1109" spans="8:8">
      <c r="B1109" s="7">
        <v>44867.0</v>
      </c>
      <c r="C1109" s="8">
        <v>1871.25</v>
      </c>
      <c r="D1109" s="8">
        <f t="shared" si="37"/>
        <v>-0.015649658074697526</v>
      </c>
      <c r="E1109" s="8">
        <v>0.002908302919708107</v>
      </c>
      <c r="F1109" s="9"/>
      <c r="G1109" s="9">
        <v>1106.0</v>
      </c>
      <c r="H1109" s="10">
        <f t="shared" si="38"/>
        <v>-0.008461987787283489</v>
      </c>
      <c r="K1109" s="7"/>
    </row>
    <row r="1110" spans="8:8">
      <c r="B1110" s="7">
        <v>44836.0</v>
      </c>
      <c r="C1110" s="8">
        <v>1901.0</v>
      </c>
      <c r="D1110" s="8">
        <f t="shared" si="37"/>
        <v>0.006459127488352417</v>
      </c>
      <c r="E1110" s="8">
        <v>0.0028964392875105915</v>
      </c>
      <c r="F1110" s="9"/>
      <c r="G1110" s="9">
        <v>1107.0</v>
      </c>
      <c r="H1110" s="10">
        <f t="shared" si="38"/>
        <v>0.0207029265965007</v>
      </c>
      <c r="K1110" s="7"/>
    </row>
    <row r="1111" spans="8:8">
      <c r="B1111" s="7">
        <v>44806.0</v>
      </c>
      <c r="C1111" s="8">
        <v>1888.8</v>
      </c>
      <c r="D1111" s="8">
        <f t="shared" si="37"/>
        <v>0.0070377479206654115</v>
      </c>
      <c r="E1111" s="8">
        <v>0.0028951939779965257</v>
      </c>
      <c r="F1111" s="9"/>
      <c r="G1111" s="9">
        <v>1108.0</v>
      </c>
      <c r="H1111" s="10">
        <f t="shared" si="38"/>
        <v>0.014328018165913049</v>
      </c>
      <c r="K1111" s="7"/>
    </row>
    <row r="1112" spans="8:8">
      <c r="B1112" s="7">
        <v>44775.0</v>
      </c>
      <c r="C1112" s="8">
        <v>1875.6</v>
      </c>
      <c r="D1112" s="8">
        <f t="shared" si="37"/>
        <v>-0.0047227381268241395</v>
      </c>
      <c r="E1112" s="8">
        <v>0.0028878274171895975</v>
      </c>
      <c r="F1112" s="9"/>
      <c r="G1112" s="9">
        <v>1109.0</v>
      </c>
      <c r="H1112" s="10">
        <f t="shared" si="38"/>
        <v>0.019008256271944957</v>
      </c>
      <c r="K1112" s="7"/>
    </row>
    <row r="1113" spans="8:8">
      <c r="B1113" s="7">
        <v>44744.0</v>
      </c>
      <c r="C1113" s="8">
        <v>1884.5</v>
      </c>
      <c r="D1113" s="8">
        <f t="shared" si="37"/>
        <v>-0.032572704638209424</v>
      </c>
      <c r="E1113" s="8">
        <v>0.0028858486532705556</v>
      </c>
      <c r="F1113" s="9"/>
      <c r="G1113" s="9">
        <v>1110.0</v>
      </c>
      <c r="H1113" s="10">
        <f t="shared" si="38"/>
        <v>0.019438940583452278</v>
      </c>
      <c r="K1113" s="7"/>
    </row>
    <row r="1114" spans="8:8">
      <c r="B1114" s="7">
        <v>44653.0</v>
      </c>
      <c r="C1114" s="8">
        <v>1947.95</v>
      </c>
      <c r="D1114" s="8">
        <f t="shared" si="37"/>
        <v>0.007395340418379724</v>
      </c>
      <c r="E1114" s="8">
        <v>0.0028723147477672305</v>
      </c>
      <c r="F1114" s="9"/>
      <c r="G1114" s="9">
        <v>1111.0</v>
      </c>
      <c r="H1114" s="10">
        <f t="shared" si="38"/>
        <v>0.019191927127569817</v>
      </c>
      <c r="K1114" s="7"/>
    </row>
    <row r="1115" spans="8:8">
      <c r="B1115" s="7">
        <v>44622.0</v>
      </c>
      <c r="C1115" s="8">
        <v>1933.65</v>
      </c>
      <c r="D1115" s="8">
        <f t="shared" si="37"/>
        <v>-0.02473899228325009</v>
      </c>
      <c r="E1115" s="8">
        <v>0.002870795323625478</v>
      </c>
      <c r="F1115" s="9"/>
      <c r="G1115" s="9">
        <v>1112.0</v>
      </c>
      <c r="H1115" s="10">
        <f t="shared" si="38"/>
        <v>0.009644349292441397</v>
      </c>
      <c r="K1115" s="7"/>
    </row>
    <row r="1116" spans="8:8">
      <c r="B1116" s="7">
        <v>44594.0</v>
      </c>
      <c r="C1116" s="8">
        <v>1982.7</v>
      </c>
      <c r="D1116" s="8">
        <f t="shared" si="37"/>
        <v>-0.003918613413715124</v>
      </c>
      <c r="E1116" s="8">
        <v>0.002858753422451244</v>
      </c>
      <c r="F1116" s="9"/>
      <c r="G1116" s="9">
        <v>1113.0</v>
      </c>
      <c r="H1116" s="10">
        <f t="shared" si="38"/>
        <v>0.013184053962601118</v>
      </c>
      <c r="K1116" s="7"/>
    </row>
    <row r="1117" spans="8:8">
      <c r="B1117" s="7">
        <v>44563.0</v>
      </c>
      <c r="C1117" s="8">
        <v>1990.5</v>
      </c>
      <c r="D1117" s="8">
        <f t="shared" si="37"/>
        <v>0.042583280955373955</v>
      </c>
      <c r="E1117" s="8">
        <v>0.002854293476391804</v>
      </c>
      <c r="F1117" s="9"/>
      <c r="G1117" s="9">
        <v>1114.0</v>
      </c>
      <c r="H1117" s="10">
        <f t="shared" si="38"/>
        <v>5.339543143062413E-4</v>
      </c>
      <c r="K1117" s="7"/>
    </row>
    <row r="1118" spans="8:8">
      <c r="B1118" s="7" t="s">
        <v>9264</v>
      </c>
      <c r="C1118" s="8">
        <v>1909.2</v>
      </c>
      <c r="D1118" s="8">
        <f t="shared" si="37"/>
        <v>0.006139495665463408</v>
      </c>
      <c r="E1118" s="8">
        <v>0.002842579886296782</v>
      </c>
      <c r="F1118" s="9"/>
      <c r="G1118" s="9">
        <v>1115.0</v>
      </c>
      <c r="H1118" s="10">
        <f t="shared" si="38"/>
        <v>0.030901772228282418</v>
      </c>
      <c r="K1118" s="7"/>
    </row>
    <row r="1119" spans="8:8">
      <c r="B1119" s="7" t="s">
        <v>9265</v>
      </c>
      <c r="C1119" s="8">
        <v>1897.55</v>
      </c>
      <c r="D1119" s="8">
        <f t="shared" si="37"/>
        <v>-0.00696025329042047</v>
      </c>
      <c r="E1119" s="8">
        <v>0.0028358802066399008</v>
      </c>
      <c r="F1119" s="9"/>
      <c r="G1119" s="9">
        <v>1116.0</v>
      </c>
      <c r="H1119" s="10">
        <f t="shared" si="38"/>
        <v>0.008750360405168908</v>
      </c>
      <c r="K1119" s="7"/>
    </row>
    <row r="1120" spans="8:8">
      <c r="B1120" s="7" t="s">
        <v>9266</v>
      </c>
      <c r="C1120" s="8">
        <v>1910.85</v>
      </c>
      <c r="D1120" s="8">
        <f t="shared" si="37"/>
        <v>-0.007505323845634471</v>
      </c>
      <c r="E1120" s="8">
        <v>0.002832923401264853</v>
      </c>
      <c r="F1120" s="9"/>
      <c r="G1120" s="9">
        <v>1117.0</v>
      </c>
      <c r="H1120" s="10">
        <f t="shared" si="38"/>
        <v>-0.007380561840672077</v>
      </c>
      <c r="K1120" s="7"/>
    </row>
    <row r="1121" spans="8:8">
      <c r="B1121" s="7" t="s">
        <v>9267</v>
      </c>
      <c r="C1121" s="8">
        <v>1925.3</v>
      </c>
      <c r="D1121" s="8">
        <f t="shared" si="37"/>
        <v>0.013369124690773126</v>
      </c>
      <c r="E1121" s="8">
        <v>0.002829807303597928</v>
      </c>
      <c r="F1121" s="9"/>
      <c r="G1121" s="9">
        <v>1118.0</v>
      </c>
      <c r="H1121" s="10">
        <f t="shared" si="38"/>
        <v>-0.02107811175512026</v>
      </c>
      <c r="K1121" s="7"/>
    </row>
    <row r="1122" spans="8:8">
      <c r="B1122" s="7" t="s">
        <v>9268</v>
      </c>
      <c r="C1122" s="8">
        <v>1899.9</v>
      </c>
      <c r="D1122" s="8">
        <f t="shared" si="37"/>
        <v>-0.028705810178676346</v>
      </c>
      <c r="E1122" s="8">
        <v>0.0028211520797795267</v>
      </c>
      <c r="F1122" s="9"/>
      <c r="G1122" s="9">
        <v>1119.0</v>
      </c>
      <c r="H1122" s="10">
        <f t="shared" si="38"/>
        <v>-0.003797764681638967</v>
      </c>
      <c r="K1122" s="7"/>
    </row>
    <row r="1123" spans="8:8">
      <c r="B1123" s="7" t="s">
        <v>9269</v>
      </c>
      <c r="C1123" s="8">
        <v>1956.05</v>
      </c>
      <c r="D1123" s="8">
        <f t="shared" si="37"/>
        <v>-0.023683553780883475</v>
      </c>
      <c r="E1123" s="8">
        <v>0.0028110862212852336</v>
      </c>
      <c r="F1123" s="9"/>
      <c r="G1123" s="9">
        <v>1120.0</v>
      </c>
      <c r="H1123" s="10">
        <f t="shared" si="38"/>
        <v>0.012980533315622898</v>
      </c>
      <c r="K1123" s="7"/>
    </row>
    <row r="1124" spans="8:8">
      <c r="B1124" s="7" t="s">
        <v>9270</v>
      </c>
      <c r="C1124" s="8">
        <v>2003.5</v>
      </c>
      <c r="D1124" s="8">
        <f t="shared" si="37"/>
        <v>-0.00861002523628091</v>
      </c>
      <c r="E1124" s="8">
        <v>0.0028090983574578727</v>
      </c>
      <c r="F1124" s="9"/>
      <c r="G1124" s="9">
        <v>1121.0</v>
      </c>
      <c r="H1124" s="10">
        <f t="shared" si="38"/>
        <v>0.021621056260121365</v>
      </c>
      <c r="K1124" s="7"/>
    </row>
    <row r="1125" spans="8:8">
      <c r="B1125" s="7" t="s">
        <v>9271</v>
      </c>
      <c r="C1125" s="8">
        <v>2020.9</v>
      </c>
      <c r="D1125" s="8">
        <f t="shared" si="37"/>
        <v>-6.428642072989589E-4</v>
      </c>
      <c r="E1125" s="8">
        <v>0.00279771317357992</v>
      </c>
      <c r="F1125" s="9"/>
      <c r="G1125" s="9">
        <v>1122.0</v>
      </c>
      <c r="H1125" s="10">
        <f t="shared" si="38"/>
        <v>0.005625028205088115</v>
      </c>
      <c r="K1125" s="7"/>
    </row>
    <row r="1126" spans="8:8">
      <c r="B1126" s="7" t="s">
        <v>9272</v>
      </c>
      <c r="C1126" s="8">
        <v>2022.2</v>
      </c>
      <c r="D1126" s="8">
        <f t="shared" si="37"/>
        <v>-0.022808543539190124</v>
      </c>
      <c r="E1126" s="8">
        <v>0.00279077142630625</v>
      </c>
      <c r="F1126" s="9"/>
      <c r="G1126" s="9">
        <v>1123.0</v>
      </c>
      <c r="H1126" s="10">
        <f t="shared" si="38"/>
        <v>-0.0015352158582407618</v>
      </c>
      <c r="K1126" s="7"/>
    </row>
    <row r="1127" spans="8:8">
      <c r="B1127" s="7" t="s">
        <v>9273</v>
      </c>
      <c r="C1127" s="8">
        <v>2069.4</v>
      </c>
      <c r="D1127" s="8">
        <f t="shared" si="37"/>
        <v>0.012055263479643032</v>
      </c>
      <c r="E1127" s="8">
        <v>0.002779895081379105</v>
      </c>
      <c r="F1127" s="9"/>
      <c r="G1127" s="9">
        <v>1124.0</v>
      </c>
      <c r="H1127" s="10">
        <f t="shared" si="38"/>
        <v>0.00885798565361615</v>
      </c>
      <c r="K1127" s="7"/>
    </row>
    <row r="1128" spans="8:8">
      <c r="B1128" s="7" t="s">
        <v>9274</v>
      </c>
      <c r="C1128" s="8">
        <v>2044.75</v>
      </c>
      <c r="D1128" s="8">
        <f t="shared" si="37"/>
        <v>0.013054894966309903</v>
      </c>
      <c r="E1128" s="8">
        <v>0.0027796444498747355</v>
      </c>
      <c r="F1128" s="9"/>
      <c r="G1128" s="9">
        <v>1125.0</v>
      </c>
      <c r="H1128" s="10">
        <f t="shared" si="38"/>
        <v>2.4170299713060367E-5</v>
      </c>
      <c r="K1128" s="7"/>
    </row>
    <row r="1129" spans="8:8">
      <c r="B1129" s="7" t="s">
        <v>9275</v>
      </c>
      <c r="C1129" s="8">
        <v>2018.4</v>
      </c>
      <c r="D1129" s="8">
        <f t="shared" si="37"/>
        <v>0.02238881572282446</v>
      </c>
      <c r="E1129" s="8">
        <v>0.002762994709493142</v>
      </c>
      <c r="F1129" s="9"/>
      <c r="G1129" s="9">
        <v>1126.0</v>
      </c>
      <c r="H1129" s="10">
        <f t="shared" si="38"/>
        <v>0.00494525915365396</v>
      </c>
      <c r="K1129" s="7"/>
    </row>
    <row r="1130" spans="8:8">
      <c r="B1130" s="7">
        <v>44896.0</v>
      </c>
      <c r="C1130" s="8">
        <v>1974.2</v>
      </c>
      <c r="D1130" s="8">
        <f t="shared" si="37"/>
        <v>0.0066542589807000755</v>
      </c>
      <c r="E1130" s="8">
        <v>0.0027325102880659037</v>
      </c>
      <c r="F1130" s="9"/>
      <c r="G1130" s="9">
        <v>1127.0</v>
      </c>
      <c r="H1130" s="10">
        <f t="shared" si="38"/>
        <v>-0.025018992456456505</v>
      </c>
      <c r="K1130" s="7"/>
    </row>
    <row r="1131" spans="8:8">
      <c r="B1131" s="7">
        <v>44866.0</v>
      </c>
      <c r="C1131" s="8">
        <v>1961.15</v>
      </c>
      <c r="D1131" s="8">
        <f t="shared" si="37"/>
        <v>0.004121652757155385</v>
      </c>
      <c r="E1131" s="8">
        <v>0.0027316599386894105</v>
      </c>
      <c r="F1131" s="9"/>
      <c r="G1131" s="9">
        <v>1128.0</v>
      </c>
      <c r="H1131" s="10">
        <f t="shared" si="38"/>
        <v>0.020633379304867215</v>
      </c>
      <c r="K1131" s="7"/>
    </row>
    <row r="1132" spans="8:8">
      <c r="B1132" s="7">
        <v>44835.0</v>
      </c>
      <c r="C1132" s="8">
        <v>1953.1</v>
      </c>
      <c r="D1132" s="8">
        <f t="shared" si="37"/>
        <v>0.025303165520499667</v>
      </c>
      <c r="E1132" s="8">
        <v>0.0027275023150096504</v>
      </c>
      <c r="F1132" s="9"/>
      <c r="G1132" s="9">
        <v>1129.0</v>
      </c>
      <c r="H1132" s="10">
        <f t="shared" si="38"/>
        <v>0.00981497641168958</v>
      </c>
      <c r="K1132" s="7"/>
    </row>
    <row r="1133" spans="8:8">
      <c r="B1133" s="7">
        <v>44743.0</v>
      </c>
      <c r="C1133" s="8">
        <v>1904.9</v>
      </c>
      <c r="D1133" s="8">
        <f t="shared" si="37"/>
        <v>-0.010184463497012164</v>
      </c>
      <c r="E1133" s="8">
        <v>0.002721522836465448</v>
      </c>
      <c r="F1133" s="9"/>
      <c r="G1133" s="9">
        <v>1130.0</v>
      </c>
      <c r="H1133" s="10">
        <f t="shared" si="38"/>
        <v>-0.0010612522384671448</v>
      </c>
      <c r="K1133" s="7"/>
    </row>
    <row r="1134" spans="8:8">
      <c r="B1134" s="7">
        <v>44713.0</v>
      </c>
      <c r="C1134" s="8">
        <v>1924.5</v>
      </c>
      <c r="D1134" s="8">
        <f t="shared" si="37"/>
        <v>-0.012367853843785236</v>
      </c>
      <c r="E1134" s="8">
        <v>0.0027118377613583127</v>
      </c>
      <c r="F1134" s="9"/>
      <c r="G1134" s="9">
        <v>1131.0</v>
      </c>
      <c r="H1134" s="10">
        <f t="shared" si="38"/>
        <v>0.00335503736592486</v>
      </c>
      <c r="K1134" s="7"/>
    </row>
    <row r="1135" spans="8:8">
      <c r="B1135" s="7">
        <v>44682.0</v>
      </c>
      <c r="C1135" s="8">
        <v>1948.6</v>
      </c>
      <c r="D1135" s="8">
        <f t="shared" si="37"/>
        <v>0.005703078630228874</v>
      </c>
      <c r="E1135" s="8">
        <v>0.0027071406381750803</v>
      </c>
      <c r="F1135" s="9"/>
      <c r="G1135" s="9">
        <v>1132.0</v>
      </c>
      <c r="H1135" s="10">
        <f t="shared" si="38"/>
        <v>0.005989821316145762</v>
      </c>
      <c r="K1135" s="7"/>
    </row>
    <row r="1136" spans="8:8">
      <c r="B1136" s="7">
        <v>44652.0</v>
      </c>
      <c r="C1136" s="8">
        <v>1937.55</v>
      </c>
      <c r="D1136" s="8">
        <f t="shared" si="37"/>
        <v>0.007644902098447641</v>
      </c>
      <c r="E1136" s="8">
        <v>0.0026919528757013717</v>
      </c>
      <c r="F1136" s="9"/>
      <c r="G1136" s="9">
        <v>1133.0</v>
      </c>
      <c r="H1136" s="10">
        <f t="shared" si="38"/>
        <v>0.022007489870402085</v>
      </c>
      <c r="K1136" s="7"/>
    </row>
    <row r="1137" spans="8:8">
      <c r="B1137" s="7">
        <v>44621.0</v>
      </c>
      <c r="C1137" s="8">
        <v>1922.85</v>
      </c>
      <c r="D1137" s="8">
        <f t="shared" si="37"/>
        <v>0.014214884751305352</v>
      </c>
      <c r="E1137" s="8">
        <v>0.0026839519927077298</v>
      </c>
      <c r="F1137" s="9"/>
      <c r="G1137" s="9">
        <v>1134.0</v>
      </c>
      <c r="H1137" s="10">
        <f t="shared" si="38"/>
        <v>-1.0257774681778336E-4</v>
      </c>
      <c r="K1137" s="7"/>
    </row>
    <row r="1138" spans="8:8">
      <c r="B1138" s="7" t="s">
        <v>9276</v>
      </c>
      <c r="C1138" s="8">
        <v>1895.9</v>
      </c>
      <c r="D1138" s="8">
        <f t="shared" si="37"/>
        <v>0.005409131887362807</v>
      </c>
      <c r="E1138" s="8">
        <v>0.002682467870440915</v>
      </c>
      <c r="F1138" s="9"/>
      <c r="G1138" s="9">
        <v>1135.0</v>
      </c>
      <c r="H1138" s="10">
        <f t="shared" si="38"/>
        <v>0.03138170854650805</v>
      </c>
      <c r="K1138" s="7"/>
    </row>
    <row r="1139" spans="8:8">
      <c r="B1139" s="7" t="s">
        <v>9277</v>
      </c>
      <c r="C1139" s="8">
        <v>1885.7</v>
      </c>
      <c r="D1139" s="8">
        <f t="shared" si="37"/>
        <v>-0.0048288782753251516</v>
      </c>
      <c r="E1139" s="8">
        <v>0.0026745329400197373</v>
      </c>
      <c r="F1139" s="9"/>
      <c r="G1139" s="9">
        <v>1136.0</v>
      </c>
      <c r="H1139" s="10">
        <f t="shared" si="38"/>
        <v>0.00349719295090346</v>
      </c>
      <c r="K1139" s="7"/>
    </row>
    <row r="1140" spans="8:8">
      <c r="B1140" s="7" t="s">
        <v>9278</v>
      </c>
      <c r="C1140" s="8">
        <v>1894.85</v>
      </c>
      <c r="D1140" s="8">
        <f t="shared" si="37"/>
        <v>-0.00244801263490397</v>
      </c>
      <c r="E1140" s="8">
        <v>0.0026720503533044357</v>
      </c>
      <c r="F1140" s="9"/>
      <c r="G1140" s="9">
        <v>1137.0</v>
      </c>
      <c r="H1140" s="10">
        <f t="shared" si="38"/>
        <v>0.012137498889087418</v>
      </c>
      <c r="K1140" s="7"/>
    </row>
    <row r="1141" spans="8:8">
      <c r="B1141" s="7" t="s">
        <v>9279</v>
      </c>
      <c r="C1141" s="8">
        <v>1899.5</v>
      </c>
      <c r="D1141" s="8">
        <f t="shared" si="37"/>
        <v>0.017843746650948428</v>
      </c>
      <c r="E1141" s="8">
        <v>0.0026688907422852126</v>
      </c>
      <c r="F1141" s="9"/>
      <c r="G1141" s="9">
        <v>1138.0</v>
      </c>
      <c r="H1141" s="10">
        <f t="shared" si="38"/>
        <v>0.0072449894266601745</v>
      </c>
      <c r="K1141" s="7"/>
    </row>
    <row r="1142" spans="8:8">
      <c r="B1142" s="7" t="s">
        <v>9280</v>
      </c>
      <c r="C1142" s="8">
        <v>1866.2</v>
      </c>
      <c r="D1142" s="8">
        <f t="shared" si="37"/>
        <v>0.0036570936861352876</v>
      </c>
      <c r="E1142" s="8">
        <v>0.00266408742279234</v>
      </c>
      <c r="F1142" s="9"/>
      <c r="G1142" s="9">
        <v>1139.0</v>
      </c>
      <c r="H1142" s="10">
        <f t="shared" si="38"/>
        <v>-0.0087927358472129</v>
      </c>
      <c r="K1142" s="7"/>
    </row>
    <row r="1143" spans="8:8">
      <c r="B1143" s="7" t="s">
        <v>9281</v>
      </c>
      <c r="C1143" s="8">
        <v>1859.4</v>
      </c>
      <c r="D1143" s="8">
        <f t="shared" si="37"/>
        <v>-0.010141339934520458</v>
      </c>
      <c r="E1143" s="8">
        <v>0.002658495007711554</v>
      </c>
      <c r="F1143" s="9"/>
      <c r="G1143" s="9">
        <v>1140.0</v>
      </c>
      <c r="H1143" s="10">
        <f t="shared" si="38"/>
        <v>-0.003462121986801455</v>
      </c>
      <c r="K1143" s="7"/>
    </row>
    <row r="1144" spans="8:8">
      <c r="B1144" s="7" t="s">
        <v>9282</v>
      </c>
      <c r="C1144" s="8">
        <v>1878.45</v>
      </c>
      <c r="D1144" s="8">
        <f t="shared" si="37"/>
        <v>0.003981827899518998</v>
      </c>
      <c r="E1144" s="8">
        <v>0.0026535077510359264</v>
      </c>
      <c r="F1144" s="9"/>
      <c r="G1144" s="9">
        <v>1141.0</v>
      </c>
      <c r="H1144" s="10">
        <f t="shared" si="38"/>
        <v>-0.008579774229063305</v>
      </c>
      <c r="K1144" s="7"/>
    </row>
    <row r="1145" spans="8:8">
      <c r="B1145" s="7" t="s">
        <v>9283</v>
      </c>
      <c r="C1145" s="8">
        <v>1871.0</v>
      </c>
      <c r="D1145" s="8">
        <f t="shared" si="37"/>
        <v>0.023774999316024212</v>
      </c>
      <c r="E1145" s="8">
        <v>0.0026489856129942764</v>
      </c>
      <c r="F1145" s="9"/>
      <c r="G1145" s="9">
        <v>1142.0</v>
      </c>
      <c r="H1145" s="10">
        <f t="shared" si="38"/>
        <v>0.015950941370994513</v>
      </c>
      <c r="K1145" s="7"/>
    </row>
    <row r="1146" spans="8:8">
      <c r="B1146" s="7" t="s">
        <v>9284</v>
      </c>
      <c r="C1146" s="8">
        <v>1827.55</v>
      </c>
      <c r="D1146" s="8">
        <f t="shared" si="37"/>
        <v>0.015672326117764774</v>
      </c>
      <c r="E1146" s="8">
        <v>0.0026482174186500712</v>
      </c>
      <c r="F1146" s="9"/>
      <c r="G1146" s="9">
        <v>1143.0</v>
      </c>
      <c r="H1146" s="10">
        <f t="shared" si="38"/>
        <v>0.013893283919162433</v>
      </c>
      <c r="K1146" s="7"/>
    </row>
    <row r="1147" spans="8:8">
      <c r="B1147" s="7" t="s">
        <v>9285</v>
      </c>
      <c r="C1147" s="8">
        <v>1799.35</v>
      </c>
      <c r="D1147" s="8">
        <f t="shared" si="37"/>
        <v>-0.025851334524389584</v>
      </c>
      <c r="E1147" s="8">
        <v>0.002646259476469779</v>
      </c>
      <c r="F1147" s="9"/>
      <c r="G1147" s="9">
        <v>1144.0</v>
      </c>
      <c r="H1147" s="10">
        <f t="shared" si="38"/>
        <v>0.02530625985677556</v>
      </c>
      <c r="K1147" s="7"/>
    </row>
    <row r="1148" spans="8:8">
      <c r="B1148" s="7" t="s">
        <v>9286</v>
      </c>
      <c r="C1148" s="8">
        <v>1847.1</v>
      </c>
      <c r="D1148" s="8">
        <f t="shared" si="37"/>
        <v>-0.014301723677891126</v>
      </c>
      <c r="E1148" s="8">
        <v>0.002644976837341597</v>
      </c>
      <c r="F1148" s="9"/>
      <c r="G1148" s="9">
        <v>1145.0</v>
      </c>
      <c r="H1148" s="10">
        <f t="shared" si="38"/>
        <v>0.017429024381881233</v>
      </c>
      <c r="K1148" s="7"/>
    </row>
    <row r="1149" spans="8:8">
      <c r="B1149" s="7" t="s">
        <v>9287</v>
      </c>
      <c r="C1149" s="8">
        <v>1873.9</v>
      </c>
      <c r="D1149" s="8">
        <f t="shared" si="37"/>
        <v>-0.0036686516376009484</v>
      </c>
      <c r="E1149" s="8">
        <v>0.002622363645085554</v>
      </c>
      <c r="F1149" s="9"/>
      <c r="G1149" s="9">
        <v>1146.0</v>
      </c>
      <c r="H1149" s="10">
        <f t="shared" si="38"/>
        <v>-8.050979961179193E-4</v>
      </c>
      <c r="K1149" s="7"/>
    </row>
    <row r="1150" spans="8:8">
      <c r="B1150" s="7" t="s">
        <v>9288</v>
      </c>
      <c r="C1150" s="8">
        <v>1880.8</v>
      </c>
      <c r="D1150" s="8">
        <f t="shared" si="37"/>
        <v>0.008093476979149868</v>
      </c>
      <c r="E1150" s="8">
        <v>0.002619416803408335</v>
      </c>
      <c r="F1150" s="9"/>
      <c r="G1150" s="9">
        <v>1147.0</v>
      </c>
      <c r="H1150" s="10">
        <f t="shared" si="38"/>
        <v>0.012748101195818491</v>
      </c>
      <c r="K1150" s="7"/>
    </row>
    <row r="1151" spans="8:8">
      <c r="B1151" s="7" t="s">
        <v>9289</v>
      </c>
      <c r="C1151" s="8">
        <v>1865.7</v>
      </c>
      <c r="D1151" s="8">
        <f t="shared" si="37"/>
        <v>0.0022562449637389447</v>
      </c>
      <c r="E1151" s="8">
        <v>0.0026086440979426473</v>
      </c>
      <c r="F1151" s="9"/>
      <c r="G1151" s="9">
        <v>1148.0</v>
      </c>
      <c r="H1151" s="10">
        <f t="shared" si="38"/>
        <v>0.003836977966066917</v>
      </c>
      <c r="K1151" s="7"/>
    </row>
    <row r="1152" spans="8:8">
      <c r="B1152" s="7" t="s">
        <v>9290</v>
      </c>
      <c r="C1152" s="8">
        <v>1861.5</v>
      </c>
      <c r="D1152" s="8">
        <f t="shared" si="37"/>
        <v>-0.006352087114337616</v>
      </c>
      <c r="E1152" s="8">
        <v>0.002603624244948969</v>
      </c>
      <c r="F1152" s="9"/>
      <c r="G1152" s="9">
        <v>1149.0</v>
      </c>
      <c r="H1152" s="10">
        <f t="shared" si="38"/>
        <v>0.02096040518545914</v>
      </c>
      <c r="K1152" s="7"/>
    </row>
    <row r="1153" spans="8:8">
      <c r="B1153" s="7">
        <v>44481.0</v>
      </c>
      <c r="C1153" s="8">
        <v>1873.4</v>
      </c>
      <c r="D1153" s="8">
        <f t="shared" si="37"/>
        <v>-0.0034046175125012576</v>
      </c>
      <c r="E1153" s="8">
        <v>0.002577533882098662</v>
      </c>
      <c r="F1153" s="9"/>
      <c r="G1153" s="9">
        <v>1150.0</v>
      </c>
      <c r="H1153" s="10">
        <f t="shared" si="38"/>
        <v>-0.004281252609732056</v>
      </c>
      <c r="K1153" s="7"/>
    </row>
    <row r="1154" spans="8:8">
      <c r="B1154" s="7">
        <v>44451.0</v>
      </c>
      <c r="C1154" s="8">
        <v>1879.8</v>
      </c>
      <c r="D1154" s="8">
        <f t="shared" si="37"/>
        <v>0.02999917810470946</v>
      </c>
      <c r="E1154" s="8">
        <v>0.0025660655551774207</v>
      </c>
      <c r="F1154" s="9"/>
      <c r="G1154" s="9">
        <v>1151.0</v>
      </c>
      <c r="H1154" s="10">
        <f t="shared" si="38"/>
        <v>0.015036963683715647</v>
      </c>
      <c r="K1154" s="7"/>
    </row>
    <row r="1155" spans="8:8">
      <c r="B1155" s="7">
        <v>44420.0</v>
      </c>
      <c r="C1155" s="8">
        <v>1825.05</v>
      </c>
      <c r="D1155" s="8">
        <f t="shared" si="37"/>
        <v>0.014988042934208357</v>
      </c>
      <c r="E1155" s="8">
        <v>0.0025642519960369856</v>
      </c>
      <c r="F1155" s="9"/>
      <c r="G1155" s="9">
        <v>1152.0</v>
      </c>
      <c r="H1155" s="10">
        <f t="shared" si="38"/>
        <v>-0.004522713407879354</v>
      </c>
      <c r="K1155" s="7"/>
    </row>
    <row r="1156" spans="8:8">
      <c r="B1156" s="7">
        <v>44389.0</v>
      </c>
      <c r="C1156" s="8">
        <v>1798.1</v>
      </c>
      <c r="D1156" s="8">
        <f t="shared" si="39" ref="D1156:D1219">(C1156-C1157)/C1157</f>
        <v>0.008666872352957574</v>
      </c>
      <c r="E1156" s="8">
        <v>0.002543048641192921</v>
      </c>
      <c r="F1156" s="9"/>
      <c r="G1156" s="9">
        <v>1153.0</v>
      </c>
      <c r="H1156" s="10">
        <f t="shared" si="38"/>
        <v>0.016965683713609698</v>
      </c>
      <c r="K1156" s="7"/>
    </row>
    <row r="1157" spans="8:8">
      <c r="B1157" s="7">
        <v>44359.0</v>
      </c>
      <c r="C1157" s="8">
        <v>1782.65</v>
      </c>
      <c r="D1157" s="8">
        <f t="shared" si="39"/>
        <v>-0.010326162387231039</v>
      </c>
      <c r="E1157" s="8">
        <v>0.0025284167188759023</v>
      </c>
      <c r="F1157" s="9"/>
      <c r="G1157" s="9">
        <v>1154.0</v>
      </c>
      <c r="H1157" s="10">
        <f t="shared" si="40" ref="H1157:H1220">_xlfn.NORM.INV(RAND(),N$6,N$7)</f>
        <v>0.012336118099696456</v>
      </c>
      <c r="K1157" s="7"/>
    </row>
    <row r="1158" spans="8:8">
      <c r="B1158" s="7">
        <v>44267.0</v>
      </c>
      <c r="C1158" s="8">
        <v>1801.25</v>
      </c>
      <c r="D1158" s="8">
        <f t="shared" si="39"/>
        <v>0.006734853565839456</v>
      </c>
      <c r="E1158" s="8">
        <v>0.0025230610998617647</v>
      </c>
      <c r="F1158" s="9"/>
      <c r="G1158" s="9">
        <v>1155.0</v>
      </c>
      <c r="H1158" s="10">
        <f t="shared" si="40"/>
        <v>0.003022001896468211</v>
      </c>
      <c r="K1158" s="7"/>
    </row>
    <row r="1159" spans="8:8">
      <c r="B1159" s="7">
        <v>44239.0</v>
      </c>
      <c r="C1159" s="8">
        <v>1789.2</v>
      </c>
      <c r="D1159" s="8">
        <f t="shared" si="39"/>
        <v>0.0017917133258678866</v>
      </c>
      <c r="E1159" s="8">
        <v>0.0025183253136665754</v>
      </c>
      <c r="F1159" s="9"/>
      <c r="G1159" s="9">
        <v>1156.0</v>
      </c>
      <c r="H1159" s="10">
        <f t="shared" si="40"/>
        <v>0.011333979235799794</v>
      </c>
      <c r="K1159" s="7"/>
    </row>
    <row r="1160" spans="8:8">
      <c r="B1160" s="7">
        <v>44208.0</v>
      </c>
      <c r="C1160" s="8">
        <v>1786.0</v>
      </c>
      <c r="D1160" s="8">
        <f t="shared" si="39"/>
        <v>0.012041365632525853</v>
      </c>
      <c r="E1160" s="8">
        <v>0.0025124193456290134</v>
      </c>
      <c r="F1160" s="9"/>
      <c r="G1160" s="9">
        <v>1157.0</v>
      </c>
      <c r="H1160" s="10">
        <f t="shared" si="40"/>
        <v>0.0045971933214850125</v>
      </c>
      <c r="K1160" s="7"/>
    </row>
    <row r="1161" spans="8:8">
      <c r="B1161" s="7" t="s">
        <v>9291</v>
      </c>
      <c r="C1161" s="8">
        <v>1764.75</v>
      </c>
      <c r="D1161" s="8">
        <f t="shared" si="39"/>
        <v>-0.0014146272457207527</v>
      </c>
      <c r="E1161" s="8">
        <v>0.0024984164965866384</v>
      </c>
      <c r="F1161" s="9"/>
      <c r="G1161" s="9">
        <v>1158.0</v>
      </c>
      <c r="H1161" s="10">
        <f t="shared" si="40"/>
        <v>0.002749753617171379</v>
      </c>
      <c r="K1161" s="7"/>
    </row>
    <row r="1162" spans="8:8">
      <c r="B1162" s="7" t="s">
        <v>9292</v>
      </c>
      <c r="C1162" s="8">
        <v>1767.25</v>
      </c>
      <c r="D1162" s="8">
        <f t="shared" si="39"/>
        <v>-0.0061299665382561035</v>
      </c>
      <c r="E1162" s="8">
        <v>0.0024909142880476577</v>
      </c>
      <c r="F1162" s="9"/>
      <c r="G1162" s="9">
        <v>1159.0</v>
      </c>
      <c r="H1162" s="10">
        <f t="shared" si="40"/>
        <v>-0.006622612296710254</v>
      </c>
      <c r="K1162" s="7"/>
    </row>
    <row r="1163" spans="8:8">
      <c r="B1163" s="7" t="s">
        <v>9293</v>
      </c>
      <c r="C1163" s="8">
        <v>1778.15</v>
      </c>
      <c r="D1163" s="8">
        <f t="shared" si="39"/>
        <v>-0.038785880317855015</v>
      </c>
      <c r="E1163" s="8">
        <v>0.00248860060368634</v>
      </c>
      <c r="F1163" s="9"/>
      <c r="G1163" s="9">
        <v>1160.0</v>
      </c>
      <c r="H1163" s="10">
        <f t="shared" si="40"/>
        <v>-0.005977292430488178</v>
      </c>
      <c r="K1163" s="7"/>
    </row>
    <row r="1164" spans="8:8">
      <c r="B1164" s="7" t="s">
        <v>9294</v>
      </c>
      <c r="C1164" s="8">
        <v>1849.9</v>
      </c>
      <c r="D1164" s="8">
        <f t="shared" si="39"/>
        <v>-0.006765100671140891</v>
      </c>
      <c r="E1164" s="8">
        <v>0.00248781478472791</v>
      </c>
      <c r="F1164" s="9"/>
      <c r="G1164" s="9">
        <v>1161.0</v>
      </c>
      <c r="H1164" s="10">
        <f t="shared" si="40"/>
        <v>-0.001198716301820832</v>
      </c>
      <c r="K1164" s="7"/>
    </row>
    <row r="1165" spans="8:8">
      <c r="B1165" s="7" t="s">
        <v>9295</v>
      </c>
      <c r="C1165" s="8">
        <v>1862.5</v>
      </c>
      <c r="D1165" s="8">
        <f t="shared" si="39"/>
        <v>-0.012643464892517248</v>
      </c>
      <c r="E1165" s="8">
        <v>0.002485718023636245</v>
      </c>
      <c r="F1165" s="9"/>
      <c r="G1165" s="9">
        <v>1162.0</v>
      </c>
      <c r="H1165" s="10">
        <f t="shared" si="40"/>
        <v>0.009733175458879374</v>
      </c>
      <c r="K1165" s="7"/>
    </row>
    <row r="1166" spans="8:8">
      <c r="B1166" s="7" t="s">
        <v>9296</v>
      </c>
      <c r="C1166" s="8">
        <v>1886.35</v>
      </c>
      <c r="D1166" s="8">
        <f t="shared" si="39"/>
        <v>0.011718959506570077</v>
      </c>
      <c r="E1166" s="8">
        <v>0.002445189750028943</v>
      </c>
      <c r="F1166" s="9"/>
      <c r="G1166" s="9">
        <v>1163.0</v>
      </c>
      <c r="H1166" s="10">
        <f t="shared" si="40"/>
        <v>-0.011815411652060851</v>
      </c>
      <c r="K1166" s="7"/>
    </row>
    <row r="1167" spans="8:8">
      <c r="B1167" s="7" t="s">
        <v>9297</v>
      </c>
      <c r="C1167" s="8">
        <v>1864.5</v>
      </c>
      <c r="D1167" s="8">
        <f t="shared" si="39"/>
        <v>-0.01713231418028466</v>
      </c>
      <c r="E1167" s="8">
        <v>0.0024448958098247198</v>
      </c>
      <c r="F1167" s="9"/>
      <c r="G1167" s="9">
        <v>1164.0</v>
      </c>
      <c r="H1167" s="10">
        <f t="shared" si="40"/>
        <v>-0.002360503976903204</v>
      </c>
      <c r="K1167" s="7"/>
    </row>
    <row r="1168" spans="8:8">
      <c r="B1168" s="7" t="s">
        <v>9298</v>
      </c>
      <c r="C1168" s="8">
        <v>1897.0</v>
      </c>
      <c r="D1168" s="8">
        <f t="shared" si="39"/>
        <v>-0.02862409749603159</v>
      </c>
      <c r="E1168" s="8">
        <v>0.002440083541843335</v>
      </c>
      <c r="F1168" s="9"/>
      <c r="G1168" s="9">
        <v>1165.0</v>
      </c>
      <c r="H1168" s="10">
        <f t="shared" si="40"/>
        <v>-0.006067698930145971</v>
      </c>
      <c r="K1168" s="7"/>
    </row>
    <row r="1169" spans="8:8">
      <c r="B1169" s="7" t="s">
        <v>9299</v>
      </c>
      <c r="C1169" s="8">
        <v>1952.9</v>
      </c>
      <c r="D1169" s="8">
        <f t="shared" si="39"/>
        <v>-0.0012274331304658434</v>
      </c>
      <c r="E1169" s="8">
        <v>0.002430113840232336</v>
      </c>
      <c r="F1169" s="9"/>
      <c r="G1169" s="9">
        <v>1166.0</v>
      </c>
      <c r="H1169" s="10">
        <f t="shared" si="40"/>
        <v>-0.011353641062400246</v>
      </c>
      <c r="K1169" s="7"/>
    </row>
    <row r="1170" spans="8:8">
      <c r="B1170" s="7" t="s">
        <v>9300</v>
      </c>
      <c r="C1170" s="8">
        <v>1955.3</v>
      </c>
      <c r="D1170" s="8">
        <f t="shared" si="39"/>
        <v>0.004237179322564906</v>
      </c>
      <c r="E1170" s="8">
        <v>0.0024282094594595145</v>
      </c>
      <c r="F1170" s="9"/>
      <c r="G1170" s="9">
        <v>1167.0</v>
      </c>
      <c r="H1170" s="10">
        <f t="shared" si="40"/>
        <v>0.018274906375872552</v>
      </c>
      <c r="K1170" s="7"/>
    </row>
    <row r="1171" spans="8:8">
      <c r="B1171" s="7" t="s">
        <v>9301</v>
      </c>
      <c r="C1171" s="8">
        <v>1947.05</v>
      </c>
      <c r="D1171" s="8">
        <f t="shared" si="39"/>
        <v>-0.006581800556136682</v>
      </c>
      <c r="E1171" s="8">
        <v>0.002425885626627727</v>
      </c>
      <c r="F1171" s="9"/>
      <c r="G1171" s="9">
        <v>1168.0</v>
      </c>
      <c r="H1171" s="10">
        <f t="shared" si="40"/>
        <v>-0.0024266931618804055</v>
      </c>
      <c r="K1171" s="7"/>
    </row>
    <row r="1172" spans="8:8">
      <c r="B1172" s="7">
        <v>44541.0</v>
      </c>
      <c r="C1172" s="8">
        <v>1959.95</v>
      </c>
      <c r="D1172" s="8">
        <f t="shared" si="39"/>
        <v>0.014624424082414452</v>
      </c>
      <c r="E1172" s="8">
        <v>0.002401592288585767</v>
      </c>
      <c r="F1172" s="9"/>
      <c r="G1172" s="9">
        <v>1169.0</v>
      </c>
      <c r="H1172" s="10">
        <f t="shared" si="40"/>
        <v>0.017430144612994664</v>
      </c>
      <c r="K1172" s="7"/>
    </row>
    <row r="1173" spans="8:8">
      <c r="B1173" s="7">
        <v>44511.0</v>
      </c>
      <c r="C1173" s="8">
        <v>1931.7</v>
      </c>
      <c r="D1173" s="8">
        <f t="shared" si="39"/>
        <v>-0.009460810706868725</v>
      </c>
      <c r="E1173" s="8">
        <v>0.002393107849393746</v>
      </c>
      <c r="F1173" s="9"/>
      <c r="G1173" s="9">
        <v>1170.0</v>
      </c>
      <c r="H1173" s="10">
        <f t="shared" si="40"/>
        <v>0.025339176966146525</v>
      </c>
      <c r="K1173" s="7"/>
    </row>
    <row r="1174" spans="8:8">
      <c r="B1174" s="7">
        <v>44480.0</v>
      </c>
      <c r="C1174" s="8">
        <v>1950.15</v>
      </c>
      <c r="D1174" s="8">
        <f t="shared" si="39"/>
        <v>0.0033700349866228555</v>
      </c>
      <c r="E1174" s="8">
        <v>0.0023892666789193163</v>
      </c>
      <c r="F1174" s="9"/>
      <c r="G1174" s="9">
        <v>1171.0</v>
      </c>
      <c r="H1174" s="10">
        <f t="shared" si="40"/>
        <v>0.009979115927538175</v>
      </c>
      <c r="K1174" s="7"/>
    </row>
    <row r="1175" spans="8:8">
      <c r="B1175" s="7">
        <v>44450.0</v>
      </c>
      <c r="C1175" s="8">
        <v>1943.6</v>
      </c>
      <c r="D1175" s="8">
        <f t="shared" si="39"/>
        <v>0.009898417811956018</v>
      </c>
      <c r="E1175" s="8">
        <v>0.002378425848000293</v>
      </c>
      <c r="F1175" s="9"/>
      <c r="G1175" s="9">
        <v>1172.0</v>
      </c>
      <c r="H1175" s="10">
        <f t="shared" si="40"/>
        <v>-0.010665028722057584</v>
      </c>
      <c r="K1175" s="7"/>
    </row>
    <row r="1176" spans="8:8">
      <c r="B1176" s="7">
        <v>44419.0</v>
      </c>
      <c r="C1176" s="8">
        <v>1924.55</v>
      </c>
      <c r="D1176" s="8">
        <f t="shared" si="39"/>
        <v>0.008172031745200193</v>
      </c>
      <c r="E1176" s="8">
        <v>0.0023730971812235394</v>
      </c>
      <c r="F1176" s="9"/>
      <c r="G1176" s="9">
        <v>1173.0</v>
      </c>
      <c r="H1176" s="10">
        <f t="shared" si="40"/>
        <v>-9.03335302399352E-4</v>
      </c>
      <c r="K1176" s="7"/>
    </row>
    <row r="1177" spans="8:8">
      <c r="B1177" s="7">
        <v>44297.0</v>
      </c>
      <c r="C1177" s="8">
        <v>1908.95</v>
      </c>
      <c r="D1177" s="8">
        <f t="shared" si="39"/>
        <v>0.010293728499603094</v>
      </c>
      <c r="E1177" s="8">
        <v>0.002367519645375804</v>
      </c>
      <c r="F1177" s="9"/>
      <c r="G1177" s="9">
        <v>1174.0</v>
      </c>
      <c r="H1177" s="10">
        <f t="shared" si="40"/>
        <v>0.01100171417545798</v>
      </c>
      <c r="K1177" s="7"/>
    </row>
    <row r="1178" spans="8:8">
      <c r="B1178" s="7">
        <v>44266.0</v>
      </c>
      <c r="C1178" s="8">
        <v>1889.5</v>
      </c>
      <c r="D1178" s="8">
        <f t="shared" si="39"/>
        <v>0.04067413873819288</v>
      </c>
      <c r="E1178" s="8">
        <v>0.0023501762632197752</v>
      </c>
      <c r="F1178" s="9"/>
      <c r="G1178" s="9">
        <v>1175.0</v>
      </c>
      <c r="H1178" s="10">
        <f t="shared" si="40"/>
        <v>8.132458506602191E-5</v>
      </c>
      <c r="K1178" s="7"/>
    </row>
    <row r="1179" spans="8:8">
      <c r="B1179" s="7">
        <v>44238.0</v>
      </c>
      <c r="C1179" s="8">
        <v>1815.65</v>
      </c>
      <c r="D1179" s="8">
        <f t="shared" si="39"/>
        <v>0.011306987495474522</v>
      </c>
      <c r="E1179" s="8">
        <v>0.0023429633645729157</v>
      </c>
      <c r="F1179" s="9"/>
      <c r="G1179" s="9">
        <v>1176.0</v>
      </c>
      <c r="H1179" s="10">
        <f t="shared" si="40"/>
        <v>0.0030093028648986303</v>
      </c>
      <c r="K1179" s="7"/>
    </row>
    <row r="1180" spans="8:8">
      <c r="B1180" s="7">
        <v>44207.0</v>
      </c>
      <c r="C1180" s="8">
        <v>1795.35</v>
      </c>
      <c r="D1180" s="8">
        <f t="shared" si="39"/>
        <v>0.01624543627770063</v>
      </c>
      <c r="E1180" s="8">
        <v>0.002327001948864132</v>
      </c>
      <c r="F1180" s="9"/>
      <c r="G1180" s="9">
        <v>1177.0</v>
      </c>
      <c r="H1180" s="10">
        <f t="shared" si="40"/>
        <v>-0.018923069900822646</v>
      </c>
      <c r="K1180" s="7"/>
    </row>
    <row r="1181" spans="8:8">
      <c r="B1181" s="7" t="s">
        <v>9302</v>
      </c>
      <c r="C1181" s="8">
        <v>1766.65</v>
      </c>
      <c r="D1181" s="8">
        <f t="shared" si="39"/>
        <v>-0.026236736943640572</v>
      </c>
      <c r="E1181" s="8">
        <v>0.002256248494008734</v>
      </c>
      <c r="F1181" s="9"/>
      <c r="G1181" s="9">
        <v>1178.0</v>
      </c>
      <c r="H1181" s="10">
        <f t="shared" si="40"/>
        <v>-0.0055572011870219</v>
      </c>
      <c r="K1181" s="7"/>
    </row>
    <row r="1182" spans="8:8">
      <c r="B1182" s="7" t="s">
        <v>9303</v>
      </c>
      <c r="C1182" s="8">
        <v>1814.25</v>
      </c>
      <c r="D1182" s="8">
        <f t="shared" si="39"/>
        <v>0.016642851138942618</v>
      </c>
      <c r="E1182" s="8">
        <v>0.0022399203583873223</v>
      </c>
      <c r="F1182" s="9"/>
      <c r="G1182" s="9">
        <v>1179.0</v>
      </c>
      <c r="H1182" s="10">
        <f t="shared" si="40"/>
        <v>0.007896932441952081</v>
      </c>
      <c r="K1182" s="7"/>
    </row>
    <row r="1183" spans="8:8">
      <c r="B1183" s="7" t="s">
        <v>9304</v>
      </c>
      <c r="C1183" s="8">
        <v>1784.55</v>
      </c>
      <c r="D1183" s="8">
        <f t="shared" si="39"/>
        <v>-0.006513569937369545</v>
      </c>
      <c r="E1183" s="8">
        <v>0.0022397964826899428</v>
      </c>
      <c r="F1183" s="9"/>
      <c r="G1183" s="9">
        <v>1180.0</v>
      </c>
      <c r="H1183" s="10">
        <f t="shared" si="40"/>
        <v>-0.015572884802843443</v>
      </c>
      <c r="K1183" s="7"/>
    </row>
    <row r="1184" spans="8:8">
      <c r="B1184" s="7" t="s">
        <v>9305</v>
      </c>
      <c r="C1184" s="8">
        <v>1796.25</v>
      </c>
      <c r="D1184" s="8">
        <f t="shared" si="39"/>
        <v>0.0067819409802986905</v>
      </c>
      <c r="E1184" s="8">
        <v>0.002235725750974469</v>
      </c>
      <c r="F1184" s="9"/>
      <c r="G1184" s="9">
        <v>1181.0</v>
      </c>
      <c r="H1184" s="10">
        <f t="shared" si="40"/>
        <v>0.0038897732671568583</v>
      </c>
      <c r="K1184" s="7"/>
    </row>
    <row r="1185" spans="8:8">
      <c r="B1185" s="7" t="s">
        <v>9306</v>
      </c>
      <c r="C1185" s="8">
        <v>1784.15</v>
      </c>
      <c r="D1185" s="8">
        <f t="shared" si="39"/>
        <v>-0.0045194587808619945</v>
      </c>
      <c r="E1185" s="8">
        <v>0.0022220247089147632</v>
      </c>
      <c r="F1185" s="9"/>
      <c r="G1185" s="9">
        <v>1182.0</v>
      </c>
      <c r="H1185" s="10">
        <f t="shared" si="40"/>
        <v>-0.0033215946952210315</v>
      </c>
      <c r="K1185" s="7"/>
    </row>
    <row r="1186" spans="8:8">
      <c r="B1186" s="7" t="s">
        <v>9307</v>
      </c>
      <c r="C1186" s="8">
        <v>1792.25</v>
      </c>
      <c r="D1186" s="8">
        <f t="shared" si="39"/>
        <v>-0.007476117956527759</v>
      </c>
      <c r="E1186" s="8">
        <v>0.002221593321069735</v>
      </c>
      <c r="F1186" s="9"/>
      <c r="G1186" s="9">
        <v>1183.0</v>
      </c>
      <c r="H1186" s="10">
        <f t="shared" si="40"/>
        <v>-0.007229008119464034</v>
      </c>
      <c r="K1186" s="7"/>
    </row>
    <row r="1187" spans="8:8">
      <c r="B1187" s="7" t="s">
        <v>9308</v>
      </c>
      <c r="C1187" s="8">
        <v>1805.75</v>
      </c>
      <c r="D1187" s="8">
        <f t="shared" si="39"/>
        <v>-5.2582055681632E-4</v>
      </c>
      <c r="E1187" s="8">
        <v>0.0022166930558697538</v>
      </c>
      <c r="F1187" s="9"/>
      <c r="G1187" s="9">
        <v>1184.0</v>
      </c>
      <c r="H1187" s="10">
        <f t="shared" si="40"/>
        <v>-7.861706123712146E-4</v>
      </c>
      <c r="K1187" s="7"/>
    </row>
    <row r="1188" spans="8:8">
      <c r="B1188" s="7" t="s">
        <v>9309</v>
      </c>
      <c r="C1188" s="8">
        <v>1806.7</v>
      </c>
      <c r="D1188" s="8">
        <f t="shared" si="39"/>
        <v>-0.021315782346090252</v>
      </c>
      <c r="E1188" s="8">
        <v>0.0022108385009436834</v>
      </c>
      <c r="F1188" s="9"/>
      <c r="G1188" s="9">
        <v>1185.0</v>
      </c>
      <c r="H1188" s="10">
        <f t="shared" si="40"/>
        <v>0.01520616198447234</v>
      </c>
      <c r="K1188" s="7"/>
    </row>
    <row r="1189" spans="8:8">
      <c r="B1189" s="7" t="s">
        <v>9310</v>
      </c>
      <c r="C1189" s="8">
        <v>1846.05</v>
      </c>
      <c r="D1189" s="8">
        <f t="shared" si="39"/>
        <v>0.03220665939780251</v>
      </c>
      <c r="E1189" s="8">
        <v>0.002205947233742169</v>
      </c>
      <c r="F1189" s="9"/>
      <c r="G1189" s="9">
        <v>1186.0</v>
      </c>
      <c r="H1189" s="10">
        <f t="shared" si="40"/>
        <v>0.014385913640302148</v>
      </c>
      <c r="K1189" s="7"/>
    </row>
    <row r="1190" spans="8:8">
      <c r="B1190" s="7" t="s">
        <v>9311</v>
      </c>
      <c r="C1190" s="8">
        <v>1788.45</v>
      </c>
      <c r="D1190" s="8">
        <f t="shared" si="39"/>
        <v>-4.750461074162572E-4</v>
      </c>
      <c r="E1190" s="8">
        <v>0.0021986875010489002</v>
      </c>
      <c r="F1190" s="9"/>
      <c r="G1190" s="9">
        <v>1187.0</v>
      </c>
      <c r="H1190" s="10">
        <f t="shared" si="40"/>
        <v>-0.015709560530135464</v>
      </c>
      <c r="K1190" s="7"/>
    </row>
    <row r="1191" spans="8:8">
      <c r="B1191" s="7" t="s">
        <v>9312</v>
      </c>
      <c r="C1191" s="8">
        <v>1789.3</v>
      </c>
      <c r="D1191" s="8">
        <f t="shared" si="39"/>
        <v>0.021260808766873092</v>
      </c>
      <c r="E1191" s="8">
        <v>0.0021954360262607157</v>
      </c>
      <c r="F1191" s="9"/>
      <c r="G1191" s="9">
        <v>1188.0</v>
      </c>
      <c r="H1191" s="10">
        <f t="shared" si="40"/>
        <v>-0.004044515846371519</v>
      </c>
      <c r="K1191" s="7"/>
    </row>
    <row r="1192" spans="8:8">
      <c r="B1192" s="7" t="s">
        <v>9313</v>
      </c>
      <c r="C1192" s="8">
        <v>1752.05</v>
      </c>
      <c r="D1192" s="8">
        <f t="shared" si="39"/>
        <v>0.01970084972645787</v>
      </c>
      <c r="E1192" s="8">
        <v>0.002195136927422354</v>
      </c>
      <c r="F1192" s="9"/>
      <c r="G1192" s="9">
        <v>1189.0</v>
      </c>
      <c r="H1192" s="10">
        <f t="shared" si="40"/>
        <v>0.013101981434144039</v>
      </c>
      <c r="K1192" s="7"/>
    </row>
    <row r="1193" spans="8:8">
      <c r="B1193" s="7">
        <v>44540.0</v>
      </c>
      <c r="C1193" s="8">
        <v>1718.2</v>
      </c>
      <c r="D1193" s="8">
        <f t="shared" si="39"/>
        <v>7.571786359135386E-4</v>
      </c>
      <c r="E1193" s="8">
        <v>0.0021875</v>
      </c>
      <c r="F1193" s="9"/>
      <c r="G1193" s="9">
        <v>1190.0</v>
      </c>
      <c r="H1193" s="10">
        <f t="shared" si="40"/>
        <v>-0.007335938876788407</v>
      </c>
      <c r="K1193" s="7"/>
    </row>
    <row r="1194" spans="8:8">
      <c r="B1194" s="7">
        <v>44510.0</v>
      </c>
      <c r="C1194" s="8">
        <v>1716.9</v>
      </c>
      <c r="D1194" s="8">
        <f t="shared" si="39"/>
        <v>-0.005790723261335341</v>
      </c>
      <c r="E1194" s="8">
        <v>0.002180435103365769</v>
      </c>
      <c r="F1194" s="9"/>
      <c r="G1194" s="9">
        <v>1191.0</v>
      </c>
      <c r="H1194" s="10">
        <f t="shared" si="40"/>
        <v>0.008836228958204927</v>
      </c>
      <c r="K1194" s="7"/>
    </row>
    <row r="1195" spans="8:8">
      <c r="B1195" s="7">
        <v>44418.0</v>
      </c>
      <c r="C1195" s="8">
        <v>1726.9</v>
      </c>
      <c r="D1195" s="8">
        <f t="shared" si="39"/>
        <v>0.008438202575257698</v>
      </c>
      <c r="E1195" s="8">
        <v>0.0021771482114314312</v>
      </c>
      <c r="F1195" s="9"/>
      <c r="G1195" s="9">
        <v>1192.0</v>
      </c>
      <c r="H1195" s="10">
        <f t="shared" si="40"/>
        <v>-0.009081046742763176</v>
      </c>
      <c r="K1195" s="7"/>
    </row>
    <row r="1196" spans="8:8">
      <c r="B1196" s="7">
        <v>44387.0</v>
      </c>
      <c r="C1196" s="8">
        <v>1712.45</v>
      </c>
      <c r="D1196" s="8">
        <f t="shared" si="39"/>
        <v>0.010265183917878583</v>
      </c>
      <c r="E1196" s="8">
        <v>0.002177044981591222</v>
      </c>
      <c r="F1196" s="9"/>
      <c r="G1196" s="9">
        <v>1193.0</v>
      </c>
      <c r="H1196" s="10">
        <f t="shared" si="40"/>
        <v>0.006721999534216331</v>
      </c>
      <c r="K1196" s="7"/>
    </row>
    <row r="1197" spans="8:8">
      <c r="B1197" s="7">
        <v>44357.0</v>
      </c>
      <c r="C1197" s="8">
        <v>1695.05</v>
      </c>
      <c r="D1197" s="8">
        <f t="shared" si="39"/>
        <v>-0.012611405603774736</v>
      </c>
      <c r="E1197" s="8">
        <v>0.002176992469991853</v>
      </c>
      <c r="F1197" s="9"/>
      <c r="G1197" s="9">
        <v>1194.0</v>
      </c>
      <c r="H1197" s="10">
        <f t="shared" si="40"/>
        <v>0.0024085450722228802</v>
      </c>
      <c r="K1197" s="7"/>
    </row>
    <row r="1198" spans="8:8">
      <c r="B1198" s="7">
        <v>44326.0</v>
      </c>
      <c r="C1198" s="8">
        <v>1716.7</v>
      </c>
      <c r="D1198" s="8">
        <f t="shared" si="39"/>
        <v>8.453578195598574E-4</v>
      </c>
      <c r="E1198" s="8">
        <v>0.002175618803052967</v>
      </c>
      <c r="F1198" s="9"/>
      <c r="G1198" s="9">
        <v>1195.0</v>
      </c>
      <c r="H1198" s="10">
        <f t="shared" si="40"/>
        <v>-0.007979729647191292</v>
      </c>
      <c r="K1198" s="7"/>
    </row>
    <row r="1199" spans="8:8">
      <c r="B1199" s="7">
        <v>44296.0</v>
      </c>
      <c r="C1199" s="8">
        <v>1715.25</v>
      </c>
      <c r="D1199" s="8">
        <f t="shared" si="39"/>
        <v>0.010813836996876604</v>
      </c>
      <c r="E1199" s="8">
        <v>0.002165130242628472</v>
      </c>
      <c r="F1199" s="9"/>
      <c r="G1199" s="9">
        <v>1196.0</v>
      </c>
      <c r="H1199" s="10">
        <f t="shared" si="40"/>
        <v>0.013537956933577448</v>
      </c>
      <c r="K1199" s="7"/>
    </row>
    <row r="1200" spans="8:8">
      <c r="B1200" s="7">
        <v>44206.0</v>
      </c>
      <c r="C1200" s="8">
        <v>1696.9</v>
      </c>
      <c r="D1200" s="8">
        <f t="shared" si="39"/>
        <v>-0.0035526586218033143</v>
      </c>
      <c r="E1200" s="8">
        <v>0.002131083373200381</v>
      </c>
      <c r="F1200" s="9"/>
      <c r="G1200" s="9">
        <v>1197.0</v>
      </c>
      <c r="H1200" s="10">
        <f t="shared" si="40"/>
        <v>0.005838083920003767</v>
      </c>
      <c r="K1200" s="7"/>
    </row>
    <row r="1201" spans="8:8">
      <c r="B1201" s="7" t="s">
        <v>9314</v>
      </c>
      <c r="C1201" s="8">
        <v>1702.95</v>
      </c>
      <c r="D1201" s="8">
        <f t="shared" si="39"/>
        <v>-0.010488088320743728</v>
      </c>
      <c r="E1201" s="8">
        <v>0.0021084241127048236</v>
      </c>
      <c r="F1201" s="9"/>
      <c r="G1201" s="9">
        <v>1198.0</v>
      </c>
      <c r="H1201" s="10">
        <f t="shared" si="40"/>
        <v>-0.029476705238970845</v>
      </c>
      <c r="K1201" s="7"/>
    </row>
    <row r="1202" spans="8:8">
      <c r="B1202" s="7" t="s">
        <v>9315</v>
      </c>
      <c r="C1202" s="8">
        <v>1721.0</v>
      </c>
      <c r="D1202" s="8">
        <f t="shared" si="39"/>
        <v>-0.009296836772875164</v>
      </c>
      <c r="E1202" s="8">
        <v>0.002082563568573536</v>
      </c>
      <c r="F1202" s="9"/>
      <c r="G1202" s="9">
        <v>1199.0</v>
      </c>
      <c r="H1202" s="10">
        <f t="shared" si="40"/>
        <v>0.007072045210971311</v>
      </c>
      <c r="K1202" s="7"/>
    </row>
    <row r="1203" spans="8:8">
      <c r="B1203" s="7" t="s">
        <v>9316</v>
      </c>
      <c r="C1203" s="8">
        <v>1737.15</v>
      </c>
      <c r="D1203" s="8">
        <f t="shared" si="39"/>
        <v>-0.0014083697401700496</v>
      </c>
      <c r="E1203" s="8">
        <v>0.0020635137390566044</v>
      </c>
      <c r="F1203" s="9"/>
      <c r="G1203" s="9">
        <v>1200.0</v>
      </c>
      <c r="H1203" s="10">
        <f t="shared" si="40"/>
        <v>0.006344695467241203</v>
      </c>
      <c r="K1203" s="7"/>
    </row>
    <row r="1204" spans="8:8">
      <c r="B1204" s="7" t="s">
        <v>9317</v>
      </c>
      <c r="C1204" s="8">
        <v>1739.6</v>
      </c>
      <c r="D1204" s="8">
        <f t="shared" si="39"/>
        <v>-0.016480565371024786</v>
      </c>
      <c r="E1204" s="8">
        <v>0.002061888372535647</v>
      </c>
      <c r="F1204" s="9"/>
      <c r="G1204" s="9">
        <v>1201.0</v>
      </c>
      <c r="H1204" s="10">
        <f t="shared" si="40"/>
        <v>0.011367320582480894</v>
      </c>
      <c r="K1204" s="7"/>
    </row>
    <row r="1205" spans="8:8">
      <c r="B1205" s="7" t="s">
        <v>9318</v>
      </c>
      <c r="C1205" s="8">
        <v>1768.75</v>
      </c>
      <c r="D1205" s="8">
        <f t="shared" si="39"/>
        <v>-5.36814149290866E-4</v>
      </c>
      <c r="E1205" s="8">
        <v>0.0020429009193052446</v>
      </c>
      <c r="F1205" s="9"/>
      <c r="G1205" s="9">
        <v>1202.0</v>
      </c>
      <c r="H1205" s="10">
        <f t="shared" si="40"/>
        <v>0.007786769578969736</v>
      </c>
      <c r="K1205" s="7"/>
    </row>
    <row r="1206" spans="8:8">
      <c r="B1206" s="7" t="s">
        <v>9319</v>
      </c>
      <c r="C1206" s="8">
        <v>1769.7</v>
      </c>
      <c r="D1206" s="8">
        <f t="shared" si="39"/>
        <v>0.03436787655619846</v>
      </c>
      <c r="E1206" s="8">
        <v>0.002033418795862596</v>
      </c>
      <c r="F1206" s="9"/>
      <c r="G1206" s="9">
        <v>1203.0</v>
      </c>
      <c r="H1206" s="10">
        <f t="shared" si="40"/>
        <v>-0.001453226996117346</v>
      </c>
      <c r="K1206" s="7"/>
    </row>
    <row r="1207" spans="8:8">
      <c r="B1207" s="7" t="s">
        <v>9320</v>
      </c>
      <c r="C1207" s="8">
        <v>1710.9</v>
      </c>
      <c r="D1207" s="8">
        <f t="shared" si="39"/>
        <v>-0.005810912894415712</v>
      </c>
      <c r="E1207" s="8">
        <v>0.002021853222059827</v>
      </c>
      <c r="F1207" s="9"/>
      <c r="G1207" s="9">
        <v>1204.0</v>
      </c>
      <c r="H1207" s="10">
        <f t="shared" si="40"/>
        <v>0.004056042408225223</v>
      </c>
      <c r="K1207" s="7"/>
    </row>
    <row r="1208" spans="8:8">
      <c r="B1208" s="7" t="s">
        <v>9321</v>
      </c>
      <c r="C1208" s="8">
        <v>1720.9</v>
      </c>
      <c r="D1208" s="8">
        <f t="shared" si="39"/>
        <v>0.0097104467978996</v>
      </c>
      <c r="E1208" s="8">
        <v>0.002016388519455926</v>
      </c>
      <c r="F1208" s="9"/>
      <c r="G1208" s="9">
        <v>1205.0</v>
      </c>
      <c r="H1208" s="10">
        <f t="shared" si="40"/>
        <v>0.017624209742276544</v>
      </c>
      <c r="K1208" s="7"/>
    </row>
    <row r="1209" spans="8:8">
      <c r="B1209" s="7" t="s">
        <v>9322</v>
      </c>
      <c r="C1209" s="8">
        <v>1704.35</v>
      </c>
      <c r="D1209" s="8">
        <f t="shared" si="39"/>
        <v>-0.006904789651555842</v>
      </c>
      <c r="E1209" s="8">
        <v>0.002015191443187032</v>
      </c>
      <c r="F1209" s="9"/>
      <c r="G1209" s="9">
        <v>1206.0</v>
      </c>
      <c r="H1209" s="10">
        <f t="shared" si="40"/>
        <v>0.007262730905674098</v>
      </c>
      <c r="K1209" s="7"/>
    </row>
    <row r="1210" spans="8:8">
      <c r="B1210" s="7" t="s">
        <v>9323</v>
      </c>
      <c r="C1210" s="8">
        <v>1716.2</v>
      </c>
      <c r="D1210" s="8">
        <f t="shared" si="39"/>
        <v>-0.0029339143064632998</v>
      </c>
      <c r="E1210" s="8">
        <v>0.002012761766091505</v>
      </c>
      <c r="F1210" s="9"/>
      <c r="G1210" s="9">
        <v>1207.0</v>
      </c>
      <c r="H1210" s="10">
        <f t="shared" si="40"/>
        <v>-0.01077879256920285</v>
      </c>
      <c r="K1210" s="7"/>
    </row>
    <row r="1211" spans="8:8">
      <c r="B1211" s="7" t="s">
        <v>9324</v>
      </c>
      <c r="C1211" s="8">
        <v>1721.25</v>
      </c>
      <c r="D1211" s="8">
        <f t="shared" si="39"/>
        <v>0.0024752475247524753</v>
      </c>
      <c r="E1211" s="8">
        <v>0.0020099314258689637</v>
      </c>
      <c r="F1211" s="9"/>
      <c r="G1211" s="9">
        <v>1208.0</v>
      </c>
      <c r="H1211" s="10">
        <f t="shared" si="40"/>
        <v>-0.001807936986497483</v>
      </c>
      <c r="K1211" s="7"/>
    </row>
    <row r="1212" spans="8:8">
      <c r="B1212" s="7" t="s">
        <v>9325</v>
      </c>
      <c r="C1212" s="8">
        <v>1717.0</v>
      </c>
      <c r="D1212" s="8">
        <f t="shared" si="39"/>
        <v>0.012113531197500636</v>
      </c>
      <c r="E1212" s="8">
        <v>0.002005124206304951</v>
      </c>
      <c r="F1212" s="9"/>
      <c r="G1212" s="9">
        <v>1209.0</v>
      </c>
      <c r="H1212" s="10">
        <f t="shared" si="40"/>
        <v>0.02998388860831458</v>
      </c>
      <c r="K1212" s="7"/>
    </row>
    <row r="1213" spans="8:8">
      <c r="B1213" s="7" t="s">
        <v>9326</v>
      </c>
      <c r="C1213" s="8">
        <v>1696.45</v>
      </c>
      <c r="D1213" s="8">
        <f t="shared" si="39"/>
        <v>0.014805288030148949</v>
      </c>
      <c r="E1213" s="8">
        <v>0.001991257892180626</v>
      </c>
      <c r="F1213" s="9"/>
      <c r="G1213" s="9">
        <v>1210.0</v>
      </c>
      <c r="H1213" s="10">
        <f t="shared" si="40"/>
        <v>-0.00819497605025344</v>
      </c>
      <c r="K1213" s="7"/>
    </row>
    <row r="1214" spans="8:8">
      <c r="B1214" s="7" t="s">
        <v>9327</v>
      </c>
      <c r="C1214" s="8">
        <v>1671.7</v>
      </c>
      <c r="D1214" s="8">
        <f t="shared" si="39"/>
        <v>9.879943714260597E-4</v>
      </c>
      <c r="E1214" s="8">
        <v>0.0019591897087092203</v>
      </c>
      <c r="F1214" s="9"/>
      <c r="G1214" s="9">
        <v>1211.0</v>
      </c>
      <c r="H1214" s="10">
        <f t="shared" si="40"/>
        <v>0.011035328444230842</v>
      </c>
      <c r="K1214" s="7"/>
    </row>
    <row r="1215" spans="8:8">
      <c r="B1215" s="7">
        <v>44448.0</v>
      </c>
      <c r="C1215" s="8">
        <v>1670.05</v>
      </c>
      <c r="D1215" s="8">
        <f t="shared" si="39"/>
        <v>0.0021001470102907202</v>
      </c>
      <c r="E1215" s="8">
        <v>0.0019559902200489403</v>
      </c>
      <c r="F1215" s="9"/>
      <c r="G1215" s="9">
        <v>1212.0</v>
      </c>
      <c r="H1215" s="10">
        <f t="shared" si="40"/>
        <v>-0.004736494792235151</v>
      </c>
      <c r="K1215" s="7"/>
    </row>
    <row r="1216" spans="8:8">
      <c r="B1216" s="7">
        <v>44417.0</v>
      </c>
      <c r="C1216" s="8">
        <v>1666.55</v>
      </c>
      <c r="D1216" s="8">
        <f t="shared" si="39"/>
        <v>-0.009008741154783903</v>
      </c>
      <c r="E1216" s="8">
        <v>0.001952171791117646</v>
      </c>
      <c r="F1216" s="9"/>
      <c r="G1216" s="9">
        <v>1213.0</v>
      </c>
      <c r="H1216" s="10">
        <f t="shared" si="40"/>
        <v>0.027670740487057678</v>
      </c>
      <c r="K1216" s="7"/>
    </row>
    <row r="1217" spans="8:8">
      <c r="B1217" s="7">
        <v>44386.0</v>
      </c>
      <c r="C1217" s="8">
        <v>1681.7</v>
      </c>
      <c r="D1217" s="8">
        <f t="shared" si="39"/>
        <v>-0.007378113563923976</v>
      </c>
      <c r="E1217" s="8">
        <v>0.0019385087007484367</v>
      </c>
      <c r="F1217" s="9"/>
      <c r="G1217" s="9">
        <v>1214.0</v>
      </c>
      <c r="H1217" s="10">
        <f t="shared" si="40"/>
        <v>-0.0015545689202166113</v>
      </c>
      <c r="K1217" s="7"/>
    </row>
    <row r="1218" spans="8:8">
      <c r="B1218" s="7">
        <v>44356.0</v>
      </c>
      <c r="C1218" s="8">
        <v>1694.2</v>
      </c>
      <c r="D1218" s="8">
        <f t="shared" si="39"/>
        <v>0.0015962163759976622</v>
      </c>
      <c r="E1218" s="8">
        <v>0.0019329896907216229</v>
      </c>
      <c r="F1218" s="9"/>
      <c r="G1218" s="9">
        <v>1215.0</v>
      </c>
      <c r="H1218" s="10">
        <f t="shared" si="40"/>
        <v>0.01371389346508401</v>
      </c>
      <c r="K1218" s="7"/>
    </row>
    <row r="1219" spans="8:8">
      <c r="B1219" s="7">
        <v>44264.0</v>
      </c>
      <c r="C1219" s="8">
        <v>1691.5</v>
      </c>
      <c r="D1219" s="8">
        <f t="shared" si="39"/>
        <v>0.0031431621397224256</v>
      </c>
      <c r="E1219" s="8">
        <v>0.0019289685691591622</v>
      </c>
      <c r="F1219" s="9"/>
      <c r="G1219" s="9">
        <v>1216.0</v>
      </c>
      <c r="H1219" s="10">
        <f t="shared" si="40"/>
        <v>0.007655995504313706</v>
      </c>
      <c r="K1219" s="7"/>
    </row>
    <row r="1220" spans="8:8">
      <c r="B1220" s="7">
        <v>44236.0</v>
      </c>
      <c r="C1220" s="8">
        <v>1686.2</v>
      </c>
      <c r="D1220" s="8">
        <f t="shared" si="41" ref="D1220:D1283">(C1220-C1221)/C1221</f>
        <v>-1.1859582542697193E-4</v>
      </c>
      <c r="E1220" s="8">
        <v>0.0019192061040115662</v>
      </c>
      <c r="F1220" s="9"/>
      <c r="G1220" s="9">
        <v>1217.0</v>
      </c>
      <c r="H1220" s="10">
        <f t="shared" si="40"/>
        <v>-0.010835804362366162</v>
      </c>
      <c r="K1220" s="7"/>
    </row>
    <row r="1221" spans="8:8">
      <c r="B1221" s="7">
        <v>44205.0</v>
      </c>
      <c r="C1221" s="8">
        <v>1686.4</v>
      </c>
      <c r="D1221" s="8">
        <f t="shared" si="41"/>
        <v>0.00849180720009571</v>
      </c>
      <c r="E1221" s="8">
        <v>0.0019127462152044087</v>
      </c>
      <c r="F1221" s="9"/>
      <c r="G1221" s="9">
        <v>1218.0</v>
      </c>
      <c r="H1221" s="10">
        <f t="shared" si="42" ref="H1221:H1284">_xlfn.NORM.INV(RAND(),N$6,N$7)</f>
        <v>0.010539565538436785</v>
      </c>
      <c r="K1221" s="7"/>
    </row>
    <row r="1222" spans="8:8">
      <c r="B1222" s="7" t="s">
        <v>9328</v>
      </c>
      <c r="C1222" s="8">
        <v>1672.2</v>
      </c>
      <c r="D1222" s="8">
        <f t="shared" si="41"/>
        <v>0.007288717547135798</v>
      </c>
      <c r="E1222" s="8">
        <v>0.001909402159599844</v>
      </c>
      <c r="F1222" s="9"/>
      <c r="G1222" s="9">
        <v>1219.0</v>
      </c>
      <c r="H1222" s="10">
        <f t="shared" si="42"/>
        <v>-0.011295567754585886</v>
      </c>
      <c r="K1222" s="7"/>
    </row>
    <row r="1223" spans="8:8">
      <c r="B1223" s="7" t="s">
        <v>9329</v>
      </c>
      <c r="C1223" s="8">
        <v>1660.1</v>
      </c>
      <c r="D1223" s="8">
        <f t="shared" si="41"/>
        <v>0.013430193516879312</v>
      </c>
      <c r="E1223" s="8">
        <v>0.0019053264459310694</v>
      </c>
      <c r="F1223" s="9"/>
      <c r="G1223" s="9">
        <v>1220.0</v>
      </c>
      <c r="H1223" s="10">
        <f t="shared" si="42"/>
        <v>0.0058755326147043605</v>
      </c>
      <c r="K1223" s="7"/>
    </row>
    <row r="1224" spans="8:8">
      <c r="B1224" s="7" t="s">
        <v>9330</v>
      </c>
      <c r="C1224" s="8">
        <v>1638.1</v>
      </c>
      <c r="D1224" s="8">
        <f t="shared" si="41"/>
        <v>0.02653924486918371</v>
      </c>
      <c r="E1224" s="8">
        <v>0.001873962627831022</v>
      </c>
      <c r="F1224" s="9"/>
      <c r="G1224" s="9">
        <v>1221.0</v>
      </c>
      <c r="H1224" s="10">
        <f t="shared" si="42"/>
        <v>0.013320789576645061</v>
      </c>
      <c r="K1224" s="7"/>
    </row>
    <row r="1225" spans="8:8">
      <c r="B1225" s="7" t="s">
        <v>9331</v>
      </c>
      <c r="C1225" s="8">
        <v>1595.75</v>
      </c>
      <c r="D1225" s="8">
        <f t="shared" si="41"/>
        <v>0.0012234910277324918</v>
      </c>
      <c r="E1225" s="8">
        <v>0.0018471796720129345</v>
      </c>
      <c r="F1225" s="9"/>
      <c r="G1225" s="9">
        <v>1222.0</v>
      </c>
      <c r="H1225" s="10">
        <f t="shared" si="42"/>
        <v>-0.015266538783277796</v>
      </c>
      <c r="K1225" s="7"/>
    </row>
    <row r="1226" spans="8:8">
      <c r="B1226" s="7" t="s">
        <v>9332</v>
      </c>
      <c r="C1226" s="8">
        <v>1593.8</v>
      </c>
      <c r="D1226" s="8">
        <f t="shared" si="41"/>
        <v>-0.00747291069871715</v>
      </c>
      <c r="E1226" s="8">
        <v>0.001821451627778416</v>
      </c>
      <c r="F1226" s="9"/>
      <c r="G1226" s="9">
        <v>1223.0</v>
      </c>
      <c r="H1226" s="10">
        <f t="shared" si="42"/>
        <v>-0.020693119061890447</v>
      </c>
      <c r="K1226" s="7"/>
    </row>
    <row r="1227" spans="8:8">
      <c r="B1227" s="7" t="s">
        <v>9333</v>
      </c>
      <c r="C1227" s="8">
        <v>1605.8</v>
      </c>
      <c r="D1227" s="8">
        <f t="shared" si="41"/>
        <v>0.015846908113237357</v>
      </c>
      <c r="E1227" s="8">
        <v>0.0018162633408866824</v>
      </c>
      <c r="F1227" s="9"/>
      <c r="G1227" s="9">
        <v>1224.0</v>
      </c>
      <c r="H1227" s="10">
        <f t="shared" si="42"/>
        <v>-7.677279766587167E-4</v>
      </c>
      <c r="K1227" s="7"/>
    </row>
    <row r="1228" spans="8:8">
      <c r="B1228" s="7" t="s">
        <v>9334</v>
      </c>
      <c r="C1228" s="8">
        <v>1580.75</v>
      </c>
      <c r="D1228" s="8">
        <f t="shared" si="41"/>
        <v>-0.008063504016064201</v>
      </c>
      <c r="E1228" s="8">
        <v>0.0018065089908562853</v>
      </c>
      <c r="F1228" s="9"/>
      <c r="G1228" s="9">
        <v>1225.0</v>
      </c>
      <c r="H1228" s="10">
        <f t="shared" si="42"/>
        <v>-0.016855904262523157</v>
      </c>
      <c r="K1228" s="7"/>
    </row>
    <row r="1229" spans="8:8">
      <c r="B1229" s="7" t="s">
        <v>9335</v>
      </c>
      <c r="C1229" s="8">
        <v>1593.6</v>
      </c>
      <c r="D1229" s="8">
        <f t="shared" si="41"/>
        <v>-0.02403772544936767</v>
      </c>
      <c r="E1229" s="8">
        <v>0.001804887078859794</v>
      </c>
      <c r="F1229" s="9"/>
      <c r="G1229" s="9">
        <v>1226.0</v>
      </c>
      <c r="H1229" s="10">
        <f t="shared" si="42"/>
        <v>0.02439032509244139</v>
      </c>
      <c r="K1229" s="7"/>
    </row>
    <row r="1230" spans="8:8">
      <c r="B1230" s="7" t="s">
        <v>9336</v>
      </c>
      <c r="C1230" s="8">
        <v>1632.85</v>
      </c>
      <c r="D1230" s="8">
        <f t="shared" si="41"/>
        <v>-0.003600305110602649</v>
      </c>
      <c r="E1230" s="8">
        <v>0.0017859034704039746</v>
      </c>
      <c r="F1230" s="9"/>
      <c r="G1230" s="9">
        <v>1227.0</v>
      </c>
      <c r="H1230" s="10">
        <f t="shared" si="42"/>
        <v>0.011435539813449254</v>
      </c>
      <c r="K1230" s="7"/>
    </row>
    <row r="1231" spans="8:8">
      <c r="B1231" s="7" t="s">
        <v>9337</v>
      </c>
      <c r="C1231" s="8">
        <v>1638.75</v>
      </c>
      <c r="D1231" s="8">
        <f t="shared" si="41"/>
        <v>-0.010476420506008038</v>
      </c>
      <c r="E1231" s="8">
        <v>0.0017768902727949639</v>
      </c>
      <c r="F1231" s="9"/>
      <c r="G1231" s="9">
        <v>1228.0</v>
      </c>
      <c r="H1231" s="10">
        <f t="shared" si="42"/>
        <v>0.008539161666958284</v>
      </c>
      <c r="K1231" s="7"/>
    </row>
    <row r="1232" spans="8:8">
      <c r="B1232" s="7" t="s">
        <v>9338</v>
      </c>
      <c r="C1232" s="8">
        <v>1656.1</v>
      </c>
      <c r="D1232" s="8">
        <f t="shared" si="41"/>
        <v>-0.007372332773915237</v>
      </c>
      <c r="E1232" s="8">
        <v>0.0017676023736375882</v>
      </c>
      <c r="F1232" s="9"/>
      <c r="G1232" s="9">
        <v>1229.0</v>
      </c>
      <c r="H1232" s="10">
        <f t="shared" si="42"/>
        <v>0.01083809880041088</v>
      </c>
      <c r="K1232" s="7"/>
    </row>
    <row r="1233" spans="8:8">
      <c r="B1233" s="7" t="s">
        <v>9339</v>
      </c>
      <c r="C1233" s="8">
        <v>1668.4</v>
      </c>
      <c r="D1233" s="8">
        <f t="shared" si="41"/>
        <v>0.027687948504727614</v>
      </c>
      <c r="E1233" s="8">
        <v>0.0017516969564265097</v>
      </c>
      <c r="F1233" s="9"/>
      <c r="G1233" s="9">
        <v>1230.0</v>
      </c>
      <c r="H1233" s="10">
        <f t="shared" si="42"/>
        <v>0.003930354579625104</v>
      </c>
      <c r="K1233" s="7"/>
    </row>
    <row r="1234" spans="8:8">
      <c r="B1234" s="7">
        <v>44538.0</v>
      </c>
      <c r="C1234" s="8">
        <v>1623.45</v>
      </c>
      <c r="D1234" s="8">
        <f t="shared" si="41"/>
        <v>0.02535842859849687</v>
      </c>
      <c r="E1234" s="8">
        <v>0.0017423534443159678</v>
      </c>
      <c r="F1234" s="9"/>
      <c r="G1234" s="9">
        <v>1231.0</v>
      </c>
      <c r="H1234" s="10">
        <f t="shared" si="42"/>
        <v>0.008063936265108033</v>
      </c>
      <c r="K1234" s="7"/>
    </row>
    <row r="1235" spans="8:8">
      <c r="B1235" s="7">
        <v>44508.0</v>
      </c>
      <c r="C1235" s="8">
        <v>1583.3</v>
      </c>
      <c r="D1235" s="8">
        <f t="shared" si="41"/>
        <v>-0.003242154301363021</v>
      </c>
      <c r="E1235" s="8">
        <v>0.0017399788600698947</v>
      </c>
      <c r="F1235" s="9"/>
      <c r="G1235" s="9">
        <v>1232.0</v>
      </c>
      <c r="H1235" s="10">
        <f t="shared" si="42"/>
        <v>0.005163231125587973</v>
      </c>
      <c r="K1235" s="7"/>
    </row>
    <row r="1236" spans="8:8">
      <c r="B1236" s="7">
        <v>44477.0</v>
      </c>
      <c r="C1236" s="8">
        <v>1588.45</v>
      </c>
      <c r="D1236" s="8">
        <f t="shared" si="41"/>
        <v>-0.005633979154277129</v>
      </c>
      <c r="E1236" s="8">
        <v>0.0017349985150914178</v>
      </c>
      <c r="F1236" s="9"/>
      <c r="G1236" s="9">
        <v>1233.0</v>
      </c>
      <c r="H1236" s="10">
        <f t="shared" si="42"/>
        <v>0.009591035334291821</v>
      </c>
      <c r="K1236" s="7"/>
    </row>
    <row r="1237" spans="8:8">
      <c r="B1237" s="7">
        <v>44447.0</v>
      </c>
      <c r="C1237" s="8">
        <v>1597.45</v>
      </c>
      <c r="D1237" s="8">
        <f t="shared" si="41"/>
        <v>-0.008010680907877085</v>
      </c>
      <c r="E1237" s="8">
        <v>0.0017333502957827978</v>
      </c>
      <c r="F1237" s="9"/>
      <c r="G1237" s="9">
        <v>1234.0</v>
      </c>
      <c r="H1237" s="10">
        <f t="shared" si="42"/>
        <v>0.003933980281332546</v>
      </c>
      <c r="K1237" s="7"/>
    </row>
    <row r="1238" spans="8:8">
      <c r="B1238" s="7">
        <v>44355.0</v>
      </c>
      <c r="C1238" s="8">
        <v>1610.35</v>
      </c>
      <c r="D1238" s="8">
        <f t="shared" si="41"/>
        <v>-0.010476834214083925</v>
      </c>
      <c r="E1238" s="8">
        <v>0.0017310921460349335</v>
      </c>
      <c r="F1238" s="9"/>
      <c r="G1238" s="9">
        <v>1235.0</v>
      </c>
      <c r="H1238" s="10">
        <f t="shared" si="42"/>
        <v>-0.004101471556527738</v>
      </c>
      <c r="K1238" s="7"/>
    </row>
    <row r="1239" spans="8:8">
      <c r="B1239" s="7">
        <v>44324.0</v>
      </c>
      <c r="C1239" s="8">
        <v>1627.4</v>
      </c>
      <c r="D1239" s="8">
        <f t="shared" si="41"/>
        <v>0.002587481517989185</v>
      </c>
      <c r="E1239" s="8">
        <v>0.0017285560491879784</v>
      </c>
      <c r="F1239" s="9"/>
      <c r="G1239" s="9">
        <v>1236.0</v>
      </c>
      <c r="H1239" s="10">
        <f t="shared" si="42"/>
        <v>0.020450102108198056</v>
      </c>
      <c r="K1239" s="7"/>
    </row>
    <row r="1240" spans="8:8">
      <c r="B1240" s="7">
        <v>44294.0</v>
      </c>
      <c r="C1240" s="8">
        <v>1623.2</v>
      </c>
      <c r="D1240" s="8">
        <f t="shared" si="41"/>
        <v>-0.0068222840884754575</v>
      </c>
      <c r="E1240" s="8">
        <v>0.0017212463589017723</v>
      </c>
      <c r="F1240" s="9"/>
      <c r="G1240" s="9">
        <v>1237.0</v>
      </c>
      <c r="H1240" s="10">
        <f t="shared" si="42"/>
        <v>0.002553073875220343</v>
      </c>
      <c r="K1240" s="7"/>
    </row>
    <row r="1241" spans="8:8">
      <c r="B1241" s="7">
        <v>44263.0</v>
      </c>
      <c r="C1241" s="8">
        <v>1634.35</v>
      </c>
      <c r="D1241" s="8">
        <f t="shared" si="41"/>
        <v>0.012639796771894956</v>
      </c>
      <c r="E1241" s="8">
        <v>0.0017179178835251675</v>
      </c>
      <c r="F1241" s="9"/>
      <c r="G1241" s="9">
        <v>1238.0</v>
      </c>
      <c r="H1241" s="10">
        <f t="shared" si="42"/>
        <v>8.112673698404569E-4</v>
      </c>
      <c r="K1241" s="7"/>
    </row>
    <row r="1242" spans="8:8">
      <c r="B1242" s="7">
        <v>44235.0</v>
      </c>
      <c r="C1242" s="8">
        <v>1613.95</v>
      </c>
      <c r="D1242" s="8">
        <f t="shared" si="41"/>
        <v>0.007805426332386275</v>
      </c>
      <c r="E1242" s="8">
        <v>0.001711901280359402</v>
      </c>
      <c r="F1242" s="9"/>
      <c r="G1242" s="9">
        <v>1239.0</v>
      </c>
      <c r="H1242" s="10">
        <f t="shared" si="42"/>
        <v>0.010136349604986133</v>
      </c>
      <c r="K1242" s="7"/>
    </row>
    <row r="1243" spans="8:8">
      <c r="B1243" s="7" t="s">
        <v>9340</v>
      </c>
      <c r="C1243" s="8">
        <v>1601.45</v>
      </c>
      <c r="D1243" s="8">
        <f t="shared" si="41"/>
        <v>0.003414786967418575</v>
      </c>
      <c r="E1243" s="8">
        <v>0.0017062987838082477</v>
      </c>
      <c r="F1243" s="9"/>
      <c r="G1243" s="9">
        <v>1240.0</v>
      </c>
      <c r="H1243" s="10">
        <f t="shared" si="42"/>
        <v>-0.0011265360059297671</v>
      </c>
      <c r="K1243" s="7"/>
    </row>
    <row r="1244" spans="8:8">
      <c r="B1244" s="7" t="s">
        <v>9341</v>
      </c>
      <c r="C1244" s="8">
        <v>1596.0</v>
      </c>
      <c r="D1244" s="8">
        <f t="shared" si="41"/>
        <v>0.001129092961987175</v>
      </c>
      <c r="E1244" s="8">
        <v>0.0016906700062617693</v>
      </c>
      <c r="F1244" s="9"/>
      <c r="G1244" s="9">
        <v>1241.0</v>
      </c>
      <c r="H1244" s="10">
        <f t="shared" si="42"/>
        <v>0.0178954061265509</v>
      </c>
      <c r="K1244" s="7"/>
    </row>
    <row r="1245" spans="8:8">
      <c r="B1245" s="7" t="s">
        <v>9342</v>
      </c>
      <c r="C1245" s="8">
        <v>1594.2</v>
      </c>
      <c r="D1245" s="8">
        <f t="shared" si="41"/>
        <v>-0.00873620394839108</v>
      </c>
      <c r="E1245" s="8">
        <v>0.0016720660466088648</v>
      </c>
      <c r="F1245" s="9"/>
      <c r="G1245" s="9">
        <v>1242.0</v>
      </c>
      <c r="H1245" s="10">
        <f t="shared" si="42"/>
        <v>0.0011331437933253885</v>
      </c>
      <c r="K1245" s="7"/>
    </row>
    <row r="1246" spans="8:8">
      <c r="B1246" s="7" t="s">
        <v>9343</v>
      </c>
      <c r="C1246" s="8">
        <v>1608.25</v>
      </c>
      <c r="D1246" s="8">
        <f t="shared" si="41"/>
        <v>0.006666249374061149</v>
      </c>
      <c r="E1246" s="8">
        <v>0.001668496158068137</v>
      </c>
      <c r="F1246" s="9"/>
      <c r="G1246" s="9">
        <v>1243.0</v>
      </c>
      <c r="H1246" s="10">
        <f t="shared" si="42"/>
        <v>0.004053407960988139</v>
      </c>
      <c r="K1246" s="7"/>
    </row>
    <row r="1247" spans="8:8">
      <c r="B1247" s="7" t="s">
        <v>9344</v>
      </c>
      <c r="C1247" s="8">
        <v>1597.6</v>
      </c>
      <c r="D1247" s="8">
        <f t="shared" si="41"/>
        <v>-0.008779277183186034</v>
      </c>
      <c r="E1247" s="8">
        <v>0.0016566211977019748</v>
      </c>
      <c r="F1247" s="9"/>
      <c r="G1247" s="9">
        <v>1244.0</v>
      </c>
      <c r="H1247" s="10">
        <f t="shared" si="42"/>
        <v>-0.0011006102586542726</v>
      </c>
      <c r="K1247" s="7"/>
    </row>
    <row r="1248" spans="8:8">
      <c r="B1248" s="7" t="s">
        <v>9345</v>
      </c>
      <c r="C1248" s="8">
        <v>1611.75</v>
      </c>
      <c r="D1248" s="8">
        <f t="shared" si="41"/>
        <v>-0.018512316170873604</v>
      </c>
      <c r="E1248" s="8">
        <v>0.001636104795699343</v>
      </c>
      <c r="F1248" s="9"/>
      <c r="G1248" s="9">
        <v>1245.0</v>
      </c>
      <c r="H1248" s="10">
        <f t="shared" si="42"/>
        <v>0.014549274048232416</v>
      </c>
      <c r="K1248" s="7"/>
    </row>
    <row r="1249" spans="8:8">
      <c r="B1249" s="7" t="s">
        <v>9346</v>
      </c>
      <c r="C1249" s="8">
        <v>1642.15</v>
      </c>
      <c r="D1249" s="8">
        <f t="shared" si="41"/>
        <v>0.03257144653692595</v>
      </c>
      <c r="E1249" s="8">
        <v>0.0016188123029733863</v>
      </c>
      <c r="F1249" s="9"/>
      <c r="G1249" s="9">
        <v>1246.0</v>
      </c>
      <c r="H1249" s="10">
        <f t="shared" si="42"/>
        <v>-0.006717388734278716</v>
      </c>
      <c r="K1249" s="7"/>
    </row>
    <row r="1250" spans="8:8">
      <c r="B1250" s="7" t="s">
        <v>9347</v>
      </c>
      <c r="C1250" s="8">
        <v>1590.35</v>
      </c>
      <c r="D1250" s="8">
        <f t="shared" si="41"/>
        <v>-0.011959493041749503</v>
      </c>
      <c r="E1250" s="8">
        <v>0.0016113438607798904</v>
      </c>
      <c r="F1250" s="9"/>
      <c r="G1250" s="9">
        <v>1247.0</v>
      </c>
      <c r="H1250" s="10">
        <f t="shared" si="42"/>
        <v>0.010721480488316743</v>
      </c>
      <c r="K1250" s="7"/>
    </row>
    <row r="1251" spans="8:8">
      <c r="B1251" s="7" t="s">
        <v>9348</v>
      </c>
      <c r="C1251" s="8">
        <v>1609.6</v>
      </c>
      <c r="D1251" s="8">
        <f t="shared" si="41"/>
        <v>-0.005652509652509709</v>
      </c>
      <c r="E1251" s="8">
        <v>0.0016087117930947638</v>
      </c>
      <c r="F1251" s="9"/>
      <c r="G1251" s="9">
        <v>1248.0</v>
      </c>
      <c r="H1251" s="10">
        <f t="shared" si="42"/>
        <v>-0.011869509370077417</v>
      </c>
      <c r="K1251" s="7"/>
    </row>
    <row r="1252" spans="8:8">
      <c r="B1252" s="7" t="s">
        <v>9349</v>
      </c>
      <c r="C1252" s="8">
        <v>1618.75</v>
      </c>
      <c r="D1252" s="8">
        <f t="shared" si="41"/>
        <v>0.005840867430950441</v>
      </c>
      <c r="E1252" s="8">
        <v>0.0015983194812311625</v>
      </c>
      <c r="F1252" s="9"/>
      <c r="G1252" s="9">
        <v>1249.0</v>
      </c>
      <c r="H1252" s="10">
        <f t="shared" si="42"/>
        <v>0.0030304731844798924</v>
      </c>
      <c r="K1252" s="7"/>
    </row>
    <row r="1253" spans="8:8">
      <c r="B1253" s="7" t="s">
        <v>9350</v>
      </c>
      <c r="C1253" s="8">
        <v>1609.35</v>
      </c>
      <c r="D1253" s="8">
        <f t="shared" si="41"/>
        <v>0.041852786948922034</v>
      </c>
      <c r="E1253" s="8">
        <v>0.0015977064699645843</v>
      </c>
      <c r="F1253" s="9"/>
      <c r="G1253" s="9">
        <v>1250.0</v>
      </c>
      <c r="H1253" s="10">
        <f t="shared" si="42"/>
        <v>3.962034446551455E-4</v>
      </c>
      <c r="K1253" s="7"/>
    </row>
    <row r="1254" spans="8:8">
      <c r="B1254" s="7" t="s">
        <v>9351</v>
      </c>
      <c r="C1254" s="8">
        <v>1544.7</v>
      </c>
      <c r="D1254" s="8">
        <f t="shared" si="41"/>
        <v>0.020547040169133283</v>
      </c>
      <c r="E1254" s="8">
        <v>0.0015958695141985875</v>
      </c>
      <c r="F1254" s="9"/>
      <c r="G1254" s="9">
        <v>1251.0</v>
      </c>
      <c r="H1254" s="10">
        <f t="shared" si="42"/>
        <v>0.025179441947798514</v>
      </c>
      <c r="K1254" s="7"/>
    </row>
    <row r="1255" spans="8:8">
      <c r="B1255" s="7" t="s">
        <v>9352</v>
      </c>
      <c r="C1255" s="8">
        <v>1513.6</v>
      </c>
      <c r="D1255" s="8">
        <f t="shared" si="41"/>
        <v>0.00856238547392964</v>
      </c>
      <c r="E1255" s="8">
        <v>0.0015871689917299635</v>
      </c>
      <c r="F1255" s="9"/>
      <c r="G1255" s="9">
        <v>1252.0</v>
      </c>
      <c r="H1255" s="10">
        <f t="shared" si="42"/>
        <v>-0.012080826251720744</v>
      </c>
      <c r="K1255" s="7"/>
    </row>
    <row r="1256" spans="8:8">
      <c r="B1256" s="7">
        <v>44537.0</v>
      </c>
      <c r="C1256" s="8">
        <v>1500.75</v>
      </c>
      <c r="D1256" s="8">
        <f t="shared" si="41"/>
        <v>7.668711656442325E-4</v>
      </c>
      <c r="E1256" s="8">
        <v>0.0015797268389008332</v>
      </c>
      <c r="F1256" s="9"/>
      <c r="G1256" s="9">
        <v>1253.0</v>
      </c>
      <c r="H1256" s="10">
        <f t="shared" si="42"/>
        <v>-4.249893573016932E-5</v>
      </c>
      <c r="K1256" s="7"/>
    </row>
    <row r="1257" spans="8:8">
      <c r="B1257" s="7">
        <v>44446.0</v>
      </c>
      <c r="C1257" s="8">
        <v>1499.6</v>
      </c>
      <c r="D1257" s="8">
        <f t="shared" si="41"/>
        <v>-7.329912707404121E-4</v>
      </c>
      <c r="E1257" s="8">
        <v>0.0015416005440942822</v>
      </c>
      <c r="F1257" s="9"/>
      <c r="G1257" s="9">
        <v>1254.0</v>
      </c>
      <c r="H1257" s="10">
        <f t="shared" si="42"/>
        <v>-0.008343386740708041</v>
      </c>
      <c r="K1257" s="7"/>
    </row>
    <row r="1258" spans="8:8">
      <c r="B1258" s="7">
        <v>44415.0</v>
      </c>
      <c r="C1258" s="8">
        <v>1500.7</v>
      </c>
      <c r="D1258" s="8">
        <f t="shared" si="41"/>
        <v>-0.010386099113060107</v>
      </c>
      <c r="E1258" s="8">
        <v>0.0015406624848685222</v>
      </c>
      <c r="F1258" s="9"/>
      <c r="G1258" s="9">
        <v>1255.0</v>
      </c>
      <c r="H1258" s="10">
        <f t="shared" si="42"/>
        <v>-0.02073358295316796</v>
      </c>
      <c r="K1258" s="7"/>
    </row>
    <row r="1259" spans="8:8">
      <c r="B1259" s="7">
        <v>44384.0</v>
      </c>
      <c r="C1259" s="8">
        <v>1516.45</v>
      </c>
      <c r="D1259" s="8">
        <f t="shared" si="41"/>
        <v>0.007273331119229522</v>
      </c>
      <c r="E1259" s="8">
        <v>0.0015392688472975655</v>
      </c>
      <c r="F1259" s="9"/>
      <c r="G1259" s="9">
        <v>1256.0</v>
      </c>
      <c r="H1259" s="10">
        <f t="shared" si="42"/>
        <v>0.02475523083527006</v>
      </c>
      <c r="K1259" s="7"/>
    </row>
    <row r="1260" spans="8:8">
      <c r="B1260" s="7">
        <v>44354.0</v>
      </c>
      <c r="C1260" s="8">
        <v>1505.5</v>
      </c>
      <c r="D1260" s="8">
        <f t="shared" si="41"/>
        <v>-0.0016247223051162475</v>
      </c>
      <c r="E1260" s="8">
        <v>0.0015300546448087716</v>
      </c>
      <c r="F1260" s="9"/>
      <c r="G1260" s="9">
        <v>1257.0</v>
      </c>
      <c r="H1260" s="10">
        <f t="shared" si="42"/>
        <v>0.011172158776148916</v>
      </c>
      <c r="K1260" s="7"/>
    </row>
    <row r="1261" spans="8:8">
      <c r="B1261" s="7">
        <v>44323.0</v>
      </c>
      <c r="C1261" s="8">
        <v>1507.95</v>
      </c>
      <c r="D1261" s="8">
        <f t="shared" si="41"/>
        <v>0.0150102648672298</v>
      </c>
      <c r="E1261" s="8">
        <v>0.0015298656378874248</v>
      </c>
      <c r="F1261" s="9"/>
      <c r="G1261" s="9">
        <v>1258.0</v>
      </c>
      <c r="H1261" s="10">
        <f t="shared" si="42"/>
        <v>-0.0018223563432763013</v>
      </c>
      <c r="K1261" s="7"/>
    </row>
    <row r="1262" spans="8:8">
      <c r="B1262" s="7">
        <v>44234.0</v>
      </c>
      <c r="C1262" s="8">
        <v>1485.65</v>
      </c>
      <c r="D1262" s="8">
        <f t="shared" si="41"/>
        <v>-0.004456208537157317</v>
      </c>
      <c r="E1262" s="8">
        <v>0.0015257857796765334</v>
      </c>
      <c r="F1262" s="9"/>
      <c r="G1262" s="9">
        <v>1259.0</v>
      </c>
      <c r="H1262" s="10">
        <f t="shared" si="42"/>
        <v>0.0017686989693787745</v>
      </c>
      <c r="K1262" s="7"/>
    </row>
    <row r="1263" spans="8:8">
      <c r="B1263" s="7">
        <v>44203.0</v>
      </c>
      <c r="C1263" s="8">
        <v>1492.3</v>
      </c>
      <c r="D1263" s="8">
        <f t="shared" si="41"/>
        <v>-0.005497984072506748</v>
      </c>
      <c r="E1263" s="8">
        <v>0.0015136607886172709</v>
      </c>
      <c r="F1263" s="9"/>
      <c r="G1263" s="9">
        <v>1260.0</v>
      </c>
      <c r="H1263" s="10">
        <f t="shared" si="42"/>
        <v>0.005914042895387717</v>
      </c>
      <c r="K1263" s="7"/>
    </row>
    <row r="1264" spans="8:8">
      <c r="B1264" s="7" t="s">
        <v>9353</v>
      </c>
      <c r="C1264" s="8">
        <v>1500.55</v>
      </c>
      <c r="D1264" s="8">
        <f t="shared" si="41"/>
        <v>-0.006850221722152449</v>
      </c>
      <c r="E1264" s="8">
        <v>0.001511116430772832</v>
      </c>
      <c r="F1264" s="9"/>
      <c r="G1264" s="9">
        <v>1261.0</v>
      </c>
      <c r="H1264" s="10">
        <f t="shared" si="42"/>
        <v>0.02468887953322194</v>
      </c>
      <c r="K1264" s="7"/>
    </row>
    <row r="1265" spans="8:8">
      <c r="B1265" s="7" t="s">
        <v>9354</v>
      </c>
      <c r="C1265" s="8">
        <v>1510.9</v>
      </c>
      <c r="D1265" s="8">
        <f t="shared" si="41"/>
        <v>-0.002344085311499194</v>
      </c>
      <c r="E1265" s="8">
        <v>0.0014973340150465139</v>
      </c>
      <c r="F1265" s="9"/>
      <c r="G1265" s="9">
        <v>1262.0</v>
      </c>
      <c r="H1265" s="10">
        <f t="shared" si="42"/>
        <v>0.020610120915958936</v>
      </c>
      <c r="K1265" s="7"/>
    </row>
    <row r="1266" spans="8:8">
      <c r="B1266" s="7" t="s">
        <v>9355</v>
      </c>
      <c r="C1266" s="8">
        <v>1514.45</v>
      </c>
      <c r="D1266" s="8">
        <f t="shared" si="41"/>
        <v>-0.006168586146930383</v>
      </c>
      <c r="E1266" s="8">
        <v>0.0014879249170195198</v>
      </c>
      <c r="F1266" s="9"/>
      <c r="G1266" s="9">
        <v>1263.0</v>
      </c>
      <c r="H1266" s="10">
        <f t="shared" si="42"/>
        <v>0.016748683025525683</v>
      </c>
      <c r="K1266" s="7"/>
    </row>
    <row r="1267" spans="8:8">
      <c r="B1267" s="7" t="s">
        <v>9356</v>
      </c>
      <c r="C1267" s="8">
        <v>1523.85</v>
      </c>
      <c r="D1267" s="8">
        <f t="shared" si="41"/>
        <v>0.013164455968883984</v>
      </c>
      <c r="E1267" s="8">
        <v>0.001460202835448415</v>
      </c>
      <c r="F1267" s="9"/>
      <c r="G1267" s="9">
        <v>1264.0</v>
      </c>
      <c r="H1267" s="10">
        <f t="shared" si="42"/>
        <v>0.012687396151341814</v>
      </c>
      <c r="K1267" s="7"/>
    </row>
    <row r="1268" spans="8:8">
      <c r="B1268" s="7" t="s">
        <v>9357</v>
      </c>
      <c r="C1268" s="8">
        <v>1504.05</v>
      </c>
      <c r="D1268" s="8">
        <f t="shared" si="41"/>
        <v>0.016765252661821838</v>
      </c>
      <c r="E1268" s="8">
        <v>0.0014568453967238422</v>
      </c>
      <c r="F1268" s="9"/>
      <c r="G1268" s="9">
        <v>1265.0</v>
      </c>
      <c r="H1268" s="10">
        <f t="shared" si="42"/>
        <v>0.006171666469001887</v>
      </c>
      <c r="K1268" s="7"/>
    </row>
    <row r="1269" spans="8:8">
      <c r="B1269" s="7" t="s">
        <v>9358</v>
      </c>
      <c r="C1269" s="8">
        <v>1479.25</v>
      </c>
      <c r="D1269" s="8">
        <f t="shared" si="41"/>
        <v>-0.01330709711846321</v>
      </c>
      <c r="E1269" s="8">
        <v>0.001453488372092936</v>
      </c>
      <c r="F1269" s="9"/>
      <c r="G1269" s="9">
        <v>1266.0</v>
      </c>
      <c r="H1269" s="10">
        <f t="shared" si="42"/>
        <v>-0.0188715943046797</v>
      </c>
      <c r="K1269" s="7"/>
    </row>
    <row r="1270" spans="8:8">
      <c r="B1270" s="7" t="s">
        <v>9359</v>
      </c>
      <c r="C1270" s="8">
        <v>1499.2</v>
      </c>
      <c r="D1270" s="8">
        <f t="shared" si="41"/>
        <v>0.021914726832759683</v>
      </c>
      <c r="E1270" s="8">
        <v>0.001439013621572152</v>
      </c>
      <c r="F1270" s="9"/>
      <c r="G1270" s="9">
        <v>1267.0</v>
      </c>
      <c r="H1270" s="10">
        <f t="shared" si="42"/>
        <v>-0.003943706941916903</v>
      </c>
      <c r="K1270" s="7"/>
    </row>
    <row r="1271" spans="8:8">
      <c r="B1271" s="7" t="s">
        <v>9360</v>
      </c>
      <c r="C1271" s="8">
        <v>1467.05</v>
      </c>
      <c r="D1271" s="8">
        <f t="shared" si="41"/>
        <v>-0.006063685636856399</v>
      </c>
      <c r="E1271" s="8">
        <v>0.0014390004211709828</v>
      </c>
      <c r="F1271" s="9"/>
      <c r="G1271" s="9">
        <v>1268.0</v>
      </c>
      <c r="H1271" s="10">
        <f t="shared" si="42"/>
        <v>0.021645956906001695</v>
      </c>
      <c r="K1271" s="7"/>
    </row>
    <row r="1272" spans="8:8">
      <c r="B1272" s="7" t="s">
        <v>9361</v>
      </c>
      <c r="C1272" s="8">
        <v>1476.0</v>
      </c>
      <c r="D1272" s="8">
        <f t="shared" si="41"/>
        <v>-0.007764444892608621</v>
      </c>
      <c r="E1272" s="8">
        <v>0.0014200363667849715</v>
      </c>
      <c r="F1272" s="9"/>
      <c r="G1272" s="9">
        <v>1269.0</v>
      </c>
      <c r="H1272" s="10">
        <f t="shared" si="42"/>
        <v>-0.008843076299100156</v>
      </c>
      <c r="K1272" s="7"/>
    </row>
    <row r="1273" spans="8:8">
      <c r="B1273" s="7" t="s">
        <v>9362</v>
      </c>
      <c r="C1273" s="8">
        <v>1487.55</v>
      </c>
      <c r="D1273" s="8">
        <f t="shared" si="41"/>
        <v>-0.0022469649205178995</v>
      </c>
      <c r="E1273" s="8">
        <v>0.001399849516177011</v>
      </c>
      <c r="F1273" s="9"/>
      <c r="G1273" s="9">
        <v>1270.0</v>
      </c>
      <c r="H1273" s="10">
        <f t="shared" si="42"/>
        <v>-0.0013788792191863648</v>
      </c>
      <c r="K1273" s="7"/>
    </row>
    <row r="1274" spans="8:8">
      <c r="B1274" s="7" t="s">
        <v>9363</v>
      </c>
      <c r="C1274" s="8">
        <v>1490.9</v>
      </c>
      <c r="D1274" s="8">
        <f t="shared" si="41"/>
        <v>-0.013171829494307561</v>
      </c>
      <c r="E1274" s="8">
        <v>0.0013893109885815213</v>
      </c>
      <c r="F1274" s="9"/>
      <c r="G1274" s="9">
        <v>1271.0</v>
      </c>
      <c r="H1274" s="10">
        <f t="shared" si="42"/>
        <v>-0.0018619517666545052</v>
      </c>
      <c r="K1274" s="7"/>
    </row>
    <row r="1275" spans="8:8">
      <c r="B1275" s="7" t="s">
        <v>9364</v>
      </c>
      <c r="C1275" s="8">
        <v>1510.8</v>
      </c>
      <c r="D1275" s="8">
        <f t="shared" si="41"/>
        <v>-0.0032657100445324396</v>
      </c>
      <c r="E1275" s="8">
        <v>0.0013834802213568587</v>
      </c>
      <c r="F1275" s="9"/>
      <c r="G1275" s="9">
        <v>1272.0</v>
      </c>
      <c r="H1275" s="10">
        <f t="shared" si="42"/>
        <v>-0.016575096702205874</v>
      </c>
      <c r="K1275" s="7"/>
    </row>
    <row r="1276" spans="8:8">
      <c r="B1276" s="7" t="s">
        <v>9365</v>
      </c>
      <c r="C1276" s="8">
        <v>1515.75</v>
      </c>
      <c r="D1276" s="8">
        <f t="shared" si="41"/>
        <v>0.008181183278459512</v>
      </c>
      <c r="E1276" s="8">
        <v>0.0013785456343557274</v>
      </c>
      <c r="F1276" s="9"/>
      <c r="G1276" s="9">
        <v>1273.0</v>
      </c>
      <c r="H1276" s="10">
        <f t="shared" si="42"/>
        <v>-0.01453874290894187</v>
      </c>
      <c r="K1276" s="7"/>
    </row>
    <row r="1277" spans="8:8">
      <c r="B1277" s="7">
        <v>44506.0</v>
      </c>
      <c r="C1277" s="8">
        <v>1503.45</v>
      </c>
      <c r="D1277" s="8">
        <f t="shared" si="41"/>
        <v>-0.0106928999144568</v>
      </c>
      <c r="E1277" s="8">
        <v>0.0013715140684095349</v>
      </c>
      <c r="F1277" s="9"/>
      <c r="G1277" s="9">
        <v>1274.0</v>
      </c>
      <c r="H1277" s="10">
        <f t="shared" si="42"/>
        <v>0.02145727032928779</v>
      </c>
      <c r="K1277" s="7"/>
    </row>
    <row r="1278" spans="8:8">
      <c r="B1278" s="7">
        <v>44475.0</v>
      </c>
      <c r="C1278" s="8">
        <v>1519.7</v>
      </c>
      <c r="D1278" s="8">
        <f t="shared" si="41"/>
        <v>2.632791417100579E-4</v>
      </c>
      <c r="E1278" s="8">
        <v>0.0013456331771533004</v>
      </c>
      <c r="F1278" s="9"/>
      <c r="G1278" s="9">
        <v>1275.0</v>
      </c>
      <c r="H1278" s="10">
        <f t="shared" si="42"/>
        <v>-9.838694439347094E-4</v>
      </c>
      <c r="K1278" s="7"/>
    </row>
    <row r="1279" spans="8:8">
      <c r="B1279" s="7">
        <v>44445.0</v>
      </c>
      <c r="C1279" s="8">
        <v>1519.3</v>
      </c>
      <c r="D1279" s="8">
        <f t="shared" si="41"/>
        <v>-0.01926863118484339</v>
      </c>
      <c r="E1279" s="8">
        <v>0.00134110787172009</v>
      </c>
      <c r="F1279" s="9"/>
      <c r="G1279" s="9">
        <v>1276.0</v>
      </c>
      <c r="H1279" s="10">
        <f t="shared" si="42"/>
        <v>-0.0031393745820101696</v>
      </c>
      <c r="K1279" s="7"/>
    </row>
    <row r="1280" spans="8:8">
      <c r="B1280" s="7">
        <v>44414.0</v>
      </c>
      <c r="C1280" s="8">
        <v>1549.15</v>
      </c>
      <c r="D1280" s="8">
        <f t="shared" si="41"/>
        <v>-0.00555270252920777</v>
      </c>
      <c r="E1280" s="8">
        <v>0.0013388897256949675</v>
      </c>
      <c r="F1280" s="9"/>
      <c r="G1280" s="9">
        <v>1277.0</v>
      </c>
      <c r="H1280" s="10">
        <f t="shared" si="42"/>
        <v>0.01909966545586715</v>
      </c>
      <c r="K1280" s="7"/>
    </row>
    <row r="1281" spans="8:8">
      <c r="B1281" s="7">
        <v>44383.0</v>
      </c>
      <c r="C1281" s="8">
        <v>1557.8</v>
      </c>
      <c r="D1281" s="8">
        <f t="shared" si="41"/>
        <v>0.013170303404767325</v>
      </c>
      <c r="E1281" s="8">
        <v>0.0013358909364938312</v>
      </c>
      <c r="F1281" s="9"/>
      <c r="G1281" s="9">
        <v>1278.0</v>
      </c>
      <c r="H1281" s="10">
        <f t="shared" si="42"/>
        <v>0.004275292070631635</v>
      </c>
      <c r="K1281" s="7"/>
    </row>
    <row r="1282" spans="8:8">
      <c r="B1282" s="7">
        <v>44292.0</v>
      </c>
      <c r="C1282" s="8">
        <v>1537.55</v>
      </c>
      <c r="D1282" s="8">
        <f t="shared" si="41"/>
        <v>0.01767217129430456</v>
      </c>
      <c r="E1282" s="8">
        <v>0.001334156394990089</v>
      </c>
      <c r="F1282" s="9"/>
      <c r="G1282" s="9">
        <v>1279.0</v>
      </c>
      <c r="H1282" s="10">
        <f t="shared" si="42"/>
        <v>0.005938029217420808</v>
      </c>
      <c r="K1282" s="7"/>
    </row>
    <row r="1283" spans="8:8">
      <c r="B1283" s="7">
        <v>44261.0</v>
      </c>
      <c r="C1283" s="8">
        <v>1510.85</v>
      </c>
      <c r="D1283" s="8">
        <f t="shared" si="41"/>
        <v>0.027055504571564498</v>
      </c>
      <c r="E1283" s="8">
        <v>0.0013315579227696406</v>
      </c>
      <c r="F1283" s="9"/>
      <c r="G1283" s="9">
        <v>1280.0</v>
      </c>
      <c r="H1283" s="10">
        <f t="shared" si="42"/>
        <v>-0.02431188303384154</v>
      </c>
      <c r="K1283" s="7"/>
    </row>
    <row r="1284" spans="8:8">
      <c r="B1284" s="7">
        <v>44233.0</v>
      </c>
      <c r="C1284" s="8">
        <v>1471.05</v>
      </c>
      <c r="D1284" s="8">
        <f t="shared" si="43" ref="D1284:D1347">(C1284-C1285)/C1285</f>
        <v>-0.002441257247482546</v>
      </c>
      <c r="E1284" s="8">
        <v>0.0013241312896236988</v>
      </c>
      <c r="F1284" s="9"/>
      <c r="G1284" s="9">
        <v>1281.0</v>
      </c>
      <c r="H1284" s="10">
        <f t="shared" si="42"/>
        <v>0.006376447951768994</v>
      </c>
      <c r="K1284" s="7"/>
    </row>
    <row r="1285" spans="8:8">
      <c r="B1285" s="7">
        <v>44202.0</v>
      </c>
      <c r="C1285" s="8">
        <v>1474.65</v>
      </c>
      <c r="D1285" s="8">
        <f t="shared" si="43"/>
        <v>0.004735300129454279</v>
      </c>
      <c r="E1285" s="8">
        <v>0.0012930337805075157</v>
      </c>
      <c r="F1285" s="9"/>
      <c r="G1285" s="9">
        <v>1282.0</v>
      </c>
      <c r="H1285" s="10">
        <f t="shared" si="44" ref="H1285:H1348">_xlfn.NORM.INV(RAND(),N$6,N$7)</f>
        <v>0.022291418975937366</v>
      </c>
      <c r="K1285" s="7"/>
    </row>
    <row r="1286" spans="8:8">
      <c r="B1286" s="7" t="s">
        <v>9366</v>
      </c>
      <c r="C1286" s="8">
        <v>1467.7</v>
      </c>
      <c r="D1286" s="8">
        <f t="shared" si="43"/>
        <v>-0.007036059806508264</v>
      </c>
      <c r="E1286" s="8">
        <v>0.0012909148283083277</v>
      </c>
      <c r="F1286" s="9"/>
      <c r="G1286" s="9">
        <v>1283.0</v>
      </c>
      <c r="H1286" s="10">
        <f t="shared" si="44"/>
        <v>0.003827531882621068</v>
      </c>
      <c r="K1286" s="7"/>
    </row>
    <row r="1287" spans="8:8">
      <c r="B1287" s="7" t="s">
        <v>9367</v>
      </c>
      <c r="C1287" s="8">
        <v>1478.1</v>
      </c>
      <c r="D1287" s="8">
        <f t="shared" si="43"/>
        <v>-0.0032032909599757227</v>
      </c>
      <c r="E1287" s="8">
        <v>0.0012836612250592741</v>
      </c>
      <c r="F1287" s="9"/>
      <c r="G1287" s="9">
        <v>1284.0</v>
      </c>
      <c r="H1287" s="10">
        <f t="shared" si="44"/>
        <v>0.008006940459992219</v>
      </c>
      <c r="K1287" s="7"/>
    </row>
    <row r="1288" spans="8:8">
      <c r="B1288" s="7" t="s">
        <v>9368</v>
      </c>
      <c r="C1288" s="8">
        <v>1482.85</v>
      </c>
      <c r="D1288" s="8">
        <f t="shared" si="43"/>
        <v>0.006755380541788185</v>
      </c>
      <c r="E1288" s="8">
        <v>0.0012807956000904434</v>
      </c>
      <c r="F1288" s="9"/>
      <c r="G1288" s="9">
        <v>1285.0</v>
      </c>
      <c r="H1288" s="10">
        <f t="shared" si="44"/>
        <v>-0.004601568544997116</v>
      </c>
      <c r="K1288" s="7"/>
    </row>
    <row r="1289" spans="8:8">
      <c r="B1289" s="7" t="s">
        <v>9369</v>
      </c>
      <c r="C1289" s="8">
        <v>1472.9</v>
      </c>
      <c r="D1289" s="8">
        <f t="shared" si="43"/>
        <v>0.015128019573382986</v>
      </c>
      <c r="E1289" s="8">
        <v>0.001275577067570669</v>
      </c>
      <c r="F1289" s="9"/>
      <c r="G1289" s="9">
        <v>1286.0</v>
      </c>
      <c r="H1289" s="10">
        <f t="shared" si="44"/>
        <v>-0.016050073879989045</v>
      </c>
      <c r="K1289" s="7"/>
    </row>
    <row r="1290" spans="8:8">
      <c r="B1290" s="7" t="s">
        <v>9370</v>
      </c>
      <c r="C1290" s="8">
        <v>1450.95</v>
      </c>
      <c r="D1290" s="8">
        <f t="shared" si="43"/>
        <v>0.005335181015070186</v>
      </c>
      <c r="E1290" s="8">
        <v>0.0012446325222478063</v>
      </c>
      <c r="F1290" s="9"/>
      <c r="G1290" s="9">
        <v>1287.0</v>
      </c>
      <c r="H1290" s="10">
        <f t="shared" si="44"/>
        <v>0.00786558371342606</v>
      </c>
      <c r="K1290" s="7"/>
    </row>
    <row r="1291" spans="8:8">
      <c r="B1291" s="7" t="s">
        <v>9371</v>
      </c>
      <c r="C1291" s="8">
        <v>1443.25</v>
      </c>
      <c r="D1291" s="8">
        <f t="shared" si="43"/>
        <v>0.01777088254998064</v>
      </c>
      <c r="E1291" s="8">
        <v>0.0012421296098000135</v>
      </c>
      <c r="F1291" s="9"/>
      <c r="G1291" s="9">
        <v>1288.0</v>
      </c>
      <c r="H1291" s="10">
        <f t="shared" si="44"/>
        <v>0.015205130767593538</v>
      </c>
      <c r="K1291" s="7"/>
    </row>
    <row r="1292" spans="8:8">
      <c r="B1292" s="7" t="s">
        <v>9372</v>
      </c>
      <c r="C1292" s="8">
        <v>1418.05</v>
      </c>
      <c r="D1292" s="8">
        <f t="shared" si="43"/>
        <v>0.005887568717857744</v>
      </c>
      <c r="E1292" s="8">
        <v>0.0012341601627006143</v>
      </c>
      <c r="F1292" s="9"/>
      <c r="G1292" s="9">
        <v>1289.0</v>
      </c>
      <c r="H1292" s="10">
        <f t="shared" si="44"/>
        <v>0.0036663398632279143</v>
      </c>
      <c r="K1292" s="7"/>
    </row>
    <row r="1293" spans="8:8">
      <c r="B1293" s="7" t="s">
        <v>9373</v>
      </c>
      <c r="C1293" s="8">
        <v>1409.75</v>
      </c>
      <c r="D1293" s="8">
        <f t="shared" si="43"/>
        <v>0.0044889379742776405</v>
      </c>
      <c r="E1293" s="8">
        <v>0.0012217769523994587</v>
      </c>
      <c r="F1293" s="9"/>
      <c r="G1293" s="9">
        <v>1290.0</v>
      </c>
      <c r="H1293" s="10">
        <f t="shared" si="44"/>
        <v>-0.017439551722382665</v>
      </c>
      <c r="K1293" s="7"/>
    </row>
    <row r="1294" spans="8:8">
      <c r="B1294" s="7" t="s">
        <v>9374</v>
      </c>
      <c r="C1294" s="8">
        <v>1403.45</v>
      </c>
      <c r="D1294" s="8">
        <f t="shared" si="43"/>
        <v>-0.009772101883863621</v>
      </c>
      <c r="E1294" s="8">
        <v>0.0012114080022151462</v>
      </c>
      <c r="F1294" s="9"/>
      <c r="G1294" s="9">
        <v>1291.0</v>
      </c>
      <c r="H1294" s="10">
        <f t="shared" si="44"/>
        <v>0.010283822928830282</v>
      </c>
      <c r="K1294" s="7"/>
    </row>
    <row r="1295" spans="8:8">
      <c r="B1295" s="7" t="s">
        <v>9375</v>
      </c>
      <c r="C1295" s="8">
        <v>1417.3</v>
      </c>
      <c r="D1295" s="8">
        <f t="shared" si="43"/>
        <v>0.02202992608617267</v>
      </c>
      <c r="E1295" s="8">
        <v>0.0011961404534701365</v>
      </c>
      <c r="F1295" s="9"/>
      <c r="G1295" s="9">
        <v>1292.0</v>
      </c>
      <c r="H1295" s="10">
        <f t="shared" si="44"/>
        <v>0.008913489488428145</v>
      </c>
      <c r="K1295" s="7"/>
    </row>
    <row r="1296" spans="8:8">
      <c r="B1296" s="7" t="s">
        <v>9376</v>
      </c>
      <c r="C1296" s="8">
        <v>1386.75</v>
      </c>
      <c r="D1296" s="8">
        <f t="shared" si="43"/>
        <v>-0.020310844224655598</v>
      </c>
      <c r="E1296" s="8">
        <v>0.0011822819661511349</v>
      </c>
      <c r="F1296" s="9"/>
      <c r="G1296" s="9">
        <v>1293.0</v>
      </c>
      <c r="H1296" s="10">
        <f t="shared" si="44"/>
        <v>0.00149147213745137</v>
      </c>
      <c r="K1296" s="7"/>
    </row>
    <row r="1297" spans="8:8">
      <c r="B1297" s="7" t="s">
        <v>9377</v>
      </c>
      <c r="C1297" s="8">
        <v>1415.5</v>
      </c>
      <c r="D1297" s="8">
        <f t="shared" si="43"/>
        <v>0.021800332058038004</v>
      </c>
      <c r="E1297" s="8">
        <v>0.0011783374444217507</v>
      </c>
      <c r="F1297" s="9"/>
      <c r="G1297" s="9">
        <v>1294.0</v>
      </c>
      <c r="H1297" s="10">
        <f t="shared" si="44"/>
        <v>-0.008698942630098606</v>
      </c>
      <c r="K1297" s="7"/>
    </row>
    <row r="1298" spans="8:8">
      <c r="B1298" s="7">
        <v>44535.0</v>
      </c>
      <c r="C1298" s="8">
        <v>1385.3</v>
      </c>
      <c r="D1298" s="8">
        <f t="shared" si="43"/>
        <v>0.0012286788089043406</v>
      </c>
      <c r="E1298" s="8">
        <v>0.0011502185415228894</v>
      </c>
      <c r="F1298" s="9"/>
      <c r="G1298" s="9">
        <v>1295.0</v>
      </c>
      <c r="H1298" s="10">
        <f t="shared" si="44"/>
        <v>0.035651968700008876</v>
      </c>
      <c r="K1298" s="7"/>
    </row>
    <row r="1299" spans="8:8">
      <c r="B1299" s="7">
        <v>44505.0</v>
      </c>
      <c r="C1299" s="8">
        <v>1383.6</v>
      </c>
      <c r="D1299" s="8">
        <f t="shared" si="43"/>
        <v>-0.008172043010752753</v>
      </c>
      <c r="E1299" s="8">
        <v>0.0011429841410950134</v>
      </c>
      <c r="F1299" s="9"/>
      <c r="G1299" s="9">
        <v>1296.0</v>
      </c>
      <c r="H1299" s="10">
        <f t="shared" si="44"/>
        <v>0.01111788523790198</v>
      </c>
      <c r="K1299" s="7"/>
    </row>
    <row r="1300" spans="8:8">
      <c r="B1300" s="7">
        <v>44474.0</v>
      </c>
      <c r="C1300" s="8">
        <v>1395.0</v>
      </c>
      <c r="D1300" s="8">
        <f t="shared" si="43"/>
        <v>0.038951366649288714</v>
      </c>
      <c r="E1300" s="8">
        <v>0.0011415525114156155</v>
      </c>
      <c r="F1300" s="9"/>
      <c r="G1300" s="9">
        <v>1297.0</v>
      </c>
      <c r="H1300" s="10">
        <f t="shared" si="44"/>
        <v>-0.006259719290974192</v>
      </c>
      <c r="K1300" s="7"/>
    </row>
    <row r="1301" spans="8:8">
      <c r="B1301" s="7">
        <v>44382.0</v>
      </c>
      <c r="C1301" s="8">
        <v>1342.7</v>
      </c>
      <c r="D1301" s="8">
        <f t="shared" si="43"/>
        <v>0.0020897081871781137</v>
      </c>
      <c r="E1301" s="8">
        <v>0.001138320539388836</v>
      </c>
      <c r="F1301" s="9"/>
      <c r="G1301" s="9">
        <v>1298.0</v>
      </c>
      <c r="H1301" s="10">
        <f t="shared" si="44"/>
        <v>0.003343006599980502</v>
      </c>
      <c r="K1301" s="7"/>
    </row>
    <row r="1302" spans="8:8">
      <c r="B1302" s="7">
        <v>44352.0</v>
      </c>
      <c r="C1302" s="8">
        <v>1339.9</v>
      </c>
      <c r="D1302" s="8">
        <f t="shared" si="43"/>
        <v>9.33776565943301E-4</v>
      </c>
      <c r="E1302" s="8">
        <v>0.0011279770537239357</v>
      </c>
      <c r="F1302" s="9"/>
      <c r="G1302" s="9">
        <v>1299.0</v>
      </c>
      <c r="H1302" s="10">
        <f t="shared" si="44"/>
        <v>0.004835082597062588</v>
      </c>
      <c r="K1302" s="7"/>
    </row>
    <row r="1303" spans="8:8">
      <c r="B1303" s="7">
        <v>44321.0</v>
      </c>
      <c r="C1303" s="8">
        <v>1338.65</v>
      </c>
      <c r="D1303" s="8">
        <f t="shared" si="43"/>
        <v>7.84988038277648E-4</v>
      </c>
      <c r="E1303" s="8">
        <v>0.0011027658559848216</v>
      </c>
      <c r="F1303" s="9"/>
      <c r="G1303" s="9">
        <v>1300.0</v>
      </c>
      <c r="H1303" s="10">
        <f t="shared" si="44"/>
        <v>0.006154563035358196</v>
      </c>
      <c r="K1303" s="7"/>
    </row>
    <row r="1304" spans="8:8">
      <c r="B1304" s="7">
        <v>44291.0</v>
      </c>
      <c r="C1304" s="8">
        <v>1337.6</v>
      </c>
      <c r="D1304" s="8">
        <f t="shared" si="43"/>
        <v>-0.0036499068901304217</v>
      </c>
      <c r="E1304" s="8">
        <v>0.0010829207920790827</v>
      </c>
      <c r="F1304" s="9"/>
      <c r="G1304" s="9">
        <v>1301.0</v>
      </c>
      <c r="H1304" s="10">
        <f t="shared" si="44"/>
        <v>0.0175670300967462</v>
      </c>
      <c r="K1304" s="7"/>
    </row>
    <row r="1305" spans="8:8">
      <c r="B1305" s="7">
        <v>44260.0</v>
      </c>
      <c r="C1305" s="8">
        <v>1342.5</v>
      </c>
      <c r="D1305" s="8">
        <f t="shared" si="43"/>
        <v>0.0015293371628930243</v>
      </c>
      <c r="E1305" s="8">
        <v>0.0010792699624672963</v>
      </c>
      <c r="F1305" s="9"/>
      <c r="G1305" s="9">
        <v>1302.0</v>
      </c>
      <c r="H1305" s="10">
        <f t="shared" si="44"/>
        <v>-0.009002170789058388</v>
      </c>
      <c r="K1305" s="7"/>
    </row>
    <row r="1306" spans="8:8">
      <c r="B1306" s="7" t="s">
        <v>9378</v>
      </c>
      <c r="C1306" s="8">
        <v>1340.45</v>
      </c>
      <c r="D1306" s="8">
        <f t="shared" si="43"/>
        <v>-0.013395650093843185</v>
      </c>
      <c r="E1306" s="8">
        <v>0.0010764089711459302</v>
      </c>
      <c r="F1306" s="9"/>
      <c r="G1306" s="9">
        <v>1303.0</v>
      </c>
      <c r="H1306" s="10">
        <f t="shared" si="44"/>
        <v>0.010497316334106513</v>
      </c>
      <c r="K1306" s="7"/>
    </row>
    <row r="1307" spans="8:8">
      <c r="B1307" s="7" t="s">
        <v>9379</v>
      </c>
      <c r="C1307" s="8">
        <v>1358.65</v>
      </c>
      <c r="D1307" s="8">
        <f t="shared" si="43"/>
        <v>-0.012537248346536812</v>
      </c>
      <c r="E1307" s="8">
        <v>0.0010729446889238747</v>
      </c>
      <c r="F1307" s="9"/>
      <c r="G1307" s="9">
        <v>1304.0</v>
      </c>
      <c r="H1307" s="10">
        <f t="shared" si="44"/>
        <v>0.014351142344824947</v>
      </c>
      <c r="K1307" s="7"/>
    </row>
    <row r="1308" spans="8:8">
      <c r="B1308" s="7" t="s">
        <v>9380</v>
      </c>
      <c r="C1308" s="8">
        <v>1375.9</v>
      </c>
      <c r="D1308" s="8">
        <f t="shared" si="43"/>
        <v>-0.0034404085032412267</v>
      </c>
      <c r="E1308" s="8">
        <v>0.001065601065601005</v>
      </c>
      <c r="F1308" s="9"/>
      <c r="G1308" s="9">
        <v>1305.0</v>
      </c>
      <c r="H1308" s="10">
        <f t="shared" si="44"/>
        <v>0.011051832218761722</v>
      </c>
      <c r="K1308" s="7"/>
    </row>
    <row r="1309" spans="8:8">
      <c r="B1309" s="7" t="s">
        <v>9381</v>
      </c>
      <c r="C1309" s="8">
        <v>1380.65</v>
      </c>
      <c r="D1309" s="8">
        <f t="shared" si="43"/>
        <v>0.03349801631858672</v>
      </c>
      <c r="E1309" s="8">
        <v>0.0010644154890805987</v>
      </c>
      <c r="F1309" s="9"/>
      <c r="G1309" s="9">
        <v>1306.0</v>
      </c>
      <c r="H1309" s="10">
        <f t="shared" si="44"/>
        <v>0.022219636294020715</v>
      </c>
      <c r="K1309" s="7"/>
    </row>
    <row r="1310" spans="8:8">
      <c r="B1310" s="7" t="s">
        <v>9382</v>
      </c>
      <c r="C1310" s="8">
        <v>1335.9</v>
      </c>
      <c r="D1310" s="8">
        <f t="shared" si="43"/>
        <v>0.009826895456950637</v>
      </c>
      <c r="E1310" s="8">
        <v>0.0010587272814771434</v>
      </c>
      <c r="F1310" s="9"/>
      <c r="G1310" s="9">
        <v>1307.0</v>
      </c>
      <c r="H1310" s="10">
        <f t="shared" si="44"/>
        <v>-0.011782957844675625</v>
      </c>
      <c r="K1310" s="7"/>
    </row>
    <row r="1311" spans="8:8">
      <c r="B1311" s="7" t="s">
        <v>9383</v>
      </c>
      <c r="C1311" s="8">
        <v>1322.9</v>
      </c>
      <c r="D1311" s="8">
        <f t="shared" si="43"/>
        <v>-0.01039796529024526</v>
      </c>
      <c r="E1311" s="8">
        <v>0.001054787819493646</v>
      </c>
      <c r="F1311" s="9"/>
      <c r="G1311" s="9">
        <v>1308.0</v>
      </c>
      <c r="H1311" s="10">
        <f t="shared" si="44"/>
        <v>-0.009491253554489945</v>
      </c>
      <c r="K1311" s="7"/>
    </row>
    <row r="1312" spans="8:8">
      <c r="B1312" s="7" t="s">
        <v>9384</v>
      </c>
      <c r="C1312" s="8">
        <v>1336.8</v>
      </c>
      <c r="D1312" s="8">
        <f t="shared" si="43"/>
        <v>0.0039804731505820165</v>
      </c>
      <c r="E1312" s="8">
        <v>0.0010544187293360086</v>
      </c>
      <c r="F1312" s="9"/>
      <c r="G1312" s="9">
        <v>1309.0</v>
      </c>
      <c r="H1312" s="10">
        <f t="shared" si="44"/>
        <v>-0.0033701011425831817</v>
      </c>
      <c r="K1312" s="7"/>
    </row>
    <row r="1313" spans="8:8">
      <c r="B1313" s="7" t="s">
        <v>9385</v>
      </c>
      <c r="C1313" s="8">
        <v>1331.5</v>
      </c>
      <c r="D1313" s="8">
        <f t="shared" si="43"/>
        <v>0.016063184402304517</v>
      </c>
      <c r="E1313" s="8">
        <v>0.0010456464910516424</v>
      </c>
      <c r="F1313" s="9"/>
      <c r="G1313" s="9">
        <v>1310.0</v>
      </c>
      <c r="H1313" s="10">
        <f t="shared" si="44"/>
        <v>0.004016471574235217</v>
      </c>
      <c r="K1313" s="7"/>
    </row>
    <row r="1314" spans="8:8">
      <c r="B1314" s="7" t="s">
        <v>9386</v>
      </c>
      <c r="C1314" s="8">
        <v>1310.45</v>
      </c>
      <c r="D1314" s="8">
        <f t="shared" si="43"/>
        <v>-0.03583121804068722</v>
      </c>
      <c r="E1314" s="8">
        <v>0.001019246776632069</v>
      </c>
      <c r="F1314" s="9"/>
      <c r="G1314" s="9">
        <v>1311.0</v>
      </c>
      <c r="H1314" s="10">
        <f t="shared" si="44"/>
        <v>0.02308029632001621</v>
      </c>
      <c r="K1314" s="7"/>
    </row>
    <row r="1315" spans="8:8">
      <c r="B1315" s="7" t="s">
        <v>9387</v>
      </c>
      <c r="C1315" s="8">
        <v>1359.15</v>
      </c>
      <c r="D1315" s="8">
        <f t="shared" si="43"/>
        <v>-0.01127559742479904</v>
      </c>
      <c r="E1315" s="8">
        <v>0.0010186160871092696</v>
      </c>
      <c r="F1315" s="9"/>
      <c r="G1315" s="9">
        <v>1312.0</v>
      </c>
      <c r="H1315" s="10">
        <f t="shared" si="44"/>
        <v>0.005766396361870432</v>
      </c>
      <c r="K1315" s="7"/>
    </row>
    <row r="1316" spans="8:8">
      <c r="B1316" s="7" t="s">
        <v>9388</v>
      </c>
      <c r="C1316" s="8">
        <v>1374.65</v>
      </c>
      <c r="D1316" s="8">
        <f t="shared" si="43"/>
        <v>6.915629322268657E-4</v>
      </c>
      <c r="E1316" s="8">
        <v>9.789156626505682E-4</v>
      </c>
      <c r="F1316" s="9"/>
      <c r="G1316" s="9">
        <v>1313.0</v>
      </c>
      <c r="H1316" s="10">
        <f t="shared" si="44"/>
        <v>0.01850546472465074</v>
      </c>
      <c r="K1316" s="7"/>
    </row>
    <row r="1317" spans="8:8">
      <c r="B1317" s="7" t="s">
        <v>9389</v>
      </c>
      <c r="C1317" s="8">
        <v>1373.7</v>
      </c>
      <c r="D1317" s="8">
        <f t="shared" si="43"/>
        <v>0.02122439876593685</v>
      </c>
      <c r="E1317" s="8">
        <v>9.75533616888438E-4</v>
      </c>
      <c r="F1317" s="9"/>
      <c r="G1317" s="9">
        <v>1314.0</v>
      </c>
      <c r="H1317" s="10">
        <f t="shared" si="44"/>
        <v>0.013743200771702685</v>
      </c>
      <c r="K1317" s="7"/>
    </row>
    <row r="1318" spans="8:8">
      <c r="B1318" s="7">
        <v>44534.0</v>
      </c>
      <c r="C1318" s="8">
        <v>1345.15</v>
      </c>
      <c r="D1318" s="8">
        <f t="shared" si="43"/>
        <v>-0.04198418916031609</v>
      </c>
      <c r="E1318" s="8">
        <v>9.684560044272904E-4</v>
      </c>
      <c r="F1318" s="9"/>
      <c r="G1318" s="9">
        <v>1315.0</v>
      </c>
      <c r="H1318" s="10">
        <f t="shared" si="44"/>
        <v>0.006701551231345875</v>
      </c>
      <c r="K1318" s="7"/>
    </row>
    <row r="1319" spans="8:8">
      <c r="B1319" s="7">
        <v>44443.0</v>
      </c>
      <c r="C1319" s="8">
        <v>1404.1</v>
      </c>
      <c r="D1319" s="8">
        <f t="shared" si="43"/>
        <v>-0.010604939576507192</v>
      </c>
      <c r="E1319" s="8">
        <v>9.649770108418264E-4</v>
      </c>
      <c r="F1319" s="9"/>
      <c r="G1319" s="9">
        <v>1316.0</v>
      </c>
      <c r="H1319" s="10">
        <f t="shared" si="44"/>
        <v>-0.0029185622273002745</v>
      </c>
      <c r="K1319" s="7"/>
    </row>
    <row r="1320" spans="8:8">
      <c r="B1320" s="7">
        <v>44412.0</v>
      </c>
      <c r="C1320" s="8">
        <v>1419.15</v>
      </c>
      <c r="D1320" s="8">
        <f t="shared" si="43"/>
        <v>0.010682619378271552</v>
      </c>
      <c r="E1320" s="8">
        <v>9.631490787270444E-4</v>
      </c>
      <c r="F1320" s="9"/>
      <c r="G1320" s="9">
        <v>1317.0</v>
      </c>
      <c r="H1320" s="10">
        <f t="shared" si="44"/>
        <v>-0.006789640161774311</v>
      </c>
      <c r="K1320" s="7"/>
    </row>
    <row r="1321" spans="8:8">
      <c r="B1321" s="7">
        <v>44381.0</v>
      </c>
      <c r="C1321" s="8">
        <v>1404.15</v>
      </c>
      <c r="D1321" s="8">
        <f t="shared" si="43"/>
        <v>0.0022483940042827204</v>
      </c>
      <c r="E1321" s="8">
        <v>9.582096933730106E-4</v>
      </c>
      <c r="F1321" s="9"/>
      <c r="G1321" s="9">
        <v>1318.0</v>
      </c>
      <c r="H1321" s="10">
        <f t="shared" si="44"/>
        <v>0.00536174574710297</v>
      </c>
      <c r="K1321" s="7"/>
    </row>
    <row r="1322" spans="8:8">
      <c r="B1322" s="7">
        <v>44351.0</v>
      </c>
      <c r="C1322" s="8">
        <v>1401.0</v>
      </c>
      <c r="D1322" s="8">
        <f t="shared" si="43"/>
        <v>-0.0019945861233793666</v>
      </c>
      <c r="E1322" s="8">
        <v>9.520492279113813E-4</v>
      </c>
      <c r="F1322" s="9"/>
      <c r="G1322" s="9">
        <v>1319.0</v>
      </c>
      <c r="H1322" s="10">
        <f t="shared" si="44"/>
        <v>0.01839776638223223</v>
      </c>
      <c r="K1322" s="7"/>
    </row>
    <row r="1323" spans="8:8">
      <c r="B1323" s="7">
        <v>44320.0</v>
      </c>
      <c r="C1323" s="8">
        <v>1403.8</v>
      </c>
      <c r="D1323" s="8">
        <f t="shared" si="43"/>
        <v>-0.02824311228021595</v>
      </c>
      <c r="E1323" s="8">
        <v>9.405441719852811E-4</v>
      </c>
      <c r="F1323" s="9"/>
      <c r="G1323" s="9">
        <v>1320.0</v>
      </c>
      <c r="H1323" s="10">
        <f t="shared" si="44"/>
        <v>-0.006747006700600516</v>
      </c>
      <c r="K1323" s="7"/>
    </row>
    <row r="1324" spans="8:8">
      <c r="B1324" s="7">
        <v>44200.0</v>
      </c>
      <c r="C1324" s="8">
        <v>1444.6</v>
      </c>
      <c r="D1324" s="8">
        <f t="shared" si="43"/>
        <v>0.018112622454013544</v>
      </c>
      <c r="E1324" s="8">
        <v>9.330037811205569E-4</v>
      </c>
      <c r="F1324" s="9"/>
      <c r="G1324" s="9">
        <v>1321.0</v>
      </c>
      <c r="H1324" s="10">
        <f t="shared" si="44"/>
        <v>0.0056403230568051015</v>
      </c>
      <c r="K1324" s="7"/>
    </row>
    <row r="1325" spans="8:8">
      <c r="B1325" s="7" t="s">
        <v>9390</v>
      </c>
      <c r="C1325" s="8">
        <v>1418.9</v>
      </c>
      <c r="D1325" s="8">
        <f t="shared" si="43"/>
        <v>-0.0032664816831160575</v>
      </c>
      <c r="E1325" s="8">
        <v>9.287606205497826E-4</v>
      </c>
      <c r="F1325" s="9"/>
      <c r="G1325" s="9">
        <v>1322.0</v>
      </c>
      <c r="H1325" s="10">
        <f t="shared" si="44"/>
        <v>0.022649351677005887</v>
      </c>
      <c r="K1325" s="7"/>
    </row>
    <row r="1326" spans="8:8">
      <c r="B1326" s="7" t="s">
        <v>9391</v>
      </c>
      <c r="C1326" s="8">
        <v>1423.55</v>
      </c>
      <c r="D1326" s="8">
        <f t="shared" si="43"/>
        <v>0.018057641421726382</v>
      </c>
      <c r="E1326" s="8">
        <v>9.278092995039463E-4</v>
      </c>
      <c r="F1326" s="9"/>
      <c r="G1326" s="9">
        <v>1323.0</v>
      </c>
      <c r="H1326" s="10">
        <f t="shared" si="44"/>
        <v>-0.004390720121714732</v>
      </c>
      <c r="K1326" s="7"/>
    </row>
    <row r="1327" spans="8:8">
      <c r="B1327" s="7" t="s">
        <v>9392</v>
      </c>
      <c r="C1327" s="8">
        <v>1398.3</v>
      </c>
      <c r="D1327" s="8">
        <f t="shared" si="43"/>
        <v>0.01983808620815407</v>
      </c>
      <c r="E1327" s="8">
        <v>9.033933713512148E-4</v>
      </c>
      <c r="F1327" s="9"/>
      <c r="G1327" s="9">
        <v>1324.0</v>
      </c>
      <c r="H1327" s="10">
        <f t="shared" si="44"/>
        <v>0.0039244848097894774</v>
      </c>
      <c r="K1327" s="7"/>
    </row>
    <row r="1328" spans="8:8">
      <c r="B1328" s="7" t="s">
        <v>9393</v>
      </c>
      <c r="C1328" s="8">
        <v>1371.1</v>
      </c>
      <c r="D1328" s="8">
        <f t="shared" si="43"/>
        <v>0.0014242413176056808</v>
      </c>
      <c r="E1328" s="8">
        <v>8.86273397617697E-4</v>
      </c>
      <c r="F1328" s="9"/>
      <c r="G1328" s="9">
        <v>1325.0</v>
      </c>
      <c r="H1328" s="10">
        <f t="shared" si="44"/>
        <v>0.006907036869851159</v>
      </c>
      <c r="K1328" s="7"/>
    </row>
    <row r="1329" spans="8:8">
      <c r="B1329" s="7" t="s">
        <v>9394</v>
      </c>
      <c r="C1329" s="8">
        <v>1369.15</v>
      </c>
      <c r="D1329" s="8">
        <f t="shared" si="43"/>
        <v>-0.025064976679602537</v>
      </c>
      <c r="E1329" s="8">
        <v>8.856755535471552E-4</v>
      </c>
      <c r="F1329" s="9"/>
      <c r="G1329" s="9">
        <v>1326.0</v>
      </c>
      <c r="H1329" s="10">
        <f t="shared" si="44"/>
        <v>-0.0055194787260217605</v>
      </c>
      <c r="K1329" s="7"/>
    </row>
    <row r="1330" spans="8:8">
      <c r="B1330" s="7" t="s">
        <v>9395</v>
      </c>
      <c r="C1330" s="8">
        <v>1404.35</v>
      </c>
      <c r="D1330" s="8">
        <f t="shared" si="43"/>
        <v>0.0030713188814684867</v>
      </c>
      <c r="E1330" s="8">
        <v>8.786960151135715E-4</v>
      </c>
      <c r="F1330" s="9"/>
      <c r="G1330" s="9">
        <v>1327.0</v>
      </c>
      <c r="H1330" s="10">
        <f t="shared" si="44"/>
        <v>0.00335760733220058</v>
      </c>
      <c r="K1330" s="7"/>
    </row>
    <row r="1331" spans="8:8">
      <c r="B1331" s="7" t="s">
        <v>9396</v>
      </c>
      <c r="C1331" s="8">
        <v>1400.05</v>
      </c>
      <c r="D1331" s="8">
        <f t="shared" si="43"/>
        <v>-0.007936226749335728</v>
      </c>
      <c r="E1331" s="8">
        <v>8.745080891998251E-4</v>
      </c>
      <c r="F1331" s="9"/>
      <c r="G1331" s="9">
        <v>1328.0</v>
      </c>
      <c r="H1331" s="10">
        <f t="shared" si="44"/>
        <v>0.0032990978722612554</v>
      </c>
      <c r="K1331" s="7"/>
    </row>
    <row r="1332" spans="8:8">
      <c r="B1332" s="7" t="s">
        <v>9397</v>
      </c>
      <c r="C1332" s="8">
        <v>1411.25</v>
      </c>
      <c r="D1332" s="8">
        <f t="shared" si="43"/>
        <v>-0.011798893634899454</v>
      </c>
      <c r="E1332" s="8">
        <v>8.391932170038172E-4</v>
      </c>
      <c r="F1332" s="9"/>
      <c r="G1332" s="9">
        <v>1329.0</v>
      </c>
      <c r="H1332" s="10">
        <f t="shared" si="44"/>
        <v>0.00897578255692195</v>
      </c>
      <c r="K1332" s="7"/>
    </row>
    <row r="1333" spans="8:8">
      <c r="B1333" s="7" t="s">
        <v>9398</v>
      </c>
      <c r="C1333" s="8">
        <v>1428.1</v>
      </c>
      <c r="D1333" s="8">
        <f t="shared" si="43"/>
        <v>-0.006642785100685272</v>
      </c>
      <c r="E1333" s="8">
        <v>8.38963218086321E-4</v>
      </c>
      <c r="F1333" s="9"/>
      <c r="G1333" s="9">
        <v>1330.0</v>
      </c>
      <c r="H1333" s="10">
        <f t="shared" si="44"/>
        <v>-0.004112045075839854</v>
      </c>
      <c r="K1333" s="7"/>
    </row>
    <row r="1334" spans="8:8">
      <c r="B1334" s="7" t="s">
        <v>9399</v>
      </c>
      <c r="C1334" s="8">
        <v>1437.65</v>
      </c>
      <c r="D1334" s="8">
        <f t="shared" si="43"/>
        <v>-0.016520727869749532</v>
      </c>
      <c r="E1334" s="8">
        <v>8.218794809918193E-4</v>
      </c>
      <c r="F1334" s="9"/>
      <c r="G1334" s="9">
        <v>1331.0</v>
      </c>
      <c r="H1334" s="10">
        <f t="shared" si="44"/>
        <v>0.02808148494988597</v>
      </c>
      <c r="K1334" s="7"/>
    </row>
    <row r="1335" spans="8:8">
      <c r="B1335" s="7" t="s">
        <v>9400</v>
      </c>
      <c r="C1335" s="8">
        <v>1461.8</v>
      </c>
      <c r="D1335" s="8">
        <f t="shared" si="43"/>
        <v>-0.014793597304128084</v>
      </c>
      <c r="E1335" s="8">
        <v>8.064388608654913E-4</v>
      </c>
      <c r="F1335" s="9"/>
      <c r="G1335" s="9">
        <v>1332.0</v>
      </c>
      <c r="H1335" s="10">
        <f t="shared" si="44"/>
        <v>0.02132236470367136</v>
      </c>
      <c r="K1335" s="7"/>
    </row>
    <row r="1336" spans="8:8">
      <c r="B1336" s="7" t="s">
        <v>9401</v>
      </c>
      <c r="C1336" s="8">
        <v>1483.75</v>
      </c>
      <c r="D1336" s="8">
        <f t="shared" si="43"/>
        <v>-0.019980184940554823</v>
      </c>
      <c r="E1336" s="8">
        <v>8.042688113834689E-4</v>
      </c>
      <c r="F1336" s="9"/>
      <c r="G1336" s="9">
        <v>1333.0</v>
      </c>
      <c r="H1336" s="10">
        <f t="shared" si="44"/>
        <v>-0.013975098833656434</v>
      </c>
      <c r="K1336" s="7"/>
    </row>
    <row r="1337" spans="8:8">
      <c r="B1337" s="7">
        <v>44533.0</v>
      </c>
      <c r="C1337" s="8">
        <v>1514.0</v>
      </c>
      <c r="D1337" s="8">
        <f t="shared" si="43"/>
        <v>-0.006692035165988745</v>
      </c>
      <c r="E1337" s="8">
        <v>7.810881035499077E-4</v>
      </c>
      <c r="F1337" s="9"/>
      <c r="G1337" s="9">
        <v>1334.0</v>
      </c>
      <c r="H1337" s="10">
        <f t="shared" si="44"/>
        <v>0.002818364250792265</v>
      </c>
      <c r="K1337" s="7"/>
    </row>
    <row r="1338" spans="8:8">
      <c r="B1338" s="7">
        <v>44472.0</v>
      </c>
      <c r="C1338" s="8">
        <v>1524.2</v>
      </c>
      <c r="D1338" s="8">
        <f t="shared" si="43"/>
        <v>0.010541669429158716</v>
      </c>
      <c r="E1338" s="8">
        <v>7.735583684950134E-4</v>
      </c>
      <c r="F1338" s="9"/>
      <c r="G1338" s="9">
        <v>1335.0</v>
      </c>
      <c r="H1338" s="10">
        <f t="shared" si="44"/>
        <v>-0.008453126671049381</v>
      </c>
      <c r="K1338" s="7"/>
    </row>
    <row r="1339" spans="8:8">
      <c r="B1339" s="7">
        <v>44442.0</v>
      </c>
      <c r="C1339" s="8">
        <v>1508.3</v>
      </c>
      <c r="D1339" s="8">
        <f t="shared" si="43"/>
        <v>-0.004553854276663207</v>
      </c>
      <c r="E1339" s="8">
        <v>7.693322196333583E-4</v>
      </c>
      <c r="F1339" s="9"/>
      <c r="G1339" s="9">
        <v>1336.0</v>
      </c>
      <c r="H1339" s="10">
        <f t="shared" si="44"/>
        <v>-0.004052450449986146</v>
      </c>
      <c r="K1339" s="7"/>
    </row>
    <row r="1340" spans="8:8">
      <c r="B1340" s="7">
        <v>44411.0</v>
      </c>
      <c r="C1340" s="8">
        <v>1515.2</v>
      </c>
      <c r="D1340" s="8">
        <f t="shared" si="43"/>
        <v>0.03529090225820784</v>
      </c>
      <c r="E1340" s="8">
        <v>7.616790792147012E-4</v>
      </c>
      <c r="F1340" s="9"/>
      <c r="G1340" s="9">
        <v>1337.0</v>
      </c>
      <c r="H1340" s="10">
        <f t="shared" si="44"/>
        <v>0.005635038951096441</v>
      </c>
      <c r="K1340" s="7"/>
    </row>
    <row r="1341" spans="8:8">
      <c r="B1341" s="7">
        <v>44319.0</v>
      </c>
      <c r="C1341" s="8">
        <v>1463.55</v>
      </c>
      <c r="D1341" s="8">
        <f t="shared" si="43"/>
        <v>6.495282373855091E-4</v>
      </c>
      <c r="E1341" s="8">
        <v>7.549068948162732E-4</v>
      </c>
      <c r="F1341" s="9"/>
      <c r="G1341" s="9">
        <v>1338.0</v>
      </c>
      <c r="H1341" s="10">
        <f t="shared" si="44"/>
        <v>0.01429946024559264</v>
      </c>
      <c r="K1341" s="7"/>
    </row>
    <row r="1342" spans="8:8">
      <c r="B1342" s="7">
        <v>44289.0</v>
      </c>
      <c r="C1342" s="8">
        <v>1462.6</v>
      </c>
      <c r="D1342" s="8">
        <f t="shared" si="43"/>
        <v>-0.022914022312779864</v>
      </c>
      <c r="E1342" s="8">
        <v>7.419045125250144E-4</v>
      </c>
      <c r="F1342" s="9"/>
      <c r="G1342" s="9">
        <v>1339.0</v>
      </c>
      <c r="H1342" s="10">
        <f t="shared" si="44"/>
        <v>-0.00272919292592473</v>
      </c>
      <c r="K1342" s="7"/>
    </row>
    <row r="1343" spans="8:8">
      <c r="B1343" s="7">
        <v>44258.0</v>
      </c>
      <c r="C1343" s="8">
        <v>1496.9</v>
      </c>
      <c r="D1343" s="8">
        <f t="shared" si="43"/>
        <v>0.007572443038400699</v>
      </c>
      <c r="E1343" s="8">
        <v>7.377200352466985E-4</v>
      </c>
      <c r="F1343" s="9"/>
      <c r="G1343" s="9">
        <v>1340.0</v>
      </c>
      <c r="H1343" s="10">
        <f t="shared" si="44"/>
        <v>0.004014407093926737</v>
      </c>
      <c r="K1343" s="7"/>
    </row>
    <row r="1344" spans="8:8">
      <c r="B1344" s="7">
        <v>44230.0</v>
      </c>
      <c r="C1344" s="8">
        <v>1485.65</v>
      </c>
      <c r="D1344" s="8">
        <f t="shared" si="43"/>
        <v>0.008690633805207714</v>
      </c>
      <c r="E1344" s="8">
        <v>7.194642758315095E-4</v>
      </c>
      <c r="F1344" s="9"/>
      <c r="G1344" s="9">
        <v>1341.0</v>
      </c>
      <c r="H1344" s="10">
        <f t="shared" si="44"/>
        <v>0.010270593198734572</v>
      </c>
      <c r="K1344" s="7"/>
    </row>
    <row r="1345" spans="8:8">
      <c r="B1345" s="7">
        <v>44199.0</v>
      </c>
      <c r="C1345" s="8">
        <v>1472.85</v>
      </c>
      <c r="D1345" s="8">
        <f t="shared" si="43"/>
        <v>0.021039861351819695</v>
      </c>
      <c r="E1345" s="8">
        <v>7.115628970775558E-4</v>
      </c>
      <c r="F1345" s="9"/>
      <c r="G1345" s="9">
        <v>1342.0</v>
      </c>
      <c r="H1345" s="10">
        <f t="shared" si="44"/>
        <v>0.01112142550544043</v>
      </c>
      <c r="K1345" s="7"/>
    </row>
    <row r="1346" spans="8:8">
      <c r="B1346" s="7" t="s">
        <v>9402</v>
      </c>
      <c r="C1346" s="8">
        <v>1442.5</v>
      </c>
      <c r="D1346" s="8">
        <f t="shared" si="43"/>
        <v>-0.04245079491519801</v>
      </c>
      <c r="E1346" s="8">
        <v>7.083285730607481E-4</v>
      </c>
      <c r="F1346" s="9"/>
      <c r="G1346" s="9">
        <v>1343.0</v>
      </c>
      <c r="H1346" s="10">
        <f t="shared" si="44"/>
        <v>-0.015598834969029838</v>
      </c>
      <c r="K1346" s="7"/>
    </row>
    <row r="1347" spans="8:8">
      <c r="B1347" s="7" t="s">
        <v>9403</v>
      </c>
      <c r="C1347" s="8">
        <v>1506.45</v>
      </c>
      <c r="D1347" s="8">
        <f t="shared" si="43"/>
        <v>-0.013199266343508362</v>
      </c>
      <c r="E1347" s="8">
        <v>6.931447979482913E-4</v>
      </c>
      <c r="F1347" s="9"/>
      <c r="G1347" s="9">
        <v>1344.0</v>
      </c>
      <c r="H1347" s="10">
        <f t="shared" si="44"/>
        <v>0.007077918075392326</v>
      </c>
      <c r="K1347" s="7"/>
    </row>
    <row r="1348" spans="8:8">
      <c r="B1348" s="7" t="s">
        <v>9404</v>
      </c>
      <c r="C1348" s="8">
        <v>1526.6</v>
      </c>
      <c r="D1348" s="8">
        <f t="shared" si="45" ref="D1348:D1411">(C1348-C1349)/C1349</f>
        <v>0.0271143107044338</v>
      </c>
      <c r="E1348" s="8">
        <v>6.637441343541896E-4</v>
      </c>
      <c r="F1348" s="9"/>
      <c r="G1348" s="9">
        <v>1345.0</v>
      </c>
      <c r="H1348" s="10">
        <f t="shared" si="44"/>
        <v>0.021890374193113928</v>
      </c>
      <c r="K1348" s="7"/>
    </row>
    <row r="1349" spans="8:8">
      <c r="B1349" s="7" t="s">
        <v>9405</v>
      </c>
      <c r="C1349" s="8">
        <v>1486.3</v>
      </c>
      <c r="D1349" s="8">
        <f t="shared" si="45"/>
        <v>0.023481614102740606</v>
      </c>
      <c r="E1349" s="8">
        <v>6.631592908616649E-4</v>
      </c>
      <c r="F1349" s="9"/>
      <c r="G1349" s="9">
        <v>1346.0</v>
      </c>
      <c r="H1349" s="10">
        <f t="shared" si="46" ref="H1349:H1412">_xlfn.NORM.INV(RAND(),N$6,N$7)</f>
        <v>0.013247270462955207</v>
      </c>
      <c r="K1349" s="7"/>
    </row>
    <row r="1350" spans="8:8">
      <c r="B1350" s="7" t="s">
        <v>9406</v>
      </c>
      <c r="C1350" s="8">
        <v>1452.2</v>
      </c>
      <c r="D1350" s="8">
        <f t="shared" si="45"/>
        <v>-0.03751325556733822</v>
      </c>
      <c r="E1350" s="8">
        <v>6.555077898716702E-4</v>
      </c>
      <c r="F1350" s="9"/>
      <c r="G1350" s="9">
        <v>1347.0</v>
      </c>
      <c r="H1350" s="10">
        <f t="shared" si="46"/>
        <v>0.004006145745406853</v>
      </c>
      <c r="K1350" s="7"/>
    </row>
    <row r="1351" spans="8:8">
      <c r="B1351" s="7" t="s">
        <v>9407</v>
      </c>
      <c r="C1351" s="8">
        <v>1508.8</v>
      </c>
      <c r="D1351" s="8">
        <f t="shared" si="45"/>
        <v>-0.010363373999737607</v>
      </c>
      <c r="E1351" s="8">
        <v>6.418051614646977E-4</v>
      </c>
      <c r="F1351" s="9"/>
      <c r="G1351" s="9">
        <v>1348.0</v>
      </c>
      <c r="H1351" s="10">
        <f t="shared" si="46"/>
        <v>-0.003390635280158211</v>
      </c>
      <c r="K1351" s="7"/>
    </row>
    <row r="1352" spans="8:8">
      <c r="B1352" s="7" t="s">
        <v>9408</v>
      </c>
      <c r="C1352" s="8">
        <v>1524.6</v>
      </c>
      <c r="D1352" s="8">
        <f t="shared" si="45"/>
        <v>-0.015338909161365325</v>
      </c>
      <c r="E1352" s="8">
        <v>6.301197227474102E-4</v>
      </c>
      <c r="F1352" s="9"/>
      <c r="G1352" s="9">
        <v>1349.0</v>
      </c>
      <c r="H1352" s="10">
        <f t="shared" si="46"/>
        <v>0.013239179457160917</v>
      </c>
      <c r="K1352" s="7"/>
    </row>
    <row r="1353" spans="8:8">
      <c r="B1353" s="7" t="s">
        <v>9409</v>
      </c>
      <c r="C1353" s="8">
        <v>1548.35</v>
      </c>
      <c r="D1353" s="8">
        <f t="shared" si="45"/>
        <v>-7.099293297622618E-4</v>
      </c>
      <c r="E1353" s="8">
        <v>6.224888234962008E-4</v>
      </c>
      <c r="F1353" s="9"/>
      <c r="G1353" s="9">
        <v>1350.0</v>
      </c>
      <c r="H1353" s="10">
        <f t="shared" si="46"/>
        <v>-0.010362574262980522</v>
      </c>
      <c r="K1353" s="7"/>
    </row>
    <row r="1354" spans="8:8">
      <c r="B1354" s="7" t="s">
        <v>9410</v>
      </c>
      <c r="C1354" s="8">
        <v>1549.45</v>
      </c>
      <c r="D1354" s="8">
        <f t="shared" si="45"/>
        <v>0.007674048060351805</v>
      </c>
      <c r="E1354" s="8">
        <v>6.176000964057865E-4</v>
      </c>
      <c r="F1354" s="9"/>
      <c r="G1354" s="9">
        <v>1351.0</v>
      </c>
      <c r="H1354" s="10">
        <f t="shared" si="46"/>
        <v>-0.02118085294596399</v>
      </c>
      <c r="K1354" s="7"/>
    </row>
    <row r="1355" spans="8:8">
      <c r="B1355" s="7" t="s">
        <v>9411</v>
      </c>
      <c r="C1355" s="8">
        <v>1537.65</v>
      </c>
      <c r="D1355" s="8">
        <f t="shared" si="45"/>
        <v>0.010714168337332096</v>
      </c>
      <c r="E1355" s="8">
        <v>6.145170618854171E-4</v>
      </c>
      <c r="F1355" s="9"/>
      <c r="G1355" s="9">
        <v>1352.0</v>
      </c>
      <c r="H1355" s="10">
        <f t="shared" si="46"/>
        <v>-0.009121456102820863</v>
      </c>
      <c r="K1355" s="7"/>
    </row>
    <row r="1356" spans="8:8">
      <c r="B1356" s="7">
        <v>44532.0</v>
      </c>
      <c r="C1356" s="8">
        <v>1521.35</v>
      </c>
      <c r="D1356" s="8">
        <f t="shared" si="45"/>
        <v>-0.005978438418817439</v>
      </c>
      <c r="E1356" s="8">
        <v>6.030721203305609E-4</v>
      </c>
      <c r="F1356" s="9"/>
      <c r="G1356" s="9">
        <v>1353.0</v>
      </c>
      <c r="H1356" s="10">
        <f t="shared" si="46"/>
        <v>0.006854534492491324</v>
      </c>
      <c r="K1356" s="7"/>
    </row>
    <row r="1357" spans="8:8">
      <c r="B1357" s="7">
        <v>44502.0</v>
      </c>
      <c r="C1357" s="8">
        <v>1530.5</v>
      </c>
      <c r="D1357" s="8">
        <f t="shared" si="45"/>
        <v>-0.014392890491676536</v>
      </c>
      <c r="E1357" s="8">
        <v>5.911604131169012E-4</v>
      </c>
      <c r="F1357" s="9"/>
      <c r="G1357" s="9">
        <v>1354.0</v>
      </c>
      <c r="H1357" s="10">
        <f t="shared" si="46"/>
        <v>-0.002381214785090819</v>
      </c>
      <c r="K1357" s="7"/>
    </row>
    <row r="1358" spans="8:8">
      <c r="B1358" s="7">
        <v>44471.0</v>
      </c>
      <c r="C1358" s="8">
        <v>1552.85</v>
      </c>
      <c r="D1358" s="8">
        <f t="shared" si="45"/>
        <v>-0.008682051773117646</v>
      </c>
      <c r="E1358" s="8">
        <v>5.875706214690088E-4</v>
      </c>
      <c r="F1358" s="9"/>
      <c r="G1358" s="9">
        <v>1355.0</v>
      </c>
      <c r="H1358" s="10">
        <f t="shared" si="46"/>
        <v>-0.026475115435563502</v>
      </c>
      <c r="K1358" s="7"/>
    </row>
    <row r="1359" spans="8:8">
      <c r="B1359" s="7">
        <v>44441.0</v>
      </c>
      <c r="C1359" s="8">
        <v>1566.45</v>
      </c>
      <c r="D1359" s="8">
        <f t="shared" si="45"/>
        <v>0.009440649568243389</v>
      </c>
      <c r="E1359" s="8">
        <v>5.847752055313793E-4</v>
      </c>
      <c r="F1359" s="9"/>
      <c r="G1359" s="9">
        <v>1356.0</v>
      </c>
      <c r="H1359" s="10">
        <f t="shared" si="46"/>
        <v>-0.017753896847798274</v>
      </c>
      <c r="K1359" s="7"/>
    </row>
    <row r="1360" spans="8:8">
      <c r="B1360" s="7">
        <v>44410.0</v>
      </c>
      <c r="C1360" s="8">
        <v>1551.8</v>
      </c>
      <c r="D1360" s="8">
        <f t="shared" si="45"/>
        <v>0.023277283217936005</v>
      </c>
      <c r="E1360" s="8">
        <v>5.595489174879383E-4</v>
      </c>
      <c r="F1360" s="9"/>
      <c r="G1360" s="9">
        <v>1357.0</v>
      </c>
      <c r="H1360" s="10">
        <f t="shared" si="46"/>
        <v>0.0044344935817625525</v>
      </c>
      <c r="K1360" s="7"/>
    </row>
    <row r="1361" spans="8:8">
      <c r="B1361" s="7">
        <v>44318.0</v>
      </c>
      <c r="C1361" s="8">
        <v>1516.5</v>
      </c>
      <c r="D1361" s="8">
        <f t="shared" si="45"/>
        <v>-0.008693946921166136</v>
      </c>
      <c r="E1361" s="8">
        <v>5.520081160111921E-4</v>
      </c>
      <c r="F1361" s="9"/>
      <c r="G1361" s="9">
        <v>1358.0</v>
      </c>
      <c r="H1361" s="10">
        <f t="shared" si="46"/>
        <v>0.012615158987107793</v>
      </c>
      <c r="K1361" s="7"/>
    </row>
    <row r="1362" spans="8:8">
      <c r="B1362" s="7">
        <v>44288.0</v>
      </c>
      <c r="C1362" s="8">
        <v>1529.8</v>
      </c>
      <c r="D1362" s="8">
        <f t="shared" si="45"/>
        <v>8.177684733898139E-4</v>
      </c>
      <c r="E1362" s="8">
        <v>5.433142167220592E-4</v>
      </c>
      <c r="F1362" s="9"/>
      <c r="G1362" s="9">
        <v>1359.0</v>
      </c>
      <c r="H1362" s="10">
        <f t="shared" si="46"/>
        <v>-0.010831975667747691</v>
      </c>
      <c r="K1362" s="7"/>
    </row>
    <row r="1363" spans="8:8">
      <c r="B1363" s="7">
        <v>44257.0</v>
      </c>
      <c r="C1363" s="8">
        <v>1528.55</v>
      </c>
      <c r="D1363" s="8">
        <f t="shared" si="45"/>
        <v>0.005492698329167155</v>
      </c>
      <c r="E1363" s="8">
        <v>5.365526492286242E-4</v>
      </c>
      <c r="F1363" s="9"/>
      <c r="G1363" s="9">
        <v>1360.0</v>
      </c>
      <c r="H1363" s="10">
        <f t="shared" si="46"/>
        <v>-0.014099160174743712</v>
      </c>
      <c r="K1363" s="7"/>
    </row>
    <row r="1364" spans="8:8">
      <c r="B1364" s="7">
        <v>44229.0</v>
      </c>
      <c r="C1364" s="8">
        <v>1520.2</v>
      </c>
      <c r="D1364" s="8">
        <f t="shared" si="45"/>
        <v>0.04924595368740735</v>
      </c>
      <c r="E1364" s="8">
        <v>5.274570708551198E-4</v>
      </c>
      <c r="F1364" s="9"/>
      <c r="G1364" s="9">
        <v>1361.0</v>
      </c>
      <c r="H1364" s="10">
        <f t="shared" si="46"/>
        <v>-4.0667097062512415E-4</v>
      </c>
      <c r="K1364" s="7"/>
    </row>
    <row r="1365" spans="8:8">
      <c r="B1365" s="7">
        <v>44198.0</v>
      </c>
      <c r="C1365" s="8">
        <v>1448.85</v>
      </c>
      <c r="D1365" s="8">
        <f t="shared" si="45"/>
        <v>0.08552483704203181</v>
      </c>
      <c r="E1365" s="8">
        <v>5.232696424324399E-4</v>
      </c>
      <c r="F1365" s="9"/>
      <c r="G1365" s="9">
        <v>1362.0</v>
      </c>
      <c r="H1365" s="10">
        <f t="shared" si="46"/>
        <v>-0.001463087763520686</v>
      </c>
      <c r="K1365" s="7"/>
    </row>
    <row r="1366" spans="8:8">
      <c r="B1366" s="7" t="s">
        <v>9412</v>
      </c>
      <c r="C1366" s="8">
        <v>1334.7</v>
      </c>
      <c r="D1366" s="8">
        <f t="shared" si="45"/>
        <v>-0.007916155647229245</v>
      </c>
      <c r="E1366" s="8">
        <v>5.149949358831305E-4</v>
      </c>
      <c r="F1366" s="9"/>
      <c r="G1366" s="9">
        <v>1363.0</v>
      </c>
      <c r="H1366" s="10">
        <f t="shared" si="46"/>
        <v>0.0070053393140384525</v>
      </c>
      <c r="K1366" s="7"/>
    </row>
    <row r="1367" spans="8:8">
      <c r="B1367" s="7" t="s">
        <v>9413</v>
      </c>
      <c r="C1367" s="8">
        <v>1345.35</v>
      </c>
      <c r="D1367" s="8">
        <f t="shared" si="45"/>
        <v>-0.010662940765525611</v>
      </c>
      <c r="E1367" s="8">
        <v>5.091728256004802E-4</v>
      </c>
      <c r="F1367" s="9"/>
      <c r="G1367" s="9">
        <v>1364.0</v>
      </c>
      <c r="H1367" s="10">
        <f t="shared" si="46"/>
        <v>-0.007758840556346124</v>
      </c>
      <c r="K1367" s="7"/>
    </row>
    <row r="1368" spans="8:8">
      <c r="B1368" s="7" t="s">
        <v>9414</v>
      </c>
      <c r="C1368" s="8">
        <v>1359.85</v>
      </c>
      <c r="D1368" s="8">
        <f t="shared" si="45"/>
        <v>-0.0010651583045618493</v>
      </c>
      <c r="E1368" s="8">
        <v>5.086631696073467E-4</v>
      </c>
      <c r="F1368" s="9"/>
      <c r="G1368" s="9">
        <v>1365.0</v>
      </c>
      <c r="H1368" s="10">
        <f t="shared" si="46"/>
        <v>0.01360551324247529</v>
      </c>
      <c r="K1368" s="7"/>
    </row>
    <row r="1369" spans="8:8">
      <c r="B1369" s="7" t="s">
        <v>9415</v>
      </c>
      <c r="C1369" s="8">
        <v>1361.3</v>
      </c>
      <c r="D1369" s="8">
        <f t="shared" si="45"/>
        <v>-5.873283899860176E-4</v>
      </c>
      <c r="E1369" s="8">
        <v>4.6644510524178296E-4</v>
      </c>
      <c r="F1369" s="9"/>
      <c r="G1369" s="9">
        <v>1366.0</v>
      </c>
      <c r="H1369" s="10">
        <f t="shared" si="46"/>
        <v>-0.001457594575889609</v>
      </c>
      <c r="K1369" s="7"/>
    </row>
    <row r="1370" spans="8:8">
      <c r="B1370" s="7" t="s">
        <v>9416</v>
      </c>
      <c r="C1370" s="8">
        <v>1362.1</v>
      </c>
      <c r="D1370" s="8">
        <f t="shared" si="45"/>
        <v>-0.0067089622985488555</v>
      </c>
      <c r="E1370" s="8">
        <v>4.6544874245726714E-4</v>
      </c>
      <c r="F1370" s="9"/>
      <c r="G1370" s="9">
        <v>1367.0</v>
      </c>
      <c r="H1370" s="10">
        <f t="shared" si="46"/>
        <v>-0.02315814330167477</v>
      </c>
      <c r="K1370" s="7"/>
    </row>
    <row r="1371" spans="8:8">
      <c r="B1371" s="7" t="s">
        <v>9417</v>
      </c>
      <c r="C1371" s="8">
        <v>1371.3</v>
      </c>
      <c r="D1371" s="8">
        <f t="shared" si="45"/>
        <v>-0.00820887426319035</v>
      </c>
      <c r="E1371" s="8">
        <v>4.5656888483047286E-4</v>
      </c>
      <c r="F1371" s="9"/>
      <c r="G1371" s="9">
        <v>1368.0</v>
      </c>
      <c r="H1371" s="10">
        <f t="shared" si="46"/>
        <v>-5.479768725230377E-5</v>
      </c>
      <c r="K1371" s="7"/>
    </row>
    <row r="1372" spans="8:8">
      <c r="B1372" s="7" t="s">
        <v>9418</v>
      </c>
      <c r="C1372" s="8">
        <v>1382.65</v>
      </c>
      <c r="D1372" s="8">
        <f t="shared" si="45"/>
        <v>0.009344088768843437</v>
      </c>
      <c r="E1372" s="8">
        <v>4.3813824946924E-4</v>
      </c>
      <c r="F1372" s="9"/>
      <c r="G1372" s="9">
        <v>1369.0</v>
      </c>
      <c r="H1372" s="10">
        <f t="shared" si="46"/>
        <v>0.01388611824022241</v>
      </c>
      <c r="K1372" s="7"/>
    </row>
    <row r="1373" spans="8:8">
      <c r="B1373" s="7" t="s">
        <v>9419</v>
      </c>
      <c r="C1373" s="8">
        <v>1369.85</v>
      </c>
      <c r="D1373" s="8">
        <f t="shared" si="45"/>
        <v>0.025298454399161674</v>
      </c>
      <c r="E1373" s="8">
        <v>4.1083335966871884E-4</v>
      </c>
      <c r="F1373" s="9"/>
      <c r="G1373" s="9">
        <v>1370.0</v>
      </c>
      <c r="H1373" s="10">
        <f t="shared" si="46"/>
        <v>-0.012354019612286219</v>
      </c>
      <c r="K1373" s="7"/>
    </row>
    <row r="1374" spans="8:8">
      <c r="B1374" s="7" t="s">
        <v>9420</v>
      </c>
      <c r="C1374" s="8">
        <v>1336.05</v>
      </c>
      <c r="D1374" s="8">
        <f t="shared" si="45"/>
        <v>-0.013366318354687542</v>
      </c>
      <c r="E1374" s="8">
        <v>4.0318028609673105E-4</v>
      </c>
      <c r="F1374" s="9"/>
      <c r="G1374" s="9">
        <v>1371.0</v>
      </c>
      <c r="H1374" s="10">
        <f t="shared" si="46"/>
        <v>-0.008600733023022836</v>
      </c>
      <c r="K1374" s="7"/>
    </row>
    <row r="1375" spans="8:8">
      <c r="B1375" s="7" t="s">
        <v>9421</v>
      </c>
      <c r="C1375" s="8">
        <v>1354.15</v>
      </c>
      <c r="D1375" s="8">
        <f t="shared" si="45"/>
        <v>-0.016308295801249324</v>
      </c>
      <c r="E1375" s="8">
        <v>3.937007874016004E-4</v>
      </c>
      <c r="F1375" s="9"/>
      <c r="G1375" s="9">
        <v>1372.0</v>
      </c>
      <c r="H1375" s="10">
        <f t="shared" si="46"/>
        <v>-0.002816293241391439</v>
      </c>
      <c r="K1375" s="7"/>
    </row>
    <row r="1376" spans="8:8">
      <c r="B1376" s="7" t="s">
        <v>9422</v>
      </c>
      <c r="C1376" s="8">
        <v>1376.6</v>
      </c>
      <c r="D1376" s="8">
        <f t="shared" si="45"/>
        <v>0.017818853974121928</v>
      </c>
      <c r="E1376" s="8">
        <v>3.9368356589829446E-4</v>
      </c>
      <c r="F1376" s="9"/>
      <c r="G1376" s="9">
        <v>1373.0</v>
      </c>
      <c r="H1376" s="10">
        <f t="shared" si="46"/>
        <v>0.0016219228605366823</v>
      </c>
      <c r="K1376" s="7"/>
    </row>
    <row r="1377" spans="8:8">
      <c r="B1377" s="7" t="s">
        <v>9423</v>
      </c>
      <c r="C1377" s="8">
        <v>1352.5</v>
      </c>
      <c r="D1377" s="8">
        <f t="shared" si="45"/>
        <v>0.0020002963401985815</v>
      </c>
      <c r="E1377" s="8">
        <v>3.8740384083226414E-4</v>
      </c>
      <c r="F1377" s="9"/>
      <c r="G1377" s="9">
        <v>1374.0</v>
      </c>
      <c r="H1377" s="10">
        <f t="shared" si="46"/>
        <v>-0.0016659111722382393</v>
      </c>
      <c r="K1377" s="7"/>
    </row>
    <row r="1378" spans="8:8">
      <c r="B1378" s="7">
        <v>44531.0</v>
      </c>
      <c r="C1378" s="8">
        <v>1349.8</v>
      </c>
      <c r="D1378" s="8">
        <f t="shared" si="45"/>
        <v>-1.4814814814818184E-4</v>
      </c>
      <c r="E1378" s="8">
        <v>3.8481272447403095E-4</v>
      </c>
      <c r="F1378" s="9"/>
      <c r="G1378" s="9">
        <v>1375.0</v>
      </c>
      <c r="H1378" s="10">
        <f t="shared" si="46"/>
        <v>-0.015542125753909706</v>
      </c>
      <c r="K1378" s="7"/>
    </row>
    <row r="1379" spans="8:8">
      <c r="B1379" s="7">
        <v>44501.0</v>
      </c>
      <c r="C1379" s="8">
        <v>1350.0</v>
      </c>
      <c r="D1379" s="8">
        <f t="shared" si="45"/>
        <v>-0.017038007863696</v>
      </c>
      <c r="E1379" s="8">
        <v>3.7010992264702614E-4</v>
      </c>
      <c r="F1379" s="9"/>
      <c r="G1379" s="9">
        <v>1376.0</v>
      </c>
      <c r="H1379" s="10">
        <f t="shared" si="46"/>
        <v>-0.0035553374107867384</v>
      </c>
      <c r="K1379" s="7"/>
    </row>
    <row r="1380" spans="8:8">
      <c r="B1380" s="7">
        <v>44409.0</v>
      </c>
      <c r="C1380" s="8">
        <v>1373.4</v>
      </c>
      <c r="D1380" s="8">
        <f t="shared" si="45"/>
        <v>0.025729116098435374</v>
      </c>
      <c r="E1380" s="8">
        <v>3.635608185311198E-4</v>
      </c>
      <c r="F1380" s="9"/>
      <c r="G1380" s="9">
        <v>1377.0</v>
      </c>
      <c r="H1380" s="10">
        <f t="shared" si="46"/>
        <v>-0.004559152535349103</v>
      </c>
      <c r="K1380" s="7"/>
    </row>
    <row r="1381" spans="8:8">
      <c r="B1381" s="7">
        <v>44378.0</v>
      </c>
      <c r="C1381" s="8">
        <v>1338.95</v>
      </c>
      <c r="D1381" s="8">
        <f t="shared" si="45"/>
        <v>0.01898782343987827</v>
      </c>
      <c r="E1381" s="8">
        <v>3.614022406938923E-4</v>
      </c>
      <c r="F1381" s="9"/>
      <c r="G1381" s="9">
        <v>1378.0</v>
      </c>
      <c r="H1381" s="10">
        <f t="shared" si="46"/>
        <v>0.015048729162764136</v>
      </c>
      <c r="K1381" s="7"/>
    </row>
    <row r="1382" spans="8:8">
      <c r="B1382" s="7">
        <v>44348.0</v>
      </c>
      <c r="C1382" s="8">
        <v>1314.0</v>
      </c>
      <c r="D1382" s="8">
        <f t="shared" si="45"/>
        <v>0.005894511214881762</v>
      </c>
      <c r="E1382" s="8">
        <v>3.4802279549318393E-4</v>
      </c>
      <c r="F1382" s="9"/>
      <c r="G1382" s="9">
        <v>1379.0</v>
      </c>
      <c r="H1382" s="10">
        <f t="shared" si="46"/>
        <v>-0.009212559831029924</v>
      </c>
      <c r="K1382" s="7"/>
    </row>
    <row r="1383" spans="8:8">
      <c r="B1383" s="7">
        <v>44317.0</v>
      </c>
      <c r="C1383" s="8">
        <v>1306.3</v>
      </c>
      <c r="D1383" s="8">
        <f t="shared" si="45"/>
        <v>-0.006313707591662829</v>
      </c>
      <c r="E1383" s="8">
        <v>3.436622945185343E-4</v>
      </c>
      <c r="F1383" s="9"/>
      <c r="G1383" s="9">
        <v>1380.0</v>
      </c>
      <c r="H1383" s="10">
        <f t="shared" si="46"/>
        <v>0.003918695384003081</v>
      </c>
      <c r="K1383" s="7"/>
    </row>
    <row r="1384" spans="8:8">
      <c r="B1384" s="7">
        <v>44287.0</v>
      </c>
      <c r="C1384" s="8">
        <v>1314.6</v>
      </c>
      <c r="D1384" s="8">
        <f t="shared" si="45"/>
        <v>0.013569776407093222</v>
      </c>
      <c r="E1384" s="8">
        <v>3.433329041672812E-4</v>
      </c>
      <c r="F1384" s="9"/>
      <c r="G1384" s="9">
        <v>1381.0</v>
      </c>
      <c r="H1384" s="10">
        <f t="shared" si="46"/>
        <v>0.022986554193052764</v>
      </c>
      <c r="K1384" s="7"/>
    </row>
    <row r="1385" spans="8:8">
      <c r="B1385" s="7">
        <v>44197.0</v>
      </c>
      <c r="C1385" s="8">
        <v>1297.0</v>
      </c>
      <c r="D1385" s="8">
        <f t="shared" si="45"/>
        <v>0.007300403852128061</v>
      </c>
      <c r="E1385" s="8">
        <v>3.3648790746590196E-4</v>
      </c>
      <c r="F1385" s="9"/>
      <c r="G1385" s="9">
        <v>1382.0</v>
      </c>
      <c r="H1385" s="10">
        <f t="shared" si="46"/>
        <v>0.011651031301275205</v>
      </c>
      <c r="K1385" s="7"/>
    </row>
    <row r="1386" spans="8:8">
      <c r="B1386" s="7" t="s">
        <v>9424</v>
      </c>
      <c r="C1386" s="8">
        <v>1287.6</v>
      </c>
      <c r="D1386" s="8">
        <f t="shared" si="45"/>
        <v>-0.003444139158701324</v>
      </c>
      <c r="E1386" s="8">
        <v>3.2507528059123257E-4</v>
      </c>
      <c r="F1386" s="9"/>
      <c r="G1386" s="9">
        <v>1383.0</v>
      </c>
      <c r="H1386" s="10">
        <f t="shared" si="46"/>
        <v>0.03394385854717858</v>
      </c>
      <c r="K1386" s="7"/>
    </row>
    <row r="1387" spans="8:8">
      <c r="B1387" s="7" t="s">
        <v>9425</v>
      </c>
      <c r="C1387" s="8">
        <v>1292.05</v>
      </c>
      <c r="D1387" s="8">
        <f t="shared" si="45"/>
        <v>0.005603766976689922</v>
      </c>
      <c r="E1387" s="8">
        <v>3.2062843172625625E-4</v>
      </c>
      <c r="F1387" s="9"/>
      <c r="G1387" s="9">
        <v>1384.0</v>
      </c>
      <c r="H1387" s="10">
        <f t="shared" si="46"/>
        <v>-7.183592935687327E-5</v>
      </c>
      <c r="K1387" s="7"/>
    </row>
    <row r="1388" spans="8:8">
      <c r="B1388" s="7" t="s">
        <v>9426</v>
      </c>
      <c r="C1388" s="8">
        <v>1284.85</v>
      </c>
      <c r="D1388" s="8">
        <f t="shared" si="45"/>
        <v>-0.003528773072747155</v>
      </c>
      <c r="E1388" s="8">
        <v>3.0759766225774143E-4</v>
      </c>
      <c r="F1388" s="9"/>
      <c r="G1388" s="9">
        <v>1385.0</v>
      </c>
      <c r="H1388" s="10">
        <f t="shared" si="46"/>
        <v>-0.002363931859091349</v>
      </c>
      <c r="K1388" s="7"/>
    </row>
    <row r="1389" spans="8:8">
      <c r="B1389" s="7" t="s">
        <v>9427</v>
      </c>
      <c r="C1389" s="8">
        <v>1289.4</v>
      </c>
      <c r="D1389" s="8">
        <f t="shared" si="45"/>
        <v>0.02154967517033754</v>
      </c>
      <c r="E1389" s="8">
        <v>3.062935259221927E-4</v>
      </c>
      <c r="F1389" s="9"/>
      <c r="G1389" s="9">
        <v>1386.0</v>
      </c>
      <c r="H1389" s="10">
        <f t="shared" si="46"/>
        <v>0.01027110975425452</v>
      </c>
      <c r="K1389" s="7"/>
    </row>
    <row r="1390" spans="8:8">
      <c r="B1390" s="7" t="s">
        <v>9428</v>
      </c>
      <c r="C1390" s="8">
        <v>1262.2</v>
      </c>
      <c r="D1390" s="8">
        <f t="shared" si="45"/>
        <v>-0.002055660974066974</v>
      </c>
      <c r="E1390" s="8">
        <v>3.013863773358619E-4</v>
      </c>
      <c r="F1390" s="9"/>
      <c r="G1390" s="9">
        <v>1387.0</v>
      </c>
      <c r="H1390" s="10">
        <f t="shared" si="46"/>
        <v>0.014998982617134202</v>
      </c>
      <c r="K1390" s="7"/>
    </row>
    <row r="1391" spans="8:8">
      <c r="B1391" s="7" t="s">
        <v>9429</v>
      </c>
      <c r="C1391" s="8">
        <v>1264.8</v>
      </c>
      <c r="D1391" s="8">
        <f t="shared" si="45"/>
        <v>0.00166310287479204</v>
      </c>
      <c r="E1391" s="8">
        <v>2.9794841236052526E-4</v>
      </c>
      <c r="F1391" s="9"/>
      <c r="G1391" s="9">
        <v>1388.0</v>
      </c>
      <c r="H1391" s="10">
        <f t="shared" si="46"/>
        <v>0.0022421910018112848</v>
      </c>
      <c r="K1391" s="7"/>
    </row>
    <row r="1392" spans="8:8">
      <c r="B1392" s="7" t="s">
        <v>9430</v>
      </c>
      <c r="C1392" s="8">
        <v>1262.7</v>
      </c>
      <c r="D1392" s="8">
        <f t="shared" si="45"/>
        <v>0.02255334656031108</v>
      </c>
      <c r="E1392" s="8">
        <v>2.7597082594118594E-4</v>
      </c>
      <c r="F1392" s="9"/>
      <c r="G1392" s="9">
        <v>1389.0</v>
      </c>
      <c r="H1392" s="10">
        <f t="shared" si="46"/>
        <v>0.016887965632853767</v>
      </c>
      <c r="K1392" s="7"/>
    </row>
    <row r="1393" spans="8:8">
      <c r="B1393" s="7" t="s">
        <v>9431</v>
      </c>
      <c r="C1393" s="8">
        <v>1234.85</v>
      </c>
      <c r="D1393" s="8">
        <f t="shared" si="45"/>
        <v>-0.03644024813702161</v>
      </c>
      <c r="E1393" s="8">
        <v>2.7590435315759995E-4</v>
      </c>
      <c r="F1393" s="9"/>
      <c r="G1393" s="9">
        <v>1390.0</v>
      </c>
      <c r="H1393" s="10">
        <f t="shared" si="46"/>
        <v>-0.011158688386686634</v>
      </c>
      <c r="K1393" s="7"/>
    </row>
    <row r="1394" spans="8:8">
      <c r="B1394" s="7" t="s">
        <v>9432</v>
      </c>
      <c r="C1394" s="8">
        <v>1281.55</v>
      </c>
      <c r="D1394" s="8">
        <f t="shared" si="45"/>
        <v>0.0021504535502033157</v>
      </c>
      <c r="E1394" s="8">
        <v>2.591680704936759E-4</v>
      </c>
      <c r="F1394" s="9"/>
      <c r="G1394" s="9">
        <v>1391.0</v>
      </c>
      <c r="H1394" s="10">
        <f t="shared" si="46"/>
        <v>0.002848899206806099</v>
      </c>
      <c r="K1394" s="7"/>
    </row>
    <row r="1395" spans="8:8">
      <c r="B1395" s="7" t="s">
        <v>9433</v>
      </c>
      <c r="C1395" s="8">
        <v>1278.8</v>
      </c>
      <c r="D1395" s="8">
        <f t="shared" si="45"/>
        <v>0.008318549181943587</v>
      </c>
      <c r="E1395" s="8">
        <v>2.4379201058747537E-4</v>
      </c>
      <c r="F1395" s="9"/>
      <c r="G1395" s="9">
        <v>1392.0</v>
      </c>
      <c r="H1395" s="10">
        <f t="shared" si="46"/>
        <v>-1.0148330760217364E-4</v>
      </c>
      <c r="K1395" s="7"/>
    </row>
    <row r="1396" spans="8:8">
      <c r="B1396" s="7" t="s">
        <v>9434</v>
      </c>
      <c r="C1396" s="8">
        <v>1268.25</v>
      </c>
      <c r="D1396" s="8">
        <f t="shared" si="45"/>
        <v>0.01765295887662989</v>
      </c>
      <c r="E1396" s="8">
        <v>2.4213075060529018E-4</v>
      </c>
      <c r="F1396" s="9"/>
      <c r="G1396" s="9">
        <v>1393.0</v>
      </c>
      <c r="H1396" s="10">
        <f t="shared" si="46"/>
        <v>0.0029751293684879393</v>
      </c>
      <c r="K1396" s="7"/>
    </row>
    <row r="1397" spans="8:8">
      <c r="B1397" s="7" t="s">
        <v>9435</v>
      </c>
      <c r="C1397" s="8">
        <v>1246.25</v>
      </c>
      <c r="D1397" s="8">
        <f t="shared" si="45"/>
        <v>-0.0027207618133077986</v>
      </c>
      <c r="E1397" s="8">
        <v>2.3844059848586606E-4</v>
      </c>
      <c r="F1397" s="9"/>
      <c r="G1397" s="9">
        <v>1394.0</v>
      </c>
      <c r="H1397" s="10">
        <f t="shared" si="46"/>
        <v>0.022127776225720146</v>
      </c>
      <c r="K1397" s="7"/>
    </row>
    <row r="1398" spans="8:8">
      <c r="B1398" s="7" t="s">
        <v>9436</v>
      </c>
      <c r="C1398" s="8">
        <v>1249.65</v>
      </c>
      <c r="D1398" s="8">
        <f t="shared" si="45"/>
        <v>0.0463451394122081</v>
      </c>
      <c r="E1398" s="8">
        <v>2.364811603343701E-4</v>
      </c>
      <c r="F1398" s="9"/>
      <c r="G1398" s="9">
        <v>1395.0</v>
      </c>
      <c r="H1398" s="10">
        <f t="shared" si="46"/>
        <v>0.004367983278580071</v>
      </c>
      <c r="K1398" s="7"/>
    </row>
    <row r="1399" spans="8:8">
      <c r="B1399" s="7">
        <v>44147.0</v>
      </c>
      <c r="C1399" s="8">
        <v>1194.3</v>
      </c>
      <c r="D1399" s="8">
        <f t="shared" si="45"/>
        <v>0.0033183517452850387</v>
      </c>
      <c r="E1399" s="8">
        <v>2.23177753641517E-4</v>
      </c>
      <c r="F1399" s="9"/>
      <c r="G1399" s="9">
        <v>1396.0</v>
      </c>
      <c r="H1399" s="10">
        <f t="shared" si="46"/>
        <v>0.024685652074080307</v>
      </c>
      <c r="K1399" s="7"/>
    </row>
    <row r="1400" spans="8:8">
      <c r="B1400" s="7">
        <v>44116.0</v>
      </c>
      <c r="C1400" s="8">
        <v>1190.35</v>
      </c>
      <c r="D1400" s="8">
        <f t="shared" si="45"/>
        <v>0.007917019475021091</v>
      </c>
      <c r="E1400" s="8">
        <v>2.1683238856358395E-4</v>
      </c>
      <c r="F1400" s="9"/>
      <c r="G1400" s="9">
        <v>1397.0</v>
      </c>
      <c r="H1400" s="10">
        <f t="shared" si="46"/>
        <v>2.855636795773093E-4</v>
      </c>
      <c r="K1400" s="7"/>
    </row>
    <row r="1401" spans="8:8">
      <c r="B1401" s="7">
        <v>44086.0</v>
      </c>
      <c r="C1401" s="8">
        <v>1181.0</v>
      </c>
      <c r="D1401" s="8">
        <f t="shared" si="45"/>
        <v>0.0081953218371179</v>
      </c>
      <c r="E1401" s="8">
        <v>2.127659574468085E-4</v>
      </c>
      <c r="F1401" s="9"/>
      <c r="G1401" s="9">
        <v>1398.0</v>
      </c>
      <c r="H1401" s="10">
        <f t="shared" si="46"/>
        <v>0.013078327736154301</v>
      </c>
      <c r="K1401" s="7"/>
    </row>
    <row r="1402" spans="8:8">
      <c r="B1402" s="7">
        <v>44055.0</v>
      </c>
      <c r="C1402" s="8">
        <v>1171.4</v>
      </c>
      <c r="D1402" s="8">
        <f t="shared" si="45"/>
        <v>0.0014533641104557112</v>
      </c>
      <c r="E1402" s="8">
        <v>1.8104790527573598E-4</v>
      </c>
      <c r="F1402" s="9"/>
      <c r="G1402" s="9">
        <v>1399.0</v>
      </c>
      <c r="H1402" s="10">
        <f t="shared" si="46"/>
        <v>-0.0048155333674704285</v>
      </c>
      <c r="K1402" s="7"/>
    </row>
    <row r="1403" spans="8:8">
      <c r="B1403" s="7">
        <v>44024.0</v>
      </c>
      <c r="C1403" s="8">
        <v>1169.7</v>
      </c>
      <c r="D1403" s="8">
        <f t="shared" si="45"/>
        <v>0.017572857764245362</v>
      </c>
      <c r="E1403" s="8">
        <v>1.796041524480046E-4</v>
      </c>
      <c r="F1403" s="9"/>
      <c r="G1403" s="9">
        <v>1400.0</v>
      </c>
      <c r="H1403" s="10">
        <f t="shared" si="46"/>
        <v>0.0021312367977545095</v>
      </c>
      <c r="K1403" s="7"/>
    </row>
    <row r="1404" spans="8:8">
      <c r="B1404" s="7">
        <v>43933.0</v>
      </c>
      <c r="C1404" s="8">
        <v>1149.5</v>
      </c>
      <c r="D1404" s="8">
        <f t="shared" si="45"/>
        <v>0.021641558903257262</v>
      </c>
      <c r="E1404" s="8">
        <v>1.728488954955578E-4</v>
      </c>
      <c r="F1404" s="9"/>
      <c r="G1404" s="9">
        <v>1401.0</v>
      </c>
      <c r="H1404" s="10">
        <f t="shared" si="46"/>
        <v>0.01172774261901829</v>
      </c>
      <c r="K1404" s="7"/>
    </row>
    <row r="1405" spans="8:8">
      <c r="B1405" s="7">
        <v>43902.0</v>
      </c>
      <c r="C1405" s="8">
        <v>1125.15</v>
      </c>
      <c r="D1405" s="8">
        <f t="shared" si="45"/>
        <v>0.010235690235690317</v>
      </c>
      <c r="E1405" s="8">
        <v>1.7027073046140787E-4</v>
      </c>
      <c r="F1405" s="9"/>
      <c r="G1405" s="9">
        <v>1402.0</v>
      </c>
      <c r="H1405" s="10">
        <f t="shared" si="46"/>
        <v>0.0066810947182004195</v>
      </c>
      <c r="K1405" s="7"/>
    </row>
    <row r="1406" spans="8:8">
      <c r="B1406" s="7">
        <v>43873.0</v>
      </c>
      <c r="C1406" s="8">
        <v>1113.75</v>
      </c>
      <c r="D1406" s="8">
        <f t="shared" si="45"/>
        <v>-0.001971414489896541</v>
      </c>
      <c r="E1406" s="8">
        <v>1.663201663201411E-4</v>
      </c>
      <c r="F1406" s="9"/>
      <c r="G1406" s="9">
        <v>1403.0</v>
      </c>
      <c r="H1406" s="10">
        <f t="shared" si="46"/>
        <v>0.0019214775203142357</v>
      </c>
      <c r="K1406" s="7"/>
    </row>
    <row r="1407" spans="8:8">
      <c r="B1407" s="7">
        <v>43842.0</v>
      </c>
      <c r="C1407" s="8">
        <v>1115.95</v>
      </c>
      <c r="D1407" s="8">
        <f t="shared" si="45"/>
        <v>-0.005746614397719213</v>
      </c>
      <c r="E1407" s="8">
        <v>1.6604400166041485E-4</v>
      </c>
      <c r="F1407" s="9"/>
      <c r="G1407" s="9">
        <v>1404.0</v>
      </c>
      <c r="H1407" s="10">
        <f t="shared" si="46"/>
        <v>-0.0022172669196457717</v>
      </c>
      <c r="K1407" s="7"/>
    </row>
    <row r="1408" spans="8:8">
      <c r="B1408" s="7" t="s">
        <v>9437</v>
      </c>
      <c r="C1408" s="8">
        <v>1122.4</v>
      </c>
      <c r="D1408" s="8">
        <f t="shared" si="45"/>
        <v>0.0031729007463021696</v>
      </c>
      <c r="E1408" s="8">
        <v>1.6110842597061314E-4</v>
      </c>
      <c r="F1408" s="9"/>
      <c r="G1408" s="9">
        <v>1405.0</v>
      </c>
      <c r="H1408" s="10">
        <f t="shared" si="46"/>
        <v>-0.013561007538519333</v>
      </c>
      <c r="K1408" s="7"/>
    </row>
    <row r="1409" spans="8:8">
      <c r="B1409" s="7" t="s">
        <v>9438</v>
      </c>
      <c r="C1409" s="8">
        <v>1118.85</v>
      </c>
      <c r="D1409" s="8">
        <f t="shared" si="45"/>
        <v>0.0025537634408601337</v>
      </c>
      <c r="E1409" s="8">
        <v>1.589712791889896E-4</v>
      </c>
      <c r="F1409" s="9"/>
      <c r="G1409" s="9">
        <v>1406.0</v>
      </c>
      <c r="H1409" s="10">
        <f t="shared" si="46"/>
        <v>-0.0077787391447350805</v>
      </c>
      <c r="K1409" s="7"/>
    </row>
    <row r="1410" spans="8:8">
      <c r="B1410" s="7" t="s">
        <v>9439</v>
      </c>
      <c r="C1410" s="8">
        <v>1116.0</v>
      </c>
      <c r="D1410" s="8">
        <f t="shared" si="45"/>
        <v>-0.017173051519154558</v>
      </c>
      <c r="E1410" s="8">
        <v>1.1192776927945645E-4</v>
      </c>
      <c r="F1410" s="9"/>
      <c r="G1410" s="9">
        <v>1407.0</v>
      </c>
      <c r="H1410" s="10">
        <f t="shared" si="46"/>
        <v>7.025440556513731E-4</v>
      </c>
      <c r="K1410" s="7"/>
    </row>
    <row r="1411" spans="8:8">
      <c r="B1411" s="7" t="s">
        <v>9440</v>
      </c>
      <c r="C1411" s="8">
        <v>1135.5</v>
      </c>
      <c r="D1411" s="8">
        <f t="shared" si="45"/>
        <v>0.008571301683172796</v>
      </c>
      <c r="E1411" s="8">
        <v>1.0676536531539455E-4</v>
      </c>
      <c r="F1411" s="9"/>
      <c r="G1411" s="9">
        <v>1408.0</v>
      </c>
      <c r="H1411" s="10">
        <f t="shared" si="46"/>
        <v>-0.0035340300671294475</v>
      </c>
      <c r="K1411" s="7"/>
    </row>
    <row r="1412" spans="8:8">
      <c r="B1412" s="7" t="s">
        <v>9441</v>
      </c>
      <c r="C1412" s="8">
        <v>1125.85</v>
      </c>
      <c r="D1412" s="8">
        <f t="shared" si="47" ref="D1412:D1475">(C1412-C1413)/C1413</f>
        <v>-0.005696370219906426</v>
      </c>
      <c r="E1412" s="8">
        <v>1.0129146619399618E-4</v>
      </c>
      <c r="F1412" s="9"/>
      <c r="G1412" s="9">
        <v>1409.0</v>
      </c>
      <c r="H1412" s="10">
        <f t="shared" si="46"/>
        <v>-0.005072675861236091</v>
      </c>
      <c r="K1412" s="7"/>
    </row>
    <row r="1413" spans="8:8">
      <c r="B1413" s="7" t="s">
        <v>9442</v>
      </c>
      <c r="C1413" s="8">
        <v>1132.3</v>
      </c>
      <c r="D1413" s="8">
        <f t="shared" si="47"/>
        <v>-0.0017191977077364298</v>
      </c>
      <c r="E1413" s="8">
        <v>8.069071249910145E-5</v>
      </c>
      <c r="F1413" s="9"/>
      <c r="G1413" s="9">
        <v>1410.0</v>
      </c>
      <c r="H1413" s="10">
        <f t="shared" si="48" ref="H1413:H1476">_xlfn.NORM.INV(RAND(),N$6,N$7)</f>
        <v>0.01165441821916553</v>
      </c>
      <c r="K1413" s="7"/>
    </row>
    <row r="1414" spans="8:8">
      <c r="B1414" s="7" t="s">
        <v>9443</v>
      </c>
      <c r="C1414" s="8">
        <v>1134.25</v>
      </c>
      <c r="D1414" s="8">
        <f t="shared" si="47"/>
        <v>-0.01210643208639994</v>
      </c>
      <c r="E1414" s="8">
        <v>7.03148346723409E-5</v>
      </c>
      <c r="F1414" s="9"/>
      <c r="G1414" s="9">
        <v>1411.0</v>
      </c>
      <c r="H1414" s="10">
        <f t="shared" si="48"/>
        <v>0.0107573048785311</v>
      </c>
      <c r="K1414" s="7"/>
    </row>
    <row r="1415" spans="8:8">
      <c r="B1415" s="7" t="s">
        <v>9444</v>
      </c>
      <c r="C1415" s="8">
        <v>1148.15</v>
      </c>
      <c r="D1415" s="8">
        <f t="shared" si="47"/>
        <v>0.06221667129244148</v>
      </c>
      <c r="E1415" s="8">
        <v>6.71400036927918E-5</v>
      </c>
      <c r="F1415" s="9"/>
      <c r="G1415" s="9">
        <v>1412.0</v>
      </c>
      <c r="H1415" s="10">
        <f t="shared" si="48"/>
        <v>0.007908516020288076</v>
      </c>
      <c r="K1415" s="7"/>
    </row>
    <row r="1416" spans="8:8">
      <c r="B1416" s="7" t="s">
        <v>9445</v>
      </c>
      <c r="C1416" s="8">
        <v>1080.9</v>
      </c>
      <c r="D1416" s="8">
        <f t="shared" si="47"/>
        <v>0.02796005706134103</v>
      </c>
      <c r="E1416" s="8">
        <v>6.094402291503576E-5</v>
      </c>
      <c r="F1416" s="9"/>
      <c r="G1416" s="9">
        <v>1413.0</v>
      </c>
      <c r="H1416" s="10">
        <f t="shared" si="48"/>
        <v>0.034245960755932</v>
      </c>
      <c r="K1416" s="7"/>
    </row>
    <row r="1417" spans="8:8">
      <c r="B1417" s="7" t="s">
        <v>9446</v>
      </c>
      <c r="C1417" s="8">
        <v>1051.5</v>
      </c>
      <c r="D1417" s="8">
        <f t="shared" si="47"/>
        <v>-0.020219903093552035</v>
      </c>
      <c r="E1417" s="8">
        <v>5.1325041487617386E-5</v>
      </c>
      <c r="F1417" s="9"/>
      <c r="G1417" s="9">
        <v>1414.0</v>
      </c>
      <c r="H1417" s="10">
        <f t="shared" si="48"/>
        <v>-0.00387837606884319</v>
      </c>
      <c r="K1417" s="7"/>
    </row>
    <row r="1418" spans="8:8">
      <c r="B1418" s="7">
        <v>44176.0</v>
      </c>
      <c r="C1418" s="8">
        <v>1073.2</v>
      </c>
      <c r="D1418" s="8">
        <f t="shared" si="47"/>
        <v>0.012978432205389589</v>
      </c>
      <c r="E1418" s="8">
        <v>4.5500045500004116E-5</v>
      </c>
      <c r="F1418" s="9"/>
      <c r="G1418" s="9">
        <v>1415.0</v>
      </c>
      <c r="H1418" s="10">
        <f t="shared" si="48"/>
        <v>0.02691840265177425</v>
      </c>
      <c r="K1418" s="7"/>
    </row>
    <row r="1419" spans="8:8">
      <c r="B1419" s="7">
        <v>44146.0</v>
      </c>
      <c r="C1419" s="8">
        <v>1059.45</v>
      </c>
      <c r="D1419" s="8">
        <f t="shared" si="47"/>
        <v>0.02491051562348844</v>
      </c>
      <c r="E1419" s="8">
        <v>3.508710373499028E-5</v>
      </c>
      <c r="F1419" s="9"/>
      <c r="G1419" s="9">
        <v>1416.0</v>
      </c>
      <c r="H1419" s="10">
        <f t="shared" si="48"/>
        <v>-0.01224912778761</v>
      </c>
      <c r="K1419" s="7"/>
    </row>
    <row r="1420" spans="8:8">
      <c r="B1420" s="7">
        <v>44115.0</v>
      </c>
      <c r="C1420" s="8">
        <v>1033.7</v>
      </c>
      <c r="D1420" s="8">
        <f t="shared" si="47"/>
        <v>0.07024900346844751</v>
      </c>
      <c r="E1420" s="8">
        <v>1.913216499568652E-5</v>
      </c>
      <c r="F1420" s="9"/>
      <c r="G1420" s="9">
        <v>1417.0</v>
      </c>
      <c r="H1420" s="10">
        <f t="shared" si="48"/>
        <v>3.331333490081182E-4</v>
      </c>
      <c r="K1420" s="7"/>
    </row>
    <row r="1421" spans="8:8">
      <c r="B1421" s="7">
        <v>44085.0</v>
      </c>
      <c r="C1421" s="8">
        <v>965.85</v>
      </c>
      <c r="D1421" s="8">
        <f t="shared" si="47"/>
        <v>0.005308352849336479</v>
      </c>
      <c r="E1421" s="8">
        <v>1.7500875043815854E-5</v>
      </c>
      <c r="F1421" s="9"/>
      <c r="G1421" s="9">
        <v>1418.0</v>
      </c>
      <c r="H1421" s="10">
        <f t="shared" si="48"/>
        <v>-0.009675590949678754</v>
      </c>
      <c r="K1421" s="7"/>
    </row>
    <row r="1422" spans="8:8">
      <c r="B1422" s="7">
        <v>43993.0</v>
      </c>
      <c r="C1422" s="8">
        <v>960.75</v>
      </c>
      <c r="D1422" s="8">
        <f t="shared" si="47"/>
        <v>0.002765890825592294</v>
      </c>
      <c r="E1422" s="8">
        <v>0.0</v>
      </c>
      <c r="F1422" s="9"/>
      <c r="G1422" s="9">
        <v>1419.0</v>
      </c>
      <c r="H1422" s="10">
        <f t="shared" si="48"/>
        <v>-7.620098334917592E-4</v>
      </c>
      <c r="K1422" s="7"/>
    </row>
    <row r="1423" spans="8:8">
      <c r="B1423" s="7">
        <v>43962.0</v>
      </c>
      <c r="C1423" s="8">
        <v>958.1</v>
      </c>
      <c r="D1423" s="8">
        <f t="shared" si="47"/>
        <v>0.019417992232803105</v>
      </c>
      <c r="E1423" s="8">
        <v>0.0</v>
      </c>
      <c r="F1423" s="9"/>
      <c r="G1423" s="9">
        <v>1420.0</v>
      </c>
      <c r="H1423" s="10">
        <f t="shared" si="48"/>
        <v>0.01085195055717289</v>
      </c>
      <c r="K1423" s="7"/>
    </row>
    <row r="1424" spans="8:8">
      <c r="B1424" s="7">
        <v>43932.0</v>
      </c>
      <c r="C1424" s="8">
        <v>939.85</v>
      </c>
      <c r="D1424" s="8">
        <f t="shared" si="47"/>
        <v>0.010863135251411695</v>
      </c>
      <c r="E1424" s="8">
        <v>0.0</v>
      </c>
      <c r="F1424" s="9"/>
      <c r="G1424" s="9">
        <v>1421.0</v>
      </c>
      <c r="H1424" s="10">
        <f t="shared" si="48"/>
        <v>-0.0020996026355810287</v>
      </c>
      <c r="K1424" s="7"/>
    </row>
    <row r="1425" spans="8:8">
      <c r="B1425" s="7">
        <v>43901.0</v>
      </c>
      <c r="C1425" s="8">
        <v>929.75</v>
      </c>
      <c r="D1425" s="8">
        <f t="shared" si="47"/>
        <v>0.019854110678440215</v>
      </c>
      <c r="E1425" s="8">
        <v>0.0</v>
      </c>
      <c r="F1425" s="9"/>
      <c r="G1425" s="9">
        <v>1422.0</v>
      </c>
      <c r="H1425" s="10">
        <f t="shared" si="48"/>
        <v>0.0031394438894417724</v>
      </c>
      <c r="K1425" s="7"/>
    </row>
    <row r="1426" spans="8:8">
      <c r="B1426" s="7">
        <v>43872.0</v>
      </c>
      <c r="C1426" s="8">
        <v>911.65</v>
      </c>
      <c r="D1426" s="8">
        <f t="shared" si="47"/>
        <v>-2.1933432033782472E-4</v>
      </c>
      <c r="E1426" s="8">
        <v>0.0</v>
      </c>
      <c r="F1426" s="9"/>
      <c r="G1426" s="9">
        <v>1423.0</v>
      </c>
      <c r="H1426" s="10">
        <f t="shared" si="48"/>
        <v>0.0013454784896387217</v>
      </c>
      <c r="K1426" s="7"/>
    </row>
    <row r="1427" spans="8:8">
      <c r="B1427" s="7" t="s">
        <v>9447</v>
      </c>
      <c r="C1427" s="8">
        <v>911.85</v>
      </c>
      <c r="D1427" s="8">
        <f t="shared" si="47"/>
        <v>-0.005344968639214592</v>
      </c>
      <c r="E1427" s="8">
        <v>-2.9042750929341618E-5</v>
      </c>
      <c r="F1427" s="9"/>
      <c r="G1427" s="9">
        <v>1424.0</v>
      </c>
      <c r="H1427" s="10">
        <f t="shared" si="48"/>
        <v>-0.006388088401393005</v>
      </c>
      <c r="K1427" s="7"/>
    </row>
    <row r="1428" spans="8:8">
      <c r="B1428" s="7" t="s">
        <v>9448</v>
      </c>
      <c r="C1428" s="8">
        <v>916.75</v>
      </c>
      <c r="D1428" s="8">
        <f t="shared" si="47"/>
        <v>-0.04919205957393843</v>
      </c>
      <c r="E1428" s="8">
        <v>-3.139372439446499E-5</v>
      </c>
      <c r="F1428" s="9"/>
      <c r="G1428" s="9">
        <v>1425.0</v>
      </c>
      <c r="H1428" s="10">
        <f t="shared" si="48"/>
        <v>0.004557799024236752</v>
      </c>
      <c r="K1428" s="7"/>
    </row>
    <row r="1429" spans="8:8">
      <c r="B1429" s="7" t="s">
        <v>9449</v>
      </c>
      <c r="C1429" s="8">
        <v>964.18</v>
      </c>
      <c r="D1429" s="8">
        <f t="shared" si="47"/>
        <v>9.135264195992895E-4</v>
      </c>
      <c r="E1429" s="8">
        <v>-3.870568199408153E-5</v>
      </c>
      <c r="F1429" s="9"/>
      <c r="G1429" s="9">
        <v>1426.0</v>
      </c>
      <c r="H1429" s="10">
        <f t="shared" si="48"/>
        <v>-0.011960347518718887</v>
      </c>
      <c r="K1429" s="7"/>
    </row>
    <row r="1430" spans="8:8">
      <c r="B1430" s="7" t="s">
        <v>9450</v>
      </c>
      <c r="C1430" s="8">
        <v>963.3</v>
      </c>
      <c r="D1430" s="8">
        <f t="shared" si="47"/>
        <v>0.03173498131031306</v>
      </c>
      <c r="E1430" s="8">
        <v>-3.898483489918875E-5</v>
      </c>
      <c r="F1430" s="9"/>
      <c r="G1430" s="9">
        <v>1427.0</v>
      </c>
      <c r="H1430" s="10">
        <f t="shared" si="48"/>
        <v>0.007877185352961672</v>
      </c>
      <c r="K1430" s="7"/>
    </row>
    <row r="1431" spans="8:8">
      <c r="B1431" s="7" t="s">
        <v>9451</v>
      </c>
      <c r="C1431" s="8">
        <v>933.67</v>
      </c>
      <c r="D1431" s="8">
        <f t="shared" si="47"/>
        <v>0.01115479168697267</v>
      </c>
      <c r="E1431" s="8">
        <v>-4.196391103647044E-5</v>
      </c>
      <c r="F1431" s="9"/>
      <c r="G1431" s="9">
        <v>1428.0</v>
      </c>
      <c r="H1431" s="10">
        <f t="shared" si="48"/>
        <v>0.006003039853787169</v>
      </c>
      <c r="K1431" s="7"/>
    </row>
    <row r="1432" spans="8:8">
      <c r="B1432" s="7" t="s">
        <v>9452</v>
      </c>
      <c r="C1432" s="8">
        <v>923.37</v>
      </c>
      <c r="D1432" s="8">
        <f t="shared" si="47"/>
        <v>-0.013809676385773738</v>
      </c>
      <c r="E1432" s="8">
        <v>-4.255138079226801E-5</v>
      </c>
      <c r="F1432" s="9"/>
      <c r="G1432" s="9">
        <v>1429.0</v>
      </c>
      <c r="H1432" s="10">
        <f t="shared" si="48"/>
        <v>0.005774555375330871</v>
      </c>
      <c r="K1432" s="7"/>
    </row>
    <row r="1433" spans="8:8">
      <c r="B1433" s="7" t="s">
        <v>9453</v>
      </c>
      <c r="C1433" s="8">
        <v>936.3</v>
      </c>
      <c r="D1433" s="8">
        <f t="shared" si="47"/>
        <v>0.012818432581534868</v>
      </c>
      <c r="E1433" s="8">
        <v>-4.461497278489366E-5</v>
      </c>
      <c r="F1433" s="9"/>
      <c r="G1433" s="9">
        <v>1430.0</v>
      </c>
      <c r="H1433" s="10">
        <f t="shared" si="48"/>
        <v>0.013838244690052803</v>
      </c>
      <c r="K1433" s="7"/>
    </row>
    <row r="1434" spans="8:8">
      <c r="B1434" s="7" t="s">
        <v>9454</v>
      </c>
      <c r="C1434" s="8">
        <v>924.45</v>
      </c>
      <c r="D1434" s="8">
        <f t="shared" si="47"/>
        <v>0.007794614629892174</v>
      </c>
      <c r="E1434" s="8">
        <v>-4.615455622382997E-5</v>
      </c>
      <c r="F1434" s="9"/>
      <c r="G1434" s="9">
        <v>1431.0</v>
      </c>
      <c r="H1434" s="10">
        <f t="shared" si="48"/>
        <v>-0.008884488276843912</v>
      </c>
      <c r="K1434" s="7"/>
    </row>
    <row r="1435" spans="8:8">
      <c r="B1435" s="7" t="s">
        <v>9455</v>
      </c>
      <c r="C1435" s="8">
        <v>917.3</v>
      </c>
      <c r="D1435" s="8">
        <f t="shared" si="47"/>
        <v>0.015948610034333788</v>
      </c>
      <c r="E1435" s="8">
        <v>-4.856490699815893E-5</v>
      </c>
      <c r="F1435" s="9"/>
      <c r="G1435" s="9">
        <v>1432.0</v>
      </c>
      <c r="H1435" s="10">
        <f t="shared" si="48"/>
        <v>0.00760223095507652</v>
      </c>
      <c r="K1435" s="7"/>
    </row>
    <row r="1436" spans="8:8">
      <c r="B1436" s="7" t="s">
        <v>9456</v>
      </c>
      <c r="C1436" s="8">
        <v>902.9</v>
      </c>
      <c r="D1436" s="8">
        <f t="shared" si="47"/>
        <v>0.009842299519069404</v>
      </c>
      <c r="E1436" s="8">
        <v>-7.683678330490372E-5</v>
      </c>
      <c r="F1436" s="9"/>
      <c r="G1436" s="9">
        <v>1433.0</v>
      </c>
      <c r="H1436" s="10">
        <f t="shared" si="48"/>
        <v>0.007391105929507313</v>
      </c>
      <c r="K1436" s="7"/>
    </row>
    <row r="1437" spans="8:8">
      <c r="B1437" s="7" t="s">
        <v>9457</v>
      </c>
      <c r="C1437" s="8">
        <v>894.1</v>
      </c>
      <c r="D1437" s="8">
        <f t="shared" si="47"/>
        <v>0.00596309630963104</v>
      </c>
      <c r="E1437" s="8">
        <v>-8.319121500761953E-5</v>
      </c>
      <c r="F1437" s="9"/>
      <c r="G1437" s="9">
        <v>1434.0</v>
      </c>
      <c r="H1437" s="10">
        <f t="shared" si="48"/>
        <v>0.004223593944411627</v>
      </c>
      <c r="K1437" s="7"/>
    </row>
    <row r="1438" spans="8:8">
      <c r="B1438" s="7" t="s">
        <v>9458</v>
      </c>
      <c r="C1438" s="8">
        <v>888.8</v>
      </c>
      <c r="D1438" s="8">
        <f t="shared" si="47"/>
        <v>-0.028846153846153945</v>
      </c>
      <c r="E1438" s="8">
        <v>-8.907760143703763E-5</v>
      </c>
      <c r="F1438" s="9"/>
      <c r="G1438" s="9">
        <v>1435.0</v>
      </c>
      <c r="H1438" s="10">
        <f t="shared" si="48"/>
        <v>0.017749744970483365</v>
      </c>
      <c r="K1438" s="7"/>
    </row>
    <row r="1439" spans="8:8">
      <c r="B1439" s="7" t="s">
        <v>9459</v>
      </c>
      <c r="C1439" s="8">
        <v>915.2</v>
      </c>
      <c r="D1439" s="8">
        <f t="shared" si="47"/>
        <v>0.020915834681242678</v>
      </c>
      <c r="E1439" s="8">
        <v>-1.1513221015455623E-4</v>
      </c>
      <c r="F1439" s="9"/>
      <c r="G1439" s="9">
        <v>1436.0</v>
      </c>
      <c r="H1439" s="10">
        <f t="shared" si="48"/>
        <v>0.014429387717008222</v>
      </c>
      <c r="K1439" s="7"/>
    </row>
    <row r="1440" spans="8:8">
      <c r="B1440" s="7" t="s">
        <v>9460</v>
      </c>
      <c r="C1440" s="8">
        <v>896.45</v>
      </c>
      <c r="D1440" s="8">
        <f t="shared" si="47"/>
        <v>-0.010267733922163902</v>
      </c>
      <c r="E1440" s="8">
        <v>-1.2490632025988088E-4</v>
      </c>
      <c r="F1440" s="9"/>
      <c r="G1440" s="9">
        <v>1437.0</v>
      </c>
      <c r="H1440" s="10">
        <f t="shared" si="48"/>
        <v>0.017097730391250475</v>
      </c>
      <c r="K1440" s="7"/>
    </row>
    <row r="1441" spans="8:8">
      <c r="B1441" s="7">
        <v>44175.0</v>
      </c>
      <c r="C1441" s="8">
        <v>905.75</v>
      </c>
      <c r="D1441" s="8">
        <f t="shared" si="47"/>
        <v>-0.00297209532720573</v>
      </c>
      <c r="E1441" s="8">
        <v>-1.2759441987058827E-4</v>
      </c>
      <c r="F1441" s="9"/>
      <c r="G1441" s="9">
        <v>1438.0</v>
      </c>
      <c r="H1441" s="10">
        <f t="shared" si="48"/>
        <v>0.021791254644158414</v>
      </c>
      <c r="K1441" s="7"/>
    </row>
    <row r="1442" spans="8:8">
      <c r="B1442" s="7">
        <v>44084.0</v>
      </c>
      <c r="C1442" s="8">
        <v>908.45</v>
      </c>
      <c r="D1442" s="8">
        <f t="shared" si="47"/>
        <v>0.0310992565688668</v>
      </c>
      <c r="E1442" s="8">
        <v>-1.296512381694031E-4</v>
      </c>
      <c r="F1442" s="9"/>
      <c r="G1442" s="9">
        <v>1439.0</v>
      </c>
      <c r="H1442" s="10">
        <f t="shared" si="48"/>
        <v>-0.017900127263318154</v>
      </c>
      <c r="K1442" s="7"/>
    </row>
    <row r="1443" spans="8:8">
      <c r="B1443" s="7">
        <v>44053.0</v>
      </c>
      <c r="C1443" s="8">
        <v>881.05</v>
      </c>
      <c r="D1443" s="8">
        <f t="shared" si="47"/>
        <v>-0.007714832751435998</v>
      </c>
      <c r="E1443" s="8">
        <v>-1.347935973041587E-4</v>
      </c>
      <c r="F1443" s="9"/>
      <c r="G1443" s="9">
        <v>1440.0</v>
      </c>
      <c r="H1443" s="10">
        <f t="shared" si="48"/>
        <v>0.031649491387319255</v>
      </c>
      <c r="K1443" s="7"/>
    </row>
    <row r="1444" spans="8:8">
      <c r="B1444" s="7">
        <v>44022.0</v>
      </c>
      <c r="C1444" s="8">
        <v>887.9</v>
      </c>
      <c r="D1444" s="8">
        <f t="shared" si="47"/>
        <v>-0.005265516468743049</v>
      </c>
      <c r="E1444" s="8">
        <v>-1.4043711050648326E-4</v>
      </c>
      <c r="F1444" s="9"/>
      <c r="G1444" s="9">
        <v>1441.0</v>
      </c>
      <c r="H1444" s="10">
        <f t="shared" si="48"/>
        <v>-0.007664209002806275</v>
      </c>
      <c r="K1444" s="7"/>
    </row>
    <row r="1445" spans="8:8">
      <c r="B1445" s="7">
        <v>43992.0</v>
      </c>
      <c r="C1445" s="8">
        <v>892.6</v>
      </c>
      <c r="D1445" s="8">
        <f t="shared" si="47"/>
        <v>-0.0048497686604604745</v>
      </c>
      <c r="E1445" s="8">
        <v>-1.458576429405785E-4</v>
      </c>
      <c r="F1445" s="9"/>
      <c r="G1445" s="9">
        <v>1442.0</v>
      </c>
      <c r="H1445" s="10">
        <f t="shared" si="48"/>
        <v>-0.006100577323882156</v>
      </c>
      <c r="K1445" s="7"/>
    </row>
    <row r="1446" spans="8:8">
      <c r="B1446" s="7">
        <v>43961.0</v>
      </c>
      <c r="C1446" s="8">
        <v>896.95</v>
      </c>
      <c r="D1446" s="8">
        <f t="shared" si="47"/>
        <v>-0.0064798404962338385</v>
      </c>
      <c r="E1446" s="8">
        <v>-1.5055026120470319E-4</v>
      </c>
      <c r="F1446" s="9"/>
      <c r="G1446" s="9">
        <v>1443.0</v>
      </c>
      <c r="H1446" s="10">
        <f t="shared" si="48"/>
        <v>0.021547859740907834</v>
      </c>
      <c r="K1446" s="7"/>
    </row>
    <row r="1447" spans="8:8">
      <c r="B1447" s="7">
        <v>43840.0</v>
      </c>
      <c r="C1447" s="8">
        <v>902.8</v>
      </c>
      <c r="D1447" s="8">
        <f t="shared" si="47"/>
        <v>0.0013309671694764105</v>
      </c>
      <c r="E1447" s="8">
        <v>-1.5404929577460786E-4</v>
      </c>
      <c r="F1447" s="9"/>
      <c r="G1447" s="9">
        <v>1444.0</v>
      </c>
      <c r="H1447" s="10">
        <f t="shared" si="48"/>
        <v>0.001877937685254929</v>
      </c>
      <c r="K1447" s="7"/>
    </row>
    <row r="1448" spans="8:8">
      <c r="B1448" s="7" t="s">
        <v>9461</v>
      </c>
      <c r="C1448" s="8">
        <v>901.6</v>
      </c>
      <c r="D1448" s="8">
        <f t="shared" si="47"/>
        <v>0.006868055167792704</v>
      </c>
      <c r="E1448" s="8">
        <v>-1.6287971333174155E-4</v>
      </c>
      <c r="F1448" s="9"/>
      <c r="G1448" s="9">
        <v>1445.0</v>
      </c>
      <c r="H1448" s="10">
        <f t="shared" si="48"/>
        <v>-0.013487834261781923</v>
      </c>
      <c r="K1448" s="7"/>
    </row>
    <row r="1449" spans="8:8">
      <c r="B1449" s="7" t="s">
        <v>9462</v>
      </c>
      <c r="C1449" s="8">
        <v>895.45</v>
      </c>
      <c r="D1449" s="8">
        <f t="shared" si="47"/>
        <v>-0.00819626737553301</v>
      </c>
      <c r="E1449" s="8">
        <v>-1.9735219143159579E-4</v>
      </c>
      <c r="F1449" s="9"/>
      <c r="G1449" s="9">
        <v>1446.0</v>
      </c>
      <c r="H1449" s="10">
        <f t="shared" si="48"/>
        <v>0.015513662794205012</v>
      </c>
      <c r="K1449" s="7"/>
    </row>
    <row r="1450" spans="8:8">
      <c r="B1450" s="7" t="s">
        <v>9463</v>
      </c>
      <c r="C1450" s="8">
        <v>902.85</v>
      </c>
      <c r="D1450" s="8">
        <f t="shared" si="47"/>
        <v>0.015293786899072277</v>
      </c>
      <c r="E1450" s="8">
        <v>-2.4319911058620462E-4</v>
      </c>
      <c r="F1450" s="9"/>
      <c r="G1450" s="9">
        <v>1447.0</v>
      </c>
      <c r="H1450" s="10">
        <f t="shared" si="48"/>
        <v>-0.005747009164757236</v>
      </c>
      <c r="K1450" s="7"/>
    </row>
    <row r="1451" spans="8:8">
      <c r="B1451" s="7" t="s">
        <v>9464</v>
      </c>
      <c r="C1451" s="8">
        <v>889.25</v>
      </c>
      <c r="D1451" s="8">
        <f t="shared" si="47"/>
        <v>0.045315622428588165</v>
      </c>
      <c r="E1451" s="8">
        <v>-2.678188830167119E-4</v>
      </c>
      <c r="F1451" s="9"/>
      <c r="G1451" s="9">
        <v>1448.0</v>
      </c>
      <c r="H1451" s="10">
        <f t="shared" si="48"/>
        <v>0.005894893780057604</v>
      </c>
      <c r="K1451" s="7"/>
    </row>
    <row r="1452" spans="8:8">
      <c r="B1452" s="7" t="s">
        <v>9465</v>
      </c>
      <c r="C1452" s="8">
        <v>850.7</v>
      </c>
      <c r="D1452" s="8">
        <f t="shared" si="47"/>
        <v>-0.011503602138043198</v>
      </c>
      <c r="E1452" s="8">
        <v>-3.049963954971189E-4</v>
      </c>
      <c r="F1452" s="9"/>
      <c r="G1452" s="9">
        <v>1449.0</v>
      </c>
      <c r="H1452" s="10">
        <f t="shared" si="48"/>
        <v>0.0024602254018065654</v>
      </c>
      <c r="K1452" s="7"/>
    </row>
    <row r="1453" spans="8:8">
      <c r="B1453" s="7" t="s">
        <v>9466</v>
      </c>
      <c r="C1453" s="8">
        <v>860.6</v>
      </c>
      <c r="D1453" s="8">
        <f t="shared" si="47"/>
        <v>0.004786923525977843</v>
      </c>
      <c r="E1453" s="8">
        <v>-3.077159781522355E-4</v>
      </c>
      <c r="F1453" s="9"/>
      <c r="G1453" s="9">
        <v>1450.0</v>
      </c>
      <c r="H1453" s="10">
        <f t="shared" si="48"/>
        <v>0.01852041638453092</v>
      </c>
      <c r="K1453" s="7"/>
    </row>
    <row r="1454" spans="8:8">
      <c r="B1454" s="7" t="s">
        <v>9467</v>
      </c>
      <c r="C1454" s="8">
        <v>856.5</v>
      </c>
      <c r="D1454" s="8">
        <f t="shared" si="47"/>
        <v>-0.028746385439700654</v>
      </c>
      <c r="E1454" s="8">
        <v>-3.371903173139323E-4</v>
      </c>
      <c r="F1454" s="9"/>
      <c r="G1454" s="9">
        <v>1451.0</v>
      </c>
      <c r="H1454" s="10">
        <f t="shared" si="48"/>
        <v>-0.005083249252799494</v>
      </c>
      <c r="K1454" s="7"/>
    </row>
    <row r="1455" spans="8:8">
      <c r="B1455" s="7" t="s">
        <v>9468</v>
      </c>
      <c r="C1455" s="8">
        <v>881.85</v>
      </c>
      <c r="D1455" s="8">
        <f t="shared" si="47"/>
        <v>-0.02092816698123684</v>
      </c>
      <c r="E1455" s="8">
        <v>-3.388171516771791E-4</v>
      </c>
      <c r="F1455" s="9"/>
      <c r="G1455" s="9">
        <v>1452.0</v>
      </c>
      <c r="H1455" s="10">
        <f t="shared" si="48"/>
        <v>-0.020429579149614806</v>
      </c>
      <c r="K1455" s="7"/>
    </row>
    <row r="1456" spans="8:8">
      <c r="B1456" s="7" t="s">
        <v>9469</v>
      </c>
      <c r="C1456" s="8">
        <v>900.7</v>
      </c>
      <c r="D1456" s="8">
        <f t="shared" si="47"/>
        <v>-0.006178969436168939</v>
      </c>
      <c r="E1456" s="8">
        <v>-3.430924062212703E-4</v>
      </c>
      <c r="F1456" s="9"/>
      <c r="G1456" s="9">
        <v>1453.0</v>
      </c>
      <c r="H1456" s="10">
        <f t="shared" si="48"/>
        <v>2.2926871491266154E-4</v>
      </c>
      <c r="K1456" s="7"/>
    </row>
    <row r="1457" spans="8:8">
      <c r="B1457" s="7" t="s">
        <v>9470</v>
      </c>
      <c r="C1457" s="8">
        <v>906.3</v>
      </c>
      <c r="D1457" s="8">
        <f t="shared" si="47"/>
        <v>-0.016814927316120633</v>
      </c>
      <c r="E1457" s="8">
        <v>-3.4362293110355024E-4</v>
      </c>
      <c r="F1457" s="9"/>
      <c r="G1457" s="9">
        <v>1454.0</v>
      </c>
      <c r="H1457" s="10">
        <f t="shared" si="48"/>
        <v>0.003616540674602468</v>
      </c>
      <c r="K1457" s="7"/>
    </row>
    <row r="1458" spans="8:8">
      <c r="B1458" s="7" t="s">
        <v>9471</v>
      </c>
      <c r="C1458" s="8">
        <v>921.8</v>
      </c>
      <c r="D1458" s="8">
        <f t="shared" si="47"/>
        <v>0.013022693554590811</v>
      </c>
      <c r="E1458" s="8">
        <v>-3.4998250087486533E-4</v>
      </c>
      <c r="F1458" s="9"/>
      <c r="G1458" s="9">
        <v>1455.0</v>
      </c>
      <c r="H1458" s="10">
        <f t="shared" si="48"/>
        <v>0.0040597893585123295</v>
      </c>
      <c r="K1458" s="7"/>
    </row>
    <row r="1459" spans="8:8">
      <c r="B1459" s="7" t="s">
        <v>9472</v>
      </c>
      <c r="C1459" s="8">
        <v>909.95</v>
      </c>
      <c r="D1459" s="8">
        <f t="shared" si="47"/>
        <v>0.008701917747478131</v>
      </c>
      <c r="E1459" s="8">
        <v>-3.511698345110957E-4</v>
      </c>
      <c r="F1459" s="9"/>
      <c r="G1459" s="9">
        <v>1456.0</v>
      </c>
      <c r="H1459" s="10">
        <f t="shared" si="48"/>
        <v>0.030388989932901542</v>
      </c>
      <c r="K1459" s="7"/>
    </row>
    <row r="1460" spans="8:8">
      <c r="B1460" s="7" t="s">
        <v>9473</v>
      </c>
      <c r="C1460" s="8">
        <v>902.1</v>
      </c>
      <c r="D1460" s="8">
        <f t="shared" si="47"/>
        <v>-0.01667756703727922</v>
      </c>
      <c r="E1460" s="8">
        <v>-3.602604960510411E-4</v>
      </c>
      <c r="F1460" s="9"/>
      <c r="G1460" s="9">
        <v>1457.0</v>
      </c>
      <c r="H1460" s="10">
        <f t="shared" si="48"/>
        <v>-0.006329422167726704</v>
      </c>
      <c r="K1460" s="7"/>
    </row>
    <row r="1461" spans="8:8">
      <c r="B1461" s="7">
        <v>44144.0</v>
      </c>
      <c r="C1461" s="8">
        <v>917.4</v>
      </c>
      <c r="D1461" s="8">
        <f t="shared" si="47"/>
        <v>-0.0038547152396982117</v>
      </c>
      <c r="E1461" s="8">
        <v>-3.6109230422021155E-4</v>
      </c>
      <c r="F1461" s="9"/>
      <c r="G1461" s="9">
        <v>1458.0</v>
      </c>
      <c r="H1461" s="10">
        <f t="shared" si="48"/>
        <v>0.007432140021729579</v>
      </c>
      <c r="K1461" s="7"/>
    </row>
    <row r="1462" spans="8:8">
      <c r="B1462" s="7">
        <v>44113.0</v>
      </c>
      <c r="C1462" s="8">
        <v>920.95</v>
      </c>
      <c r="D1462" s="8">
        <f t="shared" si="47"/>
        <v>0.012589334799340346</v>
      </c>
      <c r="E1462" s="8">
        <v>-3.7324332219015644E-4</v>
      </c>
      <c r="F1462" s="9"/>
      <c r="G1462" s="9">
        <v>1459.0</v>
      </c>
      <c r="H1462" s="10">
        <f t="shared" si="48"/>
        <v>-0.006484175236042183</v>
      </c>
      <c r="K1462" s="7"/>
    </row>
    <row r="1463" spans="8:8">
      <c r="B1463" s="7">
        <v>44083.0</v>
      </c>
      <c r="C1463" s="8">
        <v>909.5</v>
      </c>
      <c r="D1463" s="8">
        <f t="shared" si="47"/>
        <v>-0.00785425984509659</v>
      </c>
      <c r="E1463" s="8">
        <v>-3.74195479718605E-4</v>
      </c>
      <c r="F1463" s="9"/>
      <c r="G1463" s="9">
        <v>1460.0</v>
      </c>
      <c r="H1463" s="10">
        <f t="shared" si="48"/>
        <v>-3.1805629337761966E-4</v>
      </c>
      <c r="K1463" s="7"/>
    </row>
    <row r="1464" spans="8:8">
      <c r="B1464" s="7">
        <v>44052.0</v>
      </c>
      <c r="C1464" s="8">
        <v>916.7</v>
      </c>
      <c r="D1464" s="8">
        <f t="shared" si="47"/>
        <v>-0.016574585635359042</v>
      </c>
      <c r="E1464" s="8">
        <v>-3.866477638869426E-4</v>
      </c>
      <c r="F1464" s="9"/>
      <c r="G1464" s="9">
        <v>1461.0</v>
      </c>
      <c r="H1464" s="10">
        <f t="shared" si="48"/>
        <v>-0.009709597966349522</v>
      </c>
      <c r="K1464" s="7"/>
    </row>
    <row r="1465" spans="8:8">
      <c r="B1465" s="7">
        <v>44021.0</v>
      </c>
      <c r="C1465" s="8">
        <v>932.15</v>
      </c>
      <c r="D1465" s="8">
        <f t="shared" si="47"/>
        <v>-0.01098143236074273</v>
      </c>
      <c r="E1465" s="8">
        <v>-3.900494062581654E-4</v>
      </c>
      <c r="F1465" s="9"/>
      <c r="G1465" s="9">
        <v>1462.0</v>
      </c>
      <c r="H1465" s="10">
        <f t="shared" si="48"/>
        <v>-0.031146072545553728</v>
      </c>
      <c r="K1465" s="7"/>
    </row>
    <row r="1466" spans="8:8">
      <c r="B1466" s="7">
        <v>43930.0</v>
      </c>
      <c r="C1466" s="8">
        <v>942.5</v>
      </c>
      <c r="D1466" s="8">
        <f t="shared" si="47"/>
        <v>-0.019403839151016986</v>
      </c>
      <c r="E1466" s="8">
        <v>-3.962090716029034E-4</v>
      </c>
      <c r="F1466" s="9"/>
      <c r="G1466" s="9">
        <v>1463.0</v>
      </c>
      <c r="H1466" s="10">
        <f t="shared" si="48"/>
        <v>-0.019071004270520903</v>
      </c>
      <c r="K1466" s="7"/>
    </row>
    <row r="1467" spans="8:8">
      <c r="B1467" s="7">
        <v>43899.0</v>
      </c>
      <c r="C1467" s="8">
        <v>961.15</v>
      </c>
      <c r="D1467" s="8">
        <f t="shared" si="47"/>
        <v>0.005860499188948797</v>
      </c>
      <c r="E1467" s="8">
        <v>-3.989361702127055E-4</v>
      </c>
      <c r="F1467" s="9"/>
      <c r="G1467" s="9">
        <v>1464.0</v>
      </c>
      <c r="H1467" s="10">
        <f t="shared" si="48"/>
        <v>0.015558117310216668</v>
      </c>
      <c r="K1467" s="7"/>
    </row>
    <row r="1468" spans="8:8">
      <c r="B1468" s="7">
        <v>43870.0</v>
      </c>
      <c r="C1468" s="8">
        <v>955.55</v>
      </c>
      <c r="D1468" s="8">
        <f t="shared" si="47"/>
        <v>3.664154103851644E-4</v>
      </c>
      <c r="E1468" s="8">
        <v>-4.425757911042266E-4</v>
      </c>
      <c r="F1468" s="9"/>
      <c r="G1468" s="9">
        <v>1465.0</v>
      </c>
      <c r="H1468" s="10">
        <f t="shared" si="48"/>
        <v>-0.004398869203462907</v>
      </c>
      <c r="K1468" s="7"/>
    </row>
    <row r="1469" spans="8:8">
      <c r="B1469" s="7">
        <v>43839.0</v>
      </c>
      <c r="C1469" s="8">
        <v>955.2</v>
      </c>
      <c r="D1469" s="8">
        <f t="shared" si="47"/>
        <v>0.010847134769035397</v>
      </c>
      <c r="E1469" s="8">
        <v>-4.5777065690086663E-4</v>
      </c>
      <c r="F1469" s="9"/>
      <c r="G1469" s="9">
        <v>1466.0</v>
      </c>
      <c r="H1469" s="10">
        <f t="shared" si="48"/>
        <v>0.0033486681257114967</v>
      </c>
      <c r="K1469" s="7"/>
    </row>
    <row r="1470" spans="8:8">
      <c r="B1470" s="7" t="s">
        <v>9474</v>
      </c>
      <c r="C1470" s="8">
        <v>944.95</v>
      </c>
      <c r="D1470" s="8">
        <f t="shared" si="47"/>
        <v>-0.03758211539440849</v>
      </c>
      <c r="E1470" s="8">
        <v>-4.582051449892292E-4</v>
      </c>
      <c r="F1470" s="9"/>
      <c r="G1470" s="9">
        <v>1467.0</v>
      </c>
      <c r="H1470" s="10">
        <f t="shared" si="48"/>
        <v>-0.008607934678177866</v>
      </c>
      <c r="K1470" s="7"/>
    </row>
    <row r="1471" spans="8:8">
      <c r="B1471" s="7" t="s">
        <v>9475</v>
      </c>
      <c r="C1471" s="8">
        <v>981.85</v>
      </c>
      <c r="D1471" s="8">
        <f t="shared" si="47"/>
        <v>0.006406314063140631</v>
      </c>
      <c r="E1471" s="8">
        <v>-5.049764615809761E-4</v>
      </c>
      <c r="F1471" s="9"/>
      <c r="G1471" s="9">
        <v>1468.0</v>
      </c>
      <c r="H1471" s="10">
        <f t="shared" si="48"/>
        <v>0.023617377400878804</v>
      </c>
      <c r="K1471" s="7"/>
    </row>
    <row r="1472" spans="8:8">
      <c r="B1472" s="7" t="s">
        <v>9476</v>
      </c>
      <c r="C1472" s="8">
        <v>975.6</v>
      </c>
      <c r="D1472" s="8">
        <f t="shared" si="47"/>
        <v>0.006863099231126453</v>
      </c>
      <c r="E1472" s="8">
        <v>-5.409447440854925E-4</v>
      </c>
      <c r="F1472" s="9"/>
      <c r="G1472" s="9">
        <v>1469.0</v>
      </c>
      <c r="H1472" s="10">
        <f t="shared" si="48"/>
        <v>-0.00674307107048347</v>
      </c>
      <c r="K1472" s="7"/>
    </row>
    <row r="1473" spans="8:8">
      <c r="B1473" s="7" t="s">
        <v>9477</v>
      </c>
      <c r="C1473" s="8">
        <v>968.95</v>
      </c>
      <c r="D1473" s="8">
        <f t="shared" si="47"/>
        <v>-0.01167890656874738</v>
      </c>
      <c r="E1473" s="8">
        <v>-5.493608112723979E-4</v>
      </c>
      <c r="F1473" s="9"/>
      <c r="G1473" s="9">
        <v>1470.0</v>
      </c>
      <c r="H1473" s="10">
        <f t="shared" si="48"/>
        <v>0.0323387274421627</v>
      </c>
      <c r="K1473" s="7"/>
    </row>
    <row r="1474" spans="8:8">
      <c r="B1474" s="7" t="s">
        <v>9478</v>
      </c>
      <c r="C1474" s="8">
        <v>980.4</v>
      </c>
      <c r="D1474" s="8">
        <f t="shared" si="47"/>
        <v>-0.011045543955212634</v>
      </c>
      <c r="E1474" s="8">
        <v>-5.526629628552579E-4</v>
      </c>
      <c r="F1474" s="9"/>
      <c r="G1474" s="9">
        <v>1471.0</v>
      </c>
      <c r="H1474" s="10">
        <f t="shared" si="48"/>
        <v>-0.005196963853311499</v>
      </c>
      <c r="K1474" s="7"/>
    </row>
    <row r="1475" spans="8:8">
      <c r="B1475" s="7" t="s">
        <v>9479</v>
      </c>
      <c r="C1475" s="8">
        <v>991.35</v>
      </c>
      <c r="D1475" s="8">
        <f t="shared" si="47"/>
        <v>-0.0028164763868631037</v>
      </c>
      <c r="E1475" s="8">
        <v>-5.560575519565959E-4</v>
      </c>
      <c r="F1475" s="9"/>
      <c r="G1475" s="9">
        <v>1472.0</v>
      </c>
      <c r="H1475" s="10">
        <f t="shared" si="48"/>
        <v>-0.020247436852940167</v>
      </c>
      <c r="K1475" s="7"/>
    </row>
    <row r="1476" spans="8:8">
      <c r="B1476" s="7" t="s">
        <v>9480</v>
      </c>
      <c r="C1476" s="8">
        <v>994.15</v>
      </c>
      <c r="D1476" s="8">
        <f t="shared" si="49" ref="D1476:D1539">(C1476-C1477)/C1477</f>
        <v>-0.0016068290233492571</v>
      </c>
      <c r="E1476" s="8">
        <v>-5.640572886010711E-4</v>
      </c>
      <c r="F1476" s="9"/>
      <c r="G1476" s="9">
        <v>1473.0</v>
      </c>
      <c r="H1476" s="10">
        <f t="shared" si="48"/>
        <v>-0.002896741847448649</v>
      </c>
      <c r="K1476" s="7"/>
    </row>
    <row r="1477" spans="8:8">
      <c r="B1477" s="7" t="s">
        <v>9481</v>
      </c>
      <c r="C1477" s="8">
        <v>995.75</v>
      </c>
      <c r="D1477" s="8">
        <f t="shared" si="49"/>
        <v>-0.013229610544049175</v>
      </c>
      <c r="E1477" s="8">
        <v>-5.683073911534057E-4</v>
      </c>
      <c r="F1477" s="9"/>
      <c r="G1477" s="9">
        <v>1474.0</v>
      </c>
      <c r="H1477" s="10">
        <f t="shared" si="50" ref="H1477:H1540">_xlfn.NORM.INV(RAND(),N$6,N$7)</f>
        <v>-0.011348303418851135</v>
      </c>
      <c r="K1477" s="7"/>
    </row>
    <row r="1478" spans="8:8">
      <c r="B1478" s="7" t="s">
        <v>9482</v>
      </c>
      <c r="C1478" s="8">
        <v>1009.1</v>
      </c>
      <c r="D1478" s="8">
        <f t="shared" si="49"/>
        <v>0.00452939126972283</v>
      </c>
      <c r="E1478" s="8">
        <v>-5.687232930615478E-4</v>
      </c>
      <c r="F1478" s="9"/>
      <c r="G1478" s="9">
        <v>1475.0</v>
      </c>
      <c r="H1478" s="10">
        <f t="shared" si="50"/>
        <v>0.008298019089657136</v>
      </c>
      <c r="K1478" s="7"/>
    </row>
    <row r="1479" spans="8:8">
      <c r="B1479" s="7" t="s">
        <v>9483</v>
      </c>
      <c r="C1479" s="8">
        <v>1004.55</v>
      </c>
      <c r="D1479" s="8">
        <f t="shared" si="49"/>
        <v>0.003747002398081535</v>
      </c>
      <c r="E1479" s="8">
        <v>-5.869760375664037E-4</v>
      </c>
      <c r="F1479" s="9"/>
      <c r="G1479" s="9">
        <v>1476.0</v>
      </c>
      <c r="H1479" s="10">
        <f t="shared" si="50"/>
        <v>-0.03312770833205199</v>
      </c>
      <c r="K1479" s="7"/>
    </row>
    <row r="1480" spans="8:8">
      <c r="B1480" s="7" t="s">
        <v>9484</v>
      </c>
      <c r="C1480" s="8">
        <v>1000.8</v>
      </c>
      <c r="D1480" s="8">
        <f t="shared" si="49"/>
        <v>0.018315018315018316</v>
      </c>
      <c r="E1480" s="8">
        <v>-6.061038220194926E-4</v>
      </c>
      <c r="F1480" s="9"/>
      <c r="G1480" s="9">
        <v>1477.0</v>
      </c>
      <c r="H1480" s="10">
        <f t="shared" si="50"/>
        <v>0.0016324347882606723</v>
      </c>
      <c r="K1480" s="7"/>
    </row>
    <row r="1481" spans="8:8">
      <c r="B1481" s="7" t="s">
        <v>9485</v>
      </c>
      <c r="C1481" s="8">
        <v>982.8</v>
      </c>
      <c r="D1481" s="8">
        <f t="shared" si="49"/>
        <v>-0.007974159685071253</v>
      </c>
      <c r="E1481" s="8">
        <v>-6.12021857923537E-4</v>
      </c>
      <c r="F1481" s="9"/>
      <c r="G1481" s="9">
        <v>1478.0</v>
      </c>
      <c r="H1481" s="10">
        <f t="shared" si="50"/>
        <v>-0.0017637808514003074</v>
      </c>
      <c r="K1481" s="7"/>
    </row>
    <row r="1482" spans="8:8">
      <c r="B1482" s="7" t="s">
        <v>9486</v>
      </c>
      <c r="C1482" s="8">
        <v>990.7</v>
      </c>
      <c r="D1482" s="8">
        <f t="shared" si="49"/>
        <v>0.04311660963411429</v>
      </c>
      <c r="E1482" s="8">
        <v>-6.15139672890367E-4</v>
      </c>
      <c r="F1482" s="9"/>
      <c r="G1482" s="9">
        <v>1479.0</v>
      </c>
      <c r="H1482" s="10">
        <f t="shared" si="50"/>
        <v>0.014441716763713214</v>
      </c>
      <c r="K1482" s="7"/>
    </row>
    <row r="1483" spans="8:8">
      <c r="B1483" s="7">
        <v>44173.0</v>
      </c>
      <c r="C1483" s="8">
        <v>949.75</v>
      </c>
      <c r="D1483" s="8">
        <f t="shared" si="49"/>
        <v>-0.012631250649755668</v>
      </c>
      <c r="E1483" s="8">
        <v>-6.563199752914131E-4</v>
      </c>
      <c r="F1483" s="9"/>
      <c r="G1483" s="9">
        <v>1480.0</v>
      </c>
      <c r="H1483" s="10">
        <f t="shared" si="50"/>
        <v>-0.0017294550659531695</v>
      </c>
      <c r="K1483" s="7"/>
    </row>
    <row r="1484" spans="8:8">
      <c r="B1484" s="7">
        <v>44143.0</v>
      </c>
      <c r="C1484" s="8">
        <v>961.9</v>
      </c>
      <c r="D1484" s="8">
        <f t="shared" si="49"/>
        <v>0.0019269829696370218</v>
      </c>
      <c r="E1484" s="8">
        <v>-6.684727157583967E-4</v>
      </c>
      <c r="F1484" s="9"/>
      <c r="G1484" s="9">
        <v>1481.0</v>
      </c>
      <c r="H1484" s="10">
        <f t="shared" si="50"/>
        <v>0.011118656719660308</v>
      </c>
      <c r="K1484" s="7"/>
    </row>
    <row r="1485" spans="8:8">
      <c r="B1485" s="7">
        <v>44112.0</v>
      </c>
      <c r="C1485" s="8">
        <v>960.05</v>
      </c>
      <c r="D1485" s="8">
        <f t="shared" si="49"/>
        <v>0.04849014361382622</v>
      </c>
      <c r="E1485" s="8">
        <v>-6.695681285570427E-4</v>
      </c>
      <c r="F1485" s="9"/>
      <c r="G1485" s="9">
        <v>1482.0</v>
      </c>
      <c r="H1485" s="10">
        <f t="shared" si="50"/>
        <v>-0.018326966650155672</v>
      </c>
      <c r="K1485" s="7"/>
    </row>
    <row r="1486" spans="8:8">
      <c r="B1486" s="7">
        <v>44020.0</v>
      </c>
      <c r="C1486" s="8">
        <v>915.65</v>
      </c>
      <c r="D1486" s="8">
        <f t="shared" si="49"/>
        <v>-0.007048744781217807</v>
      </c>
      <c r="E1486" s="8">
        <v>-6.698222738233455E-4</v>
      </c>
      <c r="F1486" s="9"/>
      <c r="G1486" s="9">
        <v>1483.0</v>
      </c>
      <c r="H1486" s="10">
        <f t="shared" si="50"/>
        <v>-0.0056563330491422896</v>
      </c>
      <c r="K1486" s="7"/>
    </row>
    <row r="1487" spans="8:8">
      <c r="B1487" s="7">
        <v>43990.0</v>
      </c>
      <c r="C1487" s="8">
        <v>922.15</v>
      </c>
      <c r="D1487" s="8">
        <f t="shared" si="49"/>
        <v>-0.0038887388603834976</v>
      </c>
      <c r="E1487" s="8">
        <v>-6.775067750677507E-4</v>
      </c>
      <c r="F1487" s="9"/>
      <c r="G1487" s="9">
        <v>1484.0</v>
      </c>
      <c r="H1487" s="10">
        <f t="shared" si="50"/>
        <v>0.0028558772991387057</v>
      </c>
      <c r="K1487" s="7"/>
    </row>
    <row r="1488" spans="8:8">
      <c r="B1488" s="7">
        <v>43959.0</v>
      </c>
      <c r="C1488" s="8">
        <v>925.75</v>
      </c>
      <c r="D1488" s="8">
        <f t="shared" si="49"/>
        <v>0.0016229375169055991</v>
      </c>
      <c r="E1488" s="8">
        <v>-6.786156241267088E-4</v>
      </c>
      <c r="F1488" s="9"/>
      <c r="G1488" s="9">
        <v>1485.0</v>
      </c>
      <c r="H1488" s="10">
        <f t="shared" si="50"/>
        <v>0.0057839817080778365</v>
      </c>
      <c r="K1488" s="7"/>
    </row>
    <row r="1489" spans="8:8">
      <c r="B1489" s="7">
        <v>43929.0</v>
      </c>
      <c r="C1489" s="8">
        <v>924.25</v>
      </c>
      <c r="D1489" s="8">
        <f t="shared" si="49"/>
        <v>0.009116715798668002</v>
      </c>
      <c r="E1489" s="8">
        <v>-6.832364149826154E-4</v>
      </c>
      <c r="F1489" s="9"/>
      <c r="G1489" s="9">
        <v>1486.0</v>
      </c>
      <c r="H1489" s="10">
        <f t="shared" si="50"/>
        <v>0.016513050245746678</v>
      </c>
      <c r="K1489" s="7"/>
    </row>
    <row r="1490" spans="8:8">
      <c r="B1490" s="7">
        <v>43898.0</v>
      </c>
      <c r="C1490" s="8">
        <v>915.9</v>
      </c>
      <c r="D1490" s="8">
        <f t="shared" si="49"/>
        <v>0.00268213914281015</v>
      </c>
      <c r="E1490" s="8">
        <v>-6.997900629810658E-4</v>
      </c>
      <c r="F1490" s="9"/>
      <c r="G1490" s="9">
        <v>1487.0</v>
      </c>
      <c r="H1490" s="10">
        <f t="shared" si="50"/>
        <v>0.012578340066456112</v>
      </c>
      <c r="K1490" s="7"/>
    </row>
    <row r="1491" spans="8:8">
      <c r="B1491" s="7" t="s">
        <v>9487</v>
      </c>
      <c r="C1491" s="8">
        <v>913.45</v>
      </c>
      <c r="D1491" s="8">
        <f t="shared" si="49"/>
        <v>0.005725295898706353</v>
      </c>
      <c r="E1491" s="8">
        <v>-7.082869574015297E-4</v>
      </c>
      <c r="F1491" s="9"/>
      <c r="G1491" s="9">
        <v>1488.0</v>
      </c>
      <c r="H1491" s="10">
        <f t="shared" si="50"/>
        <v>-0.004897429830833129</v>
      </c>
      <c r="K1491" s="7"/>
    </row>
    <row r="1492" spans="8:8">
      <c r="B1492" s="7" t="s">
        <v>9488</v>
      </c>
      <c r="C1492" s="8">
        <v>908.25</v>
      </c>
      <c r="D1492" s="8">
        <f t="shared" si="49"/>
        <v>-0.014859808015619118</v>
      </c>
      <c r="E1492" s="8">
        <v>-7.207640098504688E-4</v>
      </c>
      <c r="F1492" s="9"/>
      <c r="G1492" s="9">
        <v>1489.0</v>
      </c>
      <c r="H1492" s="10">
        <f t="shared" si="50"/>
        <v>-0.009813779954061987</v>
      </c>
      <c r="K1492" s="7"/>
    </row>
    <row r="1493" spans="8:8">
      <c r="B1493" s="7" t="s">
        <v>9489</v>
      </c>
      <c r="C1493" s="8">
        <v>921.95</v>
      </c>
      <c r="D1493" s="8">
        <f t="shared" si="49"/>
        <v>0.009250136836343783</v>
      </c>
      <c r="E1493" s="8">
        <v>-7.221520129986952E-4</v>
      </c>
      <c r="F1493" s="9"/>
      <c r="G1493" s="9">
        <v>1490.0</v>
      </c>
      <c r="H1493" s="10">
        <f t="shared" si="50"/>
        <v>0.006326679304789149</v>
      </c>
      <c r="K1493" s="7"/>
    </row>
    <row r="1494" spans="8:8">
      <c r="B1494" s="7" t="s">
        <v>9490</v>
      </c>
      <c r="C1494" s="8">
        <v>913.5</v>
      </c>
      <c r="D1494" s="8">
        <f t="shared" si="49"/>
        <v>0.010732462934277546</v>
      </c>
      <c r="E1494" s="8">
        <v>-7.221838840654138E-4</v>
      </c>
      <c r="F1494" s="9"/>
      <c r="G1494" s="9">
        <v>1491.0</v>
      </c>
      <c r="H1494" s="10">
        <f t="shared" si="50"/>
        <v>0.025154506261589105</v>
      </c>
      <c r="K1494" s="7"/>
    </row>
    <row r="1495" spans="8:8">
      <c r="B1495" s="7" t="s">
        <v>9491</v>
      </c>
      <c r="C1495" s="8">
        <v>903.8</v>
      </c>
      <c r="D1495" s="8">
        <f t="shared" si="49"/>
        <v>-6.634232640424843E-4</v>
      </c>
      <c r="E1495" s="8">
        <v>-7.288477957560234E-4</v>
      </c>
      <c r="F1495" s="9"/>
      <c r="G1495" s="9">
        <v>1492.0</v>
      </c>
      <c r="H1495" s="10">
        <f t="shared" si="50"/>
        <v>0.0015277292487382555</v>
      </c>
      <c r="K1495" s="7"/>
    </row>
    <row r="1496" spans="8:8">
      <c r="B1496" s="7" t="s">
        <v>9492</v>
      </c>
      <c r="C1496" s="8">
        <v>904.4</v>
      </c>
      <c r="D1496" s="8">
        <f t="shared" si="49"/>
        <v>-0.013256232611423249</v>
      </c>
      <c r="E1496" s="8">
        <v>-7.606812323036732E-4</v>
      </c>
      <c r="F1496" s="9"/>
      <c r="G1496" s="9">
        <v>1493.0</v>
      </c>
      <c r="H1496" s="10">
        <f t="shared" si="50"/>
        <v>0.025526112575125937</v>
      </c>
      <c r="K1496" s="7"/>
    </row>
    <row r="1497" spans="8:8">
      <c r="B1497" s="7" t="s">
        <v>9493</v>
      </c>
      <c r="C1497" s="8">
        <v>916.55</v>
      </c>
      <c r="D1497" s="8">
        <f t="shared" si="49"/>
        <v>-0.004723639917472063</v>
      </c>
      <c r="E1497" s="8">
        <v>-7.982230859999243E-4</v>
      </c>
      <c r="F1497" s="9"/>
      <c r="G1497" s="9">
        <v>1494.0</v>
      </c>
      <c r="H1497" s="10">
        <f t="shared" si="50"/>
        <v>0.008034135483584653</v>
      </c>
      <c r="K1497" s="7"/>
    </row>
    <row r="1498" spans="8:8">
      <c r="B1498" s="7" t="s">
        <v>9494</v>
      </c>
      <c r="C1498" s="8">
        <v>920.9</v>
      </c>
      <c r="D1498" s="8">
        <f t="shared" si="49"/>
        <v>-0.018282607536911657</v>
      </c>
      <c r="E1498" s="8">
        <v>-8.107592521937325E-4</v>
      </c>
      <c r="F1498" s="9"/>
      <c r="G1498" s="9">
        <v>1495.0</v>
      </c>
      <c r="H1498" s="10">
        <f t="shared" si="50"/>
        <v>-0.011279848543275892</v>
      </c>
      <c r="K1498" s="7"/>
    </row>
    <row r="1499" spans="8:8">
      <c r="B1499" s="7" t="s">
        <v>9495</v>
      </c>
      <c r="C1499" s="8">
        <v>938.05</v>
      </c>
      <c r="D1499" s="8">
        <f t="shared" si="49"/>
        <v>0.0200630709003914</v>
      </c>
      <c r="E1499" s="8">
        <v>-8.375451263538169E-4</v>
      </c>
      <c r="F1499" s="9"/>
      <c r="G1499" s="9">
        <v>1496.0</v>
      </c>
      <c r="H1499" s="10">
        <f t="shared" si="50"/>
        <v>0.0029772966816057956</v>
      </c>
      <c r="K1499" s="7"/>
    </row>
    <row r="1500" spans="8:8">
      <c r="B1500" s="7" t="s">
        <v>9496</v>
      </c>
      <c r="C1500" s="8">
        <v>919.6</v>
      </c>
      <c r="D1500" s="8">
        <f t="shared" si="49"/>
        <v>-0.006428610015666287</v>
      </c>
      <c r="E1500" s="8">
        <v>-8.631603176429969E-4</v>
      </c>
      <c r="F1500" s="9"/>
      <c r="G1500" s="9">
        <v>1497.0</v>
      </c>
      <c r="H1500" s="10">
        <f t="shared" si="50"/>
        <v>0.0029615729404038654</v>
      </c>
      <c r="K1500" s="7"/>
    </row>
    <row r="1501" spans="8:8">
      <c r="B1501" s="7" t="s">
        <v>9497</v>
      </c>
      <c r="C1501" s="8">
        <v>925.55</v>
      </c>
      <c r="D1501" s="8">
        <f t="shared" si="49"/>
        <v>0.0047766378982793</v>
      </c>
      <c r="E1501" s="8">
        <v>-9.080688402663276E-4</v>
      </c>
      <c r="F1501" s="9"/>
      <c r="G1501" s="9">
        <v>1498.0</v>
      </c>
      <c r="H1501" s="10">
        <f t="shared" si="50"/>
        <v>0.005758342894973746</v>
      </c>
      <c r="K1501" s="7"/>
    </row>
    <row r="1502" spans="8:8">
      <c r="B1502" s="7" t="s">
        <v>9498</v>
      </c>
      <c r="C1502" s="8">
        <v>921.15</v>
      </c>
      <c r="D1502" s="8">
        <f t="shared" si="49"/>
        <v>0.009811444858583568</v>
      </c>
      <c r="E1502" s="8">
        <v>-9.325251448744019E-4</v>
      </c>
      <c r="F1502" s="9"/>
      <c r="G1502" s="9">
        <v>1499.0</v>
      </c>
      <c r="H1502" s="10">
        <f t="shared" si="50"/>
        <v>0.011487831963176622</v>
      </c>
      <c r="K1502" s="7"/>
    </row>
    <row r="1503" spans="8:8">
      <c r="B1503" s="7" t="s">
        <v>9499</v>
      </c>
      <c r="C1503" s="8">
        <v>912.2</v>
      </c>
      <c r="D1503" s="8">
        <f t="shared" si="49"/>
        <v>-7.667871617920164E-4</v>
      </c>
      <c r="E1503" s="8">
        <v>-9.353755699943969E-4</v>
      </c>
      <c r="F1503" s="9"/>
      <c r="G1503" s="9">
        <v>1500.0</v>
      </c>
      <c r="H1503" s="10">
        <f t="shared" si="50"/>
        <v>-0.001366942376324073</v>
      </c>
      <c r="K1503" s="7"/>
    </row>
    <row r="1504" spans="8:8">
      <c r="B1504" s="7" t="s">
        <v>9500</v>
      </c>
      <c r="C1504" s="8">
        <v>912.9</v>
      </c>
      <c r="D1504" s="8">
        <f t="shared" si="49"/>
        <v>-0.016430533857673867</v>
      </c>
      <c r="E1504" s="8">
        <v>-9.563277016258536E-4</v>
      </c>
      <c r="F1504" s="9"/>
      <c r="G1504" s="9">
        <v>1501.0</v>
      </c>
      <c r="H1504" s="10">
        <f t="shared" si="50"/>
        <v>8.545871750886224E-4</v>
      </c>
      <c r="K1504" s="7"/>
    </row>
    <row r="1505" spans="8:8">
      <c r="B1505" s="7" t="s">
        <v>9501</v>
      </c>
      <c r="C1505" s="8">
        <v>928.15</v>
      </c>
      <c r="D1505" s="8">
        <f t="shared" si="49"/>
        <v>-0.004291154857050904</v>
      </c>
      <c r="E1505" s="8">
        <v>-9.592167499090698E-4</v>
      </c>
      <c r="F1505" s="9"/>
      <c r="G1505" s="9">
        <v>1502.0</v>
      </c>
      <c r="H1505" s="10">
        <f t="shared" si="50"/>
        <v>0.006003122591760244</v>
      </c>
      <c r="K1505" s="7"/>
    </row>
    <row r="1506" spans="8:8">
      <c r="B1506" s="7">
        <v>44111.0</v>
      </c>
      <c r="C1506" s="8">
        <v>932.15</v>
      </c>
      <c r="D1506" s="8">
        <f t="shared" si="49"/>
        <v>-0.01354569024816135</v>
      </c>
      <c r="E1506" s="8">
        <v>-9.692372524231698E-4</v>
      </c>
      <c r="F1506" s="9"/>
      <c r="G1506" s="9">
        <v>1503.0</v>
      </c>
      <c r="H1506" s="10">
        <f t="shared" si="50"/>
        <v>-0.010109877840257051</v>
      </c>
      <c r="K1506" s="7"/>
    </row>
    <row r="1507" spans="8:8">
      <c r="B1507" s="7">
        <v>44081.0</v>
      </c>
      <c r="C1507" s="8">
        <v>944.95</v>
      </c>
      <c r="D1507" s="8">
        <f t="shared" si="49"/>
        <v>0.003930942895086369</v>
      </c>
      <c r="E1507" s="8">
        <v>-9.794745663104282E-4</v>
      </c>
      <c r="F1507" s="9"/>
      <c r="G1507" s="9">
        <v>1504.0</v>
      </c>
      <c r="H1507" s="10">
        <f t="shared" si="50"/>
        <v>-0.005656638551458522</v>
      </c>
      <c r="K1507" s="7"/>
    </row>
    <row r="1508" spans="8:8">
      <c r="B1508" s="7">
        <v>44050.0</v>
      </c>
      <c r="C1508" s="8">
        <v>941.25</v>
      </c>
      <c r="D1508" s="8">
        <f t="shared" si="49"/>
        <v>-0.002490462060195022</v>
      </c>
      <c r="E1508" s="8">
        <v>-9.86407637135831E-4</v>
      </c>
      <c r="F1508" s="9"/>
      <c r="G1508" s="9">
        <v>1505.0</v>
      </c>
      <c r="H1508" s="10">
        <f t="shared" si="50"/>
        <v>0.009935768654240472</v>
      </c>
      <c r="K1508" s="7"/>
    </row>
    <row r="1509" spans="8:8">
      <c r="B1509" s="7">
        <v>44019.0</v>
      </c>
      <c r="C1509" s="8">
        <v>943.6</v>
      </c>
      <c r="D1509" s="8">
        <f t="shared" si="49"/>
        <v>-0.007989907485281772</v>
      </c>
      <c r="E1509" s="8">
        <v>-9.87339756349999E-4</v>
      </c>
      <c r="F1509" s="9"/>
      <c r="G1509" s="9">
        <v>1506.0</v>
      </c>
      <c r="H1509" s="10">
        <f t="shared" si="50"/>
        <v>0.002597160397714283</v>
      </c>
      <c r="K1509" s="7"/>
    </row>
    <row r="1510" spans="8:8">
      <c r="B1510" s="7">
        <v>43989.0</v>
      </c>
      <c r="C1510" s="8">
        <v>951.2</v>
      </c>
      <c r="D1510" s="8">
        <f t="shared" si="49"/>
        <v>0.00736033889330161</v>
      </c>
      <c r="E1510" s="8">
        <v>-9.90190921186935E-4</v>
      </c>
      <c r="F1510" s="9"/>
      <c r="G1510" s="9">
        <v>1507.0</v>
      </c>
      <c r="H1510" s="10">
        <f t="shared" si="50"/>
        <v>0.005229234978618214</v>
      </c>
      <c r="K1510" s="7"/>
    </row>
    <row r="1511" spans="8:8">
      <c r="B1511" s="7">
        <v>43897.0</v>
      </c>
      <c r="C1511" s="8">
        <v>944.25</v>
      </c>
      <c r="D1511" s="8">
        <f t="shared" si="49"/>
        <v>0.0031339636672687195</v>
      </c>
      <c r="E1511" s="8">
        <v>-9.92302947407895E-4</v>
      </c>
      <c r="F1511" s="9"/>
      <c r="G1511" s="9">
        <v>1508.0</v>
      </c>
      <c r="H1511" s="10">
        <f t="shared" si="50"/>
        <v>0.00986877690058051</v>
      </c>
      <c r="K1511" s="7"/>
    </row>
    <row r="1512" spans="8:8">
      <c r="B1512" s="7">
        <v>43868.0</v>
      </c>
      <c r="C1512" s="8">
        <v>941.3</v>
      </c>
      <c r="D1512" s="8">
        <f t="shared" si="49"/>
        <v>0.01839229687330953</v>
      </c>
      <c r="E1512" s="8">
        <v>-9.9464422341236E-4</v>
      </c>
      <c r="F1512" s="9"/>
      <c r="G1512" s="9">
        <v>1509.0</v>
      </c>
      <c r="H1512" s="10">
        <f t="shared" si="50"/>
        <v>-0.010285758594795812</v>
      </c>
      <c r="K1512" s="7"/>
    </row>
    <row r="1513" spans="8:8">
      <c r="B1513" s="7">
        <v>43837.0</v>
      </c>
      <c r="C1513" s="8">
        <v>924.3</v>
      </c>
      <c r="D1513" s="8">
        <f t="shared" si="49"/>
        <v>-0.020505484024797353</v>
      </c>
      <c r="E1513" s="8">
        <v>-0.0010051463493084595</v>
      </c>
      <c r="F1513" s="9"/>
      <c r="G1513" s="9">
        <v>1510.0</v>
      </c>
      <c r="H1513" s="10">
        <f t="shared" si="50"/>
        <v>0.0234964105483786</v>
      </c>
      <c r="K1513" s="7"/>
    </row>
    <row r="1514" spans="8:8">
      <c r="B1514" s="7" t="s">
        <v>9502</v>
      </c>
      <c r="C1514" s="8">
        <v>943.65</v>
      </c>
      <c r="D1514" s="8">
        <f t="shared" si="49"/>
        <v>0.007527226137091559</v>
      </c>
      <c r="E1514" s="8">
        <v>-0.001007189247386549</v>
      </c>
      <c r="F1514" s="9"/>
      <c r="G1514" s="9">
        <v>1511.0</v>
      </c>
      <c r="H1514" s="10">
        <f t="shared" si="50"/>
        <v>0.007604687789498028</v>
      </c>
      <c r="K1514" s="7"/>
    </row>
    <row r="1515" spans="8:8">
      <c r="B1515" s="7" t="s">
        <v>9503</v>
      </c>
      <c r="C1515" s="8">
        <v>936.6</v>
      </c>
      <c r="D1515" s="8">
        <f t="shared" si="49"/>
        <v>-0.02660569528164625</v>
      </c>
      <c r="E1515" s="8">
        <v>-0.001025232101156208</v>
      </c>
      <c r="F1515" s="9"/>
      <c r="G1515" s="9">
        <v>1512.0</v>
      </c>
      <c r="H1515" s="10">
        <f t="shared" si="50"/>
        <v>0.019405812362671044</v>
      </c>
      <c r="K1515" s="7"/>
    </row>
    <row r="1516" spans="8:8">
      <c r="B1516" s="7" t="s">
        <v>9504</v>
      </c>
      <c r="C1516" s="8">
        <v>962.2</v>
      </c>
      <c r="D1516" s="8">
        <f t="shared" si="49"/>
        <v>0.020252359240801637</v>
      </c>
      <c r="E1516" s="8">
        <v>-0.0010345541071798054</v>
      </c>
      <c r="F1516" s="9"/>
      <c r="G1516" s="9">
        <v>1513.0</v>
      </c>
      <c r="H1516" s="10">
        <f t="shared" si="50"/>
        <v>-1.4942959991034576E-4</v>
      </c>
      <c r="K1516" s="7"/>
    </row>
    <row r="1517" spans="8:8">
      <c r="B1517" s="7" t="s">
        <v>9505</v>
      </c>
      <c r="C1517" s="8">
        <v>943.1</v>
      </c>
      <c r="D1517" s="8">
        <f t="shared" si="49"/>
        <v>-0.013029145518287827</v>
      </c>
      <c r="E1517" s="8">
        <v>-0.0010367298578199725</v>
      </c>
      <c r="F1517" s="9"/>
      <c r="G1517" s="9">
        <v>1514.0</v>
      </c>
      <c r="H1517" s="10">
        <f t="shared" si="50"/>
        <v>-0.021493287571502817</v>
      </c>
      <c r="K1517" s="7"/>
    </row>
    <row r="1518" spans="8:8">
      <c r="B1518" s="7" t="s">
        <v>9506</v>
      </c>
      <c r="C1518" s="8">
        <v>955.55</v>
      </c>
      <c r="D1518" s="8">
        <f t="shared" si="49"/>
        <v>-0.012453493178999657</v>
      </c>
      <c r="E1518" s="8">
        <v>-0.0010530380146723296</v>
      </c>
      <c r="F1518" s="9"/>
      <c r="G1518" s="9">
        <v>1515.0</v>
      </c>
      <c r="H1518" s="10">
        <f t="shared" si="50"/>
        <v>0.0033307554349882107</v>
      </c>
      <c r="K1518" s="7"/>
    </row>
    <row r="1519" spans="8:8">
      <c r="B1519" s="7" t="s">
        <v>9507</v>
      </c>
      <c r="C1519" s="8">
        <v>967.6</v>
      </c>
      <c r="D1519" s="8">
        <f t="shared" si="49"/>
        <v>0.06628464378202653</v>
      </c>
      <c r="E1519" s="8">
        <v>-0.00105579468854053</v>
      </c>
      <c r="F1519" s="9"/>
      <c r="G1519" s="9">
        <v>1516.0</v>
      </c>
      <c r="H1519" s="10">
        <f t="shared" si="50"/>
        <v>0.014803636493180571</v>
      </c>
      <c r="K1519" s="7"/>
    </row>
    <row r="1520" spans="8:8">
      <c r="B1520" s="7" t="s">
        <v>9508</v>
      </c>
      <c r="C1520" s="8">
        <v>907.45</v>
      </c>
      <c r="D1520" s="8">
        <f t="shared" si="49"/>
        <v>0.01029837452683144</v>
      </c>
      <c r="E1520" s="8">
        <v>-0.0010615393816158505</v>
      </c>
      <c r="F1520" s="9"/>
      <c r="G1520" s="9">
        <v>1517.0</v>
      </c>
      <c r="H1520" s="10">
        <f t="shared" si="50"/>
        <v>0.01229976451174574</v>
      </c>
      <c r="K1520" s="7"/>
    </row>
    <row r="1521" spans="8:8">
      <c r="B1521" s="7" t="s">
        <v>9509</v>
      </c>
      <c r="C1521" s="8">
        <v>898.2</v>
      </c>
      <c r="D1521" s="8">
        <f t="shared" si="49"/>
        <v>0.0017286566664808658</v>
      </c>
      <c r="E1521" s="8">
        <v>-0.0010779530239418266</v>
      </c>
      <c r="F1521" s="9"/>
      <c r="G1521" s="9">
        <v>1518.0</v>
      </c>
      <c r="H1521" s="10">
        <f t="shared" si="50"/>
        <v>0.006881316185971617</v>
      </c>
      <c r="K1521" s="7"/>
    </row>
    <row r="1522" spans="8:8">
      <c r="B1522" s="7" t="s">
        <v>9510</v>
      </c>
      <c r="C1522" s="8">
        <v>896.65</v>
      </c>
      <c r="D1522" s="8">
        <f t="shared" si="49"/>
        <v>0.01339285714285717</v>
      </c>
      <c r="E1522" s="8">
        <v>-0.0010781224083596204</v>
      </c>
      <c r="F1522" s="9"/>
      <c r="G1522" s="9">
        <v>1519.0</v>
      </c>
      <c r="H1522" s="10">
        <f t="shared" si="50"/>
        <v>0.025309054853827864</v>
      </c>
      <c r="K1522" s="7"/>
    </row>
    <row r="1523" spans="8:8">
      <c r="B1523" s="7" t="s">
        <v>9511</v>
      </c>
      <c r="C1523" s="8">
        <v>884.8</v>
      </c>
      <c r="D1523" s="8">
        <f t="shared" si="49"/>
        <v>-0.011451874196972236</v>
      </c>
      <c r="E1523" s="8">
        <v>-0.0011090216500314295</v>
      </c>
      <c r="F1523" s="9"/>
      <c r="G1523" s="9">
        <v>1520.0</v>
      </c>
      <c r="H1523" s="10">
        <f t="shared" si="50"/>
        <v>0.013356874174501925</v>
      </c>
      <c r="K1523" s="7"/>
    </row>
    <row r="1524" spans="8:8">
      <c r="B1524" s="7" t="s">
        <v>9512</v>
      </c>
      <c r="C1524" s="8">
        <v>895.05</v>
      </c>
      <c r="D1524" s="8">
        <f t="shared" si="49"/>
        <v>-0.005389487720857899</v>
      </c>
      <c r="E1524" s="8">
        <v>-0.0011240739163757751</v>
      </c>
      <c r="F1524" s="9"/>
      <c r="G1524" s="9">
        <v>1521.0</v>
      </c>
      <c r="H1524" s="10">
        <f t="shared" si="50"/>
        <v>0.02458278596524186</v>
      </c>
      <c r="K1524" s="7"/>
    </row>
    <row r="1525" spans="8:8">
      <c r="B1525" s="7" t="s">
        <v>9513</v>
      </c>
      <c r="C1525" s="8">
        <v>899.9</v>
      </c>
      <c r="D1525" s="8">
        <f t="shared" si="49"/>
        <v>-0.028605354058721937</v>
      </c>
      <c r="E1525" s="8">
        <v>-0.001124437781109417</v>
      </c>
      <c r="F1525" s="9"/>
      <c r="G1525" s="9">
        <v>1522.0</v>
      </c>
      <c r="H1525" s="10">
        <f t="shared" si="50"/>
        <v>0.0048266370728090365</v>
      </c>
      <c r="K1525" s="7"/>
    </row>
    <row r="1526" spans="8:8">
      <c r="B1526" s="7">
        <v>44171.0</v>
      </c>
      <c r="C1526" s="8">
        <v>926.4</v>
      </c>
      <c r="D1526" s="8">
        <f t="shared" si="49"/>
        <v>-0.004352732548766799</v>
      </c>
      <c r="E1526" s="8">
        <v>-0.0011327455302474507</v>
      </c>
      <c r="F1526" s="9"/>
      <c r="G1526" s="9">
        <v>1523.0</v>
      </c>
      <c r="H1526" s="10">
        <f t="shared" si="50"/>
        <v>0.006919149304556404</v>
      </c>
      <c r="K1526" s="7"/>
    </row>
    <row r="1527" spans="8:8">
      <c r="B1527" s="7">
        <v>44141.0</v>
      </c>
      <c r="C1527" s="8">
        <v>930.45</v>
      </c>
      <c r="D1527" s="8">
        <f t="shared" si="49"/>
        <v>-0.017009138450161016</v>
      </c>
      <c r="E1527" s="8">
        <v>-0.0011338086361626606</v>
      </c>
      <c r="F1527" s="9"/>
      <c r="G1527" s="9">
        <v>1524.0</v>
      </c>
      <c r="H1527" s="10">
        <f t="shared" si="50"/>
        <v>0.008886471781665796</v>
      </c>
      <c r="K1527" s="7"/>
    </row>
    <row r="1528" spans="8:8">
      <c r="B1528" s="7">
        <v>44110.0</v>
      </c>
      <c r="C1528" s="8">
        <v>946.55</v>
      </c>
      <c r="D1528" s="8">
        <f t="shared" si="49"/>
        <v>-0.0070806671561942725</v>
      </c>
      <c r="E1528" s="8">
        <v>-0.001138211382113895</v>
      </c>
      <c r="F1528" s="9"/>
      <c r="G1528" s="9">
        <v>1525.0</v>
      </c>
      <c r="H1528" s="10">
        <f t="shared" si="50"/>
        <v>0.01513215316413578</v>
      </c>
      <c r="K1528" s="7"/>
    </row>
    <row r="1529" spans="8:8">
      <c r="B1529" s="7">
        <v>44080.0</v>
      </c>
      <c r="C1529" s="8">
        <v>953.3</v>
      </c>
      <c r="D1529" s="8">
        <f t="shared" si="49"/>
        <v>-0.008373641233681872</v>
      </c>
      <c r="E1529" s="8">
        <v>-0.001148811546365122</v>
      </c>
      <c r="F1529" s="9"/>
      <c r="G1529" s="9">
        <v>1526.0</v>
      </c>
      <c r="H1529" s="10">
        <f t="shared" si="50"/>
        <v>0.014725063374377175</v>
      </c>
      <c r="K1529" s="7"/>
    </row>
    <row r="1530" spans="8:8">
      <c r="B1530" s="7">
        <v>44049.0</v>
      </c>
      <c r="C1530" s="8">
        <v>961.35</v>
      </c>
      <c r="D1530" s="8">
        <f t="shared" si="49"/>
        <v>0.006385762889296019</v>
      </c>
      <c r="E1530" s="8">
        <v>-0.0011588001961046082</v>
      </c>
      <c r="F1530" s="9"/>
      <c r="G1530" s="9">
        <v>1527.0</v>
      </c>
      <c r="H1530" s="10">
        <f t="shared" si="50"/>
        <v>-0.009153894267908157</v>
      </c>
      <c r="K1530" s="7"/>
    </row>
    <row r="1531" spans="8:8">
      <c r="B1531" s="7">
        <v>43957.0</v>
      </c>
      <c r="C1531" s="8">
        <v>955.25</v>
      </c>
      <c r="D1531" s="8">
        <f t="shared" si="49"/>
        <v>0.026377995057483564</v>
      </c>
      <c r="E1531" s="8">
        <v>-0.0011734506784011067</v>
      </c>
      <c r="F1531" s="9"/>
      <c r="G1531" s="9">
        <v>1528.0</v>
      </c>
      <c r="H1531" s="10">
        <f t="shared" si="50"/>
        <v>0.008062064067755566</v>
      </c>
      <c r="K1531" s="7"/>
    </row>
    <row r="1532" spans="8:8">
      <c r="B1532" s="7">
        <v>43927.0</v>
      </c>
      <c r="C1532" s="8">
        <v>930.7</v>
      </c>
      <c r="D1532" s="8">
        <f t="shared" si="49"/>
        <v>-0.031831894309788736</v>
      </c>
      <c r="E1532" s="8">
        <v>-0.0011849882223731296</v>
      </c>
      <c r="F1532" s="9"/>
      <c r="G1532" s="9">
        <v>1529.0</v>
      </c>
      <c r="H1532" s="10">
        <f t="shared" si="50"/>
        <v>0.005692371059578314</v>
      </c>
      <c r="K1532" s="7"/>
    </row>
    <row r="1533" spans="8:8">
      <c r="B1533" s="7">
        <v>43896.0</v>
      </c>
      <c r="C1533" s="8">
        <v>961.3</v>
      </c>
      <c r="D1533" s="8">
        <f t="shared" si="49"/>
        <v>0.01676450367549834</v>
      </c>
      <c r="E1533" s="8">
        <v>-0.0011891313395564539</v>
      </c>
      <c r="F1533" s="9"/>
      <c r="G1533" s="9">
        <v>1530.0</v>
      </c>
      <c r="H1533" s="10">
        <f t="shared" si="50"/>
        <v>0.0070650102199505144</v>
      </c>
      <c r="K1533" s="7"/>
    </row>
    <row r="1534" spans="8:8">
      <c r="B1534" s="7">
        <v>43867.0</v>
      </c>
      <c r="C1534" s="8">
        <v>945.45</v>
      </c>
      <c r="D1534" s="8">
        <f t="shared" si="49"/>
        <v>0.018639228572967806</v>
      </c>
      <c r="E1534" s="8">
        <v>-0.0012323333461700691</v>
      </c>
      <c r="F1534" s="9"/>
      <c r="G1534" s="9">
        <v>1531.0</v>
      </c>
      <c r="H1534" s="10">
        <f t="shared" si="50"/>
        <v>-0.008725639981896408</v>
      </c>
      <c r="K1534" s="7"/>
    </row>
    <row r="1535" spans="8:8">
      <c r="B1535" s="7">
        <v>43836.0</v>
      </c>
      <c r="C1535" s="8">
        <v>928.15</v>
      </c>
      <c r="D1535" s="8">
        <f t="shared" si="49"/>
        <v>-0.004397961920085838</v>
      </c>
      <c r="E1535" s="8">
        <v>-0.0012358393408856536</v>
      </c>
      <c r="F1535" s="9"/>
      <c r="G1535" s="9">
        <v>1532.0</v>
      </c>
      <c r="H1535" s="10">
        <f t="shared" si="50"/>
        <v>0.013875038933172275</v>
      </c>
      <c r="K1535" s="7"/>
    </row>
    <row r="1536" spans="8:8">
      <c r="B1536" s="7" t="s">
        <v>9514</v>
      </c>
      <c r="C1536" s="8">
        <v>932.25</v>
      </c>
      <c r="D1536" s="8">
        <f t="shared" si="49"/>
        <v>0.029541689674213143</v>
      </c>
      <c r="E1536" s="8">
        <v>-0.0012359460968024516</v>
      </c>
      <c r="F1536" s="9"/>
      <c r="G1536" s="9">
        <v>1533.0</v>
      </c>
      <c r="H1536" s="10">
        <f t="shared" si="50"/>
        <v>0.02505686083082931</v>
      </c>
      <c r="K1536" s="7"/>
    </row>
    <row r="1537" spans="8:8">
      <c r="B1537" s="7" t="s">
        <v>9515</v>
      </c>
      <c r="C1537" s="8">
        <v>905.5</v>
      </c>
      <c r="D1537" s="8">
        <f t="shared" si="49"/>
        <v>0.0642298877592995</v>
      </c>
      <c r="E1537" s="8">
        <v>-0.0012386968908708038</v>
      </c>
      <c r="F1537" s="9"/>
      <c r="G1537" s="9">
        <v>1534.0</v>
      </c>
      <c r="H1537" s="10">
        <f t="shared" si="50"/>
        <v>-0.00321977071435991</v>
      </c>
      <c r="K1537" s="7"/>
    </row>
    <row r="1538" spans="8:8">
      <c r="B1538" s="7" t="s">
        <v>9516</v>
      </c>
      <c r="C1538" s="8">
        <v>850.85</v>
      </c>
      <c r="D1538" s="8">
        <f t="shared" si="49"/>
        <v>0.03064623584277157</v>
      </c>
      <c r="E1538" s="8">
        <v>-0.0012616201859230352</v>
      </c>
      <c r="F1538" s="9"/>
      <c r="G1538" s="9">
        <v>1535.0</v>
      </c>
      <c r="H1538" s="10">
        <f t="shared" si="50"/>
        <v>-0.0012815623933275875</v>
      </c>
      <c r="K1538" s="7"/>
    </row>
    <row r="1539" spans="8:8">
      <c r="B1539" s="7" t="s">
        <v>9517</v>
      </c>
      <c r="C1539" s="8">
        <v>825.55</v>
      </c>
      <c r="D1539" s="8">
        <f t="shared" si="49"/>
        <v>0.012075517960034214</v>
      </c>
      <c r="E1539" s="8">
        <v>-0.001261906700317475</v>
      </c>
      <c r="F1539" s="9"/>
      <c r="G1539" s="9">
        <v>1536.0</v>
      </c>
      <c r="H1539" s="10">
        <f t="shared" si="50"/>
        <v>-0.006574666088771071</v>
      </c>
      <c r="K1539" s="7"/>
    </row>
    <row r="1540" spans="8:8">
      <c r="B1540" s="7" t="s">
        <v>9518</v>
      </c>
      <c r="C1540" s="8">
        <v>815.7</v>
      </c>
      <c r="D1540" s="8">
        <f t="shared" si="51" ref="D1540:D1603">(C1540-C1541)/C1541</f>
        <v>-0.00585009140767819</v>
      </c>
      <c r="E1540" s="8">
        <v>-0.0012657806202324132</v>
      </c>
      <c r="F1540" s="9"/>
      <c r="G1540" s="9">
        <v>1537.0</v>
      </c>
      <c r="H1540" s="10">
        <f t="shared" si="50"/>
        <v>-0.0013544538865975422</v>
      </c>
      <c r="K1540" s="7"/>
    </row>
    <row r="1541" spans="8:8">
      <c r="B1541" s="7" t="s">
        <v>9519</v>
      </c>
      <c r="C1541" s="8">
        <v>820.5</v>
      </c>
      <c r="D1541" s="8">
        <f t="shared" si="51"/>
        <v>-0.017365269461077845</v>
      </c>
      <c r="E1541" s="8">
        <v>-0.0012739133299653567</v>
      </c>
      <c r="F1541" s="9"/>
      <c r="G1541" s="9">
        <v>1538.0</v>
      </c>
      <c r="H1541" s="10">
        <f t="shared" si="52" ref="H1541:H1604">_xlfn.NORM.INV(RAND(),N$6,N$7)</f>
        <v>-0.01365034094020573</v>
      </c>
      <c r="K1541" s="7"/>
    </row>
    <row r="1542" spans="8:8">
      <c r="B1542" s="7" t="s">
        <v>9520</v>
      </c>
      <c r="C1542" s="8">
        <v>835.0</v>
      </c>
      <c r="D1542" s="8">
        <f t="shared" si="51"/>
        <v>0.04853393608338039</v>
      </c>
      <c r="E1542" s="8">
        <v>-0.0012824006540243336</v>
      </c>
      <c r="F1542" s="9"/>
      <c r="G1542" s="9">
        <v>1539.0</v>
      </c>
      <c r="H1542" s="10">
        <f t="shared" si="52"/>
        <v>-0.0014420590413270718</v>
      </c>
      <c r="K1542" s="7"/>
    </row>
    <row r="1543" spans="8:8">
      <c r="B1543" s="7" t="s">
        <v>9521</v>
      </c>
      <c r="C1543" s="8">
        <v>796.35</v>
      </c>
      <c r="D1543" s="8">
        <f t="shared" si="51"/>
        <v>-0.020901211040757362</v>
      </c>
      <c r="E1543" s="8">
        <v>-0.0012838306731435872</v>
      </c>
      <c r="F1543" s="9"/>
      <c r="G1543" s="9">
        <v>1540.0</v>
      </c>
      <c r="H1543" s="10">
        <f t="shared" si="52"/>
        <v>0.005921974253710537</v>
      </c>
      <c r="K1543" s="7"/>
    </row>
    <row r="1544" spans="8:8">
      <c r="B1544" s="7" t="s">
        <v>9522</v>
      </c>
      <c r="C1544" s="8">
        <v>813.35</v>
      </c>
      <c r="D1544" s="8">
        <f t="shared" si="51"/>
        <v>-0.059058306339657515</v>
      </c>
      <c r="E1544" s="8">
        <v>-0.001284215161077273</v>
      </c>
      <c r="F1544" s="9"/>
      <c r="G1544" s="9">
        <v>1541.0</v>
      </c>
      <c r="H1544" s="10">
        <f t="shared" si="52"/>
        <v>4.8604644584429417E-4</v>
      </c>
      <c r="K1544" s="7"/>
    </row>
    <row r="1545" spans="8:8">
      <c r="B1545" s="7" t="s">
        <v>9523</v>
      </c>
      <c r="C1545" s="8">
        <v>864.4</v>
      </c>
      <c r="D1545" s="8">
        <f t="shared" si="51"/>
        <v>-0.008317558653129123</v>
      </c>
      <c r="E1545" s="8">
        <v>-0.0012922082916698157</v>
      </c>
      <c r="F1545" s="9"/>
      <c r="G1545" s="9">
        <v>1542.0</v>
      </c>
      <c r="H1545" s="10">
        <f t="shared" si="52"/>
        <v>0.02214749876286375</v>
      </c>
      <c r="K1545" s="7"/>
    </row>
    <row r="1546" spans="8:8">
      <c r="B1546" s="7" t="s">
        <v>9524</v>
      </c>
      <c r="C1546" s="8">
        <v>871.65</v>
      </c>
      <c r="D1546" s="8">
        <f t="shared" si="51"/>
        <v>0.010140224823270368</v>
      </c>
      <c r="E1546" s="8">
        <v>-0.001308618406872556</v>
      </c>
      <c r="F1546" s="9"/>
      <c r="G1546" s="9">
        <v>1543.0</v>
      </c>
      <c r="H1546" s="10">
        <f t="shared" si="52"/>
        <v>-0.01237735585605745</v>
      </c>
      <c r="K1546" s="7"/>
    </row>
    <row r="1547" spans="8:8">
      <c r="B1547" s="7" t="s">
        <v>9525</v>
      </c>
      <c r="C1547" s="8">
        <v>862.9</v>
      </c>
      <c r="D1547" s="8">
        <f t="shared" si="51"/>
        <v>0.059032891507118344</v>
      </c>
      <c r="E1547" s="8">
        <v>-0.0013115014704712373</v>
      </c>
      <c r="F1547" s="9"/>
      <c r="G1547" s="9">
        <v>1544.0</v>
      </c>
      <c r="H1547" s="10">
        <f t="shared" si="52"/>
        <v>-0.012373850651079613</v>
      </c>
      <c r="K1547" s="7"/>
    </row>
    <row r="1548" spans="8:8">
      <c r="B1548" s="7">
        <v>44170.0</v>
      </c>
      <c r="C1548" s="8">
        <v>814.8</v>
      </c>
      <c r="D1548" s="8">
        <f t="shared" si="51"/>
        <v>-0.008276533592989372</v>
      </c>
      <c r="E1548" s="8">
        <v>-0.0013159049039389418</v>
      </c>
      <c r="F1548" s="9"/>
      <c r="G1548" s="9">
        <v>1545.0</v>
      </c>
      <c r="H1548" s="10">
        <f t="shared" si="52"/>
        <v>0.006965486236191348</v>
      </c>
      <c r="K1548" s="7"/>
    </row>
    <row r="1549" spans="8:8">
      <c r="B1549" s="7">
        <v>44140.0</v>
      </c>
      <c r="C1549" s="8">
        <v>821.6</v>
      </c>
      <c r="D1549" s="8">
        <f t="shared" si="51"/>
        <v>0.006924443899748731</v>
      </c>
      <c r="E1549" s="8">
        <v>-0.0013356918522796355</v>
      </c>
      <c r="F1549" s="9"/>
      <c r="G1549" s="9">
        <v>1546.0</v>
      </c>
      <c r="H1549" s="10">
        <f t="shared" si="52"/>
        <v>0.005568294002341958</v>
      </c>
      <c r="K1549" s="7"/>
    </row>
    <row r="1550" spans="8:8">
      <c r="B1550" s="7">
        <v>44048.0</v>
      </c>
      <c r="C1550" s="8">
        <v>815.95</v>
      </c>
      <c r="D1550" s="8">
        <f t="shared" si="51"/>
        <v>-0.008385489457373734</v>
      </c>
      <c r="E1550" s="8">
        <v>-0.001337718953116885</v>
      </c>
      <c r="F1550" s="9"/>
      <c r="G1550" s="9">
        <v>1547.0</v>
      </c>
      <c r="H1550" s="10">
        <f t="shared" si="52"/>
        <v>3.8322938239653557E-4</v>
      </c>
      <c r="K1550" s="7"/>
    </row>
    <row r="1551" spans="8:8">
      <c r="B1551" s="7">
        <v>44017.0</v>
      </c>
      <c r="C1551" s="8">
        <v>822.85</v>
      </c>
      <c r="D1551" s="8">
        <f t="shared" si="51"/>
        <v>-0.017257852621521477</v>
      </c>
      <c r="E1551" s="8">
        <v>-0.0013417009305344769</v>
      </c>
      <c r="F1551" s="9"/>
      <c r="G1551" s="9">
        <v>1548.0</v>
      </c>
      <c r="H1551" s="10">
        <f t="shared" si="52"/>
        <v>0.020734776395728363</v>
      </c>
      <c r="K1551" s="7"/>
    </row>
    <row r="1552" spans="8:8">
      <c r="B1552" s="7">
        <v>43987.0</v>
      </c>
      <c r="C1552" s="8">
        <v>837.3</v>
      </c>
      <c r="D1552" s="8">
        <f t="shared" si="51"/>
        <v>4.7795435535903603E-4</v>
      </c>
      <c r="E1552" s="8">
        <v>-0.0013671207460574102</v>
      </c>
      <c r="F1552" s="9"/>
      <c r="G1552" s="9">
        <v>1549.0</v>
      </c>
      <c r="H1552" s="10">
        <f t="shared" si="52"/>
        <v>0.008611669793735045</v>
      </c>
      <c r="K1552" s="7"/>
    </row>
    <row r="1553" spans="8:8">
      <c r="B1553" s="7">
        <v>43956.0</v>
      </c>
      <c r="C1553" s="8">
        <v>836.9</v>
      </c>
      <c r="D1553" s="8">
        <f t="shared" si="51"/>
        <v>-0.01616410979838947</v>
      </c>
      <c r="E1553" s="8">
        <v>-0.0013872374157748713</v>
      </c>
      <c r="F1553" s="9"/>
      <c r="G1553" s="9">
        <v>1550.0</v>
      </c>
      <c r="H1553" s="10">
        <f t="shared" si="52"/>
        <v>-0.011066453283826813</v>
      </c>
      <c r="K1553" s="7"/>
    </row>
    <row r="1554" spans="8:8">
      <c r="B1554" s="7">
        <v>43926.0</v>
      </c>
      <c r="C1554" s="8">
        <v>850.65</v>
      </c>
      <c r="D1554" s="8">
        <f t="shared" si="51"/>
        <v>-0.052253356358977196</v>
      </c>
      <c r="E1554" s="8">
        <v>-0.001388266905508244</v>
      </c>
      <c r="F1554" s="9"/>
      <c r="G1554" s="9">
        <v>1551.0</v>
      </c>
      <c r="H1554" s="10">
        <f t="shared" si="52"/>
        <v>-0.0035815503696294245</v>
      </c>
      <c r="K1554" s="7"/>
    </row>
    <row r="1555" spans="8:8">
      <c r="B1555" s="7" t="s">
        <v>9526</v>
      </c>
      <c r="C1555" s="8">
        <v>897.55</v>
      </c>
      <c r="D1555" s="8">
        <f t="shared" si="51"/>
        <v>0.02536128405780537</v>
      </c>
      <c r="E1555" s="8">
        <v>-0.0013999569244023586</v>
      </c>
      <c r="F1555" s="9"/>
      <c r="G1555" s="9">
        <v>1552.0</v>
      </c>
      <c r="H1555" s="10">
        <f t="shared" si="52"/>
        <v>0.02668280857965317</v>
      </c>
      <c r="K1555" s="7"/>
    </row>
    <row r="1556" spans="8:8">
      <c r="B1556" s="7" t="s">
        <v>9527</v>
      </c>
      <c r="C1556" s="8">
        <v>875.35</v>
      </c>
      <c r="D1556" s="8">
        <f t="shared" si="51"/>
        <v>0.021233156390363467</v>
      </c>
      <c r="E1556" s="8">
        <v>-0.001410814262589661</v>
      </c>
      <c r="F1556" s="9"/>
      <c r="G1556" s="9">
        <v>1553.0</v>
      </c>
      <c r="H1556" s="10">
        <f t="shared" si="52"/>
        <v>0.016844780023948455</v>
      </c>
      <c r="K1556" s="7"/>
    </row>
    <row r="1557" spans="8:8">
      <c r="B1557" s="7" t="s">
        <v>9528</v>
      </c>
      <c r="C1557" s="8">
        <v>857.15</v>
      </c>
      <c r="D1557" s="8">
        <f t="shared" si="51"/>
        <v>0.002221572639579044</v>
      </c>
      <c r="E1557" s="8">
        <v>-0.0014148587915441128</v>
      </c>
      <c r="F1557" s="9"/>
      <c r="G1557" s="9">
        <v>1554.0</v>
      </c>
      <c r="H1557" s="10">
        <f t="shared" si="52"/>
        <v>-3.0723205936848685E-4</v>
      </c>
      <c r="K1557" s="7"/>
    </row>
    <row r="1558" spans="8:8">
      <c r="B1558" s="7" t="s">
        <v>9529</v>
      </c>
      <c r="C1558" s="8">
        <v>855.25</v>
      </c>
      <c r="D1558" s="8">
        <f t="shared" si="51"/>
        <v>0.004757988721804458</v>
      </c>
      <c r="E1558" s="8">
        <v>-0.0014309734196687296</v>
      </c>
      <c r="F1558" s="9"/>
      <c r="G1558" s="9">
        <v>1555.0</v>
      </c>
      <c r="H1558" s="10">
        <f t="shared" si="52"/>
        <v>0.012029990485287637</v>
      </c>
      <c r="K1558" s="7"/>
    </row>
    <row r="1559" spans="8:8">
      <c r="B1559" s="7" t="s">
        <v>9530</v>
      </c>
      <c r="C1559" s="8">
        <v>851.2</v>
      </c>
      <c r="D1559" s="8">
        <f t="shared" si="51"/>
        <v>0.012610040447299575</v>
      </c>
      <c r="E1559" s="8">
        <v>-0.0014376579245448209</v>
      </c>
      <c r="F1559" s="9"/>
      <c r="G1559" s="9">
        <v>1556.0</v>
      </c>
      <c r="H1559" s="10">
        <f t="shared" si="52"/>
        <v>0.0054532910363679615</v>
      </c>
      <c r="K1559" s="7"/>
    </row>
    <row r="1560" spans="8:8">
      <c r="B1560" s="7" t="s">
        <v>9531</v>
      </c>
      <c r="C1560" s="8">
        <v>840.6</v>
      </c>
      <c r="D1560" s="8">
        <f t="shared" si="51"/>
        <v>-0.014074595355383532</v>
      </c>
      <c r="E1560" s="8">
        <v>-0.0014462416745956925</v>
      </c>
      <c r="F1560" s="9"/>
      <c r="G1560" s="9">
        <v>1557.0</v>
      </c>
      <c r="H1560" s="10">
        <f t="shared" si="52"/>
        <v>0.0016802713174596561</v>
      </c>
      <c r="K1560" s="7"/>
    </row>
    <row r="1561" spans="8:8">
      <c r="B1561" s="7" t="s">
        <v>9532</v>
      </c>
      <c r="C1561" s="8">
        <v>852.6</v>
      </c>
      <c r="D1561" s="8">
        <f t="shared" si="51"/>
        <v>-0.020394094329867295</v>
      </c>
      <c r="E1561" s="8">
        <v>-0.001453741931732279</v>
      </c>
      <c r="F1561" s="9"/>
      <c r="G1561" s="9">
        <v>1558.0</v>
      </c>
      <c r="H1561" s="10">
        <f t="shared" si="52"/>
        <v>0.011665561177603388</v>
      </c>
      <c r="K1561" s="7"/>
    </row>
    <row r="1562" spans="8:8">
      <c r="B1562" s="7" t="s">
        <v>9533</v>
      </c>
      <c r="C1562" s="8">
        <v>870.35</v>
      </c>
      <c r="D1562" s="8">
        <f t="shared" si="51"/>
        <v>-0.04942114460463084</v>
      </c>
      <c r="E1562" s="8">
        <v>-0.0014541721910953727</v>
      </c>
      <c r="F1562" s="9"/>
      <c r="G1562" s="9">
        <v>1559.0</v>
      </c>
      <c r="H1562" s="10">
        <f t="shared" si="52"/>
        <v>0.009640986447677297</v>
      </c>
      <c r="K1562" s="7"/>
    </row>
    <row r="1563" spans="8:8">
      <c r="B1563" s="7" t="s">
        <v>9534</v>
      </c>
      <c r="C1563" s="8">
        <v>915.6</v>
      </c>
      <c r="D1563" s="8">
        <f t="shared" si="51"/>
        <v>-0.018544324150498396</v>
      </c>
      <c r="E1563" s="8">
        <v>-0.001475626717324166</v>
      </c>
      <c r="F1563" s="9"/>
      <c r="G1563" s="9">
        <v>1560.0</v>
      </c>
      <c r="H1563" s="10">
        <f t="shared" si="52"/>
        <v>0.010034561916372055</v>
      </c>
      <c r="K1563" s="7"/>
    </row>
    <row r="1564" spans="8:8">
      <c r="B1564" s="7" t="s">
        <v>9535</v>
      </c>
      <c r="C1564" s="8">
        <v>932.9</v>
      </c>
      <c r="D1564" s="8">
        <f t="shared" si="51"/>
        <v>0.02330938408380409</v>
      </c>
      <c r="E1564" s="8">
        <v>-0.0014790325387158913</v>
      </c>
      <c r="F1564" s="9"/>
      <c r="G1564" s="9">
        <v>1561.0</v>
      </c>
      <c r="H1564" s="10">
        <f t="shared" si="52"/>
        <v>0.007701605764676995</v>
      </c>
      <c r="K1564" s="7"/>
    </row>
    <row r="1565" spans="8:8">
      <c r="B1565" s="7" t="s">
        <v>9536</v>
      </c>
      <c r="C1565" s="8">
        <v>911.65</v>
      </c>
      <c r="D1565" s="8">
        <f t="shared" si="51"/>
        <v>0.035789354087371474</v>
      </c>
      <c r="E1565" s="8">
        <v>-0.001517535971223047</v>
      </c>
      <c r="F1565" s="9"/>
      <c r="G1565" s="9">
        <v>1562.0</v>
      </c>
      <c r="H1565" s="10">
        <f t="shared" si="52"/>
        <v>-0.016484886732641122</v>
      </c>
      <c r="K1565" s="7"/>
    </row>
    <row r="1566" spans="8:8">
      <c r="B1566" s="7" t="s">
        <v>9537</v>
      </c>
      <c r="C1566" s="8">
        <v>880.15</v>
      </c>
      <c r="D1566" s="8">
        <f t="shared" si="51"/>
        <v>0.016985383326593023</v>
      </c>
      <c r="E1566" s="8">
        <v>-0.0015224562293833668</v>
      </c>
      <c r="F1566" s="9"/>
      <c r="G1566" s="9">
        <v>1563.0</v>
      </c>
      <c r="H1566" s="10">
        <f t="shared" si="52"/>
        <v>-0.013066518709171145</v>
      </c>
      <c r="K1566" s="7"/>
    </row>
    <row r="1567" spans="8:8">
      <c r="B1567" s="7" t="s">
        <v>9538</v>
      </c>
      <c r="C1567" s="8">
        <v>865.45</v>
      </c>
      <c r="D1567" s="8">
        <f t="shared" si="51"/>
        <v>0.06477608267716548</v>
      </c>
      <c r="E1567" s="8">
        <v>-0.0015306444486523731</v>
      </c>
      <c r="F1567" s="9"/>
      <c r="G1567" s="9">
        <v>1564.0</v>
      </c>
      <c r="H1567" s="10">
        <f t="shared" si="52"/>
        <v>0.006025316702885199</v>
      </c>
      <c r="K1567" s="7"/>
    </row>
    <row r="1568" spans="8:8">
      <c r="B1568" s="7">
        <v>44078.0</v>
      </c>
      <c r="C1568" s="8">
        <v>812.8</v>
      </c>
      <c r="D1568" s="8">
        <f t="shared" si="51"/>
        <v>0.007062321893197784</v>
      </c>
      <c r="E1568" s="8">
        <v>-0.0015336863246302056</v>
      </c>
      <c r="F1568" s="9"/>
      <c r="G1568" s="9">
        <v>1565.0</v>
      </c>
      <c r="H1568" s="10">
        <f t="shared" si="52"/>
        <v>2.3394094887304586E-4</v>
      </c>
      <c r="K1568" s="7"/>
    </row>
    <row r="1569" spans="8:8">
      <c r="B1569" s="7">
        <v>44047.0</v>
      </c>
      <c r="C1569" s="8">
        <v>807.1</v>
      </c>
      <c r="D1569" s="8">
        <f t="shared" si="51"/>
        <v>0.006798478138838702</v>
      </c>
      <c r="E1569" s="8">
        <v>-0.001542317331791016</v>
      </c>
      <c r="F1569" s="9"/>
      <c r="G1569" s="9">
        <v>1566.0</v>
      </c>
      <c r="H1569" s="10">
        <f t="shared" si="52"/>
        <v>0.024223847753245438</v>
      </c>
      <c r="K1569" s="7"/>
    </row>
    <row r="1570" spans="8:8">
      <c r="B1570" s="7">
        <v>44016.0</v>
      </c>
      <c r="C1570" s="8">
        <v>801.65</v>
      </c>
      <c r="D1570" s="8">
        <f t="shared" si="51"/>
        <v>0.034854450396953465</v>
      </c>
      <c r="E1570" s="8">
        <v>-0.0015451669800732298</v>
      </c>
      <c r="F1570" s="9"/>
      <c r="G1570" s="9">
        <v>1567.0</v>
      </c>
      <c r="H1570" s="10">
        <f t="shared" si="52"/>
        <v>-0.0032365339280883134</v>
      </c>
      <c r="K1570" s="7"/>
    </row>
    <row r="1571" spans="8:8">
      <c r="B1571" s="7">
        <v>43894.0</v>
      </c>
      <c r="C1571" s="8">
        <v>774.65</v>
      </c>
      <c r="D1571" s="8">
        <f t="shared" si="51"/>
        <v>3.874217085296759E-4</v>
      </c>
      <c r="E1571" s="8">
        <v>-0.0015533739281719894</v>
      </c>
      <c r="F1571" s="9"/>
      <c r="G1571" s="9">
        <v>1568.0</v>
      </c>
      <c r="H1571" s="10">
        <f t="shared" si="52"/>
        <v>0.0035719309746450596</v>
      </c>
      <c r="K1571" s="7"/>
    </row>
    <row r="1572" spans="8:8">
      <c r="B1572" s="7">
        <v>43834.0</v>
      </c>
      <c r="C1572" s="8">
        <v>774.35</v>
      </c>
      <c r="D1572" s="8">
        <f t="shared" si="51"/>
        <v>-0.042238713667285065</v>
      </c>
      <c r="E1572" s="8">
        <v>-0.0015593326056447842</v>
      </c>
      <c r="F1572" s="9"/>
      <c r="G1572" s="9">
        <v>1569.0</v>
      </c>
      <c r="H1572" s="10">
        <f t="shared" si="52"/>
        <v>0.008683849140220802</v>
      </c>
      <c r="K1572" s="7"/>
    </row>
    <row r="1573" spans="8:8">
      <c r="B1573" s="7" t="s">
        <v>9539</v>
      </c>
      <c r="C1573" s="8">
        <v>808.5</v>
      </c>
      <c r="D1573" s="8">
        <f t="shared" si="51"/>
        <v>0.012333312464784352</v>
      </c>
      <c r="E1573" s="8">
        <v>-0.0015616010520260466</v>
      </c>
      <c r="F1573" s="9"/>
      <c r="G1573" s="9">
        <v>1570.0</v>
      </c>
      <c r="H1573" s="10">
        <f t="shared" si="52"/>
        <v>-0.007043807528940164</v>
      </c>
      <c r="K1573" s="7"/>
    </row>
    <row r="1574" spans="8:8">
      <c r="B1574" s="7" t="s">
        <v>9540</v>
      </c>
      <c r="C1574" s="8">
        <v>798.65</v>
      </c>
      <c r="D1574" s="8">
        <f t="shared" si="51"/>
        <v>-0.04587539573502178</v>
      </c>
      <c r="E1574" s="8">
        <v>-0.001569802704341964</v>
      </c>
      <c r="F1574" s="9"/>
      <c r="G1574" s="9">
        <v>1571.0</v>
      </c>
      <c r="H1574" s="10">
        <f t="shared" si="52"/>
        <v>0.0035768492945475747</v>
      </c>
      <c r="K1574" s="7"/>
    </row>
    <row r="1575" spans="8:8">
      <c r="B1575" s="7" t="s">
        <v>9541</v>
      </c>
      <c r="C1575" s="8">
        <v>837.05</v>
      </c>
      <c r="D1575" s="8">
        <f t="shared" si="51"/>
        <v>-0.0011336515513127034</v>
      </c>
      <c r="E1575" s="8">
        <v>-0.0015822784810126233</v>
      </c>
      <c r="F1575" s="9"/>
      <c r="G1575" s="9">
        <v>1572.0</v>
      </c>
      <c r="H1575" s="10">
        <f t="shared" si="52"/>
        <v>0.0030466144620330026</v>
      </c>
      <c r="K1575" s="7"/>
    </row>
    <row r="1576" spans="8:8">
      <c r="B1576" s="7" t="s">
        <v>9542</v>
      </c>
      <c r="C1576" s="8">
        <v>838.0</v>
      </c>
      <c r="D1576" s="8">
        <f t="shared" si="51"/>
        <v>0.09435194253999347</v>
      </c>
      <c r="E1576" s="8">
        <v>-0.001595461797553713</v>
      </c>
      <c r="F1576" s="9"/>
      <c r="G1576" s="9">
        <v>1573.0</v>
      </c>
      <c r="H1576" s="10">
        <f t="shared" si="52"/>
        <v>-0.0016392496477190934</v>
      </c>
      <c r="K1576" s="7"/>
    </row>
    <row r="1577" spans="8:8">
      <c r="B1577" s="7" t="s">
        <v>9543</v>
      </c>
      <c r="C1577" s="8">
        <v>765.75</v>
      </c>
      <c r="D1577" s="8">
        <f t="shared" si="51"/>
        <v>0.08172058200310782</v>
      </c>
      <c r="E1577" s="8">
        <v>-0.0015988246478263843</v>
      </c>
      <c r="F1577" s="9"/>
      <c r="G1577" s="9">
        <v>1574.0</v>
      </c>
      <c r="H1577" s="10">
        <f t="shared" si="52"/>
        <v>-0.004977710102779718</v>
      </c>
      <c r="K1577" s="7"/>
    </row>
    <row r="1578" spans="8:8">
      <c r="B1578" s="7" t="s">
        <v>9544</v>
      </c>
      <c r="C1578" s="8">
        <v>707.9</v>
      </c>
      <c r="D1578" s="8">
        <f t="shared" si="51"/>
        <v>-0.022305089427525692</v>
      </c>
      <c r="E1578" s="8">
        <v>-0.001608767784425178</v>
      </c>
      <c r="F1578" s="9"/>
      <c r="G1578" s="9">
        <v>1575.0</v>
      </c>
      <c r="H1578" s="10">
        <f t="shared" si="52"/>
        <v>-0.002699292817492905</v>
      </c>
      <c r="K1578" s="7"/>
    </row>
    <row r="1579" spans="8:8">
      <c r="B1579" s="7" t="s">
        <v>9545</v>
      </c>
      <c r="C1579" s="8">
        <v>724.05</v>
      </c>
      <c r="D1579" s="8">
        <f t="shared" si="51"/>
        <v>-0.1626575690991096</v>
      </c>
      <c r="E1579" s="8">
        <v>-0.001617051422235227</v>
      </c>
      <c r="F1579" s="9"/>
      <c r="G1579" s="9">
        <v>1576.0</v>
      </c>
      <c r="H1579" s="10">
        <f t="shared" si="52"/>
        <v>0.02494560884985411</v>
      </c>
      <c r="K1579" s="7"/>
    </row>
    <row r="1580" spans="8:8">
      <c r="B1580" s="7" t="s">
        <v>9546</v>
      </c>
      <c r="C1580" s="8">
        <v>864.7</v>
      </c>
      <c r="D1580" s="8">
        <f t="shared" si="51"/>
        <v>0.025619736686039642</v>
      </c>
      <c r="E1580" s="8">
        <v>-0.0016195268667940203</v>
      </c>
      <c r="F1580" s="9"/>
      <c r="G1580" s="9">
        <v>1577.0</v>
      </c>
      <c r="H1580" s="10">
        <f t="shared" si="52"/>
        <v>-0.006976527234587555</v>
      </c>
      <c r="K1580" s="7"/>
    </row>
    <row r="1581" spans="8:8">
      <c r="B1581" s="7" t="s">
        <v>9547</v>
      </c>
      <c r="C1581" s="8">
        <v>843.1</v>
      </c>
      <c r="D1581" s="8">
        <f t="shared" si="51"/>
        <v>-0.06793433198828139</v>
      </c>
      <c r="E1581" s="8">
        <v>-0.001639680262348842</v>
      </c>
      <c r="F1581" s="9"/>
      <c r="G1581" s="9">
        <v>1578.0</v>
      </c>
      <c r="H1581" s="10">
        <f t="shared" si="52"/>
        <v>0.016150347660850717</v>
      </c>
      <c r="K1581" s="7"/>
    </row>
    <row r="1582" spans="8:8">
      <c r="B1582" s="7" t="s">
        <v>9548</v>
      </c>
      <c r="C1582" s="8">
        <v>904.55</v>
      </c>
      <c r="D1582" s="8">
        <f t="shared" si="51"/>
        <v>-0.05455970734256602</v>
      </c>
      <c r="E1582" s="8">
        <v>-0.0016404199475065617</v>
      </c>
      <c r="F1582" s="9"/>
      <c r="G1582" s="9">
        <v>1579.0</v>
      </c>
      <c r="H1582" s="10">
        <f t="shared" si="52"/>
        <v>-0.004327490764505477</v>
      </c>
      <c r="K1582" s="7"/>
    </row>
    <row r="1583" spans="8:8">
      <c r="B1583" s="7" t="s">
        <v>9549</v>
      </c>
      <c r="C1583" s="8">
        <v>956.75</v>
      </c>
      <c r="D1583" s="8">
        <f t="shared" si="51"/>
        <v>-0.012336120573965154</v>
      </c>
      <c r="E1583" s="8">
        <v>-0.0016495919430455494</v>
      </c>
      <c r="F1583" s="9"/>
      <c r="G1583" s="9">
        <v>1580.0</v>
      </c>
      <c r="H1583" s="10">
        <f t="shared" si="52"/>
        <v>-0.008456090915849961</v>
      </c>
      <c r="K1583" s="7"/>
    </row>
    <row r="1584" spans="8:8">
      <c r="B1584" s="7" t="s">
        <v>9550</v>
      </c>
      <c r="C1584" s="8">
        <v>968.7</v>
      </c>
      <c r="D1584" s="8">
        <f t="shared" si="51"/>
        <v>-0.07870084169480242</v>
      </c>
      <c r="E1584" s="8">
        <v>-0.0016504183618638911</v>
      </c>
      <c r="F1584" s="9"/>
      <c r="G1584" s="9">
        <v>1581.0</v>
      </c>
      <c r="H1584" s="10">
        <f t="shared" si="52"/>
        <v>0.01582490904536233</v>
      </c>
      <c r="K1584" s="7"/>
    </row>
    <row r="1585" spans="8:8">
      <c r="B1585" s="7" t="s">
        <v>9551</v>
      </c>
      <c r="C1585" s="8">
        <v>1051.45</v>
      </c>
      <c r="D1585" s="8">
        <f t="shared" si="51"/>
        <v>0.03433180856819644</v>
      </c>
      <c r="E1585" s="8">
        <v>-0.0016603729226971778</v>
      </c>
      <c r="F1585" s="9"/>
      <c r="G1585" s="9">
        <v>1582.0</v>
      </c>
      <c r="H1585" s="10">
        <f t="shared" si="52"/>
        <v>0.010369248441974739</v>
      </c>
      <c r="K1585" s="7"/>
    </row>
    <row r="1586" spans="8:8">
      <c r="B1586" s="7">
        <v>44168.0</v>
      </c>
      <c r="C1586" s="8">
        <v>1016.55</v>
      </c>
      <c r="D1586" s="8">
        <f t="shared" si="51"/>
        <v>-0.08988764044943828</v>
      </c>
      <c r="E1586" s="8">
        <v>-0.001669165700059308</v>
      </c>
      <c r="F1586" s="9"/>
      <c r="G1586" s="9">
        <v>1583.0</v>
      </c>
      <c r="H1586" s="10">
        <f t="shared" si="52"/>
        <v>0.03070677128375062</v>
      </c>
      <c r="K1586" s="7"/>
    </row>
    <row r="1587" spans="8:8">
      <c r="B1587" s="7">
        <v>44138.0</v>
      </c>
      <c r="C1587" s="8">
        <v>1116.95</v>
      </c>
      <c r="D1587" s="8">
        <f t="shared" si="51"/>
        <v>0.013612232859930124</v>
      </c>
      <c r="E1587" s="8">
        <v>-0.0016783135842121989</v>
      </c>
      <c r="F1587" s="9"/>
      <c r="G1587" s="9">
        <v>1584.0</v>
      </c>
      <c r="H1587" s="10">
        <f t="shared" si="52"/>
        <v>0.007320751234842761</v>
      </c>
      <c r="K1587" s="7"/>
    </row>
    <row r="1588" spans="8:8">
      <c r="B1588" s="7">
        <v>44077.0</v>
      </c>
      <c r="C1588" s="8">
        <v>1101.95</v>
      </c>
      <c r="D1588" s="8">
        <f t="shared" si="51"/>
        <v>-0.049141427215462975</v>
      </c>
      <c r="E1588" s="8">
        <v>-0.0016982974567995583</v>
      </c>
      <c r="F1588" s="9"/>
      <c r="G1588" s="9">
        <v>1585.0</v>
      </c>
      <c r="H1588" s="10">
        <f t="shared" si="52"/>
        <v>0.0020865834701881093</v>
      </c>
      <c r="K1588" s="7"/>
    </row>
    <row r="1589" spans="8:8">
      <c r="B1589" s="7">
        <v>43985.0</v>
      </c>
      <c r="C1589" s="8">
        <v>1158.9</v>
      </c>
      <c r="D1589" s="8">
        <f t="shared" si="51"/>
        <v>-0.019916275529620664</v>
      </c>
      <c r="E1589" s="8">
        <v>-0.0017016621592877053</v>
      </c>
      <c r="F1589" s="9"/>
      <c r="G1589" s="9">
        <v>1586.0</v>
      </c>
      <c r="H1589" s="10">
        <f t="shared" si="52"/>
        <v>0.03548749102687498</v>
      </c>
      <c r="K1589" s="7"/>
    </row>
    <row r="1590" spans="8:8">
      <c r="B1590" s="7">
        <v>43954.0</v>
      </c>
      <c r="C1590" s="8">
        <v>1182.45</v>
      </c>
      <c r="D1590" s="8">
        <f t="shared" si="51"/>
        <v>0.004929248289635792</v>
      </c>
      <c r="E1590" s="8">
        <v>-0.0017073811400053595</v>
      </c>
      <c r="F1590" s="9"/>
      <c r="G1590" s="9">
        <v>1587.0</v>
      </c>
      <c r="H1590" s="10">
        <f t="shared" si="52"/>
        <v>0.013589700433174708</v>
      </c>
      <c r="K1590" s="7"/>
    </row>
    <row r="1591" spans="8:8">
      <c r="B1591" s="7">
        <v>43924.0</v>
      </c>
      <c r="C1591" s="8">
        <v>1176.65</v>
      </c>
      <c r="D1591" s="8">
        <f t="shared" si="51"/>
        <v>-0.003936341318885858</v>
      </c>
      <c r="E1591" s="8">
        <v>-0.0017092598738798841</v>
      </c>
      <c r="F1591" s="9"/>
      <c r="G1591" s="9">
        <v>1588.0</v>
      </c>
      <c r="H1591" s="10">
        <f t="shared" si="52"/>
        <v>-0.0023494441497149254</v>
      </c>
      <c r="K1591" s="7"/>
    </row>
    <row r="1592" spans="8:8">
      <c r="B1592" s="7">
        <v>43893.0</v>
      </c>
      <c r="C1592" s="8">
        <v>1181.3</v>
      </c>
      <c r="D1592" s="8">
        <f t="shared" si="51"/>
        <v>0.017572573003703903</v>
      </c>
      <c r="E1592" s="8">
        <v>-0.001712137566531399</v>
      </c>
      <c r="F1592" s="9"/>
      <c r="G1592" s="9">
        <v>1589.0</v>
      </c>
      <c r="H1592" s="10">
        <f t="shared" si="52"/>
        <v>-0.004810133477299006</v>
      </c>
      <c r="K1592" s="7"/>
    </row>
    <row r="1593" spans="8:8">
      <c r="B1593" s="7">
        <v>43864.0</v>
      </c>
      <c r="C1593" s="8">
        <v>1160.9</v>
      </c>
      <c r="D1593" s="8">
        <f t="shared" si="51"/>
        <v>-0.022441160372194742</v>
      </c>
      <c r="E1593" s="8">
        <v>-0.001717812845746256</v>
      </c>
      <c r="F1593" s="9"/>
      <c r="G1593" s="9">
        <v>1590.0</v>
      </c>
      <c r="H1593" s="10">
        <f t="shared" si="52"/>
        <v>0.00392653786365127</v>
      </c>
      <c r="K1593" s="7"/>
    </row>
    <row r="1594" spans="8:8">
      <c r="B1594" s="7" t="s">
        <v>9552</v>
      </c>
      <c r="C1594" s="8">
        <v>1187.55</v>
      </c>
      <c r="D1594" s="8">
        <f t="shared" si="51"/>
        <v>-0.018837526335357506</v>
      </c>
      <c r="E1594" s="8">
        <v>-0.0017184401850627291</v>
      </c>
      <c r="F1594" s="9"/>
      <c r="G1594" s="9">
        <v>1591.0</v>
      </c>
      <c r="H1594" s="10">
        <f t="shared" si="52"/>
        <v>0.00869664416032814</v>
      </c>
      <c r="K1594" s="7"/>
    </row>
    <row r="1595" spans="8:8">
      <c r="B1595" s="7" t="s">
        <v>9553</v>
      </c>
      <c r="C1595" s="8">
        <v>1210.35</v>
      </c>
      <c r="D1595" s="8">
        <f t="shared" si="51"/>
        <v>-6.605292490609601E-4</v>
      </c>
      <c r="E1595" s="8">
        <v>-0.0017376194613379161</v>
      </c>
      <c r="F1595" s="9"/>
      <c r="G1595" s="9">
        <v>1592.0</v>
      </c>
      <c r="H1595" s="10">
        <f t="shared" si="52"/>
        <v>0.021309379404682853</v>
      </c>
      <c r="K1595" s="7"/>
    </row>
    <row r="1596" spans="8:8">
      <c r="B1596" s="7" t="s">
        <v>9554</v>
      </c>
      <c r="C1596" s="8">
        <v>1211.15</v>
      </c>
      <c r="D1596" s="8">
        <f t="shared" si="51"/>
        <v>-0.024878225514270654</v>
      </c>
      <c r="E1596" s="8">
        <v>-0.0017499343774608452</v>
      </c>
      <c r="F1596" s="9"/>
      <c r="G1596" s="9">
        <v>1593.0</v>
      </c>
      <c r="H1596" s="10">
        <f t="shared" si="52"/>
        <v>0.0024232875241330734</v>
      </c>
      <c r="K1596" s="7"/>
    </row>
    <row r="1597" spans="8:8">
      <c r="B1597" s="7" t="s">
        <v>9555</v>
      </c>
      <c r="C1597" s="8">
        <v>1242.05</v>
      </c>
      <c r="D1597" s="8">
        <f t="shared" si="51"/>
        <v>-0.014011272525204486</v>
      </c>
      <c r="E1597" s="8">
        <v>-0.001778078828161305</v>
      </c>
      <c r="F1597" s="9"/>
      <c r="G1597" s="9">
        <v>1594.0</v>
      </c>
      <c r="H1597" s="10">
        <f t="shared" si="52"/>
        <v>0.014901955687175273</v>
      </c>
      <c r="K1597" s="7"/>
    </row>
    <row r="1598" spans="8:8">
      <c r="B1598" s="7" t="s">
        <v>9556</v>
      </c>
      <c r="C1598" s="8">
        <v>1259.7</v>
      </c>
      <c r="D1598" s="8">
        <f t="shared" si="51"/>
        <v>-0.016320474777447965</v>
      </c>
      <c r="E1598" s="8">
        <v>-0.001789955595332284</v>
      </c>
      <c r="F1598" s="9"/>
      <c r="G1598" s="9">
        <v>1595.0</v>
      </c>
      <c r="H1598" s="10">
        <f t="shared" si="52"/>
        <v>0.008866792734814138</v>
      </c>
      <c r="K1598" s="7"/>
    </row>
    <row r="1599" spans="8:8">
      <c r="B1599" s="7" t="s">
        <v>9557</v>
      </c>
      <c r="C1599" s="8">
        <v>1280.6</v>
      </c>
      <c r="D1599" s="8">
        <f t="shared" si="51"/>
        <v>-6.243171531139237E-4</v>
      </c>
      <c r="E1599" s="8">
        <v>-0.0018068479537446923</v>
      </c>
      <c r="F1599" s="9"/>
      <c r="G1599" s="9">
        <v>1596.0</v>
      </c>
      <c r="H1599" s="10">
        <f t="shared" si="52"/>
        <v>-0.0015502485573299831</v>
      </c>
      <c r="K1599" s="7"/>
    </row>
    <row r="1600" spans="8:8">
      <c r="B1600" s="7" t="s">
        <v>9558</v>
      </c>
      <c r="C1600" s="8">
        <v>1281.4</v>
      </c>
      <c r="D1600" s="8">
        <f t="shared" si="51"/>
        <v>-0.00384809732965353</v>
      </c>
      <c r="E1600" s="8">
        <v>-0.0018076372674550659</v>
      </c>
      <c r="F1600" s="9"/>
      <c r="G1600" s="9">
        <v>1597.0</v>
      </c>
      <c r="H1600" s="10">
        <f t="shared" si="52"/>
        <v>0.006070013615164315</v>
      </c>
      <c r="K1600" s="7"/>
    </row>
    <row r="1601" spans="8:8">
      <c r="B1601" s="7" t="s">
        <v>9559</v>
      </c>
      <c r="C1601" s="8">
        <v>1286.35</v>
      </c>
      <c r="D1601" s="8">
        <f t="shared" si="51"/>
        <v>0.004803936884861634</v>
      </c>
      <c r="E1601" s="8">
        <v>-0.0018338620142742954</v>
      </c>
      <c r="F1601" s="9"/>
      <c r="G1601" s="9">
        <v>1598.0</v>
      </c>
      <c r="H1601" s="10">
        <f t="shared" si="52"/>
        <v>0.002333266347166397</v>
      </c>
      <c r="K1601" s="7"/>
    </row>
    <row r="1602" spans="8:8">
      <c r="B1602" s="7" t="s">
        <v>9560</v>
      </c>
      <c r="C1602" s="8">
        <v>1280.2</v>
      </c>
      <c r="D1602" s="8">
        <f t="shared" si="51"/>
        <v>-0.011543064509902362</v>
      </c>
      <c r="E1602" s="8">
        <v>-0.0018504021066115645</v>
      </c>
      <c r="F1602" s="9"/>
      <c r="G1602" s="9">
        <v>1599.0</v>
      </c>
      <c r="H1602" s="10">
        <f t="shared" si="52"/>
        <v>-0.010831236490067654</v>
      </c>
      <c r="K1602" s="7"/>
    </row>
    <row r="1603" spans="8:8">
      <c r="B1603" s="7" t="s">
        <v>9561</v>
      </c>
      <c r="C1603" s="8">
        <v>1295.15</v>
      </c>
      <c r="D1603" s="8">
        <f t="shared" si="51"/>
        <v>0.0022441478042175204</v>
      </c>
      <c r="E1603" s="8">
        <v>-0.0018673638158245745</v>
      </c>
      <c r="F1603" s="9"/>
      <c r="G1603" s="9">
        <v>1600.0</v>
      </c>
      <c r="H1603" s="10">
        <f t="shared" si="52"/>
        <v>0.0052436036279597505</v>
      </c>
      <c r="K1603" s="7"/>
    </row>
    <row r="1604" spans="8:8">
      <c r="B1604" s="7" t="s">
        <v>9562</v>
      </c>
      <c r="C1604" s="8">
        <v>1292.25</v>
      </c>
      <c r="D1604" s="8">
        <f t="shared" si="53" ref="D1604:D1667">(C1604-C1605)/C1605</f>
        <v>-0.003892700223541166</v>
      </c>
      <c r="E1604" s="8">
        <v>-0.0018965131038601983</v>
      </c>
      <c r="F1604" s="9"/>
      <c r="G1604" s="9">
        <v>1601.0</v>
      </c>
      <c r="H1604" s="10">
        <f t="shared" si="52"/>
        <v>0.02924799182762853</v>
      </c>
      <c r="K1604" s="7"/>
    </row>
    <row r="1605" spans="8:8">
      <c r="B1605" s="7">
        <v>44167.0</v>
      </c>
      <c r="C1605" s="8">
        <v>1297.3</v>
      </c>
      <c r="D1605" s="8">
        <f t="shared" si="53"/>
        <v>0.008081436009013803</v>
      </c>
      <c r="E1605" s="8">
        <v>-0.0019017834502577974</v>
      </c>
      <c r="F1605" s="9"/>
      <c r="G1605" s="9">
        <v>1602.0</v>
      </c>
      <c r="H1605" s="10">
        <f t="shared" si="54" ref="H1605:H1668">_xlfn.NORM.INV(RAND(),N$6,N$7)</f>
        <v>0.014149355261180253</v>
      </c>
      <c r="K1605" s="7"/>
    </row>
    <row r="1606" spans="8:8">
      <c r="B1606" s="7">
        <v>44137.0</v>
      </c>
      <c r="C1606" s="8">
        <v>1286.9</v>
      </c>
      <c r="D1606" s="8">
        <f t="shared" si="53"/>
        <v>0.0012448455613476516</v>
      </c>
      <c r="E1606" s="8">
        <v>-0.0019256049917605652</v>
      </c>
      <c r="F1606" s="9"/>
      <c r="G1606" s="9">
        <v>1603.0</v>
      </c>
      <c r="H1606" s="10">
        <f t="shared" si="54"/>
        <v>0.02145338351216294</v>
      </c>
      <c r="K1606" s="7"/>
    </row>
    <row r="1607" spans="8:8">
      <c r="B1607" s="7">
        <v>44106.0</v>
      </c>
      <c r="C1607" s="8">
        <v>1285.3</v>
      </c>
      <c r="D1607" s="8">
        <f t="shared" si="53"/>
        <v>-0.010546574287913816</v>
      </c>
      <c r="E1607" s="8">
        <v>-0.0019267049331674955</v>
      </c>
      <c r="F1607" s="9"/>
      <c r="G1607" s="9">
        <v>1604.0</v>
      </c>
      <c r="H1607" s="10">
        <f t="shared" si="54"/>
        <v>-0.003157713829704867</v>
      </c>
      <c r="K1607" s="7"/>
    </row>
    <row r="1608" spans="8:8">
      <c r="B1608" s="7">
        <v>44014.0</v>
      </c>
      <c r="C1608" s="8">
        <v>1299.0</v>
      </c>
      <c r="D1608" s="8">
        <f t="shared" si="53"/>
        <v>-0.01411657559198536</v>
      </c>
      <c r="E1608" s="8">
        <v>-0.0019276874230544348</v>
      </c>
      <c r="F1608" s="9"/>
      <c r="G1608" s="9">
        <v>1605.0</v>
      </c>
      <c r="H1608" s="10">
        <f t="shared" si="54"/>
        <v>-0.011706659943402063</v>
      </c>
      <c r="K1608" s="7"/>
    </row>
    <row r="1609" spans="8:8">
      <c r="B1609" s="7">
        <v>43984.0</v>
      </c>
      <c r="C1609" s="8">
        <v>1317.6</v>
      </c>
      <c r="D1609" s="8">
        <f t="shared" si="53"/>
        <v>0.00576313881149571</v>
      </c>
      <c r="E1609" s="8">
        <v>-0.0019547849736528595</v>
      </c>
      <c r="F1609" s="9"/>
      <c r="G1609" s="9">
        <v>1606.0</v>
      </c>
      <c r="H1609" s="10">
        <f t="shared" si="54"/>
        <v>0.018863682478812486</v>
      </c>
      <c r="K1609" s="7"/>
    </row>
    <row r="1610" spans="8:8">
      <c r="B1610" s="7">
        <v>43953.0</v>
      </c>
      <c r="C1610" s="8">
        <v>1310.05</v>
      </c>
      <c r="D1610" s="8">
        <f t="shared" si="53"/>
        <v>0.014166827946584056</v>
      </c>
      <c r="E1610" s="8">
        <v>-0.001995333494247266</v>
      </c>
      <c r="F1610" s="9"/>
      <c r="G1610" s="9">
        <v>1607.0</v>
      </c>
      <c r="H1610" s="10">
        <f t="shared" si="54"/>
        <v>1.764414083720153E-4</v>
      </c>
      <c r="K1610" s="7"/>
    </row>
    <row r="1611" spans="8:8">
      <c r="B1611" s="7">
        <v>43923.0</v>
      </c>
      <c r="C1611" s="8">
        <v>1291.75</v>
      </c>
      <c r="D1611" s="8">
        <f t="shared" si="53"/>
        <v>0.00396378191427343</v>
      </c>
      <c r="E1611" s="8">
        <v>-0.0020080037331900134</v>
      </c>
      <c r="F1611" s="9"/>
      <c r="G1611" s="9">
        <v>1608.0</v>
      </c>
      <c r="H1611" s="10">
        <f t="shared" si="54"/>
        <v>0.0037395111660012913</v>
      </c>
      <c r="K1611" s="7"/>
    </row>
    <row r="1612" spans="8:8">
      <c r="B1612" s="7">
        <v>43892.0</v>
      </c>
      <c r="C1612" s="8">
        <v>1286.65</v>
      </c>
      <c r="D1612" s="8">
        <f t="shared" si="53"/>
        <v>-5.825695199627155E-4</v>
      </c>
      <c r="E1612" s="8">
        <v>-0.0020301163344925593</v>
      </c>
      <c r="F1612" s="9"/>
      <c r="G1612" s="9">
        <v>1609.0</v>
      </c>
      <c r="H1612" s="10">
        <f t="shared" si="54"/>
        <v>-0.018520040345628035</v>
      </c>
      <c r="K1612" s="7"/>
    </row>
    <row r="1613" spans="8:8">
      <c r="B1613" s="7">
        <v>43832.0</v>
      </c>
      <c r="C1613" s="8">
        <v>1287.4</v>
      </c>
      <c r="D1613" s="8">
        <f t="shared" si="53"/>
        <v>-0.05981158256043224</v>
      </c>
      <c r="E1613" s="8">
        <v>-0.0020323938696362996</v>
      </c>
      <c r="F1613" s="9"/>
      <c r="G1613" s="9">
        <v>1610.0</v>
      </c>
      <c r="H1613" s="10">
        <f t="shared" si="54"/>
        <v>0.01717877988332304</v>
      </c>
      <c r="K1613" s="7"/>
    </row>
    <row r="1614" spans="8:8">
      <c r="B1614" s="7" t="s">
        <v>9563</v>
      </c>
      <c r="C1614" s="8">
        <v>1369.3</v>
      </c>
      <c r="D1614" s="8">
        <f t="shared" si="53"/>
        <v>-6.568384177493001E-4</v>
      </c>
      <c r="E1614" s="8">
        <v>-0.0020332403998707237</v>
      </c>
      <c r="F1614" s="9"/>
      <c r="G1614" s="9">
        <v>1611.0</v>
      </c>
      <c r="H1614" s="10">
        <f t="shared" si="54"/>
        <v>0.0122865531414095</v>
      </c>
      <c r="K1614" s="7"/>
    </row>
    <row r="1615" spans="8:8">
      <c r="B1615" s="7" t="s">
        <v>9564</v>
      </c>
      <c r="C1615" s="8">
        <v>1370.2</v>
      </c>
      <c r="D1615" s="8">
        <f t="shared" si="53"/>
        <v>0.003295013546166801</v>
      </c>
      <c r="E1615" s="8">
        <v>-0.0020360051435918767</v>
      </c>
      <c r="F1615" s="9"/>
      <c r="G1615" s="9">
        <v>1612.0</v>
      </c>
      <c r="H1615" s="10">
        <f t="shared" si="54"/>
        <v>-0.003948739287501197</v>
      </c>
      <c r="K1615" s="7"/>
    </row>
    <row r="1616" spans="8:8">
      <c r="B1616" s="7" t="s">
        <v>9565</v>
      </c>
      <c r="C1616" s="8">
        <v>1365.7</v>
      </c>
      <c r="D1616" s="8">
        <f t="shared" si="53"/>
        <v>0.014146214680874729</v>
      </c>
      <c r="E1616" s="8">
        <v>-0.002040282500653905</v>
      </c>
      <c r="F1616" s="9"/>
      <c r="G1616" s="9">
        <v>1613.0</v>
      </c>
      <c r="H1616" s="10">
        <f t="shared" si="54"/>
        <v>0.015792884207848096</v>
      </c>
      <c r="K1616" s="7"/>
    </row>
    <row r="1617" spans="8:8">
      <c r="B1617" s="7" t="s">
        <v>9566</v>
      </c>
      <c r="C1617" s="8">
        <v>1346.65</v>
      </c>
      <c r="D1617" s="8">
        <f t="shared" si="53"/>
        <v>-0.0014459439418655037</v>
      </c>
      <c r="E1617" s="8">
        <v>-0.0020475961638913064</v>
      </c>
      <c r="F1617" s="9"/>
      <c r="G1617" s="9">
        <v>1614.0</v>
      </c>
      <c r="H1617" s="10">
        <f t="shared" si="54"/>
        <v>0.01827152814188808</v>
      </c>
      <c r="K1617" s="7"/>
    </row>
    <row r="1618" spans="8:8">
      <c r="B1618" s="7" t="s">
        <v>9567</v>
      </c>
      <c r="C1618" s="8">
        <v>1348.6</v>
      </c>
      <c r="D1618" s="8">
        <f t="shared" si="53"/>
        <v>-0.007798705120659311</v>
      </c>
      <c r="E1618" s="8">
        <v>-0.0020605069501227085</v>
      </c>
      <c r="F1618" s="9"/>
      <c r="G1618" s="9">
        <v>1615.0</v>
      </c>
      <c r="H1618" s="10">
        <f t="shared" si="54"/>
        <v>0.009827530373732893</v>
      </c>
      <c r="K1618" s="7"/>
    </row>
    <row r="1619" spans="8:8">
      <c r="B1619" s="7" t="s">
        <v>9568</v>
      </c>
      <c r="C1619" s="8">
        <v>1359.2</v>
      </c>
      <c r="D1619" s="8">
        <f t="shared" si="53"/>
        <v>0.020190647752007875</v>
      </c>
      <c r="E1619" s="8">
        <v>-0.002073637889004884</v>
      </c>
      <c r="F1619" s="9"/>
      <c r="G1619" s="9">
        <v>1616.0</v>
      </c>
      <c r="H1619" s="10">
        <f t="shared" si="54"/>
        <v>0.00924690000583668</v>
      </c>
      <c r="K1619" s="7"/>
    </row>
    <row r="1620" spans="8:8">
      <c r="B1620" s="7" t="s">
        <v>9569</v>
      </c>
      <c r="C1620" s="8">
        <v>1332.3</v>
      </c>
      <c r="D1620" s="8">
        <f t="shared" si="53"/>
        <v>0.029439035697728256</v>
      </c>
      <c r="E1620" s="8">
        <v>-0.002074586317609309</v>
      </c>
      <c r="F1620" s="9"/>
      <c r="G1620" s="9">
        <v>1617.0</v>
      </c>
      <c r="H1620" s="10">
        <f t="shared" si="54"/>
        <v>0.003221575987588152</v>
      </c>
      <c r="K1620" s="7"/>
    </row>
    <row r="1621" spans="8:8">
      <c r="B1621" s="7" t="s">
        <v>9570</v>
      </c>
      <c r="C1621" s="8">
        <v>1294.2</v>
      </c>
      <c r="D1621" s="8">
        <f t="shared" si="53"/>
        <v>-0.006257918378316017</v>
      </c>
      <c r="E1621" s="8">
        <v>-0.002077922077922053</v>
      </c>
      <c r="F1621" s="9"/>
      <c r="G1621" s="9">
        <v>1618.0</v>
      </c>
      <c r="H1621" s="10">
        <f t="shared" si="54"/>
        <v>-0.007745359745941136</v>
      </c>
      <c r="K1621" s="7"/>
    </row>
    <row r="1622" spans="8:8">
      <c r="B1622" s="7" t="s">
        <v>9571</v>
      </c>
      <c r="C1622" s="8">
        <v>1302.35</v>
      </c>
      <c r="D1622" s="8">
        <f t="shared" si="53"/>
        <v>-0.005536041539401344</v>
      </c>
      <c r="E1622" s="8">
        <v>-0.0020838955353662016</v>
      </c>
      <c r="F1622" s="9"/>
      <c r="G1622" s="9">
        <v>1619.0</v>
      </c>
      <c r="H1622" s="10">
        <f t="shared" si="54"/>
        <v>-0.011975779114201293</v>
      </c>
      <c r="K1622" s="7"/>
    </row>
    <row r="1623" spans="8:8">
      <c r="B1623" s="7" t="s">
        <v>9572</v>
      </c>
      <c r="C1623" s="8">
        <v>1309.6</v>
      </c>
      <c r="D1623" s="8">
        <f t="shared" si="53"/>
        <v>0.004140469253181922</v>
      </c>
      <c r="E1623" s="8">
        <v>-0.0021079425685082056</v>
      </c>
      <c r="F1623" s="9"/>
      <c r="G1623" s="9">
        <v>1620.0</v>
      </c>
      <c r="H1623" s="10">
        <f t="shared" si="54"/>
        <v>-0.003043169859803758</v>
      </c>
      <c r="K1623" s="7"/>
    </row>
    <row r="1624" spans="8:8">
      <c r="B1624" s="7" t="s">
        <v>9573</v>
      </c>
      <c r="C1624" s="8">
        <v>1304.2</v>
      </c>
      <c r="D1624" s="8">
        <f t="shared" si="53"/>
        <v>-0.011445463503372933</v>
      </c>
      <c r="E1624" s="8">
        <v>-0.0021116536887950677</v>
      </c>
      <c r="F1624" s="9"/>
      <c r="G1624" s="9">
        <v>1621.0</v>
      </c>
      <c r="H1624" s="10">
        <f t="shared" si="54"/>
        <v>0.019041910074766386</v>
      </c>
      <c r="K1624" s="7"/>
    </row>
    <row r="1625" spans="8:8">
      <c r="B1625" s="7" t="s">
        <v>9574</v>
      </c>
      <c r="C1625" s="8">
        <v>1319.3</v>
      </c>
      <c r="D1625" s="8">
        <f t="shared" si="53"/>
        <v>-0.0032487156240555717</v>
      </c>
      <c r="E1625" s="8">
        <v>-0.002134542907647697</v>
      </c>
      <c r="F1625" s="9"/>
      <c r="G1625" s="9">
        <v>1622.0</v>
      </c>
      <c r="H1625" s="10">
        <f t="shared" si="54"/>
        <v>0.020054066853419126</v>
      </c>
      <c r="K1625" s="7"/>
    </row>
    <row r="1626" spans="8:8">
      <c r="B1626" s="7" t="s">
        <v>9575</v>
      </c>
      <c r="C1626" s="8">
        <v>1323.6</v>
      </c>
      <c r="D1626" s="8">
        <f t="shared" si="53"/>
        <v>-0.0018852273584194256</v>
      </c>
      <c r="E1626" s="8">
        <v>-0.0021490781585793203</v>
      </c>
      <c r="F1626" s="9"/>
      <c r="G1626" s="9">
        <v>1623.0</v>
      </c>
      <c r="H1626" s="10">
        <f t="shared" si="54"/>
        <v>0.010744342945187248</v>
      </c>
      <c r="K1626" s="7"/>
    </row>
    <row r="1627" spans="8:8">
      <c r="B1627" s="7" t="s">
        <v>9576</v>
      </c>
      <c r="C1627" s="8">
        <v>1326.1</v>
      </c>
      <c r="D1627" s="8">
        <f t="shared" si="53"/>
        <v>-0.006443395519592519</v>
      </c>
      <c r="E1627" s="8">
        <v>-0.0021610941310857956</v>
      </c>
      <c r="F1627" s="9"/>
      <c r="G1627" s="9">
        <v>1624.0</v>
      </c>
      <c r="H1627" s="10">
        <f t="shared" si="54"/>
        <v>-0.0075285682498630055</v>
      </c>
      <c r="K1627" s="7"/>
    </row>
    <row r="1628" spans="8:8">
      <c r="B1628" s="7" t="s">
        <v>9577</v>
      </c>
      <c r="C1628" s="8">
        <v>1334.7</v>
      </c>
      <c r="D1628" s="8">
        <f t="shared" si="53"/>
        <v>0.007624943379133426</v>
      </c>
      <c r="E1628" s="8">
        <v>-0.0021827372290726325</v>
      </c>
      <c r="F1628" s="9"/>
      <c r="G1628" s="9">
        <v>1625.0</v>
      </c>
      <c r="H1628" s="10">
        <f t="shared" si="54"/>
        <v>-0.00786273646424705</v>
      </c>
      <c r="K1628" s="7"/>
    </row>
    <row r="1629" spans="8:8">
      <c r="B1629" s="7">
        <v>44105.0</v>
      </c>
      <c r="C1629" s="8">
        <v>1324.6</v>
      </c>
      <c r="D1629" s="8">
        <f t="shared" si="53"/>
        <v>0.006420240854005864</v>
      </c>
      <c r="E1629" s="8">
        <v>-0.002194655003346375</v>
      </c>
      <c r="F1629" s="9"/>
      <c r="G1629" s="9">
        <v>1626.0</v>
      </c>
      <c r="H1629" s="10">
        <f t="shared" si="54"/>
        <v>0.008282369342569242</v>
      </c>
      <c r="K1629" s="7"/>
    </row>
    <row r="1630" spans="8:8">
      <c r="B1630" s="7">
        <v>44075.0</v>
      </c>
      <c r="C1630" s="8">
        <v>1316.15</v>
      </c>
      <c r="D1630" s="8">
        <f t="shared" si="53"/>
        <v>0.019046881653826904</v>
      </c>
      <c r="E1630" s="8">
        <v>-0.002213114754098398</v>
      </c>
      <c r="F1630" s="9"/>
      <c r="G1630" s="9">
        <v>1627.0</v>
      </c>
      <c r="H1630" s="10">
        <f t="shared" si="54"/>
        <v>-0.005887110657334595</v>
      </c>
      <c r="K1630" s="7"/>
    </row>
    <row r="1631" spans="8:8">
      <c r="B1631" s="7">
        <v>44044.0</v>
      </c>
      <c r="C1631" s="8">
        <v>1291.55</v>
      </c>
      <c r="D1631" s="8">
        <f t="shared" si="53"/>
        <v>-0.021923513820522565</v>
      </c>
      <c r="E1631" s="8">
        <v>-0.002220770738079647</v>
      </c>
      <c r="F1631" s="9"/>
      <c r="G1631" s="9">
        <v>1628.0</v>
      </c>
      <c r="H1631" s="10">
        <f t="shared" si="54"/>
        <v>-0.0075005266811067955</v>
      </c>
      <c r="K1631" s="7"/>
    </row>
    <row r="1632" spans="8:8">
      <c r="B1632" s="7">
        <v>44013.0</v>
      </c>
      <c r="C1632" s="8">
        <v>1320.5</v>
      </c>
      <c r="D1632" s="8">
        <f t="shared" si="53"/>
        <v>0.0028479210176571104</v>
      </c>
      <c r="E1632" s="8">
        <v>-0.0022452532417877717</v>
      </c>
      <c r="F1632" s="9"/>
      <c r="G1632" s="9">
        <v>1629.0</v>
      </c>
      <c r="H1632" s="10">
        <f t="shared" si="54"/>
        <v>-0.020329528069639228</v>
      </c>
      <c r="K1632" s="7"/>
    </row>
    <row r="1633" spans="8:8">
      <c r="B1633" s="7">
        <v>43983.0</v>
      </c>
      <c r="C1633" s="8">
        <v>1316.75</v>
      </c>
      <c r="D1633" s="8">
        <f t="shared" si="53"/>
        <v>-0.013707351784577323</v>
      </c>
      <c r="E1633" s="8">
        <v>-0.002249488752556284</v>
      </c>
      <c r="F1633" s="9"/>
      <c r="G1633" s="9">
        <v>1630.0</v>
      </c>
      <c r="H1633" s="10">
        <f t="shared" si="54"/>
        <v>0.011004198719868123</v>
      </c>
      <c r="K1633" s="7"/>
    </row>
    <row r="1634" spans="8:8">
      <c r="B1634" s="7">
        <v>43891.0</v>
      </c>
      <c r="C1634" s="8">
        <v>1335.05</v>
      </c>
      <c r="D1634" s="8">
        <f t="shared" si="53"/>
        <v>-0.007619118412250056</v>
      </c>
      <c r="E1634" s="8">
        <v>-0.0022571606475715006</v>
      </c>
      <c r="F1634" s="9"/>
      <c r="G1634" s="9">
        <v>1631.0</v>
      </c>
      <c r="H1634" s="10">
        <f t="shared" si="54"/>
        <v>-0.010768586133620053</v>
      </c>
      <c r="K1634" s="7"/>
    </row>
    <row r="1635" spans="8:8">
      <c r="B1635" s="7">
        <v>43862.0</v>
      </c>
      <c r="C1635" s="8">
        <v>1345.3</v>
      </c>
      <c r="D1635" s="8">
        <f t="shared" si="53"/>
        <v>0.026985762815374563</v>
      </c>
      <c r="E1635" s="8">
        <v>-0.0022723418687467588</v>
      </c>
      <c r="F1635" s="9"/>
      <c r="G1635" s="9">
        <v>1632.0</v>
      </c>
      <c r="H1635" s="10">
        <f t="shared" si="54"/>
        <v>0.018517488835722115</v>
      </c>
      <c r="K1635" s="7"/>
    </row>
    <row r="1636" spans="8:8">
      <c r="B1636" s="7">
        <v>43831.0</v>
      </c>
      <c r="C1636" s="8">
        <v>1309.95</v>
      </c>
      <c r="D1636" s="8">
        <f t="shared" si="53"/>
        <v>0.009050993683561855</v>
      </c>
      <c r="E1636" s="8">
        <v>-0.0022754087308274216</v>
      </c>
      <c r="F1636" s="9"/>
      <c r="G1636" s="9">
        <v>1633.0</v>
      </c>
      <c r="H1636" s="10">
        <f t="shared" si="54"/>
        <v>-0.0023331517543081345</v>
      </c>
      <c r="K1636" s="7"/>
    </row>
    <row r="1637" spans="8:8">
      <c r="B1637" s="7" t="s">
        <v>9578</v>
      </c>
      <c r="C1637" s="8">
        <v>1298.2</v>
      </c>
      <c r="D1637" s="8">
        <f t="shared" si="53"/>
        <v>-0.003148276126852422</v>
      </c>
      <c r="E1637" s="8">
        <v>-0.002279402095296661</v>
      </c>
      <c r="F1637" s="9"/>
      <c r="G1637" s="9">
        <v>1634.0</v>
      </c>
      <c r="H1637" s="10">
        <f t="shared" si="54"/>
        <v>0.008385595990649895</v>
      </c>
      <c r="K1637" s="7"/>
    </row>
    <row r="1638" spans="8:8">
      <c r="B1638" s="7" t="s">
        <v>9579</v>
      </c>
      <c r="C1638" s="8">
        <v>1302.3</v>
      </c>
      <c r="D1638" s="8">
        <f t="shared" si="53"/>
        <v>0.0020775623268698413</v>
      </c>
      <c r="E1638" s="8">
        <v>-0.0023191741647485844</v>
      </c>
      <c r="F1638" s="9"/>
      <c r="G1638" s="9">
        <v>1635.0</v>
      </c>
      <c r="H1638" s="10">
        <f t="shared" si="54"/>
        <v>-0.015306905848338253</v>
      </c>
      <c r="K1638" s="7"/>
    </row>
    <row r="1639" spans="8:8">
      <c r="B1639" s="7" t="s">
        <v>9580</v>
      </c>
      <c r="C1639" s="8">
        <v>1299.6</v>
      </c>
      <c r="D1639" s="8">
        <f t="shared" si="53"/>
        <v>0.015868052841397605</v>
      </c>
      <c r="E1639" s="8">
        <v>-0.0023464515066687875</v>
      </c>
      <c r="F1639" s="9"/>
      <c r="G1639" s="9">
        <v>1636.0</v>
      </c>
      <c r="H1639" s="10">
        <f t="shared" si="54"/>
        <v>-0.01408038837011823</v>
      </c>
      <c r="K1639" s="7"/>
    </row>
    <row r="1640" spans="8:8">
      <c r="B1640" s="7" t="s">
        <v>9581</v>
      </c>
      <c r="C1640" s="8">
        <v>1279.3</v>
      </c>
      <c r="D1640" s="8">
        <f t="shared" si="53"/>
        <v>-0.016679477325134546</v>
      </c>
      <c r="E1640" s="8">
        <v>-0.0023493670886076687</v>
      </c>
      <c r="F1640" s="9"/>
      <c r="G1640" s="9">
        <v>1637.0</v>
      </c>
      <c r="H1640" s="10">
        <f t="shared" si="54"/>
        <v>0.008926673421656296</v>
      </c>
      <c r="K1640" s="7"/>
    </row>
    <row r="1641" spans="8:8">
      <c r="B1641" s="7" t="s">
        <v>9582</v>
      </c>
      <c r="C1641" s="8">
        <v>1301.0</v>
      </c>
      <c r="D1641" s="8">
        <f t="shared" si="53"/>
        <v>-0.007816968541468065</v>
      </c>
      <c r="E1641" s="8">
        <v>-0.0023720989870496508</v>
      </c>
      <c r="F1641" s="9"/>
      <c r="G1641" s="9">
        <v>1638.0</v>
      </c>
      <c r="H1641" s="10">
        <f t="shared" si="54"/>
        <v>0.0013537786779122618</v>
      </c>
      <c r="K1641" s="7"/>
    </row>
    <row r="1642" spans="8:8">
      <c r="B1642" s="7" t="s">
        <v>9583</v>
      </c>
      <c r="C1642" s="8">
        <v>1311.25</v>
      </c>
      <c r="D1642" s="8">
        <f t="shared" si="53"/>
        <v>-2.287369905836259E-4</v>
      </c>
      <c r="E1642" s="8">
        <v>-0.002372375010983058</v>
      </c>
      <c r="F1642" s="9"/>
      <c r="G1642" s="9">
        <v>1639.0</v>
      </c>
      <c r="H1642" s="10">
        <f t="shared" si="54"/>
        <v>-0.006639916194858947</v>
      </c>
      <c r="K1642" s="7"/>
    </row>
    <row r="1643" spans="8:8">
      <c r="B1643" s="7" t="s">
        <v>9584</v>
      </c>
      <c r="C1643" s="8">
        <v>1311.55</v>
      </c>
      <c r="D1643" s="8">
        <f t="shared" si="53"/>
        <v>-1.5246807699641356E-4</v>
      </c>
      <c r="E1643" s="8">
        <v>-0.002403020940611024</v>
      </c>
      <c r="F1643" s="9"/>
      <c r="G1643" s="9">
        <v>1640.0</v>
      </c>
      <c r="H1643" s="10">
        <f t="shared" si="54"/>
        <v>0.015417338069446427</v>
      </c>
      <c r="K1643" s="7"/>
    </row>
    <row r="1644" spans="8:8">
      <c r="B1644" s="7" t="s">
        <v>9585</v>
      </c>
      <c r="C1644" s="8">
        <v>1311.75</v>
      </c>
      <c r="D1644" s="8">
        <f t="shared" si="53"/>
        <v>-0.00576041232425051</v>
      </c>
      <c r="E1644" s="8">
        <v>-0.002411398101448506</v>
      </c>
      <c r="F1644" s="9"/>
      <c r="G1644" s="9">
        <v>1641.0</v>
      </c>
      <c r="H1644" s="10">
        <f t="shared" si="54"/>
        <v>0.008706092851821948</v>
      </c>
      <c r="K1644" s="7"/>
    </row>
    <row r="1645" spans="8:8">
      <c r="B1645" s="7" t="s">
        <v>9586</v>
      </c>
      <c r="C1645" s="8">
        <v>1319.35</v>
      </c>
      <c r="D1645" s="8">
        <f t="shared" si="53"/>
        <v>0.0010622557760156786</v>
      </c>
      <c r="E1645" s="8">
        <v>-0.0024333591416879166</v>
      </c>
      <c r="F1645" s="9"/>
      <c r="G1645" s="9">
        <v>1642.0</v>
      </c>
      <c r="H1645" s="10">
        <f t="shared" si="54"/>
        <v>-0.0039026203407997112</v>
      </c>
      <c r="K1645" s="7"/>
    </row>
    <row r="1646" spans="8:8">
      <c r="B1646" s="7" t="s">
        <v>9587</v>
      </c>
      <c r="C1646" s="8">
        <v>1317.95</v>
      </c>
      <c r="D1646" s="8">
        <f t="shared" si="53"/>
        <v>0.01147352264006143</v>
      </c>
      <c r="E1646" s="8">
        <v>-0.002435181206130992</v>
      </c>
      <c r="F1646" s="9"/>
      <c r="G1646" s="9">
        <v>1643.0</v>
      </c>
      <c r="H1646" s="10">
        <f t="shared" si="54"/>
        <v>-4.978129638923854E-4</v>
      </c>
      <c r="K1646" s="7"/>
    </row>
    <row r="1647" spans="8:8">
      <c r="B1647" s="7" t="s">
        <v>9588</v>
      </c>
      <c r="C1647" s="8">
        <v>1303.0</v>
      </c>
      <c r="D1647" s="8">
        <f t="shared" si="53"/>
        <v>-0.0017620470389948322</v>
      </c>
      <c r="E1647" s="8">
        <v>-0.0024356526890921062</v>
      </c>
      <c r="F1647" s="9"/>
      <c r="G1647" s="9">
        <v>1644.0</v>
      </c>
      <c r="H1647" s="10">
        <f t="shared" si="54"/>
        <v>0.012658686872210615</v>
      </c>
      <c r="K1647" s="7"/>
    </row>
    <row r="1648" spans="8:8">
      <c r="B1648" s="7" t="s">
        <v>9589</v>
      </c>
      <c r="C1648" s="8">
        <v>1305.3</v>
      </c>
      <c r="D1648" s="8">
        <f t="shared" si="53"/>
        <v>0.020004688598890295</v>
      </c>
      <c r="E1648" s="8">
        <v>-0.002452765679118788</v>
      </c>
      <c r="F1648" s="9"/>
      <c r="G1648" s="9">
        <v>1645.0</v>
      </c>
      <c r="H1648" s="10">
        <f t="shared" si="54"/>
        <v>-0.005318316771266751</v>
      </c>
      <c r="K1648" s="7"/>
    </row>
    <row r="1649" spans="8:8">
      <c r="B1649" s="7">
        <v>43811.0</v>
      </c>
      <c r="C1649" s="8">
        <v>1279.7</v>
      </c>
      <c r="D1649" s="8">
        <f t="shared" si="53"/>
        <v>0.012180653325951191</v>
      </c>
      <c r="E1649" s="8">
        <v>-0.002467759910842331</v>
      </c>
      <c r="F1649" s="9"/>
      <c r="G1649" s="9">
        <v>1646.0</v>
      </c>
      <c r="H1649" s="10">
        <f t="shared" si="54"/>
        <v>0.025469408089867487</v>
      </c>
      <c r="K1649" s="7"/>
    </row>
    <row r="1650" spans="8:8">
      <c r="B1650" s="7">
        <v>43781.0</v>
      </c>
      <c r="C1650" s="8">
        <v>1264.3</v>
      </c>
      <c r="D1650" s="8">
        <f t="shared" si="53"/>
        <v>-0.01149335418295547</v>
      </c>
      <c r="E1650" s="8">
        <v>-0.0024678604224059814</v>
      </c>
      <c r="F1650" s="9"/>
      <c r="G1650" s="9">
        <v>1647.0</v>
      </c>
      <c r="H1650" s="10">
        <f t="shared" si="54"/>
        <v>0.017471922635667027</v>
      </c>
      <c r="K1650" s="7"/>
    </row>
    <row r="1651" spans="8:8">
      <c r="B1651" s="7">
        <v>43750.0</v>
      </c>
      <c r="C1651" s="8">
        <v>1279.0</v>
      </c>
      <c r="D1651" s="8">
        <f t="shared" si="53"/>
        <v>0.0023510971786833857</v>
      </c>
      <c r="E1651" s="8">
        <v>-0.0024888368347850552</v>
      </c>
      <c r="F1651" s="9"/>
      <c r="G1651" s="9">
        <v>1648.0</v>
      </c>
      <c r="H1651" s="10">
        <f t="shared" si="54"/>
        <v>0.018816852582915794</v>
      </c>
      <c r="K1651" s="7"/>
    </row>
    <row r="1652" spans="8:8">
      <c r="B1652" s="7">
        <v>43720.0</v>
      </c>
      <c r="C1652" s="8">
        <v>1276.0</v>
      </c>
      <c r="D1652" s="8">
        <f t="shared" si="53"/>
        <v>-0.01146575766966219</v>
      </c>
      <c r="E1652" s="8">
        <v>-0.0025037875767482368</v>
      </c>
      <c r="F1652" s="9"/>
      <c r="G1652" s="9">
        <v>1649.0</v>
      </c>
      <c r="H1652" s="10">
        <f t="shared" si="54"/>
        <v>0.008431014789197486</v>
      </c>
      <c r="K1652" s="7"/>
    </row>
    <row r="1653" spans="8:8">
      <c r="B1653" s="7">
        <v>43628.0</v>
      </c>
      <c r="C1653" s="8">
        <v>1290.8</v>
      </c>
      <c r="D1653" s="8">
        <f t="shared" si="53"/>
        <v>-0.008754415604361918</v>
      </c>
      <c r="E1653" s="8">
        <v>-0.0025046963055728863</v>
      </c>
      <c r="F1653" s="9"/>
      <c r="G1653" s="9">
        <v>1650.0</v>
      </c>
      <c r="H1653" s="10">
        <f t="shared" si="54"/>
        <v>-0.01783583787617554</v>
      </c>
      <c r="K1653" s="7"/>
    </row>
    <row r="1654" spans="8:8">
      <c r="B1654" s="7">
        <v>43597.0</v>
      </c>
      <c r="C1654" s="8">
        <v>1302.2</v>
      </c>
      <c r="D1654" s="8">
        <f t="shared" si="53"/>
        <v>0.01330635748190813</v>
      </c>
      <c r="E1654" s="8">
        <v>-0.0025116923609907016</v>
      </c>
      <c r="F1654" s="9"/>
      <c r="G1654" s="9">
        <v>1651.0</v>
      </c>
      <c r="H1654" s="10">
        <f t="shared" si="54"/>
        <v>-0.004574105208000441</v>
      </c>
      <c r="K1654" s="7"/>
    </row>
    <row r="1655" spans="8:8">
      <c r="B1655" s="7">
        <v>43567.0</v>
      </c>
      <c r="C1655" s="8">
        <v>1285.1</v>
      </c>
      <c r="D1655" s="8">
        <f t="shared" si="53"/>
        <v>-0.021398111483399433</v>
      </c>
      <c r="E1655" s="8">
        <v>-0.0025182120694308674</v>
      </c>
      <c r="F1655" s="9"/>
      <c r="G1655" s="9">
        <v>1652.0</v>
      </c>
      <c r="H1655" s="10">
        <f t="shared" si="54"/>
        <v>-0.01665888688850256</v>
      </c>
      <c r="K1655" s="7"/>
    </row>
    <row r="1656" spans="8:8">
      <c r="B1656" s="7">
        <v>43536.0</v>
      </c>
      <c r="C1656" s="8">
        <v>1313.2</v>
      </c>
      <c r="D1656" s="8">
        <f t="shared" si="53"/>
        <v>-0.015112311096111197</v>
      </c>
      <c r="E1656" s="8">
        <v>-0.0025243775676879222</v>
      </c>
      <c r="F1656" s="9"/>
      <c r="G1656" s="9">
        <v>1653.0</v>
      </c>
      <c r="H1656" s="10">
        <f t="shared" si="54"/>
        <v>-7.053205044508038E-4</v>
      </c>
      <c r="K1656" s="7"/>
    </row>
    <row r="1657" spans="8:8">
      <c r="B1657" s="7">
        <v>43508.0</v>
      </c>
      <c r="C1657" s="8">
        <v>1333.35</v>
      </c>
      <c r="D1657" s="8">
        <f t="shared" si="53"/>
        <v>0.0021043929202209273</v>
      </c>
      <c r="E1657" s="8">
        <v>-0.0025332381243837847</v>
      </c>
      <c r="F1657" s="9"/>
      <c r="G1657" s="9">
        <v>1654.0</v>
      </c>
      <c r="H1657" s="10">
        <f t="shared" si="54"/>
        <v>0.006741813619265178</v>
      </c>
      <c r="K1657" s="7"/>
    </row>
    <row r="1658" spans="8:8">
      <c r="B1658" s="7" t="s">
        <v>9590</v>
      </c>
      <c r="C1658" s="8">
        <v>1330.55</v>
      </c>
      <c r="D1658" s="8">
        <f t="shared" si="53"/>
        <v>-0.01433439514038087</v>
      </c>
      <c r="E1658" s="8">
        <v>-0.0025401912815179156</v>
      </c>
      <c r="F1658" s="9"/>
      <c r="G1658" s="9">
        <v>1655.0</v>
      </c>
      <c r="H1658" s="10">
        <f t="shared" si="54"/>
        <v>0.008215495630805765</v>
      </c>
      <c r="K1658" s="7"/>
    </row>
    <row r="1659" spans="8:8">
      <c r="B1659" s="7" t="s">
        <v>9591</v>
      </c>
      <c r="C1659" s="8">
        <v>1349.9</v>
      </c>
      <c r="D1659" s="8">
        <f t="shared" si="53"/>
        <v>0.010782478472482284</v>
      </c>
      <c r="E1659" s="8">
        <v>-0.0025426621160408937</v>
      </c>
      <c r="F1659" s="9"/>
      <c r="G1659" s="9">
        <v>1656.0</v>
      </c>
      <c r="H1659" s="10">
        <f t="shared" si="54"/>
        <v>-0.026095121132742722</v>
      </c>
      <c r="K1659" s="7"/>
    </row>
    <row r="1660" spans="8:8">
      <c r="B1660" s="7" t="s">
        <v>9592</v>
      </c>
      <c r="C1660" s="8">
        <v>1335.5</v>
      </c>
      <c r="D1660" s="8">
        <f t="shared" si="53"/>
        <v>-0.020176082171680116</v>
      </c>
      <c r="E1660" s="8">
        <v>-0.0025907260104843814</v>
      </c>
      <c r="F1660" s="9"/>
      <c r="G1660" s="9">
        <v>1657.0</v>
      </c>
      <c r="H1660" s="10">
        <f t="shared" si="54"/>
        <v>-0.006225894607491552</v>
      </c>
      <c r="K1660" s="7"/>
    </row>
    <row r="1661" spans="8:8">
      <c r="B1661" s="7" t="s">
        <v>9593</v>
      </c>
      <c r="C1661" s="8">
        <v>1363.0</v>
      </c>
      <c r="D1661" s="8">
        <f t="shared" si="53"/>
        <v>-0.012926820436687483</v>
      </c>
      <c r="E1661" s="8">
        <v>-0.0026213248317393167</v>
      </c>
      <c r="F1661" s="9"/>
      <c r="G1661" s="9">
        <v>1658.0</v>
      </c>
      <c r="H1661" s="10">
        <f t="shared" si="54"/>
        <v>0.023025405359226724</v>
      </c>
      <c r="K1661" s="7"/>
    </row>
    <row r="1662" spans="8:8">
      <c r="B1662" s="7" t="s">
        <v>9594</v>
      </c>
      <c r="C1662" s="8">
        <v>1380.85</v>
      </c>
      <c r="D1662" s="8">
        <f t="shared" si="53"/>
        <v>0.0015957639720014637</v>
      </c>
      <c r="E1662" s="8">
        <v>-0.0026331708358538555</v>
      </c>
      <c r="F1662" s="9"/>
      <c r="G1662" s="9">
        <v>1659.0</v>
      </c>
      <c r="H1662" s="10">
        <f t="shared" si="54"/>
        <v>-0.0025000798941082784</v>
      </c>
      <c r="K1662" s="7"/>
    </row>
    <row r="1663" spans="8:8">
      <c r="B1663" s="7" t="s">
        <v>9595</v>
      </c>
      <c r="C1663" s="8">
        <v>1378.65</v>
      </c>
      <c r="D1663" s="8">
        <f t="shared" si="53"/>
        <v>-0.01008831765635094</v>
      </c>
      <c r="E1663" s="8">
        <v>-0.0026597888288869185</v>
      </c>
      <c r="F1663" s="9"/>
      <c r="G1663" s="9">
        <v>1660.0</v>
      </c>
      <c r="H1663" s="10">
        <f t="shared" si="54"/>
        <v>0.0139363694794656</v>
      </c>
      <c r="K1663" s="7"/>
    </row>
    <row r="1664" spans="8:8">
      <c r="B1664" s="7" t="s">
        <v>9596</v>
      </c>
      <c r="C1664" s="8">
        <v>1392.7</v>
      </c>
      <c r="D1664" s="8">
        <f t="shared" si="53"/>
        <v>0.008618192352259626</v>
      </c>
      <c r="E1664" s="8">
        <v>-0.0026696329254727474</v>
      </c>
      <c r="F1664" s="9"/>
      <c r="G1664" s="9">
        <v>1661.0</v>
      </c>
      <c r="H1664" s="10">
        <f t="shared" si="54"/>
        <v>-0.024777452132975494</v>
      </c>
      <c r="K1664" s="7"/>
    </row>
    <row r="1665" spans="8:8">
      <c r="B1665" s="7" t="s">
        <v>9597</v>
      </c>
      <c r="C1665" s="8">
        <v>1380.8</v>
      </c>
      <c r="D1665" s="8">
        <f t="shared" si="53"/>
        <v>0.011019586307889405</v>
      </c>
      <c r="E1665" s="8">
        <v>-0.0027365294866354764</v>
      </c>
      <c r="F1665" s="9"/>
      <c r="G1665" s="9">
        <v>1662.0</v>
      </c>
      <c r="H1665" s="10">
        <f t="shared" si="54"/>
        <v>0.007158089299042386</v>
      </c>
      <c r="K1665" s="7"/>
    </row>
    <row r="1666" spans="8:8">
      <c r="B1666" s="7" t="s">
        <v>9598</v>
      </c>
      <c r="C1666" s="8">
        <v>1365.75</v>
      </c>
      <c r="D1666" s="8">
        <f t="shared" si="53"/>
        <v>9.160864785635764E-4</v>
      </c>
      <c r="E1666" s="8">
        <v>-0.002744209882461914</v>
      </c>
      <c r="F1666" s="9"/>
      <c r="G1666" s="9">
        <v>1663.0</v>
      </c>
      <c r="H1666" s="10">
        <f t="shared" si="54"/>
        <v>-0.0027288346203324714</v>
      </c>
      <c r="K1666" s="7"/>
    </row>
    <row r="1667" spans="8:8">
      <c r="B1667" s="7" t="s">
        <v>9599</v>
      </c>
      <c r="C1667" s="8">
        <v>1364.5</v>
      </c>
      <c r="D1667" s="8">
        <f t="shared" si="53"/>
        <v>-0.009545240082749675</v>
      </c>
      <c r="E1667" s="8">
        <v>-0.00276374314462134</v>
      </c>
      <c r="F1667" s="9"/>
      <c r="G1667" s="9">
        <v>1664.0</v>
      </c>
      <c r="H1667" s="10">
        <f t="shared" si="54"/>
        <v>-0.002439953553403142</v>
      </c>
      <c r="K1667" s="7"/>
    </row>
    <row r="1668" spans="8:8">
      <c r="B1668" s="7" t="s">
        <v>9600</v>
      </c>
      <c r="C1668" s="8">
        <v>1377.65</v>
      </c>
      <c r="D1668" s="8">
        <f t="shared" si="55" ref="D1668:D1731">(C1668-C1669)/C1669</f>
        <v>-0.002028324097214643</v>
      </c>
      <c r="E1668" s="8">
        <v>-0.002767548264702519</v>
      </c>
      <c r="F1668" s="9"/>
      <c r="G1668" s="9">
        <v>1665.0</v>
      </c>
      <c r="H1668" s="10">
        <f t="shared" si="54"/>
        <v>0.024300134461526682</v>
      </c>
      <c r="K1668" s="7"/>
    </row>
    <row r="1669" spans="8:8">
      <c r="B1669" s="7" t="s">
        <v>9601</v>
      </c>
      <c r="C1669" s="8">
        <v>1380.45</v>
      </c>
      <c r="D1669" s="8">
        <f t="shared" si="55"/>
        <v>-0.009009332376166515</v>
      </c>
      <c r="E1669" s="8">
        <v>-0.0027806151401657533</v>
      </c>
      <c r="F1669" s="9"/>
      <c r="G1669" s="9">
        <v>1666.0</v>
      </c>
      <c r="H1669" s="10">
        <f t="shared" si="56" ref="H1669:H1732">_xlfn.NORM.INV(RAND(),N$6,N$7)</f>
        <v>0.0040331515892933385</v>
      </c>
      <c r="K1669" s="7"/>
    </row>
    <row r="1670" spans="8:8">
      <c r="B1670" s="7" t="s">
        <v>9602</v>
      </c>
      <c r="C1670" s="8">
        <v>1393.0</v>
      </c>
      <c r="D1670" s="8">
        <f t="shared" si="55"/>
        <v>-0.016937191249117856</v>
      </c>
      <c r="E1670" s="8">
        <v>-0.002798393965202524</v>
      </c>
      <c r="F1670" s="9"/>
      <c r="G1670" s="9">
        <v>1667.0</v>
      </c>
      <c r="H1670" s="10">
        <f t="shared" si="56"/>
        <v>-0.0013170783104376506</v>
      </c>
      <c r="K1670" s="7"/>
    </row>
    <row r="1671" spans="8:8">
      <c r="B1671" s="7">
        <v>43780.0</v>
      </c>
      <c r="C1671" s="8">
        <v>1417.0</v>
      </c>
      <c r="D1671" s="8">
        <f t="shared" si="55"/>
        <v>-0.004216444132115249</v>
      </c>
      <c r="E1671" s="8">
        <v>-0.0028208744710860128</v>
      </c>
      <c r="F1671" s="9"/>
      <c r="G1671" s="9">
        <v>1668.0</v>
      </c>
      <c r="H1671" s="10">
        <f t="shared" si="56"/>
        <v>0.015131041314189516</v>
      </c>
      <c r="K1671" s="7"/>
    </row>
    <row r="1672" spans="8:8">
      <c r="B1672" s="7">
        <v>43688.0</v>
      </c>
      <c r="C1672" s="8">
        <v>1423.0</v>
      </c>
      <c r="D1672" s="8">
        <f t="shared" si="55"/>
        <v>-0.008396919967945336</v>
      </c>
      <c r="E1672" s="8">
        <v>-0.002821088906532395</v>
      </c>
      <c r="F1672" s="9"/>
      <c r="G1672" s="9">
        <v>1669.0</v>
      </c>
      <c r="H1672" s="10">
        <f t="shared" si="56"/>
        <v>0.005785844417073724</v>
      </c>
      <c r="K1672" s="7"/>
    </row>
    <row r="1673" spans="8:8">
      <c r="B1673" s="7">
        <v>43657.0</v>
      </c>
      <c r="C1673" s="8">
        <v>1435.05</v>
      </c>
      <c r="D1673" s="8">
        <f t="shared" si="55"/>
        <v>-0.012387736141220192</v>
      </c>
      <c r="E1673" s="8">
        <v>-0.002823357470271707</v>
      </c>
      <c r="F1673" s="9"/>
      <c r="G1673" s="9">
        <v>1670.0</v>
      </c>
      <c r="H1673" s="10">
        <f t="shared" si="56"/>
        <v>0.014146470111868033</v>
      </c>
      <c r="K1673" s="7"/>
    </row>
    <row r="1674" spans="8:8">
      <c r="B1674" s="7">
        <v>43627.0</v>
      </c>
      <c r="C1674" s="8">
        <v>1453.05</v>
      </c>
      <c r="D1674" s="8">
        <f t="shared" si="55"/>
        <v>0.009202667037088485</v>
      </c>
      <c r="E1674" s="8">
        <v>-0.0028243635442840725</v>
      </c>
      <c r="F1674" s="9"/>
      <c r="G1674" s="9">
        <v>1671.0</v>
      </c>
      <c r="H1674" s="10">
        <f t="shared" si="56"/>
        <v>0.010844916187610066</v>
      </c>
      <c r="K1674" s="7"/>
    </row>
    <row r="1675" spans="8:8">
      <c r="B1675" s="7">
        <v>43596.0</v>
      </c>
      <c r="C1675" s="8">
        <v>1439.8</v>
      </c>
      <c r="D1675" s="8">
        <f t="shared" si="55"/>
        <v>-0.008538768764633033</v>
      </c>
      <c r="E1675" s="8">
        <v>-0.0028344427743181915</v>
      </c>
      <c r="F1675" s="9"/>
      <c r="G1675" s="9">
        <v>1672.0</v>
      </c>
      <c r="H1675" s="10">
        <f t="shared" si="56"/>
        <v>0.012663138261862696</v>
      </c>
      <c r="K1675" s="7"/>
    </row>
    <row r="1676" spans="8:8">
      <c r="B1676" s="7">
        <v>43566.0</v>
      </c>
      <c r="C1676" s="8">
        <v>1452.2</v>
      </c>
      <c r="D1676" s="8">
        <f t="shared" si="55"/>
        <v>0.0019318338622878117</v>
      </c>
      <c r="E1676" s="8">
        <v>-0.002842726174401251</v>
      </c>
      <c r="F1676" s="9"/>
      <c r="G1676" s="9">
        <v>1673.0</v>
      </c>
      <c r="H1676" s="10">
        <f t="shared" si="56"/>
        <v>-0.009550243780484968</v>
      </c>
      <c r="K1676" s="7"/>
    </row>
    <row r="1677" spans="8:8">
      <c r="B1677" s="7">
        <v>43476.0</v>
      </c>
      <c r="C1677" s="8">
        <v>1449.4</v>
      </c>
      <c r="D1677" s="8">
        <f t="shared" si="55"/>
        <v>-0.016055123722887792</v>
      </c>
      <c r="E1677" s="8">
        <v>-0.0028501698155069407</v>
      </c>
      <c r="F1677" s="9"/>
      <c r="G1677" s="9">
        <v>1674.0</v>
      </c>
      <c r="H1677" s="10">
        <f t="shared" si="56"/>
        <v>-0.0022080562635292122</v>
      </c>
      <c r="K1677" s="7"/>
    </row>
    <row r="1678" spans="8:8">
      <c r="B1678" s="7" t="s">
        <v>9603</v>
      </c>
      <c r="C1678" s="8">
        <v>1473.05</v>
      </c>
      <c r="D1678" s="8">
        <f t="shared" si="55"/>
        <v>-8.139732067153098E-4</v>
      </c>
      <c r="E1678" s="8">
        <v>-0.0028532705613809827</v>
      </c>
      <c r="F1678" s="9"/>
      <c r="G1678" s="9">
        <v>1675.0</v>
      </c>
      <c r="H1678" s="10">
        <f t="shared" si="56"/>
        <v>-0.006258371914006278</v>
      </c>
      <c r="K1678" s="7"/>
    </row>
    <row r="1679" spans="8:8">
      <c r="B1679" s="7" t="s">
        <v>9604</v>
      </c>
      <c r="C1679" s="8">
        <v>1474.25</v>
      </c>
      <c r="D1679" s="8">
        <f t="shared" si="55"/>
        <v>0.00900006844158517</v>
      </c>
      <c r="E1679" s="8">
        <v>-0.0028700547054626756</v>
      </c>
      <c r="F1679" s="9"/>
      <c r="G1679" s="9">
        <v>1676.0</v>
      </c>
      <c r="H1679" s="10">
        <f t="shared" si="56"/>
        <v>5.343663968410176E-4</v>
      </c>
      <c r="K1679" s="7"/>
    </row>
    <row r="1680" spans="8:8">
      <c r="B1680" s="7" t="s">
        <v>9605</v>
      </c>
      <c r="C1680" s="8">
        <v>1461.1</v>
      </c>
      <c r="D1680" s="8">
        <f t="shared" si="55"/>
        <v>0.018614054656999314</v>
      </c>
      <c r="E1680" s="8">
        <v>-0.0028719485546607583</v>
      </c>
      <c r="F1680" s="9"/>
      <c r="G1680" s="9">
        <v>1677.0</v>
      </c>
      <c r="H1680" s="10">
        <f t="shared" si="56"/>
        <v>-0.013551396658684146</v>
      </c>
      <c r="K1680" s="7"/>
    </row>
    <row r="1681" spans="8:8">
      <c r="B1681" s="7" t="s">
        <v>9606</v>
      </c>
      <c r="C1681" s="8">
        <v>1434.4</v>
      </c>
      <c r="D1681" s="8">
        <f t="shared" si="55"/>
        <v>0.006596491228070239</v>
      </c>
      <c r="E1681" s="8">
        <v>-0.002876400635384138</v>
      </c>
      <c r="F1681" s="9"/>
      <c r="G1681" s="9">
        <v>1678.0</v>
      </c>
      <c r="H1681" s="10">
        <f t="shared" si="56"/>
        <v>-0.0012569245496497324</v>
      </c>
      <c r="K1681" s="7"/>
    </row>
    <row r="1682" spans="8:8">
      <c r="B1682" s="7" t="s">
        <v>9607</v>
      </c>
      <c r="C1682" s="8">
        <v>1425.0</v>
      </c>
      <c r="D1682" s="8">
        <f t="shared" si="55"/>
        <v>-0.005061965438994589</v>
      </c>
      <c r="E1682" s="8">
        <v>-0.002881152460984425</v>
      </c>
      <c r="F1682" s="9"/>
      <c r="G1682" s="9">
        <v>1679.0</v>
      </c>
      <c r="H1682" s="10">
        <f t="shared" si="56"/>
        <v>0.01066382161013426</v>
      </c>
      <c r="K1682" s="7"/>
    </row>
    <row r="1683" spans="8:8">
      <c r="B1683" s="7" t="s">
        <v>9608</v>
      </c>
      <c r="C1683" s="8">
        <v>1432.25</v>
      </c>
      <c r="D1683" s="8">
        <f t="shared" si="55"/>
        <v>3.1428970526613037E-4</v>
      </c>
      <c r="E1683" s="8">
        <v>-0.002894196951934383</v>
      </c>
      <c r="F1683" s="9"/>
      <c r="G1683" s="9">
        <v>1680.0</v>
      </c>
      <c r="H1683" s="10">
        <f t="shared" si="56"/>
        <v>-0.009040888659354256</v>
      </c>
      <c r="K1683" s="7"/>
    </row>
    <row r="1684" spans="8:8">
      <c r="B1684" s="7" t="s">
        <v>9609</v>
      </c>
      <c r="C1684" s="8">
        <v>1431.8</v>
      </c>
      <c r="D1684" s="8">
        <f t="shared" si="55"/>
        <v>-0.007452081383660878</v>
      </c>
      <c r="E1684" s="8">
        <v>-0.002894293489999686</v>
      </c>
      <c r="F1684" s="9"/>
      <c r="G1684" s="9">
        <v>1681.0</v>
      </c>
      <c r="H1684" s="10">
        <f t="shared" si="56"/>
        <v>0.015314548334985089</v>
      </c>
      <c r="K1684" s="7"/>
    </row>
    <row r="1685" spans="8:8">
      <c r="B1685" s="7" t="s">
        <v>9610</v>
      </c>
      <c r="C1685" s="8">
        <v>1442.55</v>
      </c>
      <c r="D1685" s="8">
        <f t="shared" si="55"/>
        <v>-0.0036261914629092417</v>
      </c>
      <c r="E1685" s="8">
        <v>-0.0029089664613279353</v>
      </c>
      <c r="F1685" s="9"/>
      <c r="G1685" s="9">
        <v>1682.0</v>
      </c>
      <c r="H1685" s="10">
        <f t="shared" si="56"/>
        <v>-0.004921205634583333</v>
      </c>
      <c r="K1685" s="7"/>
    </row>
    <row r="1686" spans="8:8">
      <c r="B1686" s="7" t="s">
        <v>9611</v>
      </c>
      <c r="C1686" s="8">
        <v>1447.8</v>
      </c>
      <c r="D1686" s="8">
        <f t="shared" si="55"/>
        <v>0.016463650086004176</v>
      </c>
      <c r="E1686" s="8">
        <v>-0.002911729791475351</v>
      </c>
      <c r="F1686" s="9"/>
      <c r="G1686" s="9">
        <v>1683.0</v>
      </c>
      <c r="H1686" s="10">
        <f t="shared" si="56"/>
        <v>-0.012246407223535406</v>
      </c>
      <c r="K1686" s="7"/>
    </row>
    <row r="1687" spans="8:8">
      <c r="B1687" s="7" t="s">
        <v>9612</v>
      </c>
      <c r="C1687" s="8">
        <v>1424.35</v>
      </c>
      <c r="D1687" s="8">
        <f t="shared" si="55"/>
        <v>1.0532228619566323E-4</v>
      </c>
      <c r="E1687" s="8">
        <v>-0.0029320139270661537</v>
      </c>
      <c r="F1687" s="9"/>
      <c r="G1687" s="9">
        <v>1684.0</v>
      </c>
      <c r="H1687" s="10">
        <f t="shared" si="56"/>
        <v>-0.00544441017794386</v>
      </c>
      <c r="K1687" s="7"/>
    </row>
    <row r="1688" spans="8:8">
      <c r="B1688" s="7" t="s">
        <v>9613</v>
      </c>
      <c r="C1688" s="8">
        <v>1424.2</v>
      </c>
      <c r="D1688" s="8">
        <f t="shared" si="55"/>
        <v>-0.005620527142607753</v>
      </c>
      <c r="E1688" s="8">
        <v>-0.002936127200089878</v>
      </c>
      <c r="F1688" s="9"/>
      <c r="G1688" s="9">
        <v>1685.0</v>
      </c>
      <c r="H1688" s="10">
        <f t="shared" si="56"/>
        <v>0.0021582323093813287</v>
      </c>
      <c r="K1688" s="7"/>
    </row>
    <row r="1689" spans="8:8">
      <c r="B1689" s="7" t="s">
        <v>9614</v>
      </c>
      <c r="C1689" s="8">
        <v>1432.25</v>
      </c>
      <c r="D1689" s="8">
        <f t="shared" si="55"/>
        <v>0.005828856350293166</v>
      </c>
      <c r="E1689" s="8">
        <v>-0.0029538504309146512</v>
      </c>
      <c r="F1689" s="9"/>
      <c r="G1689" s="9">
        <v>1686.0</v>
      </c>
      <c r="H1689" s="10">
        <f t="shared" si="56"/>
        <v>0.0060296235203360846</v>
      </c>
      <c r="K1689" s="7"/>
    </row>
    <row r="1690" spans="8:8">
      <c r="B1690" s="7" t="s">
        <v>9615</v>
      </c>
      <c r="C1690" s="8">
        <v>1423.95</v>
      </c>
      <c r="D1690" s="8">
        <f t="shared" si="55"/>
        <v>-0.0026266022273586888</v>
      </c>
      <c r="E1690" s="8">
        <v>-0.0029683274795636655</v>
      </c>
      <c r="F1690" s="9"/>
      <c r="G1690" s="9">
        <v>1687.0</v>
      </c>
      <c r="H1690" s="10">
        <f t="shared" si="56"/>
        <v>0.005426249515564026</v>
      </c>
      <c r="K1690" s="7"/>
    </row>
    <row r="1691" spans="8:8">
      <c r="B1691" s="7">
        <v>43779.0</v>
      </c>
      <c r="C1691" s="8">
        <v>1427.7</v>
      </c>
      <c r="D1691" s="8">
        <f t="shared" si="55"/>
        <v>0.0018244333730967207</v>
      </c>
      <c r="E1691" s="8">
        <v>-0.002982079652183556</v>
      </c>
      <c r="F1691" s="9"/>
      <c r="G1691" s="9">
        <v>1688.0</v>
      </c>
      <c r="H1691" s="10">
        <f t="shared" si="56"/>
        <v>-0.03052620227146278</v>
      </c>
      <c r="K1691" s="7"/>
    </row>
    <row r="1692" spans="8:8">
      <c r="B1692" s="7">
        <v>43748.0</v>
      </c>
      <c r="C1692" s="8">
        <v>1425.1</v>
      </c>
      <c r="D1692" s="8">
        <f t="shared" si="55"/>
        <v>-8.063102541630787E-4</v>
      </c>
      <c r="E1692" s="8">
        <v>-0.0029843322556577213</v>
      </c>
      <c r="F1692" s="9"/>
      <c r="G1692" s="9">
        <v>1689.0</v>
      </c>
      <c r="H1692" s="10">
        <f t="shared" si="56"/>
        <v>0.01680932141779693</v>
      </c>
      <c r="K1692" s="7"/>
    </row>
    <row r="1693" spans="8:8">
      <c r="B1693" s="7">
        <v>43718.0</v>
      </c>
      <c r="C1693" s="8">
        <v>1426.25</v>
      </c>
      <c r="D1693" s="8">
        <f t="shared" si="55"/>
        <v>0.020316915262724965</v>
      </c>
      <c r="E1693" s="8">
        <v>-0.0029906322841687866</v>
      </c>
      <c r="F1693" s="9"/>
      <c r="G1693" s="9">
        <v>1690.0</v>
      </c>
      <c r="H1693" s="10">
        <f t="shared" si="56"/>
        <v>0.02359607777962558</v>
      </c>
      <c r="K1693" s="7"/>
    </row>
    <row r="1694" spans="8:8">
      <c r="B1694" s="7">
        <v>43656.0</v>
      </c>
      <c r="C1694" s="8">
        <v>1397.85</v>
      </c>
      <c r="D1694" s="8">
        <f t="shared" si="55"/>
        <v>-0.018983788336023707</v>
      </c>
      <c r="E1694" s="8">
        <v>-0.0029933938893477404</v>
      </c>
      <c r="F1694" s="9"/>
      <c r="G1694" s="9">
        <v>1691.0</v>
      </c>
      <c r="H1694" s="10">
        <f t="shared" si="56"/>
        <v>-0.004535896495511615</v>
      </c>
      <c r="K1694" s="7"/>
    </row>
    <row r="1695" spans="8:8">
      <c r="B1695" s="7">
        <v>43565.0</v>
      </c>
      <c r="C1695" s="8">
        <v>1424.9</v>
      </c>
      <c r="D1695" s="8">
        <f t="shared" si="55"/>
        <v>-0.022735845821473793</v>
      </c>
      <c r="E1695" s="8">
        <v>-0.0029978313560401954</v>
      </c>
      <c r="F1695" s="9"/>
      <c r="G1695" s="9">
        <v>1692.0</v>
      </c>
      <c r="H1695" s="10">
        <f t="shared" si="56"/>
        <v>6.61842040386097E-4</v>
      </c>
      <c r="K1695" s="7"/>
    </row>
    <row r="1696" spans="8:8">
      <c r="B1696" s="7">
        <v>43534.0</v>
      </c>
      <c r="C1696" s="8">
        <v>1458.05</v>
      </c>
      <c r="D1696" s="8">
        <f t="shared" si="55"/>
        <v>-0.004098220689184113</v>
      </c>
      <c r="E1696" s="8">
        <v>-0.0030011542901116515</v>
      </c>
      <c r="F1696" s="9"/>
      <c r="G1696" s="9">
        <v>1693.0</v>
      </c>
      <c r="H1696" s="10">
        <f t="shared" si="56"/>
        <v>0.004930584793983942</v>
      </c>
      <c r="K1696" s="7"/>
    </row>
    <row r="1697" spans="8:8">
      <c r="B1697" s="7">
        <v>43475.0</v>
      </c>
      <c r="C1697" s="8">
        <v>1464.05</v>
      </c>
      <c r="D1697" s="8">
        <f t="shared" si="55"/>
        <v>-0.006918772257079902</v>
      </c>
      <c r="E1697" s="8">
        <v>-0.003008218883735954</v>
      </c>
      <c r="F1697" s="9"/>
      <c r="G1697" s="9">
        <v>1694.0</v>
      </c>
      <c r="H1697" s="10">
        <f t="shared" si="56"/>
        <v>0.00820590935669947</v>
      </c>
      <c r="K1697" s="7"/>
    </row>
    <row r="1698" spans="8:8">
      <c r="B1698" s="7" t="s">
        <v>9616</v>
      </c>
      <c r="C1698" s="8">
        <v>1474.25</v>
      </c>
      <c r="D1698" s="8">
        <f t="shared" si="55"/>
        <v>0.0010864767595830027</v>
      </c>
      <c r="E1698" s="8">
        <v>-0.0030230128834160767</v>
      </c>
      <c r="F1698" s="9"/>
      <c r="G1698" s="9">
        <v>1695.0</v>
      </c>
      <c r="H1698" s="10">
        <f t="shared" si="56"/>
        <v>0.033553001306307194</v>
      </c>
      <c r="K1698" s="7"/>
    </row>
    <row r="1699" spans="8:8">
      <c r="B1699" s="7" t="s">
        <v>9617</v>
      </c>
      <c r="C1699" s="8">
        <v>1472.65</v>
      </c>
      <c r="D1699" s="8">
        <f t="shared" si="55"/>
        <v>-0.011544786387891278</v>
      </c>
      <c r="E1699" s="8">
        <v>-0.0030274132267683876</v>
      </c>
      <c r="F1699" s="9"/>
      <c r="G1699" s="9">
        <v>1696.0</v>
      </c>
      <c r="H1699" s="10">
        <f t="shared" si="56"/>
        <v>0.0087833115589359</v>
      </c>
      <c r="K1699" s="7"/>
    </row>
    <row r="1700" spans="8:8">
      <c r="B1700" s="7" t="s">
        <v>9618</v>
      </c>
      <c r="C1700" s="8">
        <v>1489.85</v>
      </c>
      <c r="D1700" s="8">
        <f t="shared" si="55"/>
        <v>0.02741190262740501</v>
      </c>
      <c r="E1700" s="8">
        <v>-0.00304327151688069</v>
      </c>
      <c r="F1700" s="9"/>
      <c r="G1700" s="9">
        <v>1697.0</v>
      </c>
      <c r="H1700" s="10">
        <f t="shared" si="56"/>
        <v>0.01850740675298747</v>
      </c>
      <c r="K1700" s="7"/>
    </row>
    <row r="1701" spans="8:8">
      <c r="B1701" s="7" t="s">
        <v>9619</v>
      </c>
      <c r="C1701" s="8">
        <v>1450.1</v>
      </c>
      <c r="D1701" s="8">
        <f t="shared" si="55"/>
        <v>-0.021062580166070374</v>
      </c>
      <c r="E1701" s="8">
        <v>-0.003054792306448947</v>
      </c>
      <c r="F1701" s="9"/>
      <c r="G1701" s="9">
        <v>1698.0</v>
      </c>
      <c r="H1701" s="10">
        <f t="shared" si="56"/>
        <v>0.010068915189586341</v>
      </c>
      <c r="K1701" s="7"/>
    </row>
    <row r="1702" spans="8:8">
      <c r="B1702" s="7" t="s">
        <v>9620</v>
      </c>
      <c r="C1702" s="8">
        <v>1481.3</v>
      </c>
      <c r="D1702" s="8">
        <f t="shared" si="55"/>
        <v>-0.03087994766110569</v>
      </c>
      <c r="E1702" s="8">
        <v>-0.0030677436604655346</v>
      </c>
      <c r="F1702" s="9"/>
      <c r="G1702" s="9">
        <v>1699.0</v>
      </c>
      <c r="H1702" s="10">
        <f t="shared" si="56"/>
        <v>0.007844890158409229</v>
      </c>
      <c r="K1702" s="7"/>
    </row>
    <row r="1703" spans="8:8">
      <c r="B1703" s="7" t="s">
        <v>9621</v>
      </c>
      <c r="C1703" s="8">
        <v>1528.5</v>
      </c>
      <c r="D1703" s="8">
        <f t="shared" si="55"/>
        <v>0.08289054197662062</v>
      </c>
      <c r="E1703" s="8">
        <v>-0.003070152995957632</v>
      </c>
      <c r="F1703" s="9"/>
      <c r="G1703" s="9">
        <v>1700.0</v>
      </c>
      <c r="H1703" s="10">
        <f t="shared" si="56"/>
        <v>0.009178467331431323</v>
      </c>
      <c r="K1703" s="7"/>
    </row>
    <row r="1704" spans="8:8">
      <c r="B1704" s="7" t="s">
        <v>9622</v>
      </c>
      <c r="C1704" s="8">
        <v>1411.5</v>
      </c>
      <c r="D1704" s="8">
        <f t="shared" si="55"/>
        <v>0.08518490043822553</v>
      </c>
      <c r="E1704" s="8">
        <v>-0.0031188227542279416</v>
      </c>
      <c r="F1704" s="9"/>
      <c r="G1704" s="9">
        <v>1701.0</v>
      </c>
      <c r="H1704" s="10">
        <f t="shared" si="56"/>
        <v>0.00814999300441615</v>
      </c>
      <c r="K1704" s="7"/>
    </row>
    <row r="1705" spans="8:8">
      <c r="B1705" s="7" t="s">
        <v>9623</v>
      </c>
      <c r="C1705" s="8">
        <v>1300.7</v>
      </c>
      <c r="D1705" s="8">
        <f t="shared" si="55"/>
        <v>-0.013125948406676748</v>
      </c>
      <c r="E1705" s="8">
        <v>-0.00313671888690298</v>
      </c>
      <c r="F1705" s="9"/>
      <c r="G1705" s="9">
        <v>1702.0</v>
      </c>
      <c r="H1705" s="10">
        <f t="shared" si="56"/>
        <v>-0.02272176519661276</v>
      </c>
      <c r="K1705" s="7"/>
    </row>
    <row r="1706" spans="8:8">
      <c r="B1706" s="7" t="s">
        <v>9624</v>
      </c>
      <c r="C1706" s="8">
        <v>1318.0</v>
      </c>
      <c r="D1706" s="8">
        <f t="shared" si="55"/>
        <v>0.0032731978381669745</v>
      </c>
      <c r="E1706" s="8">
        <v>-0.003136772749483858</v>
      </c>
      <c r="F1706" s="9"/>
      <c r="G1706" s="9">
        <v>1703.0</v>
      </c>
      <c r="H1706" s="10">
        <f t="shared" si="56"/>
        <v>0.016032944339814986</v>
      </c>
      <c r="K1706" s="7"/>
    </row>
    <row r="1707" spans="8:8">
      <c r="B1707" s="7" t="s">
        <v>9625</v>
      </c>
      <c r="C1707" s="8">
        <v>1313.7</v>
      </c>
      <c r="D1707" s="8">
        <f t="shared" si="55"/>
        <v>-0.022253646918725712</v>
      </c>
      <c r="E1707" s="8">
        <v>-0.0031447704317584817</v>
      </c>
      <c r="F1707" s="9"/>
      <c r="G1707" s="9">
        <v>1704.0</v>
      </c>
      <c r="H1707" s="10">
        <f t="shared" si="56"/>
        <v>0.0025343820106291898</v>
      </c>
      <c r="K1707" s="7"/>
    </row>
    <row r="1708" spans="8:8">
      <c r="B1708" s="7" t="s">
        <v>9626</v>
      </c>
      <c r="C1708" s="8">
        <v>1343.6</v>
      </c>
      <c r="D1708" s="8">
        <f t="shared" si="55"/>
        <v>-0.014558656349701226</v>
      </c>
      <c r="E1708" s="8">
        <v>-0.0031484782355194383</v>
      </c>
      <c r="F1708" s="9"/>
      <c r="G1708" s="9">
        <v>1705.0</v>
      </c>
      <c r="H1708" s="10">
        <f t="shared" si="56"/>
        <v>-0.0055374225684678</v>
      </c>
      <c r="K1708" s="7"/>
    </row>
    <row r="1709" spans="8:8">
      <c r="B1709" s="7" t="s">
        <v>9627</v>
      </c>
      <c r="C1709" s="8">
        <v>1363.45</v>
      </c>
      <c r="D1709" s="8">
        <f t="shared" si="55"/>
        <v>7.706987668819396E-4</v>
      </c>
      <c r="E1709" s="8">
        <v>-0.0031492041875904333</v>
      </c>
      <c r="F1709" s="9"/>
      <c r="G1709" s="9">
        <v>1706.0</v>
      </c>
      <c r="H1709" s="10">
        <f t="shared" si="56"/>
        <v>8.006695939108974E-5</v>
      </c>
      <c r="K1709" s="7"/>
    </row>
    <row r="1710" spans="8:8">
      <c r="B1710" s="7">
        <v>43808.0</v>
      </c>
      <c r="C1710" s="8">
        <v>1362.4</v>
      </c>
      <c r="D1710" s="8">
        <f t="shared" si="55"/>
        <v>-9.166575000916656E-4</v>
      </c>
      <c r="E1710" s="8">
        <v>-0.0031505501936435728</v>
      </c>
      <c r="F1710" s="9"/>
      <c r="G1710" s="9">
        <v>1707.0</v>
      </c>
      <c r="H1710" s="10">
        <f t="shared" si="56"/>
        <v>0.02637160649461414</v>
      </c>
      <c r="K1710" s="7"/>
    </row>
    <row r="1711" spans="8:8">
      <c r="B1711" s="7">
        <v>43778.0</v>
      </c>
      <c r="C1711" s="8">
        <v>1363.65</v>
      </c>
      <c r="D1711" s="8">
        <f t="shared" si="55"/>
        <v>0.004900515843773096</v>
      </c>
      <c r="E1711" s="8">
        <v>-0.0031636225587379258</v>
      </c>
      <c r="F1711" s="9"/>
      <c r="G1711" s="9">
        <v>1708.0</v>
      </c>
      <c r="H1711" s="10">
        <f t="shared" si="56"/>
        <v>0.01092534976488285</v>
      </c>
      <c r="K1711" s="7"/>
    </row>
    <row r="1712" spans="8:8">
      <c r="B1712" s="7">
        <v>43717.0</v>
      </c>
      <c r="C1712" s="8">
        <v>1357.0</v>
      </c>
      <c r="D1712" s="8">
        <f t="shared" si="55"/>
        <v>0.021337447785345957</v>
      </c>
      <c r="E1712" s="8">
        <v>-0.0031649685670930767</v>
      </c>
      <c r="F1712" s="9"/>
      <c r="G1712" s="9">
        <v>1709.0</v>
      </c>
      <c r="H1712" s="10">
        <f t="shared" si="56"/>
        <v>0.015000366345068936</v>
      </c>
      <c r="K1712" s="7"/>
    </row>
    <row r="1713" spans="8:8">
      <c r="B1713" s="7">
        <v>43625.0</v>
      </c>
      <c r="C1713" s="8">
        <v>1328.65</v>
      </c>
      <c r="D1713" s="8">
        <f t="shared" si="55"/>
        <v>0.006324320230250804</v>
      </c>
      <c r="E1713" s="8">
        <v>-0.003171538885824642</v>
      </c>
      <c r="F1713" s="9"/>
      <c r="G1713" s="9">
        <v>1710.0</v>
      </c>
      <c r="H1713" s="10">
        <f t="shared" si="56"/>
        <v>0.008996453683329634</v>
      </c>
      <c r="K1713" s="7"/>
    </row>
    <row r="1714" spans="8:8">
      <c r="B1714" s="7">
        <v>43594.0</v>
      </c>
      <c r="C1714" s="8">
        <v>1320.3</v>
      </c>
      <c r="D1714" s="8">
        <f t="shared" si="55"/>
        <v>0.009365085432514048</v>
      </c>
      <c r="E1714" s="8">
        <v>-0.003173029251363456</v>
      </c>
      <c r="F1714" s="9"/>
      <c r="G1714" s="9">
        <v>1711.0</v>
      </c>
      <c r="H1714" s="10">
        <f t="shared" si="56"/>
        <v>-0.0049883327880795815</v>
      </c>
      <c r="K1714" s="7"/>
    </row>
    <row r="1715" spans="8:8">
      <c r="B1715" s="7">
        <v>43564.0</v>
      </c>
      <c r="C1715" s="8">
        <v>1308.05</v>
      </c>
      <c r="D1715" s="8">
        <f t="shared" si="55"/>
        <v>0.010545426452410278</v>
      </c>
      <c r="E1715" s="8">
        <v>-0.003186569774219979</v>
      </c>
      <c r="F1715" s="9"/>
      <c r="G1715" s="9">
        <v>1712.0</v>
      </c>
      <c r="H1715" s="10">
        <f t="shared" si="56"/>
        <v>8.950638839172981E-4</v>
      </c>
      <c r="K1715" s="7"/>
    </row>
    <row r="1716" spans="8:8">
      <c r="B1716" s="7">
        <v>43533.0</v>
      </c>
      <c r="C1716" s="8">
        <v>1294.4</v>
      </c>
      <c r="D1716" s="8">
        <f t="shared" si="55"/>
        <v>-0.025484660267268894</v>
      </c>
      <c r="E1716" s="8">
        <v>-0.0031925618908926956</v>
      </c>
      <c r="F1716" s="9"/>
      <c r="G1716" s="9">
        <v>1713.0</v>
      </c>
      <c r="H1716" s="10">
        <f t="shared" si="56"/>
        <v>0.01395310146320446</v>
      </c>
      <c r="K1716" s="7"/>
    </row>
    <row r="1717" spans="8:8">
      <c r="B1717" s="7" t="s">
        <v>9628</v>
      </c>
      <c r="C1717" s="8">
        <v>1328.25</v>
      </c>
      <c r="D1717" s="8">
        <f t="shared" si="55"/>
        <v>-0.010577675146187973</v>
      </c>
      <c r="E1717" s="8">
        <v>-0.003200771692901183</v>
      </c>
      <c r="F1717" s="9"/>
      <c r="G1717" s="9">
        <v>1714.0</v>
      </c>
      <c r="H1717" s="10">
        <f t="shared" si="56"/>
        <v>0.005493183752224389</v>
      </c>
      <c r="K1717" s="7"/>
    </row>
    <row r="1718" spans="8:8">
      <c r="B1718" s="7" t="s">
        <v>9629</v>
      </c>
      <c r="C1718" s="8">
        <v>1342.45</v>
      </c>
      <c r="D1718" s="8">
        <f t="shared" si="55"/>
        <v>-0.0016361134867809803</v>
      </c>
      <c r="E1718" s="8">
        <v>-0.003211948448227406</v>
      </c>
      <c r="F1718" s="9"/>
      <c r="G1718" s="9">
        <v>1715.0</v>
      </c>
      <c r="H1718" s="10">
        <f t="shared" si="56"/>
        <v>-7.532866292746633E-4</v>
      </c>
      <c r="K1718" s="7"/>
    </row>
    <row r="1719" spans="8:8">
      <c r="B1719" s="7" t="s">
        <v>9630</v>
      </c>
      <c r="C1719" s="8">
        <v>1344.65</v>
      </c>
      <c r="D1719" s="8">
        <f t="shared" si="55"/>
        <v>-0.009064446000221051</v>
      </c>
      <c r="E1719" s="8">
        <v>-0.0032209099996297133</v>
      </c>
      <c r="F1719" s="9"/>
      <c r="G1719" s="9">
        <v>1716.0</v>
      </c>
      <c r="H1719" s="10">
        <f t="shared" si="56"/>
        <v>0.015798894431201603</v>
      </c>
      <c r="K1719" s="7"/>
    </row>
    <row r="1720" spans="8:8">
      <c r="B1720" s="7" t="s">
        <v>9631</v>
      </c>
      <c r="C1720" s="8">
        <v>1356.95</v>
      </c>
      <c r="D1720" s="8">
        <f t="shared" si="55"/>
        <v>0.017470850672965135</v>
      </c>
      <c r="E1720" s="8">
        <v>-0.003224565866934914</v>
      </c>
      <c r="F1720" s="9"/>
      <c r="G1720" s="9">
        <v>1717.0</v>
      </c>
      <c r="H1720" s="10">
        <f t="shared" si="56"/>
        <v>0.0023556134257013382</v>
      </c>
      <c r="K1720" s="7"/>
    </row>
    <row r="1721" spans="8:8">
      <c r="B1721" s="7" t="s">
        <v>9632</v>
      </c>
      <c r="C1721" s="8">
        <v>1333.65</v>
      </c>
      <c r="D1721" s="8">
        <f t="shared" si="55"/>
        <v>0.0366498251068792</v>
      </c>
      <c r="E1721" s="8">
        <v>-0.003238399432170938</v>
      </c>
      <c r="F1721" s="9"/>
      <c r="G1721" s="9">
        <v>1718.0</v>
      </c>
      <c r="H1721" s="10">
        <f t="shared" si="56"/>
        <v>-0.008346611058304716</v>
      </c>
      <c r="K1721" s="7"/>
    </row>
    <row r="1722" spans="8:8">
      <c r="B1722" s="7" t="s">
        <v>9633</v>
      </c>
      <c r="C1722" s="8">
        <v>1286.5</v>
      </c>
      <c r="D1722" s="8">
        <f t="shared" si="55"/>
        <v>-0.005988023952095809</v>
      </c>
      <c r="E1722" s="8">
        <v>-0.003239341025482816</v>
      </c>
      <c r="F1722" s="9"/>
      <c r="G1722" s="9">
        <v>1719.0</v>
      </c>
      <c r="H1722" s="10">
        <f t="shared" si="56"/>
        <v>0.01682232664808578</v>
      </c>
      <c r="K1722" s="7"/>
    </row>
    <row r="1723" spans="8:8">
      <c r="B1723" s="7" t="s">
        <v>9634</v>
      </c>
      <c r="C1723" s="8">
        <v>1294.25</v>
      </c>
      <c r="D1723" s="8">
        <f t="shared" si="55"/>
        <v>-0.01251287529088627</v>
      </c>
      <c r="E1723" s="8">
        <v>-0.0032492518170158446</v>
      </c>
      <c r="F1723" s="9"/>
      <c r="G1723" s="9">
        <v>1720.0</v>
      </c>
      <c r="H1723" s="10">
        <f t="shared" si="56"/>
        <v>-0.008426935149472892</v>
      </c>
      <c r="K1723" s="7"/>
    </row>
    <row r="1724" spans="8:8">
      <c r="B1724" s="7" t="s">
        <v>9635</v>
      </c>
      <c r="C1724" s="8">
        <v>1310.65</v>
      </c>
      <c r="D1724" s="8">
        <f t="shared" si="55"/>
        <v>-0.02372439478584723</v>
      </c>
      <c r="E1724" s="8">
        <v>-0.0032568677428491477</v>
      </c>
      <c r="F1724" s="9"/>
      <c r="G1724" s="9">
        <v>1721.0</v>
      </c>
      <c r="H1724" s="10">
        <f t="shared" si="56"/>
        <v>-0.004766925462614869</v>
      </c>
      <c r="K1724" s="7"/>
    </row>
    <row r="1725" spans="8:8">
      <c r="B1725" s="7" t="s">
        <v>9636</v>
      </c>
      <c r="C1725" s="8">
        <v>1342.5</v>
      </c>
      <c r="D1725" s="8">
        <f t="shared" si="55"/>
        <v>-0.007173495045111704</v>
      </c>
      <c r="E1725" s="8">
        <v>-0.0032823350694444198</v>
      </c>
      <c r="F1725" s="9"/>
      <c r="G1725" s="9">
        <v>1722.0</v>
      </c>
      <c r="H1725" s="10">
        <f t="shared" si="56"/>
        <v>-0.004711891495202253</v>
      </c>
      <c r="K1725" s="7"/>
    </row>
    <row r="1726" spans="8:8">
      <c r="B1726" s="7" t="s">
        <v>9637</v>
      </c>
      <c r="C1726" s="8">
        <v>1352.2</v>
      </c>
      <c r="D1726" s="8">
        <f t="shared" si="55"/>
        <v>0.012694252012731732</v>
      </c>
      <c r="E1726" s="8">
        <v>-0.0033296337402885985</v>
      </c>
      <c r="F1726" s="9"/>
      <c r="G1726" s="9">
        <v>1723.0</v>
      </c>
      <c r="H1726" s="10">
        <f t="shared" si="56"/>
        <v>0.008954460956327803</v>
      </c>
      <c r="K1726" s="7"/>
    </row>
    <row r="1727" spans="8:8">
      <c r="B1727" s="7" t="s">
        <v>9638</v>
      </c>
      <c r="C1727" s="8">
        <v>1335.25</v>
      </c>
      <c r="D1727" s="8">
        <f t="shared" si="55"/>
        <v>0.0011621804003898587</v>
      </c>
      <c r="E1727" s="8">
        <v>-0.0033375052148520244</v>
      </c>
      <c r="F1727" s="9"/>
      <c r="G1727" s="9">
        <v>1724.0</v>
      </c>
      <c r="H1727" s="10">
        <f t="shared" si="56"/>
        <v>0.019901104728208545</v>
      </c>
      <c r="K1727" s="7"/>
    </row>
    <row r="1728" spans="8:8">
      <c r="B1728" s="7" t="s">
        <v>9639</v>
      </c>
      <c r="C1728" s="8">
        <v>1333.7</v>
      </c>
      <c r="D1728" s="8">
        <f t="shared" si="55"/>
        <v>0.01557205406434422</v>
      </c>
      <c r="E1728" s="8">
        <v>-0.003358856396949881</v>
      </c>
      <c r="F1728" s="9"/>
      <c r="G1728" s="9">
        <v>1725.0</v>
      </c>
      <c r="H1728" s="10">
        <f t="shared" si="56"/>
        <v>0.01830163901068349</v>
      </c>
      <c r="K1728" s="7"/>
    </row>
    <row r="1729" spans="8:8">
      <c r="B1729" s="7" t="s">
        <v>9640</v>
      </c>
      <c r="C1729" s="8">
        <v>1313.25</v>
      </c>
      <c r="D1729" s="8">
        <f t="shared" si="55"/>
        <v>-0.037630074747178596</v>
      </c>
      <c r="E1729" s="8">
        <v>-0.003367003367003449</v>
      </c>
      <c r="F1729" s="9"/>
      <c r="G1729" s="9">
        <v>1726.0</v>
      </c>
      <c r="H1729" s="10">
        <f t="shared" si="56"/>
        <v>-0.015619504065015357</v>
      </c>
      <c r="K1729" s="7"/>
    </row>
    <row r="1730" spans="8:8">
      <c r="B1730" s="7">
        <v>43716.0</v>
      </c>
      <c r="C1730" s="8">
        <v>1364.6</v>
      </c>
      <c r="D1730" s="8">
        <f t="shared" si="55"/>
        <v>0.0029030242898613295</v>
      </c>
      <c r="E1730" s="8">
        <v>-0.0033811569039568397</v>
      </c>
      <c r="F1730" s="9"/>
      <c r="G1730" s="9">
        <v>1727.0</v>
      </c>
      <c r="H1730" s="10">
        <f t="shared" si="56"/>
        <v>-0.0050390359719954805</v>
      </c>
      <c r="K1730" s="7"/>
    </row>
    <row r="1731" spans="8:8">
      <c r="B1731" s="7">
        <v>43685.0</v>
      </c>
      <c r="C1731" s="8">
        <v>1360.65</v>
      </c>
      <c r="D1731" s="8">
        <f t="shared" si="55"/>
        <v>4.4116025146144364E-4</v>
      </c>
      <c r="E1731" s="8">
        <v>-0.0033872209391840576</v>
      </c>
      <c r="F1731" s="9"/>
      <c r="G1731" s="9">
        <v>1728.0</v>
      </c>
      <c r="H1731" s="10">
        <f t="shared" si="56"/>
        <v>-0.014990212535050822</v>
      </c>
      <c r="K1731" s="7"/>
    </row>
    <row r="1732" spans="8:8">
      <c r="B1732" s="7">
        <v>43654.0</v>
      </c>
      <c r="C1732" s="8">
        <v>1360.05</v>
      </c>
      <c r="D1732" s="8">
        <f t="shared" si="57" ref="D1732:D1795">(C1732-C1733)/C1733</f>
        <v>-0.012667876588021812</v>
      </c>
      <c r="E1732" s="8">
        <v>-0.0033925155428024597</v>
      </c>
      <c r="F1732" s="9"/>
      <c r="G1732" s="9">
        <v>1729.0</v>
      </c>
      <c r="H1732" s="10">
        <f t="shared" si="56"/>
        <v>0.004016659698881578</v>
      </c>
      <c r="K1732" s="7"/>
    </row>
    <row r="1733" spans="8:8">
      <c r="B1733" s="7">
        <v>43624.0</v>
      </c>
      <c r="C1733" s="8">
        <v>1377.5</v>
      </c>
      <c r="D1733" s="8">
        <f t="shared" si="57"/>
        <v>0.023554762966265453</v>
      </c>
      <c r="E1733" s="8">
        <v>-0.0033953997809419746</v>
      </c>
      <c r="F1733" s="9"/>
      <c r="G1733" s="9">
        <v>1730.0</v>
      </c>
      <c r="H1733" s="10">
        <f t="shared" si="58" ref="H1733:H1796">_xlfn.NORM.INV(RAND(),N$6,N$7)</f>
        <v>8.454297587165449E-4</v>
      </c>
      <c r="K1733" s="7"/>
    </row>
    <row r="1734" spans="8:8">
      <c r="B1734" s="7">
        <v>43593.0</v>
      </c>
      <c r="C1734" s="8">
        <v>1345.8</v>
      </c>
      <c r="D1734" s="8">
        <f t="shared" si="57"/>
        <v>-0.0178434592227696</v>
      </c>
      <c r="E1734" s="8">
        <v>-0.00340382971172296</v>
      </c>
      <c r="F1734" s="9"/>
      <c r="G1734" s="9">
        <v>1731.0</v>
      </c>
      <c r="H1734" s="10">
        <f t="shared" si="58"/>
        <v>-0.01661986816742591</v>
      </c>
      <c r="K1734" s="7"/>
    </row>
    <row r="1735" spans="8:8">
      <c r="B1735" s="7">
        <v>43504.0</v>
      </c>
      <c r="C1735" s="8">
        <v>1370.25</v>
      </c>
      <c r="D1735" s="8">
        <f t="shared" si="57"/>
        <v>0.008983468944442434</v>
      </c>
      <c r="E1735" s="8">
        <v>-0.0034063260340632356</v>
      </c>
      <c r="F1735" s="9"/>
      <c r="G1735" s="9">
        <v>1732.0</v>
      </c>
      <c r="H1735" s="10">
        <f t="shared" si="58"/>
        <v>-0.0030888685974005846</v>
      </c>
      <c r="K1735" s="7"/>
    </row>
    <row r="1736" spans="8:8">
      <c r="B1736" s="7">
        <v>43473.0</v>
      </c>
      <c r="C1736" s="8">
        <v>1358.05</v>
      </c>
      <c r="D1736" s="8">
        <f t="shared" si="57"/>
        <v>-0.02108412023354718</v>
      </c>
      <c r="E1736" s="8">
        <v>-0.0034146542148351207</v>
      </c>
      <c r="F1736" s="9"/>
      <c r="G1736" s="9">
        <v>1733.0</v>
      </c>
      <c r="H1736" s="10">
        <f t="shared" si="58"/>
        <v>-0.01686555948888589</v>
      </c>
      <c r="K1736" s="7"/>
    </row>
    <row r="1737" spans="8:8">
      <c r="B1737" s="7" t="s">
        <v>9641</v>
      </c>
      <c r="C1737" s="8">
        <v>1387.3</v>
      </c>
      <c r="D1737" s="8">
        <f t="shared" si="57"/>
        <v>0.007955825189813671</v>
      </c>
      <c r="E1737" s="8">
        <v>-0.00341508848183797</v>
      </c>
      <c r="F1737" s="9"/>
      <c r="G1737" s="9">
        <v>1734.0</v>
      </c>
      <c r="H1737" s="10">
        <f t="shared" si="58"/>
        <v>0.004590609649845689</v>
      </c>
      <c r="K1737" s="7"/>
    </row>
    <row r="1738" spans="8:8">
      <c r="B1738" s="7" t="s">
        <v>9642</v>
      </c>
      <c r="C1738" s="8">
        <v>1376.35</v>
      </c>
      <c r="D1738" s="8">
        <f t="shared" si="57"/>
        <v>0.00353627415238783</v>
      </c>
      <c r="E1738" s="8">
        <v>-0.0034380190829372413</v>
      </c>
      <c r="F1738" s="9"/>
      <c r="G1738" s="9">
        <v>1735.0</v>
      </c>
      <c r="H1738" s="10">
        <f t="shared" si="58"/>
        <v>0.0010078273618585082</v>
      </c>
      <c r="K1738" s="7"/>
    </row>
    <row r="1739" spans="8:8">
      <c r="B1739" s="7" t="s">
        <v>9643</v>
      </c>
      <c r="C1739" s="8">
        <v>1371.5</v>
      </c>
      <c r="D1739" s="8">
        <f t="shared" si="57"/>
        <v>-0.014833171712818368</v>
      </c>
      <c r="E1739" s="8">
        <v>-0.003445121357805987</v>
      </c>
      <c r="F1739" s="9"/>
      <c r="G1739" s="9">
        <v>1736.0</v>
      </c>
      <c r="H1739" s="10">
        <f t="shared" si="58"/>
        <v>0.01706114295739883</v>
      </c>
      <c r="K1739" s="7"/>
    </row>
    <row r="1740" spans="8:8">
      <c r="B1740" s="7" t="s">
        <v>9644</v>
      </c>
      <c r="C1740" s="8">
        <v>1392.15</v>
      </c>
      <c r="D1740" s="8">
        <f t="shared" si="57"/>
        <v>0.01439084814922763</v>
      </c>
      <c r="E1740" s="8">
        <v>-0.0034612555704581836</v>
      </c>
      <c r="F1740" s="9"/>
      <c r="G1740" s="9">
        <v>1737.0</v>
      </c>
      <c r="H1740" s="10">
        <f t="shared" si="58"/>
        <v>0.014820381870469718</v>
      </c>
      <c r="K1740" s="7"/>
    </row>
    <row r="1741" spans="8:8">
      <c r="B1741" s="7" t="s">
        <v>9645</v>
      </c>
      <c r="C1741" s="8">
        <v>1372.4</v>
      </c>
      <c r="D1741" s="8">
        <f t="shared" si="57"/>
        <v>-0.010775939741233156</v>
      </c>
      <c r="E1741" s="8">
        <v>-0.0034645669291337765</v>
      </c>
      <c r="F1741" s="9"/>
      <c r="G1741" s="9">
        <v>1738.0</v>
      </c>
      <c r="H1741" s="10">
        <f t="shared" si="58"/>
        <v>-0.006207112162418582</v>
      </c>
      <c r="K1741" s="7"/>
    </row>
    <row r="1742" spans="8:8">
      <c r="B1742" s="7" t="s">
        <v>9646</v>
      </c>
      <c r="C1742" s="8">
        <v>1387.35</v>
      </c>
      <c r="D1742" s="8">
        <f t="shared" si="57"/>
        <v>-0.015714792479602762</v>
      </c>
      <c r="E1742" s="8">
        <v>-0.0034746351633078527</v>
      </c>
      <c r="F1742" s="9"/>
      <c r="G1742" s="9">
        <v>1739.0</v>
      </c>
      <c r="H1742" s="10">
        <f t="shared" si="58"/>
        <v>0.010587300619831085</v>
      </c>
      <c r="K1742" s="7"/>
    </row>
    <row r="1743" spans="8:8">
      <c r="B1743" s="7" t="s">
        <v>9647</v>
      </c>
      <c r="C1743" s="8">
        <v>1409.5</v>
      </c>
      <c r="D1743" s="8">
        <f t="shared" si="57"/>
        <v>0.004131937023580504</v>
      </c>
      <c r="E1743" s="8">
        <v>-0.003490870032223497</v>
      </c>
      <c r="F1743" s="9"/>
      <c r="G1743" s="9">
        <v>1740.0</v>
      </c>
      <c r="H1743" s="10">
        <f t="shared" si="58"/>
        <v>0.0023494138072358787</v>
      </c>
      <c r="K1743" s="7"/>
    </row>
    <row r="1744" spans="8:8">
      <c r="B1744" s="7" t="s">
        <v>9648</v>
      </c>
      <c r="C1744" s="8">
        <v>1403.7</v>
      </c>
      <c r="D1744" s="8">
        <f t="shared" si="57"/>
        <v>-0.005561262441996322</v>
      </c>
      <c r="E1744" s="8">
        <v>-0.003495004780902736</v>
      </c>
      <c r="F1744" s="9"/>
      <c r="G1744" s="9">
        <v>1741.0</v>
      </c>
      <c r="H1744" s="10">
        <f t="shared" si="58"/>
        <v>7.962120183749328E-4</v>
      </c>
      <c r="K1744" s="7"/>
    </row>
    <row r="1745" spans="8:8">
      <c r="B1745" s="7" t="s">
        <v>9649</v>
      </c>
      <c r="C1745" s="8">
        <v>1411.55</v>
      </c>
      <c r="D1745" s="8">
        <f t="shared" si="57"/>
        <v>-0.016478539576365726</v>
      </c>
      <c r="E1745" s="8">
        <v>-0.0035216880914769612</v>
      </c>
      <c r="F1745" s="9"/>
      <c r="G1745" s="9">
        <v>1742.0</v>
      </c>
      <c r="H1745" s="10">
        <f t="shared" si="58"/>
        <v>-0.0028162597115231683</v>
      </c>
      <c r="K1745" s="7"/>
    </row>
    <row r="1746" spans="8:8">
      <c r="B1746" s="7" t="s">
        <v>9650</v>
      </c>
      <c r="C1746" s="8">
        <v>1435.2</v>
      </c>
      <c r="D1746" s="8">
        <f t="shared" si="57"/>
        <v>-0.013913222714624342</v>
      </c>
      <c r="E1746" s="8">
        <v>-0.0035241533436480453</v>
      </c>
      <c r="F1746" s="9"/>
      <c r="G1746" s="9">
        <v>1743.0</v>
      </c>
      <c r="H1746" s="10">
        <f t="shared" si="58"/>
        <v>-0.017296459470233057</v>
      </c>
      <c r="K1746" s="7"/>
    </row>
    <row r="1747" spans="8:8">
      <c r="B1747" s="7" t="s">
        <v>9651</v>
      </c>
      <c r="C1747" s="8">
        <v>1455.45</v>
      </c>
      <c r="D1747" s="8">
        <f t="shared" si="57"/>
        <v>-0.0039351218176840955</v>
      </c>
      <c r="E1747" s="8">
        <v>-0.0035561214982297884</v>
      </c>
      <c r="F1747" s="9"/>
      <c r="G1747" s="9">
        <v>1744.0</v>
      </c>
      <c r="H1747" s="10">
        <f t="shared" si="58"/>
        <v>0.006712165879648169</v>
      </c>
      <c r="K1747" s="7"/>
    </row>
    <row r="1748" spans="8:8">
      <c r="B1748" s="7" t="s">
        <v>9652</v>
      </c>
      <c r="C1748" s="8">
        <v>1461.2</v>
      </c>
      <c r="D1748" s="8">
        <f t="shared" si="57"/>
        <v>0.014299597389976495</v>
      </c>
      <c r="E1748" s="8">
        <v>-0.0035567122099326907</v>
      </c>
      <c r="F1748" s="9"/>
      <c r="G1748" s="9">
        <v>1745.0</v>
      </c>
      <c r="H1748" s="10">
        <f t="shared" si="58"/>
        <v>0.030761078063427223</v>
      </c>
      <c r="K1748" s="7"/>
    </row>
    <row r="1749" spans="8:8">
      <c r="B1749" s="7" t="s">
        <v>9653</v>
      </c>
      <c r="C1749" s="8">
        <v>1440.6</v>
      </c>
      <c r="D1749" s="8">
        <f t="shared" si="57"/>
        <v>-0.01789549033643522</v>
      </c>
      <c r="E1749" s="8">
        <v>-0.0035680427475652536</v>
      </c>
      <c r="F1749" s="9"/>
      <c r="G1749" s="9">
        <v>1746.0</v>
      </c>
      <c r="H1749" s="10">
        <f t="shared" si="58"/>
        <v>0.023557862342047004</v>
      </c>
      <c r="K1749" s="7"/>
    </row>
    <row r="1750" spans="8:8">
      <c r="B1750" s="7">
        <v>43806.0</v>
      </c>
      <c r="C1750" s="8">
        <v>1466.85</v>
      </c>
      <c r="D1750" s="8">
        <f t="shared" si="57"/>
        <v>-0.018960674157303462</v>
      </c>
      <c r="E1750" s="8">
        <v>-0.003568497305784534</v>
      </c>
      <c r="F1750" s="9"/>
      <c r="G1750" s="9">
        <v>1747.0</v>
      </c>
      <c r="H1750" s="10">
        <f t="shared" si="58"/>
        <v>0.002807552958336484</v>
      </c>
      <c r="K1750" s="7"/>
    </row>
    <row r="1751" spans="8:8">
      <c r="B1751" s="7">
        <v>43776.0</v>
      </c>
      <c r="C1751" s="8">
        <v>1495.2</v>
      </c>
      <c r="D1751" s="8">
        <f t="shared" si="57"/>
        <v>-0.002900870261078263</v>
      </c>
      <c r="E1751" s="8">
        <v>-0.0035773252614199817</v>
      </c>
      <c r="F1751" s="9"/>
      <c r="G1751" s="9">
        <v>1748.0</v>
      </c>
      <c r="H1751" s="10">
        <f t="shared" si="58"/>
        <v>0.012149401374797648</v>
      </c>
      <c r="K1751" s="7"/>
    </row>
    <row r="1752" spans="8:8">
      <c r="B1752" s="7">
        <v>43745.0</v>
      </c>
      <c r="C1752" s="8">
        <v>1499.55</v>
      </c>
      <c r="D1752" s="8">
        <f t="shared" si="57"/>
        <v>-0.0177191143718066</v>
      </c>
      <c r="E1752" s="8">
        <v>-0.0035863062611582106</v>
      </c>
      <c r="F1752" s="9"/>
      <c r="G1752" s="9">
        <v>1749.0</v>
      </c>
      <c r="H1752" s="10">
        <f t="shared" si="58"/>
        <v>-0.0013590416066480687</v>
      </c>
      <c r="K1752" s="7"/>
    </row>
    <row r="1753" spans="8:8">
      <c r="B1753" s="7">
        <v>43715.0</v>
      </c>
      <c r="C1753" s="8">
        <v>1526.6</v>
      </c>
      <c r="D1753" s="8">
        <f t="shared" si="57"/>
        <v>0.02432314556983259</v>
      </c>
      <c r="E1753" s="8">
        <v>-0.003588751966439374</v>
      </c>
      <c r="F1753" s="9"/>
      <c r="G1753" s="9">
        <v>1750.0</v>
      </c>
      <c r="H1753" s="10">
        <f t="shared" si="58"/>
        <v>0.006628317134275135</v>
      </c>
      <c r="K1753" s="7"/>
    </row>
    <row r="1754" spans="8:8">
      <c r="B1754" s="7">
        <v>43684.0</v>
      </c>
      <c r="C1754" s="8">
        <v>1490.35</v>
      </c>
      <c r="D1754" s="8">
        <f t="shared" si="57"/>
        <v>-0.04363589694227869</v>
      </c>
      <c r="E1754" s="8">
        <v>-0.003613405336721692</v>
      </c>
      <c r="F1754" s="9"/>
      <c r="G1754" s="9">
        <v>1751.0</v>
      </c>
      <c r="H1754" s="10">
        <f t="shared" si="58"/>
        <v>0.022272266502120965</v>
      </c>
      <c r="K1754" s="7"/>
    </row>
    <row r="1755" spans="8:8">
      <c r="B1755" s="7">
        <v>43592.0</v>
      </c>
      <c r="C1755" s="8">
        <v>1558.35</v>
      </c>
      <c r="D1755" s="8">
        <f t="shared" si="57"/>
        <v>-0.008493987402176075</v>
      </c>
      <c r="E1755" s="8">
        <v>-0.003620840797347258</v>
      </c>
      <c r="F1755" s="9"/>
      <c r="G1755" s="9">
        <v>1752.0</v>
      </c>
      <c r="H1755" s="10">
        <f t="shared" si="58"/>
        <v>-0.0014855232743135058</v>
      </c>
      <c r="K1755" s="7"/>
    </row>
    <row r="1756" spans="8:8">
      <c r="B1756" s="7">
        <v>43562.0</v>
      </c>
      <c r="C1756" s="8">
        <v>1571.7</v>
      </c>
      <c r="D1756" s="8">
        <f t="shared" si="57"/>
        <v>-0.004023953613637026</v>
      </c>
      <c r="E1756" s="8">
        <v>-0.0036211334584004746</v>
      </c>
      <c r="F1756" s="9"/>
      <c r="G1756" s="9">
        <v>1753.0</v>
      </c>
      <c r="H1756" s="10">
        <f t="shared" si="58"/>
        <v>-0.00204348487776964</v>
      </c>
      <c r="K1756" s="7"/>
    </row>
    <row r="1757" spans="8:8">
      <c r="B1757" s="7">
        <v>43531.0</v>
      </c>
      <c r="C1757" s="8">
        <v>1578.05</v>
      </c>
      <c r="D1757" s="8">
        <f t="shared" si="57"/>
        <v>0.009080154746299227</v>
      </c>
      <c r="E1757" s="8">
        <v>-0.003632150796881332</v>
      </c>
      <c r="F1757" s="9"/>
      <c r="G1757" s="9">
        <v>1754.0</v>
      </c>
      <c r="H1757" s="10">
        <f t="shared" si="58"/>
        <v>-0.010419927954799492</v>
      </c>
      <c r="K1757" s="7"/>
    </row>
    <row r="1758" spans="8:8">
      <c r="B1758" s="7">
        <v>43503.0</v>
      </c>
      <c r="C1758" s="8">
        <v>1563.85</v>
      </c>
      <c r="D1758" s="8">
        <f t="shared" si="57"/>
        <v>0.00462531718755007</v>
      </c>
      <c r="E1758" s="8">
        <v>-0.0036665711830421604</v>
      </c>
      <c r="F1758" s="9"/>
      <c r="G1758" s="9">
        <v>1755.0</v>
      </c>
      <c r="H1758" s="10">
        <f t="shared" si="58"/>
        <v>0.02142025350122447</v>
      </c>
      <c r="K1758" s="7"/>
    </row>
    <row r="1759" spans="8:8">
      <c r="B1759" s="7">
        <v>43472.0</v>
      </c>
      <c r="C1759" s="8">
        <v>1556.65</v>
      </c>
      <c r="D1759" s="8">
        <f t="shared" si="57"/>
        <v>0.002221220705639998</v>
      </c>
      <c r="E1759" s="8">
        <v>-0.00368610747051114</v>
      </c>
      <c r="F1759" s="9"/>
      <c r="G1759" s="9">
        <v>1756.0</v>
      </c>
      <c r="H1759" s="10">
        <f t="shared" si="58"/>
        <v>0.014840929153947503</v>
      </c>
      <c r="K1759" s="7"/>
    </row>
    <row r="1760" spans="8:8">
      <c r="B1760" s="7" t="s">
        <v>9654</v>
      </c>
      <c r="C1760" s="8">
        <v>1553.2</v>
      </c>
      <c r="D1760" s="8">
        <f t="shared" si="57"/>
        <v>0.001483009865239509</v>
      </c>
      <c r="E1760" s="8">
        <v>-0.003693163650316615</v>
      </c>
      <c r="F1760" s="9"/>
      <c r="G1760" s="9">
        <v>1757.0</v>
      </c>
      <c r="H1760" s="10">
        <f t="shared" si="58"/>
        <v>0.0018450107709638431</v>
      </c>
      <c r="K1760" s="7"/>
    </row>
    <row r="1761" spans="8:8">
      <c r="B1761" s="7" t="s">
        <v>9655</v>
      </c>
      <c r="C1761" s="8">
        <v>1550.9</v>
      </c>
      <c r="D1761" s="8">
        <f t="shared" si="57"/>
        <v>-1.933986591026009E-4</v>
      </c>
      <c r="E1761" s="8">
        <v>-0.0036965948674202356</v>
      </c>
      <c r="F1761" s="9"/>
      <c r="G1761" s="9">
        <v>1758.0</v>
      </c>
      <c r="H1761" s="10">
        <f t="shared" si="58"/>
        <v>0.004545432571304041</v>
      </c>
      <c r="K1761" s="7"/>
    </row>
    <row r="1762" spans="8:8">
      <c r="B1762" s="7" t="s">
        <v>9656</v>
      </c>
      <c r="C1762" s="8">
        <v>1551.2</v>
      </c>
      <c r="D1762" s="8">
        <f t="shared" si="57"/>
        <v>0.010553745928338791</v>
      </c>
      <c r="E1762" s="8">
        <v>-0.0037133614998679696</v>
      </c>
      <c r="F1762" s="9"/>
      <c r="G1762" s="9">
        <v>1759.0</v>
      </c>
      <c r="H1762" s="10">
        <f t="shared" si="58"/>
        <v>0.01128201697813129</v>
      </c>
      <c r="K1762" s="7"/>
    </row>
    <row r="1763" spans="8:8">
      <c r="B1763" s="7" t="s">
        <v>9657</v>
      </c>
      <c r="C1763" s="8">
        <v>1535.0</v>
      </c>
      <c r="D1763" s="8">
        <f t="shared" si="57"/>
        <v>-0.003893575600259572</v>
      </c>
      <c r="E1763" s="8">
        <v>-0.0037210401193095133</v>
      </c>
      <c r="F1763" s="9"/>
      <c r="G1763" s="9">
        <v>1760.0</v>
      </c>
      <c r="H1763" s="10">
        <f t="shared" si="58"/>
        <v>-0.0018503621627894333</v>
      </c>
      <c r="K1763" s="7"/>
    </row>
    <row r="1764" spans="8:8">
      <c r="B1764" s="7" t="s">
        <v>9658</v>
      </c>
      <c r="C1764" s="8">
        <v>1541.0</v>
      </c>
      <c r="D1764" s="8">
        <f t="shared" si="57"/>
        <v>8.118201006656925E-4</v>
      </c>
      <c r="E1764" s="8">
        <v>-0.0037228293503061235</v>
      </c>
      <c r="F1764" s="9"/>
      <c r="G1764" s="9">
        <v>1761.0</v>
      </c>
      <c r="H1764" s="10">
        <f t="shared" si="58"/>
        <v>-0.009916501458506147</v>
      </c>
      <c r="K1764" s="7"/>
    </row>
    <row r="1765" spans="8:8">
      <c r="B1765" s="7" t="s">
        <v>9659</v>
      </c>
      <c r="C1765" s="8">
        <v>1539.75</v>
      </c>
      <c r="D1765" s="8">
        <f t="shared" si="57"/>
        <v>-0.011142508509408459</v>
      </c>
      <c r="E1765" s="8">
        <v>-0.0037309120924474393</v>
      </c>
      <c r="F1765" s="9"/>
      <c r="G1765" s="9">
        <v>1762.0</v>
      </c>
      <c r="H1765" s="10">
        <f t="shared" si="58"/>
        <v>0.012272690553282603</v>
      </c>
      <c r="K1765" s="7"/>
    </row>
    <row r="1766" spans="8:8">
      <c r="B1766" s="7" t="s">
        <v>9660</v>
      </c>
      <c r="C1766" s="8">
        <v>1557.1</v>
      </c>
      <c r="D1766" s="8">
        <f t="shared" si="57"/>
        <v>0.034514832408729906</v>
      </c>
      <c r="E1766" s="8">
        <v>-0.0037327430972388274</v>
      </c>
      <c r="F1766" s="9"/>
      <c r="G1766" s="9">
        <v>1763.0</v>
      </c>
      <c r="H1766" s="10">
        <f t="shared" si="58"/>
        <v>0.004342802361082872</v>
      </c>
      <c r="K1766" s="7"/>
    </row>
    <row r="1767" spans="8:8">
      <c r="B1767" s="7" t="s">
        <v>9661</v>
      </c>
      <c r="C1767" s="8">
        <v>1505.15</v>
      </c>
      <c r="D1767" s="8">
        <f t="shared" si="57"/>
        <v>-9.964791071538137E-5</v>
      </c>
      <c r="E1767" s="8">
        <v>-0.0037417745473312196</v>
      </c>
      <c r="F1767" s="9"/>
      <c r="G1767" s="9">
        <v>1764.0</v>
      </c>
      <c r="H1767" s="10">
        <f t="shared" si="58"/>
        <v>-0.008826537089404285</v>
      </c>
      <c r="K1767" s="7"/>
    </row>
    <row r="1768" spans="8:8">
      <c r="B1768" s="7" t="s">
        <v>9662</v>
      </c>
      <c r="C1768" s="8">
        <v>1505.3</v>
      </c>
      <c r="D1768" s="8">
        <f t="shared" si="57"/>
        <v>0.004370308590492047</v>
      </c>
      <c r="E1768" s="8">
        <v>-0.003744984395898391</v>
      </c>
      <c r="F1768" s="9"/>
      <c r="G1768" s="9">
        <v>1765.0</v>
      </c>
      <c r="H1768" s="10">
        <f t="shared" si="58"/>
        <v>0.008087499923714853</v>
      </c>
      <c r="K1768" s="7"/>
    </row>
    <row r="1769" spans="8:8">
      <c r="B1769" s="7" t="s">
        <v>9663</v>
      </c>
      <c r="C1769" s="8">
        <v>1498.75</v>
      </c>
      <c r="D1769" s="8">
        <f t="shared" si="57"/>
        <v>-0.01805018672606955</v>
      </c>
      <c r="E1769" s="8">
        <v>-0.003759994923213577</v>
      </c>
      <c r="F1769" s="9"/>
      <c r="G1769" s="9">
        <v>1766.0</v>
      </c>
      <c r="H1769" s="10">
        <f t="shared" si="58"/>
        <v>-0.013255476711698421</v>
      </c>
      <c r="K1769" s="7"/>
    </row>
    <row r="1770" spans="8:8">
      <c r="B1770" s="7" t="s">
        <v>9664</v>
      </c>
      <c r="C1770" s="8">
        <v>1526.3</v>
      </c>
      <c r="D1770" s="8">
        <f t="shared" si="57"/>
        <v>0.005765872623636783</v>
      </c>
      <c r="E1770" s="8">
        <v>-0.0037645803382194637</v>
      </c>
      <c r="F1770" s="9"/>
      <c r="G1770" s="9">
        <v>1767.0</v>
      </c>
      <c r="H1770" s="10">
        <f t="shared" si="58"/>
        <v>-5.994101844679694E-4</v>
      </c>
      <c r="K1770" s="7"/>
    </row>
    <row r="1771" spans="8:8">
      <c r="B1771" s="7" t="s">
        <v>9665</v>
      </c>
      <c r="C1771" s="8">
        <v>1517.55</v>
      </c>
      <c r="D1771" s="8">
        <f t="shared" si="57"/>
        <v>0.0054994202418419446</v>
      </c>
      <c r="E1771" s="8">
        <v>-0.003785409349961094</v>
      </c>
      <c r="F1771" s="9"/>
      <c r="G1771" s="9">
        <v>1768.0</v>
      </c>
      <c r="H1771" s="10">
        <f t="shared" si="58"/>
        <v>-0.0071873288182165386</v>
      </c>
      <c r="K1771" s="7"/>
    </row>
    <row r="1772" spans="8:8">
      <c r="B1772" s="7">
        <v>43805.0</v>
      </c>
      <c r="C1772" s="8">
        <v>1509.25</v>
      </c>
      <c r="D1772" s="8">
        <f t="shared" si="57"/>
        <v>-0.009873384504362629</v>
      </c>
      <c r="E1772" s="8">
        <v>-0.0037908886240233986</v>
      </c>
      <c r="F1772" s="9"/>
      <c r="G1772" s="9">
        <v>1769.0</v>
      </c>
      <c r="H1772" s="10">
        <f t="shared" si="58"/>
        <v>0.004394566767911693</v>
      </c>
      <c r="K1772" s="7"/>
    </row>
    <row r="1773" spans="8:8">
      <c r="B1773" s="7">
        <v>43775.0</v>
      </c>
      <c r="C1773" s="8">
        <v>1524.3</v>
      </c>
      <c r="D1773" s="8">
        <f t="shared" si="57"/>
        <v>-0.005091051497943969</v>
      </c>
      <c r="E1773" s="8">
        <v>-0.0038053773804381246</v>
      </c>
      <c r="F1773" s="9"/>
      <c r="G1773" s="9">
        <v>1770.0</v>
      </c>
      <c r="H1773" s="10">
        <f t="shared" si="58"/>
        <v>0.007048601155690736</v>
      </c>
      <c r="K1773" s="7"/>
    </row>
    <row r="1774" spans="8:8">
      <c r="B1774" s="7">
        <v>43744.0</v>
      </c>
      <c r="C1774" s="8">
        <v>1532.1</v>
      </c>
      <c r="D1774" s="8">
        <f t="shared" si="57"/>
        <v>0.012055355550417809</v>
      </c>
      <c r="E1774" s="8">
        <v>-0.0038298110253829304</v>
      </c>
      <c r="F1774" s="9"/>
      <c r="G1774" s="9">
        <v>1771.0</v>
      </c>
      <c r="H1774" s="10">
        <f t="shared" si="58"/>
        <v>-0.01928447332146077</v>
      </c>
      <c r="K1774" s="7"/>
    </row>
    <row r="1775" spans="8:8">
      <c r="B1775" s="7">
        <v>43652.0</v>
      </c>
      <c r="C1775" s="8">
        <v>1513.85</v>
      </c>
      <c r="D1775" s="8">
        <f t="shared" si="57"/>
        <v>-0.0013523319480177993</v>
      </c>
      <c r="E1775" s="8">
        <v>-0.0038305543037404238</v>
      </c>
      <c r="F1775" s="9"/>
      <c r="G1775" s="9">
        <v>1772.0</v>
      </c>
      <c r="H1775" s="10">
        <f t="shared" si="58"/>
        <v>0.03291279581742531</v>
      </c>
      <c r="K1775" s="7"/>
    </row>
    <row r="1776" spans="8:8">
      <c r="B1776" s="7">
        <v>43622.0</v>
      </c>
      <c r="C1776" s="8">
        <v>1515.9</v>
      </c>
      <c r="D1776" s="8">
        <f t="shared" si="57"/>
        <v>-0.03433558415084716</v>
      </c>
      <c r="E1776" s="8">
        <v>-0.0038333759263991817</v>
      </c>
      <c r="F1776" s="9"/>
      <c r="G1776" s="9">
        <v>1773.0</v>
      </c>
      <c r="H1776" s="10">
        <f t="shared" si="58"/>
        <v>-0.02103698761231798</v>
      </c>
      <c r="K1776" s="7"/>
    </row>
    <row r="1777" spans="8:8">
      <c r="B1777" s="7">
        <v>43561.0</v>
      </c>
      <c r="C1777" s="8">
        <v>1569.8</v>
      </c>
      <c r="D1777" s="8">
        <f t="shared" si="57"/>
        <v>0.006669231755803426</v>
      </c>
      <c r="E1777" s="8">
        <v>-0.0038340194954940175</v>
      </c>
      <c r="F1777" s="9"/>
      <c r="G1777" s="9">
        <v>1774.0</v>
      </c>
      <c r="H1777" s="10">
        <f t="shared" si="58"/>
        <v>0.01790664751866418</v>
      </c>
      <c r="K1777" s="7"/>
    </row>
    <row r="1778" spans="8:8">
      <c r="B1778" s="7">
        <v>43530.0</v>
      </c>
      <c r="C1778" s="8">
        <v>1559.4</v>
      </c>
      <c r="D1778" s="8">
        <f t="shared" si="57"/>
        <v>0.001187762832653935</v>
      </c>
      <c r="E1778" s="8">
        <v>-0.003836913257073123</v>
      </c>
      <c r="F1778" s="9"/>
      <c r="G1778" s="9">
        <v>1775.0</v>
      </c>
      <c r="H1778" s="10">
        <f t="shared" si="58"/>
        <v>-0.0024096229658596537</v>
      </c>
      <c r="K1778" s="7"/>
    </row>
    <row r="1779" spans="8:8">
      <c r="B1779" s="7" t="s">
        <v>9666</v>
      </c>
      <c r="C1779" s="8">
        <v>1557.55</v>
      </c>
      <c r="D1779" s="8">
        <f t="shared" si="57"/>
        <v>-6.736815090465511E-4</v>
      </c>
      <c r="E1779" s="8">
        <v>-0.0038481317940807446</v>
      </c>
      <c r="F1779" s="9"/>
      <c r="G1779" s="9">
        <v>1776.0</v>
      </c>
      <c r="H1779" s="10">
        <f t="shared" si="58"/>
        <v>0.014990684777630013</v>
      </c>
      <c r="K1779" s="7"/>
    </row>
    <row r="1780" spans="8:8">
      <c r="B1780" s="7" t="s">
        <v>9667</v>
      </c>
      <c r="C1780" s="8">
        <v>1558.6</v>
      </c>
      <c r="D1780" s="8">
        <f t="shared" si="57"/>
        <v>0.003961480240909442</v>
      </c>
      <c r="E1780" s="8">
        <v>-0.003850687622789784</v>
      </c>
      <c r="F1780" s="9"/>
      <c r="G1780" s="9">
        <v>1777.0</v>
      </c>
      <c r="H1780" s="10">
        <f t="shared" si="58"/>
        <v>0.004608343093241013</v>
      </c>
      <c r="K1780" s="7"/>
    </row>
    <row r="1781" spans="8:8">
      <c r="B1781" s="7" t="s">
        <v>9668</v>
      </c>
      <c r="C1781" s="8">
        <v>1552.45</v>
      </c>
      <c r="D1781" s="8">
        <f t="shared" si="57"/>
        <v>-0.014004445855827217</v>
      </c>
      <c r="E1781" s="8">
        <v>-0.0038636363636363378</v>
      </c>
      <c r="F1781" s="9"/>
      <c r="G1781" s="9">
        <v>1778.0</v>
      </c>
      <c r="H1781" s="10">
        <f t="shared" si="58"/>
        <v>0.03365469400386788</v>
      </c>
      <c r="K1781" s="7"/>
    </row>
    <row r="1782" spans="8:8">
      <c r="B1782" s="7" t="s">
        <v>9669</v>
      </c>
      <c r="C1782" s="8">
        <v>1574.5</v>
      </c>
      <c r="D1782" s="8">
        <f t="shared" si="57"/>
        <v>-0.013471177944862155</v>
      </c>
      <c r="E1782" s="8">
        <v>-0.0038663512031854377</v>
      </c>
      <c r="F1782" s="9"/>
      <c r="G1782" s="9">
        <v>1779.0</v>
      </c>
      <c r="H1782" s="10">
        <f t="shared" si="58"/>
        <v>-0.01893424423086098</v>
      </c>
      <c r="K1782" s="7"/>
    </row>
    <row r="1783" spans="8:8">
      <c r="B1783" s="7" t="s">
        <v>9670</v>
      </c>
      <c r="C1783" s="8">
        <v>1596.0</v>
      </c>
      <c r="D1783" s="8">
        <f t="shared" si="57"/>
        <v>0.0335783440727908</v>
      </c>
      <c r="E1783" s="8">
        <v>-0.0038744672607516463</v>
      </c>
      <c r="F1783" s="9"/>
      <c r="G1783" s="9">
        <v>1780.0</v>
      </c>
      <c r="H1783" s="10">
        <f t="shared" si="58"/>
        <v>-0.002558383834090962</v>
      </c>
      <c r="K1783" s="7"/>
    </row>
    <row r="1784" spans="8:8">
      <c r="B1784" s="7" t="s">
        <v>9671</v>
      </c>
      <c r="C1784" s="8">
        <v>1544.15</v>
      </c>
      <c r="D1784" s="8">
        <f t="shared" si="57"/>
        <v>0.046101212654969304</v>
      </c>
      <c r="E1784" s="8">
        <v>-0.003884618563517646</v>
      </c>
      <c r="F1784" s="9"/>
      <c r="G1784" s="9">
        <v>1781.0</v>
      </c>
      <c r="H1784" s="10">
        <f t="shared" si="58"/>
        <v>0.0010302712529469704</v>
      </c>
      <c r="K1784" s="7"/>
    </row>
    <row r="1785" spans="8:8">
      <c r="B1785" s="7" t="s">
        <v>9672</v>
      </c>
      <c r="C1785" s="8">
        <v>1476.1</v>
      </c>
      <c r="D1785" s="8">
        <f t="shared" si="57"/>
        <v>0.010266237766066662</v>
      </c>
      <c r="E1785" s="8">
        <v>-0.003899013778867762</v>
      </c>
      <c r="F1785" s="9"/>
      <c r="G1785" s="9">
        <v>1782.0</v>
      </c>
      <c r="H1785" s="10">
        <f t="shared" si="58"/>
        <v>0.0012869597385105707</v>
      </c>
      <c r="K1785" s="7"/>
    </row>
    <row r="1786" spans="8:8">
      <c r="B1786" s="7" t="s">
        <v>9673</v>
      </c>
      <c r="C1786" s="8">
        <v>1461.1</v>
      </c>
      <c r="D1786" s="8">
        <f t="shared" si="57"/>
        <v>0.008281002001242151</v>
      </c>
      <c r="E1786" s="8">
        <v>-0.0039029236446210614</v>
      </c>
      <c r="F1786" s="9"/>
      <c r="G1786" s="9">
        <v>1783.0</v>
      </c>
      <c r="H1786" s="10">
        <f t="shared" si="58"/>
        <v>0.0026890347771402665</v>
      </c>
      <c r="K1786" s="7"/>
    </row>
    <row r="1787" spans="8:8">
      <c r="B1787" s="7" t="s">
        <v>9674</v>
      </c>
      <c r="C1787" s="8">
        <v>1449.1</v>
      </c>
      <c r="D1787" s="8">
        <f t="shared" si="57"/>
        <v>-0.00161907058458792</v>
      </c>
      <c r="E1787" s="8">
        <v>-0.003912379887787747</v>
      </c>
      <c r="F1787" s="9"/>
      <c r="G1787" s="9">
        <v>1784.0</v>
      </c>
      <c r="H1787" s="10">
        <f t="shared" si="58"/>
        <v>-0.0034281155427841065</v>
      </c>
      <c r="K1787" s="7"/>
    </row>
    <row r="1788" spans="8:8">
      <c r="B1788" s="7" t="s">
        <v>9675</v>
      </c>
      <c r="C1788" s="8">
        <v>1451.45</v>
      </c>
      <c r="D1788" s="8">
        <f t="shared" si="57"/>
        <v>0.06575372641163077</v>
      </c>
      <c r="E1788" s="8">
        <v>-0.003935815924916719</v>
      </c>
      <c r="F1788" s="9"/>
      <c r="G1788" s="9">
        <v>1785.0</v>
      </c>
      <c r="H1788" s="10">
        <f t="shared" si="58"/>
        <v>0.010693074682976988</v>
      </c>
      <c r="K1788" s="7"/>
    </row>
    <row r="1789" spans="8:8">
      <c r="B1789" s="7" t="s">
        <v>9676</v>
      </c>
      <c r="C1789" s="8">
        <v>1361.9</v>
      </c>
      <c r="D1789" s="8">
        <f t="shared" si="57"/>
        <v>0.018509516508993008</v>
      </c>
      <c r="E1789" s="8">
        <v>-0.0039537948678193165</v>
      </c>
      <c r="F1789" s="9"/>
      <c r="G1789" s="9">
        <v>1786.0</v>
      </c>
      <c r="H1789" s="10">
        <f t="shared" si="58"/>
        <v>0.004698080680216655</v>
      </c>
      <c r="K1789" s="7"/>
    </row>
    <row r="1790" spans="8:8">
      <c r="B1790" s="7" t="s">
        <v>9677</v>
      </c>
      <c r="C1790" s="8">
        <v>1337.15</v>
      </c>
      <c r="D1790" s="8">
        <f t="shared" si="57"/>
        <v>0.008560868909337861</v>
      </c>
      <c r="E1790" s="8">
        <v>-0.003970447806201986</v>
      </c>
      <c r="F1790" s="9"/>
      <c r="G1790" s="9">
        <v>1787.0</v>
      </c>
      <c r="H1790" s="10">
        <f t="shared" si="58"/>
        <v>-0.0035545798316364598</v>
      </c>
      <c r="K1790" s="7"/>
    </row>
    <row r="1791" spans="8:8">
      <c r="B1791" s="7" t="s">
        <v>9678</v>
      </c>
      <c r="C1791" s="8">
        <v>1325.8</v>
      </c>
      <c r="D1791" s="8">
        <f t="shared" si="57"/>
        <v>-0.011924280816813236</v>
      </c>
      <c r="E1791" s="8">
        <v>-0.003989287507671631</v>
      </c>
      <c r="F1791" s="9"/>
      <c r="G1791" s="9">
        <v>1788.0</v>
      </c>
      <c r="H1791" s="10">
        <f t="shared" si="58"/>
        <v>0.015335880723236193</v>
      </c>
      <c r="K1791" s="7"/>
    </row>
    <row r="1792" spans="8:8">
      <c r="B1792" s="7" t="s">
        <v>9679</v>
      </c>
      <c r="C1792" s="8">
        <v>1341.8</v>
      </c>
      <c r="D1792" s="8">
        <f t="shared" si="57"/>
        <v>0.01832808408909791</v>
      </c>
      <c r="E1792" s="8">
        <v>-0.003999190037460814</v>
      </c>
      <c r="F1792" s="9"/>
      <c r="G1792" s="9">
        <v>1789.0</v>
      </c>
      <c r="H1792" s="10">
        <f t="shared" si="58"/>
        <v>-0.014917535832248367</v>
      </c>
      <c r="K1792" s="7"/>
    </row>
    <row r="1793" spans="8:8">
      <c r="B1793" s="7" t="s">
        <v>9680</v>
      </c>
      <c r="C1793" s="8">
        <v>1317.65</v>
      </c>
      <c r="D1793" s="8">
        <f t="shared" si="57"/>
        <v>-0.02792327554407961</v>
      </c>
      <c r="E1793" s="8">
        <v>-0.004029847441489674</v>
      </c>
      <c r="F1793" s="9"/>
      <c r="G1793" s="9">
        <v>1790.0</v>
      </c>
      <c r="H1793" s="10">
        <f t="shared" si="58"/>
        <v>0.017300783810471045</v>
      </c>
      <c r="K1793" s="7"/>
    </row>
    <row r="1794" spans="8:8">
      <c r="B1794" s="7">
        <v>43743.0</v>
      </c>
      <c r="C1794" s="8">
        <v>1355.5</v>
      </c>
      <c r="D1794" s="8">
        <f t="shared" si="57"/>
        <v>-7.003575509602606E-4</v>
      </c>
      <c r="E1794" s="8">
        <v>-0.004035637101398179</v>
      </c>
      <c r="F1794" s="9"/>
      <c r="G1794" s="9">
        <v>1791.0</v>
      </c>
      <c r="H1794" s="10">
        <f t="shared" si="58"/>
        <v>0.015202129504646021</v>
      </c>
      <c r="K1794" s="7"/>
    </row>
    <row r="1795" spans="8:8">
      <c r="B1795" s="7">
        <v>43713.0</v>
      </c>
      <c r="C1795" s="8">
        <v>1356.45</v>
      </c>
      <c r="D1795" s="8">
        <f t="shared" si="57"/>
        <v>-0.0028669092512955225</v>
      </c>
      <c r="E1795" s="8">
        <v>-0.0040618955512572805</v>
      </c>
      <c r="F1795" s="9"/>
      <c r="G1795" s="9">
        <v>1792.0</v>
      </c>
      <c r="H1795" s="10">
        <f t="shared" si="58"/>
        <v>0.015396038399544495</v>
      </c>
      <c r="K1795" s="7"/>
    </row>
    <row r="1796" spans="8:8">
      <c r="B1796" s="7">
        <v>43682.0</v>
      </c>
      <c r="C1796" s="8">
        <v>1360.35</v>
      </c>
      <c r="D1796" s="8">
        <f t="shared" si="59" ref="D1796:D1859">(C1796-C1797)/C1797</f>
        <v>-0.0045733938240889805</v>
      </c>
      <c r="E1796" s="8">
        <v>-0.00406297613001539</v>
      </c>
      <c r="F1796" s="9"/>
      <c r="G1796" s="9">
        <v>1793.0</v>
      </c>
      <c r="H1796" s="10">
        <f t="shared" si="58"/>
        <v>-0.0010323067319894458</v>
      </c>
      <c r="K1796" s="7"/>
    </row>
    <row r="1797" spans="8:8">
      <c r="B1797" s="7">
        <v>43651.0</v>
      </c>
      <c r="C1797" s="8">
        <v>1366.6</v>
      </c>
      <c r="D1797" s="8">
        <f t="shared" si="59"/>
        <v>0.01027574480668283</v>
      </c>
      <c r="E1797" s="8">
        <v>-0.004063511174655798</v>
      </c>
      <c r="F1797" s="9"/>
      <c r="G1797" s="9">
        <v>1794.0</v>
      </c>
      <c r="H1797" s="10">
        <f t="shared" si="60" ref="H1797:H1860">_xlfn.NORM.INV(RAND(),N$6,N$7)</f>
        <v>-0.002300457102994883</v>
      </c>
      <c r="K1797" s="7"/>
    </row>
    <row r="1798" spans="8:8">
      <c r="B1798" s="7">
        <v>43621.0</v>
      </c>
      <c r="C1798" s="8">
        <v>1352.7</v>
      </c>
      <c r="D1798" s="8">
        <f t="shared" si="59"/>
        <v>-0.00799354649457309</v>
      </c>
      <c r="E1798" s="8">
        <v>-0.004068906039229682</v>
      </c>
      <c r="F1798" s="9"/>
      <c r="G1798" s="9">
        <v>1795.0</v>
      </c>
      <c r="H1798" s="10">
        <f t="shared" si="60"/>
        <v>0.004543413733327116</v>
      </c>
      <c r="K1798" s="7"/>
    </row>
    <row r="1799" spans="8:8">
      <c r="B1799" s="7">
        <v>43529.0</v>
      </c>
      <c r="C1799" s="8">
        <v>1363.6</v>
      </c>
      <c r="D1799" s="8">
        <f t="shared" si="59"/>
        <v>0.0035694572217110647</v>
      </c>
      <c r="E1799" s="8">
        <v>-0.004084252290098605</v>
      </c>
      <c r="F1799" s="9"/>
      <c r="G1799" s="9">
        <v>1796.0</v>
      </c>
      <c r="H1799" s="10">
        <f t="shared" si="60"/>
        <v>-0.004213987832143991</v>
      </c>
      <c r="K1799" s="7"/>
    </row>
    <row r="1800" spans="8:8">
      <c r="B1800" s="7">
        <v>43501.0</v>
      </c>
      <c r="C1800" s="8">
        <v>1358.75</v>
      </c>
      <c r="D1800" s="8">
        <f t="shared" si="59"/>
        <v>0.007563679507619329</v>
      </c>
      <c r="E1800" s="8">
        <v>-0.004099244875943875</v>
      </c>
      <c r="F1800" s="9"/>
      <c r="G1800" s="9">
        <v>1797.0</v>
      </c>
      <c r="H1800" s="10">
        <f t="shared" si="60"/>
        <v>0.007054866498651651</v>
      </c>
      <c r="K1800" s="7"/>
    </row>
    <row r="1801" spans="8:8">
      <c r="B1801" s="7" t="s">
        <v>9681</v>
      </c>
      <c r="C1801" s="8">
        <v>1348.55</v>
      </c>
      <c r="D1801" s="8">
        <f t="shared" si="59"/>
        <v>-0.007104991901045568</v>
      </c>
      <c r="E1801" s="8">
        <v>-0.004101534995071148</v>
      </c>
      <c r="F1801" s="9"/>
      <c r="G1801" s="9">
        <v>1798.0</v>
      </c>
      <c r="H1801" s="10">
        <f t="shared" si="60"/>
        <v>-0.0011736499502166247</v>
      </c>
      <c r="K1801" s="7"/>
    </row>
    <row r="1802" spans="8:8">
      <c r="B1802" s="7" t="s">
        <v>9682</v>
      </c>
      <c r="C1802" s="8">
        <v>1358.2</v>
      </c>
      <c r="D1802" s="8">
        <f t="shared" si="59"/>
        <v>0.002250673357192897</v>
      </c>
      <c r="E1802" s="8">
        <v>-0.0041167389546424024</v>
      </c>
      <c r="F1802" s="9"/>
      <c r="G1802" s="9">
        <v>1799.0</v>
      </c>
      <c r="H1802" s="10">
        <f t="shared" si="60"/>
        <v>0.014009485551012522</v>
      </c>
      <c r="K1802" s="7"/>
    </row>
    <row r="1803" spans="8:8">
      <c r="B1803" s="7" t="s">
        <v>9683</v>
      </c>
      <c r="C1803" s="8">
        <v>1355.15</v>
      </c>
      <c r="D1803" s="8">
        <f t="shared" si="59"/>
        <v>-0.004042185720060265</v>
      </c>
      <c r="E1803" s="8">
        <v>-0.004125827259780476</v>
      </c>
      <c r="F1803" s="9"/>
      <c r="G1803" s="9">
        <v>1800.0</v>
      </c>
      <c r="H1803" s="10">
        <f t="shared" si="60"/>
        <v>-0.007427277466096417</v>
      </c>
      <c r="K1803" s="7"/>
    </row>
    <row r="1804" spans="8:8">
      <c r="B1804" s="7" t="s">
        <v>9684</v>
      </c>
      <c r="C1804" s="8">
        <v>1360.65</v>
      </c>
      <c r="D1804" s="8">
        <f t="shared" si="59"/>
        <v>0.009234534935469548</v>
      </c>
      <c r="E1804" s="8">
        <v>-0.0041263643624102325</v>
      </c>
      <c r="F1804" s="9"/>
      <c r="G1804" s="9">
        <v>1801.0</v>
      </c>
      <c r="H1804" s="10">
        <f t="shared" si="60"/>
        <v>0.01973084416401531</v>
      </c>
      <c r="K1804" s="7"/>
    </row>
    <row r="1805" spans="8:8">
      <c r="B1805" s="7" t="s">
        <v>9685</v>
      </c>
      <c r="C1805" s="8">
        <v>1348.2</v>
      </c>
      <c r="D1805" s="8">
        <f t="shared" si="59"/>
        <v>-0.008785795684299559</v>
      </c>
      <c r="E1805" s="8">
        <v>-0.004132364810330971</v>
      </c>
      <c r="F1805" s="9"/>
      <c r="G1805" s="9">
        <v>1802.0</v>
      </c>
      <c r="H1805" s="10">
        <f t="shared" si="60"/>
        <v>0.01517241322972248</v>
      </c>
      <c r="K1805" s="7"/>
    </row>
    <row r="1806" spans="8:8">
      <c r="B1806" s="7" t="s">
        <v>9686</v>
      </c>
      <c r="C1806" s="8">
        <v>1360.15</v>
      </c>
      <c r="D1806" s="8">
        <f t="shared" si="59"/>
        <v>-4.042037186741784E-4</v>
      </c>
      <c r="E1806" s="8">
        <v>-0.004146469660690246</v>
      </c>
      <c r="F1806" s="9"/>
      <c r="G1806" s="9">
        <v>1803.0</v>
      </c>
      <c r="H1806" s="10">
        <f t="shared" si="60"/>
        <v>-0.037325665756147715</v>
      </c>
      <c r="K1806" s="7"/>
    </row>
    <row r="1807" spans="8:8">
      <c r="B1807" s="7" t="s">
        <v>9687</v>
      </c>
      <c r="C1807" s="8">
        <v>1360.7</v>
      </c>
      <c r="D1807" s="8">
        <f t="shared" si="59"/>
        <v>-0.014984798030983093</v>
      </c>
      <c r="E1807" s="8">
        <v>-0.00414869888475831</v>
      </c>
      <c r="F1807" s="9"/>
      <c r="G1807" s="9">
        <v>1804.0</v>
      </c>
      <c r="H1807" s="10">
        <f t="shared" si="60"/>
        <v>-1.5774472050509008E-5</v>
      </c>
      <c r="K1807" s="7"/>
    </row>
    <row r="1808" spans="8:8">
      <c r="B1808" s="7" t="s">
        <v>9688</v>
      </c>
      <c r="C1808" s="8">
        <v>1381.4</v>
      </c>
      <c r="D1808" s="8">
        <f t="shared" si="59"/>
        <v>0.01805586262804923</v>
      </c>
      <c r="E1808" s="8">
        <v>-0.004154601535943636</v>
      </c>
      <c r="F1808" s="9"/>
      <c r="G1808" s="9">
        <v>1805.0</v>
      </c>
      <c r="H1808" s="10">
        <f t="shared" si="60"/>
        <v>0.008169963646796235</v>
      </c>
      <c r="K1808" s="7"/>
    </row>
    <row r="1809" spans="8:8">
      <c r="B1809" s="7" t="s">
        <v>9689</v>
      </c>
      <c r="C1809" s="8">
        <v>1356.9</v>
      </c>
      <c r="D1809" s="8">
        <f t="shared" si="59"/>
        <v>-0.0029392313909912555</v>
      </c>
      <c r="E1809" s="8">
        <v>-0.004158699808795324</v>
      </c>
      <c r="F1809" s="9"/>
      <c r="G1809" s="9">
        <v>1806.0</v>
      </c>
      <c r="H1809" s="10">
        <f t="shared" si="60"/>
        <v>0.0021452310149088338</v>
      </c>
      <c r="K1809" s="7"/>
    </row>
    <row r="1810" spans="8:8">
      <c r="B1810" s="7">
        <v>43803.0</v>
      </c>
      <c r="C1810" s="8">
        <v>1360.9</v>
      </c>
      <c r="D1810" s="8">
        <f t="shared" si="59"/>
        <v>-0.012409288824383097</v>
      </c>
      <c r="E1810" s="8">
        <v>-0.004158937226976135</v>
      </c>
      <c r="F1810" s="9"/>
      <c r="G1810" s="9">
        <v>1807.0</v>
      </c>
      <c r="H1810" s="10">
        <f t="shared" si="60"/>
        <v>0.0038003587613021942</v>
      </c>
      <c r="K1810" s="7"/>
    </row>
    <row r="1811" spans="8:8">
      <c r="B1811" s="7">
        <v>43773.0</v>
      </c>
      <c r="C1811" s="8">
        <v>1378.0</v>
      </c>
      <c r="D1811" s="8">
        <f t="shared" si="59"/>
        <v>0.004702708614341472</v>
      </c>
      <c r="E1811" s="8">
        <v>-0.004163534378072079</v>
      </c>
      <c r="F1811" s="9"/>
      <c r="G1811" s="9">
        <v>1808.0</v>
      </c>
      <c r="H1811" s="10">
        <f t="shared" si="60"/>
        <v>0.007618774343831978</v>
      </c>
      <c r="K1811" s="7"/>
    </row>
    <row r="1812" spans="8:8">
      <c r="B1812" s="7">
        <v>43742.0</v>
      </c>
      <c r="C1812" s="8">
        <v>1371.55</v>
      </c>
      <c r="D1812" s="8">
        <f t="shared" si="59"/>
        <v>-0.0026541593949971575</v>
      </c>
      <c r="E1812" s="8">
        <v>-0.004187497329402291</v>
      </c>
      <c r="F1812" s="9"/>
      <c r="G1812" s="9">
        <v>1809.0</v>
      </c>
      <c r="H1812" s="10">
        <f t="shared" si="60"/>
        <v>-0.015579051092824966</v>
      </c>
      <c r="K1812" s="7"/>
    </row>
    <row r="1813" spans="8:8">
      <c r="B1813" s="7">
        <v>43712.0</v>
      </c>
      <c r="C1813" s="8">
        <v>1375.2</v>
      </c>
      <c r="D1813" s="8">
        <f t="shared" si="59"/>
        <v>0.001128380591853787</v>
      </c>
      <c r="E1813" s="8">
        <v>-0.004189204372181173</v>
      </c>
      <c r="F1813" s="9"/>
      <c r="G1813" s="9">
        <v>1810.0</v>
      </c>
      <c r="H1813" s="10">
        <f t="shared" si="60"/>
        <v>0.03035166270809901</v>
      </c>
      <c r="K1813" s="7"/>
    </row>
    <row r="1814" spans="8:8">
      <c r="B1814" s="7">
        <v>43681.0</v>
      </c>
      <c r="C1814" s="8">
        <v>1373.65</v>
      </c>
      <c r="D1814" s="8">
        <f t="shared" si="59"/>
        <v>-1.0918619886436423E-4</v>
      </c>
      <c r="E1814" s="8">
        <v>-0.0041936536042122925</v>
      </c>
      <c r="F1814" s="9"/>
      <c r="G1814" s="9">
        <v>1811.0</v>
      </c>
      <c r="H1814" s="10">
        <f t="shared" si="60"/>
        <v>-0.00972688137708571</v>
      </c>
      <c r="K1814" s="7"/>
    </row>
    <row r="1815" spans="8:8">
      <c r="B1815" s="7">
        <v>43589.0</v>
      </c>
      <c r="C1815" s="8">
        <v>1373.8</v>
      </c>
      <c r="D1815" s="8">
        <f t="shared" si="59"/>
        <v>0.0037261635128223195</v>
      </c>
      <c r="E1815" s="8">
        <v>-0.004211985497973909</v>
      </c>
      <c r="F1815" s="9"/>
      <c r="G1815" s="9">
        <v>1812.0</v>
      </c>
      <c r="H1815" s="10">
        <f t="shared" si="60"/>
        <v>0.024613616856476162</v>
      </c>
      <c r="K1815" s="7"/>
    </row>
    <row r="1816" spans="8:8">
      <c r="B1816" s="7">
        <v>43559.0</v>
      </c>
      <c r="C1816" s="8">
        <v>1368.7</v>
      </c>
      <c r="D1816" s="8">
        <f t="shared" si="59"/>
        <v>-0.006784949747832016</v>
      </c>
      <c r="E1816" s="8">
        <v>-0.004220034056415192</v>
      </c>
      <c r="F1816" s="9"/>
      <c r="G1816" s="9">
        <v>1813.0</v>
      </c>
      <c r="H1816" s="10">
        <f t="shared" si="60"/>
        <v>0.013526281323659111</v>
      </c>
      <c r="K1816" s="7"/>
    </row>
    <row r="1817" spans="8:8">
      <c r="B1817" s="7">
        <v>43528.0</v>
      </c>
      <c r="C1817" s="8">
        <v>1378.05</v>
      </c>
      <c r="D1817" s="8">
        <f t="shared" si="59"/>
        <v>-0.022486256428444793</v>
      </c>
      <c r="E1817" s="8">
        <v>-0.004226932476675018</v>
      </c>
      <c r="F1817" s="9"/>
      <c r="G1817" s="9">
        <v>1814.0</v>
      </c>
      <c r="H1817" s="10">
        <f t="shared" si="60"/>
        <v>0.0034111129889541104</v>
      </c>
      <c r="K1817" s="7"/>
    </row>
    <row r="1818" spans="8:8">
      <c r="B1818" s="7">
        <v>43500.0</v>
      </c>
      <c r="C1818" s="8">
        <v>1409.75</v>
      </c>
      <c r="D1818" s="8">
        <f t="shared" si="59"/>
        <v>-0.001734881744795387</v>
      </c>
      <c r="E1818" s="8">
        <v>-0.004236073510207895</v>
      </c>
      <c r="F1818" s="9"/>
      <c r="G1818" s="9">
        <v>1815.0</v>
      </c>
      <c r="H1818" s="10">
        <f t="shared" si="60"/>
        <v>-0.001808344915961082</v>
      </c>
      <c r="K1818" s="7"/>
    </row>
    <row r="1819" spans="8:8">
      <c r="B1819" s="7">
        <v>43469.0</v>
      </c>
      <c r="C1819" s="8">
        <v>1412.2</v>
      </c>
      <c r="D1819" s="8">
        <f t="shared" si="59"/>
        <v>0.01941817656825243</v>
      </c>
      <c r="E1819" s="8">
        <v>-0.0042501116274454385</v>
      </c>
      <c r="F1819" s="9"/>
      <c r="G1819" s="9">
        <v>1816.0</v>
      </c>
      <c r="H1819" s="10">
        <f t="shared" si="60"/>
        <v>0.006508757099935739</v>
      </c>
      <c r="K1819" s="7"/>
    </row>
    <row r="1820" spans="8:8">
      <c r="B1820" s="7" t="s">
        <v>9690</v>
      </c>
      <c r="C1820" s="8">
        <v>1385.3</v>
      </c>
      <c r="D1820" s="8">
        <f t="shared" si="59"/>
        <v>-0.0010095911155982482</v>
      </c>
      <c r="E1820" s="8">
        <v>-0.004264482350954192</v>
      </c>
      <c r="F1820" s="9"/>
      <c r="G1820" s="9">
        <v>1817.0</v>
      </c>
      <c r="H1820" s="10">
        <f t="shared" si="60"/>
        <v>-0.0019217060288139968</v>
      </c>
      <c r="K1820" s="7"/>
    </row>
    <row r="1821" spans="8:8">
      <c r="B1821" s="7" t="s">
        <v>9691</v>
      </c>
      <c r="C1821" s="8">
        <v>1386.7</v>
      </c>
      <c r="D1821" s="8">
        <f t="shared" si="59"/>
        <v>0.014819422591386439</v>
      </c>
      <c r="E1821" s="8">
        <v>-0.004264987244898068</v>
      </c>
      <c r="F1821" s="9"/>
      <c r="G1821" s="9">
        <v>1818.0</v>
      </c>
      <c r="H1821" s="10">
        <f t="shared" si="60"/>
        <v>-0.010314564645250393</v>
      </c>
      <c r="K1821" s="7"/>
    </row>
    <row r="1822" spans="8:8">
      <c r="B1822" s="7" t="s">
        <v>9692</v>
      </c>
      <c r="C1822" s="8">
        <v>1366.45</v>
      </c>
      <c r="D1822" s="8">
        <f t="shared" si="59"/>
        <v>-0.004625582750582684</v>
      </c>
      <c r="E1822" s="8">
        <v>-0.004289585753000359</v>
      </c>
      <c r="F1822" s="9"/>
      <c r="G1822" s="9">
        <v>1819.0</v>
      </c>
      <c r="H1822" s="10">
        <f t="shared" si="60"/>
        <v>0.014964471581053861</v>
      </c>
      <c r="K1822" s="7"/>
    </row>
    <row r="1823" spans="8:8">
      <c r="B1823" s="7" t="s">
        <v>9693</v>
      </c>
      <c r="C1823" s="8">
        <v>1372.8</v>
      </c>
      <c r="D1823" s="8">
        <f t="shared" si="59"/>
        <v>-0.00286907572180864</v>
      </c>
      <c r="E1823" s="8">
        <v>-0.004305762279396203</v>
      </c>
      <c r="F1823" s="9"/>
      <c r="G1823" s="9">
        <v>1820.0</v>
      </c>
      <c r="H1823" s="10">
        <f t="shared" si="60"/>
        <v>0.025906962434835607</v>
      </c>
      <c r="K1823" s="7"/>
    </row>
    <row r="1824" spans="8:8">
      <c r="B1824" s="7" t="s">
        <v>9694</v>
      </c>
      <c r="C1824" s="8">
        <v>1376.75</v>
      </c>
      <c r="D1824" s="8">
        <f t="shared" si="59"/>
        <v>-0.012870151287015161</v>
      </c>
      <c r="E1824" s="8">
        <v>-0.00431388660640912</v>
      </c>
      <c r="F1824" s="9"/>
      <c r="G1824" s="9">
        <v>1821.0</v>
      </c>
      <c r="H1824" s="10">
        <f t="shared" si="60"/>
        <v>-0.015290174239390043</v>
      </c>
      <c r="K1824" s="7"/>
    </row>
    <row r="1825" spans="8:8">
      <c r="B1825" s="7" t="s">
        <v>9695</v>
      </c>
      <c r="C1825" s="8">
        <v>1394.7</v>
      </c>
      <c r="D1825" s="8">
        <f t="shared" si="59"/>
        <v>0.017360857830622186</v>
      </c>
      <c r="E1825" s="8">
        <v>-0.004327131112072695</v>
      </c>
      <c r="F1825" s="9"/>
      <c r="G1825" s="9">
        <v>1822.0</v>
      </c>
      <c r="H1825" s="10">
        <f t="shared" si="60"/>
        <v>2.716799122298298E-4</v>
      </c>
      <c r="K1825" s="7"/>
    </row>
    <row r="1826" spans="8:8">
      <c r="B1826" s="7" t="s">
        <v>9696</v>
      </c>
      <c r="C1826" s="8">
        <v>1370.9</v>
      </c>
      <c r="D1826" s="8">
        <f t="shared" si="59"/>
        <v>0.009536433594756836</v>
      </c>
      <c r="E1826" s="8">
        <v>-0.004352575135707546</v>
      </c>
      <c r="F1826" s="9"/>
      <c r="G1826" s="9">
        <v>1823.0</v>
      </c>
      <c r="H1826" s="10">
        <f t="shared" si="60"/>
        <v>0.023954075089482402</v>
      </c>
      <c r="K1826" s="7"/>
    </row>
    <row r="1827" spans="8:8">
      <c r="B1827" s="7" t="s">
        <v>9697</v>
      </c>
      <c r="C1827" s="8">
        <v>1357.95</v>
      </c>
      <c r="D1827" s="8">
        <f t="shared" si="59"/>
        <v>-0.015193269997824384</v>
      </c>
      <c r="E1827" s="8">
        <v>-0.004373430328223742</v>
      </c>
      <c r="F1827" s="9"/>
      <c r="G1827" s="9">
        <v>1824.0</v>
      </c>
      <c r="H1827" s="10">
        <f t="shared" si="60"/>
        <v>0.016134273696397965</v>
      </c>
      <c r="K1827" s="7"/>
    </row>
    <row r="1828" spans="8:8">
      <c r="B1828" s="7" t="s">
        <v>9698</v>
      </c>
      <c r="C1828" s="8">
        <v>1378.9</v>
      </c>
      <c r="D1828" s="8">
        <f t="shared" si="59"/>
        <v>-0.012602935911206523</v>
      </c>
      <c r="E1828" s="8">
        <v>-0.004390167418686212</v>
      </c>
      <c r="F1828" s="9"/>
      <c r="G1828" s="9">
        <v>1825.0</v>
      </c>
      <c r="H1828" s="10">
        <f t="shared" si="60"/>
        <v>0.004644227044750853</v>
      </c>
      <c r="K1828" s="7"/>
    </row>
    <row r="1829" spans="8:8">
      <c r="B1829" s="7" t="s">
        <v>9699</v>
      </c>
      <c r="C1829" s="8">
        <v>1396.5</v>
      </c>
      <c r="D1829" s="8">
        <f t="shared" si="59"/>
        <v>0.012139880413118318</v>
      </c>
      <c r="E1829" s="8">
        <v>-0.00439758133026833</v>
      </c>
      <c r="F1829" s="9"/>
      <c r="G1829" s="9">
        <v>1826.0</v>
      </c>
      <c r="H1829" s="10">
        <f t="shared" si="60"/>
        <v>-0.005711618536118395</v>
      </c>
      <c r="K1829" s="7"/>
    </row>
    <row r="1830" spans="8:8">
      <c r="B1830" s="7" t="s">
        <v>9700</v>
      </c>
      <c r="C1830" s="8">
        <v>1379.75</v>
      </c>
      <c r="D1830" s="8">
        <f t="shared" si="59"/>
        <v>8.341796024953511E-4</v>
      </c>
      <c r="E1830" s="8">
        <v>-0.004407526699440558</v>
      </c>
      <c r="F1830" s="9"/>
      <c r="G1830" s="9">
        <v>1827.0</v>
      </c>
      <c r="H1830" s="10">
        <f t="shared" si="60"/>
        <v>8.698651952473162E-4</v>
      </c>
      <c r="K1830" s="7"/>
    </row>
    <row r="1831" spans="8:8">
      <c r="B1831" s="7" t="s">
        <v>9701</v>
      </c>
      <c r="C1831" s="8">
        <v>1378.6</v>
      </c>
      <c r="D1831" s="8">
        <f t="shared" si="59"/>
        <v>-0.007415940672474751</v>
      </c>
      <c r="E1831" s="8">
        <v>-0.004409584016233406</v>
      </c>
      <c r="F1831" s="9"/>
      <c r="G1831" s="9">
        <v>1828.0</v>
      </c>
      <c r="H1831" s="10">
        <f t="shared" si="60"/>
        <v>0.006701331318176681</v>
      </c>
      <c r="K1831" s="7"/>
    </row>
    <row r="1832" spans="8:8">
      <c r="B1832" s="7">
        <v>43802.0</v>
      </c>
      <c r="C1832" s="8">
        <v>1388.9</v>
      </c>
      <c r="D1832" s="8">
        <f t="shared" si="59"/>
        <v>0.031450744495191515</v>
      </c>
      <c r="E1832" s="8">
        <v>-0.0044180377818403066</v>
      </c>
      <c r="F1832" s="9"/>
      <c r="G1832" s="9">
        <v>1829.0</v>
      </c>
      <c r="H1832" s="10">
        <f t="shared" si="60"/>
        <v>-0.006805817330978291</v>
      </c>
      <c r="K1832" s="7"/>
    </row>
    <row r="1833" spans="8:8">
      <c r="B1833" s="7">
        <v>43772.0</v>
      </c>
      <c r="C1833" s="8">
        <v>1346.55</v>
      </c>
      <c r="D1833" s="8">
        <f t="shared" si="59"/>
        <v>0.005338211139316009</v>
      </c>
      <c r="E1833" s="8">
        <v>-0.004449460993604018</v>
      </c>
      <c r="F1833" s="9"/>
      <c r="G1833" s="9">
        <v>1830.0</v>
      </c>
      <c r="H1833" s="10">
        <f t="shared" si="60"/>
        <v>-0.0013563661774441049</v>
      </c>
      <c r="K1833" s="7"/>
    </row>
    <row r="1834" spans="8:8">
      <c r="B1834" s="7">
        <v>43680.0</v>
      </c>
      <c r="C1834" s="8">
        <v>1339.4</v>
      </c>
      <c r="D1834" s="8">
        <f t="shared" si="59"/>
        <v>-0.00961254066844129</v>
      </c>
      <c r="E1834" s="8">
        <v>-0.004452359750667854</v>
      </c>
      <c r="F1834" s="9"/>
      <c r="G1834" s="9">
        <v>1831.0</v>
      </c>
      <c r="H1834" s="10">
        <f t="shared" si="60"/>
        <v>0.013553409603346559</v>
      </c>
      <c r="K1834" s="7"/>
    </row>
    <row r="1835" spans="8:8">
      <c r="B1835" s="7">
        <v>43649.0</v>
      </c>
      <c r="C1835" s="8">
        <v>1352.4</v>
      </c>
      <c r="D1835" s="8">
        <f t="shared" si="59"/>
        <v>0.026879271070615104</v>
      </c>
      <c r="E1835" s="8">
        <v>-0.004452668709882638</v>
      </c>
      <c r="F1835" s="9"/>
      <c r="G1835" s="9">
        <v>1832.0</v>
      </c>
      <c r="H1835" s="10">
        <f t="shared" si="60"/>
        <v>0.004251852071669223</v>
      </c>
      <c r="K1835" s="7"/>
    </row>
    <row r="1836" spans="8:8">
      <c r="B1836" s="7">
        <v>43619.0</v>
      </c>
      <c r="C1836" s="8">
        <v>1317.0</v>
      </c>
      <c r="D1836" s="8">
        <f t="shared" si="59"/>
        <v>0.008577117475876892</v>
      </c>
      <c r="E1836" s="8">
        <v>-0.004457172387063395</v>
      </c>
      <c r="F1836" s="9"/>
      <c r="G1836" s="9">
        <v>1833.0</v>
      </c>
      <c r="H1836" s="10">
        <f t="shared" si="60"/>
        <v>-0.008109887514840087</v>
      </c>
      <c r="K1836" s="7"/>
    </row>
    <row r="1837" spans="8:8">
      <c r="B1837" s="7">
        <v>43588.0</v>
      </c>
      <c r="C1837" s="8">
        <v>1305.8</v>
      </c>
      <c r="D1837" s="8">
        <f t="shared" si="59"/>
        <v>-0.002101562798517443</v>
      </c>
      <c r="E1837" s="8">
        <v>-0.00448493342676951</v>
      </c>
      <c r="F1837" s="9"/>
      <c r="G1837" s="9">
        <v>1834.0</v>
      </c>
      <c r="H1837" s="10">
        <f t="shared" si="60"/>
        <v>0.0075124592680088</v>
      </c>
      <c r="K1837" s="7"/>
    </row>
    <row r="1838" spans="8:8">
      <c r="B1838" s="7">
        <v>43468.0</v>
      </c>
      <c r="C1838" s="8">
        <v>1308.55</v>
      </c>
      <c r="D1838" s="8">
        <f t="shared" si="59"/>
        <v>0.012065431764569324</v>
      </c>
      <c r="E1838" s="8">
        <v>-0.004495825305073894</v>
      </c>
      <c r="F1838" s="9"/>
      <c r="G1838" s="9">
        <v>1835.0</v>
      </c>
      <c r="H1838" s="10">
        <f t="shared" si="60"/>
        <v>0.0032351099547437245</v>
      </c>
      <c r="K1838" s="7"/>
    </row>
    <row r="1839" spans="8:8">
      <c r="B1839" s="7" t="s">
        <v>9702</v>
      </c>
      <c r="C1839" s="8">
        <v>1292.95</v>
      </c>
      <c r="D1839" s="8">
        <f t="shared" si="59"/>
        <v>0.006421732700241301</v>
      </c>
      <c r="E1839" s="8">
        <v>-0.0045047151430129585</v>
      </c>
      <c r="F1839" s="9"/>
      <c r="G1839" s="9">
        <v>1836.0</v>
      </c>
      <c r="H1839" s="10">
        <f t="shared" si="60"/>
        <v>-0.0011573677482198414</v>
      </c>
      <c r="K1839" s="7"/>
    </row>
    <row r="1840" spans="8:8">
      <c r="B1840" s="7" t="s">
        <v>9703</v>
      </c>
      <c r="C1840" s="8">
        <v>1284.7</v>
      </c>
      <c r="D1840" s="8">
        <f t="shared" si="59"/>
        <v>0.014891179839633556</v>
      </c>
      <c r="E1840" s="8">
        <v>-0.004530634712283448</v>
      </c>
      <c r="F1840" s="9"/>
      <c r="G1840" s="9">
        <v>1837.0</v>
      </c>
      <c r="H1840" s="10">
        <f t="shared" si="60"/>
        <v>0.010874872194957225</v>
      </c>
      <c r="K1840" s="7"/>
    </row>
    <row r="1841" spans="8:8">
      <c r="B1841" s="7" t="s">
        <v>9704</v>
      </c>
      <c r="C1841" s="8">
        <v>1265.85</v>
      </c>
      <c r="D1841" s="8">
        <f t="shared" si="59"/>
        <v>-0.007837911980248462</v>
      </c>
      <c r="E1841" s="8">
        <v>-0.004539518686648812</v>
      </c>
      <c r="F1841" s="9"/>
      <c r="G1841" s="9">
        <v>1838.0</v>
      </c>
      <c r="H1841" s="10">
        <f t="shared" si="60"/>
        <v>0.013696506029604462</v>
      </c>
      <c r="K1841" s="7"/>
    </row>
    <row r="1842" spans="8:8">
      <c r="B1842" s="7" t="s">
        <v>9705</v>
      </c>
      <c r="C1842" s="8">
        <v>1275.85</v>
      </c>
      <c r="D1842" s="8">
        <f t="shared" si="59"/>
        <v>-0.003514663959073691</v>
      </c>
      <c r="E1842" s="8">
        <v>-0.004546592141486648</v>
      </c>
      <c r="F1842" s="9"/>
      <c r="G1842" s="9">
        <v>1839.0</v>
      </c>
      <c r="H1842" s="10">
        <f t="shared" si="60"/>
        <v>0.0014629367213635585</v>
      </c>
      <c r="K1842" s="7"/>
    </row>
    <row r="1843" spans="8:8">
      <c r="B1843" s="7" t="s">
        <v>9706</v>
      </c>
      <c r="C1843" s="8">
        <v>1280.35</v>
      </c>
      <c r="D1843" s="8">
        <f t="shared" si="59"/>
        <v>-0.002920333307374815</v>
      </c>
      <c r="E1843" s="8">
        <v>-0.004551254785197711</v>
      </c>
      <c r="F1843" s="9"/>
      <c r="G1843" s="9">
        <v>1840.0</v>
      </c>
      <c r="H1843" s="10">
        <f t="shared" si="60"/>
        <v>0.015032609363247563</v>
      </c>
      <c r="K1843" s="7"/>
    </row>
    <row r="1844" spans="8:8">
      <c r="B1844" s="7" t="s">
        <v>9707</v>
      </c>
      <c r="C1844" s="8">
        <v>1284.1</v>
      </c>
      <c r="D1844" s="8">
        <f t="shared" si="59"/>
        <v>0.005914378598566413</v>
      </c>
      <c r="E1844" s="8">
        <v>-0.004564487532536085</v>
      </c>
      <c r="F1844" s="9"/>
      <c r="G1844" s="9">
        <v>1841.0</v>
      </c>
      <c r="H1844" s="10">
        <f t="shared" si="60"/>
        <v>-0.015696715508764465</v>
      </c>
      <c r="K1844" s="7"/>
    </row>
    <row r="1845" spans="8:8">
      <c r="B1845" s="7" t="s">
        <v>9708</v>
      </c>
      <c r="C1845" s="8">
        <v>1276.55</v>
      </c>
      <c r="D1845" s="8">
        <f t="shared" si="59"/>
        <v>0.014503695462131448</v>
      </c>
      <c r="E1845" s="8">
        <v>-0.0045691689097132225</v>
      </c>
      <c r="F1845" s="9"/>
      <c r="G1845" s="9">
        <v>1842.0</v>
      </c>
      <c r="H1845" s="10">
        <f t="shared" si="60"/>
        <v>-0.005080527222556302</v>
      </c>
      <c r="K1845" s="7"/>
    </row>
    <row r="1846" spans="8:8">
      <c r="B1846" s="7" t="s">
        <v>9709</v>
      </c>
      <c r="C1846" s="8">
        <v>1258.3</v>
      </c>
      <c r="D1846" s="8">
        <f t="shared" si="59"/>
        <v>0.011088790678987508</v>
      </c>
      <c r="E1846" s="8">
        <v>-0.004588026832046576</v>
      </c>
      <c r="F1846" s="9"/>
      <c r="G1846" s="9">
        <v>1843.0</v>
      </c>
      <c r="H1846" s="10">
        <f t="shared" si="60"/>
        <v>-0.008436569712059892</v>
      </c>
      <c r="K1846" s="7"/>
    </row>
    <row r="1847" spans="8:8">
      <c r="B1847" s="7" t="s">
        <v>9710</v>
      </c>
      <c r="C1847" s="8">
        <v>1244.5</v>
      </c>
      <c r="D1847" s="8">
        <f t="shared" si="59"/>
        <v>0.0011262167162739048</v>
      </c>
      <c r="E1847" s="8">
        <v>-0.004601613716591138</v>
      </c>
      <c r="F1847" s="9"/>
      <c r="G1847" s="9">
        <v>1844.0</v>
      </c>
      <c r="H1847" s="10">
        <f t="shared" si="60"/>
        <v>0.027661230609170813</v>
      </c>
      <c r="K1847" s="7"/>
    </row>
    <row r="1848" spans="8:8">
      <c r="B1848" s="7" t="s">
        <v>9711</v>
      </c>
      <c r="C1848" s="8">
        <v>1243.1</v>
      </c>
      <c r="D1848" s="8">
        <f t="shared" si="59"/>
        <v>0.012626262626262628</v>
      </c>
      <c r="E1848" s="8">
        <v>-0.004620941542062602</v>
      </c>
      <c r="F1848" s="9"/>
      <c r="G1848" s="9">
        <v>1845.0</v>
      </c>
      <c r="H1848" s="10">
        <f t="shared" si="60"/>
        <v>0.0240871052741037</v>
      </c>
      <c r="K1848" s="7"/>
    </row>
    <row r="1849" spans="8:8">
      <c r="B1849" s="7" t="s">
        <v>9712</v>
      </c>
      <c r="C1849" s="8">
        <v>1227.6</v>
      </c>
      <c r="D1849" s="8">
        <f t="shared" si="59"/>
        <v>0.009000123289359977</v>
      </c>
      <c r="E1849" s="8">
        <v>-0.004624735729386892</v>
      </c>
      <c r="F1849" s="9"/>
      <c r="G1849" s="9">
        <v>1846.0</v>
      </c>
      <c r="H1849" s="10">
        <f t="shared" si="60"/>
        <v>0.006579479981063183</v>
      </c>
      <c r="K1849" s="7"/>
    </row>
    <row r="1850" spans="8:8">
      <c r="B1850" s="7" t="s">
        <v>9713</v>
      </c>
      <c r="C1850" s="8">
        <v>1216.65</v>
      </c>
      <c r="D1850" s="8">
        <f t="shared" si="59"/>
        <v>-0.024221037013273303</v>
      </c>
      <c r="E1850" s="8">
        <v>-0.004644382670011618</v>
      </c>
      <c r="F1850" s="9"/>
      <c r="G1850" s="9">
        <v>1847.0</v>
      </c>
      <c r="H1850" s="10">
        <f t="shared" si="60"/>
        <v>0.008496576908214168</v>
      </c>
      <c r="K1850" s="7"/>
    </row>
    <row r="1851" spans="8:8">
      <c r="B1851" s="7">
        <v>43801.0</v>
      </c>
      <c r="C1851" s="8">
        <v>1246.85</v>
      </c>
      <c r="D1851" s="8">
        <f t="shared" si="59"/>
        <v>2.807862013637457E-4</v>
      </c>
      <c r="E1851" s="8">
        <v>-0.0046860577947128446</v>
      </c>
      <c r="F1851" s="9"/>
      <c r="G1851" s="9">
        <v>1848.0</v>
      </c>
      <c r="H1851" s="10">
        <f t="shared" si="60"/>
        <v>0.0022718720024014257</v>
      </c>
      <c r="K1851" s="7"/>
    </row>
    <row r="1852" spans="8:8">
      <c r="B1852" s="7">
        <v>43771.0</v>
      </c>
      <c r="C1852" s="8">
        <v>1246.5</v>
      </c>
      <c r="D1852" s="8">
        <f t="shared" si="59"/>
        <v>-0.012086387953239549</v>
      </c>
      <c r="E1852" s="8">
        <v>-0.004686986076088123</v>
      </c>
      <c r="F1852" s="9"/>
      <c r="G1852" s="9">
        <v>1849.0</v>
      </c>
      <c r="H1852" s="10">
        <f t="shared" si="60"/>
        <v>0.012039917041332029</v>
      </c>
      <c r="K1852" s="7"/>
    </row>
    <row r="1853" spans="8:8">
      <c r="B1853" s="7">
        <v>43679.0</v>
      </c>
      <c r="C1853" s="8">
        <v>1261.75</v>
      </c>
      <c r="D1853" s="8">
        <f t="shared" si="59"/>
        <v>-0.02646502835538749</v>
      </c>
      <c r="E1853" s="8">
        <v>-0.004689174705251876</v>
      </c>
      <c r="F1853" s="9"/>
      <c r="G1853" s="9">
        <v>1850.0</v>
      </c>
      <c r="H1853" s="10">
        <f t="shared" si="60"/>
        <v>-0.008604544581709339</v>
      </c>
      <c r="K1853" s="7"/>
    </row>
    <row r="1854" spans="8:8">
      <c r="B1854" s="7">
        <v>43648.0</v>
      </c>
      <c r="C1854" s="8">
        <v>1296.05</v>
      </c>
      <c r="D1854" s="8">
        <f t="shared" si="59"/>
        <v>-0.0139607425441267</v>
      </c>
      <c r="E1854" s="8">
        <v>-0.004694465264902004</v>
      </c>
      <c r="F1854" s="9"/>
      <c r="G1854" s="9">
        <v>1851.0</v>
      </c>
      <c r="H1854" s="10">
        <f t="shared" si="60"/>
        <v>-0.0025664339058324758</v>
      </c>
      <c r="K1854" s="7"/>
    </row>
    <row r="1855" spans="8:8">
      <c r="B1855" s="7">
        <v>43618.0</v>
      </c>
      <c r="C1855" s="8">
        <v>1314.4</v>
      </c>
      <c r="D1855" s="8">
        <f t="shared" si="59"/>
        <v>0.007511881036333116</v>
      </c>
      <c r="E1855" s="8">
        <v>-0.004705697815771931</v>
      </c>
      <c r="F1855" s="9"/>
      <c r="G1855" s="9">
        <v>1852.0</v>
      </c>
      <c r="H1855" s="10">
        <f t="shared" si="60"/>
        <v>-0.009443708552289681</v>
      </c>
      <c r="K1855" s="7"/>
    </row>
    <row r="1856" spans="8:8">
      <c r="B1856" s="7">
        <v>43587.0</v>
      </c>
      <c r="C1856" s="8">
        <v>1304.6</v>
      </c>
      <c r="D1856" s="8">
        <f t="shared" si="59"/>
        <v>-0.002141655193513983</v>
      </c>
      <c r="E1856" s="8">
        <v>-0.00471182162389559</v>
      </c>
      <c r="F1856" s="9"/>
      <c r="G1856" s="9">
        <v>1853.0</v>
      </c>
      <c r="H1856" s="10">
        <f t="shared" si="60"/>
        <v>0.007639951948510558</v>
      </c>
      <c r="K1856" s="7"/>
    </row>
    <row r="1857" spans="8:8">
      <c r="B1857" s="7">
        <v>43557.0</v>
      </c>
      <c r="C1857" s="8">
        <v>1307.4</v>
      </c>
      <c r="D1857" s="8">
        <f t="shared" si="59"/>
        <v>-0.012985052091197206</v>
      </c>
      <c r="E1857" s="8">
        <v>-0.004718856411940639</v>
      </c>
      <c r="F1857" s="9"/>
      <c r="G1857" s="9">
        <v>1854.0</v>
      </c>
      <c r="H1857" s="10">
        <f t="shared" si="60"/>
        <v>-0.009789000745918715</v>
      </c>
      <c r="K1857" s="7"/>
    </row>
    <row r="1858" spans="8:8">
      <c r="B1858" s="7">
        <v>43467.0</v>
      </c>
      <c r="C1858" s="8">
        <v>1324.6</v>
      </c>
      <c r="D1858" s="8">
        <f t="shared" si="59"/>
        <v>0.007836871338354983</v>
      </c>
      <c r="E1858" s="8">
        <v>-0.004729758782302103</v>
      </c>
      <c r="F1858" s="9"/>
      <c r="G1858" s="9">
        <v>1855.0</v>
      </c>
      <c r="H1858" s="10">
        <f t="shared" si="60"/>
        <v>-0.0038646921060635393</v>
      </c>
      <c r="K1858" s="7"/>
    </row>
    <row r="1859" spans="8:8">
      <c r="B1859" s="7" t="s">
        <v>9714</v>
      </c>
      <c r="C1859" s="8">
        <v>1314.3</v>
      </c>
      <c r="D1859" s="8">
        <f t="shared" si="59"/>
        <v>0.015334698134342701</v>
      </c>
      <c r="E1859" s="8">
        <v>-0.004732483239121891</v>
      </c>
      <c r="F1859" s="9"/>
      <c r="G1859" s="9">
        <v>1856.0</v>
      </c>
      <c r="H1859" s="10">
        <f t="shared" si="60"/>
        <v>-0.011032965895388751</v>
      </c>
      <c r="K1859" s="7"/>
    </row>
    <row r="1860" spans="8:8">
      <c r="B1860" s="7" t="s">
        <v>9715</v>
      </c>
      <c r="C1860" s="8">
        <v>1294.45</v>
      </c>
      <c r="D1860" s="8">
        <f t="shared" si="61" ref="D1860:D1923">(C1860-C1861)/C1861</f>
        <v>0.012832048824380965</v>
      </c>
      <c r="E1860" s="8">
        <v>-0.004745089384241964</v>
      </c>
      <c r="F1860" s="9"/>
      <c r="G1860" s="9">
        <v>1857.0</v>
      </c>
      <c r="H1860" s="10">
        <f t="shared" si="60"/>
        <v>2.67252006121794E-4</v>
      </c>
      <c r="K1860" s="7"/>
    </row>
    <row r="1861" spans="8:8">
      <c r="B1861" s="7" t="s">
        <v>9716</v>
      </c>
      <c r="C1861" s="8">
        <v>1278.05</v>
      </c>
      <c r="D1861" s="8">
        <f t="shared" si="61"/>
        <v>-0.017224806797647037</v>
      </c>
      <c r="E1861" s="8">
        <v>-0.004784820569228679</v>
      </c>
      <c r="F1861" s="9"/>
      <c r="G1861" s="9">
        <v>1858.0</v>
      </c>
      <c r="H1861" s="10">
        <f t="shared" si="62" ref="H1861:H1924">_xlfn.NORM.INV(RAND(),N$6,N$7)</f>
        <v>-0.015030549385526053</v>
      </c>
      <c r="K1861" s="7"/>
    </row>
    <row r="1862" spans="8:8">
      <c r="B1862" s="7" t="s">
        <v>9717</v>
      </c>
      <c r="C1862" s="8">
        <v>1300.45</v>
      </c>
      <c r="D1862" s="8">
        <f t="shared" si="61"/>
        <v>0.011669065307868839</v>
      </c>
      <c r="E1862" s="8">
        <v>-0.0047866419294991065</v>
      </c>
      <c r="F1862" s="9"/>
      <c r="G1862" s="9">
        <v>1859.0</v>
      </c>
      <c r="H1862" s="10">
        <f t="shared" si="62"/>
        <v>3.455878333982628E-4</v>
      </c>
      <c r="K1862" s="7"/>
    </row>
    <row r="1863" spans="8:8">
      <c r="B1863" s="7" t="s">
        <v>9718</v>
      </c>
      <c r="C1863" s="8">
        <v>1285.45</v>
      </c>
      <c r="D1863" s="8">
        <f t="shared" si="61"/>
        <v>-0.007642722044235044</v>
      </c>
      <c r="E1863" s="8">
        <v>-0.004789060776962183</v>
      </c>
      <c r="F1863" s="9"/>
      <c r="G1863" s="9">
        <v>1860.0</v>
      </c>
      <c r="H1863" s="10">
        <f t="shared" si="62"/>
        <v>0.010639628283805519</v>
      </c>
      <c r="K1863" s="7"/>
    </row>
    <row r="1864" spans="8:8">
      <c r="B1864" s="7" t="s">
        <v>9719</v>
      </c>
      <c r="C1864" s="8">
        <v>1295.35</v>
      </c>
      <c r="D1864" s="8">
        <f t="shared" si="61"/>
        <v>-0.0046870797956126906</v>
      </c>
      <c r="E1864" s="8">
        <v>-0.004793814432989667</v>
      </c>
      <c r="F1864" s="9"/>
      <c r="G1864" s="9">
        <v>1861.0</v>
      </c>
      <c r="H1864" s="10">
        <f t="shared" si="62"/>
        <v>-3.938435776286251E-4</v>
      </c>
      <c r="K1864" s="7"/>
    </row>
    <row r="1865" spans="8:8">
      <c r="B1865" s="7" t="s">
        <v>9720</v>
      </c>
      <c r="C1865" s="8">
        <v>1301.45</v>
      </c>
      <c r="D1865" s="8">
        <f t="shared" si="61"/>
        <v>2.305652691849168E-4</v>
      </c>
      <c r="E1865" s="8">
        <v>-0.004803796735733276</v>
      </c>
      <c r="F1865" s="9"/>
      <c r="G1865" s="9">
        <v>1862.0</v>
      </c>
      <c r="H1865" s="10">
        <f t="shared" si="62"/>
        <v>0.0023386503886016078</v>
      </c>
      <c r="K1865" s="7"/>
    </row>
    <row r="1866" spans="8:8">
      <c r="B1866" s="7" t="s">
        <v>9721</v>
      </c>
      <c r="C1866" s="8">
        <v>1301.15</v>
      </c>
      <c r="D1866" s="8">
        <f t="shared" si="61"/>
        <v>-0.010193602373435673</v>
      </c>
      <c r="E1866" s="8">
        <v>-0.004836610503359246</v>
      </c>
      <c r="F1866" s="9"/>
      <c r="G1866" s="9">
        <v>1863.0</v>
      </c>
      <c r="H1866" s="10">
        <f t="shared" si="62"/>
        <v>0.006932762526578606</v>
      </c>
      <c r="K1866" s="7"/>
    </row>
    <row r="1867" spans="8:8">
      <c r="B1867" s="7" t="s">
        <v>9722</v>
      </c>
      <c r="C1867" s="8">
        <v>1314.55</v>
      </c>
      <c r="D1867" s="8">
        <f t="shared" si="61"/>
        <v>-0.0025419227558996405</v>
      </c>
      <c r="E1867" s="8">
        <v>-0.004856067897454004</v>
      </c>
      <c r="F1867" s="9"/>
      <c r="G1867" s="9">
        <v>1864.0</v>
      </c>
      <c r="H1867" s="10">
        <f t="shared" si="62"/>
        <v>2.8832549564195313E-4</v>
      </c>
      <c r="K1867" s="7"/>
    </row>
    <row r="1868" spans="8:8">
      <c r="B1868" s="7" t="s">
        <v>9723</v>
      </c>
      <c r="C1868" s="8">
        <v>1317.9</v>
      </c>
      <c r="D1868" s="8">
        <f t="shared" si="61"/>
        <v>-0.02091304186322935</v>
      </c>
      <c r="E1868" s="8">
        <v>-0.004858231771160493</v>
      </c>
      <c r="F1868" s="9"/>
      <c r="G1868" s="9">
        <v>1865.0</v>
      </c>
      <c r="H1868" s="10">
        <f t="shared" si="62"/>
        <v>0.01445638262090897</v>
      </c>
      <c r="K1868" s="7"/>
    </row>
    <row r="1869" spans="8:8">
      <c r="B1869" s="7" t="s">
        <v>9724</v>
      </c>
      <c r="C1869" s="8">
        <v>1346.05</v>
      </c>
      <c r="D1869" s="8">
        <f t="shared" si="61"/>
        <v>0.0029057854934246273</v>
      </c>
      <c r="E1869" s="8">
        <v>-0.004875103098857129</v>
      </c>
      <c r="F1869" s="9"/>
      <c r="G1869" s="9">
        <v>1866.0</v>
      </c>
      <c r="H1869" s="10">
        <f t="shared" si="62"/>
        <v>-0.005547153627925231</v>
      </c>
      <c r="K1869" s="7"/>
    </row>
    <row r="1870" spans="8:8">
      <c r="B1870" s="7" t="s">
        <v>9725</v>
      </c>
      <c r="C1870" s="8">
        <v>1342.15</v>
      </c>
      <c r="D1870" s="8">
        <f t="shared" si="61"/>
        <v>9.322097098963383E-4</v>
      </c>
      <c r="E1870" s="8">
        <v>-0.004876947392187935</v>
      </c>
      <c r="F1870" s="9"/>
      <c r="G1870" s="9">
        <v>1867.0</v>
      </c>
      <c r="H1870" s="10">
        <f t="shared" si="62"/>
        <v>0.013571267990812035</v>
      </c>
      <c r="K1870" s="7"/>
    </row>
    <row r="1871" spans="8:8">
      <c r="B1871" s="7" t="s">
        <v>9726</v>
      </c>
      <c r="C1871" s="8">
        <v>1340.9</v>
      </c>
      <c r="D1871" s="8">
        <f t="shared" si="61"/>
        <v>0.005247769697878401</v>
      </c>
      <c r="E1871" s="8">
        <v>-0.0049206235184253355</v>
      </c>
      <c r="F1871" s="9"/>
      <c r="G1871" s="9">
        <v>1868.0</v>
      </c>
      <c r="H1871" s="10">
        <f t="shared" si="62"/>
        <v>0.003930027651583554</v>
      </c>
      <c r="K1871" s="7"/>
    </row>
    <row r="1872" spans="8:8">
      <c r="B1872" s="7" t="s">
        <v>9727</v>
      </c>
      <c r="C1872" s="8">
        <v>1333.9</v>
      </c>
      <c r="D1872" s="8">
        <f t="shared" si="61"/>
        <v>-0.026066004672897065</v>
      </c>
      <c r="E1872" s="8">
        <v>-0.004933586337760911</v>
      </c>
      <c r="F1872" s="9"/>
      <c r="G1872" s="9">
        <v>1869.0</v>
      </c>
      <c r="H1872" s="10">
        <f t="shared" si="62"/>
        <v>-0.012577299415079755</v>
      </c>
      <c r="K1872" s="7"/>
    </row>
    <row r="1873" spans="8:8">
      <c r="B1873" s="7">
        <v>43770.0</v>
      </c>
      <c r="C1873" s="8">
        <v>1369.6</v>
      </c>
      <c r="D1873" s="8">
        <f t="shared" si="61"/>
        <v>-0.016515869596438318</v>
      </c>
      <c r="E1873" s="8">
        <v>-0.004939112662862944</v>
      </c>
      <c r="F1873" s="9"/>
      <c r="G1873" s="9">
        <v>1870.0</v>
      </c>
      <c r="H1873" s="10">
        <f t="shared" si="62"/>
        <v>0.014276064075969451</v>
      </c>
      <c r="K1873" s="7"/>
    </row>
    <row r="1874" spans="8:8">
      <c r="B1874" s="7">
        <v>43739.0</v>
      </c>
      <c r="C1874" s="8">
        <v>1392.6</v>
      </c>
      <c r="D1874" s="8">
        <f t="shared" si="61"/>
        <v>0.004725659247501861</v>
      </c>
      <c r="E1874" s="8">
        <v>-0.004944924789766617</v>
      </c>
      <c r="F1874" s="9"/>
      <c r="G1874" s="9">
        <v>1871.0</v>
      </c>
      <c r="H1874" s="10">
        <f t="shared" si="62"/>
        <v>0.002047611855528547</v>
      </c>
      <c r="K1874" s="7"/>
    </row>
    <row r="1875" spans="8:8">
      <c r="B1875" s="7">
        <v>43709.0</v>
      </c>
      <c r="C1875" s="8">
        <v>1386.05</v>
      </c>
      <c r="D1875" s="8">
        <f t="shared" si="61"/>
        <v>0.002785414556504058</v>
      </c>
      <c r="E1875" s="8">
        <v>-0.0049584195525710665</v>
      </c>
      <c r="F1875" s="9"/>
      <c r="G1875" s="9">
        <v>1872.0</v>
      </c>
      <c r="H1875" s="10">
        <f t="shared" si="62"/>
        <v>0.0016043506471280784</v>
      </c>
      <c r="K1875" s="7"/>
    </row>
    <row r="1876" spans="8:8">
      <c r="B1876" s="7">
        <v>43678.0</v>
      </c>
      <c r="C1876" s="8">
        <v>1382.2</v>
      </c>
      <c r="D1876" s="8">
        <f t="shared" si="61"/>
        <v>-0.0011562364503540318</v>
      </c>
      <c r="E1876" s="8">
        <v>-0.004958580114519731</v>
      </c>
      <c r="F1876" s="9"/>
      <c r="G1876" s="9">
        <v>1873.0</v>
      </c>
      <c r="H1876" s="10">
        <f t="shared" si="62"/>
        <v>2.993461889003136E-5</v>
      </c>
      <c r="K1876" s="7"/>
    </row>
    <row r="1877" spans="8:8">
      <c r="B1877" s="7">
        <v>43647.0</v>
      </c>
      <c r="C1877" s="8">
        <v>1383.8</v>
      </c>
      <c r="D1877" s="8">
        <f t="shared" si="61"/>
        <v>-0.0030618493570116353</v>
      </c>
      <c r="E1877" s="8">
        <v>-0.004962566844919747</v>
      </c>
      <c r="F1877" s="9"/>
      <c r="G1877" s="9">
        <v>1874.0</v>
      </c>
      <c r="H1877" s="10">
        <f t="shared" si="62"/>
        <v>-0.0024955654788575603</v>
      </c>
      <c r="K1877" s="7"/>
    </row>
    <row r="1878" spans="8:8">
      <c r="B1878" s="7">
        <v>43556.0</v>
      </c>
      <c r="C1878" s="8">
        <v>1388.05</v>
      </c>
      <c r="D1878" s="8">
        <f t="shared" si="61"/>
        <v>-0.004982078853046627</v>
      </c>
      <c r="E1878" s="8">
        <v>-0.00497663146962091</v>
      </c>
      <c r="F1878" s="9"/>
      <c r="G1878" s="9">
        <v>1875.0</v>
      </c>
      <c r="H1878" s="10">
        <f t="shared" si="62"/>
        <v>0.0016484820231162454</v>
      </c>
      <c r="K1878" s="7"/>
    </row>
    <row r="1879" spans="8:8">
      <c r="B1879" s="7">
        <v>43525.0</v>
      </c>
      <c r="C1879" s="8">
        <v>1395.0</v>
      </c>
      <c r="D1879" s="8">
        <f t="shared" si="61"/>
        <v>-0.021396001403016486</v>
      </c>
      <c r="E1879" s="8">
        <v>-0.00497870946609886</v>
      </c>
      <c r="F1879" s="9"/>
      <c r="G1879" s="9">
        <v>1876.0</v>
      </c>
      <c r="H1879" s="10">
        <f t="shared" si="62"/>
        <v>-0.00182300872172315</v>
      </c>
      <c r="K1879" s="7"/>
    </row>
    <row r="1880" spans="8:8">
      <c r="B1880" s="7">
        <v>43497.0</v>
      </c>
      <c r="C1880" s="8">
        <v>1425.5</v>
      </c>
      <c r="D1880" s="8">
        <f t="shared" si="61"/>
        <v>-0.011373881683889375</v>
      </c>
      <c r="E1880" s="8">
        <v>-0.0049833887043189765</v>
      </c>
      <c r="F1880" s="9"/>
      <c r="G1880" s="9">
        <v>1877.0</v>
      </c>
      <c r="H1880" s="10">
        <f t="shared" si="62"/>
        <v>0.011173864082347499</v>
      </c>
      <c r="K1880" s="7"/>
    </row>
    <row r="1881" spans="8:8">
      <c r="B1881" s="7">
        <v>43466.0</v>
      </c>
      <c r="C1881" s="8">
        <v>1441.9</v>
      </c>
      <c r="D1881" s="8">
        <f t="shared" si="61"/>
        <v>0.0030259817049842694</v>
      </c>
      <c r="E1881" s="8">
        <v>-0.004996654026321578</v>
      </c>
      <c r="F1881" s="9"/>
      <c r="G1881" s="9">
        <v>1878.0</v>
      </c>
      <c r="H1881" s="10">
        <f t="shared" si="62"/>
        <v>9.95303389316193E-4</v>
      </c>
      <c r="K1881" s="7"/>
    </row>
    <row r="1882" spans="8:8">
      <c r="B1882" s="7" t="s">
        <v>9728</v>
      </c>
      <c r="C1882" s="8">
        <v>1437.55</v>
      </c>
      <c r="D1882" s="8">
        <f t="shared" si="61"/>
        <v>-0.0012852577462832682</v>
      </c>
      <c r="E1882" s="8">
        <v>-0.005029008105412531</v>
      </c>
      <c r="F1882" s="9"/>
      <c r="G1882" s="9">
        <v>1879.0</v>
      </c>
      <c r="H1882" s="10">
        <f t="shared" si="62"/>
        <v>0.01685568566324361</v>
      </c>
      <c r="K1882" s="7"/>
    </row>
    <row r="1883" spans="8:8">
      <c r="B1883" s="7" t="s">
        <v>9729</v>
      </c>
      <c r="C1883" s="8">
        <v>1439.4</v>
      </c>
      <c r="D1883" s="8">
        <f t="shared" si="61"/>
        <v>0.010069822111504955</v>
      </c>
      <c r="E1883" s="8">
        <v>-0.005034047239139636</v>
      </c>
      <c r="F1883" s="9"/>
      <c r="G1883" s="9">
        <v>1880.0</v>
      </c>
      <c r="H1883" s="10">
        <f t="shared" si="62"/>
        <v>0.007408604737439538</v>
      </c>
      <c r="K1883" s="7"/>
    </row>
    <row r="1884" spans="8:8">
      <c r="B1884" s="7" t="s">
        <v>9730</v>
      </c>
      <c r="C1884" s="8">
        <v>1425.05</v>
      </c>
      <c r="D1884" s="8">
        <f t="shared" si="61"/>
        <v>0.001686992584261669</v>
      </c>
      <c r="E1884" s="8">
        <v>-0.0050494159928122844</v>
      </c>
      <c r="F1884" s="9"/>
      <c r="G1884" s="9">
        <v>1881.0</v>
      </c>
      <c r="H1884" s="10">
        <f t="shared" si="62"/>
        <v>0.01511945530845837</v>
      </c>
      <c r="K1884" s="7"/>
    </row>
    <row r="1885" spans="8:8">
      <c r="B1885" s="7" t="s">
        <v>9731</v>
      </c>
      <c r="C1885" s="8">
        <v>1422.65</v>
      </c>
      <c r="D1885" s="8">
        <f t="shared" si="61"/>
        <v>0.01270643507972675</v>
      </c>
      <c r="E1885" s="8">
        <v>-0.005050145814069376</v>
      </c>
      <c r="F1885" s="9"/>
      <c r="G1885" s="9">
        <v>1882.0</v>
      </c>
      <c r="H1885" s="10">
        <f t="shared" si="62"/>
        <v>0.008221247675325082</v>
      </c>
      <c r="K1885" s="7"/>
    </row>
    <row r="1886" spans="8:8">
      <c r="B1886" s="7" t="s">
        <v>9732</v>
      </c>
      <c r="C1886" s="8">
        <v>1404.8</v>
      </c>
      <c r="D1886" s="8">
        <f t="shared" si="61"/>
        <v>-0.010704225352112708</v>
      </c>
      <c r="E1886" s="8">
        <v>-0.005060014120969675</v>
      </c>
      <c r="F1886" s="9"/>
      <c r="G1886" s="9">
        <v>1883.0</v>
      </c>
      <c r="H1886" s="10">
        <f t="shared" si="62"/>
        <v>0.014951031919039591</v>
      </c>
      <c r="K1886" s="7"/>
    </row>
    <row r="1887" spans="8:8">
      <c r="B1887" s="7" t="s">
        <v>9733</v>
      </c>
      <c r="C1887" s="8">
        <v>1420.0</v>
      </c>
      <c r="D1887" s="8">
        <f t="shared" si="61"/>
        <v>-0.02122966639095668</v>
      </c>
      <c r="E1887" s="8">
        <v>-0.005080109417741226</v>
      </c>
      <c r="F1887" s="9"/>
      <c r="G1887" s="9">
        <v>1884.0</v>
      </c>
      <c r="H1887" s="10">
        <f t="shared" si="62"/>
        <v>0.0044720098068900226</v>
      </c>
      <c r="K1887" s="7"/>
    </row>
    <row r="1888" spans="8:8">
      <c r="B1888" s="7" t="s">
        <v>9734</v>
      </c>
      <c r="C1888" s="8">
        <v>1450.8</v>
      </c>
      <c r="D1888" s="8">
        <f t="shared" si="61"/>
        <v>0.011186617877679007</v>
      </c>
      <c r="E1888" s="8">
        <v>-0.005080879303193633</v>
      </c>
      <c r="F1888" s="9"/>
      <c r="G1888" s="9">
        <v>1885.0</v>
      </c>
      <c r="H1888" s="10">
        <f t="shared" si="62"/>
        <v>0.0072039696982141195</v>
      </c>
      <c r="K1888" s="7"/>
    </row>
    <row r="1889" spans="8:8">
      <c r="B1889" s="7" t="s">
        <v>9735</v>
      </c>
      <c r="C1889" s="8">
        <v>1434.75</v>
      </c>
      <c r="D1889" s="8">
        <f t="shared" si="61"/>
        <v>0.004375218760938047</v>
      </c>
      <c r="E1889" s="8">
        <v>-0.005084279956027808</v>
      </c>
      <c r="F1889" s="9"/>
      <c r="G1889" s="9">
        <v>1886.0</v>
      </c>
      <c r="H1889" s="10">
        <f t="shared" si="62"/>
        <v>0.0019271544258035328</v>
      </c>
      <c r="K1889" s="7"/>
    </row>
    <row r="1890" spans="8:8">
      <c r="B1890" s="7" t="s">
        <v>9736</v>
      </c>
      <c r="C1890" s="8">
        <v>1428.5</v>
      </c>
      <c r="D1890" s="8">
        <f t="shared" si="61"/>
        <v>0.01455965909090909</v>
      </c>
      <c r="E1890" s="8">
        <v>-0.00508950508950505</v>
      </c>
      <c r="F1890" s="9"/>
      <c r="G1890" s="9">
        <v>1887.0</v>
      </c>
      <c r="H1890" s="10">
        <f t="shared" si="62"/>
        <v>-0.005135217057623151</v>
      </c>
      <c r="K1890" s="7"/>
    </row>
    <row r="1891" spans="8:8">
      <c r="B1891" s="7" t="s">
        <v>9737</v>
      </c>
      <c r="C1891" s="8">
        <v>1408.0</v>
      </c>
      <c r="D1891" s="8">
        <f t="shared" si="61"/>
        <v>-0.002408955646875507</v>
      </c>
      <c r="E1891" s="8">
        <v>-0.005091085405555265</v>
      </c>
      <c r="F1891" s="9"/>
      <c r="G1891" s="9">
        <v>1888.0</v>
      </c>
      <c r="H1891" s="10">
        <f t="shared" si="62"/>
        <v>-0.006602473453215316</v>
      </c>
      <c r="K1891" s="7"/>
    </row>
    <row r="1892" spans="8:8">
      <c r="B1892" s="7" t="s">
        <v>9738</v>
      </c>
      <c r="C1892" s="8">
        <v>1411.4</v>
      </c>
      <c r="D1892" s="8">
        <f t="shared" si="61"/>
        <v>-0.010550667741596239</v>
      </c>
      <c r="E1892" s="8">
        <v>-0.005097851375393489</v>
      </c>
      <c r="F1892" s="9"/>
      <c r="G1892" s="9">
        <v>1889.0</v>
      </c>
      <c r="H1892" s="10">
        <f t="shared" si="62"/>
        <v>0.008878212950628203</v>
      </c>
      <c r="K1892" s="7"/>
    </row>
    <row r="1893" spans="8:8">
      <c r="B1893" s="7" t="s">
        <v>9739</v>
      </c>
      <c r="C1893" s="8">
        <v>1426.45</v>
      </c>
      <c r="D1893" s="8">
        <f t="shared" si="61"/>
        <v>0.01867456973505684</v>
      </c>
      <c r="E1893" s="8">
        <v>-0.0051114518745694155</v>
      </c>
      <c r="F1893" s="9"/>
      <c r="G1893" s="9">
        <v>1890.0</v>
      </c>
      <c r="H1893" s="10">
        <f t="shared" si="62"/>
        <v>-0.02568392891150755</v>
      </c>
      <c r="K1893" s="7"/>
    </row>
    <row r="1894" spans="8:8">
      <c r="B1894" s="7">
        <v>43446.0</v>
      </c>
      <c r="C1894" s="8">
        <v>1400.3</v>
      </c>
      <c r="D1894" s="8">
        <f t="shared" si="61"/>
        <v>0.028573527251358793</v>
      </c>
      <c r="E1894" s="8">
        <v>-0.005119772153186265</v>
      </c>
      <c r="F1894" s="9"/>
      <c r="G1894" s="9">
        <v>1891.0</v>
      </c>
      <c r="H1894" s="10">
        <f t="shared" si="62"/>
        <v>-0.007330141578152889</v>
      </c>
      <c r="K1894" s="7"/>
    </row>
    <row r="1895" spans="8:8">
      <c r="B1895" s="7">
        <v>43416.0</v>
      </c>
      <c r="C1895" s="8">
        <v>1361.4</v>
      </c>
      <c r="D1895" s="8">
        <f t="shared" si="61"/>
        <v>-0.004642661305062993</v>
      </c>
      <c r="E1895" s="8">
        <v>-0.005127038566529044</v>
      </c>
      <c r="F1895" s="9"/>
      <c r="G1895" s="9">
        <v>1892.0</v>
      </c>
      <c r="H1895" s="10">
        <f t="shared" si="62"/>
        <v>0.029726714463049753</v>
      </c>
      <c r="K1895" s="7"/>
    </row>
    <row r="1896" spans="8:8">
      <c r="B1896" s="7">
        <v>43385.0</v>
      </c>
      <c r="C1896" s="8">
        <v>1367.75</v>
      </c>
      <c r="D1896" s="8">
        <f t="shared" si="61"/>
        <v>-0.02296592613758132</v>
      </c>
      <c r="E1896" s="8">
        <v>-0.005128802890779785</v>
      </c>
      <c r="F1896" s="9"/>
      <c r="G1896" s="9">
        <v>1893.0</v>
      </c>
      <c r="H1896" s="10">
        <f t="shared" si="62"/>
        <v>0.02298614464764725</v>
      </c>
      <c r="K1896" s="7"/>
    </row>
    <row r="1897" spans="8:8">
      <c r="B1897" s="7">
        <v>43293.0</v>
      </c>
      <c r="C1897" s="8">
        <v>1399.9</v>
      </c>
      <c r="D1897" s="8">
        <f t="shared" si="61"/>
        <v>0.014787966654585061</v>
      </c>
      <c r="E1897" s="8">
        <v>-0.005152624284851285</v>
      </c>
      <c r="F1897" s="9"/>
      <c r="G1897" s="9">
        <v>1894.0</v>
      </c>
      <c r="H1897" s="10">
        <f t="shared" si="62"/>
        <v>-0.01783388101515692</v>
      </c>
      <c r="K1897" s="7"/>
    </row>
    <row r="1898" spans="8:8">
      <c r="B1898" s="7">
        <v>43263.0</v>
      </c>
      <c r="C1898" s="8">
        <v>1379.5</v>
      </c>
      <c r="D1898" s="8">
        <f t="shared" si="61"/>
        <v>-0.010969314597074818</v>
      </c>
      <c r="E1898" s="8">
        <v>-0.005160684963640602</v>
      </c>
      <c r="F1898" s="9"/>
      <c r="G1898" s="9">
        <v>1895.0</v>
      </c>
      <c r="H1898" s="10">
        <f t="shared" si="62"/>
        <v>0.01337604666315802</v>
      </c>
      <c r="K1898" s="7"/>
    </row>
    <row r="1899" spans="8:8">
      <c r="B1899" s="7">
        <v>43232.0</v>
      </c>
      <c r="C1899" s="8">
        <v>1394.8</v>
      </c>
      <c r="D1899" s="8">
        <f t="shared" si="61"/>
        <v>-0.017677301218395756</v>
      </c>
      <c r="E1899" s="8">
        <v>-0.005163912579957356</v>
      </c>
      <c r="F1899" s="9"/>
      <c r="G1899" s="9">
        <v>1896.0</v>
      </c>
      <c r="H1899" s="10">
        <f t="shared" si="62"/>
        <v>-0.002376518167457601</v>
      </c>
      <c r="K1899" s="7"/>
    </row>
    <row r="1900" spans="8:8">
      <c r="B1900" s="7">
        <v>43202.0</v>
      </c>
      <c r="C1900" s="8">
        <v>1419.9</v>
      </c>
      <c r="D1900" s="8">
        <f t="shared" si="61"/>
        <v>-0.005323992994745996</v>
      </c>
      <c r="E1900" s="8">
        <v>-0.00516795865633072</v>
      </c>
      <c r="F1900" s="9"/>
      <c r="G1900" s="9">
        <v>1897.0</v>
      </c>
      <c r="H1900" s="10">
        <f t="shared" si="62"/>
        <v>-0.00965793035533075</v>
      </c>
      <c r="K1900" s="7"/>
    </row>
    <row r="1901" spans="8:8">
      <c r="B1901" s="7">
        <v>43171.0</v>
      </c>
      <c r="C1901" s="8">
        <v>1427.5</v>
      </c>
      <c r="D1901" s="8">
        <f t="shared" si="61"/>
        <v>-0.0034904013961605585</v>
      </c>
      <c r="E1901" s="8">
        <v>-0.005170811062049785</v>
      </c>
      <c r="F1901" s="9"/>
      <c r="G1901" s="9">
        <v>1898.0</v>
      </c>
      <c r="H1901" s="10">
        <f t="shared" si="62"/>
        <v>0.006341404832869038</v>
      </c>
      <c r="K1901" s="7"/>
    </row>
    <row r="1902" spans="8:8">
      <c r="B1902" s="7" t="s">
        <v>9740</v>
      </c>
      <c r="C1902" s="8">
        <v>1432.5</v>
      </c>
      <c r="D1902" s="8">
        <f t="shared" si="61"/>
        <v>0.00706527470209846</v>
      </c>
      <c r="E1902" s="8">
        <v>-0.005180452426178553</v>
      </c>
      <c r="F1902" s="9"/>
      <c r="G1902" s="9">
        <v>1899.0</v>
      </c>
      <c r="H1902" s="10">
        <f t="shared" si="62"/>
        <v>0.00725503171597955</v>
      </c>
      <c r="K1902" s="7"/>
    </row>
    <row r="1903" spans="8:8">
      <c r="B1903" s="7" t="s">
        <v>9741</v>
      </c>
      <c r="C1903" s="8">
        <v>1422.45</v>
      </c>
      <c r="D1903" s="8">
        <f t="shared" si="61"/>
        <v>0.013574176998717368</v>
      </c>
      <c r="E1903" s="8">
        <v>-0.005181574671760365</v>
      </c>
      <c r="F1903" s="9"/>
      <c r="G1903" s="9">
        <v>1900.0</v>
      </c>
      <c r="H1903" s="10">
        <f t="shared" si="62"/>
        <v>-0.022435070964933204</v>
      </c>
      <c r="K1903" s="7"/>
    </row>
    <row r="1904" spans="8:8">
      <c r="B1904" s="7" t="s">
        <v>9742</v>
      </c>
      <c r="C1904" s="8">
        <v>1403.4</v>
      </c>
      <c r="D1904" s="8">
        <f t="shared" si="61"/>
        <v>-0.019698239731768524</v>
      </c>
      <c r="E1904" s="8">
        <v>-0.005204746729016863</v>
      </c>
      <c r="F1904" s="9"/>
      <c r="G1904" s="9">
        <v>1901.0</v>
      </c>
      <c r="H1904" s="10">
        <f t="shared" si="62"/>
        <v>-0.010406300619217962</v>
      </c>
      <c r="K1904" s="7"/>
    </row>
    <row r="1905" spans="8:8">
      <c r="B1905" s="7" t="s">
        <v>9743</v>
      </c>
      <c r="C1905" s="8">
        <v>1431.6</v>
      </c>
      <c r="D1905" s="8">
        <f t="shared" si="61"/>
        <v>0.006751054852320611</v>
      </c>
      <c r="E1905" s="8">
        <v>-0.005220184714228269</v>
      </c>
      <c r="F1905" s="9"/>
      <c r="G1905" s="9">
        <v>1902.0</v>
      </c>
      <c r="H1905" s="10">
        <f t="shared" si="62"/>
        <v>-0.0055046661774196095</v>
      </c>
      <c r="K1905" s="7"/>
    </row>
    <row r="1906" spans="8:8">
      <c r="B1906" s="7" t="s">
        <v>9744</v>
      </c>
      <c r="C1906" s="8">
        <v>1422.0</v>
      </c>
      <c r="D1906" s="8">
        <f t="shared" si="61"/>
        <v>0.00840336134453775</v>
      </c>
      <c r="E1906" s="8">
        <v>-0.005228574862775024</v>
      </c>
      <c r="F1906" s="9"/>
      <c r="G1906" s="9">
        <v>1903.0</v>
      </c>
      <c r="H1906" s="10">
        <f t="shared" si="62"/>
        <v>0.01527580938386796</v>
      </c>
      <c r="K1906" s="7"/>
    </row>
    <row r="1907" spans="8:8">
      <c r="B1907" s="7" t="s">
        <v>9745</v>
      </c>
      <c r="C1907" s="8">
        <v>1410.15</v>
      </c>
      <c r="D1907" s="8">
        <f t="shared" si="61"/>
        <v>0.005741387918122946</v>
      </c>
      <c r="E1907" s="8">
        <v>-0.005243128964059235</v>
      </c>
      <c r="F1907" s="9"/>
      <c r="G1907" s="9">
        <v>1904.0</v>
      </c>
      <c r="H1907" s="10">
        <f t="shared" si="62"/>
        <v>-0.01871663605689583</v>
      </c>
      <c r="K1907" s="7"/>
    </row>
    <row r="1908" spans="8:8">
      <c r="B1908" s="7" t="s">
        <v>9746</v>
      </c>
      <c r="C1908" s="8">
        <v>1402.1</v>
      </c>
      <c r="D1908" s="8">
        <f t="shared" si="61"/>
        <v>-0.007784304012454887</v>
      </c>
      <c r="E1908" s="8">
        <v>-0.005245498794952937</v>
      </c>
      <c r="F1908" s="9"/>
      <c r="G1908" s="9">
        <v>1905.0</v>
      </c>
      <c r="H1908" s="10">
        <f t="shared" si="62"/>
        <v>-0.003435553775205993</v>
      </c>
      <c r="K1908" s="7"/>
    </row>
    <row r="1909" spans="8:8">
      <c r="B1909" s="7" t="s">
        <v>9747</v>
      </c>
      <c r="C1909" s="8">
        <v>1413.1</v>
      </c>
      <c r="D1909" s="8">
        <f t="shared" si="61"/>
        <v>-0.00289302850691514</v>
      </c>
      <c r="E1909" s="8">
        <v>-0.005246913580246914</v>
      </c>
      <c r="F1909" s="9"/>
      <c r="G1909" s="9">
        <v>1906.0</v>
      </c>
      <c r="H1909" s="10">
        <f t="shared" si="62"/>
        <v>0.02142538983035642</v>
      </c>
      <c r="K1909" s="7"/>
    </row>
    <row r="1910" spans="8:8">
      <c r="B1910" s="7" t="s">
        <v>9748</v>
      </c>
      <c r="C1910" s="8">
        <v>1417.2</v>
      </c>
      <c r="D1910" s="8">
        <f t="shared" si="61"/>
        <v>0.012973088881741247</v>
      </c>
      <c r="E1910" s="8">
        <v>-0.00525047769377758</v>
      </c>
      <c r="F1910" s="9"/>
      <c r="G1910" s="9">
        <v>1907.0</v>
      </c>
      <c r="H1910" s="10">
        <f t="shared" si="62"/>
        <v>-0.010753231428256627</v>
      </c>
      <c r="K1910" s="7"/>
    </row>
    <row r="1911" spans="8:8">
      <c r="B1911" s="7" t="s">
        <v>9749</v>
      </c>
      <c r="C1911" s="8">
        <v>1399.05</v>
      </c>
      <c r="D1911" s="8">
        <f t="shared" si="61"/>
        <v>3.9327851269213766E-4</v>
      </c>
      <c r="E1911" s="8">
        <v>-0.005250732660371251</v>
      </c>
      <c r="F1911" s="9"/>
      <c r="G1911" s="9">
        <v>1908.0</v>
      </c>
      <c r="H1911" s="10">
        <f t="shared" si="62"/>
        <v>0.007308668537426817</v>
      </c>
      <c r="K1911" s="7"/>
    </row>
    <row r="1912" spans="8:8">
      <c r="B1912" s="7" t="s">
        <v>9750</v>
      </c>
      <c r="C1912" s="8">
        <v>1398.5</v>
      </c>
      <c r="D1912" s="8">
        <f t="shared" si="61"/>
        <v>0.009966057629811478</v>
      </c>
      <c r="E1912" s="8">
        <v>-0.005256060559624901</v>
      </c>
      <c r="F1912" s="9"/>
      <c r="G1912" s="9">
        <v>1909.0</v>
      </c>
      <c r="H1912" s="10">
        <f t="shared" si="62"/>
        <v>0.006198193654455826</v>
      </c>
      <c r="K1912" s="7"/>
    </row>
    <row r="1913" spans="8:8">
      <c r="B1913" s="7" t="s">
        <v>9751</v>
      </c>
      <c r="C1913" s="8">
        <v>1384.7</v>
      </c>
      <c r="D1913" s="8">
        <f t="shared" si="61"/>
        <v>-0.004600675724246901</v>
      </c>
      <c r="E1913" s="8">
        <v>-0.005261859738551344</v>
      </c>
      <c r="F1913" s="9"/>
      <c r="G1913" s="9">
        <v>1910.0</v>
      </c>
      <c r="H1913" s="10">
        <f t="shared" si="62"/>
        <v>0.011466298277444727</v>
      </c>
      <c r="K1913" s="7"/>
    </row>
    <row r="1914" spans="8:8">
      <c r="B1914" s="7" t="s">
        <v>9752</v>
      </c>
      <c r="C1914" s="8">
        <v>1391.1</v>
      </c>
      <c r="D1914" s="8">
        <f t="shared" si="61"/>
        <v>0.017480983031012188</v>
      </c>
      <c r="E1914" s="8">
        <v>-0.005266885013720497</v>
      </c>
      <c r="F1914" s="9"/>
      <c r="G1914" s="9">
        <v>1911.0</v>
      </c>
      <c r="H1914" s="10">
        <f t="shared" si="62"/>
        <v>0.02611088347862459</v>
      </c>
      <c r="K1914" s="7"/>
    </row>
    <row r="1915" spans="8:8">
      <c r="B1915" s="7">
        <v>43445.0</v>
      </c>
      <c r="C1915" s="8">
        <v>1367.2</v>
      </c>
      <c r="D1915" s="8">
        <f t="shared" si="61"/>
        <v>-0.001022943153587508</v>
      </c>
      <c r="E1915" s="8">
        <v>-0.005291661499028559</v>
      </c>
      <c r="F1915" s="9"/>
      <c r="G1915" s="9">
        <v>1912.0</v>
      </c>
      <c r="H1915" s="10">
        <f t="shared" si="62"/>
        <v>0.01483201508620317</v>
      </c>
      <c r="K1915" s="7"/>
    </row>
    <row r="1916" spans="8:8">
      <c r="B1916" s="7">
        <v>43354.0</v>
      </c>
      <c r="C1916" s="8">
        <v>1368.6</v>
      </c>
      <c r="D1916" s="8">
        <f t="shared" si="61"/>
        <v>0.0019400417291993582</v>
      </c>
      <c r="E1916" s="8">
        <v>-0.005309222423146447</v>
      </c>
      <c r="F1916" s="9"/>
      <c r="G1916" s="9">
        <v>1913.0</v>
      </c>
      <c r="H1916" s="10">
        <f t="shared" si="62"/>
        <v>0.017616562964201315</v>
      </c>
      <c r="K1916" s="7"/>
    </row>
    <row r="1917" spans="8:8">
      <c r="B1917" s="7">
        <v>43292.0</v>
      </c>
      <c r="C1917" s="8">
        <v>1365.95</v>
      </c>
      <c r="D1917" s="8">
        <f t="shared" si="61"/>
        <v>0.0015397587711259572</v>
      </c>
      <c r="E1917" s="8">
        <v>-0.005358516592832273</v>
      </c>
      <c r="F1917" s="9"/>
      <c r="G1917" s="9">
        <v>1914.0</v>
      </c>
      <c r="H1917" s="10">
        <f t="shared" si="62"/>
        <v>0.008447715076137903</v>
      </c>
      <c r="K1917" s="7"/>
    </row>
    <row r="1918" spans="8:8">
      <c r="B1918" s="7">
        <v>43262.0</v>
      </c>
      <c r="C1918" s="8">
        <v>1363.85</v>
      </c>
      <c r="D1918" s="8">
        <f t="shared" si="61"/>
        <v>0.010147020701403412</v>
      </c>
      <c r="E1918" s="8">
        <v>-0.005359484577227944</v>
      </c>
      <c r="F1918" s="9"/>
      <c r="G1918" s="9">
        <v>1915.0</v>
      </c>
      <c r="H1918" s="10">
        <f t="shared" si="62"/>
        <v>0.009020710959591973</v>
      </c>
      <c r="K1918" s="7"/>
    </row>
    <row r="1919" spans="8:8">
      <c r="B1919" s="7">
        <v>43231.0</v>
      </c>
      <c r="C1919" s="8">
        <v>1350.15</v>
      </c>
      <c r="D1919" s="8">
        <f t="shared" si="61"/>
        <v>-0.0059269621557944</v>
      </c>
      <c r="E1919" s="8">
        <v>-0.005363900216760318</v>
      </c>
      <c r="F1919" s="9"/>
      <c r="G1919" s="9">
        <v>1916.0</v>
      </c>
      <c r="H1919" s="10">
        <f t="shared" si="62"/>
        <v>-0.006925735354025567</v>
      </c>
      <c r="K1919" s="7"/>
    </row>
    <row r="1920" spans="8:8">
      <c r="B1920" s="7">
        <v>43142.0</v>
      </c>
      <c r="C1920" s="8">
        <v>1358.2</v>
      </c>
      <c r="D1920" s="8">
        <f t="shared" si="61"/>
        <v>0.023704541172036967</v>
      </c>
      <c r="E1920" s="8">
        <v>-0.0053869440347744805</v>
      </c>
      <c r="F1920" s="9"/>
      <c r="G1920" s="9">
        <v>1917.0</v>
      </c>
      <c r="H1920" s="10">
        <f t="shared" si="62"/>
        <v>-0.00877459669166638</v>
      </c>
      <c r="K1920" s="7"/>
    </row>
    <row r="1921" spans="8:8">
      <c r="B1921" s="7">
        <v>43111.0</v>
      </c>
      <c r="C1921" s="8">
        <v>1326.75</v>
      </c>
      <c r="D1921" s="8">
        <f t="shared" si="61"/>
        <v>0.02254335260115607</v>
      </c>
      <c r="E1921" s="8">
        <v>-0.005412467338559164</v>
      </c>
      <c r="F1921" s="9"/>
      <c r="G1921" s="9">
        <v>1918.0</v>
      </c>
      <c r="H1921" s="10">
        <f t="shared" si="62"/>
        <v>-0.004631831464238905</v>
      </c>
      <c r="K1921" s="7"/>
    </row>
    <row r="1922" spans="8:8">
      <c r="B1922" s="7" t="s">
        <v>9753</v>
      </c>
      <c r="C1922" s="8">
        <v>1297.5</v>
      </c>
      <c r="D1922" s="8">
        <f t="shared" si="61"/>
        <v>0.02064896755162242</v>
      </c>
      <c r="E1922" s="8">
        <v>-0.00541876070415805</v>
      </c>
      <c r="F1922" s="9"/>
      <c r="G1922" s="9">
        <v>1919.0</v>
      </c>
      <c r="H1922" s="10">
        <f t="shared" si="62"/>
        <v>0.001343054717683187</v>
      </c>
      <c r="K1922" s="7"/>
    </row>
    <row r="1923" spans="8:8">
      <c r="B1923" s="7" t="s">
        <v>9754</v>
      </c>
      <c r="C1923" s="8">
        <v>1271.25</v>
      </c>
      <c r="D1923" s="8">
        <f t="shared" si="61"/>
        <v>0.007888686276064415</v>
      </c>
      <c r="E1923" s="8">
        <v>-0.005431053361559211</v>
      </c>
      <c r="F1923" s="9"/>
      <c r="G1923" s="9">
        <v>1920.0</v>
      </c>
      <c r="H1923" s="10">
        <f t="shared" si="62"/>
        <v>0.023923886357041128</v>
      </c>
      <c r="K1923" s="7"/>
    </row>
    <row r="1924" spans="8:8">
      <c r="B1924" s="7" t="s">
        <v>9755</v>
      </c>
      <c r="C1924" s="8">
        <v>1261.3</v>
      </c>
      <c r="D1924" s="8">
        <f t="shared" si="63" ref="D1924:D1987">(C1924-C1925)/C1925</f>
        <v>0.05332164182220544</v>
      </c>
      <c r="E1924" s="8">
        <v>-0.005439330543933054</v>
      </c>
      <c r="F1924" s="9"/>
      <c r="G1924" s="9">
        <v>1921.0</v>
      </c>
      <c r="H1924" s="10">
        <f t="shared" si="62"/>
        <v>0.02196320991820347</v>
      </c>
      <c r="K1924" s="7"/>
    </row>
    <row r="1925" spans="8:8">
      <c r="B1925" s="7" t="s">
        <v>9756</v>
      </c>
      <c r="C1925" s="8">
        <v>1197.45</v>
      </c>
      <c r="D1925" s="8">
        <f t="shared" si="63"/>
        <v>-0.0034122591652448165</v>
      </c>
      <c r="E1925" s="8">
        <v>-0.005482645484372419</v>
      </c>
      <c r="F1925" s="9"/>
      <c r="G1925" s="9">
        <v>1922.0</v>
      </c>
      <c r="H1925" s="10">
        <f t="shared" si="64" ref="H1925:H1988">_xlfn.NORM.INV(RAND(),N$6,N$7)</f>
        <v>-0.023241530465602712</v>
      </c>
      <c r="K1925" s="7"/>
    </row>
    <row r="1926" spans="8:8">
      <c r="B1926" s="7" t="s">
        <v>9757</v>
      </c>
      <c r="C1926" s="8">
        <v>1201.55</v>
      </c>
      <c r="D1926" s="8">
        <f t="shared" si="63"/>
        <v>-0.014234145541061723</v>
      </c>
      <c r="E1926" s="8">
        <v>-0.005488427501701877</v>
      </c>
      <c r="F1926" s="9"/>
      <c r="G1926" s="9">
        <v>1923.0</v>
      </c>
      <c r="H1926" s="10">
        <f t="shared" si="64"/>
        <v>-0.005424990995890762</v>
      </c>
      <c r="K1926" s="7"/>
    </row>
    <row r="1927" spans="8:8">
      <c r="B1927" s="7" t="s">
        <v>9758</v>
      </c>
      <c r="C1927" s="8">
        <v>1218.9</v>
      </c>
      <c r="D1927" s="8">
        <f t="shared" si="63"/>
        <v>0.015157824602315354</v>
      </c>
      <c r="E1927" s="8">
        <v>-0.005491231057381082</v>
      </c>
      <c r="F1927" s="9"/>
      <c r="G1927" s="9">
        <v>1924.0</v>
      </c>
      <c r="H1927" s="10">
        <f t="shared" si="64"/>
        <v>0.01333162645952862</v>
      </c>
      <c r="K1927" s="7"/>
    </row>
    <row r="1928" spans="8:8">
      <c r="B1928" s="7" t="s">
        <v>9759</v>
      </c>
      <c r="C1928" s="8">
        <v>1200.7</v>
      </c>
      <c r="D1928" s="8">
        <f t="shared" si="63"/>
        <v>-0.004889772915630585</v>
      </c>
      <c r="E1928" s="8">
        <v>-0.005499838240051828</v>
      </c>
      <c r="F1928" s="9"/>
      <c r="G1928" s="9">
        <v>1925.0</v>
      </c>
      <c r="H1928" s="10">
        <f t="shared" si="64"/>
        <v>0.014689881518796792</v>
      </c>
      <c r="K1928" s="7"/>
    </row>
    <row r="1929" spans="8:8">
      <c r="B1929" s="7" t="s">
        <v>9760</v>
      </c>
      <c r="C1929" s="8">
        <v>1206.6</v>
      </c>
      <c r="D1929" s="8">
        <f t="shared" si="63"/>
        <v>4.560341611043941E-4</v>
      </c>
      <c r="E1929" s="8">
        <v>-0.005510057742385896</v>
      </c>
      <c r="F1929" s="9"/>
      <c r="G1929" s="9">
        <v>1926.0</v>
      </c>
      <c r="H1929" s="10">
        <f t="shared" si="64"/>
        <v>-7.720931264811048E-4</v>
      </c>
      <c r="K1929" s="7"/>
    </row>
    <row r="1930" spans="8:8">
      <c r="B1930" s="7" t="s">
        <v>9761</v>
      </c>
      <c r="C1930" s="8">
        <v>1206.05</v>
      </c>
      <c r="D1930" s="8">
        <f t="shared" si="63"/>
        <v>-0.0048271309513987426</v>
      </c>
      <c r="E1930" s="8">
        <v>-0.005514773017786023</v>
      </c>
      <c r="F1930" s="9"/>
      <c r="G1930" s="9">
        <v>1927.0</v>
      </c>
      <c r="H1930" s="10">
        <f t="shared" si="64"/>
        <v>-0.008391657081862031</v>
      </c>
      <c r="K1930" s="7"/>
    </row>
    <row r="1931" spans="8:8">
      <c r="B1931" s="7" t="s">
        <v>9762</v>
      </c>
      <c r="C1931" s="8">
        <v>1211.9</v>
      </c>
      <c r="D1931" s="8">
        <f t="shared" si="63"/>
        <v>-0.010411137876127873</v>
      </c>
      <c r="E1931" s="8">
        <v>-0.005518119594630493</v>
      </c>
      <c r="F1931" s="9"/>
      <c r="G1931" s="9">
        <v>1928.0</v>
      </c>
      <c r="H1931" s="10">
        <f t="shared" si="64"/>
        <v>1.780417723901027E-4</v>
      </c>
      <c r="K1931" s="7"/>
    </row>
    <row r="1932" spans="8:8">
      <c r="B1932" s="7" t="s">
        <v>9763</v>
      </c>
      <c r="C1932" s="8">
        <v>1224.65</v>
      </c>
      <c r="D1932" s="8">
        <f t="shared" si="63"/>
        <v>0.0067823084511673785</v>
      </c>
      <c r="E1932" s="8">
        <v>-0.005531581012161596</v>
      </c>
      <c r="F1932" s="9"/>
      <c r="G1932" s="9">
        <v>1929.0</v>
      </c>
      <c r="H1932" s="10">
        <f t="shared" si="64"/>
        <v>0.00804267920531115</v>
      </c>
      <c r="K1932" s="7"/>
    </row>
    <row r="1933" spans="8:8">
      <c r="B1933" s="7" t="s">
        <v>9764</v>
      </c>
      <c r="C1933" s="8">
        <v>1216.4</v>
      </c>
      <c r="D1933" s="8">
        <f t="shared" si="63"/>
        <v>-0.015260068811981307</v>
      </c>
      <c r="E1933" s="8">
        <v>-0.005548493836127756</v>
      </c>
      <c r="F1933" s="9"/>
      <c r="G1933" s="9">
        <v>1930.0</v>
      </c>
      <c r="H1933" s="10">
        <f t="shared" si="64"/>
        <v>0.008922378659317293</v>
      </c>
      <c r="K1933" s="7"/>
    </row>
    <row r="1934" spans="8:8">
      <c r="B1934" s="7">
        <v>43444.0</v>
      </c>
      <c r="C1934" s="8">
        <v>1235.25</v>
      </c>
      <c r="D1934" s="8">
        <f t="shared" si="63"/>
        <v>0.0076681486315618485</v>
      </c>
      <c r="E1934" s="8">
        <v>-0.005552508911433993</v>
      </c>
      <c r="F1934" s="9"/>
      <c r="G1934" s="9">
        <v>1931.0</v>
      </c>
      <c r="H1934" s="10">
        <f t="shared" si="64"/>
        <v>0.025943026396388822</v>
      </c>
      <c r="K1934" s="7"/>
    </row>
    <row r="1935" spans="8:8">
      <c r="B1935" s="7">
        <v>43414.0</v>
      </c>
      <c r="C1935" s="8">
        <v>1225.85</v>
      </c>
      <c r="D1935" s="8">
        <f t="shared" si="63"/>
        <v>-0.01982968856194793</v>
      </c>
      <c r="E1935" s="8">
        <v>-0.005559014497909811</v>
      </c>
      <c r="F1935" s="9"/>
      <c r="G1935" s="9">
        <v>1932.0</v>
      </c>
      <c r="H1935" s="10">
        <f t="shared" si="64"/>
        <v>-0.017247886191294463</v>
      </c>
      <c r="K1935" s="7"/>
    </row>
    <row r="1936" spans="8:8">
      <c r="B1936" s="7">
        <v>43383.0</v>
      </c>
      <c r="C1936" s="8">
        <v>1250.65</v>
      </c>
      <c r="D1936" s="8">
        <f t="shared" si="63"/>
        <v>0.024241431554809498</v>
      </c>
      <c r="E1936" s="8">
        <v>-0.0055641617400650975</v>
      </c>
      <c r="F1936" s="9"/>
      <c r="G1936" s="9">
        <v>1933.0</v>
      </c>
      <c r="H1936" s="10">
        <f t="shared" si="64"/>
        <v>0.02127912495505902</v>
      </c>
      <c r="K1936" s="7"/>
    </row>
    <row r="1937" spans="8:8">
      <c r="B1937" s="7">
        <v>43353.0</v>
      </c>
      <c r="C1937" s="8">
        <v>1221.05</v>
      </c>
      <c r="D1937" s="8">
        <f t="shared" si="63"/>
        <v>0.0046900069938701165</v>
      </c>
      <c r="E1937" s="8">
        <v>-0.005570252550978432</v>
      </c>
      <c r="F1937" s="9"/>
      <c r="G1937" s="9">
        <v>1934.0</v>
      </c>
      <c r="H1937" s="10">
        <f t="shared" si="64"/>
        <v>-0.006659256126325583</v>
      </c>
      <c r="K1937" s="7"/>
    </row>
    <row r="1938" spans="8:8">
      <c r="B1938" s="7">
        <v>43322.0</v>
      </c>
      <c r="C1938" s="8">
        <v>1215.35</v>
      </c>
      <c r="D1938" s="8">
        <f t="shared" si="63"/>
        <v>-0.00981750040736531</v>
      </c>
      <c r="E1938" s="8">
        <v>-0.0055787565991647055</v>
      </c>
      <c r="F1938" s="9"/>
      <c r="G1938" s="9">
        <v>1935.0</v>
      </c>
      <c r="H1938" s="10">
        <f t="shared" si="64"/>
        <v>0.005653053006276881</v>
      </c>
      <c r="K1938" s="7"/>
    </row>
    <row r="1939" spans="8:8">
      <c r="B1939" s="7">
        <v>43230.0</v>
      </c>
      <c r="C1939" s="8">
        <v>1227.4</v>
      </c>
      <c r="D1939" s="8">
        <f t="shared" si="63"/>
        <v>-0.024246760473805546</v>
      </c>
      <c r="E1939" s="8">
        <v>-0.005586146357034555</v>
      </c>
      <c r="F1939" s="9"/>
      <c r="G1939" s="9">
        <v>1936.0</v>
      </c>
      <c r="H1939" s="10">
        <f t="shared" si="64"/>
        <v>0.01122658768156941</v>
      </c>
      <c r="K1939" s="7"/>
    </row>
    <row r="1940" spans="8:8">
      <c r="B1940" s="7">
        <v>43200.0</v>
      </c>
      <c r="C1940" s="8">
        <v>1257.9</v>
      </c>
      <c r="D1940" s="8">
        <f t="shared" si="63"/>
        <v>0.009996386848127219</v>
      </c>
      <c r="E1940" s="8">
        <v>-0.00559013598699614</v>
      </c>
      <c r="F1940" s="9"/>
      <c r="G1940" s="9">
        <v>1937.0</v>
      </c>
      <c r="H1940" s="10">
        <f t="shared" si="64"/>
        <v>0.003963425757208004</v>
      </c>
      <c r="K1940" s="7"/>
    </row>
    <row r="1941" spans="8:8">
      <c r="B1941" s="7">
        <v>43169.0</v>
      </c>
      <c r="C1941" s="8">
        <v>1245.45</v>
      </c>
      <c r="D1941" s="8">
        <f t="shared" si="63"/>
        <v>-0.0021232273055042574</v>
      </c>
      <c r="E1941" s="8">
        <v>-0.0055930568948890595</v>
      </c>
      <c r="F1941" s="9"/>
      <c r="G1941" s="9">
        <v>1938.0</v>
      </c>
      <c r="H1941" s="10">
        <f t="shared" si="64"/>
        <v>0.005734446816333142</v>
      </c>
      <c r="K1941" s="7"/>
    </row>
    <row r="1942" spans="8:8">
      <c r="B1942" s="7">
        <v>43110.0</v>
      </c>
      <c r="C1942" s="8">
        <v>1248.1</v>
      </c>
      <c r="D1942" s="8">
        <f t="shared" si="63"/>
        <v>-0.018866441317506488</v>
      </c>
      <c r="E1942" s="8">
        <v>-0.005604867729483309</v>
      </c>
      <c r="F1942" s="9"/>
      <c r="G1942" s="9">
        <v>1939.0</v>
      </c>
      <c r="H1942" s="10">
        <f t="shared" si="64"/>
        <v>0.02557049263260774</v>
      </c>
      <c r="K1942" s="7"/>
    </row>
    <row r="1943" spans="8:8">
      <c r="B1943" s="7" t="s">
        <v>9765</v>
      </c>
      <c r="C1943" s="8">
        <v>1272.1</v>
      </c>
      <c r="D1943" s="8">
        <f t="shared" si="63"/>
        <v>-0.028857164669058844</v>
      </c>
      <c r="E1943" s="8">
        <v>-0.005632772494513567</v>
      </c>
      <c r="F1943" s="9"/>
      <c r="G1943" s="9">
        <v>1940.0</v>
      </c>
      <c r="H1943" s="10">
        <f t="shared" si="64"/>
        <v>0.0025034068222368564</v>
      </c>
      <c r="K1943" s="7"/>
    </row>
    <row r="1944" spans="8:8">
      <c r="B1944" s="7" t="s">
        <v>9766</v>
      </c>
      <c r="C1944" s="8">
        <v>1309.9</v>
      </c>
      <c r="D1944" s="8">
        <f t="shared" si="63"/>
        <v>-0.01707124901512025</v>
      </c>
      <c r="E1944" s="8">
        <v>-0.005633264204503563</v>
      </c>
      <c r="F1944" s="9"/>
      <c r="G1944" s="9">
        <v>1941.0</v>
      </c>
      <c r="H1944" s="10">
        <f t="shared" si="64"/>
        <v>2.1641629249218117E-4</v>
      </c>
      <c r="K1944" s="7"/>
    </row>
    <row r="1945" spans="8:8">
      <c r="B1945" s="7" t="s">
        <v>9767</v>
      </c>
      <c r="C1945" s="8">
        <v>1332.65</v>
      </c>
      <c r="D1945" s="8">
        <f t="shared" si="63"/>
        <v>0.01031045070315768</v>
      </c>
      <c r="E1945" s="8">
        <v>-0.00563570043705435</v>
      </c>
      <c r="F1945" s="9"/>
      <c r="G1945" s="9">
        <v>1942.0</v>
      </c>
      <c r="H1945" s="10">
        <f t="shared" si="64"/>
        <v>-0.01804902005337438</v>
      </c>
      <c r="K1945" s="7"/>
    </row>
    <row r="1946" spans="8:8">
      <c r="B1946" s="7" t="s">
        <v>9768</v>
      </c>
      <c r="C1946" s="8">
        <v>1319.05</v>
      </c>
      <c r="D1946" s="8">
        <f t="shared" si="63"/>
        <v>5.309667387264729E-4</v>
      </c>
      <c r="E1946" s="8">
        <v>-0.005638430118984315</v>
      </c>
      <c r="F1946" s="9"/>
      <c r="G1946" s="9">
        <v>1943.0</v>
      </c>
      <c r="H1946" s="10">
        <f t="shared" si="64"/>
        <v>0.013711486029691976</v>
      </c>
      <c r="K1946" s="7"/>
    </row>
    <row r="1947" spans="8:8">
      <c r="B1947" s="7" t="s">
        <v>9769</v>
      </c>
      <c r="C1947" s="8">
        <v>1318.35</v>
      </c>
      <c r="D1947" s="8">
        <f t="shared" si="63"/>
        <v>-0.00853575994585255</v>
      </c>
      <c r="E1947" s="8">
        <v>-0.005638593036785066</v>
      </c>
      <c r="F1947" s="9"/>
      <c r="G1947" s="9">
        <v>1944.0</v>
      </c>
      <c r="H1947" s="10">
        <f t="shared" si="64"/>
        <v>0.009635240607511504</v>
      </c>
      <c r="K1947" s="7"/>
    </row>
    <row r="1948" spans="8:8">
      <c r="B1948" s="7" t="s">
        <v>9770</v>
      </c>
      <c r="C1948" s="8">
        <v>1329.7</v>
      </c>
      <c r="D1948" s="8">
        <f t="shared" si="63"/>
        <v>-0.0024007802535824484</v>
      </c>
      <c r="E1948" s="8">
        <v>-0.005648133311969199</v>
      </c>
      <c r="F1948" s="9"/>
      <c r="G1948" s="9">
        <v>1945.0</v>
      </c>
      <c r="H1948" s="10">
        <f t="shared" si="64"/>
        <v>0.016341954538363453</v>
      </c>
      <c r="K1948" s="7"/>
    </row>
    <row r="1949" spans="8:8">
      <c r="B1949" s="7" t="s">
        <v>9771</v>
      </c>
      <c r="C1949" s="8">
        <v>1332.9</v>
      </c>
      <c r="D1949" s="8">
        <f t="shared" si="63"/>
        <v>0.003765343775886738</v>
      </c>
      <c r="E1949" s="8">
        <v>-0.005655690047042679</v>
      </c>
      <c r="F1949" s="9"/>
      <c r="G1949" s="9">
        <v>1946.0</v>
      </c>
      <c r="H1949" s="10">
        <f t="shared" si="64"/>
        <v>0.00922478444442587</v>
      </c>
      <c r="K1949" s="7"/>
    </row>
    <row r="1950" spans="8:8">
      <c r="B1950" s="7" t="s">
        <v>9772</v>
      </c>
      <c r="C1950" s="8">
        <v>1327.9</v>
      </c>
      <c r="D1950" s="8">
        <f t="shared" si="63"/>
        <v>-0.012530210076222278</v>
      </c>
      <c r="E1950" s="8">
        <v>-0.005667060212514704</v>
      </c>
      <c r="F1950" s="9"/>
      <c r="G1950" s="9">
        <v>1947.0</v>
      </c>
      <c r="H1950" s="10">
        <f t="shared" si="64"/>
        <v>0.0066770626148072165</v>
      </c>
      <c r="K1950" s="7"/>
    </row>
    <row r="1951" spans="8:8">
      <c r="B1951" s="7" t="s">
        <v>9773</v>
      </c>
      <c r="C1951" s="8">
        <v>1344.75</v>
      </c>
      <c r="D1951" s="8">
        <f t="shared" si="63"/>
        <v>-0.010376421238547234</v>
      </c>
      <c r="E1951" s="8">
        <v>-0.0056753688989784334</v>
      </c>
      <c r="F1951" s="9"/>
      <c r="G1951" s="9">
        <v>1948.0</v>
      </c>
      <c r="H1951" s="10">
        <f t="shared" si="64"/>
        <v>-0.012321056489198658</v>
      </c>
      <c r="K1951" s="7"/>
    </row>
    <row r="1952" spans="8:8">
      <c r="B1952" s="7" t="s">
        <v>9774</v>
      </c>
      <c r="C1952" s="8">
        <v>1358.85</v>
      </c>
      <c r="D1952" s="8">
        <f t="shared" si="63"/>
        <v>0.004880754298391503</v>
      </c>
      <c r="E1952" s="8">
        <v>-0.005678957649475365</v>
      </c>
      <c r="F1952" s="9"/>
      <c r="G1952" s="9">
        <v>1949.0</v>
      </c>
      <c r="H1952" s="10">
        <f t="shared" si="64"/>
        <v>0.005134573789021478</v>
      </c>
      <c r="K1952" s="7"/>
    </row>
    <row r="1953" spans="8:8">
      <c r="B1953" s="7">
        <v>43443.0</v>
      </c>
      <c r="C1953" s="8">
        <v>1352.25</v>
      </c>
      <c r="D1953" s="8">
        <f t="shared" si="63"/>
        <v>0.01699695408566157</v>
      </c>
      <c r="E1953" s="8">
        <v>-0.005690376569037601</v>
      </c>
      <c r="F1953" s="9"/>
      <c r="G1953" s="9">
        <v>1950.0</v>
      </c>
      <c r="H1953" s="10">
        <f t="shared" si="64"/>
        <v>-0.005080673689052482</v>
      </c>
      <c r="K1953" s="7"/>
    </row>
    <row r="1954" spans="8:8">
      <c r="B1954" s="7">
        <v>43413.0</v>
      </c>
      <c r="C1954" s="8">
        <v>1329.65</v>
      </c>
      <c r="D1954" s="8">
        <f t="shared" si="63"/>
        <v>-0.005348593656493016</v>
      </c>
      <c r="E1954" s="8">
        <v>-0.005693015108386249</v>
      </c>
      <c r="F1954" s="9"/>
      <c r="G1954" s="9">
        <v>1951.0</v>
      </c>
      <c r="H1954" s="10">
        <f t="shared" si="64"/>
        <v>-0.022476414273232343</v>
      </c>
      <c r="K1954" s="7"/>
    </row>
    <row r="1955" spans="8:8">
      <c r="B1955" s="7">
        <v>43382.0</v>
      </c>
      <c r="C1955" s="8">
        <v>1336.8</v>
      </c>
      <c r="D1955" s="8">
        <f t="shared" si="63"/>
        <v>-0.007940630797773688</v>
      </c>
      <c r="E1955" s="8">
        <v>-0.005704476887332184</v>
      </c>
      <c r="F1955" s="9"/>
      <c r="G1955" s="9">
        <v>1952.0</v>
      </c>
      <c r="H1955" s="10">
        <f t="shared" si="64"/>
        <v>0.010576685985648294</v>
      </c>
      <c r="K1955" s="7"/>
    </row>
    <row r="1956" spans="8:8">
      <c r="B1956" s="7">
        <v>43290.0</v>
      </c>
      <c r="C1956" s="8">
        <v>1347.5</v>
      </c>
      <c r="D1956" s="8">
        <f t="shared" si="63"/>
        <v>2.969341548512293E-4</v>
      </c>
      <c r="E1956" s="8">
        <v>-0.005716295840295488</v>
      </c>
      <c r="F1956" s="9"/>
      <c r="G1956" s="9">
        <v>1953.0</v>
      </c>
      <c r="H1956" s="10">
        <f t="shared" si="64"/>
        <v>-0.0250499018777768</v>
      </c>
      <c r="K1956" s="7"/>
    </row>
    <row r="1957" spans="8:8">
      <c r="B1957" s="7">
        <v>43260.0</v>
      </c>
      <c r="C1957" s="8">
        <v>1347.1</v>
      </c>
      <c r="D1957" s="8">
        <f t="shared" si="63"/>
        <v>-6.676557863502158E-4</v>
      </c>
      <c r="E1957" s="8">
        <v>-0.005723866790009172</v>
      </c>
      <c r="F1957" s="9"/>
      <c r="G1957" s="9">
        <v>1954.0</v>
      </c>
      <c r="H1957" s="10">
        <f t="shared" si="64"/>
        <v>0.015930148517608673</v>
      </c>
      <c r="K1957" s="7"/>
    </row>
    <row r="1958" spans="8:8">
      <c r="B1958" s="7">
        <v>43229.0</v>
      </c>
      <c r="C1958" s="8">
        <v>1348.0</v>
      </c>
      <c r="D1958" s="8">
        <f t="shared" si="63"/>
        <v>-0.008313102332082656</v>
      </c>
      <c r="E1958" s="8">
        <v>-0.005733978164547719</v>
      </c>
      <c r="F1958" s="9"/>
      <c r="G1958" s="9">
        <v>1955.0</v>
      </c>
      <c r="H1958" s="10">
        <f t="shared" si="64"/>
        <v>-0.01576011692192837</v>
      </c>
      <c r="K1958" s="7"/>
    </row>
    <row r="1959" spans="8:8">
      <c r="B1959" s="7">
        <v>43199.0</v>
      </c>
      <c r="C1959" s="8">
        <v>1359.3</v>
      </c>
      <c r="D1959" s="8">
        <f t="shared" si="63"/>
        <v>-0.0027146001467351763</v>
      </c>
      <c r="E1959" s="8">
        <v>-0.005766241580451605</v>
      </c>
      <c r="F1959" s="9"/>
      <c r="G1959" s="9">
        <v>1956.0</v>
      </c>
      <c r="H1959" s="10">
        <f t="shared" si="64"/>
        <v>0.025550893611502933</v>
      </c>
      <c r="K1959" s="7"/>
    </row>
    <row r="1960" spans="8:8">
      <c r="B1960" s="7">
        <v>43168.0</v>
      </c>
      <c r="C1960" s="8">
        <v>1363.0</v>
      </c>
      <c r="D1960" s="8">
        <f t="shared" si="63"/>
        <v>-0.004782592822459899</v>
      </c>
      <c r="E1960" s="8">
        <v>-0.005799016369375221</v>
      </c>
      <c r="F1960" s="9"/>
      <c r="G1960" s="9">
        <v>1957.0</v>
      </c>
      <c r="H1960" s="10">
        <f t="shared" si="64"/>
        <v>0.004566882853338977</v>
      </c>
      <c r="K1960" s="7"/>
    </row>
    <row r="1961" spans="8:8">
      <c r="B1961" s="7" t="s">
        <v>9775</v>
      </c>
      <c r="C1961" s="8">
        <v>1369.55</v>
      </c>
      <c r="D1961" s="8">
        <f t="shared" si="63"/>
        <v>0.017080687683338903</v>
      </c>
      <c r="E1961" s="8">
        <v>-0.0058026260059296135</v>
      </c>
      <c r="F1961" s="9"/>
      <c r="G1961" s="9">
        <v>1958.0</v>
      </c>
      <c r="H1961" s="10">
        <f t="shared" si="64"/>
        <v>-0.0011310402048114584</v>
      </c>
      <c r="K1961" s="7"/>
    </row>
    <row r="1962" spans="8:8">
      <c r="B1962" s="7" t="s">
        <v>9776</v>
      </c>
      <c r="C1962" s="8">
        <v>1346.55</v>
      </c>
      <c r="D1962" s="8">
        <f t="shared" si="63"/>
        <v>-0.003699456179941549</v>
      </c>
      <c r="E1962" s="8">
        <v>-0.005821198419197461</v>
      </c>
      <c r="F1962" s="9"/>
      <c r="G1962" s="9">
        <v>1959.0</v>
      </c>
      <c r="H1962" s="10">
        <f t="shared" si="64"/>
        <v>0.0018465521110164892</v>
      </c>
      <c r="K1962" s="7"/>
    </row>
    <row r="1963" spans="8:8">
      <c r="B1963" s="7" t="s">
        <v>9777</v>
      </c>
      <c r="C1963" s="8">
        <v>1351.55</v>
      </c>
      <c r="D1963" s="8">
        <f t="shared" si="63"/>
        <v>-0.002987606963706075</v>
      </c>
      <c r="E1963" s="8">
        <v>-0.005839310817143161</v>
      </c>
      <c r="F1963" s="9"/>
      <c r="G1963" s="9">
        <v>1960.0</v>
      </c>
      <c r="H1963" s="10">
        <f t="shared" si="64"/>
        <v>-0.006544674801309104</v>
      </c>
      <c r="K1963" s="7"/>
    </row>
    <row r="1964" spans="8:8">
      <c r="B1964" s="7" t="s">
        <v>9778</v>
      </c>
      <c r="C1964" s="8">
        <v>1355.6</v>
      </c>
      <c r="D1964" s="8">
        <f t="shared" si="63"/>
        <v>-3.6870437283386185E-4</v>
      </c>
      <c r="E1964" s="8">
        <v>-0.005863982565323745</v>
      </c>
      <c r="F1964" s="9"/>
      <c r="G1964" s="9">
        <v>1961.0</v>
      </c>
      <c r="H1964" s="10">
        <f t="shared" si="64"/>
        <v>0.02245814613303696</v>
      </c>
      <c r="K1964" s="7"/>
    </row>
    <row r="1965" spans="8:8">
      <c r="B1965" s="7" t="s">
        <v>9779</v>
      </c>
      <c r="C1965" s="8">
        <v>1356.1</v>
      </c>
      <c r="D1965" s="8">
        <f t="shared" si="63"/>
        <v>0.009829473527440477</v>
      </c>
      <c r="E1965" s="8">
        <v>-0.0058642232403165045</v>
      </c>
      <c r="F1965" s="9"/>
      <c r="G1965" s="9">
        <v>1962.0</v>
      </c>
      <c r="H1965" s="10">
        <f t="shared" si="64"/>
        <v>0.01970779626780752</v>
      </c>
      <c r="K1965" s="7"/>
    </row>
    <row r="1966" spans="8:8">
      <c r="B1966" s="7" t="s">
        <v>9780</v>
      </c>
      <c r="C1966" s="8">
        <v>1342.9</v>
      </c>
      <c r="D1966" s="8">
        <f t="shared" si="63"/>
        <v>-0.006767501201878528</v>
      </c>
      <c r="E1966" s="8">
        <v>-0.005872823005265211</v>
      </c>
      <c r="F1966" s="9"/>
      <c r="G1966" s="9">
        <v>1963.0</v>
      </c>
      <c r="H1966" s="10">
        <f t="shared" si="64"/>
        <v>0.024684031312867023</v>
      </c>
      <c r="K1966" s="7"/>
    </row>
    <row r="1967" spans="8:8">
      <c r="B1967" s="7" t="s">
        <v>9781</v>
      </c>
      <c r="C1967" s="8">
        <v>1352.05</v>
      </c>
      <c r="D1967" s="8">
        <f t="shared" si="63"/>
        <v>0.022305394881100903</v>
      </c>
      <c r="E1967" s="8">
        <v>-0.005874137364443059</v>
      </c>
      <c r="F1967" s="9"/>
      <c r="G1967" s="9">
        <v>1964.0</v>
      </c>
      <c r="H1967" s="10">
        <f t="shared" si="64"/>
        <v>0.004018421669736517</v>
      </c>
      <c r="K1967" s="7"/>
    </row>
    <row r="1968" spans="8:8">
      <c r="B1968" s="7" t="s">
        <v>9782</v>
      </c>
      <c r="C1968" s="8">
        <v>1322.55</v>
      </c>
      <c r="D1968" s="8">
        <f t="shared" si="63"/>
        <v>-8.687769131979231E-4</v>
      </c>
      <c r="E1968" s="8">
        <v>-0.0058794708476235654</v>
      </c>
      <c r="F1968" s="9"/>
      <c r="G1968" s="9">
        <v>1965.0</v>
      </c>
      <c r="H1968" s="10">
        <f t="shared" si="64"/>
        <v>0.01305493352592597</v>
      </c>
      <c r="K1968" s="7"/>
    </row>
    <row r="1969" spans="8:8">
      <c r="B1969" s="7" t="s">
        <v>9783</v>
      </c>
      <c r="C1969" s="8">
        <v>1323.7</v>
      </c>
      <c r="D1969" s="8">
        <f t="shared" si="63"/>
        <v>0.06737088255452965</v>
      </c>
      <c r="E1969" s="8">
        <v>-0.005895330753372701</v>
      </c>
      <c r="F1969" s="9"/>
      <c r="G1969" s="9">
        <v>1966.0</v>
      </c>
      <c r="H1969" s="10">
        <f t="shared" si="64"/>
        <v>0.013322501169693263</v>
      </c>
      <c r="K1969" s="7"/>
    </row>
    <row r="1970" spans="8:8">
      <c r="B1970" s="7" t="s">
        <v>9784</v>
      </c>
      <c r="C1970" s="8">
        <v>1240.15</v>
      </c>
      <c r="D1970" s="8">
        <f t="shared" si="63"/>
        <v>0.006901311249137336</v>
      </c>
      <c r="E1970" s="8">
        <v>-0.005901090674221602</v>
      </c>
      <c r="F1970" s="9"/>
      <c r="G1970" s="9">
        <v>1967.0</v>
      </c>
      <c r="H1970" s="10">
        <f t="shared" si="64"/>
        <v>0.00899251381503315</v>
      </c>
      <c r="K1970" s="7"/>
    </row>
    <row r="1971" spans="8:8">
      <c r="B1971" s="7" t="s">
        <v>9785</v>
      </c>
      <c r="C1971" s="8">
        <v>1231.65</v>
      </c>
      <c r="D1971" s="8">
        <f t="shared" si="63"/>
        <v>-0.017235188509874256</v>
      </c>
      <c r="E1971" s="8">
        <v>-0.00591041499556719</v>
      </c>
      <c r="F1971" s="9"/>
      <c r="G1971" s="9">
        <v>1968.0</v>
      </c>
      <c r="H1971" s="10">
        <f t="shared" si="64"/>
        <v>-0.021284390942456988</v>
      </c>
      <c r="K1971" s="7"/>
    </row>
    <row r="1972" spans="8:8">
      <c r="B1972" s="7" t="s">
        <v>9786</v>
      </c>
      <c r="C1972" s="8">
        <v>1253.25</v>
      </c>
      <c r="D1972" s="8">
        <f t="shared" si="63"/>
        <v>-0.012450258067058</v>
      </c>
      <c r="E1972" s="8">
        <v>-0.005929673245977661</v>
      </c>
      <c r="F1972" s="9"/>
      <c r="G1972" s="9">
        <v>1969.0</v>
      </c>
      <c r="H1972" s="10">
        <f t="shared" si="64"/>
        <v>0.002371741160695674</v>
      </c>
      <c r="K1972" s="7"/>
    </row>
    <row r="1973" spans="8:8">
      <c r="B1973" s="7" t="s">
        <v>9787</v>
      </c>
      <c r="C1973" s="8">
        <v>1269.05</v>
      </c>
      <c r="D1973" s="8">
        <f t="shared" si="63"/>
        <v>0.0034792235005731732</v>
      </c>
      <c r="E1973" s="8">
        <v>-0.005934300821239709</v>
      </c>
      <c r="F1973" s="9"/>
      <c r="G1973" s="9">
        <v>1970.0</v>
      </c>
      <c r="H1973" s="10">
        <f t="shared" si="64"/>
        <v>0.009439726655618954</v>
      </c>
      <c r="K1973" s="7"/>
    </row>
    <row r="1974" spans="8:8">
      <c r="B1974" s="7">
        <v>43381.0</v>
      </c>
      <c r="C1974" s="8">
        <v>1264.65</v>
      </c>
      <c r="D1974" s="8">
        <f t="shared" si="63"/>
        <v>-0.01560675644119246</v>
      </c>
      <c r="E1974" s="8">
        <v>-0.00594062611285568</v>
      </c>
      <c r="F1974" s="9"/>
      <c r="G1974" s="9">
        <v>1971.0</v>
      </c>
      <c r="H1974" s="10">
        <f t="shared" si="64"/>
        <v>9.068104782826258E-4</v>
      </c>
      <c r="K1974" s="7"/>
    </row>
    <row r="1975" spans="8:8">
      <c r="B1975" s="7">
        <v>43351.0</v>
      </c>
      <c r="C1975" s="8">
        <v>1284.7</v>
      </c>
      <c r="D1975" s="8">
        <f t="shared" si="63"/>
        <v>-0.01043712690159827</v>
      </c>
      <c r="E1975" s="8">
        <v>-0.005948640609945172</v>
      </c>
      <c r="F1975" s="9"/>
      <c r="G1975" s="9">
        <v>1972.0</v>
      </c>
      <c r="H1975" s="10">
        <f t="shared" si="64"/>
        <v>0.0067182246221873295</v>
      </c>
      <c r="K1975" s="7"/>
    </row>
    <row r="1976" spans="8:8">
      <c r="B1976" s="7">
        <v>43320.0</v>
      </c>
      <c r="C1976" s="8">
        <v>1298.25</v>
      </c>
      <c r="D1976" s="8">
        <f t="shared" si="63"/>
        <v>0.002277464679996947</v>
      </c>
      <c r="E1976" s="8">
        <v>-0.005950078838544611</v>
      </c>
      <c r="F1976" s="9"/>
      <c r="G1976" s="9">
        <v>1973.0</v>
      </c>
      <c r="H1976" s="10">
        <f t="shared" si="64"/>
        <v>-0.005981216765728302</v>
      </c>
      <c r="K1976" s="7"/>
    </row>
    <row r="1977" spans="8:8">
      <c r="B1977" s="7">
        <v>43289.0</v>
      </c>
      <c r="C1977" s="8">
        <v>1295.3</v>
      </c>
      <c r="D1977" s="8">
        <f t="shared" si="63"/>
        <v>0.0037583788600874957</v>
      </c>
      <c r="E1977" s="8">
        <v>-0.005952100879875824</v>
      </c>
      <c r="F1977" s="9"/>
      <c r="G1977" s="9">
        <v>1974.0</v>
      </c>
      <c r="H1977" s="10">
        <f t="shared" si="64"/>
        <v>-0.006083998507986104</v>
      </c>
      <c r="K1977" s="7"/>
    </row>
    <row r="1978" spans="8:8">
      <c r="B1978" s="7">
        <v>43259.0</v>
      </c>
      <c r="C1978" s="8">
        <v>1290.45</v>
      </c>
      <c r="D1978" s="8">
        <f t="shared" si="63"/>
        <v>3.488372093023608E-4</v>
      </c>
      <c r="E1978" s="8">
        <v>-0.00596164268606085</v>
      </c>
      <c r="F1978" s="9"/>
      <c r="G1978" s="9">
        <v>1975.0</v>
      </c>
      <c r="H1978" s="10">
        <f t="shared" si="64"/>
        <v>-0.007852365333044741</v>
      </c>
      <c r="K1978" s="7"/>
    </row>
    <row r="1979" spans="8:8">
      <c r="B1979" s="7">
        <v>43167.0</v>
      </c>
      <c r="C1979" s="8">
        <v>1290.0</v>
      </c>
      <c r="D1979" s="8">
        <f t="shared" si="63"/>
        <v>0.00592638802245782</v>
      </c>
      <c r="E1979" s="8">
        <v>-0.005996487771448152</v>
      </c>
      <c r="F1979" s="9"/>
      <c r="G1979" s="9">
        <v>1976.0</v>
      </c>
      <c r="H1979" s="10">
        <f t="shared" si="64"/>
        <v>-0.002677605766075869</v>
      </c>
      <c r="K1979" s="7"/>
    </row>
    <row r="1980" spans="8:8">
      <c r="B1980" s="7">
        <v>43139.0</v>
      </c>
      <c r="C1980" s="8">
        <v>1282.4</v>
      </c>
      <c r="D1980" s="8">
        <f t="shared" si="63"/>
        <v>-0.01201848998459161</v>
      </c>
      <c r="E1980" s="8">
        <v>-0.0060131537738803064</v>
      </c>
      <c r="F1980" s="9"/>
      <c r="G1980" s="9">
        <v>1977.0</v>
      </c>
      <c r="H1980" s="10">
        <f t="shared" si="64"/>
        <v>-0.0081074433216195</v>
      </c>
      <c r="K1980" s="7"/>
    </row>
    <row r="1981" spans="8:8">
      <c r="B1981" s="7">
        <v>43108.0</v>
      </c>
      <c r="C1981" s="8">
        <v>1298.0</v>
      </c>
      <c r="D1981" s="8">
        <f t="shared" si="63"/>
        <v>-0.0033018505720647734</v>
      </c>
      <c r="E1981" s="8">
        <v>-0.00601755497240077</v>
      </c>
      <c r="F1981" s="9"/>
      <c r="G1981" s="9">
        <v>1978.0</v>
      </c>
      <c r="H1981" s="10">
        <f t="shared" si="64"/>
        <v>0.0015388429297884744</v>
      </c>
      <c r="K1981" s="7"/>
    </row>
    <row r="1982" spans="8:8">
      <c r="B1982" s="7" t="s">
        <v>9788</v>
      </c>
      <c r="C1982" s="8">
        <v>1302.3</v>
      </c>
      <c r="D1982" s="8">
        <f t="shared" si="63"/>
        <v>0.005365345273478246</v>
      </c>
      <c r="E1982" s="8">
        <v>-0.006031785243741802</v>
      </c>
      <c r="F1982" s="9"/>
      <c r="G1982" s="9">
        <v>1979.0</v>
      </c>
      <c r="H1982" s="10">
        <f t="shared" si="64"/>
        <v>0.019291305627223587</v>
      </c>
      <c r="K1982" s="7"/>
    </row>
    <row r="1983" spans="8:8">
      <c r="B1983" s="7" t="s">
        <v>9789</v>
      </c>
      <c r="C1983" s="8">
        <v>1295.35</v>
      </c>
      <c r="D1983" s="8">
        <f t="shared" si="63"/>
        <v>-0.012276487856952333</v>
      </c>
      <c r="E1983" s="8">
        <v>-0.0060888716154941964</v>
      </c>
      <c r="F1983" s="9"/>
      <c r="G1983" s="9">
        <v>1980.0</v>
      </c>
      <c r="H1983" s="10">
        <f t="shared" si="64"/>
        <v>0.006606695904263351</v>
      </c>
      <c r="K1983" s="7"/>
    </row>
    <row r="1984" spans="8:8">
      <c r="B1984" s="7" t="s">
        <v>9790</v>
      </c>
      <c r="C1984" s="8">
        <v>1311.45</v>
      </c>
      <c r="D1984" s="8">
        <f t="shared" si="63"/>
        <v>0.004211493548757609</v>
      </c>
      <c r="E1984" s="8">
        <v>-0.006089651196310045</v>
      </c>
      <c r="F1984" s="9"/>
      <c r="G1984" s="9">
        <v>1981.0</v>
      </c>
      <c r="H1984" s="10">
        <f t="shared" si="64"/>
        <v>0.01482637014309511</v>
      </c>
      <c r="K1984" s="7"/>
    </row>
    <row r="1985" spans="8:8">
      <c r="B1985" s="7" t="s">
        <v>9791</v>
      </c>
      <c r="C1985" s="8">
        <v>1305.95</v>
      </c>
      <c r="D1985" s="8">
        <f t="shared" si="63"/>
        <v>-0.011168319830392973</v>
      </c>
      <c r="E1985" s="8">
        <v>-0.0060901339829476245</v>
      </c>
      <c r="F1985" s="9"/>
      <c r="G1985" s="9">
        <v>1982.0</v>
      </c>
      <c r="H1985" s="10">
        <f t="shared" si="64"/>
        <v>-0.010654653450650486</v>
      </c>
      <c r="K1985" s="7"/>
    </row>
    <row r="1986" spans="8:8">
      <c r="B1986" s="7" t="s">
        <v>9792</v>
      </c>
      <c r="C1986" s="8">
        <v>1320.7</v>
      </c>
      <c r="D1986" s="8">
        <f t="shared" si="63"/>
        <v>-0.002492447129909331</v>
      </c>
      <c r="E1986" s="8">
        <v>-0.006100749520655395</v>
      </c>
      <c r="F1986" s="9"/>
      <c r="G1986" s="9">
        <v>1983.0</v>
      </c>
      <c r="H1986" s="10">
        <f t="shared" si="64"/>
        <v>0.005740626362531866</v>
      </c>
      <c r="K1986" s="7"/>
    </row>
    <row r="1987" spans="8:8">
      <c r="B1987" s="7" t="s">
        <v>9793</v>
      </c>
      <c r="C1987" s="8">
        <v>1324.0</v>
      </c>
      <c r="D1987" s="8">
        <f t="shared" si="63"/>
        <v>0.03506234608919979</v>
      </c>
      <c r="E1987" s="8">
        <v>-0.006105716113275571</v>
      </c>
      <c r="F1987" s="9"/>
      <c r="G1987" s="9">
        <v>1984.0</v>
      </c>
      <c r="H1987" s="10">
        <f t="shared" si="64"/>
        <v>-0.005711850454979802</v>
      </c>
      <c r="K1987" s="7"/>
    </row>
    <row r="1988" spans="8:8">
      <c r="B1988" s="7" t="s">
        <v>9794</v>
      </c>
      <c r="C1988" s="8">
        <v>1279.15</v>
      </c>
      <c r="D1988" s="8">
        <f t="shared" si="65" ref="D1988:D2051">(C1988-C1989)/C1989</f>
        <v>0.006927224780572427</v>
      </c>
      <c r="E1988" s="8">
        <v>-0.0061100515645970835</v>
      </c>
      <c r="F1988" s="9"/>
      <c r="G1988" s="9">
        <v>1985.0</v>
      </c>
      <c r="H1988" s="10">
        <f t="shared" si="64"/>
        <v>-0.02158940228128566</v>
      </c>
      <c r="K1988" s="7"/>
    </row>
    <row r="1989" spans="8:8">
      <c r="B1989" s="7" t="s">
        <v>9795</v>
      </c>
      <c r="C1989" s="8">
        <v>1270.35</v>
      </c>
      <c r="D1989" s="8">
        <f t="shared" si="65"/>
        <v>0.009736904856529689</v>
      </c>
      <c r="E1989" s="8">
        <v>-0.0061132609579450355</v>
      </c>
      <c r="F1989" s="9"/>
      <c r="G1989" s="9">
        <v>1986.0</v>
      </c>
      <c r="H1989" s="10">
        <f t="shared" si="66" ref="H1989:H2052">_xlfn.NORM.INV(RAND(),N$6,N$7)</f>
        <v>0.02628100702247722</v>
      </c>
      <c r="K1989" s="7"/>
    </row>
    <row r="1990" spans="8:8">
      <c r="B1990" s="7" t="s">
        <v>9796</v>
      </c>
      <c r="C1990" s="8">
        <v>1258.1</v>
      </c>
      <c r="D1990" s="8">
        <f t="shared" si="65"/>
        <v>-0.026351429787563503</v>
      </c>
      <c r="E1990" s="8">
        <v>-0.0061156658541990615</v>
      </c>
      <c r="F1990" s="9"/>
      <c r="G1990" s="9">
        <v>1987.0</v>
      </c>
      <c r="H1990" s="10">
        <f t="shared" si="66"/>
        <v>0.017013149339873662</v>
      </c>
      <c r="K1990" s="7"/>
    </row>
    <row r="1991" spans="8:8">
      <c r="B1991" s="7" t="s">
        <v>9797</v>
      </c>
      <c r="C1991" s="8">
        <v>1292.15</v>
      </c>
      <c r="D1991" s="8">
        <f t="shared" si="65"/>
        <v>0.004118584139565748</v>
      </c>
      <c r="E1991" s="8">
        <v>-0.006120579891437808</v>
      </c>
      <c r="F1991" s="9"/>
      <c r="G1991" s="9">
        <v>1988.0</v>
      </c>
      <c r="H1991" s="10">
        <f t="shared" si="66"/>
        <v>0.023338899394560516</v>
      </c>
      <c r="K1991" s="7"/>
    </row>
    <row r="1992" spans="8:8">
      <c r="B1992" s="7" t="s">
        <v>9798</v>
      </c>
      <c r="C1992" s="8">
        <v>1286.85</v>
      </c>
      <c r="D1992" s="8">
        <f t="shared" si="65"/>
        <v>0.0029226093055880293</v>
      </c>
      <c r="E1992" s="8">
        <v>-0.006149275062526998</v>
      </c>
      <c r="F1992" s="9"/>
      <c r="G1992" s="9">
        <v>1989.0</v>
      </c>
      <c r="H1992" s="10">
        <f t="shared" si="66"/>
        <v>-0.005046322358640778</v>
      </c>
      <c r="K1992" s="7"/>
    </row>
    <row r="1993" spans="8:8">
      <c r="B1993" s="7" t="s">
        <v>9799</v>
      </c>
      <c r="C1993" s="8">
        <v>1283.1</v>
      </c>
      <c r="D1993" s="8">
        <f t="shared" si="65"/>
        <v>-0.011783733826247828</v>
      </c>
      <c r="E1993" s="8">
        <v>-0.006153284792596215</v>
      </c>
      <c r="F1993" s="9"/>
      <c r="G1993" s="9">
        <v>1990.0</v>
      </c>
      <c r="H1993" s="10">
        <f t="shared" si="66"/>
        <v>-0.0039281078440885075</v>
      </c>
      <c r="K1993" s="7"/>
    </row>
    <row r="1994" spans="8:8">
      <c r="B1994" s="7" t="s">
        <v>9800</v>
      </c>
      <c r="C1994" s="8">
        <v>1298.4</v>
      </c>
      <c r="D1994" s="8">
        <f t="shared" si="65"/>
        <v>-0.0010386612810155099</v>
      </c>
      <c r="E1994" s="8">
        <v>-0.006186909801367743</v>
      </c>
      <c r="F1994" s="9"/>
      <c r="G1994" s="9">
        <v>1991.0</v>
      </c>
      <c r="H1994" s="10">
        <f t="shared" si="66"/>
        <v>-0.014973137055550052</v>
      </c>
      <c r="K1994" s="7"/>
    </row>
    <row r="1995" spans="8:8">
      <c r="B1995" s="7">
        <v>43441.0</v>
      </c>
      <c r="C1995" s="8">
        <v>1299.75</v>
      </c>
      <c r="D1995" s="8">
        <f t="shared" si="65"/>
        <v>0.019611688566385566</v>
      </c>
      <c r="E1995" s="8">
        <v>-0.006211735263886865</v>
      </c>
      <c r="F1995" s="9"/>
      <c r="G1995" s="9">
        <v>1992.0</v>
      </c>
      <c r="H1995" s="10">
        <f t="shared" si="66"/>
        <v>-0.007517041458977628</v>
      </c>
      <c r="K1995" s="7"/>
    </row>
    <row r="1996" spans="8:8">
      <c r="B1996" s="7">
        <v>43411.0</v>
      </c>
      <c r="C1996" s="8">
        <v>1274.75</v>
      </c>
      <c r="D1996" s="8">
        <f t="shared" si="65"/>
        <v>-0.007667756500077775</v>
      </c>
      <c r="E1996" s="8">
        <v>-0.006216647411564039</v>
      </c>
      <c r="F1996" s="9"/>
      <c r="G1996" s="9">
        <v>1993.0</v>
      </c>
      <c r="H1996" s="10">
        <f t="shared" si="66"/>
        <v>0.004958137003985593</v>
      </c>
      <c r="K1996" s="7"/>
    </row>
    <row r="1997" spans="8:8">
      <c r="B1997" s="7">
        <v>43380.0</v>
      </c>
      <c r="C1997" s="8">
        <v>1284.6</v>
      </c>
      <c r="D1997" s="8">
        <f t="shared" si="65"/>
        <v>-0.002639751552795102</v>
      </c>
      <c r="E1997" s="8">
        <v>-0.006218598138538798</v>
      </c>
      <c r="F1997" s="9"/>
      <c r="G1997" s="9">
        <v>1994.0</v>
      </c>
      <c r="H1997" s="10">
        <f t="shared" si="66"/>
        <v>0.00149744998646483</v>
      </c>
      <c r="K1997" s="7"/>
    </row>
    <row r="1998" spans="8:8">
      <c r="B1998" s="7">
        <v>43350.0</v>
      </c>
      <c r="C1998" s="8">
        <v>1288.0</v>
      </c>
      <c r="D1998" s="8">
        <f t="shared" si="65"/>
        <v>0.017136539524599263</v>
      </c>
      <c r="E1998" s="8">
        <v>-0.006246482836240804</v>
      </c>
      <c r="F1998" s="9"/>
      <c r="G1998" s="9">
        <v>1995.0</v>
      </c>
      <c r="H1998" s="10">
        <f t="shared" si="66"/>
        <v>-0.002324296705178218</v>
      </c>
      <c r="K1998" s="7"/>
    </row>
    <row r="1999" spans="8:8">
      <c r="B1999" s="7">
        <v>43258.0</v>
      </c>
      <c r="C1999" s="8">
        <v>1266.3</v>
      </c>
      <c r="D1999" s="8">
        <f t="shared" si="65"/>
        <v>0.009446370919526412</v>
      </c>
      <c r="E1999" s="8">
        <v>-0.006274957216200799</v>
      </c>
      <c r="F1999" s="9"/>
      <c r="G1999" s="9">
        <v>1996.0</v>
      </c>
      <c r="H1999" s="10">
        <f t="shared" si="66"/>
        <v>-0.00793440300802499</v>
      </c>
      <c r="K1999" s="7"/>
    </row>
    <row r="2000" spans="8:8">
      <c r="B2000" s="7">
        <v>43227.0</v>
      </c>
      <c r="C2000" s="8">
        <v>1254.45</v>
      </c>
      <c r="D2000" s="8">
        <f t="shared" si="65"/>
        <v>-0.004009527590313581</v>
      </c>
      <c r="E2000" s="8">
        <v>-0.006288643449770049</v>
      </c>
      <c r="F2000" s="9"/>
      <c r="G2000" s="9">
        <v>1997.0</v>
      </c>
      <c r="H2000" s="10">
        <f t="shared" si="66"/>
        <v>-0.0040064700123763715</v>
      </c>
      <c r="K2000" s="7"/>
    </row>
    <row r="2001" spans="8:8">
      <c r="B2001" s="7">
        <v>43197.0</v>
      </c>
      <c r="C2001" s="8">
        <v>1259.5</v>
      </c>
      <c r="D2001" s="8">
        <f t="shared" si="65"/>
        <v>0.006392329204954055</v>
      </c>
      <c r="E2001" s="8">
        <v>-0.006297827425455217</v>
      </c>
      <c r="F2001" s="9"/>
      <c r="G2001" s="9">
        <v>1998.0</v>
      </c>
      <c r="H2001" s="10">
        <f t="shared" si="66"/>
        <v>0.014621572679483587</v>
      </c>
      <c r="K2001" s="7"/>
    </row>
    <row r="2002" spans="8:8">
      <c r="B2002" s="7">
        <v>43166.0</v>
      </c>
      <c r="C2002" s="8">
        <v>1251.5</v>
      </c>
      <c r="D2002" s="8">
        <f t="shared" si="65"/>
        <v>-0.0035431346789283375</v>
      </c>
      <c r="E2002" s="8">
        <v>-0.006317156689101456</v>
      </c>
      <c r="F2002" s="9"/>
      <c r="G2002" s="9">
        <v>1999.0</v>
      </c>
      <c r="H2002" s="10">
        <f t="shared" si="66"/>
        <v>0.017544453454797916</v>
      </c>
      <c r="K2002" s="7"/>
    </row>
    <row r="2003" spans="8:8">
      <c r="B2003" s="7">
        <v>43138.0</v>
      </c>
      <c r="C2003" s="8">
        <v>1255.95</v>
      </c>
      <c r="D2003" s="8">
        <f t="shared" si="65"/>
        <v>-0.015018429927064437</v>
      </c>
      <c r="E2003" s="8">
        <v>-0.006341225469963638</v>
      </c>
      <c r="F2003" s="9"/>
      <c r="G2003" s="9">
        <v>2000.0</v>
      </c>
      <c r="H2003" s="10">
        <f t="shared" si="66"/>
        <v>0.00923040989488042</v>
      </c>
      <c r="K2003" s="7"/>
    </row>
    <row r="2004" spans="8:8">
      <c r="B2004" s="7" t="s">
        <v>9801</v>
      </c>
      <c r="C2004" s="8">
        <v>1275.1</v>
      </c>
      <c r="D2004" s="8">
        <f t="shared" si="65"/>
        <v>0.03251143771002864</v>
      </c>
      <c r="E2004" s="8">
        <v>-0.006344490081272426</v>
      </c>
      <c r="F2004" s="9"/>
      <c r="G2004" s="9">
        <v>2001.0</v>
      </c>
      <c r="H2004" s="10">
        <f t="shared" si="66"/>
        <v>-0.004292673230017414</v>
      </c>
      <c r="K2004" s="7"/>
    </row>
    <row r="2005" spans="8:8">
      <c r="B2005" s="7" t="s">
        <v>9802</v>
      </c>
      <c r="C2005" s="8">
        <v>1234.95</v>
      </c>
      <c r="D2005" s="8">
        <f t="shared" si="65"/>
        <v>0.001784627864530558</v>
      </c>
      <c r="E2005" s="8">
        <v>-0.006346037291882128</v>
      </c>
      <c r="F2005" s="9"/>
      <c r="G2005" s="9">
        <v>2002.0</v>
      </c>
      <c r="H2005" s="10">
        <f t="shared" si="66"/>
        <v>0.0037854593730498117</v>
      </c>
      <c r="K2005" s="7"/>
    </row>
    <row r="2006" spans="8:8">
      <c r="B2006" s="7" t="s">
        <v>9803</v>
      </c>
      <c r="C2006" s="8">
        <v>1232.75</v>
      </c>
      <c r="D2006" s="8">
        <f t="shared" si="65"/>
        <v>-0.029368922483366762</v>
      </c>
      <c r="E2006" s="8">
        <v>-0.006398620439281136</v>
      </c>
      <c r="F2006" s="9"/>
      <c r="G2006" s="9">
        <v>2003.0</v>
      </c>
      <c r="H2006" s="10">
        <f t="shared" si="66"/>
        <v>0.010388227224273464</v>
      </c>
      <c r="K2006" s="7"/>
    </row>
    <row r="2007" spans="8:8">
      <c r="B2007" s="7" t="s">
        <v>9804</v>
      </c>
      <c r="C2007" s="8">
        <v>1270.05</v>
      </c>
      <c r="D2007" s="8">
        <f t="shared" si="65"/>
        <v>0.0014982454756928309</v>
      </c>
      <c r="E2007" s="8">
        <v>-0.006402261578115943</v>
      </c>
      <c r="F2007" s="9"/>
      <c r="G2007" s="9">
        <v>2004.0</v>
      </c>
      <c r="H2007" s="10">
        <f t="shared" si="66"/>
        <v>-0.01539436060922839</v>
      </c>
      <c r="K2007" s="7"/>
    </row>
    <row r="2008" spans="8:8">
      <c r="B2008" s="7" t="s">
        <v>9805</v>
      </c>
      <c r="C2008" s="8">
        <v>1268.15</v>
      </c>
      <c r="D2008" s="8">
        <f t="shared" si="65"/>
        <v>-0.02438742931876741</v>
      </c>
      <c r="E2008" s="8">
        <v>-0.006406223188240031</v>
      </c>
      <c r="F2008" s="9"/>
      <c r="G2008" s="9">
        <v>2005.0</v>
      </c>
      <c r="H2008" s="10">
        <f t="shared" si="66"/>
        <v>0.00620311285117592</v>
      </c>
      <c r="K2008" s="7"/>
    </row>
    <row r="2009" spans="8:8">
      <c r="B2009" s="7" t="s">
        <v>9806</v>
      </c>
      <c r="C2009" s="8">
        <v>1299.85</v>
      </c>
      <c r="D2009" s="8">
        <f t="shared" si="65"/>
        <v>0.007791905721817301</v>
      </c>
      <c r="E2009" s="8">
        <v>-0.006410715564787493</v>
      </c>
      <c r="F2009" s="9"/>
      <c r="G2009" s="9">
        <v>2006.0</v>
      </c>
      <c r="H2009" s="10">
        <f t="shared" si="66"/>
        <v>-0.002348126178189182</v>
      </c>
      <c r="K2009" s="7"/>
    </row>
    <row r="2010" spans="8:8">
      <c r="B2010" s="7" t="s">
        <v>9807</v>
      </c>
      <c r="C2010" s="8">
        <v>1289.8</v>
      </c>
      <c r="D2010" s="8">
        <f t="shared" si="65"/>
        <v>-0.0129711115362541</v>
      </c>
      <c r="E2010" s="8">
        <v>-0.00642633767483428</v>
      </c>
      <c r="F2010" s="9"/>
      <c r="G2010" s="9">
        <v>2007.0</v>
      </c>
      <c r="H2010" s="10">
        <f t="shared" si="66"/>
        <v>0.009259415201543688</v>
      </c>
      <c r="K2010" s="7"/>
    </row>
    <row r="2011" spans="8:8">
      <c r="B2011" s="7" t="s">
        <v>9808</v>
      </c>
      <c r="C2011" s="8">
        <v>1306.75</v>
      </c>
      <c r="D2011" s="8">
        <f t="shared" si="65"/>
        <v>-0.0027854090354091044</v>
      </c>
      <c r="E2011" s="8">
        <v>-0.006453512624837479</v>
      </c>
      <c r="F2011" s="9"/>
      <c r="G2011" s="9">
        <v>2008.0</v>
      </c>
      <c r="H2011" s="10">
        <f t="shared" si="66"/>
        <v>0.011864305282596653</v>
      </c>
      <c r="K2011" s="7"/>
    </row>
    <row r="2012" spans="8:8">
      <c r="B2012" s="7" t="s">
        <v>9809</v>
      </c>
      <c r="C2012" s="8">
        <v>1310.4</v>
      </c>
      <c r="D2012" s="8">
        <f t="shared" si="65"/>
        <v>-0.009673518742442528</v>
      </c>
      <c r="E2012" s="8">
        <v>-0.006461747748915033</v>
      </c>
      <c r="F2012" s="9"/>
      <c r="G2012" s="9">
        <v>2009.0</v>
      </c>
      <c r="H2012" s="10">
        <f t="shared" si="66"/>
        <v>0.026275343623487806</v>
      </c>
      <c r="K2012" s="7"/>
    </row>
    <row r="2013" spans="8:8">
      <c r="B2013" s="7" t="s">
        <v>9810</v>
      </c>
      <c r="C2013" s="8">
        <v>1323.2</v>
      </c>
      <c r="D2013" s="8">
        <f t="shared" si="65"/>
        <v>-0.005037972779908298</v>
      </c>
      <c r="E2013" s="8">
        <v>-0.006480518441475427</v>
      </c>
      <c r="F2013" s="9"/>
      <c r="G2013" s="9">
        <v>2010.0</v>
      </c>
      <c r="H2013" s="10">
        <f t="shared" si="66"/>
        <v>-0.006426308760092315</v>
      </c>
      <c r="K2013" s="7"/>
    </row>
    <row r="2014" spans="8:8">
      <c r="B2014" s="7" t="s">
        <v>9811</v>
      </c>
      <c r="C2014" s="8">
        <v>1329.9</v>
      </c>
      <c r="D2014" s="8">
        <f t="shared" si="65"/>
        <v>-0.009754281459419143</v>
      </c>
      <c r="E2014" s="8">
        <v>-0.006481396557522477</v>
      </c>
      <c r="F2014" s="9"/>
      <c r="G2014" s="9">
        <v>2011.0</v>
      </c>
      <c r="H2014" s="10">
        <f t="shared" si="66"/>
        <v>-0.0028407749566911316</v>
      </c>
      <c r="K2014" s="7"/>
    </row>
    <row r="2015" spans="8:8">
      <c r="B2015" s="7" t="s">
        <v>9812</v>
      </c>
      <c r="C2015" s="8">
        <v>1343.0</v>
      </c>
      <c r="D2015" s="8">
        <f t="shared" si="65"/>
        <v>-0.011591536338546458</v>
      </c>
      <c r="E2015" s="8">
        <v>-0.006487445874198577</v>
      </c>
      <c r="F2015" s="9"/>
      <c r="G2015" s="9">
        <v>2012.0</v>
      </c>
      <c r="H2015" s="10">
        <f t="shared" si="66"/>
        <v>0.011266898374665334</v>
      </c>
      <c r="K2015" s="7"/>
    </row>
    <row r="2016" spans="8:8">
      <c r="B2016" s="7" t="s">
        <v>9813</v>
      </c>
      <c r="C2016" s="8">
        <v>1358.75</v>
      </c>
      <c r="D2016" s="8">
        <f t="shared" si="65"/>
        <v>-0.005598653395784609</v>
      </c>
      <c r="E2016" s="8">
        <v>-0.006519931737627484</v>
      </c>
      <c r="F2016" s="9"/>
      <c r="G2016" s="9">
        <v>2013.0</v>
      </c>
      <c r="H2016" s="10">
        <f t="shared" si="66"/>
        <v>0.006492641504795461</v>
      </c>
      <c r="K2016" s="7"/>
    </row>
    <row r="2017" spans="8:8">
      <c r="B2017" s="7">
        <v>43440.0</v>
      </c>
      <c r="C2017" s="8">
        <v>1366.4</v>
      </c>
      <c r="D2017" s="8">
        <f t="shared" si="65"/>
        <v>0.01723431974688263</v>
      </c>
      <c r="E2017" s="8">
        <v>-0.006546291633695461</v>
      </c>
      <c r="F2017" s="9"/>
      <c r="G2017" s="9">
        <v>2014.0</v>
      </c>
      <c r="H2017" s="10">
        <f t="shared" si="66"/>
        <v>0.025410449460991868</v>
      </c>
      <c r="K2017" s="7"/>
    </row>
    <row r="2018" spans="8:8">
      <c r="B2018" s="7">
        <v>43410.0</v>
      </c>
      <c r="C2018" s="8">
        <v>1343.25</v>
      </c>
      <c r="D2018" s="8">
        <f t="shared" si="65"/>
        <v>-5.208527102943156E-4</v>
      </c>
      <c r="E2018" s="8">
        <v>-0.006567614125753725</v>
      </c>
      <c r="F2018" s="9"/>
      <c r="G2018" s="9">
        <v>2015.0</v>
      </c>
      <c r="H2018" s="10">
        <f t="shared" si="66"/>
        <v>-0.0077564192178833655</v>
      </c>
      <c r="K2018" s="7"/>
    </row>
    <row r="2019" spans="8:8">
      <c r="B2019" s="7">
        <v>43318.0</v>
      </c>
      <c r="C2019" s="8">
        <v>1343.95</v>
      </c>
      <c r="D2019" s="8">
        <f t="shared" si="65"/>
        <v>-0.008264767737888827</v>
      </c>
      <c r="E2019" s="8">
        <v>-0.006575938687650769</v>
      </c>
      <c r="F2019" s="9"/>
      <c r="G2019" s="9">
        <v>2016.0</v>
      </c>
      <c r="H2019" s="10">
        <f t="shared" si="66"/>
        <v>0.0036797951116293447</v>
      </c>
      <c r="K2019" s="7"/>
    </row>
    <row r="2020" spans="8:8">
      <c r="B2020" s="7">
        <v>43287.0</v>
      </c>
      <c r="C2020" s="8">
        <v>1355.15</v>
      </c>
      <c r="D2020" s="8">
        <f t="shared" si="65"/>
        <v>0.003406019769723547</v>
      </c>
      <c r="E2020" s="8">
        <v>-0.006601697579377586</v>
      </c>
      <c r="F2020" s="9"/>
      <c r="G2020" s="9">
        <v>2017.0</v>
      </c>
      <c r="H2020" s="10">
        <f t="shared" si="66"/>
        <v>-0.0051883120354913265</v>
      </c>
      <c r="K2020" s="7"/>
    </row>
    <row r="2021" spans="8:8">
      <c r="B2021" s="7">
        <v>43257.0</v>
      </c>
      <c r="C2021" s="8">
        <v>1350.55</v>
      </c>
      <c r="D2021" s="8">
        <f t="shared" si="65"/>
        <v>0.012596063730084315</v>
      </c>
      <c r="E2021" s="8">
        <v>-0.0066112019016491535</v>
      </c>
      <c r="F2021" s="9"/>
      <c r="G2021" s="9">
        <v>2018.0</v>
      </c>
      <c r="H2021" s="10">
        <f t="shared" si="66"/>
        <v>-0.004288631384642457</v>
      </c>
      <c r="K2021" s="7"/>
    </row>
    <row r="2022" spans="8:8">
      <c r="B2022" s="7">
        <v>43226.0</v>
      </c>
      <c r="C2022" s="8">
        <v>1333.75</v>
      </c>
      <c r="D2022" s="8">
        <f t="shared" si="65"/>
        <v>-0.017748646757741952</v>
      </c>
      <c r="E2022" s="8">
        <v>-0.006624825662482685</v>
      </c>
      <c r="F2022" s="9"/>
      <c r="G2022" s="9">
        <v>2019.0</v>
      </c>
      <c r="H2022" s="10">
        <f t="shared" si="66"/>
        <v>-0.016488819925558933</v>
      </c>
      <c r="K2022" s="7"/>
    </row>
    <row r="2023" spans="8:8">
      <c r="B2023" s="7">
        <v>43196.0</v>
      </c>
      <c r="C2023" s="8">
        <v>1357.85</v>
      </c>
      <c r="D2023" s="8">
        <f t="shared" si="65"/>
        <v>-0.010601865345380487</v>
      </c>
      <c r="E2023" s="8">
        <v>-0.006647297059341394</v>
      </c>
      <c r="F2023" s="9"/>
      <c r="G2023" s="9">
        <v>2020.0</v>
      </c>
      <c r="H2023" s="10">
        <f t="shared" si="66"/>
        <v>0.028248885462988756</v>
      </c>
      <c r="K2023" s="7"/>
    </row>
    <row r="2024" spans="8:8">
      <c r="B2024" s="7">
        <v>43106.0</v>
      </c>
      <c r="C2024" s="8">
        <v>1372.4</v>
      </c>
      <c r="D2024" s="8">
        <f t="shared" si="65"/>
        <v>0.0014594279042615295</v>
      </c>
      <c r="E2024" s="8">
        <v>-0.006650410108623365</v>
      </c>
      <c r="F2024" s="9"/>
      <c r="G2024" s="9">
        <v>2021.0</v>
      </c>
      <c r="H2024" s="10">
        <f t="shared" si="66"/>
        <v>-0.010197614392479609</v>
      </c>
      <c r="K2024" s="7"/>
    </row>
    <row r="2025" spans="8:8">
      <c r="B2025" s="7" t="s">
        <v>9814</v>
      </c>
      <c r="C2025" s="8">
        <v>1370.4</v>
      </c>
      <c r="D2025" s="8">
        <f t="shared" si="65"/>
        <v>0.003478197195474682</v>
      </c>
      <c r="E2025" s="8">
        <v>-0.006667532579988586</v>
      </c>
      <c r="F2025" s="9"/>
      <c r="G2025" s="9">
        <v>2022.0</v>
      </c>
      <c r="H2025" s="10">
        <f t="shared" si="66"/>
        <v>-0.0023060723744174677</v>
      </c>
      <c r="K2025" s="7"/>
    </row>
    <row r="2026" spans="8:8">
      <c r="B2026" s="7" t="s">
        <v>9815</v>
      </c>
      <c r="C2026" s="8">
        <v>1365.65</v>
      </c>
      <c r="D2026" s="8">
        <f t="shared" si="65"/>
        <v>-0.010828625235404765</v>
      </c>
      <c r="E2026" s="8">
        <v>-0.006684328510291457</v>
      </c>
      <c r="F2026" s="9"/>
      <c r="G2026" s="9">
        <v>2023.0</v>
      </c>
      <c r="H2026" s="10">
        <f t="shared" si="66"/>
        <v>0.003981087374737716</v>
      </c>
      <c r="K2026" s="7"/>
    </row>
    <row r="2027" spans="8:8">
      <c r="B2027" s="7" t="s">
        <v>9816</v>
      </c>
      <c r="C2027" s="8">
        <v>1380.6</v>
      </c>
      <c r="D2027" s="8">
        <f t="shared" si="65"/>
        <v>0.0030150023611463283</v>
      </c>
      <c r="E2027" s="8">
        <v>-0.00670218732473362</v>
      </c>
      <c r="F2027" s="9"/>
      <c r="G2027" s="9">
        <v>2024.0</v>
      </c>
      <c r="H2027" s="10">
        <f t="shared" si="66"/>
        <v>-0.004256555011150166</v>
      </c>
      <c r="K2027" s="7"/>
    </row>
    <row r="2028" spans="8:8">
      <c r="B2028" s="7" t="s">
        <v>9817</v>
      </c>
      <c r="C2028" s="8">
        <v>1376.45</v>
      </c>
      <c r="D2028" s="8">
        <f t="shared" si="65"/>
        <v>0.025670640834575296</v>
      </c>
      <c r="E2028" s="8">
        <v>-0.006707081129885166</v>
      </c>
      <c r="F2028" s="9"/>
      <c r="G2028" s="9">
        <v>2025.0</v>
      </c>
      <c r="H2028" s="10">
        <f t="shared" si="66"/>
        <v>-0.007774845244195764</v>
      </c>
      <c r="K2028" s="7"/>
    </row>
    <row r="2029" spans="8:8">
      <c r="B2029" s="7" t="s">
        <v>9818</v>
      </c>
      <c r="C2029" s="8">
        <v>1342.0</v>
      </c>
      <c r="D2029" s="8">
        <f t="shared" si="65"/>
        <v>0.0029520570980158035</v>
      </c>
      <c r="E2029" s="8">
        <v>-0.006754221388367654</v>
      </c>
      <c r="F2029" s="9"/>
      <c r="G2029" s="9">
        <v>2026.0</v>
      </c>
      <c r="H2029" s="10">
        <f t="shared" si="66"/>
        <v>0.01773957634173648</v>
      </c>
      <c r="K2029" s="7"/>
    </row>
    <row r="2030" spans="8:8">
      <c r="B2030" s="7" t="s">
        <v>9819</v>
      </c>
      <c r="C2030" s="8">
        <v>1338.05</v>
      </c>
      <c r="D2030" s="8">
        <f t="shared" si="65"/>
        <v>0.008403044690632197</v>
      </c>
      <c r="E2030" s="8">
        <v>-0.00677982024864563</v>
      </c>
      <c r="F2030" s="9"/>
      <c r="G2030" s="9">
        <v>2027.0</v>
      </c>
      <c r="H2030" s="10">
        <f t="shared" si="66"/>
        <v>8.398639566643607E-4</v>
      </c>
      <c r="K2030" s="7"/>
    </row>
    <row r="2031" spans="8:8">
      <c r="B2031" s="7" t="s">
        <v>9820</v>
      </c>
      <c r="C2031" s="8">
        <v>1326.9</v>
      </c>
      <c r="D2031" s="8">
        <f t="shared" si="65"/>
        <v>0.005113055334621065</v>
      </c>
      <c r="E2031" s="8">
        <v>-0.006802472296383119</v>
      </c>
      <c r="F2031" s="9"/>
      <c r="G2031" s="9">
        <v>2028.0</v>
      </c>
      <c r="H2031" s="10">
        <f t="shared" si="66"/>
        <v>0.00812040415193082</v>
      </c>
      <c r="K2031" s="7"/>
    </row>
    <row r="2032" spans="8:8">
      <c r="B2032" s="7" t="s">
        <v>9821</v>
      </c>
      <c r="C2032" s="8">
        <v>1320.15</v>
      </c>
      <c r="D2032" s="8">
        <f t="shared" si="65"/>
        <v>0.005254140491147985</v>
      </c>
      <c r="E2032" s="8">
        <v>-0.006803185050043417</v>
      </c>
      <c r="F2032" s="9"/>
      <c r="G2032" s="9">
        <v>2029.0</v>
      </c>
      <c r="H2032" s="10">
        <f t="shared" si="66"/>
        <v>0.002939208887237271</v>
      </c>
      <c r="K2032" s="7"/>
    </row>
    <row r="2033" spans="8:8">
      <c r="B2033" s="7" t="s">
        <v>9822</v>
      </c>
      <c r="C2033" s="8">
        <v>1313.25</v>
      </c>
      <c r="D2033" s="8">
        <f t="shared" si="65"/>
        <v>-0.0017483181939112573</v>
      </c>
      <c r="E2033" s="8">
        <v>-0.006806830997261193</v>
      </c>
      <c r="F2033" s="9"/>
      <c r="G2033" s="9">
        <v>2030.0</v>
      </c>
      <c r="H2033" s="10">
        <f t="shared" si="66"/>
        <v>-0.0020523224115629934</v>
      </c>
      <c r="K2033" s="7"/>
    </row>
    <row r="2034" spans="8:8">
      <c r="B2034" s="7" t="s">
        <v>9823</v>
      </c>
      <c r="C2034" s="8">
        <v>1315.55</v>
      </c>
      <c r="D2034" s="8">
        <f t="shared" si="65"/>
        <v>-0.029794608945757653</v>
      </c>
      <c r="E2034" s="8">
        <v>-0.006808324647816292</v>
      </c>
      <c r="F2034" s="9"/>
      <c r="G2034" s="9">
        <v>2031.0</v>
      </c>
      <c r="H2034" s="10">
        <f t="shared" si="66"/>
        <v>0.021244309200543224</v>
      </c>
      <c r="K2034" s="7"/>
    </row>
    <row r="2035" spans="8:8">
      <c r="B2035" s="7" t="s">
        <v>9824</v>
      </c>
      <c r="C2035" s="8">
        <v>1355.95</v>
      </c>
      <c r="D2035" s="8">
        <f t="shared" si="65"/>
        <v>-0.004697764891547594</v>
      </c>
      <c r="E2035" s="8">
        <v>-0.006880881784195037</v>
      </c>
      <c r="F2035" s="9"/>
      <c r="G2035" s="9">
        <v>2032.0</v>
      </c>
      <c r="H2035" s="10">
        <f t="shared" si="66"/>
        <v>0.02056436840622792</v>
      </c>
      <c r="K2035" s="7"/>
    </row>
    <row r="2036" spans="8:8">
      <c r="B2036" s="7" t="s">
        <v>9825</v>
      </c>
      <c r="C2036" s="8">
        <v>1362.35</v>
      </c>
      <c r="D2036" s="8">
        <f t="shared" si="65"/>
        <v>-0.008623198952117694</v>
      </c>
      <c r="E2036" s="8">
        <v>-0.006886583914300404</v>
      </c>
      <c r="F2036" s="9"/>
      <c r="G2036" s="9">
        <v>2033.0</v>
      </c>
      <c r="H2036" s="10">
        <f t="shared" si="66"/>
        <v>0.021406215361214363</v>
      </c>
      <c r="K2036" s="7"/>
    </row>
    <row r="2037" spans="8:8">
      <c r="B2037" s="7" t="s">
        <v>9826</v>
      </c>
      <c r="C2037" s="8">
        <v>1374.2</v>
      </c>
      <c r="D2037" s="8">
        <f t="shared" si="65"/>
        <v>-0.005464085398950574</v>
      </c>
      <c r="E2037" s="8">
        <v>-0.0068868190798758375</v>
      </c>
      <c r="F2037" s="9"/>
      <c r="G2037" s="9">
        <v>2034.0</v>
      </c>
      <c r="H2037" s="10">
        <f t="shared" si="66"/>
        <v>0.02506172794481018</v>
      </c>
      <c r="K2037" s="7"/>
    </row>
    <row r="2038" spans="8:8">
      <c r="B2038" s="7" t="s">
        <v>9827</v>
      </c>
      <c r="C2038" s="8">
        <v>1381.75</v>
      </c>
      <c r="D2038" s="8">
        <f t="shared" si="65"/>
        <v>-0.0040723655758974275</v>
      </c>
      <c r="E2038" s="8">
        <v>-0.0068985579520427056</v>
      </c>
      <c r="F2038" s="9"/>
      <c r="G2038" s="9">
        <v>2035.0</v>
      </c>
      <c r="H2038" s="10">
        <f t="shared" si="66"/>
        <v>0.010833590559804509</v>
      </c>
      <c r="K2038" s="7"/>
    </row>
    <row r="2039" spans="8:8">
      <c r="B2039" s="7">
        <v>43409.0</v>
      </c>
      <c r="C2039" s="8">
        <v>1387.4</v>
      </c>
      <c r="D2039" s="8">
        <f t="shared" si="65"/>
        <v>0.018499486125385437</v>
      </c>
      <c r="E2039" s="8">
        <v>-0.006902215698609072</v>
      </c>
      <c r="F2039" s="9"/>
      <c r="G2039" s="9">
        <v>2036.0</v>
      </c>
      <c r="H2039" s="10">
        <f t="shared" si="66"/>
        <v>0.01413608562961258</v>
      </c>
      <c r="K2039" s="7"/>
    </row>
    <row r="2040" spans="8:8">
      <c r="B2040" s="7">
        <v>43378.0</v>
      </c>
      <c r="C2040" s="8">
        <v>1362.2</v>
      </c>
      <c r="D2040" s="8">
        <f t="shared" si="65"/>
        <v>-0.009777196234507356</v>
      </c>
      <c r="E2040" s="8">
        <v>-0.006918752702637746</v>
      </c>
      <c r="F2040" s="9"/>
      <c r="G2040" s="9">
        <v>2037.0</v>
      </c>
      <c r="H2040" s="10">
        <f t="shared" si="66"/>
        <v>0.011304081382003946</v>
      </c>
      <c r="K2040" s="7"/>
    </row>
    <row r="2041" spans="8:8">
      <c r="B2041" s="7">
        <v>43348.0</v>
      </c>
      <c r="C2041" s="8">
        <v>1375.65</v>
      </c>
      <c r="D2041" s="8">
        <f t="shared" si="65"/>
        <v>0.007876034874349768</v>
      </c>
      <c r="E2041" s="8">
        <v>-0.006925460178603973</v>
      </c>
      <c r="F2041" s="9"/>
      <c r="G2041" s="9">
        <v>2038.0</v>
      </c>
      <c r="H2041" s="10">
        <f t="shared" si="66"/>
        <v>6.823817110639947E-4</v>
      </c>
      <c r="K2041" s="7"/>
    </row>
    <row r="2042" spans="8:8">
      <c r="B2042" s="7">
        <v>43317.0</v>
      </c>
      <c r="C2042" s="8">
        <v>1364.9</v>
      </c>
      <c r="D2042" s="8">
        <f t="shared" si="65"/>
        <v>-0.017456718136990245</v>
      </c>
      <c r="E2042" s="8">
        <v>-0.006936492922454022</v>
      </c>
      <c r="F2042" s="9"/>
      <c r="G2042" s="9">
        <v>2039.0</v>
      </c>
      <c r="H2042" s="10">
        <f t="shared" si="66"/>
        <v>-0.020823424167397173</v>
      </c>
      <c r="K2042" s="7"/>
    </row>
    <row r="2043" spans="8:8">
      <c r="B2043" s="7">
        <v>43286.0</v>
      </c>
      <c r="C2043" s="8">
        <v>1389.15</v>
      </c>
      <c r="D2043" s="8">
        <f t="shared" si="65"/>
        <v>0.01494118506612117</v>
      </c>
      <c r="E2043" s="8">
        <v>-0.006954467917596155</v>
      </c>
      <c r="F2043" s="9"/>
      <c r="G2043" s="9">
        <v>2040.0</v>
      </c>
      <c r="H2043" s="10">
        <f t="shared" si="66"/>
        <v>0.003807935226992711</v>
      </c>
      <c r="K2043" s="7"/>
    </row>
    <row r="2044" spans="8:8">
      <c r="B2044" s="7">
        <v>43195.0</v>
      </c>
      <c r="C2044" s="8">
        <v>1368.7</v>
      </c>
      <c r="D2044" s="8">
        <f t="shared" si="65"/>
        <v>-0.006568680820177793</v>
      </c>
      <c r="E2044" s="8">
        <v>-0.006975446428571428</v>
      </c>
      <c r="F2044" s="9"/>
      <c r="G2044" s="9">
        <v>2041.0</v>
      </c>
      <c r="H2044" s="10">
        <f t="shared" si="66"/>
        <v>-0.004579829030125711</v>
      </c>
      <c r="K2044" s="7"/>
    </row>
    <row r="2045" spans="8:8">
      <c r="B2045" s="7">
        <v>43164.0</v>
      </c>
      <c r="C2045" s="8">
        <v>1377.75</v>
      </c>
      <c r="D2045" s="8">
        <f t="shared" si="65"/>
        <v>-0.01810212735630552</v>
      </c>
      <c r="E2045" s="8">
        <v>-0.007009165832242163</v>
      </c>
      <c r="F2045" s="9"/>
      <c r="G2045" s="9">
        <v>2042.0</v>
      </c>
      <c r="H2045" s="10">
        <f t="shared" si="66"/>
        <v>-0.02986620337659533</v>
      </c>
      <c r="K2045" s="7"/>
    </row>
    <row r="2046" spans="8:8">
      <c r="B2046" s="7">
        <v>43136.0</v>
      </c>
      <c r="C2046" s="8">
        <v>1403.15</v>
      </c>
      <c r="D2046" s="8">
        <f t="shared" si="65"/>
        <v>0.0016061103576272395</v>
      </c>
      <c r="E2046" s="8">
        <v>-0.007046621412080845</v>
      </c>
      <c r="F2046" s="9"/>
      <c r="G2046" s="9">
        <v>2043.0</v>
      </c>
      <c r="H2046" s="10">
        <f t="shared" si="66"/>
        <v>-0.009713632104433309</v>
      </c>
      <c r="K2046" s="7"/>
    </row>
    <row r="2047" spans="8:8">
      <c r="B2047" s="7" t="s">
        <v>9828</v>
      </c>
      <c r="C2047" s="8">
        <v>1400.9</v>
      </c>
      <c r="D2047" s="8">
        <f t="shared" si="65"/>
        <v>0.016802758120123457</v>
      </c>
      <c r="E2047" s="8">
        <v>-0.007093030072102782</v>
      </c>
      <c r="F2047" s="9"/>
      <c r="G2047" s="9">
        <v>2044.0</v>
      </c>
      <c r="H2047" s="10">
        <f t="shared" si="66"/>
        <v>0.016354068402307756</v>
      </c>
      <c r="K2047" s="7"/>
    </row>
    <row r="2048" spans="8:8">
      <c r="B2048" s="7" t="s">
        <v>9829</v>
      </c>
      <c r="C2048" s="8">
        <v>1377.75</v>
      </c>
      <c r="D2048" s="8">
        <f t="shared" si="65"/>
        <v>0.022676662707838444</v>
      </c>
      <c r="E2048" s="8">
        <v>-0.00710213063919178</v>
      </c>
      <c r="F2048" s="9"/>
      <c r="G2048" s="9">
        <v>2045.0</v>
      </c>
      <c r="H2048" s="10">
        <f t="shared" si="66"/>
        <v>-0.01250603781569793</v>
      </c>
      <c r="K2048" s="7"/>
    </row>
    <row r="2049" spans="8:8">
      <c r="B2049" s="7" t="s">
        <v>9830</v>
      </c>
      <c r="C2049" s="8">
        <v>1347.2</v>
      </c>
      <c r="D2049" s="8">
        <f t="shared" si="65"/>
        <v>-0.01151955389243528</v>
      </c>
      <c r="E2049" s="8">
        <v>-0.007102895526052719</v>
      </c>
      <c r="F2049" s="9"/>
      <c r="G2049" s="9">
        <v>2046.0</v>
      </c>
      <c r="H2049" s="10">
        <f t="shared" si="66"/>
        <v>0.028533070147997656</v>
      </c>
      <c r="K2049" s="7"/>
    </row>
    <row r="2050" spans="8:8">
      <c r="B2050" s="7" t="s">
        <v>9831</v>
      </c>
      <c r="C2050" s="8">
        <v>1362.9</v>
      </c>
      <c r="D2050" s="8">
        <f t="shared" si="65"/>
        <v>-0.010957910014513721</v>
      </c>
      <c r="E2050" s="8">
        <v>-0.00710424710424714</v>
      </c>
      <c r="F2050" s="9"/>
      <c r="G2050" s="9">
        <v>2047.0</v>
      </c>
      <c r="H2050" s="10">
        <f t="shared" si="66"/>
        <v>-0.018861944087134715</v>
      </c>
      <c r="K2050" s="7"/>
    </row>
    <row r="2051" spans="8:8">
      <c r="B2051" s="7" t="s">
        <v>9832</v>
      </c>
      <c r="C2051" s="8">
        <v>1378.0</v>
      </c>
      <c r="D2051" s="8">
        <f t="shared" si="65"/>
        <v>0.013235294117647059</v>
      </c>
      <c r="E2051" s="8">
        <v>-0.007144629124286823</v>
      </c>
      <c r="F2051" s="9"/>
      <c r="G2051" s="9">
        <v>2048.0</v>
      </c>
      <c r="H2051" s="10">
        <f t="shared" si="66"/>
        <v>0.013605581526277298</v>
      </c>
      <c r="K2051" s="7"/>
    </row>
    <row r="2052" spans="8:8">
      <c r="B2052" s="7" t="s">
        <v>9833</v>
      </c>
      <c r="C2052" s="8">
        <v>1360.0</v>
      </c>
      <c r="D2052" s="8">
        <f t="shared" si="67" ref="D2052:D2115">(C2052-C2053)/C2053</f>
        <v>-0.003699498186879568</v>
      </c>
      <c r="E2052" s="8">
        <v>-0.0071502437583098885</v>
      </c>
      <c r="F2052" s="9"/>
      <c r="G2052" s="9">
        <v>2049.0</v>
      </c>
      <c r="H2052" s="10">
        <f t="shared" si="66"/>
        <v>0.018253617572861373</v>
      </c>
      <c r="K2052" s="7"/>
    </row>
    <row r="2053" spans="8:8">
      <c r="B2053" s="7" t="s">
        <v>9834</v>
      </c>
      <c r="C2053" s="8">
        <v>1365.05</v>
      </c>
      <c r="D2053" s="8">
        <f t="shared" si="67"/>
        <v>-0.014404332129963933</v>
      </c>
      <c r="E2053" s="8">
        <v>-0.007157393673898797</v>
      </c>
      <c r="F2053" s="9"/>
      <c r="G2053" s="9">
        <v>2050.0</v>
      </c>
      <c r="H2053" s="10">
        <f t="shared" si="68" ref="H2053:H2116">_xlfn.NORM.INV(RAND(),N$6,N$7)</f>
        <v>-0.008132075943026115</v>
      </c>
      <c r="K2053" s="7"/>
    </row>
    <row r="2054" spans="8:8">
      <c r="B2054" s="7" t="s">
        <v>9835</v>
      </c>
      <c r="C2054" s="8">
        <v>1385.0</v>
      </c>
      <c r="D2054" s="8">
        <f t="shared" si="67"/>
        <v>0.01830747739136835</v>
      </c>
      <c r="E2054" s="8">
        <v>-0.007175382917069194</v>
      </c>
      <c r="F2054" s="9"/>
      <c r="G2054" s="9">
        <v>2051.0</v>
      </c>
      <c r="H2054" s="10">
        <f t="shared" si="68"/>
        <v>0.020657863341232017</v>
      </c>
      <c r="K2054" s="7"/>
    </row>
    <row r="2055" spans="8:8">
      <c r="B2055" s="7" t="s">
        <v>9836</v>
      </c>
      <c r="C2055" s="8">
        <v>1360.1</v>
      </c>
      <c r="D2055" s="8">
        <f t="shared" si="67"/>
        <v>4.045456217130334E-4</v>
      </c>
      <c r="E2055" s="8">
        <v>-0.007209549698617212</v>
      </c>
      <c r="F2055" s="9"/>
      <c r="G2055" s="9">
        <v>2052.0</v>
      </c>
      <c r="H2055" s="10">
        <f t="shared" si="68"/>
        <v>0.0011511076461986985</v>
      </c>
      <c r="K2055" s="7"/>
    </row>
    <row r="2056" spans="8:8">
      <c r="B2056" s="7" t="s">
        <v>9837</v>
      </c>
      <c r="C2056" s="8">
        <v>1359.55</v>
      </c>
      <c r="D2056" s="8">
        <f t="shared" si="67"/>
        <v>-0.006249543162049525</v>
      </c>
      <c r="E2056" s="8">
        <v>-0.007216059570874824</v>
      </c>
      <c r="F2056" s="9"/>
      <c r="G2056" s="9">
        <v>2053.0</v>
      </c>
      <c r="H2056" s="10">
        <f t="shared" si="68"/>
        <v>0.004593275308679215</v>
      </c>
      <c r="K2056" s="7"/>
    </row>
    <row r="2057" spans="8:8">
      <c r="B2057" s="7" t="s">
        <v>9838</v>
      </c>
      <c r="C2057" s="8">
        <v>1368.1</v>
      </c>
      <c r="D2057" s="8">
        <f t="shared" si="67"/>
        <v>0.009779680407425178</v>
      </c>
      <c r="E2057" s="8">
        <v>-0.0072220789270053</v>
      </c>
      <c r="F2057" s="9"/>
      <c r="G2057" s="9">
        <v>2054.0</v>
      </c>
      <c r="H2057" s="10">
        <f t="shared" si="68"/>
        <v>0.015269971693057643</v>
      </c>
      <c r="K2057" s="7"/>
    </row>
    <row r="2058" spans="8:8">
      <c r="B2058" s="7" t="s">
        <v>9839</v>
      </c>
      <c r="C2058" s="8">
        <v>1354.85</v>
      </c>
      <c r="D2058" s="8">
        <f t="shared" si="67"/>
        <v>-0.0019153559983794146</v>
      </c>
      <c r="E2058" s="8">
        <v>-0.007229593356053457</v>
      </c>
      <c r="F2058" s="9"/>
      <c r="G2058" s="9">
        <v>2055.0</v>
      </c>
      <c r="H2058" s="10">
        <f t="shared" si="68"/>
        <v>0.012719479739464308</v>
      </c>
      <c r="K2058" s="7"/>
    </row>
    <row r="2059" spans="8:8">
      <c r="B2059" s="7">
        <v>43438.0</v>
      </c>
      <c r="C2059" s="8">
        <v>1357.45</v>
      </c>
      <c r="D2059" s="8">
        <f t="shared" si="67"/>
        <v>0.00347440399186845</v>
      </c>
      <c r="E2059" s="8">
        <v>-0.007244181937503224</v>
      </c>
      <c r="F2059" s="9"/>
      <c r="G2059" s="9">
        <v>2056.0</v>
      </c>
      <c r="H2059" s="10">
        <f t="shared" si="68"/>
        <v>-8.068073833636434E-4</v>
      </c>
      <c r="K2059" s="7"/>
    </row>
    <row r="2060" spans="8:8">
      <c r="B2060" s="7">
        <v>43408.0</v>
      </c>
      <c r="C2060" s="8">
        <v>1352.75</v>
      </c>
      <c r="D2060" s="8">
        <f t="shared" si="67"/>
        <v>0.0021112675012963248</v>
      </c>
      <c r="E2060" s="8">
        <v>-0.007252124645892325</v>
      </c>
      <c r="F2060" s="9"/>
      <c r="G2060" s="9">
        <v>2057.0</v>
      </c>
      <c r="H2060" s="10">
        <f t="shared" si="68"/>
        <v>-0.020877948848378288</v>
      </c>
      <c r="K2060" s="7"/>
    </row>
    <row r="2061" spans="8:8">
      <c r="B2061" s="7">
        <v>43377.0</v>
      </c>
      <c r="C2061" s="8">
        <v>1349.9</v>
      </c>
      <c r="D2061" s="8">
        <f t="shared" si="67"/>
        <v>0.016567512613901648</v>
      </c>
      <c r="E2061" s="8">
        <v>-0.007267693372555688</v>
      </c>
      <c r="F2061" s="9"/>
      <c r="G2061" s="9">
        <v>2058.0</v>
      </c>
      <c r="H2061" s="10">
        <f t="shared" si="68"/>
        <v>0.0014539601848495348</v>
      </c>
      <c r="K2061" s="7"/>
    </row>
    <row r="2062" spans="8:8">
      <c r="B2062" s="7">
        <v>43347.0</v>
      </c>
      <c r="C2062" s="8">
        <v>1327.9</v>
      </c>
      <c r="D2062" s="8">
        <f t="shared" si="67"/>
        <v>0.008621017052143964</v>
      </c>
      <c r="E2062" s="8">
        <v>-0.0072682093492778665</v>
      </c>
      <c r="F2062" s="9"/>
      <c r="G2062" s="9">
        <v>2059.0</v>
      </c>
      <c r="H2062" s="10">
        <f t="shared" si="68"/>
        <v>0.0015849981609491355</v>
      </c>
      <c r="K2062" s="7"/>
    </row>
    <row r="2063" spans="8:8">
      <c r="B2063" s="7">
        <v>43255.0</v>
      </c>
      <c r="C2063" s="8">
        <v>1316.55</v>
      </c>
      <c r="D2063" s="8">
        <f t="shared" si="67"/>
        <v>-0.009218844069837447</v>
      </c>
      <c r="E2063" s="8">
        <v>-0.007269574496465313</v>
      </c>
      <c r="F2063" s="9"/>
      <c r="G2063" s="9">
        <v>2060.0</v>
      </c>
      <c r="H2063" s="10">
        <f t="shared" si="68"/>
        <v>-0.006214753487073611</v>
      </c>
      <c r="K2063" s="7"/>
    </row>
    <row r="2064" spans="8:8">
      <c r="B2064" s="7">
        <v>43224.0</v>
      </c>
      <c r="C2064" s="8">
        <v>1328.8</v>
      </c>
      <c r="D2064" s="8">
        <f t="shared" si="67"/>
        <v>0.025189985726960507</v>
      </c>
      <c r="E2064" s="8">
        <v>-0.007276507276507341</v>
      </c>
      <c r="F2064" s="9"/>
      <c r="G2064" s="9">
        <v>2061.0</v>
      </c>
      <c r="H2064" s="10">
        <f t="shared" si="68"/>
        <v>0.0015785136949902777</v>
      </c>
      <c r="K2064" s="7"/>
    </row>
    <row r="2065" spans="8:8">
      <c r="B2065" s="7">
        <v>43194.0</v>
      </c>
      <c r="C2065" s="8">
        <v>1296.15</v>
      </c>
      <c r="D2065" s="8">
        <f t="shared" si="67"/>
        <v>-0.02574413710162357</v>
      </c>
      <c r="E2065" s="8">
        <v>-0.007281970253838584</v>
      </c>
      <c r="F2065" s="9"/>
      <c r="G2065" s="9">
        <v>2062.0</v>
      </c>
      <c r="H2065" s="10">
        <f t="shared" si="68"/>
        <v>0.018886436229395696</v>
      </c>
      <c r="K2065" s="7"/>
    </row>
    <row r="2066" spans="8:8">
      <c r="B2066" s="7">
        <v>43163.0</v>
      </c>
      <c r="C2066" s="8">
        <v>1330.4</v>
      </c>
      <c r="D2066" s="8">
        <f t="shared" si="67"/>
        <v>-0.004154347093828328</v>
      </c>
      <c r="E2066" s="8">
        <v>-0.007290129254439009</v>
      </c>
      <c r="F2066" s="9"/>
      <c r="G2066" s="9">
        <v>2063.0</v>
      </c>
      <c r="H2066" s="10">
        <f t="shared" si="68"/>
        <v>-0.011563607253091811</v>
      </c>
      <c r="K2066" s="7"/>
    </row>
    <row r="2067" spans="8:8">
      <c r="B2067" s="7">
        <v>43135.0</v>
      </c>
      <c r="C2067" s="8">
        <v>1335.95</v>
      </c>
      <c r="D2067" s="8">
        <f t="shared" si="67"/>
        <v>0.01910900907773282</v>
      </c>
      <c r="E2067" s="8">
        <v>-0.007298905164225245</v>
      </c>
      <c r="F2067" s="9"/>
      <c r="G2067" s="9">
        <v>2064.0</v>
      </c>
      <c r="H2067" s="10">
        <f t="shared" si="68"/>
        <v>-0.007300735886857669</v>
      </c>
      <c r="K2067" s="7"/>
    </row>
    <row r="2068" spans="8:8">
      <c r="B2068" s="7" t="s">
        <v>9840</v>
      </c>
      <c r="C2068" s="8">
        <v>1310.9</v>
      </c>
      <c r="D2068" s="8">
        <f t="shared" si="67"/>
        <v>0.0025620435165004296</v>
      </c>
      <c r="E2068" s="8">
        <v>-0.007313601335100349</v>
      </c>
      <c r="F2068" s="9"/>
      <c r="G2068" s="9">
        <v>2065.0</v>
      </c>
      <c r="H2068" s="10">
        <f t="shared" si="68"/>
        <v>0.015512486325707328</v>
      </c>
      <c r="K2068" s="7"/>
    </row>
    <row r="2069" spans="8:8">
      <c r="B2069" s="7" t="s">
        <v>9841</v>
      </c>
      <c r="C2069" s="8">
        <v>1307.55</v>
      </c>
      <c r="D2069" s="8">
        <f t="shared" si="67"/>
        <v>0.007823338985663529</v>
      </c>
      <c r="E2069" s="8">
        <v>-0.0073160797092367185</v>
      </c>
      <c r="F2069" s="9"/>
      <c r="G2069" s="9">
        <v>2066.0</v>
      </c>
      <c r="H2069" s="10">
        <f t="shared" si="68"/>
        <v>0.008597487708672597</v>
      </c>
      <c r="K2069" s="7"/>
    </row>
    <row r="2070" spans="8:8">
      <c r="B2070" s="7" t="s">
        <v>9842</v>
      </c>
      <c r="C2070" s="8">
        <v>1297.4</v>
      </c>
      <c r="D2070" s="8">
        <f t="shared" si="67"/>
        <v>0.023266819149775218</v>
      </c>
      <c r="E2070" s="8">
        <v>-0.0073299228831030004</v>
      </c>
      <c r="F2070" s="9"/>
      <c r="G2070" s="9">
        <v>2067.0</v>
      </c>
      <c r="H2070" s="10">
        <f t="shared" si="68"/>
        <v>0.012901497823240588</v>
      </c>
      <c r="K2070" s="7"/>
    </row>
    <row r="2071" spans="8:8">
      <c r="B2071" s="7" t="s">
        <v>9843</v>
      </c>
      <c r="C2071" s="8">
        <v>1267.9</v>
      </c>
      <c r="D2071" s="8">
        <f t="shared" si="67"/>
        <v>-0.021870781099324905</v>
      </c>
      <c r="E2071" s="8">
        <v>-0.007333464678969374</v>
      </c>
      <c r="F2071" s="9"/>
      <c r="G2071" s="9">
        <v>2068.0</v>
      </c>
      <c r="H2071" s="10">
        <f t="shared" si="68"/>
        <v>0.010229262590152301</v>
      </c>
      <c r="K2071" s="7"/>
    </row>
    <row r="2072" spans="8:8">
      <c r="B2072" s="7" t="s">
        <v>9844</v>
      </c>
      <c r="C2072" s="8">
        <v>1296.25</v>
      </c>
      <c r="D2072" s="8">
        <f t="shared" si="67"/>
        <v>-0.010004964295260939</v>
      </c>
      <c r="E2072" s="8">
        <v>-0.00733886407147409</v>
      </c>
      <c r="F2072" s="9"/>
      <c r="G2072" s="9">
        <v>2069.0</v>
      </c>
      <c r="H2072" s="10">
        <f t="shared" si="68"/>
        <v>-0.009503911005910175</v>
      </c>
      <c r="K2072" s="7"/>
    </row>
    <row r="2073" spans="8:8">
      <c r="B2073" s="7" t="s">
        <v>9845</v>
      </c>
      <c r="C2073" s="8">
        <v>1309.35</v>
      </c>
      <c r="D2073" s="8">
        <f t="shared" si="67"/>
        <v>0.012253575570158414</v>
      </c>
      <c r="E2073" s="8">
        <v>-0.007340946166394679</v>
      </c>
      <c r="F2073" s="9"/>
      <c r="G2073" s="9">
        <v>2070.0</v>
      </c>
      <c r="H2073" s="10">
        <f t="shared" si="68"/>
        <v>-0.004586085716465102</v>
      </c>
      <c r="K2073" s="7"/>
    </row>
    <row r="2074" spans="8:8">
      <c r="B2074" s="7" t="s">
        <v>9846</v>
      </c>
      <c r="C2074" s="8">
        <v>1293.5</v>
      </c>
      <c r="D2074" s="8">
        <f t="shared" si="67"/>
        <v>0.01090227032941272</v>
      </c>
      <c r="E2074" s="8">
        <v>-0.00736699585855368</v>
      </c>
      <c r="F2074" s="9"/>
      <c r="G2074" s="9">
        <v>2071.0</v>
      </c>
      <c r="H2074" s="10">
        <f t="shared" si="68"/>
        <v>-0.006688485087900045</v>
      </c>
      <c r="K2074" s="7"/>
    </row>
    <row r="2075" spans="8:8">
      <c r="B2075" s="7" t="s">
        <v>9847</v>
      </c>
      <c r="C2075" s="8">
        <v>1279.55</v>
      </c>
      <c r="D2075" s="8">
        <f t="shared" si="67"/>
        <v>0.008075317103915545</v>
      </c>
      <c r="E2075" s="8">
        <v>-0.007383879217886163</v>
      </c>
      <c r="F2075" s="9"/>
      <c r="G2075" s="9">
        <v>2072.0</v>
      </c>
      <c r="H2075" s="10">
        <f t="shared" si="68"/>
        <v>0.0011027184697684298</v>
      </c>
      <c r="K2075" s="7"/>
    </row>
    <row r="2076" spans="8:8">
      <c r="B2076" s="7" t="s">
        <v>9848</v>
      </c>
      <c r="C2076" s="8">
        <v>1269.3</v>
      </c>
      <c r="D2076" s="8">
        <f t="shared" si="67"/>
        <v>-0.01992124160296499</v>
      </c>
      <c r="E2076" s="8">
        <v>-0.007394195469972955</v>
      </c>
      <c r="F2076" s="9"/>
      <c r="G2076" s="9">
        <v>2073.0</v>
      </c>
      <c r="H2076" s="10">
        <f t="shared" si="68"/>
        <v>0.008068679233965146</v>
      </c>
      <c r="K2076" s="7"/>
    </row>
    <row r="2077" spans="8:8">
      <c r="B2077" s="7" t="s">
        <v>9849</v>
      </c>
      <c r="C2077" s="8">
        <v>1295.1</v>
      </c>
      <c r="D2077" s="8">
        <f t="shared" si="67"/>
        <v>-0.00625359677728762</v>
      </c>
      <c r="E2077" s="8">
        <v>-0.0073949039466280845</v>
      </c>
      <c r="F2077" s="9"/>
      <c r="G2077" s="9">
        <v>2074.0</v>
      </c>
      <c r="H2077" s="10">
        <f t="shared" si="68"/>
        <v>0.0035963854028223247</v>
      </c>
      <c r="K2077" s="7"/>
    </row>
    <row r="2078" spans="8:8">
      <c r="B2078" s="7" t="s">
        <v>9850</v>
      </c>
      <c r="C2078" s="8">
        <v>1303.25</v>
      </c>
      <c r="D2078" s="8">
        <f t="shared" si="67"/>
        <v>3.8380349261178274E-4</v>
      </c>
      <c r="E2078" s="8">
        <v>-0.007415078707539391</v>
      </c>
      <c r="F2078" s="9"/>
      <c r="G2078" s="9">
        <v>2075.0</v>
      </c>
      <c r="H2078" s="10">
        <f t="shared" si="68"/>
        <v>0.01089281832105894</v>
      </c>
      <c r="K2078" s="7"/>
    </row>
    <row r="2079" spans="8:8">
      <c r="B2079" s="7" t="s">
        <v>9851</v>
      </c>
      <c r="C2079" s="8">
        <v>1302.75</v>
      </c>
      <c r="D2079" s="8">
        <f t="shared" si="67"/>
        <v>-0.005572306400519029</v>
      </c>
      <c r="E2079" s="8">
        <v>-0.007418397626112759</v>
      </c>
      <c r="F2079" s="9"/>
      <c r="G2079" s="9">
        <v>2076.0</v>
      </c>
      <c r="H2079" s="10">
        <f t="shared" si="68"/>
        <v>-0.0025526776162341685</v>
      </c>
      <c r="K2079" s="7"/>
    </row>
    <row r="2080" spans="8:8">
      <c r="B2080" s="7">
        <v>43437.0</v>
      </c>
      <c r="C2080" s="8">
        <v>1310.05</v>
      </c>
      <c r="D2080" s="8">
        <f t="shared" si="67"/>
        <v>0.015149166989538903</v>
      </c>
      <c r="E2080" s="8">
        <v>-0.007427684398524478</v>
      </c>
      <c r="F2080" s="9"/>
      <c r="G2080" s="9">
        <v>2077.0</v>
      </c>
      <c r="H2080" s="10">
        <f t="shared" si="68"/>
        <v>-0.010098158893062138</v>
      </c>
      <c r="K2080" s="7"/>
    </row>
    <row r="2081" spans="8:8">
      <c r="B2081" s="7">
        <v>43346.0</v>
      </c>
      <c r="C2081" s="8">
        <v>1290.5</v>
      </c>
      <c r="D2081" s="8">
        <f t="shared" si="67"/>
        <v>0.00521888144570809</v>
      </c>
      <c r="E2081" s="8">
        <v>-0.007451721242653296</v>
      </c>
      <c r="F2081" s="9"/>
      <c r="G2081" s="9">
        <v>2078.0</v>
      </c>
      <c r="H2081" s="10">
        <f t="shared" si="68"/>
        <v>-0.0024708802699592346</v>
      </c>
      <c r="K2081" s="7"/>
    </row>
    <row r="2082" spans="8:8">
      <c r="B2082" s="7">
        <v>43315.0</v>
      </c>
      <c r="C2082" s="8">
        <v>1283.8</v>
      </c>
      <c r="D2082" s="8">
        <f t="shared" si="67"/>
        <v>0.01622734109079395</v>
      </c>
      <c r="E2082" s="8">
        <v>-0.007465209307566623</v>
      </c>
      <c r="F2082" s="9"/>
      <c r="G2082" s="9">
        <v>2079.0</v>
      </c>
      <c r="H2082" s="10">
        <f t="shared" si="68"/>
        <v>-0.007534516148551097</v>
      </c>
      <c r="K2082" s="7"/>
    </row>
    <row r="2083" spans="8:8">
      <c r="B2083" s="7">
        <v>43284.0</v>
      </c>
      <c r="C2083" s="8">
        <v>1263.3</v>
      </c>
      <c r="D2083" s="8">
        <f t="shared" si="67"/>
        <v>-0.015661524076671447</v>
      </c>
      <c r="E2083" s="8">
        <v>-0.007475616016427163</v>
      </c>
      <c r="F2083" s="9"/>
      <c r="G2083" s="9">
        <v>2080.0</v>
      </c>
      <c r="H2083" s="10">
        <f t="shared" si="68"/>
        <v>0.006594192015334768</v>
      </c>
      <c r="K2083" s="7"/>
    </row>
    <row r="2084" spans="8:8">
      <c r="B2084" s="7">
        <v>43254.0</v>
      </c>
      <c r="C2084" s="8">
        <v>1283.4</v>
      </c>
      <c r="D2084" s="8">
        <f t="shared" si="67"/>
        <v>-0.013300530483585727</v>
      </c>
      <c r="E2084" s="8">
        <v>-0.007510250477002395</v>
      </c>
      <c r="F2084" s="9"/>
      <c r="G2084" s="9">
        <v>2081.0</v>
      </c>
      <c r="H2084" s="10">
        <f t="shared" si="68"/>
        <v>-0.011310121923469578</v>
      </c>
      <c r="K2084" s="7"/>
    </row>
    <row r="2085" spans="8:8">
      <c r="B2085" s="7">
        <v>43223.0</v>
      </c>
      <c r="C2085" s="8">
        <v>1300.7</v>
      </c>
      <c r="D2085" s="8">
        <f t="shared" si="67"/>
        <v>-0.011024939172749392</v>
      </c>
      <c r="E2085" s="8">
        <v>-0.007518321961081541</v>
      </c>
      <c r="F2085" s="9"/>
      <c r="G2085" s="9">
        <v>2082.0</v>
      </c>
      <c r="H2085" s="10">
        <f t="shared" si="68"/>
        <v>-8.169036878235307E-4</v>
      </c>
      <c r="K2085" s="7"/>
    </row>
    <row r="2086" spans="8:8">
      <c r="B2086" s="7">
        <v>43103.0</v>
      </c>
      <c r="C2086" s="8">
        <v>1315.2</v>
      </c>
      <c r="D2086" s="8">
        <f t="shared" si="67"/>
        <v>-0.002237985054811702</v>
      </c>
      <c r="E2086" s="8">
        <v>-0.007536173633440514</v>
      </c>
      <c r="F2086" s="9"/>
      <c r="G2086" s="9">
        <v>2083.0</v>
      </c>
      <c r="H2086" s="10">
        <f t="shared" si="68"/>
        <v>0.014587377891393229</v>
      </c>
      <c r="K2086" s="7"/>
    </row>
    <row r="2087" spans="8:8">
      <c r="B2087" s="7" t="s">
        <v>9852</v>
      </c>
      <c r="C2087" s="8">
        <v>1318.15</v>
      </c>
      <c r="D2087" s="8">
        <f t="shared" si="67"/>
        <v>-0.014909199611389149</v>
      </c>
      <c r="E2087" s="8">
        <v>-0.007564003103180826</v>
      </c>
      <c r="F2087" s="9"/>
      <c r="G2087" s="9">
        <v>2084.0</v>
      </c>
      <c r="H2087" s="10">
        <f t="shared" si="68"/>
        <v>0.02014836402913381</v>
      </c>
      <c r="K2087" s="7"/>
    </row>
    <row r="2088" spans="8:8">
      <c r="B2088" s="7" t="s">
        <v>9853</v>
      </c>
      <c r="C2088" s="8">
        <v>1338.1</v>
      </c>
      <c r="D2088" s="8">
        <f t="shared" si="67"/>
        <v>-0.00457504184489499</v>
      </c>
      <c r="E2088" s="8">
        <v>-0.007589225689827776</v>
      </c>
      <c r="F2088" s="9"/>
      <c r="G2088" s="9">
        <v>2085.0</v>
      </c>
      <c r="H2088" s="10">
        <f t="shared" si="68"/>
        <v>0.012935626138834144</v>
      </c>
      <c r="K2088" s="7"/>
    </row>
    <row r="2089" spans="8:8">
      <c r="B2089" s="7" t="s">
        <v>9854</v>
      </c>
      <c r="C2089" s="8">
        <v>1344.25</v>
      </c>
      <c r="D2089" s="8">
        <f t="shared" si="67"/>
        <v>0.032688023354075404</v>
      </c>
      <c r="E2089" s="8">
        <v>-0.007601935038009704</v>
      </c>
      <c r="F2089" s="9"/>
      <c r="G2089" s="9">
        <v>2086.0</v>
      </c>
      <c r="H2089" s="10">
        <f t="shared" si="68"/>
        <v>0.008391090373881211</v>
      </c>
      <c r="K2089" s="7"/>
    </row>
    <row r="2090" spans="8:8">
      <c r="B2090" s="7" t="s">
        <v>9855</v>
      </c>
      <c r="C2090" s="8">
        <v>1301.7</v>
      </c>
      <c r="D2090" s="8">
        <f t="shared" si="67"/>
        <v>0.00750773993808053</v>
      </c>
      <c r="E2090" s="8">
        <v>-0.0076086032474709225</v>
      </c>
      <c r="F2090" s="9"/>
      <c r="G2090" s="9">
        <v>2087.0</v>
      </c>
      <c r="H2090" s="10">
        <f t="shared" si="68"/>
        <v>-0.0026985521740407227</v>
      </c>
      <c r="K2090" s="7"/>
    </row>
    <row r="2091" spans="8:8">
      <c r="B2091" s="7" t="s">
        <v>9856</v>
      </c>
      <c r="C2091" s="8">
        <v>1292.0</v>
      </c>
      <c r="D2091" s="8">
        <f t="shared" si="67"/>
        <v>0.007171811661989434</v>
      </c>
      <c r="E2091" s="8">
        <v>-0.007625172255397294</v>
      </c>
      <c r="F2091" s="9"/>
      <c r="G2091" s="9">
        <v>2088.0</v>
      </c>
      <c r="H2091" s="10">
        <f t="shared" si="68"/>
        <v>-0.013179539179088203</v>
      </c>
      <c r="K2091" s="7"/>
    </row>
    <row r="2092" spans="8:8">
      <c r="B2092" s="7" t="s">
        <v>9857</v>
      </c>
      <c r="C2092" s="8">
        <v>1282.8</v>
      </c>
      <c r="D2092" s="8">
        <f t="shared" si="67"/>
        <v>-0.006043700604370025</v>
      </c>
      <c r="E2092" s="8">
        <v>-0.00763628338115201</v>
      </c>
      <c r="F2092" s="9"/>
      <c r="G2092" s="9">
        <v>2089.0</v>
      </c>
      <c r="H2092" s="10">
        <f t="shared" si="68"/>
        <v>0.03327638527432314</v>
      </c>
      <c r="K2092" s="7"/>
    </row>
    <row r="2093" spans="8:8">
      <c r="B2093" s="7" t="s">
        <v>9858</v>
      </c>
      <c r="C2093" s="8">
        <v>1290.6</v>
      </c>
      <c r="D2093" s="8">
        <f t="shared" si="67"/>
        <v>-0.003782323427248237</v>
      </c>
      <c r="E2093" s="8">
        <v>-0.007667273429312202</v>
      </c>
      <c r="F2093" s="9"/>
      <c r="G2093" s="9">
        <v>2090.0</v>
      </c>
      <c r="H2093" s="10">
        <f t="shared" si="68"/>
        <v>-0.003519421591254332</v>
      </c>
      <c r="K2093" s="7"/>
    </row>
    <row r="2094" spans="8:8">
      <c r="B2094" s="7" t="s">
        <v>9859</v>
      </c>
      <c r="C2094" s="8">
        <v>1295.5</v>
      </c>
      <c r="D2094" s="8">
        <f t="shared" si="67"/>
        <v>-0.024766636555254507</v>
      </c>
      <c r="E2094" s="8">
        <v>-0.007670530927264389</v>
      </c>
      <c r="F2094" s="9"/>
      <c r="G2094" s="9">
        <v>2091.0</v>
      </c>
      <c r="H2094" s="10">
        <f t="shared" si="68"/>
        <v>0.02294580394662344</v>
      </c>
      <c r="K2094" s="7"/>
    </row>
    <row r="2095" spans="8:8">
      <c r="B2095" s="7" t="s">
        <v>9860</v>
      </c>
      <c r="C2095" s="8">
        <v>1328.4</v>
      </c>
      <c r="D2095" s="8">
        <f t="shared" si="67"/>
        <v>-0.016255044988336225</v>
      </c>
      <c r="E2095" s="8">
        <v>-0.007700215295692111</v>
      </c>
      <c r="F2095" s="9"/>
      <c r="G2095" s="9">
        <v>2092.0</v>
      </c>
      <c r="H2095" s="10">
        <f t="shared" si="68"/>
        <v>0.015002125172226748</v>
      </c>
      <c r="K2095" s="7"/>
    </row>
    <row r="2096" spans="8:8">
      <c r="B2096" s="7" t="s">
        <v>9861</v>
      </c>
      <c r="C2096" s="8">
        <v>1350.35</v>
      </c>
      <c r="D2096" s="8">
        <f t="shared" si="67"/>
        <v>-0.007970908022333335</v>
      </c>
      <c r="E2096" s="8">
        <v>-0.0077027639329406115</v>
      </c>
      <c r="F2096" s="9"/>
      <c r="G2096" s="9">
        <v>2093.0</v>
      </c>
      <c r="H2096" s="10">
        <f t="shared" si="68"/>
        <v>0.02295970160083571</v>
      </c>
      <c r="K2096" s="7"/>
    </row>
    <row r="2097" spans="8:8">
      <c r="B2097" s="7" t="s">
        <v>9862</v>
      </c>
      <c r="C2097" s="8">
        <v>1361.2</v>
      </c>
      <c r="D2097" s="8">
        <f t="shared" si="67"/>
        <v>0.007922991484635353</v>
      </c>
      <c r="E2097" s="8">
        <v>-0.0077182653647329125</v>
      </c>
      <c r="F2097" s="9"/>
      <c r="G2097" s="9">
        <v>2094.0</v>
      </c>
      <c r="H2097" s="10">
        <f t="shared" si="68"/>
        <v>-0.01038834077569177</v>
      </c>
      <c r="K2097" s="7"/>
    </row>
    <row r="2098" spans="8:8">
      <c r="B2098" s="7">
        <v>43436.0</v>
      </c>
      <c r="C2098" s="8">
        <v>1350.5</v>
      </c>
      <c r="D2098" s="8">
        <f t="shared" si="67"/>
        <v>0.015986458529245816</v>
      </c>
      <c r="E2098" s="8">
        <v>-0.00772370282443617</v>
      </c>
      <c r="F2098" s="9"/>
      <c r="G2098" s="9">
        <v>2095.0</v>
      </c>
      <c r="H2098" s="10">
        <f t="shared" si="68"/>
        <v>0.0027600887069928644</v>
      </c>
      <c r="K2098" s="7"/>
    </row>
    <row r="2099" spans="8:8">
      <c r="B2099" s="7">
        <v>43345.0</v>
      </c>
      <c r="C2099" s="8">
        <v>1329.25</v>
      </c>
      <c r="D2099" s="8">
        <f t="shared" si="67"/>
        <v>-0.01347038741279508</v>
      </c>
      <c r="E2099" s="8">
        <v>-0.007733652990990295</v>
      </c>
      <c r="F2099" s="9"/>
      <c r="G2099" s="9">
        <v>2096.0</v>
      </c>
      <c r="H2099" s="10">
        <f t="shared" si="68"/>
        <v>0.014323272008400601</v>
      </c>
      <c r="K2099" s="7"/>
    </row>
    <row r="2100" spans="8:8">
      <c r="B2100" s="7">
        <v>43314.0</v>
      </c>
      <c r="C2100" s="8">
        <v>1347.4</v>
      </c>
      <c r="D2100" s="8">
        <f t="shared" si="67"/>
        <v>0.010234301780693601</v>
      </c>
      <c r="E2100" s="8">
        <v>-0.007756268054070358</v>
      </c>
      <c r="F2100" s="9"/>
      <c r="G2100" s="9">
        <v>2097.0</v>
      </c>
      <c r="H2100" s="10">
        <f t="shared" si="68"/>
        <v>0.015284191826415418</v>
      </c>
      <c r="K2100" s="7"/>
    </row>
    <row r="2101" spans="8:8">
      <c r="B2101" s="7">
        <v>43283.0</v>
      </c>
      <c r="C2101" s="8">
        <v>1333.75</v>
      </c>
      <c r="D2101" s="8">
        <f t="shared" si="67"/>
        <v>-0.014264070063929607</v>
      </c>
      <c r="E2101" s="8">
        <v>-0.00776808330987895</v>
      </c>
      <c r="F2101" s="9"/>
      <c r="G2101" s="9">
        <v>2098.0</v>
      </c>
      <c r="H2101" s="10">
        <f t="shared" si="68"/>
        <v>0.001040215201122492</v>
      </c>
      <c r="K2101" s="7"/>
    </row>
    <row r="2102" spans="8:8">
      <c r="B2102" s="7">
        <v>43253.0</v>
      </c>
      <c r="C2102" s="8">
        <v>1353.05</v>
      </c>
      <c r="D2102" s="8">
        <f t="shared" si="67"/>
        <v>-0.007773255600777425</v>
      </c>
      <c r="E2102" s="8">
        <v>-0.007787762088147119</v>
      </c>
      <c r="F2102" s="9"/>
      <c r="G2102" s="9">
        <v>2099.0</v>
      </c>
      <c r="H2102" s="10">
        <f t="shared" si="68"/>
        <v>0.0012301391030064288</v>
      </c>
      <c r="K2102" s="7"/>
    </row>
    <row r="2103" spans="8:8">
      <c r="B2103" s="7">
        <v>43222.0</v>
      </c>
      <c r="C2103" s="8">
        <v>1363.65</v>
      </c>
      <c r="D2103" s="8">
        <f t="shared" si="67"/>
        <v>-0.03659613550460981</v>
      </c>
      <c r="E2103" s="8">
        <v>-0.007791107974594188</v>
      </c>
      <c r="F2103" s="9"/>
      <c r="G2103" s="9">
        <v>2100.0</v>
      </c>
      <c r="H2103" s="10">
        <f t="shared" si="68"/>
        <v>0.019896402471846715</v>
      </c>
      <c r="K2103" s="7"/>
    </row>
    <row r="2104" spans="8:8">
      <c r="B2104" s="7">
        <v>43133.0</v>
      </c>
      <c r="C2104" s="8">
        <v>1415.45</v>
      </c>
      <c r="D2104" s="8">
        <f t="shared" si="67"/>
        <v>-0.02758312723275616</v>
      </c>
      <c r="E2104" s="8">
        <v>-0.0078047336026564945</v>
      </c>
      <c r="F2104" s="9"/>
      <c r="G2104" s="9">
        <v>2101.0</v>
      </c>
      <c r="H2104" s="10">
        <f t="shared" si="68"/>
        <v>0.01956402272948225</v>
      </c>
      <c r="K2104" s="7"/>
    </row>
    <row r="2105" spans="8:8">
      <c r="B2105" s="7">
        <v>43102.0</v>
      </c>
      <c r="C2105" s="8">
        <v>1455.6</v>
      </c>
      <c r="D2105" s="8">
        <f t="shared" si="67"/>
        <v>0.027603247440875334</v>
      </c>
      <c r="E2105" s="8">
        <v>-0.007814883878623557</v>
      </c>
      <c r="F2105" s="9"/>
      <c r="G2105" s="9">
        <v>2102.0</v>
      </c>
      <c r="H2105" s="10">
        <f t="shared" si="68"/>
        <v>-0.001001182751067176</v>
      </c>
      <c r="K2105" s="7"/>
    </row>
    <row r="2106" spans="8:8">
      <c r="B2106" s="7" t="s">
        <v>9863</v>
      </c>
      <c r="C2106" s="8">
        <v>1416.5</v>
      </c>
      <c r="D2106" s="8">
        <f t="shared" si="67"/>
        <v>-0.009371284705224204</v>
      </c>
      <c r="E2106" s="8">
        <v>-0.007866315162853984</v>
      </c>
      <c r="F2106" s="9"/>
      <c r="G2106" s="9">
        <v>2103.0</v>
      </c>
      <c r="H2106" s="10">
        <f t="shared" si="68"/>
        <v>0.018657938507885937</v>
      </c>
      <c r="K2106" s="7"/>
    </row>
    <row r="2107" spans="8:8">
      <c r="B2107" s="7" t="s">
        <v>9864</v>
      </c>
      <c r="C2107" s="8">
        <v>1429.9</v>
      </c>
      <c r="D2107" s="8">
        <f t="shared" si="67"/>
        <v>-0.001431614232340483</v>
      </c>
      <c r="E2107" s="8">
        <v>-0.007877806468554422</v>
      </c>
      <c r="F2107" s="9"/>
      <c r="G2107" s="9">
        <v>2104.0</v>
      </c>
      <c r="H2107" s="10">
        <f t="shared" si="68"/>
        <v>-0.004385047624716933</v>
      </c>
      <c r="K2107" s="7"/>
    </row>
    <row r="2108" spans="8:8">
      <c r="B2108" s="7" t="s">
        <v>9865</v>
      </c>
      <c r="C2108" s="8">
        <v>1431.95</v>
      </c>
      <c r="D2108" s="8">
        <f t="shared" si="67"/>
        <v>0.010907165548888136</v>
      </c>
      <c r="E2108" s="8">
        <v>-0.007915567282322004</v>
      </c>
      <c r="F2108" s="9"/>
      <c r="G2108" s="9">
        <v>2105.0</v>
      </c>
      <c r="H2108" s="10">
        <f t="shared" si="68"/>
        <v>0.0032899169607445967</v>
      </c>
      <c r="K2108" s="7"/>
    </row>
    <row r="2109" spans="8:8">
      <c r="B2109" s="7" t="s">
        <v>9866</v>
      </c>
      <c r="C2109" s="8">
        <v>1416.5</v>
      </c>
      <c r="D2109" s="8">
        <f t="shared" si="67"/>
        <v>0.0109192121039109</v>
      </c>
      <c r="E2109" s="8">
        <v>-0.00792187809448363</v>
      </c>
      <c r="F2109" s="9"/>
      <c r="G2109" s="9">
        <v>2106.0</v>
      </c>
      <c r="H2109" s="10">
        <f t="shared" si="68"/>
        <v>-0.004059679171178599</v>
      </c>
      <c r="K2109" s="7"/>
    </row>
    <row r="2110" spans="8:8">
      <c r="B2110" s="7" t="s">
        <v>9867</v>
      </c>
      <c r="C2110" s="8">
        <v>1401.2</v>
      </c>
      <c r="D2110" s="8">
        <f t="shared" si="67"/>
        <v>-0.006734245410080102</v>
      </c>
      <c r="E2110" s="8">
        <v>-0.007936854040381936</v>
      </c>
      <c r="F2110" s="9"/>
      <c r="G2110" s="9">
        <v>2107.0</v>
      </c>
      <c r="H2110" s="10">
        <f t="shared" si="68"/>
        <v>0.01702499919616209</v>
      </c>
      <c r="K2110" s="7"/>
    </row>
    <row r="2111" spans="8:8">
      <c r="B2111" s="7" t="s">
        <v>9868</v>
      </c>
      <c r="C2111" s="8">
        <v>1410.7</v>
      </c>
      <c r="D2111" s="8">
        <f t="shared" si="67"/>
        <v>0.00847124423633709</v>
      </c>
      <c r="E2111" s="8">
        <v>-0.007962282191193713</v>
      </c>
      <c r="F2111" s="9"/>
      <c r="G2111" s="9">
        <v>2108.0</v>
      </c>
      <c r="H2111" s="10">
        <f t="shared" si="68"/>
        <v>-0.01080012131420673</v>
      </c>
      <c r="K2111" s="7"/>
    </row>
    <row r="2112" spans="8:8">
      <c r="B2112" s="7" t="s">
        <v>9869</v>
      </c>
      <c r="C2112" s="8">
        <v>1398.85</v>
      </c>
      <c r="D2112" s="8">
        <f t="shared" si="67"/>
        <v>0.01997885449706505</v>
      </c>
      <c r="E2112" s="8">
        <v>-0.007986157327299348</v>
      </c>
      <c r="F2112" s="9"/>
      <c r="G2112" s="9">
        <v>2109.0</v>
      </c>
      <c r="H2112" s="10">
        <f t="shared" si="68"/>
        <v>-0.0059791936867362025</v>
      </c>
      <c r="K2112" s="7"/>
    </row>
    <row r="2113" spans="8:8">
      <c r="B2113" s="7" t="s">
        <v>9870</v>
      </c>
      <c r="C2113" s="8">
        <v>1371.45</v>
      </c>
      <c r="D2113" s="8">
        <f t="shared" si="67"/>
        <v>0.00782627865961206</v>
      </c>
      <c r="E2113" s="8">
        <v>-0.00799779371207952</v>
      </c>
      <c r="F2113" s="9"/>
      <c r="G2113" s="9">
        <v>2110.0</v>
      </c>
      <c r="H2113" s="10">
        <f t="shared" si="68"/>
        <v>0.020994116164330175</v>
      </c>
      <c r="K2113" s="7"/>
    </row>
    <row r="2114" spans="8:8">
      <c r="B2114" s="7" t="s">
        <v>9871</v>
      </c>
      <c r="C2114" s="8">
        <v>1360.8</v>
      </c>
      <c r="D2114" s="8">
        <f t="shared" si="67"/>
        <v>0.0055048583145528105</v>
      </c>
      <c r="E2114" s="8">
        <v>-0.008026708339252703</v>
      </c>
      <c r="F2114" s="9"/>
      <c r="G2114" s="9">
        <v>2111.0</v>
      </c>
      <c r="H2114" s="10">
        <f t="shared" si="68"/>
        <v>0.002275358937112717</v>
      </c>
      <c r="K2114" s="7"/>
    </row>
    <row r="2115" spans="8:8">
      <c r="B2115" s="7" t="s">
        <v>9872</v>
      </c>
      <c r="C2115" s="8">
        <v>1353.35</v>
      </c>
      <c r="D2115" s="8">
        <f t="shared" si="67"/>
        <v>0.020472025335545062</v>
      </c>
      <c r="E2115" s="8">
        <v>-0.008031189083820627</v>
      </c>
      <c r="F2115" s="9"/>
      <c r="G2115" s="9">
        <v>2112.0</v>
      </c>
      <c r="H2115" s="10">
        <f t="shared" si="68"/>
        <v>0.001078038957757232</v>
      </c>
      <c r="K2115" s="7"/>
    </row>
    <row r="2116" spans="8:8">
      <c r="B2116" s="7" t="s">
        <v>9873</v>
      </c>
      <c r="C2116" s="8">
        <v>1326.2</v>
      </c>
      <c r="D2116" s="8">
        <f t="shared" si="69" ref="D2116:D2179">(C2116-C2117)/C2117</f>
        <v>1.885440627474641E-4</v>
      </c>
      <c r="E2116" s="8">
        <v>-0.008051658163265415</v>
      </c>
      <c r="F2116" s="9"/>
      <c r="G2116" s="9">
        <v>2113.0</v>
      </c>
      <c r="H2116" s="10">
        <f t="shared" si="68"/>
        <v>-0.010584346421177105</v>
      </c>
      <c r="K2116" s="7"/>
    </row>
    <row r="2117" spans="8:8">
      <c r="B2117" s="7" t="s">
        <v>9874</v>
      </c>
      <c r="C2117" s="8">
        <v>1325.95</v>
      </c>
      <c r="D2117" s="8">
        <f t="shared" si="69"/>
        <v>-0.0024075536997329463</v>
      </c>
      <c r="E2117" s="8">
        <v>-0.008057018903006008</v>
      </c>
      <c r="F2117" s="9"/>
      <c r="G2117" s="9">
        <v>2114.0</v>
      </c>
      <c r="H2117" s="10">
        <f t="shared" si="70" ref="H2117:H2180">_xlfn.NORM.INV(RAND(),N$6,N$7)</f>
        <v>-0.006128967645402192</v>
      </c>
      <c r="K2117" s="7"/>
    </row>
    <row r="2118" spans="8:8">
      <c r="B2118" s="7">
        <v>43435.0</v>
      </c>
      <c r="C2118" s="8">
        <v>1329.15</v>
      </c>
      <c r="D2118" s="8">
        <f t="shared" si="69"/>
        <v>0.0042310452948510725</v>
      </c>
      <c r="E2118" s="8">
        <v>-0.008066227977074835</v>
      </c>
      <c r="F2118" s="9"/>
      <c r="G2118" s="9">
        <v>2115.0</v>
      </c>
      <c r="H2118" s="10">
        <f t="shared" si="70"/>
        <v>0.006599282464813928</v>
      </c>
      <c r="K2118" s="7"/>
    </row>
    <row r="2119" spans="8:8">
      <c r="B2119" s="7">
        <v>43405.0</v>
      </c>
      <c r="C2119" s="8">
        <v>1323.55</v>
      </c>
      <c r="D2119" s="8">
        <f t="shared" si="69"/>
        <v>-1.5108593012279166E-4</v>
      </c>
      <c r="E2119" s="8">
        <v>-0.008137745286648746</v>
      </c>
      <c r="F2119" s="9"/>
      <c r="G2119" s="9">
        <v>2116.0</v>
      </c>
      <c r="H2119" s="10">
        <f t="shared" si="70"/>
        <v>0.010521612269674479</v>
      </c>
      <c r="K2119" s="7"/>
    </row>
    <row r="2120" spans="8:8">
      <c r="B2120" s="7">
        <v>43374.0</v>
      </c>
      <c r="C2120" s="8">
        <v>1323.75</v>
      </c>
      <c r="D2120" s="8">
        <f t="shared" si="69"/>
        <v>-0.006752954417557681</v>
      </c>
      <c r="E2120" s="8">
        <v>-0.008141365244325648</v>
      </c>
      <c r="F2120" s="9"/>
      <c r="G2120" s="9">
        <v>2117.0</v>
      </c>
      <c r="H2120" s="10">
        <f t="shared" si="70"/>
        <v>0.022126357044016127</v>
      </c>
      <c r="K2120" s="7"/>
    </row>
    <row r="2121" spans="8:8">
      <c r="B2121" s="7">
        <v>43344.0</v>
      </c>
      <c r="C2121" s="8">
        <v>1332.75</v>
      </c>
      <c r="D2121" s="8">
        <f t="shared" si="69"/>
        <v>-0.004109844946758827</v>
      </c>
      <c r="E2121" s="8">
        <v>-0.008149228066240412</v>
      </c>
      <c r="F2121" s="9"/>
      <c r="G2121" s="9">
        <v>2118.0</v>
      </c>
      <c r="H2121" s="10">
        <f t="shared" si="70"/>
        <v>0.010812520632809106</v>
      </c>
      <c r="K2121" s="7"/>
    </row>
    <row r="2122" spans="8:8">
      <c r="B2122" s="7">
        <v>43313.0</v>
      </c>
      <c r="C2122" s="8">
        <v>1338.25</v>
      </c>
      <c r="D2122" s="8">
        <f t="shared" si="69"/>
        <v>0.017758004410981753</v>
      </c>
      <c r="E2122" s="8">
        <v>-0.008161343482696275</v>
      </c>
      <c r="F2122" s="9"/>
      <c r="G2122" s="9">
        <v>2119.0</v>
      </c>
      <c r="H2122" s="10">
        <f t="shared" si="70"/>
        <v>-0.009181721204394575</v>
      </c>
      <c r="K2122" s="7"/>
    </row>
    <row r="2123" spans="8:8">
      <c r="B2123" s="7">
        <v>43221.0</v>
      </c>
      <c r="C2123" s="8">
        <v>1314.9</v>
      </c>
      <c r="D2123" s="8">
        <f t="shared" si="69"/>
        <v>-6.080413468115486E-4</v>
      </c>
      <c r="E2123" s="8">
        <v>-0.008165002708768637</v>
      </c>
      <c r="F2123" s="9"/>
      <c r="G2123" s="9">
        <v>2120.0</v>
      </c>
      <c r="H2123" s="10">
        <f t="shared" si="70"/>
        <v>-0.0037437851253164893</v>
      </c>
      <c r="K2123" s="7"/>
    </row>
    <row r="2124" spans="8:8">
      <c r="B2124" s="7">
        <v>43191.0</v>
      </c>
      <c r="C2124" s="8">
        <v>1315.7</v>
      </c>
      <c r="D2124" s="8">
        <f t="shared" si="69"/>
        <v>0.03167882066964643</v>
      </c>
      <c r="E2124" s="8">
        <v>-0.008165083135391923</v>
      </c>
      <c r="F2124" s="9"/>
      <c r="G2124" s="9">
        <v>2121.0</v>
      </c>
      <c r="H2124" s="10">
        <f t="shared" si="70"/>
        <v>-0.005564981210679142</v>
      </c>
      <c r="K2124" s="7"/>
    </row>
    <row r="2125" spans="8:8">
      <c r="B2125" s="7">
        <v>43160.0</v>
      </c>
      <c r="C2125" s="8">
        <v>1275.3</v>
      </c>
      <c r="D2125" s="8">
        <f t="shared" si="69"/>
        <v>0.020444088817763516</v>
      </c>
      <c r="E2125" s="8">
        <v>-0.008192907571864949</v>
      </c>
      <c r="F2125" s="9"/>
      <c r="G2125" s="9">
        <v>2122.0</v>
      </c>
      <c r="H2125" s="10">
        <f t="shared" si="70"/>
        <v>0.013623003787400691</v>
      </c>
      <c r="K2125" s="7"/>
    </row>
    <row r="2126" spans="8:8">
      <c r="B2126" s="7">
        <v>43132.0</v>
      </c>
      <c r="C2126" s="8">
        <v>1249.75</v>
      </c>
      <c r="D2126" s="8">
        <f t="shared" si="69"/>
        <v>-0.008685650828904613</v>
      </c>
      <c r="E2126" s="8">
        <v>-0.008235148972919567</v>
      </c>
      <c r="F2126" s="9"/>
      <c r="G2126" s="9">
        <v>2123.0</v>
      </c>
      <c r="H2126" s="10">
        <f t="shared" si="70"/>
        <v>-0.002750569522520294</v>
      </c>
      <c r="K2126" s="7"/>
    </row>
    <row r="2127" spans="8:8">
      <c r="B2127" s="7">
        <v>43101.0</v>
      </c>
      <c r="C2127" s="8">
        <v>1260.7</v>
      </c>
      <c r="D2127" s="8">
        <f t="shared" si="69"/>
        <v>0.0019471488178025396</v>
      </c>
      <c r="E2127" s="8">
        <v>-0.008240343347639408</v>
      </c>
      <c r="F2127" s="9"/>
      <c r="G2127" s="9">
        <v>2124.0</v>
      </c>
      <c r="H2127" s="10">
        <f t="shared" si="70"/>
        <v>0.02220538030284046</v>
      </c>
      <c r="K2127" s="7"/>
    </row>
    <row r="2128" spans="8:8">
      <c r="B2128" s="7" t="s">
        <v>9875</v>
      </c>
      <c r="C2128" s="8">
        <v>1258.25</v>
      </c>
      <c r="D2128" s="8">
        <f t="shared" si="69"/>
        <v>0.004390341249251646</v>
      </c>
      <c r="E2128" s="8">
        <v>-0.008249533329318989</v>
      </c>
      <c r="F2128" s="9"/>
      <c r="G2128" s="9">
        <v>2125.0</v>
      </c>
      <c r="H2128" s="10">
        <f t="shared" si="70"/>
        <v>-0.014865223547690595</v>
      </c>
      <c r="K2128" s="7"/>
    </row>
    <row r="2129" spans="8:8">
      <c r="B2129" s="7" t="s">
        <v>9876</v>
      </c>
      <c r="C2129" s="8">
        <v>1252.75</v>
      </c>
      <c r="D2129" s="8">
        <f t="shared" si="69"/>
        <v>-0.004054537504471844</v>
      </c>
      <c r="E2129" s="8">
        <v>-0.008261508519680553</v>
      </c>
      <c r="F2129" s="9"/>
      <c r="G2129" s="9">
        <v>2126.0</v>
      </c>
      <c r="H2129" s="10">
        <f t="shared" si="70"/>
        <v>-0.005008916877755318</v>
      </c>
      <c r="K2129" s="7"/>
    </row>
    <row r="2130" spans="8:8">
      <c r="B2130" s="7" t="s">
        <v>9877</v>
      </c>
      <c r="C2130" s="8">
        <v>1257.85</v>
      </c>
      <c r="D2130" s="8">
        <f t="shared" si="69"/>
        <v>-0.009332913286603241</v>
      </c>
      <c r="E2130" s="8">
        <v>-0.00827960637936888</v>
      </c>
      <c r="F2130" s="9"/>
      <c r="G2130" s="9">
        <v>2127.0</v>
      </c>
      <c r="H2130" s="10">
        <f t="shared" si="70"/>
        <v>-0.0015466293816995425</v>
      </c>
      <c r="K2130" s="7"/>
    </row>
    <row r="2131" spans="8:8">
      <c r="B2131" s="7" t="s">
        <v>9878</v>
      </c>
      <c r="C2131" s="8">
        <v>1269.7</v>
      </c>
      <c r="D2131" s="8">
        <f t="shared" si="69"/>
        <v>0.0028037752241045328</v>
      </c>
      <c r="E2131" s="8">
        <v>-0.008319467554076539</v>
      </c>
      <c r="F2131" s="9"/>
      <c r="G2131" s="9">
        <v>2128.0</v>
      </c>
      <c r="H2131" s="10">
        <f t="shared" si="70"/>
        <v>-0.017336779965759923</v>
      </c>
      <c r="K2131" s="7"/>
    </row>
    <row r="2132" spans="8:8">
      <c r="B2132" s="7" t="s">
        <v>9879</v>
      </c>
      <c r="C2132" s="8">
        <v>1266.15</v>
      </c>
      <c r="D2132" s="8">
        <f t="shared" si="69"/>
        <v>0.0058388941849381445</v>
      </c>
      <c r="E2132" s="8">
        <v>-0.008321180406622605</v>
      </c>
      <c r="F2132" s="9"/>
      <c r="G2132" s="9">
        <v>2129.0</v>
      </c>
      <c r="H2132" s="10">
        <f t="shared" si="70"/>
        <v>0.001188739839850299</v>
      </c>
      <c r="K2132" s="7"/>
    </row>
    <row r="2133" spans="8:8">
      <c r="B2133" s="7" t="s">
        <v>9880</v>
      </c>
      <c r="C2133" s="8">
        <v>1258.8</v>
      </c>
      <c r="D2133" s="8">
        <f t="shared" si="69"/>
        <v>0.02133874239350909</v>
      </c>
      <c r="E2133" s="8">
        <v>-0.008324803821221458</v>
      </c>
      <c r="F2133" s="9"/>
      <c r="G2133" s="9">
        <v>2130.0</v>
      </c>
      <c r="H2133" s="10">
        <f t="shared" si="70"/>
        <v>0.030256208447647533</v>
      </c>
      <c r="K2133" s="7"/>
    </row>
    <row r="2134" spans="8:8">
      <c r="B2134" s="7" t="s">
        <v>9881</v>
      </c>
      <c r="C2134" s="8">
        <v>1232.5</v>
      </c>
      <c r="D2134" s="8">
        <f t="shared" si="69"/>
        <v>0.010328715468480947</v>
      </c>
      <c r="E2134" s="8">
        <v>-0.0083447695781132</v>
      </c>
      <c r="F2134" s="9"/>
      <c r="G2134" s="9">
        <v>2131.0</v>
      </c>
      <c r="H2134" s="10">
        <f t="shared" si="70"/>
        <v>0.007946745441093844</v>
      </c>
      <c r="K2134" s="7"/>
    </row>
    <row r="2135" spans="8:8">
      <c r="B2135" s="7" t="s">
        <v>9882</v>
      </c>
      <c r="C2135" s="8">
        <v>1219.9</v>
      </c>
      <c r="D2135" s="8">
        <f t="shared" si="69"/>
        <v>0.0016421709499958945</v>
      </c>
      <c r="E2135" s="8">
        <v>-0.008363286949713512</v>
      </c>
      <c r="F2135" s="9"/>
      <c r="G2135" s="9">
        <v>2132.0</v>
      </c>
      <c r="H2135" s="10">
        <f t="shared" si="70"/>
        <v>0.016756773303451024</v>
      </c>
      <c r="K2135" s="7"/>
    </row>
    <row r="2136" spans="8:8">
      <c r="B2136" s="7" t="s">
        <v>9883</v>
      </c>
      <c r="C2136" s="8">
        <v>1217.9</v>
      </c>
      <c r="D2136" s="8">
        <f t="shared" si="69"/>
        <v>0.01192306094470536</v>
      </c>
      <c r="E2136" s="8">
        <v>-0.008366568406450572</v>
      </c>
      <c r="F2136" s="9"/>
      <c r="G2136" s="9">
        <v>2133.0</v>
      </c>
      <c r="H2136" s="10">
        <f t="shared" si="70"/>
        <v>-0.0034471197589061482</v>
      </c>
      <c r="K2136" s="7"/>
    </row>
    <row r="2137" spans="8:8">
      <c r="B2137" s="7" t="s">
        <v>9884</v>
      </c>
      <c r="C2137" s="8">
        <v>1203.55</v>
      </c>
      <c r="D2137" s="8">
        <f t="shared" si="69"/>
        <v>0.012407469717362046</v>
      </c>
      <c r="E2137" s="8">
        <v>-0.008375209380234505</v>
      </c>
      <c r="F2137" s="9"/>
      <c r="G2137" s="9">
        <v>2134.0</v>
      </c>
      <c r="H2137" s="10">
        <f t="shared" si="70"/>
        <v>0.005199250267728784</v>
      </c>
      <c r="K2137" s="7"/>
    </row>
    <row r="2138" spans="8:8">
      <c r="B2138" s="7" t="s">
        <v>9885</v>
      </c>
      <c r="C2138" s="8">
        <v>1188.8</v>
      </c>
      <c r="D2138" s="8">
        <f t="shared" si="69"/>
        <v>-3.783897414337149E-4</v>
      </c>
      <c r="E2138" s="8">
        <v>-0.00838986661423012</v>
      </c>
      <c r="F2138" s="9"/>
      <c r="G2138" s="9">
        <v>2135.0</v>
      </c>
      <c r="H2138" s="10">
        <f t="shared" si="70"/>
        <v>0.0028083796980799564</v>
      </c>
      <c r="K2138" s="7"/>
    </row>
    <row r="2139" spans="8:8">
      <c r="B2139" s="7" t="s">
        <v>9886</v>
      </c>
      <c r="C2139" s="8">
        <v>1189.25</v>
      </c>
      <c r="D2139" s="8">
        <f t="shared" si="69"/>
        <v>-0.011347576689666714</v>
      </c>
      <c r="E2139" s="8">
        <v>-0.008396391152502883</v>
      </c>
      <c r="F2139" s="9"/>
      <c r="G2139" s="9">
        <v>2136.0</v>
      </c>
      <c r="H2139" s="10">
        <f t="shared" si="70"/>
        <v>0.00893141482679026</v>
      </c>
      <c r="K2139" s="7"/>
    </row>
    <row r="2140" spans="8:8">
      <c r="B2140" s="7">
        <v>43081.0</v>
      </c>
      <c r="C2140" s="8">
        <v>1202.9</v>
      </c>
      <c r="D2140" s="8">
        <f t="shared" si="69"/>
        <v>-0.015509268731840912</v>
      </c>
      <c r="E2140" s="8">
        <v>-0.008407146074162979</v>
      </c>
      <c r="F2140" s="9"/>
      <c r="G2140" s="9">
        <v>2137.0</v>
      </c>
      <c r="H2140" s="10">
        <f t="shared" si="70"/>
        <v>0.00750956403600176</v>
      </c>
      <c r="K2140" s="7"/>
    </row>
    <row r="2141" spans="8:8">
      <c r="B2141" s="7">
        <v>43051.0</v>
      </c>
      <c r="C2141" s="8">
        <v>1221.85</v>
      </c>
      <c r="D2141" s="8">
        <f t="shared" si="69"/>
        <v>0.0012291555701233253</v>
      </c>
      <c r="E2141" s="8">
        <v>-0.008412626491466518</v>
      </c>
      <c r="F2141" s="9"/>
      <c r="G2141" s="9">
        <v>2138.0</v>
      </c>
      <c r="H2141" s="10">
        <f t="shared" si="70"/>
        <v>0.02202753051456608</v>
      </c>
      <c r="K2141" s="7"/>
    </row>
    <row r="2142" spans="8:8">
      <c r="B2142" s="7">
        <v>42959.0</v>
      </c>
      <c r="C2142" s="8">
        <v>1220.35</v>
      </c>
      <c r="D2142" s="8">
        <f t="shared" si="69"/>
        <v>0.001600459619172536</v>
      </c>
      <c r="E2142" s="8">
        <v>-0.008412764193949516</v>
      </c>
      <c r="F2142" s="9"/>
      <c r="G2142" s="9">
        <v>2139.0</v>
      </c>
      <c r="H2142" s="10">
        <f t="shared" si="70"/>
        <v>-0.013744883538079622</v>
      </c>
      <c r="K2142" s="7"/>
    </row>
    <row r="2143" spans="8:8">
      <c r="B2143" s="7">
        <v>42928.0</v>
      </c>
      <c r="C2143" s="8">
        <v>1218.4</v>
      </c>
      <c r="D2143" s="8">
        <f t="shared" si="69"/>
        <v>0.022791185729276048</v>
      </c>
      <c r="E2143" s="8">
        <v>-0.008440164742734603</v>
      </c>
      <c r="F2143" s="9"/>
      <c r="G2143" s="9">
        <v>2140.0</v>
      </c>
      <c r="H2143" s="10">
        <f t="shared" si="70"/>
        <v>-0.008528099933084003</v>
      </c>
      <c r="K2143" s="7"/>
    </row>
    <row r="2144" spans="8:8">
      <c r="B2144" s="7">
        <v>42898.0</v>
      </c>
      <c r="C2144" s="8">
        <v>1191.25</v>
      </c>
      <c r="D2144" s="8">
        <f t="shared" si="69"/>
        <v>-0.015414497065873287</v>
      </c>
      <c r="E2144" s="8">
        <v>-0.008447891866984103</v>
      </c>
      <c r="F2144" s="9"/>
      <c r="G2144" s="9">
        <v>2141.0</v>
      </c>
      <c r="H2144" s="10">
        <f t="shared" si="70"/>
        <v>0.006309139792969814</v>
      </c>
      <c r="K2144" s="7"/>
    </row>
    <row r="2145" spans="8:8">
      <c r="B2145" s="7">
        <v>42867.0</v>
      </c>
      <c r="C2145" s="8">
        <v>1209.9</v>
      </c>
      <c r="D2145" s="8">
        <f t="shared" si="69"/>
        <v>-0.006242299794661116</v>
      </c>
      <c r="E2145" s="8">
        <v>-0.008448759088508949</v>
      </c>
      <c r="F2145" s="9"/>
      <c r="G2145" s="9">
        <v>2142.0</v>
      </c>
      <c r="H2145" s="10">
        <f t="shared" si="70"/>
        <v>0.02667258924732735</v>
      </c>
      <c r="K2145" s="7"/>
    </row>
    <row r="2146" spans="8:8">
      <c r="B2146" s="7">
        <v>42837.0</v>
      </c>
      <c r="C2146" s="8">
        <v>1217.5</v>
      </c>
      <c r="D2146" s="8">
        <f t="shared" si="69"/>
        <v>0.0048281269343456515</v>
      </c>
      <c r="E2146" s="8">
        <v>-0.008449581506576253</v>
      </c>
      <c r="F2146" s="9"/>
      <c r="G2146" s="9">
        <v>2143.0</v>
      </c>
      <c r="H2146" s="10">
        <f t="shared" si="70"/>
        <v>-0.015530802088119487</v>
      </c>
      <c r="K2146" s="7"/>
    </row>
    <row r="2147" spans="8:8">
      <c r="B2147" s="7">
        <v>42747.0</v>
      </c>
      <c r="C2147" s="8">
        <v>1211.65</v>
      </c>
      <c r="D2147" s="8">
        <f t="shared" si="69"/>
        <v>-0.004027783486087595</v>
      </c>
      <c r="E2147" s="8">
        <v>-0.008506870325569656</v>
      </c>
      <c r="F2147" s="9"/>
      <c r="G2147" s="9">
        <v>2144.0</v>
      </c>
      <c r="H2147" s="10">
        <f t="shared" si="70"/>
        <v>0.02191494970906468</v>
      </c>
      <c r="K2147" s="7"/>
    </row>
    <row r="2148" spans="8:8">
      <c r="B2148" s="7" t="s">
        <v>9887</v>
      </c>
      <c r="C2148" s="8">
        <v>1216.55</v>
      </c>
      <c r="D2148" s="8">
        <f t="shared" si="69"/>
        <v>-0.0010674549410846612</v>
      </c>
      <c r="E2148" s="8">
        <v>-0.008518057285180528</v>
      </c>
      <c r="F2148" s="9"/>
      <c r="G2148" s="9">
        <v>2145.0</v>
      </c>
      <c r="H2148" s="10">
        <f t="shared" si="70"/>
        <v>-0.014723075305787033</v>
      </c>
      <c r="K2148" s="7"/>
    </row>
    <row r="2149" spans="8:8">
      <c r="B2149" s="7" t="s">
        <v>9888</v>
      </c>
      <c r="C2149" s="8">
        <v>1217.85</v>
      </c>
      <c r="D2149" s="8">
        <f t="shared" si="69"/>
        <v>0.005075513741024894</v>
      </c>
      <c r="E2149" s="8">
        <v>-0.00852192362093349</v>
      </c>
      <c r="F2149" s="9"/>
      <c r="G2149" s="9">
        <v>2146.0</v>
      </c>
      <c r="H2149" s="10">
        <f t="shared" si="70"/>
        <v>-0.0027254404525303153</v>
      </c>
      <c r="K2149" s="7"/>
    </row>
    <row r="2150" spans="8:8">
      <c r="B2150" s="7" t="s">
        <v>9889</v>
      </c>
      <c r="C2150" s="8">
        <v>1211.7</v>
      </c>
      <c r="D2150" s="8">
        <f t="shared" si="69"/>
        <v>-0.010655235762400453</v>
      </c>
      <c r="E2150" s="8">
        <v>-0.008523073176671132</v>
      </c>
      <c r="F2150" s="9"/>
      <c r="G2150" s="9">
        <v>2147.0</v>
      </c>
      <c r="H2150" s="10">
        <f t="shared" si="70"/>
        <v>0.018989207663216615</v>
      </c>
      <c r="K2150" s="7"/>
    </row>
    <row r="2151" spans="8:8">
      <c r="B2151" s="7" t="s">
        <v>9890</v>
      </c>
      <c r="C2151" s="8">
        <v>1224.75</v>
      </c>
      <c r="D2151" s="8">
        <f t="shared" si="69"/>
        <v>0.0051292572835453425</v>
      </c>
      <c r="E2151" s="8">
        <v>-0.008535417996171123</v>
      </c>
      <c r="F2151" s="9"/>
      <c r="G2151" s="9">
        <v>2148.0</v>
      </c>
      <c r="H2151" s="10">
        <f t="shared" si="70"/>
        <v>0.022620634815317238</v>
      </c>
      <c r="K2151" s="7"/>
    </row>
    <row r="2152" spans="8:8">
      <c r="B2152" s="7" t="s">
        <v>9891</v>
      </c>
      <c r="C2152" s="8">
        <v>1218.5</v>
      </c>
      <c r="D2152" s="8">
        <f t="shared" si="69"/>
        <v>0.0020971257041818778</v>
      </c>
      <c r="E2152" s="8">
        <v>-0.008571379197124347</v>
      </c>
      <c r="F2152" s="9"/>
      <c r="G2152" s="9">
        <v>2149.0</v>
      </c>
      <c r="H2152" s="10">
        <f t="shared" si="70"/>
        <v>-0.01445928743531322</v>
      </c>
      <c r="K2152" s="7"/>
    </row>
    <row r="2153" spans="8:8">
      <c r="B2153" s="7" t="s">
        <v>9892</v>
      </c>
      <c r="C2153" s="8">
        <v>1215.95</v>
      </c>
      <c r="D2153" s="8">
        <f t="shared" si="69"/>
        <v>-0.00552056923202748</v>
      </c>
      <c r="E2153" s="8">
        <v>-0.008582187582100168</v>
      </c>
      <c r="F2153" s="9"/>
      <c r="G2153" s="9">
        <v>2150.0</v>
      </c>
      <c r="H2153" s="10">
        <f t="shared" si="70"/>
        <v>-0.007839494736990166</v>
      </c>
      <c r="K2153" s="7"/>
    </row>
    <row r="2154" spans="8:8">
      <c r="B2154" s="7" t="s">
        <v>9893</v>
      </c>
      <c r="C2154" s="8">
        <v>1222.7</v>
      </c>
      <c r="D2154" s="8">
        <f t="shared" si="69"/>
        <v>4.08947777368458E-5</v>
      </c>
      <c r="E2154" s="8">
        <v>-0.008621274862534873</v>
      </c>
      <c r="F2154" s="9"/>
      <c r="G2154" s="9">
        <v>2151.0</v>
      </c>
      <c r="H2154" s="10">
        <f t="shared" si="70"/>
        <v>-9.179786034136835E-4</v>
      </c>
      <c r="K2154" s="7"/>
    </row>
    <row r="2155" spans="8:8">
      <c r="B2155" s="7" t="s">
        <v>9894</v>
      </c>
      <c r="C2155" s="8">
        <v>1222.65</v>
      </c>
      <c r="D2155" s="8">
        <f t="shared" si="69"/>
        <v>-0.005813953488371982</v>
      </c>
      <c r="E2155" s="8">
        <v>-0.008634795962037152</v>
      </c>
      <c r="F2155" s="9"/>
      <c r="G2155" s="9">
        <v>2152.0</v>
      </c>
      <c r="H2155" s="10">
        <f t="shared" si="70"/>
        <v>-0.009425474417382475</v>
      </c>
      <c r="K2155" s="7"/>
    </row>
    <row r="2156" spans="8:8">
      <c r="B2156" s="7" t="s">
        <v>9895</v>
      </c>
      <c r="C2156" s="8">
        <v>1229.8</v>
      </c>
      <c r="D2156" s="8">
        <f t="shared" si="69"/>
        <v>0.00572456656853124</v>
      </c>
      <c r="E2156" s="8">
        <v>-0.008640205252037462</v>
      </c>
      <c r="F2156" s="9"/>
      <c r="G2156" s="9">
        <v>2153.0</v>
      </c>
      <c r="H2156" s="10">
        <f t="shared" si="70"/>
        <v>0.02467991015114181</v>
      </c>
      <c r="K2156" s="7"/>
    </row>
    <row r="2157" spans="8:8">
      <c r="B2157" s="7" t="s">
        <v>9896</v>
      </c>
      <c r="C2157" s="8">
        <v>1222.8</v>
      </c>
      <c r="D2157" s="8">
        <f t="shared" si="69"/>
        <v>0.002870499466907242</v>
      </c>
      <c r="E2157" s="8">
        <v>-0.008642108674516582</v>
      </c>
      <c r="F2157" s="9"/>
      <c r="G2157" s="9">
        <v>2154.0</v>
      </c>
      <c r="H2157" s="10">
        <f t="shared" si="70"/>
        <v>-0.0038293836498917355</v>
      </c>
      <c r="K2157" s="7"/>
    </row>
    <row r="2158" spans="8:8">
      <c r="B2158" s="7" t="s">
        <v>9897</v>
      </c>
      <c r="C2158" s="8">
        <v>1219.3</v>
      </c>
      <c r="D2158" s="8">
        <f t="shared" si="69"/>
        <v>0.008102521703183097</v>
      </c>
      <c r="E2158" s="8">
        <v>-0.008645655877342496</v>
      </c>
      <c r="F2158" s="9"/>
      <c r="G2158" s="9">
        <v>2155.0</v>
      </c>
      <c r="H2158" s="10">
        <f t="shared" si="70"/>
        <v>0.03353055803533297</v>
      </c>
      <c r="K2158" s="7"/>
    </row>
    <row r="2159" spans="8:8">
      <c r="B2159" s="7" t="s">
        <v>9898</v>
      </c>
      <c r="C2159" s="8">
        <v>1209.5</v>
      </c>
      <c r="D2159" s="8">
        <f t="shared" si="69"/>
        <v>-5.784167906131594E-4</v>
      </c>
      <c r="E2159" s="8">
        <v>-0.008670520231213872</v>
      </c>
      <c r="F2159" s="9"/>
      <c r="G2159" s="9">
        <v>2156.0</v>
      </c>
      <c r="H2159" s="10">
        <f t="shared" si="70"/>
        <v>0.011682807842076239</v>
      </c>
      <c r="K2159" s="7"/>
    </row>
    <row r="2160" spans="8:8">
      <c r="B2160" s="7" t="s">
        <v>9899</v>
      </c>
      <c r="C2160" s="8">
        <v>1210.2</v>
      </c>
      <c r="D2160" s="8">
        <f t="shared" si="69"/>
        <v>-0.02446495506025546</v>
      </c>
      <c r="E2160" s="8">
        <v>-0.008685222713925307</v>
      </c>
      <c r="F2160" s="9"/>
      <c r="G2160" s="9">
        <v>2157.0</v>
      </c>
      <c r="H2160" s="10">
        <f t="shared" si="70"/>
        <v>-0.007772418416553837</v>
      </c>
      <c r="K2160" s="7"/>
    </row>
    <row r="2161" spans="8:8">
      <c r="B2161" s="7" t="s">
        <v>9900</v>
      </c>
      <c r="C2161" s="8">
        <v>1240.55</v>
      </c>
      <c r="D2161" s="8">
        <f t="shared" si="69"/>
        <v>-0.019289299972330993</v>
      </c>
      <c r="E2161" s="8">
        <v>-0.008688767534866578</v>
      </c>
      <c r="F2161" s="9"/>
      <c r="G2161" s="9">
        <v>2158.0</v>
      </c>
      <c r="H2161" s="10">
        <f t="shared" si="70"/>
        <v>0.001994529952518991</v>
      </c>
      <c r="K2161" s="7"/>
    </row>
    <row r="2162" spans="8:8">
      <c r="B2162" s="7">
        <v>43019.0</v>
      </c>
      <c r="C2162" s="8">
        <v>1264.95</v>
      </c>
      <c r="D2162" s="8">
        <f t="shared" si="69"/>
        <v>0.040340488527016986</v>
      </c>
      <c r="E2162" s="8">
        <v>-0.008694109297374025</v>
      </c>
      <c r="F2162" s="9"/>
      <c r="G2162" s="9">
        <v>2159.0</v>
      </c>
      <c r="H2162" s="10">
        <f t="shared" si="70"/>
        <v>0.011492688688339442</v>
      </c>
      <c r="K2162" s="7"/>
    </row>
    <row r="2163" spans="8:8">
      <c r="B2163" s="7">
        <v>42989.0</v>
      </c>
      <c r="C2163" s="8">
        <v>1215.9</v>
      </c>
      <c r="D2163" s="8">
        <f t="shared" si="69"/>
        <v>-0.001888031521917546</v>
      </c>
      <c r="E2163" s="8">
        <v>-0.00870854178247178</v>
      </c>
      <c r="F2163" s="9"/>
      <c r="G2163" s="9">
        <v>2160.0</v>
      </c>
      <c r="H2163" s="10">
        <f t="shared" si="70"/>
        <v>0.010263248561466454</v>
      </c>
      <c r="K2163" s="7"/>
    </row>
    <row r="2164" spans="8:8">
      <c r="B2164" s="7">
        <v>42958.0</v>
      </c>
      <c r="C2164" s="8">
        <v>1218.2</v>
      </c>
      <c r="D2164" s="8">
        <f t="shared" si="69"/>
        <v>0.00590396763139432</v>
      </c>
      <c r="E2164" s="8">
        <v>-0.008718155788855445</v>
      </c>
      <c r="F2164" s="9"/>
      <c r="G2164" s="9">
        <v>2161.0</v>
      </c>
      <c r="H2164" s="10">
        <f t="shared" si="70"/>
        <v>0.028774042050775564</v>
      </c>
      <c r="K2164" s="7"/>
    </row>
    <row r="2165" spans="8:8">
      <c r="B2165" s="7">
        <v>42927.0</v>
      </c>
      <c r="C2165" s="8">
        <v>1211.05</v>
      </c>
      <c r="D2165" s="8">
        <f t="shared" si="69"/>
        <v>-0.011145586674287654</v>
      </c>
      <c r="E2165" s="8">
        <v>-0.008728252592115203</v>
      </c>
      <c r="F2165" s="9"/>
      <c r="G2165" s="9">
        <v>2162.0</v>
      </c>
      <c r="H2165" s="10">
        <f t="shared" si="70"/>
        <v>-0.002997241012452502</v>
      </c>
      <c r="K2165" s="7"/>
    </row>
    <row r="2166" spans="8:8">
      <c r="B2166" s="7">
        <v>42897.0</v>
      </c>
      <c r="C2166" s="8">
        <v>1224.7</v>
      </c>
      <c r="D2166" s="8">
        <f t="shared" si="69"/>
        <v>-0.008340080971659882</v>
      </c>
      <c r="E2166" s="8">
        <v>-0.008753301911223955</v>
      </c>
      <c r="F2166" s="9"/>
      <c r="G2166" s="9">
        <v>2163.0</v>
      </c>
      <c r="H2166" s="10">
        <f t="shared" si="70"/>
        <v>-0.0034352346941746983</v>
      </c>
      <c r="K2166" s="7"/>
    </row>
    <row r="2167" spans="8:8">
      <c r="B2167" s="7">
        <v>42805.0</v>
      </c>
      <c r="C2167" s="8">
        <v>1235.0</v>
      </c>
      <c r="D2167" s="8">
        <f t="shared" si="69"/>
        <v>0.019860440150295186</v>
      </c>
      <c r="E2167" s="8">
        <v>-0.008793908130680468</v>
      </c>
      <c r="F2167" s="9"/>
      <c r="G2167" s="9">
        <v>2164.0</v>
      </c>
      <c r="H2167" s="10">
        <f t="shared" si="70"/>
        <v>0.001983627026299199</v>
      </c>
      <c r="K2167" s="7"/>
    </row>
    <row r="2168" spans="8:8">
      <c r="B2168" s="7">
        <v>42777.0</v>
      </c>
      <c r="C2168" s="8">
        <v>1210.95</v>
      </c>
      <c r="D2168" s="8">
        <f t="shared" si="69"/>
        <v>-0.0035793631202171556</v>
      </c>
      <c r="E2168" s="8">
        <v>-0.008796444770238613</v>
      </c>
      <c r="F2168" s="9"/>
      <c r="G2168" s="9">
        <v>2165.0</v>
      </c>
      <c r="H2168" s="10">
        <f t="shared" si="70"/>
        <v>-0.0035983655551836587</v>
      </c>
      <c r="K2168" s="7"/>
    </row>
    <row r="2169" spans="8:8">
      <c r="B2169" s="7">
        <v>42746.0</v>
      </c>
      <c r="C2169" s="8">
        <v>1215.3</v>
      </c>
      <c r="D2169" s="8">
        <f t="shared" si="69"/>
        <v>-0.005726908287654422</v>
      </c>
      <c r="E2169" s="8">
        <v>-0.008798370672097723</v>
      </c>
      <c r="F2169" s="9"/>
      <c r="G2169" s="9">
        <v>2166.0</v>
      </c>
      <c r="H2169" s="10">
        <f t="shared" si="70"/>
        <v>-0.025910216777982123</v>
      </c>
      <c r="K2169" s="7"/>
    </row>
    <row r="2170" spans="8:8">
      <c r="B2170" s="7" t="s">
        <v>9901</v>
      </c>
      <c r="C2170" s="8">
        <v>1222.3</v>
      </c>
      <c r="D2170" s="8">
        <f t="shared" si="69"/>
        <v>-0.011843647681798044</v>
      </c>
      <c r="E2170" s="8">
        <v>-0.008801463375838344</v>
      </c>
      <c r="F2170" s="9"/>
      <c r="G2170" s="9">
        <v>2167.0</v>
      </c>
      <c r="H2170" s="10">
        <f t="shared" si="70"/>
        <v>-0.011981714180831857</v>
      </c>
      <c r="K2170" s="7"/>
    </row>
    <row r="2171" spans="8:8">
      <c r="B2171" s="7" t="s">
        <v>9902</v>
      </c>
      <c r="C2171" s="8">
        <v>1236.95</v>
      </c>
      <c r="D2171" s="8">
        <f t="shared" si="69"/>
        <v>0.010043685951088028</v>
      </c>
      <c r="E2171" s="8">
        <v>-0.008829257736420728</v>
      </c>
      <c r="F2171" s="9"/>
      <c r="G2171" s="9">
        <v>2168.0</v>
      </c>
      <c r="H2171" s="10">
        <f t="shared" si="70"/>
        <v>0.016205638134146463</v>
      </c>
      <c r="K2171" s="7"/>
    </row>
    <row r="2172" spans="8:8">
      <c r="B2172" s="7" t="s">
        <v>9903</v>
      </c>
      <c r="C2172" s="8">
        <v>1224.65</v>
      </c>
      <c r="D2172" s="8">
        <f t="shared" si="69"/>
        <v>9.399264405395104E-4</v>
      </c>
      <c r="E2172" s="8">
        <v>-0.00883343644737756</v>
      </c>
      <c r="F2172" s="9"/>
      <c r="G2172" s="9">
        <v>2169.0</v>
      </c>
      <c r="H2172" s="10">
        <f t="shared" si="70"/>
        <v>-0.014004507599322476</v>
      </c>
      <c r="K2172" s="7"/>
    </row>
    <row r="2173" spans="8:8">
      <c r="B2173" s="7" t="s">
        <v>9904</v>
      </c>
      <c r="C2173" s="8">
        <v>1223.5</v>
      </c>
      <c r="D2173" s="8">
        <f t="shared" si="69"/>
        <v>0.016027238000332133</v>
      </c>
      <c r="E2173" s="8">
        <v>-0.008860740893127442</v>
      </c>
      <c r="F2173" s="9"/>
      <c r="G2173" s="9">
        <v>2170.0</v>
      </c>
      <c r="H2173" s="10">
        <f t="shared" si="70"/>
        <v>0.02488823701808312</v>
      </c>
      <c r="K2173" s="7"/>
    </row>
    <row r="2174" spans="8:8">
      <c r="B2174" s="7" t="s">
        <v>9905</v>
      </c>
      <c r="C2174" s="8">
        <v>1204.2</v>
      </c>
      <c r="D2174" s="8">
        <f t="shared" si="69"/>
        <v>0.05395825128003159</v>
      </c>
      <c r="E2174" s="8">
        <v>-0.00887945937450888</v>
      </c>
      <c r="F2174" s="9"/>
      <c r="G2174" s="9">
        <v>2171.0</v>
      </c>
      <c r="H2174" s="10">
        <f t="shared" si="70"/>
        <v>0.010501286029991105</v>
      </c>
      <c r="K2174" s="7"/>
    </row>
    <row r="2175" spans="8:8">
      <c r="B2175" s="7" t="s">
        <v>9906</v>
      </c>
      <c r="C2175" s="8">
        <v>1142.55</v>
      </c>
      <c r="D2175" s="8">
        <f t="shared" si="69"/>
        <v>0.005987233105877133</v>
      </c>
      <c r="E2175" s="8">
        <v>-0.008894433935686365</v>
      </c>
      <c r="F2175" s="9"/>
      <c r="G2175" s="9">
        <v>2172.0</v>
      </c>
      <c r="H2175" s="10">
        <f t="shared" si="70"/>
        <v>-0.001386505285599176</v>
      </c>
      <c r="K2175" s="7"/>
    </row>
    <row r="2176" spans="8:8">
      <c r="B2176" s="7" t="s">
        <v>9907</v>
      </c>
      <c r="C2176" s="8">
        <v>1135.75</v>
      </c>
      <c r="D2176" s="8">
        <f t="shared" si="69"/>
        <v>-0.003509541566132924</v>
      </c>
      <c r="E2176" s="8">
        <v>-0.008918386394275703</v>
      </c>
      <c r="F2176" s="9"/>
      <c r="G2176" s="9">
        <v>2173.0</v>
      </c>
      <c r="H2176" s="10">
        <f t="shared" si="70"/>
        <v>0.024178875262850882</v>
      </c>
      <c r="K2176" s="7"/>
    </row>
    <row r="2177" spans="8:8">
      <c r="B2177" s="7" t="s">
        <v>9908</v>
      </c>
      <c r="C2177" s="8">
        <v>1139.75</v>
      </c>
      <c r="D2177" s="8">
        <f t="shared" si="69"/>
        <v>-0.0014455931312424136</v>
      </c>
      <c r="E2177" s="8">
        <v>-0.008936518674119667</v>
      </c>
      <c r="F2177" s="9"/>
      <c r="G2177" s="9">
        <v>2174.0</v>
      </c>
      <c r="H2177" s="10">
        <f t="shared" si="70"/>
        <v>-0.012584948429057378</v>
      </c>
      <c r="K2177" s="7"/>
    </row>
    <row r="2178" spans="8:8">
      <c r="B2178" s="7" t="s">
        <v>9909</v>
      </c>
      <c r="C2178" s="8">
        <v>1141.4</v>
      </c>
      <c r="D2178" s="8">
        <f t="shared" si="69"/>
        <v>-0.006398258977148996</v>
      </c>
      <c r="E2178" s="8">
        <v>-0.008938351662796341</v>
      </c>
      <c r="F2178" s="9"/>
      <c r="G2178" s="9">
        <v>2175.0</v>
      </c>
      <c r="H2178" s="10">
        <f t="shared" si="70"/>
        <v>0.0020554972321668143</v>
      </c>
      <c r="K2178" s="7"/>
    </row>
    <row r="2179" spans="8:8">
      <c r="B2179" s="7" t="s">
        <v>9910</v>
      </c>
      <c r="C2179" s="8">
        <v>1148.75</v>
      </c>
      <c r="D2179" s="8">
        <f t="shared" si="69"/>
        <v>0.003538044902594526</v>
      </c>
      <c r="E2179" s="8">
        <v>-0.008940481934549995</v>
      </c>
      <c r="F2179" s="9"/>
      <c r="G2179" s="9">
        <v>2176.0</v>
      </c>
      <c r="H2179" s="10">
        <f t="shared" si="70"/>
        <v>0.019939809552408278</v>
      </c>
      <c r="K2179" s="7"/>
    </row>
    <row r="2180" spans="8:8">
      <c r="B2180" s="7" t="s">
        <v>9911</v>
      </c>
      <c r="C2180" s="8">
        <v>1144.7</v>
      </c>
      <c r="D2180" s="8">
        <f t="shared" si="71" ref="D2180:D2243">(C2180-C2181)/C2181</f>
        <v>0.005313309621042422</v>
      </c>
      <c r="E2180" s="8">
        <v>-0.008944514788480806</v>
      </c>
      <c r="F2180" s="9"/>
      <c r="G2180" s="9">
        <v>2177.0</v>
      </c>
      <c r="H2180" s="10">
        <f t="shared" si="70"/>
        <v>0.015859580559592423</v>
      </c>
      <c r="K2180" s="7"/>
    </row>
    <row r="2181" spans="8:8">
      <c r="B2181" s="7" t="s">
        <v>9912</v>
      </c>
      <c r="C2181" s="8">
        <v>1138.65</v>
      </c>
      <c r="D2181" s="8">
        <f t="shared" si="71"/>
        <v>-0.004371966947929873</v>
      </c>
      <c r="E2181" s="8">
        <v>-0.008946322067594551</v>
      </c>
      <c r="F2181" s="9"/>
      <c r="G2181" s="9">
        <v>2178.0</v>
      </c>
      <c r="H2181" s="10">
        <f t="shared" si="72" ref="H2181:H2244">_xlfn.NORM.INV(RAND(),N$6,N$7)</f>
        <v>-0.008661764992244653</v>
      </c>
      <c r="K2181" s="7"/>
    </row>
    <row r="2182" spans="8:8">
      <c r="B2182" s="7">
        <v>43079.0</v>
      </c>
      <c r="C2182" s="8">
        <v>1143.65</v>
      </c>
      <c r="D2182" s="8">
        <f t="shared" si="71"/>
        <v>0.00864311857829535</v>
      </c>
      <c r="E2182" s="8">
        <v>-0.008982597283062575</v>
      </c>
      <c r="F2182" s="9"/>
      <c r="G2182" s="9">
        <v>2179.0</v>
      </c>
      <c r="H2182" s="10">
        <f t="shared" si="72"/>
        <v>0.001228251495453503</v>
      </c>
      <c r="K2182" s="7"/>
    </row>
    <row r="2183" spans="8:8">
      <c r="B2183" s="7">
        <v>43049.0</v>
      </c>
      <c r="C2183" s="8">
        <v>1133.85</v>
      </c>
      <c r="D2183" s="8">
        <f t="shared" si="71"/>
        <v>-0.007744814912050526</v>
      </c>
      <c r="E2183" s="8">
        <v>-0.009021542093503684</v>
      </c>
      <c r="F2183" s="9"/>
      <c r="G2183" s="9">
        <v>2180.0</v>
      </c>
      <c r="H2183" s="10">
        <f t="shared" si="72"/>
        <v>-0.015992453187376444</v>
      </c>
      <c r="K2183" s="7"/>
    </row>
    <row r="2184" spans="8:8">
      <c r="B2184" s="7">
        <v>43018.0</v>
      </c>
      <c r="C2184" s="8">
        <v>1142.7</v>
      </c>
      <c r="D2184" s="8">
        <f t="shared" si="71"/>
        <v>0.001533809544677681</v>
      </c>
      <c r="E2184" s="8">
        <v>-0.009040415977310435</v>
      </c>
      <c r="F2184" s="9"/>
      <c r="G2184" s="9">
        <v>2181.0</v>
      </c>
      <c r="H2184" s="10">
        <f t="shared" si="72"/>
        <v>0.011488749058755996</v>
      </c>
      <c r="K2184" s="7"/>
    </row>
    <row r="2185" spans="8:8">
      <c r="B2185" s="7">
        <v>42988.0</v>
      </c>
      <c r="C2185" s="8">
        <v>1140.95</v>
      </c>
      <c r="D2185" s="8">
        <f t="shared" si="71"/>
        <v>-7.444386057102024E-4</v>
      </c>
      <c r="E2185" s="8">
        <v>-0.009053970497305892</v>
      </c>
      <c r="F2185" s="9"/>
      <c r="G2185" s="9">
        <v>2182.0</v>
      </c>
      <c r="H2185" s="10">
        <f t="shared" si="72"/>
        <v>0.0027397534427266055</v>
      </c>
      <c r="K2185" s="7"/>
    </row>
    <row r="2186" spans="8:8">
      <c r="B2186" s="7">
        <v>42896.0</v>
      </c>
      <c r="C2186" s="8">
        <v>1141.8</v>
      </c>
      <c r="D2186" s="8">
        <f t="shared" si="71"/>
        <v>0.008612693785610177</v>
      </c>
      <c r="E2186" s="8">
        <v>-0.009109187148660219</v>
      </c>
      <c r="F2186" s="9"/>
      <c r="G2186" s="9">
        <v>2183.0</v>
      </c>
      <c r="H2186" s="10">
        <f t="shared" si="72"/>
        <v>-0.001937544708828418</v>
      </c>
      <c r="K2186" s="7"/>
    </row>
    <row r="2187" spans="8:8">
      <c r="B2187" s="7">
        <v>42865.0</v>
      </c>
      <c r="C2187" s="8">
        <v>1132.05</v>
      </c>
      <c r="D2187" s="8">
        <f t="shared" si="71"/>
        <v>-0.005490643942721603</v>
      </c>
      <c r="E2187" s="8">
        <v>-0.00911070364428151</v>
      </c>
      <c r="F2187" s="9"/>
      <c r="G2187" s="9">
        <v>2184.0</v>
      </c>
      <c r="H2187" s="10">
        <f t="shared" si="72"/>
        <v>0.0026235172702010357</v>
      </c>
      <c r="K2187" s="7"/>
    </row>
    <row r="2188" spans="8:8">
      <c r="B2188" s="7">
        <v>42835.0</v>
      </c>
      <c r="C2188" s="8">
        <v>1138.3</v>
      </c>
      <c r="D2188" s="8">
        <f t="shared" si="71"/>
        <v>0.0029958586659616384</v>
      </c>
      <c r="E2188" s="8">
        <v>-0.00911566236533677</v>
      </c>
      <c r="F2188" s="9"/>
      <c r="G2188" s="9">
        <v>2185.0</v>
      </c>
      <c r="H2188" s="10">
        <f t="shared" si="72"/>
        <v>0.014669871675565375</v>
      </c>
      <c r="K2188" s="7"/>
    </row>
    <row r="2189" spans="8:8">
      <c r="B2189" s="7">
        <v>42804.0</v>
      </c>
      <c r="C2189" s="8">
        <v>1134.9</v>
      </c>
      <c r="D2189" s="8">
        <f t="shared" si="71"/>
        <v>-0.006260671599316899</v>
      </c>
      <c r="E2189" s="8">
        <v>-0.00912685769973197</v>
      </c>
      <c r="F2189" s="9"/>
      <c r="G2189" s="9">
        <v>2186.0</v>
      </c>
      <c r="H2189" s="10">
        <f t="shared" si="72"/>
        <v>0.007894544427927513</v>
      </c>
      <c r="K2189" s="7"/>
    </row>
    <row r="2190" spans="8:8">
      <c r="B2190" s="7" t="s">
        <v>9913</v>
      </c>
      <c r="C2190" s="8">
        <v>1142.05</v>
      </c>
      <c r="D2190" s="8">
        <f t="shared" si="71"/>
        <v>0.007676357700622091</v>
      </c>
      <c r="E2190" s="8">
        <v>-0.009142731253270253</v>
      </c>
      <c r="F2190" s="9"/>
      <c r="G2190" s="9">
        <v>2187.0</v>
      </c>
      <c r="H2190" s="10">
        <f t="shared" si="72"/>
        <v>0.009549933660756965</v>
      </c>
      <c r="K2190" s="7"/>
    </row>
    <row r="2191" spans="8:8">
      <c r="B2191" s="7" t="s">
        <v>9914</v>
      </c>
      <c r="C2191" s="8">
        <v>1133.35</v>
      </c>
      <c r="D2191" s="8">
        <f t="shared" si="71"/>
        <v>-0.0033855082659164054</v>
      </c>
      <c r="E2191" s="8">
        <v>-0.009149623250807292</v>
      </c>
      <c r="F2191" s="9"/>
      <c r="G2191" s="9">
        <v>2188.0</v>
      </c>
      <c r="H2191" s="10">
        <f t="shared" si="72"/>
        <v>0.012210475479286307</v>
      </c>
      <c r="K2191" s="7"/>
    </row>
    <row r="2192" spans="8:8">
      <c r="B2192" s="7" t="s">
        <v>9915</v>
      </c>
      <c r="C2192" s="8">
        <v>1137.2</v>
      </c>
      <c r="D2192" s="8">
        <f t="shared" si="71"/>
        <v>-0.022099922607274954</v>
      </c>
      <c r="E2192" s="8">
        <v>-0.009153618745209719</v>
      </c>
      <c r="F2192" s="9"/>
      <c r="G2192" s="9">
        <v>2189.0</v>
      </c>
      <c r="H2192" s="10">
        <f t="shared" si="72"/>
        <v>0.012721241599859386</v>
      </c>
      <c r="K2192" s="7"/>
    </row>
    <row r="2193" spans="8:8">
      <c r="B2193" s="7" t="s">
        <v>9916</v>
      </c>
      <c r="C2193" s="8">
        <v>1162.9</v>
      </c>
      <c r="D2193" s="8">
        <f t="shared" si="71"/>
        <v>-0.001973910058359041</v>
      </c>
      <c r="E2193" s="8">
        <v>-0.009185964083175777</v>
      </c>
      <c r="F2193" s="9"/>
      <c r="G2193" s="9">
        <v>2190.0</v>
      </c>
      <c r="H2193" s="10">
        <f t="shared" si="72"/>
        <v>0.016977417054220022</v>
      </c>
      <c r="K2193" s="7"/>
    </row>
    <row r="2194" spans="8:8">
      <c r="B2194" s="7" t="s">
        <v>9917</v>
      </c>
      <c r="C2194" s="8">
        <v>1165.2</v>
      </c>
      <c r="D2194" s="8">
        <f t="shared" si="71"/>
        <v>-0.016542876434841248</v>
      </c>
      <c r="E2194" s="8">
        <v>-0.009190855680297804</v>
      </c>
      <c r="F2194" s="9"/>
      <c r="G2194" s="9">
        <v>2191.0</v>
      </c>
      <c r="H2194" s="10">
        <f t="shared" si="72"/>
        <v>-0.003855822663322489</v>
      </c>
      <c r="K2194" s="7"/>
    </row>
    <row r="2195" spans="8:8">
      <c r="B2195" s="7" t="s">
        <v>9918</v>
      </c>
      <c r="C2195" s="8">
        <v>1184.8</v>
      </c>
      <c r="D2195" s="8">
        <f t="shared" si="71"/>
        <v>-0.03521843573144416</v>
      </c>
      <c r="E2195" s="8">
        <v>-0.009235610690504424</v>
      </c>
      <c r="F2195" s="9"/>
      <c r="G2195" s="9">
        <v>2192.0</v>
      </c>
      <c r="H2195" s="10">
        <f t="shared" si="72"/>
        <v>0.011925807237678842</v>
      </c>
      <c r="K2195" s="7"/>
    </row>
    <row r="2196" spans="8:8">
      <c r="B2196" s="7" t="s">
        <v>9919</v>
      </c>
      <c r="C2196" s="8">
        <v>1228.05</v>
      </c>
      <c r="D2196" s="8">
        <f t="shared" si="71"/>
        <v>-0.006391844330272334</v>
      </c>
      <c r="E2196" s="8">
        <v>-0.009238506532553361</v>
      </c>
      <c r="F2196" s="9"/>
      <c r="G2196" s="9">
        <v>2193.0</v>
      </c>
      <c r="H2196" s="10">
        <f t="shared" si="72"/>
        <v>-0.01685528182747377</v>
      </c>
      <c r="K2196" s="7"/>
    </row>
    <row r="2197" spans="8:8">
      <c r="B2197" s="7" t="s">
        <v>9920</v>
      </c>
      <c r="C2197" s="8">
        <v>1235.95</v>
      </c>
      <c r="D2197" s="8">
        <f t="shared" si="71"/>
        <v>0.008198058569214416</v>
      </c>
      <c r="E2197" s="8">
        <v>-0.009300067229401692</v>
      </c>
      <c r="F2197" s="9"/>
      <c r="G2197" s="9">
        <v>2194.0</v>
      </c>
      <c r="H2197" s="10">
        <f t="shared" si="72"/>
        <v>-0.014365051754311669</v>
      </c>
      <c r="K2197" s="7"/>
    </row>
    <row r="2198" spans="8:8">
      <c r="B2198" s="7" t="s">
        <v>9921</v>
      </c>
      <c r="C2198" s="8">
        <v>1225.9</v>
      </c>
      <c r="D2198" s="8">
        <f t="shared" si="71"/>
        <v>-0.00973383416131504</v>
      </c>
      <c r="E2198" s="8">
        <v>-0.009315130487252911</v>
      </c>
      <c r="F2198" s="9"/>
      <c r="G2198" s="9">
        <v>2195.0</v>
      </c>
      <c r="H2198" s="10">
        <f t="shared" si="72"/>
        <v>-0.006711771238505</v>
      </c>
      <c r="K2198" s="7"/>
    </row>
    <row r="2199" spans="8:8">
      <c r="B2199" s="7" t="s">
        <v>9922</v>
      </c>
      <c r="C2199" s="8">
        <v>1237.95</v>
      </c>
      <c r="D2199" s="8">
        <f t="shared" si="71"/>
        <v>0.02107390300230943</v>
      </c>
      <c r="E2199" s="8">
        <v>-0.009337565270809945</v>
      </c>
      <c r="F2199" s="9"/>
      <c r="G2199" s="9">
        <v>2196.0</v>
      </c>
      <c r="H2199" s="10">
        <f t="shared" si="72"/>
        <v>0.018046065230594897</v>
      </c>
      <c r="K2199" s="7"/>
    </row>
    <row r="2200" spans="8:8">
      <c r="B2200" s="7" t="s">
        <v>9923</v>
      </c>
      <c r="C2200" s="8">
        <v>1212.4</v>
      </c>
      <c r="D2200" s="8">
        <f t="shared" si="71"/>
        <v>-0.0014824575852412736</v>
      </c>
      <c r="E2200" s="8">
        <v>-0.009353564747453752</v>
      </c>
      <c r="F2200" s="9"/>
      <c r="G2200" s="9">
        <v>2197.0</v>
      </c>
      <c r="H2200" s="10">
        <f t="shared" si="72"/>
        <v>-0.010444491491549333</v>
      </c>
      <c r="K2200" s="7"/>
    </row>
    <row r="2201" spans="8:8">
      <c r="B2201" s="7" t="s">
        <v>9924</v>
      </c>
      <c r="C2201" s="8">
        <v>1214.2</v>
      </c>
      <c r="D2201" s="8">
        <f t="shared" si="71"/>
        <v>-0.007479462132668382</v>
      </c>
      <c r="E2201" s="8">
        <v>-0.009390522461114569</v>
      </c>
      <c r="F2201" s="9"/>
      <c r="G2201" s="9">
        <v>2198.0</v>
      </c>
      <c r="H2201" s="10">
        <f t="shared" si="72"/>
        <v>-0.004872954777637995</v>
      </c>
      <c r="K2201" s="7"/>
    </row>
    <row r="2202" spans="8:8">
      <c r="B2202" s="7" t="s">
        <v>9925</v>
      </c>
      <c r="C2202" s="8">
        <v>1223.35</v>
      </c>
      <c r="D2202" s="8">
        <f t="shared" si="71"/>
        <v>-0.005608616134931998</v>
      </c>
      <c r="E2202" s="8">
        <v>-0.00939125494860545</v>
      </c>
      <c r="F2202" s="9"/>
      <c r="G2202" s="9">
        <v>2199.0</v>
      </c>
      <c r="H2202" s="10">
        <f t="shared" si="72"/>
        <v>0.005404432456489903</v>
      </c>
      <c r="K2202" s="7"/>
    </row>
    <row r="2203" spans="8:8">
      <c r="B2203" s="7">
        <v>43078.0</v>
      </c>
      <c r="C2203" s="8">
        <v>1230.25</v>
      </c>
      <c r="D2203" s="8">
        <f t="shared" si="71"/>
        <v>0.0101818778995772</v>
      </c>
      <c r="E2203" s="8">
        <v>-0.009397847695720007</v>
      </c>
      <c r="F2203" s="9"/>
      <c r="G2203" s="9">
        <v>2200.0</v>
      </c>
      <c r="H2203" s="10">
        <f t="shared" si="72"/>
        <v>0.0046270926276697055</v>
      </c>
      <c r="K2203" s="7"/>
    </row>
    <row r="2204" spans="8:8">
      <c r="B2204" s="7">
        <v>43048.0</v>
      </c>
      <c r="C2204" s="8">
        <v>1217.85</v>
      </c>
      <c r="D2204" s="8">
        <f t="shared" si="71"/>
        <v>0.03876663254861806</v>
      </c>
      <c r="E2204" s="8">
        <v>-0.009398000527438978</v>
      </c>
      <c r="F2204" s="9"/>
      <c r="G2204" s="9">
        <v>2201.0</v>
      </c>
      <c r="H2204" s="10">
        <f t="shared" si="72"/>
        <v>-3.2497898935457186E-4</v>
      </c>
      <c r="K2204" s="7"/>
    </row>
    <row r="2205" spans="8:8">
      <c r="B2205" s="7">
        <v>42956.0</v>
      </c>
      <c r="C2205" s="8">
        <v>1172.4</v>
      </c>
      <c r="D2205" s="8">
        <f t="shared" si="71"/>
        <v>0.03834912762377131</v>
      </c>
      <c r="E2205" s="8">
        <v>-0.009429353136603457</v>
      </c>
      <c r="F2205" s="9"/>
      <c r="G2205" s="9">
        <v>2202.0</v>
      </c>
      <c r="H2205" s="10">
        <f t="shared" si="72"/>
        <v>-0.0019903695109438355</v>
      </c>
      <c r="K2205" s="7"/>
    </row>
    <row r="2206" spans="8:8">
      <c r="B2206" s="7">
        <v>42925.0</v>
      </c>
      <c r="C2206" s="8">
        <v>1129.1</v>
      </c>
      <c r="D2206" s="8">
        <f t="shared" si="71"/>
        <v>0.010289906943450252</v>
      </c>
      <c r="E2206" s="8">
        <v>-0.009452373275408526</v>
      </c>
      <c r="F2206" s="9"/>
      <c r="G2206" s="9">
        <v>2203.0</v>
      </c>
      <c r="H2206" s="10">
        <f t="shared" si="72"/>
        <v>0.004719816214114823</v>
      </c>
      <c r="K2206" s="7"/>
    </row>
    <row r="2207" spans="8:8">
      <c r="B2207" s="7">
        <v>42895.0</v>
      </c>
      <c r="C2207" s="8">
        <v>1117.6</v>
      </c>
      <c r="D2207" s="8">
        <f t="shared" si="71"/>
        <v>-0.008032663205077159</v>
      </c>
      <c r="E2207" s="8">
        <v>-0.009458725561187518</v>
      </c>
      <c r="F2207" s="9"/>
      <c r="G2207" s="9">
        <v>2204.0</v>
      </c>
      <c r="H2207" s="10">
        <f t="shared" si="72"/>
        <v>0.020006207052455212</v>
      </c>
      <c r="K2207" s="7"/>
    </row>
    <row r="2208" spans="8:8">
      <c r="B2208" s="7">
        <v>42864.0</v>
      </c>
      <c r="C2208" s="8">
        <v>1126.65</v>
      </c>
      <c r="D2208" s="8">
        <f t="shared" si="71"/>
        <v>-0.0035377879980542162</v>
      </c>
      <c r="E2208" s="8">
        <v>-0.00947484392214476</v>
      </c>
      <c r="F2208" s="9"/>
      <c r="G2208" s="9">
        <v>2205.0</v>
      </c>
      <c r="H2208" s="10">
        <f t="shared" si="72"/>
        <v>-0.016489735084416122</v>
      </c>
      <c r="K2208" s="7"/>
    </row>
    <row r="2209" spans="8:8">
      <c r="B2209" s="7">
        <v>42834.0</v>
      </c>
      <c r="C2209" s="8">
        <v>1130.65</v>
      </c>
      <c r="D2209" s="8">
        <f t="shared" si="71"/>
        <v>-0.007505266853932544</v>
      </c>
      <c r="E2209" s="8">
        <v>-0.009479227618490372</v>
      </c>
      <c r="F2209" s="9"/>
      <c r="G2209" s="9">
        <v>2206.0</v>
      </c>
      <c r="H2209" s="10">
        <f t="shared" si="72"/>
        <v>-0.01464691233068072</v>
      </c>
      <c r="K2209" s="7"/>
    </row>
    <row r="2210" spans="8:8">
      <c r="B2210" s="7">
        <v>42744.0</v>
      </c>
      <c r="C2210" s="8">
        <v>1139.2</v>
      </c>
      <c r="D2210" s="8">
        <f t="shared" si="71"/>
        <v>0.0025521429200036005</v>
      </c>
      <c r="E2210" s="8">
        <v>-0.009485094850948382</v>
      </c>
      <c r="F2210" s="9"/>
      <c r="G2210" s="9">
        <v>2207.0</v>
      </c>
      <c r="H2210" s="10">
        <f t="shared" si="72"/>
        <v>0.010002499454466978</v>
      </c>
      <c r="K2210" s="7"/>
    </row>
    <row r="2211" spans="8:8">
      <c r="B2211" s="7" t="s">
        <v>9926</v>
      </c>
      <c r="C2211" s="8">
        <v>1136.3</v>
      </c>
      <c r="D2211" s="8">
        <f t="shared" si="71"/>
        <v>-0.0029394989689818245</v>
      </c>
      <c r="E2211" s="8">
        <v>-0.009497964721845364</v>
      </c>
      <c r="F2211" s="9"/>
      <c r="G2211" s="9">
        <v>2208.0</v>
      </c>
      <c r="H2211" s="10">
        <f t="shared" si="72"/>
        <v>0.007743041635039525</v>
      </c>
      <c r="K2211" s="7"/>
    </row>
    <row r="2212" spans="8:8">
      <c r="B2212" s="7" t="s">
        <v>9927</v>
      </c>
      <c r="C2212" s="8">
        <v>1139.65</v>
      </c>
      <c r="D2212" s="8">
        <f t="shared" si="71"/>
        <v>0.008495199327463508</v>
      </c>
      <c r="E2212" s="8">
        <v>-0.009509181668285493</v>
      </c>
      <c r="F2212" s="9"/>
      <c r="G2212" s="9">
        <v>2209.0</v>
      </c>
      <c r="H2212" s="10">
        <f t="shared" si="72"/>
        <v>0.0042130997382224065</v>
      </c>
      <c r="K2212" s="7"/>
    </row>
    <row r="2213" spans="8:8">
      <c r="B2213" s="7" t="s">
        <v>9928</v>
      </c>
      <c r="C2213" s="8">
        <v>1130.05</v>
      </c>
      <c r="D2213" s="8">
        <f t="shared" si="71"/>
        <v>-0.0077706558960401574</v>
      </c>
      <c r="E2213" s="8">
        <v>-0.009526341441800699</v>
      </c>
      <c r="F2213" s="9"/>
      <c r="G2213" s="9">
        <v>2210.0</v>
      </c>
      <c r="H2213" s="10">
        <f t="shared" si="72"/>
        <v>0.018721510235476593</v>
      </c>
      <c r="K2213" s="7"/>
    </row>
    <row r="2214" spans="8:8">
      <c r="B2214" s="7" t="s">
        <v>9929</v>
      </c>
      <c r="C2214" s="8">
        <v>1138.9</v>
      </c>
      <c r="D2214" s="8">
        <f t="shared" si="71"/>
        <v>0.0063621100998498235</v>
      </c>
      <c r="E2214" s="8">
        <v>-0.00954487877111916</v>
      </c>
      <c r="F2214" s="9"/>
      <c r="G2214" s="9">
        <v>2211.0</v>
      </c>
      <c r="H2214" s="10">
        <f t="shared" si="72"/>
        <v>-4.1532690042245333E-4</v>
      </c>
      <c r="K2214" s="7"/>
    </row>
    <row r="2215" spans="8:8">
      <c r="B2215" s="7" t="s">
        <v>9930</v>
      </c>
      <c r="C2215" s="8">
        <v>1131.7</v>
      </c>
      <c r="D2215" s="8">
        <f t="shared" si="71"/>
        <v>0.006716185562424902</v>
      </c>
      <c r="E2215" s="8">
        <v>-0.009593459763083255</v>
      </c>
      <c r="F2215" s="9"/>
      <c r="G2215" s="9">
        <v>2212.0</v>
      </c>
      <c r="H2215" s="10">
        <f t="shared" si="72"/>
        <v>-0.016725630735261926</v>
      </c>
      <c r="K2215" s="7"/>
    </row>
    <row r="2216" spans="8:8">
      <c r="B2216" s="7" t="s">
        <v>9931</v>
      </c>
      <c r="C2216" s="8">
        <v>1124.15</v>
      </c>
      <c r="D2216" s="8">
        <f t="shared" si="71"/>
        <v>0.005770779278876304</v>
      </c>
      <c r="E2216" s="8">
        <v>-0.009611961552153752</v>
      </c>
      <c r="F2216" s="9"/>
      <c r="G2216" s="9">
        <v>2213.0</v>
      </c>
      <c r="H2216" s="10">
        <f t="shared" si="72"/>
        <v>-0.01804042969842821</v>
      </c>
      <c r="K2216" s="7"/>
    </row>
    <row r="2217" spans="8:8">
      <c r="B2217" s="7" t="s">
        <v>9932</v>
      </c>
      <c r="C2217" s="8">
        <v>1117.7</v>
      </c>
      <c r="D2217" s="8">
        <f t="shared" si="71"/>
        <v>-0.008339987578741784</v>
      </c>
      <c r="E2217" s="8">
        <v>-0.009735085074305367</v>
      </c>
      <c r="F2217" s="9"/>
      <c r="G2217" s="9">
        <v>2214.0</v>
      </c>
      <c r="H2217" s="10">
        <f t="shared" si="72"/>
        <v>-0.00522929917534251</v>
      </c>
      <c r="K2217" s="7"/>
    </row>
    <row r="2218" spans="8:8">
      <c r="B2218" s="7" t="s">
        <v>9933</v>
      </c>
      <c r="C2218" s="8">
        <v>1127.1</v>
      </c>
      <c r="D2218" s="8">
        <f t="shared" si="71"/>
        <v>-0.0030957013974880596</v>
      </c>
      <c r="E2218" s="8">
        <v>-0.009738037458776595</v>
      </c>
      <c r="F2218" s="9"/>
      <c r="G2218" s="9">
        <v>2215.0</v>
      </c>
      <c r="H2218" s="10">
        <f t="shared" si="72"/>
        <v>-0.002302097907213402</v>
      </c>
      <c r="K2218" s="7"/>
    </row>
    <row r="2219" spans="8:8">
      <c r="B2219" s="7" t="s">
        <v>9934</v>
      </c>
      <c r="C2219" s="8">
        <v>1130.6</v>
      </c>
      <c r="D2219" s="8">
        <f t="shared" si="71"/>
        <v>-0.0029982363315697452</v>
      </c>
      <c r="E2219" s="8">
        <v>-0.009742895805142014</v>
      </c>
      <c r="F2219" s="9"/>
      <c r="G2219" s="9">
        <v>2216.0</v>
      </c>
      <c r="H2219" s="10">
        <f t="shared" si="72"/>
        <v>-0.003236014163337654</v>
      </c>
      <c r="K2219" s="7"/>
    </row>
    <row r="2220" spans="8:8">
      <c r="B2220" s="7" t="s">
        <v>9935</v>
      </c>
      <c r="C2220" s="8">
        <v>1134.0</v>
      </c>
      <c r="D2220" s="8">
        <f t="shared" si="71"/>
        <v>-0.007222586999343401</v>
      </c>
      <c r="E2220" s="8">
        <v>-0.009782398140375858</v>
      </c>
      <c r="F2220" s="9"/>
      <c r="G2220" s="9">
        <v>2217.0</v>
      </c>
      <c r="H2220" s="10">
        <f t="shared" si="72"/>
        <v>0.020395465651290294</v>
      </c>
      <c r="K2220" s="7"/>
    </row>
    <row r="2221" spans="8:8">
      <c r="B2221" s="7" t="s">
        <v>9936</v>
      </c>
      <c r="C2221" s="8">
        <v>1142.25</v>
      </c>
      <c r="D2221" s="8">
        <f t="shared" si="71"/>
        <v>-0.004054407533350851</v>
      </c>
      <c r="E2221" s="8">
        <v>-0.009799764428739637</v>
      </c>
      <c r="F2221" s="9"/>
      <c r="G2221" s="9">
        <v>2218.0</v>
      </c>
      <c r="H2221" s="10">
        <f t="shared" si="72"/>
        <v>0.01792222886851657</v>
      </c>
      <c r="K2221" s="7"/>
    </row>
    <row r="2222" spans="8:8">
      <c r="B2222" s="7" t="s">
        <v>9937</v>
      </c>
      <c r="C2222" s="8">
        <v>1146.9</v>
      </c>
      <c r="D2222" s="8">
        <f t="shared" si="71"/>
        <v>0.013207297142099955</v>
      </c>
      <c r="E2222" s="8">
        <v>-0.009812005277044743</v>
      </c>
      <c r="F2222" s="9"/>
      <c r="G2222" s="9">
        <v>2219.0</v>
      </c>
      <c r="H2222" s="10">
        <f t="shared" si="72"/>
        <v>0.013517113187340522</v>
      </c>
      <c r="K2222" s="7"/>
    </row>
    <row r="2223" spans="8:8">
      <c r="B2223" s="7">
        <v>43047.0</v>
      </c>
      <c r="C2223" s="8">
        <v>1131.95</v>
      </c>
      <c r="D2223" s="8">
        <f t="shared" si="71"/>
        <v>-0.022242377127062278</v>
      </c>
      <c r="E2223" s="8">
        <v>-0.009827914384492941</v>
      </c>
      <c r="F2223" s="9"/>
      <c r="G2223" s="9">
        <v>2220.0</v>
      </c>
      <c r="H2223" s="10">
        <f t="shared" si="72"/>
        <v>0.005281661253541322</v>
      </c>
      <c r="K2223" s="7"/>
    </row>
    <row r="2224" spans="8:8">
      <c r="B2224" s="7">
        <v>43016.0</v>
      </c>
      <c r="C2224" s="8">
        <v>1157.7</v>
      </c>
      <c r="D2224" s="8">
        <f t="shared" si="71"/>
        <v>0.0032931796516162183</v>
      </c>
      <c r="E2224" s="8">
        <v>-0.009922603691208573</v>
      </c>
      <c r="F2224" s="9"/>
      <c r="G2224" s="9">
        <v>2221.0</v>
      </c>
      <c r="H2224" s="10">
        <f t="shared" si="72"/>
        <v>4.939098914419353E-4</v>
      </c>
      <c r="K2224" s="7"/>
    </row>
    <row r="2225" spans="8:8">
      <c r="B2225" s="7">
        <v>42986.0</v>
      </c>
      <c r="C2225" s="8">
        <v>1153.9</v>
      </c>
      <c r="D2225" s="8">
        <f t="shared" si="71"/>
        <v>-0.014771174863387939</v>
      </c>
      <c r="E2225" s="8">
        <v>-0.009937238493723797</v>
      </c>
      <c r="F2225" s="9"/>
      <c r="G2225" s="9">
        <v>2222.0</v>
      </c>
      <c r="H2225" s="10">
        <f t="shared" si="72"/>
        <v>-0.0018127405674825837</v>
      </c>
      <c r="K2225" s="7"/>
    </row>
    <row r="2226" spans="8:8">
      <c r="B2226" s="7">
        <v>42955.0</v>
      </c>
      <c r="C2226" s="8">
        <v>1171.2</v>
      </c>
      <c r="D2226" s="8">
        <f t="shared" si="71"/>
        <v>-0.00741556845629052</v>
      </c>
      <c r="E2226" s="8">
        <v>-0.009941677598824012</v>
      </c>
      <c r="F2226" s="9"/>
      <c r="G2226" s="9">
        <v>2223.0</v>
      </c>
      <c r="H2226" s="10">
        <f t="shared" si="72"/>
        <v>-0.004688391402932378</v>
      </c>
      <c r="K2226" s="7"/>
    </row>
    <row r="2227" spans="8:8">
      <c r="B2227" s="7">
        <v>42924.0</v>
      </c>
      <c r="C2227" s="8">
        <v>1179.95</v>
      </c>
      <c r="D2227" s="8">
        <f t="shared" si="71"/>
        <v>0.0034868393077349463</v>
      </c>
      <c r="E2227" s="8">
        <v>-0.00996146406104832</v>
      </c>
      <c r="F2227" s="9"/>
      <c r="G2227" s="9">
        <v>2224.0</v>
      </c>
      <c r="H2227" s="10">
        <f t="shared" si="72"/>
        <v>-0.003718339837477976</v>
      </c>
      <c r="K2227" s="7"/>
    </row>
    <row r="2228" spans="8:8">
      <c r="B2228" s="7">
        <v>42833.0</v>
      </c>
      <c r="C2228" s="8">
        <v>1175.85</v>
      </c>
      <c r="D2228" s="8">
        <f t="shared" si="71"/>
        <v>9.363694403063707E-4</v>
      </c>
      <c r="E2228" s="8">
        <v>-0.010038075458636206</v>
      </c>
      <c r="F2228" s="9"/>
      <c r="G2228" s="9">
        <v>2225.0</v>
      </c>
      <c r="H2228" s="10">
        <f t="shared" si="72"/>
        <v>0.012077623260719587</v>
      </c>
      <c r="K2228" s="7"/>
    </row>
    <row r="2229" spans="8:8">
      <c r="B2229" s="7">
        <v>42802.0</v>
      </c>
      <c r="C2229" s="8">
        <v>1174.75</v>
      </c>
      <c r="D2229" s="8">
        <f t="shared" si="71"/>
        <v>-0.0017420122365737207</v>
      </c>
      <c r="E2229" s="8">
        <v>-0.010039621247733409</v>
      </c>
      <c r="F2229" s="9"/>
      <c r="G2229" s="9">
        <v>2226.0</v>
      </c>
      <c r="H2229" s="10">
        <f t="shared" si="72"/>
        <v>0.01661709130525303</v>
      </c>
      <c r="K2229" s="7"/>
    </row>
    <row r="2230" spans="8:8">
      <c r="B2230" s="7">
        <v>42774.0</v>
      </c>
      <c r="C2230" s="8">
        <v>1176.8</v>
      </c>
      <c r="D2230" s="8">
        <f t="shared" si="71"/>
        <v>-0.011133985966976179</v>
      </c>
      <c r="E2230" s="8">
        <v>-0.010039861019333737</v>
      </c>
      <c r="F2230" s="9"/>
      <c r="G2230" s="9">
        <v>2227.0</v>
      </c>
      <c r="H2230" s="10">
        <f t="shared" si="72"/>
        <v>0.009342429238981593</v>
      </c>
      <c r="K2230" s="7"/>
    </row>
    <row r="2231" spans="8:8">
      <c r="B2231" s="7">
        <v>42743.0</v>
      </c>
      <c r="C2231" s="8">
        <v>1190.05</v>
      </c>
      <c r="D2231" s="8">
        <f t="shared" si="71"/>
        <v>-0.0032664684450773407</v>
      </c>
      <c r="E2231" s="8">
        <v>-0.010043126366160572</v>
      </c>
      <c r="F2231" s="9"/>
      <c r="G2231" s="9">
        <v>2228.0</v>
      </c>
      <c r="H2231" s="10">
        <f t="shared" si="72"/>
        <v>0.009309092783326839</v>
      </c>
      <c r="K2231" s="7"/>
    </row>
    <row r="2232" spans="8:8">
      <c r="B2232" s="7" t="s">
        <v>9938</v>
      </c>
      <c r="C2232" s="8">
        <v>1193.95</v>
      </c>
      <c r="D2232" s="8">
        <f t="shared" si="71"/>
        <v>0.028026519717582188</v>
      </c>
      <c r="E2232" s="8">
        <v>-0.010075016387074956</v>
      </c>
      <c r="F2232" s="9"/>
      <c r="G2232" s="9">
        <v>2229.0</v>
      </c>
      <c r="H2232" s="10">
        <f t="shared" si="72"/>
        <v>-0.009398461234817253</v>
      </c>
      <c r="K2232" s="7"/>
    </row>
    <row r="2233" spans="8:8">
      <c r="B2233" s="7" t="s">
        <v>9939</v>
      </c>
      <c r="C2233" s="8">
        <v>1161.4</v>
      </c>
      <c r="D2233" s="8">
        <f t="shared" si="71"/>
        <v>-0.017469650184002254</v>
      </c>
      <c r="E2233" s="8">
        <v>-0.010083359592082348</v>
      </c>
      <c r="F2233" s="9"/>
      <c r="G2233" s="9">
        <v>2230.0</v>
      </c>
      <c r="H2233" s="10">
        <f t="shared" si="72"/>
        <v>0.011155380627734916</v>
      </c>
      <c r="K2233" s="7"/>
    </row>
    <row r="2234" spans="8:8">
      <c r="B2234" s="7" t="s">
        <v>9940</v>
      </c>
      <c r="C2234" s="8">
        <v>1182.05</v>
      </c>
      <c r="D2234" s="8">
        <f t="shared" si="71"/>
        <v>0.0015251006142765978</v>
      </c>
      <c r="E2234" s="8">
        <v>-0.010111587982832555</v>
      </c>
      <c r="F2234" s="9"/>
      <c r="G2234" s="9">
        <v>2231.0</v>
      </c>
      <c r="H2234" s="10">
        <f t="shared" si="72"/>
        <v>-0.022791265610058377</v>
      </c>
      <c r="K2234" s="7"/>
    </row>
    <row r="2235" spans="8:8">
      <c r="B2235" s="7" t="s">
        <v>9941</v>
      </c>
      <c r="C2235" s="8">
        <v>1180.25</v>
      </c>
      <c r="D2235" s="8">
        <f t="shared" si="71"/>
        <v>0.008028355468249641</v>
      </c>
      <c r="E2235" s="8">
        <v>-0.0101135029354208</v>
      </c>
      <c r="F2235" s="9"/>
      <c r="G2235" s="9">
        <v>2232.0</v>
      </c>
      <c r="H2235" s="10">
        <f t="shared" si="72"/>
        <v>0.007490393619236611</v>
      </c>
      <c r="K2235" s="7"/>
    </row>
    <row r="2236" spans="8:8">
      <c r="B2236" s="7" t="s">
        <v>9942</v>
      </c>
      <c r="C2236" s="8">
        <v>1170.85</v>
      </c>
      <c r="D2236" s="8">
        <f t="shared" si="71"/>
        <v>-0.006069609507640145</v>
      </c>
      <c r="E2236" s="8">
        <v>-0.010122999891150612</v>
      </c>
      <c r="F2236" s="9"/>
      <c r="G2236" s="9">
        <v>2233.0</v>
      </c>
      <c r="H2236" s="10">
        <f t="shared" si="72"/>
        <v>0.005431819058975259</v>
      </c>
      <c r="K2236" s="7"/>
    </row>
    <row r="2237" spans="8:8">
      <c r="B2237" s="7" t="s">
        <v>9943</v>
      </c>
      <c r="C2237" s="8">
        <v>1178.0</v>
      </c>
      <c r="D2237" s="8">
        <f t="shared" si="71"/>
        <v>-0.00105999576001696</v>
      </c>
      <c r="E2237" s="8">
        <v>-0.010128542666873104</v>
      </c>
      <c r="F2237" s="9"/>
      <c r="G2237" s="9">
        <v>2234.0</v>
      </c>
      <c r="H2237" s="10">
        <f t="shared" si="72"/>
        <v>0.009751578841576635</v>
      </c>
      <c r="K2237" s="7"/>
    </row>
    <row r="2238" spans="8:8">
      <c r="B2238" s="7" t="s">
        <v>9944</v>
      </c>
      <c r="C2238" s="8">
        <v>1179.25</v>
      </c>
      <c r="D2238" s="8">
        <f t="shared" si="71"/>
        <v>-0.005397883017754051</v>
      </c>
      <c r="E2238" s="8">
        <v>-0.010147345009730163</v>
      </c>
      <c r="F2238" s="9"/>
      <c r="G2238" s="9">
        <v>2235.0</v>
      </c>
      <c r="H2238" s="10">
        <f t="shared" si="72"/>
        <v>0.0020337832500845277</v>
      </c>
      <c r="K2238" s="7"/>
    </row>
    <row r="2239" spans="8:8">
      <c r="B2239" s="7" t="s">
        <v>9945</v>
      </c>
      <c r="C2239" s="8">
        <v>1185.65</v>
      </c>
      <c r="D2239" s="8">
        <f t="shared" si="71"/>
        <v>0.0036823838144418326</v>
      </c>
      <c r="E2239" s="8">
        <v>-0.010171590306032196</v>
      </c>
      <c r="F2239" s="9"/>
      <c r="G2239" s="9">
        <v>2236.0</v>
      </c>
      <c r="H2239" s="10">
        <f t="shared" si="72"/>
        <v>-0.016496213110555363</v>
      </c>
      <c r="K2239" s="7"/>
    </row>
    <row r="2240" spans="8:8">
      <c r="B2240" s="7" t="s">
        <v>9946</v>
      </c>
      <c r="C2240" s="8">
        <v>1181.3</v>
      </c>
      <c r="D2240" s="8">
        <f t="shared" si="71"/>
        <v>0.002886492911112882</v>
      </c>
      <c r="E2240" s="8">
        <v>-0.010184111336619278</v>
      </c>
      <c r="F2240" s="9"/>
      <c r="G2240" s="9">
        <v>2237.0</v>
      </c>
      <c r="H2240" s="10">
        <f t="shared" si="72"/>
        <v>-0.011876990235922376</v>
      </c>
      <c r="K2240" s="7"/>
    </row>
    <row r="2241" spans="8:8">
      <c r="B2241" s="7" t="s">
        <v>9947</v>
      </c>
      <c r="C2241" s="8">
        <v>1177.9</v>
      </c>
      <c r="D2241" s="8">
        <f t="shared" si="71"/>
        <v>0.0056776947705443675</v>
      </c>
      <c r="E2241" s="8">
        <v>-0.010188062142273129</v>
      </c>
      <c r="F2241" s="9"/>
      <c r="G2241" s="9">
        <v>2238.0</v>
      </c>
      <c r="H2241" s="10">
        <f t="shared" si="72"/>
        <v>-0.010360010012532821</v>
      </c>
      <c r="K2241" s="7"/>
    </row>
    <row r="2242" spans="8:8">
      <c r="B2242" s="7" t="s">
        <v>9948</v>
      </c>
      <c r="C2242" s="8">
        <v>1171.25</v>
      </c>
      <c r="D2242" s="8">
        <f t="shared" si="71"/>
        <v>4.2691256830562265E-5</v>
      </c>
      <c r="E2242" s="8">
        <v>-0.010199014477252863</v>
      </c>
      <c r="F2242" s="9"/>
      <c r="G2242" s="9">
        <v>2239.0</v>
      </c>
      <c r="H2242" s="10">
        <f t="shared" si="72"/>
        <v>0.031761412452435044</v>
      </c>
      <c r="K2242" s="7"/>
    </row>
    <row r="2243" spans="8:8">
      <c r="B2243" s="7" t="s">
        <v>9949</v>
      </c>
      <c r="C2243" s="8">
        <v>1171.2</v>
      </c>
      <c r="D2243" s="8">
        <f t="shared" si="71"/>
        <v>-0.0033188664794484416</v>
      </c>
      <c r="E2243" s="8">
        <v>-0.010202953049825828</v>
      </c>
      <c r="F2243" s="9"/>
      <c r="G2243" s="9">
        <v>2240.0</v>
      </c>
      <c r="H2243" s="10">
        <f t="shared" si="72"/>
        <v>0.01277185292031252</v>
      </c>
      <c r="K2243" s="7"/>
    </row>
    <row r="2244" spans="8:8">
      <c r="B2244" s="7" t="s">
        <v>9950</v>
      </c>
      <c r="C2244" s="8">
        <v>1175.1</v>
      </c>
      <c r="D2244" s="8">
        <f t="shared" si="73" ref="D2244:D2307">(C2244-C2245)/C2245</f>
        <v>0.01327929636975068</v>
      </c>
      <c r="E2244" s="8">
        <v>-0.010206905032741975</v>
      </c>
      <c r="F2244" s="9"/>
      <c r="G2244" s="9">
        <v>2241.0</v>
      </c>
      <c r="H2244" s="10">
        <f t="shared" si="72"/>
        <v>-0.018816071174548168</v>
      </c>
      <c r="K2244" s="7"/>
    </row>
    <row r="2245" spans="8:8">
      <c r="B2245" s="7">
        <v>43076.0</v>
      </c>
      <c r="C2245" s="8">
        <v>1159.7</v>
      </c>
      <c r="D2245" s="8">
        <f t="shared" si="73"/>
        <v>-8.873726017247531E-4</v>
      </c>
      <c r="E2245" s="8">
        <v>-0.010226522982186006</v>
      </c>
      <c r="F2245" s="9"/>
      <c r="G2245" s="9">
        <v>2242.0</v>
      </c>
      <c r="H2245" s="10">
        <f t="shared" si="74" ref="H2245:H2308">_xlfn.NORM.INV(RAND(),N$6,N$7)</f>
        <v>-0.01212367055655476</v>
      </c>
      <c r="K2245" s="7"/>
    </row>
    <row r="2246" spans="8:8">
      <c r="B2246" s="7">
        <v>43046.0</v>
      </c>
      <c r="C2246" s="8">
        <v>1160.73</v>
      </c>
      <c r="D2246" s="8">
        <f t="shared" si="73"/>
        <v>0.005161200931787314</v>
      </c>
      <c r="E2246" s="8">
        <v>-0.010308545428693304</v>
      </c>
      <c r="F2246" s="9"/>
      <c r="G2246" s="9">
        <v>2243.0</v>
      </c>
      <c r="H2246" s="10">
        <f t="shared" si="74"/>
        <v>-0.003850924249861545</v>
      </c>
      <c r="K2246" s="7"/>
    </row>
    <row r="2247" spans="8:8">
      <c r="B2247" s="7">
        <v>43015.0</v>
      </c>
      <c r="C2247" s="8">
        <v>1154.77</v>
      </c>
      <c r="D2247" s="8">
        <f t="shared" si="73"/>
        <v>0.0162813415825464</v>
      </c>
      <c r="E2247" s="8">
        <v>-0.010320086492153458</v>
      </c>
      <c r="F2247" s="9"/>
      <c r="G2247" s="9">
        <v>2244.0</v>
      </c>
      <c r="H2247" s="10">
        <f t="shared" si="74"/>
        <v>-0.005873703803501009</v>
      </c>
      <c r="K2247" s="7"/>
    </row>
    <row r="2248" spans="8:8">
      <c r="B2248" s="7">
        <v>42923.0</v>
      </c>
      <c r="C2248" s="8">
        <v>1136.27</v>
      </c>
      <c r="D2248" s="8">
        <f t="shared" si="73"/>
        <v>0.0040115575269719485</v>
      </c>
      <c r="E2248" s="8">
        <v>-0.01032863849765256</v>
      </c>
      <c r="F2248" s="9"/>
      <c r="G2248" s="9">
        <v>2245.0</v>
      </c>
      <c r="H2248" s="10">
        <f t="shared" si="74"/>
        <v>0.0067318479395561456</v>
      </c>
      <c r="K2248" s="7"/>
    </row>
    <row r="2249" spans="8:8">
      <c r="B2249" s="7">
        <v>42893.0</v>
      </c>
      <c r="C2249" s="8">
        <v>1131.73</v>
      </c>
      <c r="D2249" s="8">
        <f t="shared" si="73"/>
        <v>0.0013537427004069835</v>
      </c>
      <c r="E2249" s="8">
        <v>-0.01032886555202435</v>
      </c>
      <c r="F2249" s="9"/>
      <c r="G2249" s="9">
        <v>2246.0</v>
      </c>
      <c r="H2249" s="10">
        <f t="shared" si="74"/>
        <v>-0.010991565104436843</v>
      </c>
      <c r="K2249" s="7"/>
    </row>
    <row r="2250" spans="8:8">
      <c r="B2250" s="7">
        <v>42862.0</v>
      </c>
      <c r="C2250" s="8">
        <v>1130.2</v>
      </c>
      <c r="D2250" s="8">
        <f t="shared" si="73"/>
        <v>0.007101930976716027</v>
      </c>
      <c r="E2250" s="8">
        <v>-0.01035068501849482</v>
      </c>
      <c r="F2250" s="9"/>
      <c r="G2250" s="9">
        <v>2247.0</v>
      </c>
      <c r="H2250" s="10">
        <f t="shared" si="74"/>
        <v>0.014474890129143811</v>
      </c>
      <c r="K2250" s="7"/>
    </row>
    <row r="2251" spans="8:8">
      <c r="B2251" s="7">
        <v>42832.0</v>
      </c>
      <c r="C2251" s="8">
        <v>1122.23</v>
      </c>
      <c r="D2251" s="8">
        <f t="shared" si="73"/>
        <v>-0.002311460398460131</v>
      </c>
      <c r="E2251" s="8">
        <v>-0.010368147617341495</v>
      </c>
      <c r="F2251" s="9"/>
      <c r="G2251" s="9">
        <v>2248.0</v>
      </c>
      <c r="H2251" s="10">
        <f t="shared" si="74"/>
        <v>-0.013166570454184928</v>
      </c>
      <c r="K2251" s="7"/>
    </row>
    <row r="2252" spans="8:8">
      <c r="B2252" s="7">
        <v>42801.0</v>
      </c>
      <c r="C2252" s="8">
        <v>1124.83</v>
      </c>
      <c r="D2252" s="8">
        <f t="shared" si="73"/>
        <v>-2.1332006008515836E-4</v>
      </c>
      <c r="E2252" s="8">
        <v>-0.010419620073717073</v>
      </c>
      <c r="F2252" s="9"/>
      <c r="G2252" s="9">
        <v>2249.0</v>
      </c>
      <c r="H2252" s="10">
        <f t="shared" si="74"/>
        <v>0.0027140235406939986</v>
      </c>
      <c r="K2252" s="7"/>
    </row>
    <row r="2253" spans="8:8">
      <c r="B2253" s="7" t="s">
        <v>9951</v>
      </c>
      <c r="C2253" s="8">
        <v>1125.07</v>
      </c>
      <c r="D2253" s="8">
        <f t="shared" si="73"/>
        <v>-0.009420921489386095</v>
      </c>
      <c r="E2253" s="8">
        <v>-0.010456231288261357</v>
      </c>
      <c r="F2253" s="9"/>
      <c r="G2253" s="9">
        <v>2250.0</v>
      </c>
      <c r="H2253" s="10">
        <f t="shared" si="74"/>
        <v>-0.011072738194675955</v>
      </c>
      <c r="K2253" s="7"/>
    </row>
    <row r="2254" spans="8:8">
      <c r="B2254" s="7" t="s">
        <v>9952</v>
      </c>
      <c r="C2254" s="8">
        <v>1135.77</v>
      </c>
      <c r="D2254" s="8">
        <f t="shared" si="73"/>
        <v>2.37780713342124E-4</v>
      </c>
      <c r="E2254" s="8">
        <v>-0.01045697438732277</v>
      </c>
      <c r="F2254" s="9"/>
      <c r="G2254" s="9">
        <v>2251.0</v>
      </c>
      <c r="H2254" s="10">
        <f t="shared" si="74"/>
        <v>0.012348823866922473</v>
      </c>
      <c r="K2254" s="7"/>
    </row>
    <row r="2255" spans="8:8">
      <c r="B2255" s="7" t="s">
        <v>9953</v>
      </c>
      <c r="C2255" s="8">
        <v>1135.5</v>
      </c>
      <c r="D2255" s="8">
        <f t="shared" si="73"/>
        <v>9.079129461334127E-4</v>
      </c>
      <c r="E2255" s="8">
        <v>-0.010468449985533597</v>
      </c>
      <c r="F2255" s="9"/>
      <c r="G2255" s="9">
        <v>2252.0</v>
      </c>
      <c r="H2255" s="10">
        <f t="shared" si="74"/>
        <v>0.01276203524358812</v>
      </c>
      <c r="K2255" s="7"/>
    </row>
    <row r="2256" spans="8:8">
      <c r="B2256" s="7" t="s">
        <v>9954</v>
      </c>
      <c r="C2256" s="8">
        <v>1134.47</v>
      </c>
      <c r="D2256" s="8">
        <f t="shared" si="73"/>
        <v>-0.012190131218055325</v>
      </c>
      <c r="E2256" s="8">
        <v>-0.010520306638395115</v>
      </c>
      <c r="F2256" s="9"/>
      <c r="G2256" s="9">
        <v>2253.0</v>
      </c>
      <c r="H2256" s="10">
        <f t="shared" si="74"/>
        <v>0.01409846562979081</v>
      </c>
      <c r="K2256" s="7"/>
    </row>
    <row r="2257" spans="8:8">
      <c r="B2257" s="7" t="s">
        <v>9955</v>
      </c>
      <c r="C2257" s="8">
        <v>1148.47</v>
      </c>
      <c r="D2257" s="8">
        <f t="shared" si="73"/>
        <v>-0.007887007601934937</v>
      </c>
      <c r="E2257" s="8">
        <v>-0.010521164668460942</v>
      </c>
      <c r="F2257" s="9"/>
      <c r="G2257" s="9">
        <v>2254.0</v>
      </c>
      <c r="H2257" s="10">
        <f t="shared" si="74"/>
        <v>0.007650682298668575</v>
      </c>
      <c r="K2257" s="7"/>
    </row>
    <row r="2258" spans="8:8">
      <c r="B2258" s="7" t="s">
        <v>9956</v>
      </c>
      <c r="C2258" s="8">
        <v>1157.6</v>
      </c>
      <c r="D2258" s="8">
        <f t="shared" si="73"/>
        <v>-0.010149896961871718</v>
      </c>
      <c r="E2258" s="8">
        <v>-0.010576981109300556</v>
      </c>
      <c r="F2258" s="9"/>
      <c r="G2258" s="9">
        <v>2255.0</v>
      </c>
      <c r="H2258" s="10">
        <f t="shared" si="74"/>
        <v>0.005809537610794342</v>
      </c>
      <c r="K2258" s="7"/>
    </row>
    <row r="2259" spans="8:8">
      <c r="B2259" s="7" t="s">
        <v>9957</v>
      </c>
      <c r="C2259" s="8">
        <v>1169.47</v>
      </c>
      <c r="D2259" s="8">
        <f t="shared" si="73"/>
        <v>0.00211653813196232</v>
      </c>
      <c r="E2259" s="8">
        <v>-0.010587993421052586</v>
      </c>
      <c r="F2259" s="9"/>
      <c r="G2259" s="9">
        <v>2256.0</v>
      </c>
      <c r="H2259" s="10">
        <f t="shared" si="74"/>
        <v>-0.0017419872377247361</v>
      </c>
      <c r="K2259" s="7"/>
    </row>
    <row r="2260" spans="8:8">
      <c r="B2260" s="7" t="s">
        <v>9958</v>
      </c>
      <c r="C2260" s="8">
        <v>1167.0</v>
      </c>
      <c r="D2260" s="8">
        <f t="shared" si="73"/>
        <v>-0.0030157279181225365</v>
      </c>
      <c r="E2260" s="8">
        <v>-0.010597848070544454</v>
      </c>
      <c r="F2260" s="9"/>
      <c r="G2260" s="9">
        <v>2257.0</v>
      </c>
      <c r="H2260" s="10">
        <f t="shared" si="74"/>
        <v>0.021902073342831726</v>
      </c>
      <c r="K2260" s="7"/>
    </row>
    <row r="2261" spans="8:8">
      <c r="B2261" s="7" t="s">
        <v>9959</v>
      </c>
      <c r="C2261" s="8">
        <v>1170.53</v>
      </c>
      <c r="D2261" s="8">
        <f t="shared" si="73"/>
        <v>0.01685300530782784</v>
      </c>
      <c r="E2261" s="8">
        <v>-0.010624565584351226</v>
      </c>
      <c r="F2261" s="9"/>
      <c r="G2261" s="9">
        <v>2258.0</v>
      </c>
      <c r="H2261" s="10">
        <f t="shared" si="74"/>
        <v>0.00409289260455247</v>
      </c>
      <c r="K2261" s="7"/>
    </row>
    <row r="2262" spans="8:8">
      <c r="B2262" s="7" t="s">
        <v>9960</v>
      </c>
      <c r="C2262" s="8">
        <v>1151.13</v>
      </c>
      <c r="D2262" s="8">
        <f t="shared" si="73"/>
        <v>-0.004987466505315914</v>
      </c>
      <c r="E2262" s="8">
        <v>-0.010664507954385376</v>
      </c>
      <c r="F2262" s="9"/>
      <c r="G2262" s="9">
        <v>2259.0</v>
      </c>
      <c r="H2262" s="10">
        <f t="shared" si="74"/>
        <v>-0.0047980426912880856</v>
      </c>
      <c r="K2262" s="7"/>
    </row>
    <row r="2263" spans="8:8">
      <c r="B2263" s="7" t="s">
        <v>9961</v>
      </c>
      <c r="C2263" s="8">
        <v>1156.9</v>
      </c>
      <c r="D2263" s="8">
        <f t="shared" si="73"/>
        <v>-0.016492391396752414</v>
      </c>
      <c r="E2263" s="8">
        <v>-0.010668643535156681</v>
      </c>
      <c r="F2263" s="9"/>
      <c r="G2263" s="9">
        <v>2260.0</v>
      </c>
      <c r="H2263" s="10">
        <f t="shared" si="74"/>
        <v>0.007172489025178884</v>
      </c>
      <c r="K2263" s="7"/>
    </row>
    <row r="2264" spans="8:8">
      <c r="B2264" s="7" t="s">
        <v>9962</v>
      </c>
      <c r="C2264" s="8">
        <v>1176.3</v>
      </c>
      <c r="D2264" s="8">
        <f t="shared" si="73"/>
        <v>0.014637764915942854</v>
      </c>
      <c r="E2264" s="8">
        <v>-0.01067927773000866</v>
      </c>
      <c r="F2264" s="9"/>
      <c r="G2264" s="9">
        <v>2261.0</v>
      </c>
      <c r="H2264" s="10">
        <f t="shared" si="74"/>
        <v>0.0027024279784928556</v>
      </c>
      <c r="K2264" s="7"/>
    </row>
    <row r="2265" spans="8:8">
      <c r="B2265" s="7" t="s">
        <v>9963</v>
      </c>
      <c r="C2265" s="8">
        <v>1159.33</v>
      </c>
      <c r="D2265" s="8">
        <f t="shared" si="73"/>
        <v>0.0013820148048335182</v>
      </c>
      <c r="E2265" s="8">
        <v>-0.010720995011984164</v>
      </c>
      <c r="F2265" s="9"/>
      <c r="G2265" s="9">
        <v>2262.0</v>
      </c>
      <c r="H2265" s="10">
        <f t="shared" si="74"/>
        <v>0.021696122543042703</v>
      </c>
      <c r="K2265" s="7"/>
    </row>
    <row r="2266" spans="8:8">
      <c r="B2266" s="7">
        <v>43075.0</v>
      </c>
      <c r="C2266" s="8">
        <v>1157.73</v>
      </c>
      <c r="D2266" s="8">
        <f t="shared" si="73"/>
        <v>-0.023400001687094576</v>
      </c>
      <c r="E2266" s="8">
        <v>-0.010724026779072622</v>
      </c>
      <c r="F2266" s="9"/>
      <c r="G2266" s="9">
        <v>2263.0</v>
      </c>
      <c r="H2266" s="10">
        <f t="shared" si="74"/>
        <v>-0.003948531238898926</v>
      </c>
      <c r="K2266" s="7"/>
    </row>
    <row r="2267" spans="8:8">
      <c r="B2267" s="7">
        <v>42984.0</v>
      </c>
      <c r="C2267" s="8">
        <v>1185.47</v>
      </c>
      <c r="D2267" s="8">
        <f t="shared" si="73"/>
        <v>0.0022319352738771423</v>
      </c>
      <c r="E2267" s="8">
        <v>-0.010724406016130231</v>
      </c>
      <c r="F2267" s="9"/>
      <c r="G2267" s="9">
        <v>2264.0</v>
      </c>
      <c r="H2267" s="10">
        <f t="shared" si="74"/>
        <v>-0.005151813775225808</v>
      </c>
      <c r="K2267" s="7"/>
    </row>
    <row r="2268" spans="8:8">
      <c r="B2268" s="7">
        <v>42953.0</v>
      </c>
      <c r="C2268" s="8">
        <v>1182.83</v>
      </c>
      <c r="D2268" s="8">
        <f t="shared" si="73"/>
        <v>-0.008025830258302719</v>
      </c>
      <c r="E2268" s="8">
        <v>-0.010748986305561897</v>
      </c>
      <c r="F2268" s="9"/>
      <c r="G2268" s="9">
        <v>2265.0</v>
      </c>
      <c r="H2268" s="10">
        <f t="shared" si="74"/>
        <v>0.007448849838278317</v>
      </c>
      <c r="K2268" s="7"/>
    </row>
    <row r="2269" spans="8:8">
      <c r="B2269" s="7">
        <v>42922.0</v>
      </c>
      <c r="C2269" s="8">
        <v>1192.4</v>
      </c>
      <c r="D2269" s="8">
        <f t="shared" si="73"/>
        <v>0.007579662506443158</v>
      </c>
      <c r="E2269" s="8">
        <v>-0.010756379448449453</v>
      </c>
      <c r="F2269" s="9"/>
      <c r="G2269" s="9">
        <v>2266.0</v>
      </c>
      <c r="H2269" s="10">
        <f t="shared" si="74"/>
        <v>0.014607030853717139</v>
      </c>
      <c r="K2269" s="7"/>
    </row>
    <row r="2270" spans="8:8">
      <c r="B2270" s="7">
        <v>42892.0</v>
      </c>
      <c r="C2270" s="8">
        <v>1183.43</v>
      </c>
      <c r="D2270" s="8">
        <f t="shared" si="73"/>
        <v>-0.016488402436693275</v>
      </c>
      <c r="E2270" s="8">
        <v>-0.010763543990490362</v>
      </c>
      <c r="F2270" s="9"/>
      <c r="G2270" s="9">
        <v>2267.0</v>
      </c>
      <c r="H2270" s="10">
        <f t="shared" si="74"/>
        <v>0.02065730357463302</v>
      </c>
      <c r="K2270" s="7"/>
    </row>
    <row r="2271" spans="8:8">
      <c r="B2271" s="7">
        <v>42861.0</v>
      </c>
      <c r="C2271" s="8">
        <v>1203.27</v>
      </c>
      <c r="D2271" s="8">
        <f t="shared" si="73"/>
        <v>0.01172088486795091</v>
      </c>
      <c r="E2271" s="8">
        <v>-0.010774756285274616</v>
      </c>
      <c r="F2271" s="9"/>
      <c r="G2271" s="9">
        <v>2268.0</v>
      </c>
      <c r="H2271" s="10">
        <f t="shared" si="74"/>
        <v>-0.018835455065803905</v>
      </c>
      <c r="K2271" s="7"/>
    </row>
    <row r="2272" spans="8:8">
      <c r="B2272" s="7">
        <v>42772.0</v>
      </c>
      <c r="C2272" s="8">
        <v>1189.33</v>
      </c>
      <c r="D2272" s="8">
        <f t="shared" si="73"/>
        <v>-0.004911311914324062</v>
      </c>
      <c r="E2272" s="8">
        <v>-0.010796988208552384</v>
      </c>
      <c r="F2272" s="9"/>
      <c r="G2272" s="9">
        <v>2269.0</v>
      </c>
      <c r="H2272" s="10">
        <f t="shared" si="74"/>
        <v>-0.003250646782060709</v>
      </c>
      <c r="K2272" s="7"/>
    </row>
    <row r="2273" spans="8:8">
      <c r="B2273" s="7">
        <v>42741.0</v>
      </c>
      <c r="C2273" s="8">
        <v>1195.2</v>
      </c>
      <c r="D2273" s="8">
        <f t="shared" si="73"/>
        <v>0.018231385244505103</v>
      </c>
      <c r="E2273" s="8">
        <v>-0.01080238619874244</v>
      </c>
      <c r="F2273" s="9"/>
      <c r="G2273" s="9">
        <v>2270.0</v>
      </c>
      <c r="H2273" s="10">
        <f t="shared" si="74"/>
        <v>0.022310720379260022</v>
      </c>
      <c r="K2273" s="7"/>
    </row>
    <row r="2274" spans="8:8">
      <c r="B2274" s="7" t="s">
        <v>9964</v>
      </c>
      <c r="C2274" s="8">
        <v>1173.8</v>
      </c>
      <c r="D2274" s="8">
        <f t="shared" si="73"/>
        <v>-0.003878238583806391</v>
      </c>
      <c r="E2274" s="8">
        <v>-0.01080543998012789</v>
      </c>
      <c r="F2274" s="9"/>
      <c r="G2274" s="9">
        <v>2271.0</v>
      </c>
      <c r="H2274" s="10">
        <f t="shared" si="74"/>
        <v>0.018413511091440526</v>
      </c>
      <c r="K2274" s="7"/>
    </row>
    <row r="2275" spans="8:8">
      <c r="B2275" s="7" t="s">
        <v>9965</v>
      </c>
      <c r="C2275" s="8">
        <v>1178.37</v>
      </c>
      <c r="D2275" s="8">
        <f t="shared" si="73"/>
        <v>-0.008331439824282437</v>
      </c>
      <c r="E2275" s="8">
        <v>-0.010806451612903258</v>
      </c>
      <c r="F2275" s="9"/>
      <c r="G2275" s="9">
        <v>2272.0</v>
      </c>
      <c r="H2275" s="10">
        <f t="shared" si="74"/>
        <v>-0.0011896324545384047</v>
      </c>
      <c r="K2275" s="7"/>
    </row>
    <row r="2276" spans="8:8">
      <c r="B2276" s="7" t="s">
        <v>9966</v>
      </c>
      <c r="C2276" s="8">
        <v>1188.27</v>
      </c>
      <c r="D2276" s="8">
        <f t="shared" si="73"/>
        <v>-0.002903342199994996</v>
      </c>
      <c r="E2276" s="8">
        <v>-0.010809059582363936</v>
      </c>
      <c r="F2276" s="9"/>
      <c r="G2276" s="9">
        <v>2273.0</v>
      </c>
      <c r="H2276" s="10">
        <f t="shared" si="74"/>
        <v>-0.018689463504767762</v>
      </c>
      <c r="K2276" s="7"/>
    </row>
    <row r="2277" spans="8:8">
      <c r="B2277" s="7" t="s">
        <v>9967</v>
      </c>
      <c r="C2277" s="8">
        <v>1191.73</v>
      </c>
      <c r="D2277" s="8">
        <f t="shared" si="73"/>
        <v>0.010600137377780415</v>
      </c>
      <c r="E2277" s="8">
        <v>-0.010822333360662495</v>
      </c>
      <c r="F2277" s="9"/>
      <c r="G2277" s="9">
        <v>2274.0</v>
      </c>
      <c r="H2277" s="10">
        <f t="shared" si="74"/>
        <v>0.015413110336613373</v>
      </c>
      <c r="K2277" s="7"/>
    </row>
    <row r="2278" spans="8:8">
      <c r="B2278" s="7" t="s">
        <v>9968</v>
      </c>
      <c r="C2278" s="8">
        <v>1179.23</v>
      </c>
      <c r="D2278" s="8">
        <f t="shared" si="73"/>
        <v>0.05009929027489603</v>
      </c>
      <c r="E2278" s="8">
        <v>-0.010823702073014155</v>
      </c>
      <c r="F2278" s="9"/>
      <c r="G2278" s="9">
        <v>2275.0</v>
      </c>
      <c r="H2278" s="10">
        <f t="shared" si="74"/>
        <v>0.03296254119720808</v>
      </c>
      <c r="K2278" s="7"/>
    </row>
    <row r="2279" spans="8:8">
      <c r="B2279" s="7" t="s">
        <v>9969</v>
      </c>
      <c r="C2279" s="8">
        <v>1122.97</v>
      </c>
      <c r="D2279" s="8">
        <f t="shared" si="73"/>
        <v>-0.032339508832399805</v>
      </c>
      <c r="E2279" s="8">
        <v>-0.010824808595509262</v>
      </c>
      <c r="F2279" s="9"/>
      <c r="G2279" s="9">
        <v>2276.0</v>
      </c>
      <c r="H2279" s="10">
        <f t="shared" si="74"/>
        <v>0.01747512180405249</v>
      </c>
      <c r="K2279" s="7"/>
    </row>
    <row r="2280" spans="8:8">
      <c r="B2280" s="7" t="s">
        <v>9970</v>
      </c>
      <c r="C2280" s="8">
        <v>1160.5</v>
      </c>
      <c r="D2280" s="8">
        <f t="shared" si="73"/>
        <v>-0.006395712218635776</v>
      </c>
      <c r="E2280" s="8">
        <v>-0.010834978048092657</v>
      </c>
      <c r="F2280" s="9"/>
      <c r="G2280" s="9">
        <v>2277.0</v>
      </c>
      <c r="H2280" s="10">
        <f t="shared" si="74"/>
        <v>-0.019238688809703614</v>
      </c>
      <c r="K2280" s="7"/>
    </row>
    <row r="2281" spans="8:8">
      <c r="B2281" s="7" t="s">
        <v>9971</v>
      </c>
      <c r="C2281" s="8">
        <v>1167.97</v>
      </c>
      <c r="D2281" s="8">
        <f t="shared" si="73"/>
        <v>0.015891102026615624</v>
      </c>
      <c r="E2281" s="8">
        <v>-0.010869565217391304</v>
      </c>
      <c r="F2281" s="9"/>
      <c r="G2281" s="9">
        <v>2278.0</v>
      </c>
      <c r="H2281" s="10">
        <f t="shared" si="74"/>
        <v>-0.006009643246242141</v>
      </c>
      <c r="K2281" s="7"/>
    </row>
    <row r="2282" spans="8:8">
      <c r="B2282" s="7" t="s">
        <v>9972</v>
      </c>
      <c r="C2282" s="8">
        <v>1149.7</v>
      </c>
      <c r="D2282" s="8">
        <f t="shared" si="73"/>
        <v>0.0011320097526993681</v>
      </c>
      <c r="E2282" s="8">
        <v>-0.010887115375743835</v>
      </c>
      <c r="F2282" s="9"/>
      <c r="G2282" s="9">
        <v>2279.0</v>
      </c>
      <c r="H2282" s="10">
        <f t="shared" si="74"/>
        <v>0.012579431258621442</v>
      </c>
      <c r="K2282" s="7"/>
    </row>
    <row r="2283" spans="8:8">
      <c r="B2283" s="7" t="s">
        <v>9973</v>
      </c>
      <c r="C2283" s="8">
        <v>1148.4</v>
      </c>
      <c r="D2283" s="8">
        <f t="shared" si="73"/>
        <v>-0.01871315047423726</v>
      </c>
      <c r="E2283" s="8">
        <v>-0.010903982517950439</v>
      </c>
      <c r="F2283" s="9"/>
      <c r="G2283" s="9">
        <v>2280.0</v>
      </c>
      <c r="H2283" s="10">
        <f t="shared" si="74"/>
        <v>0.0016008459534915098</v>
      </c>
      <c r="K2283" s="7"/>
    </row>
    <row r="2284" spans="8:8">
      <c r="B2284" s="7" t="s">
        <v>9974</v>
      </c>
      <c r="C2284" s="8">
        <v>1170.3</v>
      </c>
      <c r="D2284" s="8">
        <f t="shared" si="73"/>
        <v>0.008470705834704842</v>
      </c>
      <c r="E2284" s="8">
        <v>-0.010926174911524228</v>
      </c>
      <c r="F2284" s="9"/>
      <c r="G2284" s="9">
        <v>2281.0</v>
      </c>
      <c r="H2284" s="10">
        <f t="shared" si="74"/>
        <v>0.006865014667483245</v>
      </c>
      <c r="K2284" s="7"/>
    </row>
    <row r="2285" spans="8:8">
      <c r="B2285" s="7" t="s">
        <v>9975</v>
      </c>
      <c r="C2285" s="8">
        <v>1160.47</v>
      </c>
      <c r="D2285" s="8">
        <f t="shared" si="73"/>
        <v>-9.72796143250587E-4</v>
      </c>
      <c r="E2285" s="8">
        <v>-0.01092874997577841</v>
      </c>
      <c r="F2285" s="9"/>
      <c r="G2285" s="9">
        <v>2282.0</v>
      </c>
      <c r="H2285" s="10">
        <f t="shared" si="74"/>
        <v>0.009020086292145148</v>
      </c>
      <c r="K2285" s="7"/>
    </row>
    <row r="2286" spans="8:8">
      <c r="B2286" s="7" t="s">
        <v>9976</v>
      </c>
      <c r="C2286" s="8">
        <v>1161.6</v>
      </c>
      <c r="D2286" s="8">
        <f t="shared" si="73"/>
        <v>0.001034126163391777</v>
      </c>
      <c r="E2286" s="8">
        <v>-0.010939838602663154</v>
      </c>
      <c r="F2286" s="9"/>
      <c r="G2286" s="9">
        <v>2283.0</v>
      </c>
      <c r="H2286" s="10">
        <f t="shared" si="74"/>
        <v>0.009638719187381857</v>
      </c>
      <c r="K2286" s="7"/>
    </row>
    <row r="2287" spans="8:8">
      <c r="B2287" s="7">
        <v>43074.0</v>
      </c>
      <c r="C2287" s="8">
        <v>1160.4</v>
      </c>
      <c r="D2287" s="8">
        <f t="shared" si="73"/>
        <v>0.002159081095085931</v>
      </c>
      <c r="E2287" s="8">
        <v>-0.01096638655462181</v>
      </c>
      <c r="F2287" s="9"/>
      <c r="G2287" s="9">
        <v>2284.0</v>
      </c>
      <c r="H2287" s="10">
        <f t="shared" si="74"/>
        <v>0.01572107926910193</v>
      </c>
      <c r="K2287" s="7"/>
    </row>
    <row r="2288" spans="8:8">
      <c r="B2288" s="7">
        <v>43044.0</v>
      </c>
      <c r="C2288" s="8">
        <v>1157.9</v>
      </c>
      <c r="D2288" s="8">
        <f t="shared" si="73"/>
        <v>-0.0013799051315221294</v>
      </c>
      <c r="E2288" s="8">
        <v>-0.010983613876858467</v>
      </c>
      <c r="F2288" s="9"/>
      <c r="G2288" s="9">
        <v>2285.0</v>
      </c>
      <c r="H2288" s="10">
        <f t="shared" si="74"/>
        <v>4.013947286679873E-4</v>
      </c>
      <c r="K2288" s="7"/>
    </row>
    <row r="2289" spans="8:8">
      <c r="B2289" s="7">
        <v>43013.0</v>
      </c>
      <c r="C2289" s="8">
        <v>1159.5</v>
      </c>
      <c r="D2289" s="8">
        <f t="shared" si="73"/>
        <v>-0.0030951766830022436</v>
      </c>
      <c r="E2289" s="8">
        <v>-0.010987139085256793</v>
      </c>
      <c r="F2289" s="9"/>
      <c r="G2289" s="9">
        <v>2286.0</v>
      </c>
      <c r="H2289" s="10">
        <f t="shared" si="74"/>
        <v>-0.00782133642144418</v>
      </c>
      <c r="K2289" s="7"/>
    </row>
    <row r="2290" spans="8:8">
      <c r="B2290" s="7">
        <v>42983.0</v>
      </c>
      <c r="C2290" s="8">
        <v>1163.1</v>
      </c>
      <c r="D2290" s="8">
        <f t="shared" si="73"/>
        <v>0.020504856413360962</v>
      </c>
      <c r="E2290" s="8">
        <v>-0.01099364900715506</v>
      </c>
      <c r="F2290" s="9"/>
      <c r="G2290" s="9">
        <v>2287.0</v>
      </c>
      <c r="H2290" s="10">
        <f t="shared" si="74"/>
        <v>-0.004275802473233091</v>
      </c>
      <c r="K2290" s="7"/>
    </row>
    <row r="2291" spans="8:8">
      <c r="B2291" s="7">
        <v>42952.0</v>
      </c>
      <c r="C2291" s="8">
        <v>1139.73</v>
      </c>
      <c r="D2291" s="8">
        <f t="shared" si="73"/>
        <v>-0.008585594989561492</v>
      </c>
      <c r="E2291" s="8">
        <v>-0.011007018008474576</v>
      </c>
      <c r="F2291" s="9"/>
      <c r="G2291" s="9">
        <v>2288.0</v>
      </c>
      <c r="H2291" s="10">
        <f t="shared" si="74"/>
        <v>0.008467083199109625</v>
      </c>
      <c r="K2291" s="7"/>
    </row>
    <row r="2292" spans="8:8">
      <c r="B2292" s="7">
        <v>42860.0</v>
      </c>
      <c r="C2292" s="8">
        <v>1149.6</v>
      </c>
      <c r="D2292" s="8">
        <f t="shared" si="73"/>
        <v>-0.00418388295522479</v>
      </c>
      <c r="E2292" s="8">
        <v>-0.011014882704111587</v>
      </c>
      <c r="F2292" s="9"/>
      <c r="G2292" s="9">
        <v>2289.0</v>
      </c>
      <c r="H2292" s="10">
        <f t="shared" si="74"/>
        <v>-0.015970220990685426</v>
      </c>
      <c r="K2292" s="7"/>
    </row>
    <row r="2293" spans="8:8">
      <c r="B2293" s="7">
        <v>42830.0</v>
      </c>
      <c r="C2293" s="8">
        <v>1154.43</v>
      </c>
      <c r="D2293" s="8">
        <f t="shared" si="73"/>
        <v>0.006653296128357264</v>
      </c>
      <c r="E2293" s="8">
        <v>-0.011046182846371416</v>
      </c>
      <c r="F2293" s="9"/>
      <c r="G2293" s="9">
        <v>2290.0</v>
      </c>
      <c r="H2293" s="10">
        <f t="shared" si="74"/>
        <v>9.901631116140093E-4</v>
      </c>
      <c r="K2293" s="7"/>
    </row>
    <row r="2294" spans="8:8">
      <c r="B2294" s="7">
        <v>42799.0</v>
      </c>
      <c r="C2294" s="8">
        <v>1146.8</v>
      </c>
      <c r="D2294" s="8">
        <f t="shared" si="73"/>
        <v>-0.006841603879795696</v>
      </c>
      <c r="E2294" s="8">
        <v>-0.011053588918427228</v>
      </c>
      <c r="F2294" s="9"/>
      <c r="G2294" s="9">
        <v>2291.0</v>
      </c>
      <c r="H2294" s="10">
        <f t="shared" si="74"/>
        <v>-0.010945736463090688</v>
      </c>
      <c r="K2294" s="7"/>
    </row>
    <row r="2295" spans="8:8">
      <c r="B2295" s="7">
        <v>42771.0</v>
      </c>
      <c r="C2295" s="8">
        <v>1154.7</v>
      </c>
      <c r="D2295" s="8">
        <f t="shared" si="73"/>
        <v>-0.010141187967733301</v>
      </c>
      <c r="E2295" s="8">
        <v>-0.011077038613179825</v>
      </c>
      <c r="F2295" s="9"/>
      <c r="G2295" s="9">
        <v>2292.0</v>
      </c>
      <c r="H2295" s="10">
        <f t="shared" si="74"/>
        <v>0.01682547499291898</v>
      </c>
      <c r="K2295" s="7"/>
    </row>
    <row r="2296" spans="8:8">
      <c r="B2296" s="7" t="s">
        <v>9977</v>
      </c>
      <c r="C2296" s="8">
        <v>1166.53</v>
      </c>
      <c r="D2296" s="8">
        <f t="shared" si="73"/>
        <v>-0.009593914232104764</v>
      </c>
      <c r="E2296" s="8">
        <v>-0.01107916695883876</v>
      </c>
      <c r="F2296" s="9"/>
      <c r="G2296" s="9">
        <v>2293.0</v>
      </c>
      <c r="H2296" s="10">
        <f t="shared" si="74"/>
        <v>0.00977918515727734</v>
      </c>
      <c r="K2296" s="7"/>
    </row>
    <row r="2297" spans="8:8">
      <c r="B2297" s="7" t="s">
        <v>9978</v>
      </c>
      <c r="C2297" s="8">
        <v>1177.83</v>
      </c>
      <c r="D2297" s="8">
        <f t="shared" si="73"/>
        <v>0.008822043116665058</v>
      </c>
      <c r="E2297" s="8">
        <v>-0.011134851564264154</v>
      </c>
      <c r="F2297" s="9"/>
      <c r="G2297" s="9">
        <v>2294.0</v>
      </c>
      <c r="H2297" s="10">
        <f t="shared" si="74"/>
        <v>-0.008066640936253689</v>
      </c>
      <c r="K2297" s="7"/>
    </row>
    <row r="2298" spans="8:8">
      <c r="B2298" s="7" t="s">
        <v>9979</v>
      </c>
      <c r="C2298" s="8">
        <v>1167.53</v>
      </c>
      <c r="D2298" s="8">
        <f t="shared" si="73"/>
        <v>0.0029723298427070852</v>
      </c>
      <c r="E2298" s="8">
        <v>-0.011214526724151864</v>
      </c>
      <c r="F2298" s="9"/>
      <c r="G2298" s="9">
        <v>2295.0</v>
      </c>
      <c r="H2298" s="10">
        <f t="shared" si="74"/>
        <v>0.004398888792486985</v>
      </c>
      <c r="K2298" s="7"/>
    </row>
    <row r="2299" spans="8:8">
      <c r="B2299" s="7" t="s">
        <v>9980</v>
      </c>
      <c r="C2299" s="8">
        <v>1164.07</v>
      </c>
      <c r="D2299" s="8">
        <f t="shared" si="73"/>
        <v>0.007739388640239477</v>
      </c>
      <c r="E2299" s="8">
        <v>-0.0112258137304677</v>
      </c>
      <c r="F2299" s="9"/>
      <c r="G2299" s="9">
        <v>2296.0</v>
      </c>
      <c r="H2299" s="10">
        <f t="shared" si="74"/>
        <v>-0.00418273369134543</v>
      </c>
      <c r="K2299" s="7"/>
    </row>
    <row r="2300" spans="8:8">
      <c r="B2300" s="7" t="s">
        <v>9981</v>
      </c>
      <c r="C2300" s="8">
        <v>1155.13</v>
      </c>
      <c r="D2300" s="8">
        <f t="shared" si="73"/>
        <v>0.02678222222222232</v>
      </c>
      <c r="E2300" s="8">
        <v>-0.011258315801444223</v>
      </c>
      <c r="F2300" s="9"/>
      <c r="G2300" s="9">
        <v>2297.0</v>
      </c>
      <c r="H2300" s="10">
        <f t="shared" si="74"/>
        <v>0.020748873430300758</v>
      </c>
      <c r="K2300" s="7"/>
    </row>
    <row r="2301" spans="8:8">
      <c r="B2301" s="7" t="s">
        <v>9982</v>
      </c>
      <c r="C2301" s="8">
        <v>1125.0</v>
      </c>
      <c r="D2301" s="8">
        <f t="shared" si="73"/>
        <v>0.003747323340471133</v>
      </c>
      <c r="E2301" s="8">
        <v>-0.011272034724067797</v>
      </c>
      <c r="F2301" s="9"/>
      <c r="G2301" s="9">
        <v>2298.0</v>
      </c>
      <c r="H2301" s="10">
        <f t="shared" si="74"/>
        <v>0.003237849626030378</v>
      </c>
      <c r="K2301" s="7"/>
    </row>
    <row r="2302" spans="8:8">
      <c r="B2302" s="7" t="s">
        <v>9983</v>
      </c>
      <c r="C2302" s="8">
        <v>1120.8</v>
      </c>
      <c r="D2302" s="8">
        <f t="shared" si="73"/>
        <v>0.006375145910029549</v>
      </c>
      <c r="E2302" s="8">
        <v>-0.011390787353447797</v>
      </c>
      <c r="F2302" s="9"/>
      <c r="G2302" s="9">
        <v>2299.0</v>
      </c>
      <c r="H2302" s="10">
        <f t="shared" si="74"/>
        <v>-0.0013810013847165743</v>
      </c>
      <c r="K2302" s="7"/>
    </row>
    <row r="2303" spans="8:8">
      <c r="B2303" s="7" t="s">
        <v>9984</v>
      </c>
      <c r="C2303" s="8">
        <v>1113.7</v>
      </c>
      <c r="D2303" s="8">
        <f t="shared" si="73"/>
        <v>6.289308176101037E-4</v>
      </c>
      <c r="E2303" s="8">
        <v>-0.011393866385584523</v>
      </c>
      <c r="F2303" s="9"/>
      <c r="G2303" s="9">
        <v>2300.0</v>
      </c>
      <c r="H2303" s="10">
        <f t="shared" si="74"/>
        <v>0.01332841571433661</v>
      </c>
      <c r="K2303" s="7"/>
    </row>
    <row r="2304" spans="8:8">
      <c r="B2304" s="7" t="s">
        <v>9985</v>
      </c>
      <c r="C2304" s="8">
        <v>1113.0</v>
      </c>
      <c r="D2304" s="8">
        <f t="shared" si="73"/>
        <v>-0.0070479079311268535</v>
      </c>
      <c r="E2304" s="8">
        <v>-0.011402423014890698</v>
      </c>
      <c r="F2304" s="9"/>
      <c r="G2304" s="9">
        <v>2301.0</v>
      </c>
      <c r="H2304" s="10">
        <f t="shared" si="74"/>
        <v>-0.01333859891635951</v>
      </c>
      <c r="K2304" s="7"/>
    </row>
    <row r="2305" spans="8:8">
      <c r="B2305" s="7" t="s">
        <v>9986</v>
      </c>
      <c r="C2305" s="8">
        <v>1120.9</v>
      </c>
      <c r="D2305" s="8">
        <f t="shared" si="73"/>
        <v>0.0016710901405682763</v>
      </c>
      <c r="E2305" s="8">
        <v>-0.011417779113190502</v>
      </c>
      <c r="F2305" s="9"/>
      <c r="G2305" s="9">
        <v>2302.0</v>
      </c>
      <c r="H2305" s="10">
        <f t="shared" si="74"/>
        <v>0.02523675529265712</v>
      </c>
      <c r="K2305" s="7"/>
    </row>
    <row r="2306" spans="8:8">
      <c r="B2306" s="7" t="s">
        <v>9987</v>
      </c>
      <c r="C2306" s="8">
        <v>1119.03</v>
      </c>
      <c r="D2306" s="8">
        <f t="shared" si="73"/>
        <v>-0.014244186046511691</v>
      </c>
      <c r="E2306" s="8">
        <v>-0.011424997711949807</v>
      </c>
      <c r="F2306" s="9"/>
      <c r="G2306" s="9">
        <v>2303.0</v>
      </c>
      <c r="H2306" s="10">
        <f t="shared" si="74"/>
        <v>-0.00555433879131459</v>
      </c>
      <c r="K2306" s="7"/>
    </row>
    <row r="2307" spans="8:8">
      <c r="B2307" s="7">
        <v>43073.0</v>
      </c>
      <c r="C2307" s="8">
        <v>1135.2</v>
      </c>
      <c r="D2307" s="8">
        <f t="shared" si="73"/>
        <v>-0.0012317437972900437</v>
      </c>
      <c r="E2307" s="8">
        <v>-0.01142524869953336</v>
      </c>
      <c r="F2307" s="9"/>
      <c r="G2307" s="9">
        <v>2304.0</v>
      </c>
      <c r="H2307" s="10">
        <f t="shared" si="74"/>
        <v>0.013006769774235743</v>
      </c>
      <c r="K2307" s="7"/>
    </row>
    <row r="2308" spans="8:8">
      <c r="B2308" s="7">
        <v>43043.0</v>
      </c>
      <c r="C2308" s="8">
        <v>1136.6</v>
      </c>
      <c r="D2308" s="8">
        <f t="shared" si="75" ref="D2308:D2371">(C2308-C2309)/C2309</f>
        <v>0.01843140417372287</v>
      </c>
      <c r="E2308" s="8">
        <v>-0.011442352096054122</v>
      </c>
      <c r="F2308" s="9"/>
      <c r="G2308" s="9">
        <v>2305.0</v>
      </c>
      <c r="H2308" s="10">
        <f t="shared" si="74"/>
        <v>0.02519015373070403</v>
      </c>
      <c r="K2308" s="7"/>
    </row>
    <row r="2309" spans="8:8">
      <c r="B2309" s="7">
        <v>43012.0</v>
      </c>
      <c r="C2309" s="8">
        <v>1116.03</v>
      </c>
      <c r="D2309" s="8">
        <f t="shared" si="75"/>
        <v>-0.006799149216407041</v>
      </c>
      <c r="E2309" s="8">
        <v>-0.011462929319145254</v>
      </c>
      <c r="F2309" s="9"/>
      <c r="G2309" s="9">
        <v>2306.0</v>
      </c>
      <c r="H2309" s="10">
        <f t="shared" si="76" ref="H2309:H2372">_xlfn.NORM.INV(RAND(),N$6,N$7)</f>
        <v>0.016744237580198978</v>
      </c>
      <c r="K2309" s="7"/>
    </row>
    <row r="2310" spans="8:8">
      <c r="B2310" s="7">
        <v>42920.0</v>
      </c>
      <c r="C2310" s="8">
        <v>1123.67</v>
      </c>
      <c r="D2310" s="8">
        <f t="shared" si="75"/>
        <v>0.0013723900082877772</v>
      </c>
      <c r="E2310" s="8">
        <v>-0.011489529830106648</v>
      </c>
      <c r="F2310" s="9"/>
      <c r="G2310" s="9">
        <v>2307.0</v>
      </c>
      <c r="H2310" s="10">
        <f t="shared" si="76"/>
        <v>0.009124887535860332</v>
      </c>
      <c r="K2310" s="7"/>
    </row>
    <row r="2311" spans="8:8">
      <c r="B2311" s="7">
        <v>42890.0</v>
      </c>
      <c r="C2311" s="8">
        <v>1122.13</v>
      </c>
      <c r="D2311" s="8">
        <f t="shared" si="75"/>
        <v>-0.007816299282916363</v>
      </c>
      <c r="E2311" s="8">
        <v>-0.011500683824443617</v>
      </c>
      <c r="F2311" s="9"/>
      <c r="G2311" s="9">
        <v>2308.0</v>
      </c>
      <c r="H2311" s="10">
        <f t="shared" si="76"/>
        <v>0.025126337741523466</v>
      </c>
      <c r="K2311" s="7"/>
    </row>
    <row r="2312" spans="8:8">
      <c r="B2312" s="7">
        <v>42859.0</v>
      </c>
      <c r="C2312" s="8">
        <v>1130.97</v>
      </c>
      <c r="D2312" s="8">
        <f t="shared" si="75"/>
        <v>0.02134864945409237</v>
      </c>
      <c r="E2312" s="8">
        <v>-0.011616954474097371</v>
      </c>
      <c r="F2312" s="9"/>
      <c r="G2312" s="9">
        <v>2309.0</v>
      </c>
      <c r="H2312" s="10">
        <f t="shared" si="76"/>
        <v>-0.004313238343445836</v>
      </c>
      <c r="K2312" s="7"/>
    </row>
    <row r="2313" spans="8:8">
      <c r="B2313" s="7">
        <v>42798.0</v>
      </c>
      <c r="C2313" s="8">
        <v>1107.33</v>
      </c>
      <c r="D2313" s="8">
        <f t="shared" si="75"/>
        <v>0.05467031135409014</v>
      </c>
      <c r="E2313" s="8">
        <v>-0.01161756531406342</v>
      </c>
      <c r="F2313" s="9"/>
      <c r="G2313" s="9">
        <v>2310.0</v>
      </c>
      <c r="H2313" s="10">
        <f t="shared" si="76"/>
        <v>-0.01784109082744697</v>
      </c>
      <c r="K2313" s="7"/>
    </row>
    <row r="2314" spans="8:8">
      <c r="B2314" s="7" t="s">
        <v>9988</v>
      </c>
      <c r="C2314" s="8">
        <v>1049.93</v>
      </c>
      <c r="D2314" s="8">
        <f t="shared" si="75"/>
        <v>0.011201001637291833</v>
      </c>
      <c r="E2314" s="8">
        <v>-0.011636927851047323</v>
      </c>
      <c r="F2314" s="9"/>
      <c r="G2314" s="9">
        <v>2311.0</v>
      </c>
      <c r="H2314" s="10">
        <f t="shared" si="76"/>
        <v>-0.016431549206540053</v>
      </c>
      <c r="K2314" s="7"/>
    </row>
    <row r="2315" spans="8:8">
      <c r="B2315" s="7" t="s">
        <v>9989</v>
      </c>
      <c r="C2315" s="8">
        <v>1038.3</v>
      </c>
      <c r="D2315" s="8">
        <f t="shared" si="75"/>
        <v>5.782017924254689E-4</v>
      </c>
      <c r="E2315" s="8">
        <v>-0.011667786302726019</v>
      </c>
      <c r="F2315" s="9"/>
      <c r="G2315" s="9">
        <v>2312.0</v>
      </c>
      <c r="H2315" s="10">
        <f t="shared" si="76"/>
        <v>0.005435093823773125</v>
      </c>
      <c r="K2315" s="7"/>
    </row>
    <row r="2316" spans="8:8">
      <c r="B2316" s="7" t="s">
        <v>9990</v>
      </c>
      <c r="C2316" s="8">
        <v>1037.7</v>
      </c>
      <c r="D2316" s="8">
        <f t="shared" si="75"/>
        <v>0.007965031568722724</v>
      </c>
      <c r="E2316" s="8">
        <v>-0.011676340047797822</v>
      </c>
      <c r="F2316" s="9"/>
      <c r="G2316" s="9">
        <v>2313.0</v>
      </c>
      <c r="H2316" s="10">
        <f t="shared" si="76"/>
        <v>-0.009504285062729129</v>
      </c>
      <c r="K2316" s="7"/>
    </row>
    <row r="2317" spans="8:8">
      <c r="B2317" s="7" t="s">
        <v>9991</v>
      </c>
      <c r="C2317" s="8">
        <v>1029.5</v>
      </c>
      <c r="D2317" s="8">
        <f t="shared" si="75"/>
        <v>2.234593449726682E-4</v>
      </c>
      <c r="E2317" s="8">
        <v>-0.011685201026518422</v>
      </c>
      <c r="F2317" s="9"/>
      <c r="G2317" s="9">
        <v>2314.0</v>
      </c>
      <c r="H2317" s="10">
        <f t="shared" si="76"/>
        <v>0.008678937902626391</v>
      </c>
      <c r="K2317" s="7"/>
    </row>
    <row r="2318" spans="8:8">
      <c r="B2318" s="7" t="s">
        <v>9992</v>
      </c>
      <c r="C2318" s="8">
        <v>1029.27</v>
      </c>
      <c r="D2318" s="8">
        <f t="shared" si="75"/>
        <v>-0.004699602564474608</v>
      </c>
      <c r="E2318" s="8">
        <v>-0.011709397988943581</v>
      </c>
      <c r="F2318" s="9"/>
      <c r="G2318" s="9">
        <v>2315.0</v>
      </c>
      <c r="H2318" s="10">
        <f t="shared" si="76"/>
        <v>0.013439387695440175</v>
      </c>
      <c r="K2318" s="7"/>
    </row>
    <row r="2319" spans="8:8">
      <c r="B2319" s="7" t="s">
        <v>9993</v>
      </c>
      <c r="C2319" s="8">
        <v>1034.13</v>
      </c>
      <c r="D2319" s="8">
        <f t="shared" si="75"/>
        <v>0.004721793115509174</v>
      </c>
      <c r="E2319" s="8">
        <v>-0.011760966306420996</v>
      </c>
      <c r="F2319" s="9"/>
      <c r="G2319" s="9">
        <v>2316.0</v>
      </c>
      <c r="H2319" s="10">
        <f t="shared" si="76"/>
        <v>0.0012684945829148204</v>
      </c>
      <c r="K2319" s="7"/>
    </row>
    <row r="2320" spans="8:8">
      <c r="B2320" s="7" t="s">
        <v>9994</v>
      </c>
      <c r="C2320" s="8">
        <v>1029.27</v>
      </c>
      <c r="D2320" s="8">
        <f t="shared" si="75"/>
        <v>0.009187175213256207</v>
      </c>
      <c r="E2320" s="8">
        <v>-0.011780306534677836</v>
      </c>
      <c r="F2320" s="9"/>
      <c r="G2320" s="9">
        <v>2317.0</v>
      </c>
      <c r="H2320" s="10">
        <f t="shared" si="76"/>
        <v>0.02326808159317277</v>
      </c>
      <c r="K2320" s="7"/>
    </row>
    <row r="2321" spans="8:8">
      <c r="B2321" s="7" t="s">
        <v>9995</v>
      </c>
      <c r="C2321" s="8">
        <v>1019.9</v>
      </c>
      <c r="D2321" s="8">
        <f t="shared" si="75"/>
        <v>-0.01239469352183603</v>
      </c>
      <c r="E2321" s="8">
        <v>-0.011782207676286792</v>
      </c>
      <c r="F2321" s="9"/>
      <c r="G2321" s="9">
        <v>2318.0</v>
      </c>
      <c r="H2321" s="10">
        <f t="shared" si="76"/>
        <v>0.005283103270071337</v>
      </c>
      <c r="K2321" s="7"/>
    </row>
    <row r="2322" spans="8:8">
      <c r="B2322" s="7" t="s">
        <v>9996</v>
      </c>
      <c r="C2322" s="8">
        <v>1032.7</v>
      </c>
      <c r="D2322" s="8">
        <f t="shared" si="75"/>
        <v>0.007413910837967161</v>
      </c>
      <c r="E2322" s="8">
        <v>-0.01180272992237327</v>
      </c>
      <c r="F2322" s="9"/>
      <c r="G2322" s="9">
        <v>2319.0</v>
      </c>
      <c r="H2322" s="10">
        <f t="shared" si="76"/>
        <v>0.012173584916227158</v>
      </c>
      <c r="K2322" s="7"/>
    </row>
    <row r="2323" spans="8:8">
      <c r="B2323" s="7" t="s">
        <v>9997</v>
      </c>
      <c r="C2323" s="8">
        <v>1025.1</v>
      </c>
      <c r="D2323" s="8">
        <f t="shared" si="75"/>
        <v>-0.009593924813773575</v>
      </c>
      <c r="E2323" s="8">
        <v>-0.011824902457389342</v>
      </c>
      <c r="F2323" s="9"/>
      <c r="G2323" s="9">
        <v>2320.0</v>
      </c>
      <c r="H2323" s="10">
        <f t="shared" si="76"/>
        <v>0.01760093538360614</v>
      </c>
      <c r="K2323" s="7"/>
    </row>
    <row r="2324" spans="8:8">
      <c r="B2324" s="7" t="s">
        <v>9998</v>
      </c>
      <c r="C2324" s="8">
        <v>1035.03</v>
      </c>
      <c r="D2324" s="8">
        <f t="shared" si="75"/>
        <v>-0.011781891786092707</v>
      </c>
      <c r="E2324" s="8">
        <v>-0.011834018995378223</v>
      </c>
      <c r="F2324" s="9"/>
      <c r="G2324" s="9">
        <v>2321.0</v>
      </c>
      <c r="H2324" s="10">
        <f t="shared" si="76"/>
        <v>0.0019491803879728442</v>
      </c>
      <c r="K2324" s="7"/>
    </row>
    <row r="2325" spans="8:8">
      <c r="B2325" s="7" t="s">
        <v>9999</v>
      </c>
      <c r="C2325" s="8">
        <v>1047.37</v>
      </c>
      <c r="D2325" s="8">
        <f t="shared" si="75"/>
        <v>0.014303699399573875</v>
      </c>
      <c r="E2325" s="8">
        <v>-0.011836150543457378</v>
      </c>
      <c r="F2325" s="9"/>
      <c r="G2325" s="9">
        <v>2322.0</v>
      </c>
      <c r="H2325" s="10">
        <f t="shared" si="76"/>
        <v>0.0018379215937342182</v>
      </c>
      <c r="K2325" s="7"/>
    </row>
    <row r="2326" spans="8:8">
      <c r="B2326" s="7" t="s">
        <v>10000</v>
      </c>
      <c r="C2326" s="8">
        <v>1032.6</v>
      </c>
      <c r="D2326" s="8">
        <f t="shared" si="75"/>
        <v>-0.005901437332126836</v>
      </c>
      <c r="E2326" s="8">
        <v>-0.011839932544004592</v>
      </c>
      <c r="F2326" s="9"/>
      <c r="G2326" s="9">
        <v>2323.0</v>
      </c>
      <c r="H2326" s="10">
        <f t="shared" si="76"/>
        <v>9.548085401701206E-4</v>
      </c>
      <c r="K2326" s="7"/>
    </row>
    <row r="2327" spans="8:8">
      <c r="B2327" s="7" t="s">
        <v>10001</v>
      </c>
      <c r="C2327" s="8">
        <v>1038.73</v>
      </c>
      <c r="D2327" s="8">
        <f t="shared" si="75"/>
        <v>0.044579646017699155</v>
      </c>
      <c r="E2327" s="8">
        <v>-0.011863249092281699</v>
      </c>
      <c r="F2327" s="9"/>
      <c r="G2327" s="9">
        <v>2324.0</v>
      </c>
      <c r="H2327" s="10">
        <f t="shared" si="76"/>
        <v>0.012747168502112879</v>
      </c>
      <c r="K2327" s="7"/>
    </row>
    <row r="2328" spans="8:8">
      <c r="B2328" s="7">
        <v>43011.0</v>
      </c>
      <c r="C2328" s="8">
        <v>994.4</v>
      </c>
      <c r="D2328" s="8">
        <f t="shared" si="75"/>
        <v>0.009953280520008078</v>
      </c>
      <c r="E2328" s="8">
        <v>-0.011863682671136057</v>
      </c>
      <c r="F2328" s="9"/>
      <c r="G2328" s="9">
        <v>2325.0</v>
      </c>
      <c r="H2328" s="10">
        <f t="shared" si="76"/>
        <v>0.00886793199700251</v>
      </c>
      <c r="K2328" s="7"/>
    </row>
    <row r="2329" spans="8:8">
      <c r="B2329" s="7">
        <v>42981.0</v>
      </c>
      <c r="C2329" s="8">
        <v>984.6</v>
      </c>
      <c r="D2329" s="8">
        <f t="shared" si="75"/>
        <v>4.0642145905301486E-4</v>
      </c>
      <c r="E2329" s="8">
        <v>-0.011877141496243287</v>
      </c>
      <c r="F2329" s="9"/>
      <c r="G2329" s="9">
        <v>2326.0</v>
      </c>
      <c r="H2329" s="10">
        <f t="shared" si="76"/>
        <v>-0.010037879991551448</v>
      </c>
      <c r="K2329" s="7"/>
    </row>
    <row r="2330" spans="8:8">
      <c r="B2330" s="7">
        <v>42950.0</v>
      </c>
      <c r="C2330" s="8">
        <v>984.2</v>
      </c>
      <c r="D2330" s="8">
        <f t="shared" si="75"/>
        <v>-0.006791599810279137</v>
      </c>
      <c r="E2330" s="8">
        <v>-0.011880263544710917</v>
      </c>
      <c r="F2330" s="9"/>
      <c r="G2330" s="9">
        <v>2327.0</v>
      </c>
      <c r="H2330" s="10">
        <f t="shared" si="76"/>
        <v>0.006020638891094662</v>
      </c>
      <c r="K2330" s="7"/>
    </row>
    <row r="2331" spans="8:8">
      <c r="B2331" s="7">
        <v>42919.0</v>
      </c>
      <c r="C2331" s="8">
        <v>990.93</v>
      </c>
      <c r="D2331" s="8">
        <f t="shared" si="75"/>
        <v>5.351373182552228E-4</v>
      </c>
      <c r="E2331" s="8">
        <v>-0.011893910762321868</v>
      </c>
      <c r="F2331" s="9"/>
      <c r="G2331" s="9">
        <v>2328.0</v>
      </c>
      <c r="H2331" s="10">
        <f t="shared" si="76"/>
        <v>0.0015923950890134628</v>
      </c>
      <c r="K2331" s="7"/>
    </row>
    <row r="2332" spans="8:8">
      <c r="B2332" s="7">
        <v>42889.0</v>
      </c>
      <c r="C2332" s="8">
        <v>990.4</v>
      </c>
      <c r="D2332" s="8">
        <f t="shared" si="75"/>
        <v>0.010375116044193668</v>
      </c>
      <c r="E2332" s="8">
        <v>-0.011912718694712082</v>
      </c>
      <c r="F2332" s="9"/>
      <c r="G2332" s="9">
        <v>2329.0</v>
      </c>
      <c r="H2332" s="10">
        <f t="shared" si="76"/>
        <v>-0.009012076127572967</v>
      </c>
      <c r="K2332" s="7"/>
    </row>
    <row r="2333" spans="8:8">
      <c r="B2333" s="7">
        <v>42797.0</v>
      </c>
      <c r="C2333" s="8">
        <v>980.23</v>
      </c>
      <c r="D2333" s="8">
        <f t="shared" si="75"/>
        <v>-0.002442424920875586</v>
      </c>
      <c r="E2333" s="8">
        <v>-0.011935318275154044</v>
      </c>
      <c r="F2333" s="9"/>
      <c r="G2333" s="9">
        <v>2330.0</v>
      </c>
      <c r="H2333" s="10">
        <f t="shared" si="76"/>
        <v>2.3092301751788608E-4</v>
      </c>
      <c r="K2333" s="7"/>
    </row>
    <row r="2334" spans="8:8">
      <c r="B2334" s="7">
        <v>42769.0</v>
      </c>
      <c r="C2334" s="8">
        <v>982.63</v>
      </c>
      <c r="D2334" s="8">
        <f t="shared" si="75"/>
        <v>-0.0014937506350980868</v>
      </c>
      <c r="E2334" s="8">
        <v>-0.011948890148707031</v>
      </c>
      <c r="F2334" s="9"/>
      <c r="G2334" s="9">
        <v>2331.0</v>
      </c>
      <c r="H2334" s="10">
        <f t="shared" si="76"/>
        <v>-0.007988593073576935</v>
      </c>
      <c r="K2334" s="7"/>
    </row>
    <row r="2335" spans="8:8">
      <c r="B2335" s="7">
        <v>42738.0</v>
      </c>
      <c r="C2335" s="8">
        <v>984.1</v>
      </c>
      <c r="D2335" s="8">
        <f t="shared" si="75"/>
        <v>0.00472704625971188</v>
      </c>
      <c r="E2335" s="8">
        <v>-0.011956657117947328</v>
      </c>
      <c r="F2335" s="9"/>
      <c r="G2335" s="9">
        <v>2332.0</v>
      </c>
      <c r="H2335" s="10">
        <f t="shared" si="76"/>
        <v>0.00965101269500367</v>
      </c>
      <c r="K2335" s="7"/>
    </row>
    <row r="2336" spans="8:8">
      <c r="B2336" s="7" t="s">
        <v>10002</v>
      </c>
      <c r="C2336" s="8">
        <v>979.47</v>
      </c>
      <c r="D2336" s="8">
        <f t="shared" si="75"/>
        <v>0.002292193240076552</v>
      </c>
      <c r="E2336" s="8">
        <v>-0.011978192526562898</v>
      </c>
      <c r="F2336" s="9"/>
      <c r="G2336" s="9">
        <v>2333.0</v>
      </c>
      <c r="H2336" s="10">
        <f t="shared" si="76"/>
        <v>0.003979383407330709</v>
      </c>
      <c r="K2336" s="7"/>
    </row>
    <row r="2337" spans="8:8">
      <c r="B2337" s="7" t="s">
        <v>10003</v>
      </c>
      <c r="C2337" s="8">
        <v>977.23</v>
      </c>
      <c r="D2337" s="8">
        <f t="shared" si="75"/>
        <v>-0.013964704813988952</v>
      </c>
      <c r="E2337" s="8">
        <v>-0.011990141439261052</v>
      </c>
      <c r="F2337" s="9"/>
      <c r="G2337" s="9">
        <v>2334.0</v>
      </c>
      <c r="H2337" s="10">
        <f t="shared" si="76"/>
        <v>-0.014535138784057228</v>
      </c>
      <c r="K2337" s="7"/>
    </row>
    <row r="2338" spans="8:8">
      <c r="B2338" s="7" t="s">
        <v>10004</v>
      </c>
      <c r="C2338" s="8">
        <v>991.07</v>
      </c>
      <c r="D2338" s="8">
        <f t="shared" si="75"/>
        <v>0.006540527914038832</v>
      </c>
      <c r="E2338" s="8">
        <v>-0.012014251387853177</v>
      </c>
      <c r="F2338" s="9"/>
      <c r="G2338" s="9">
        <v>2335.0</v>
      </c>
      <c r="H2338" s="10">
        <f t="shared" si="76"/>
        <v>0.019528828609576894</v>
      </c>
      <c r="K2338" s="7"/>
    </row>
    <row r="2339" spans="8:8">
      <c r="B2339" s="7" t="s">
        <v>10005</v>
      </c>
      <c r="C2339" s="8">
        <v>984.63</v>
      </c>
      <c r="D2339" s="8">
        <f t="shared" si="75"/>
        <v>-0.004287722349752757</v>
      </c>
      <c r="E2339" s="8">
        <v>-0.012027016847866934</v>
      </c>
      <c r="F2339" s="9"/>
      <c r="G2339" s="9">
        <v>2336.0</v>
      </c>
      <c r="H2339" s="10">
        <f t="shared" si="76"/>
        <v>-0.00497534632340006</v>
      </c>
      <c r="K2339" s="7"/>
    </row>
    <row r="2340" spans="8:8">
      <c r="B2340" s="7" t="s">
        <v>10006</v>
      </c>
      <c r="C2340" s="8">
        <v>988.87</v>
      </c>
      <c r="D2340" s="8">
        <f t="shared" si="75"/>
        <v>4.451503900124992E-4</v>
      </c>
      <c r="E2340" s="8">
        <v>-0.01206750259262754</v>
      </c>
      <c r="F2340" s="9"/>
      <c r="G2340" s="9">
        <v>2337.0</v>
      </c>
      <c r="H2340" s="10">
        <f t="shared" si="76"/>
        <v>0.008687078880138904</v>
      </c>
      <c r="K2340" s="7"/>
    </row>
    <row r="2341" spans="8:8">
      <c r="B2341" s="7" t="s">
        <v>10007</v>
      </c>
      <c r="C2341" s="8">
        <v>988.43</v>
      </c>
      <c r="D2341" s="8">
        <f t="shared" si="75"/>
        <v>0.003146154080358772</v>
      </c>
      <c r="E2341" s="8">
        <v>-0.012134655532358924</v>
      </c>
      <c r="F2341" s="9"/>
      <c r="G2341" s="9">
        <v>2338.0</v>
      </c>
      <c r="H2341" s="10">
        <f t="shared" si="76"/>
        <v>0.0070472203720281235</v>
      </c>
      <c r="K2341" s="7"/>
    </row>
    <row r="2342" spans="8:8">
      <c r="B2342" s="7" t="s">
        <v>10008</v>
      </c>
      <c r="C2342" s="8">
        <v>985.33</v>
      </c>
      <c r="D2342" s="8">
        <f t="shared" si="75"/>
        <v>0.005264392911433814</v>
      </c>
      <c r="E2342" s="8">
        <v>-0.01214014728855158</v>
      </c>
      <c r="F2342" s="9"/>
      <c r="G2342" s="9">
        <v>2339.0</v>
      </c>
      <c r="H2342" s="10">
        <f t="shared" si="76"/>
        <v>-0.003185898583553868</v>
      </c>
      <c r="K2342" s="7"/>
    </row>
    <row r="2343" spans="8:8">
      <c r="B2343" s="7" t="s">
        <v>10009</v>
      </c>
      <c r="C2343" s="8">
        <v>980.17</v>
      </c>
      <c r="D2343" s="8">
        <f t="shared" si="75"/>
        <v>-0.006587815581704116</v>
      </c>
      <c r="E2343" s="8">
        <v>-0.012169093052148647</v>
      </c>
      <c r="F2343" s="9"/>
      <c r="G2343" s="9">
        <v>2340.0</v>
      </c>
      <c r="H2343" s="10">
        <f t="shared" si="76"/>
        <v>0.0021202533646766724</v>
      </c>
      <c r="K2343" s="7"/>
    </row>
    <row r="2344" spans="8:8">
      <c r="B2344" s="7" t="s">
        <v>10010</v>
      </c>
      <c r="C2344" s="8">
        <v>986.67</v>
      </c>
      <c r="D2344" s="8">
        <f t="shared" si="75"/>
        <v>-0.00844161717266131</v>
      </c>
      <c r="E2344" s="8">
        <v>-0.012209221662119013</v>
      </c>
      <c r="F2344" s="9"/>
      <c r="G2344" s="9">
        <v>2341.0</v>
      </c>
      <c r="H2344" s="10">
        <f t="shared" si="76"/>
        <v>0.019412571318327167</v>
      </c>
      <c r="K2344" s="7"/>
    </row>
    <row r="2345" spans="8:8">
      <c r="B2345" s="7" t="s">
        <v>10011</v>
      </c>
      <c r="C2345" s="8">
        <v>995.07</v>
      </c>
      <c r="D2345" s="8">
        <f t="shared" si="75"/>
        <v>-0.0050294970502949435</v>
      </c>
      <c r="E2345" s="8">
        <v>-0.012254286909243071</v>
      </c>
      <c r="F2345" s="9"/>
      <c r="G2345" s="9">
        <v>2342.0</v>
      </c>
      <c r="H2345" s="10">
        <f t="shared" si="76"/>
        <v>-0.00854348099287322</v>
      </c>
      <c r="K2345" s="7"/>
    </row>
    <row r="2346" spans="8:8">
      <c r="B2346" s="7" t="s">
        <v>10012</v>
      </c>
      <c r="C2346" s="8">
        <v>1000.1</v>
      </c>
      <c r="D2346" s="8">
        <f t="shared" si="75"/>
        <v>-0.0011984420253669547</v>
      </c>
      <c r="E2346" s="8">
        <v>-0.012262175556995096</v>
      </c>
      <c r="F2346" s="9"/>
      <c r="G2346" s="9">
        <v>2343.0</v>
      </c>
      <c r="H2346" s="10">
        <f t="shared" si="76"/>
        <v>0.005234094456481106</v>
      </c>
      <c r="K2346" s="7"/>
    </row>
    <row r="2347" spans="8:8">
      <c r="B2347" s="7">
        <v>43010.0</v>
      </c>
      <c r="C2347" s="8">
        <v>1001.3</v>
      </c>
      <c r="D2347" s="8">
        <f t="shared" si="75"/>
        <v>0.007546790098611391</v>
      </c>
      <c r="E2347" s="8">
        <v>-0.01229461433135552</v>
      </c>
      <c r="F2347" s="9"/>
      <c r="G2347" s="9">
        <v>2344.0</v>
      </c>
      <c r="H2347" s="10">
        <f t="shared" si="76"/>
        <v>0.012595610888910876</v>
      </c>
      <c r="K2347" s="7"/>
    </row>
    <row r="2348" spans="8:8">
      <c r="B2348" s="7">
        <v>42980.0</v>
      </c>
      <c r="C2348" s="8">
        <v>993.8</v>
      </c>
      <c r="D2348" s="8">
        <f t="shared" si="75"/>
        <v>-0.010721005007117567</v>
      </c>
      <c r="E2348" s="8">
        <v>-0.012308099523557476</v>
      </c>
      <c r="F2348" s="9"/>
      <c r="G2348" s="9">
        <v>2345.0</v>
      </c>
      <c r="H2348" s="10">
        <f t="shared" si="76"/>
        <v>-0.00635144612296414</v>
      </c>
      <c r="K2348" s="7"/>
    </row>
    <row r="2349" spans="8:8">
      <c r="B2349" s="7">
        <v>42949.0</v>
      </c>
      <c r="C2349" s="8">
        <v>1004.57</v>
      </c>
      <c r="D2349" s="8">
        <f t="shared" si="75"/>
        <v>0.0043691261747650515</v>
      </c>
      <c r="E2349" s="8">
        <v>-0.012335549582684936</v>
      </c>
      <c r="F2349" s="9"/>
      <c r="G2349" s="9">
        <v>2346.0</v>
      </c>
      <c r="H2349" s="10">
        <f t="shared" si="76"/>
        <v>-0.008510899094111478</v>
      </c>
      <c r="K2349" s="7"/>
    </row>
    <row r="2350" spans="8:8">
      <c r="B2350" s="7">
        <v>42918.0</v>
      </c>
      <c r="C2350" s="8">
        <v>1000.2</v>
      </c>
      <c r="D2350" s="8">
        <f t="shared" si="75"/>
        <v>0.011120097048119693</v>
      </c>
      <c r="E2350" s="8">
        <v>-0.012349932900511309</v>
      </c>
      <c r="F2350" s="9"/>
      <c r="G2350" s="9">
        <v>2347.0</v>
      </c>
      <c r="H2350" s="10">
        <f t="shared" si="76"/>
        <v>0.007250997647394933</v>
      </c>
      <c r="K2350" s="7"/>
    </row>
    <row r="2351" spans="8:8">
      <c r="B2351" s="7">
        <v>42888.0</v>
      </c>
      <c r="C2351" s="8">
        <v>989.2</v>
      </c>
      <c r="D2351" s="8">
        <f t="shared" si="75"/>
        <v>0.002096988238631234</v>
      </c>
      <c r="E2351" s="8">
        <v>-0.012361702464426385</v>
      </c>
      <c r="F2351" s="9"/>
      <c r="G2351" s="9">
        <v>2348.0</v>
      </c>
      <c r="H2351" s="10">
        <f t="shared" si="76"/>
        <v>-0.016117686333318573</v>
      </c>
      <c r="K2351" s="7"/>
    </row>
    <row r="2352" spans="8:8">
      <c r="B2352" s="7">
        <v>42796.0</v>
      </c>
      <c r="C2352" s="8">
        <v>987.13</v>
      </c>
      <c r="D2352" s="8">
        <f t="shared" si="75"/>
        <v>0.00284457448213501</v>
      </c>
      <c r="E2352" s="8">
        <v>-0.012419757889538974</v>
      </c>
      <c r="F2352" s="9"/>
      <c r="G2352" s="9">
        <v>2349.0</v>
      </c>
      <c r="H2352" s="10">
        <f t="shared" si="76"/>
        <v>0.018189013910408922</v>
      </c>
      <c r="K2352" s="7"/>
    </row>
    <row r="2353" spans="8:8">
      <c r="B2353" s="7">
        <v>42768.0</v>
      </c>
      <c r="C2353" s="8">
        <v>984.33</v>
      </c>
      <c r="D2353" s="8">
        <f t="shared" si="75"/>
        <v>-0.009229994967287327</v>
      </c>
      <c r="E2353" s="8">
        <v>-0.012434741338395882</v>
      </c>
      <c r="F2353" s="9"/>
      <c r="G2353" s="9">
        <v>2350.0</v>
      </c>
      <c r="H2353" s="10">
        <f t="shared" si="76"/>
        <v>0.029657576497316686</v>
      </c>
      <c r="K2353" s="7"/>
    </row>
    <row r="2354" spans="8:8">
      <c r="B2354" s="7">
        <v>42737.0</v>
      </c>
      <c r="C2354" s="8">
        <v>993.5</v>
      </c>
      <c r="D2354" s="8">
        <f t="shared" si="75"/>
        <v>0.030419946689899127</v>
      </c>
      <c r="E2354" s="8">
        <v>-0.012451771308312912</v>
      </c>
      <c r="F2354" s="9"/>
      <c r="G2354" s="9">
        <v>2351.0</v>
      </c>
      <c r="H2354" s="10">
        <f t="shared" si="76"/>
        <v>0.0020314241913993837</v>
      </c>
      <c r="K2354" s="7"/>
    </row>
    <row r="2355" spans="8:8">
      <c r="B2355" s="7" t="s">
        <v>10013</v>
      </c>
      <c r="C2355" s="8">
        <v>964.17</v>
      </c>
      <c r="D2355" s="8">
        <f t="shared" si="75"/>
        <v>0.0023911755226797326</v>
      </c>
      <c r="E2355" s="8">
        <v>-0.012456048477594142</v>
      </c>
      <c r="F2355" s="9"/>
      <c r="G2355" s="9">
        <v>2352.0</v>
      </c>
      <c r="H2355" s="10">
        <f t="shared" si="76"/>
        <v>0.026937964165632964</v>
      </c>
      <c r="K2355" s="7"/>
    </row>
    <row r="2356" spans="8:8">
      <c r="B2356" s="7" t="s">
        <v>10014</v>
      </c>
      <c r="C2356" s="8">
        <v>961.87</v>
      </c>
      <c r="D2356" s="8">
        <f t="shared" si="75"/>
        <v>0.0020209806965091775</v>
      </c>
      <c r="E2356" s="8">
        <v>-0.012493229824878105</v>
      </c>
      <c r="F2356" s="9"/>
      <c r="G2356" s="9">
        <v>2353.0</v>
      </c>
      <c r="H2356" s="10">
        <f t="shared" si="76"/>
        <v>-0.009845155079985197</v>
      </c>
      <c r="K2356" s="7"/>
    </row>
    <row r="2357" spans="8:8">
      <c r="B2357" s="7" t="s">
        <v>10015</v>
      </c>
      <c r="C2357" s="8">
        <v>959.93</v>
      </c>
      <c r="D2357" s="8">
        <f t="shared" si="75"/>
        <v>-0.006797723745473409</v>
      </c>
      <c r="E2357" s="8">
        <v>-0.012506708007870676</v>
      </c>
      <c r="F2357" s="9"/>
      <c r="G2357" s="9">
        <v>2354.0</v>
      </c>
      <c r="H2357" s="10">
        <f t="shared" si="76"/>
        <v>0.018374931304276188</v>
      </c>
      <c r="K2357" s="7"/>
    </row>
    <row r="2358" spans="8:8">
      <c r="B2358" s="7" t="s">
        <v>10016</v>
      </c>
      <c r="C2358" s="8">
        <v>966.5</v>
      </c>
      <c r="D2358" s="8">
        <f t="shared" si="75"/>
        <v>0.021098116277349928</v>
      </c>
      <c r="E2358" s="8">
        <v>-0.012511999999999971</v>
      </c>
      <c r="F2358" s="9"/>
      <c r="G2358" s="9">
        <v>2355.0</v>
      </c>
      <c r="H2358" s="10">
        <f t="shared" si="76"/>
        <v>0.02391970224829346</v>
      </c>
      <c r="K2358" s="7"/>
    </row>
    <row r="2359" spans="8:8">
      <c r="B2359" s="7" t="s">
        <v>10017</v>
      </c>
      <c r="C2359" s="8">
        <v>946.53</v>
      </c>
      <c r="D2359" s="8">
        <f t="shared" si="75"/>
        <v>0.01883685133956923</v>
      </c>
      <c r="E2359" s="8">
        <v>-0.01255872621245632</v>
      </c>
      <c r="F2359" s="9"/>
      <c r="G2359" s="9">
        <v>2356.0</v>
      </c>
      <c r="H2359" s="10">
        <f t="shared" si="76"/>
        <v>0.005833260615674769</v>
      </c>
      <c r="K2359" s="7"/>
    </row>
    <row r="2360" spans="8:8">
      <c r="B2360" s="7" t="s">
        <v>10018</v>
      </c>
      <c r="C2360" s="8">
        <v>929.03</v>
      </c>
      <c r="D2360" s="8">
        <f t="shared" si="75"/>
        <v>-0.01499199508042027</v>
      </c>
      <c r="E2360" s="8">
        <v>-0.01257122863141051</v>
      </c>
      <c r="F2360" s="9"/>
      <c r="G2360" s="9">
        <v>2357.0</v>
      </c>
      <c r="H2360" s="10">
        <f t="shared" si="76"/>
        <v>0.022490951829907117</v>
      </c>
      <c r="K2360" s="7"/>
    </row>
    <row r="2361" spans="8:8">
      <c r="B2361" s="7" t="s">
        <v>10019</v>
      </c>
      <c r="C2361" s="8">
        <v>943.17</v>
      </c>
      <c r="D2361" s="8">
        <f t="shared" si="75"/>
        <v>-0.023936665631791365</v>
      </c>
      <c r="E2361" s="8">
        <v>-0.012613308973367873</v>
      </c>
      <c r="F2361" s="9"/>
      <c r="G2361" s="9">
        <v>2358.0</v>
      </c>
      <c r="H2361" s="10">
        <f t="shared" si="76"/>
        <v>0.012752561438369413</v>
      </c>
      <c r="K2361" s="7"/>
    </row>
    <row r="2362" spans="8:8">
      <c r="B2362" s="7" t="s">
        <v>10020</v>
      </c>
      <c r="C2362" s="8">
        <v>966.3</v>
      </c>
      <c r="D2362" s="8">
        <f t="shared" si="75"/>
        <v>-0.0020654755757513166</v>
      </c>
      <c r="E2362" s="8">
        <v>-0.012686422622506207</v>
      </c>
      <c r="F2362" s="9"/>
      <c r="G2362" s="9">
        <v>2359.0</v>
      </c>
      <c r="H2362" s="10">
        <f t="shared" si="76"/>
        <v>-0.013895796621928004</v>
      </c>
      <c r="K2362" s="7"/>
    </row>
    <row r="2363" spans="8:8">
      <c r="B2363" s="7" t="s">
        <v>10021</v>
      </c>
      <c r="C2363" s="8">
        <v>968.3</v>
      </c>
      <c r="D2363" s="8">
        <f t="shared" si="75"/>
        <v>0.004637747320585491</v>
      </c>
      <c r="E2363" s="8">
        <v>-0.012706626893221395</v>
      </c>
      <c r="F2363" s="9"/>
      <c r="G2363" s="9">
        <v>2360.0</v>
      </c>
      <c r="H2363" s="10">
        <f t="shared" si="76"/>
        <v>-0.015693492155677967</v>
      </c>
      <c r="K2363" s="7"/>
    </row>
    <row r="2364" spans="8:8">
      <c r="B2364" s="7" t="s">
        <v>10022</v>
      </c>
      <c r="C2364" s="8">
        <v>963.83</v>
      </c>
      <c r="D2364" s="8">
        <f t="shared" si="75"/>
        <v>0.0020376974019358503</v>
      </c>
      <c r="E2364" s="8">
        <v>-0.012707056954844453</v>
      </c>
      <c r="F2364" s="9"/>
      <c r="G2364" s="9">
        <v>2361.0</v>
      </c>
      <c r="H2364" s="10">
        <f t="shared" si="76"/>
        <v>-0.0061351128526622055</v>
      </c>
      <c r="K2364" s="7"/>
    </row>
    <row r="2365" spans="8:8">
      <c r="B2365" s="7" t="s">
        <v>10023</v>
      </c>
      <c r="C2365" s="8">
        <v>961.87</v>
      </c>
      <c r="D2365" s="8">
        <f t="shared" si="75"/>
        <v>0.002814933744800239</v>
      </c>
      <c r="E2365" s="8">
        <v>-0.012754287704228292</v>
      </c>
      <c r="F2365" s="9"/>
      <c r="G2365" s="9">
        <v>2362.0</v>
      </c>
      <c r="H2365" s="10">
        <f t="shared" si="76"/>
        <v>0.023600790745321537</v>
      </c>
      <c r="K2365" s="7"/>
    </row>
    <row r="2366" spans="8:8">
      <c r="B2366" s="7" t="s">
        <v>10024</v>
      </c>
      <c r="C2366" s="8">
        <v>959.17</v>
      </c>
      <c r="D2366" s="8">
        <f t="shared" si="75"/>
        <v>-0.007306748910714901</v>
      </c>
      <c r="E2366" s="8">
        <v>-0.012777777777777754</v>
      </c>
      <c r="F2366" s="9"/>
      <c r="G2366" s="9">
        <v>2363.0</v>
      </c>
      <c r="H2366" s="10">
        <f t="shared" si="76"/>
        <v>0.0012990971253068564</v>
      </c>
      <c r="K2366" s="7"/>
    </row>
    <row r="2367" spans="8:8">
      <c r="B2367" s="7">
        <v>43070.0</v>
      </c>
      <c r="C2367" s="8">
        <v>966.23</v>
      </c>
      <c r="D2367" s="8">
        <f t="shared" si="75"/>
        <v>0.026190299181154845</v>
      </c>
      <c r="E2367" s="8">
        <v>-0.012782296771585855</v>
      </c>
      <c r="F2367" s="9"/>
      <c r="G2367" s="9">
        <v>2364.0</v>
      </c>
      <c r="H2367" s="10">
        <f t="shared" si="76"/>
        <v>0.0034733843646220716</v>
      </c>
      <c r="K2367" s="7"/>
    </row>
    <row r="2368" spans="8:8">
      <c r="B2368" s="7">
        <v>43040.0</v>
      </c>
      <c r="C2368" s="8">
        <v>941.57</v>
      </c>
      <c r="D2368" s="8">
        <f t="shared" si="75"/>
        <v>0.017913513513513567</v>
      </c>
      <c r="E2368" s="8">
        <v>-0.012802881466928588</v>
      </c>
      <c r="F2368" s="9"/>
      <c r="G2368" s="9">
        <v>2365.0</v>
      </c>
      <c r="H2368" s="10">
        <f t="shared" si="76"/>
        <v>0.023644135150979725</v>
      </c>
      <c r="K2368" s="7"/>
    </row>
    <row r="2369" spans="8:8">
      <c r="B2369" s="7">
        <v>43009.0</v>
      </c>
      <c r="C2369" s="8">
        <v>925.0</v>
      </c>
      <c r="D2369" s="8">
        <f t="shared" si="75"/>
        <v>0.004965070673489619</v>
      </c>
      <c r="E2369" s="8">
        <v>-0.012842176410949774</v>
      </c>
      <c r="F2369" s="9"/>
      <c r="G2369" s="9">
        <v>2366.0</v>
      </c>
      <c r="H2369" s="10">
        <f t="shared" si="76"/>
        <v>0.025978029763659108</v>
      </c>
      <c r="K2369" s="7"/>
    </row>
    <row r="2370" spans="8:8">
      <c r="B2370" s="7">
        <v>42979.0</v>
      </c>
      <c r="C2370" s="8">
        <v>920.43</v>
      </c>
      <c r="D2370" s="8">
        <f t="shared" si="75"/>
        <v>-0.007408605629246204</v>
      </c>
      <c r="E2370" s="8">
        <v>-0.012850850049146377</v>
      </c>
      <c r="F2370" s="9"/>
      <c r="G2370" s="9">
        <v>2367.0</v>
      </c>
      <c r="H2370" s="10">
        <f t="shared" si="76"/>
        <v>0.01727388107286067</v>
      </c>
      <c r="K2370" s="7"/>
    </row>
    <row r="2371" spans="8:8">
      <c r="B2371" s="7">
        <v>42887.0</v>
      </c>
      <c r="C2371" s="8">
        <v>927.3</v>
      </c>
      <c r="D2371" s="8">
        <f t="shared" si="75"/>
        <v>-9.696186166775381E-4</v>
      </c>
      <c r="E2371" s="8">
        <v>-0.012866629773104531</v>
      </c>
      <c r="F2371" s="9"/>
      <c r="G2371" s="9">
        <v>2368.0</v>
      </c>
      <c r="H2371" s="10">
        <f t="shared" si="76"/>
        <v>6.317695853516061E-4</v>
      </c>
      <c r="K2371" s="7"/>
    </row>
    <row r="2372" spans="8:8">
      <c r="B2372" s="7">
        <v>42856.0</v>
      </c>
      <c r="C2372" s="8">
        <v>928.2</v>
      </c>
      <c r="D2372" s="8">
        <f t="shared" si="77" ref="D2372:D2435">(C2372-C2373)/C2373</f>
        <v>0.011408584224118234</v>
      </c>
      <c r="E2372" s="8">
        <v>-0.01293234917342771</v>
      </c>
      <c r="F2372" s="9"/>
      <c r="G2372" s="9">
        <v>2369.0</v>
      </c>
      <c r="H2372" s="10">
        <f t="shared" si="76"/>
        <v>0.009603697303961545</v>
      </c>
      <c r="K2372" s="7"/>
    </row>
    <row r="2373" spans="8:8">
      <c r="B2373" s="7">
        <v>42826.0</v>
      </c>
      <c r="C2373" s="8">
        <v>917.73</v>
      </c>
      <c r="D2373" s="8">
        <f t="shared" si="77"/>
        <v>0.006868026374976676</v>
      </c>
      <c r="E2373" s="8">
        <v>-0.012936453221947398</v>
      </c>
      <c r="F2373" s="9"/>
      <c r="G2373" s="9">
        <v>2370.0</v>
      </c>
      <c r="H2373" s="10">
        <f t="shared" si="78" ref="H2373:H2436">_xlfn.NORM.INV(RAND(),N$6,N$7)</f>
        <v>-0.002544460868305348</v>
      </c>
      <c r="K2373" s="7"/>
    </row>
    <row r="2374" spans="8:8">
      <c r="B2374" s="7">
        <v>42795.0</v>
      </c>
      <c r="C2374" s="8">
        <v>911.47</v>
      </c>
      <c r="D2374" s="8">
        <f t="shared" si="77"/>
        <v>0.00559355692850844</v>
      </c>
      <c r="E2374" s="8">
        <v>-0.01294016604637842</v>
      </c>
      <c r="F2374" s="9"/>
      <c r="G2374" s="9">
        <v>2371.0</v>
      </c>
      <c r="H2374" s="10">
        <f t="shared" si="78"/>
        <v>6.163816111792297E-6</v>
      </c>
      <c r="K2374" s="7"/>
    </row>
    <row r="2375" spans="8:8">
      <c r="B2375" s="7">
        <v>42767.0</v>
      </c>
      <c r="C2375" s="8">
        <v>906.4</v>
      </c>
      <c r="D2375" s="8">
        <f t="shared" si="77"/>
        <v>0.00778296642205915</v>
      </c>
      <c r="E2375" s="8">
        <v>-0.012943108277793963</v>
      </c>
      <c r="F2375" s="9"/>
      <c r="G2375" s="9">
        <v>2372.0</v>
      </c>
      <c r="H2375" s="10">
        <f t="shared" si="78"/>
        <v>-0.006339404166405538</v>
      </c>
      <c r="K2375" s="7"/>
    </row>
    <row r="2376" spans="8:8">
      <c r="B2376" s="7" t="s">
        <v>10025</v>
      </c>
      <c r="C2376" s="8">
        <v>899.4</v>
      </c>
      <c r="D2376" s="8">
        <f t="shared" si="77"/>
        <v>0.007392473118279595</v>
      </c>
      <c r="E2376" s="8">
        <v>-0.012968138624930153</v>
      </c>
      <c r="F2376" s="9"/>
      <c r="G2376" s="9">
        <v>2373.0</v>
      </c>
      <c r="H2376" s="10">
        <f t="shared" si="78"/>
        <v>-0.010910697463996599</v>
      </c>
      <c r="K2376" s="7"/>
    </row>
    <row r="2377" spans="8:8">
      <c r="B2377" s="7" t="s">
        <v>10026</v>
      </c>
      <c r="C2377" s="8">
        <v>892.8</v>
      </c>
      <c r="D2377" s="8">
        <f t="shared" si="77"/>
        <v>-0.007966932231074449</v>
      </c>
      <c r="E2377" s="8">
        <v>-0.012983717487840904</v>
      </c>
      <c r="F2377" s="9"/>
      <c r="G2377" s="9">
        <v>2374.0</v>
      </c>
      <c r="H2377" s="10">
        <f t="shared" si="78"/>
        <v>-0.004532602589525924</v>
      </c>
      <c r="K2377" s="7"/>
    </row>
    <row r="2378" spans="8:8">
      <c r="B2378" s="7" t="s">
        <v>10027</v>
      </c>
      <c r="C2378" s="8">
        <v>899.97</v>
      </c>
      <c r="D2378" s="8">
        <f t="shared" si="77"/>
        <v>-0.004160534672966473</v>
      </c>
      <c r="E2378" s="8">
        <v>-0.012988290858998297</v>
      </c>
      <c r="F2378" s="9"/>
      <c r="G2378" s="9">
        <v>2375.0</v>
      </c>
      <c r="H2378" s="10">
        <f t="shared" si="78"/>
        <v>0.015297722392444403</v>
      </c>
      <c r="K2378" s="7"/>
    </row>
    <row r="2379" spans="8:8">
      <c r="B2379" s="7" t="s">
        <v>10028</v>
      </c>
      <c r="C2379" s="8">
        <v>903.73</v>
      </c>
      <c r="D2379" s="8">
        <f t="shared" si="77"/>
        <v>0.013456988101779687</v>
      </c>
      <c r="E2379" s="8">
        <v>-0.013014157182279964</v>
      </c>
      <c r="F2379" s="9"/>
      <c r="G2379" s="9">
        <v>2376.0</v>
      </c>
      <c r="H2379" s="10">
        <f t="shared" si="78"/>
        <v>1.1790968483541431E-4</v>
      </c>
      <c r="K2379" s="7"/>
    </row>
    <row r="2380" spans="8:8">
      <c r="B2380" s="7" t="s">
        <v>10029</v>
      </c>
      <c r="C2380" s="8">
        <v>891.73</v>
      </c>
      <c r="D2380" s="8">
        <f t="shared" si="77"/>
        <v>1.1215414465644128E-4</v>
      </c>
      <c r="E2380" s="8">
        <v>-0.013022448220265409</v>
      </c>
      <c r="F2380" s="9"/>
      <c r="G2380" s="9">
        <v>2377.0</v>
      </c>
      <c r="H2380" s="10">
        <f t="shared" si="78"/>
        <v>0.007343758592355951</v>
      </c>
      <c r="K2380" s="7"/>
    </row>
    <row r="2381" spans="8:8">
      <c r="B2381" s="7" t="s">
        <v>10030</v>
      </c>
      <c r="C2381" s="8">
        <v>891.63</v>
      </c>
      <c r="D2381" s="8">
        <f t="shared" si="77"/>
        <v>0.017343085015346402</v>
      </c>
      <c r="E2381" s="8">
        <v>-0.013065579968911634</v>
      </c>
      <c r="F2381" s="9"/>
      <c r="G2381" s="9">
        <v>2378.0</v>
      </c>
      <c r="H2381" s="10">
        <f t="shared" si="78"/>
        <v>-0.020405474393677514</v>
      </c>
      <c r="K2381" s="7"/>
    </row>
    <row r="2382" spans="8:8">
      <c r="B2382" s="7" t="s">
        <v>10031</v>
      </c>
      <c r="C2382" s="8">
        <v>876.43</v>
      </c>
      <c r="D2382" s="8">
        <f t="shared" si="77"/>
        <v>-0.020387405412051383</v>
      </c>
      <c r="E2382" s="8">
        <v>-0.01309624395114846</v>
      </c>
      <c r="F2382" s="9"/>
      <c r="G2382" s="9">
        <v>2379.0</v>
      </c>
      <c r="H2382" s="10">
        <f t="shared" si="78"/>
        <v>0.021550106195200317</v>
      </c>
      <c r="K2382" s="7"/>
    </row>
    <row r="2383" spans="8:8">
      <c r="B2383" s="7" t="s">
        <v>10032</v>
      </c>
      <c r="C2383" s="8">
        <v>894.67</v>
      </c>
      <c r="D2383" s="8">
        <f t="shared" si="77"/>
        <v>-0.009959387829628073</v>
      </c>
      <c r="E2383" s="8">
        <v>-0.013096650543031975</v>
      </c>
      <c r="F2383" s="9"/>
      <c r="G2383" s="9">
        <v>2380.0</v>
      </c>
      <c r="H2383" s="10">
        <f t="shared" si="78"/>
        <v>0.020145881876915635</v>
      </c>
      <c r="K2383" s="7"/>
    </row>
    <row r="2384" spans="8:8">
      <c r="B2384" s="7" t="s">
        <v>10033</v>
      </c>
      <c r="C2384" s="8">
        <v>903.67</v>
      </c>
      <c r="D2384" s="8">
        <f t="shared" si="77"/>
        <v>0.007851622185293781</v>
      </c>
      <c r="E2384" s="8">
        <v>-0.013115349682107142</v>
      </c>
      <c r="F2384" s="9"/>
      <c r="G2384" s="9">
        <v>2381.0</v>
      </c>
      <c r="H2384" s="10">
        <f t="shared" si="78"/>
        <v>0.015787877166200726</v>
      </c>
      <c r="K2384" s="7"/>
    </row>
    <row r="2385" spans="8:8">
      <c r="B2385" s="7" t="s">
        <v>10034</v>
      </c>
      <c r="C2385" s="8">
        <v>896.63</v>
      </c>
      <c r="D2385" s="8">
        <f t="shared" si="77"/>
        <v>-0.011509585809254031</v>
      </c>
      <c r="E2385" s="8">
        <v>-0.013126797031416976</v>
      </c>
      <c r="F2385" s="9"/>
      <c r="G2385" s="9">
        <v>2382.0</v>
      </c>
      <c r="H2385" s="10">
        <f t="shared" si="78"/>
        <v>-0.008565077722441132</v>
      </c>
      <c r="K2385" s="7"/>
    </row>
    <row r="2386" spans="8:8">
      <c r="B2386" s="7" t="s">
        <v>10035</v>
      </c>
      <c r="C2386" s="8">
        <v>907.07</v>
      </c>
      <c r="D2386" s="8">
        <f t="shared" si="77"/>
        <v>0.0027637440994063476</v>
      </c>
      <c r="E2386" s="8">
        <v>-0.013133101124878662</v>
      </c>
      <c r="F2386" s="9"/>
      <c r="G2386" s="9">
        <v>2383.0</v>
      </c>
      <c r="H2386" s="10">
        <f t="shared" si="78"/>
        <v>0.021251782594419597</v>
      </c>
      <c r="K2386" s="7"/>
    </row>
    <row r="2387" spans="8:8">
      <c r="B2387" s="7" t="s">
        <v>10036</v>
      </c>
      <c r="C2387" s="8">
        <v>904.57</v>
      </c>
      <c r="D2387" s="8">
        <f t="shared" si="77"/>
        <v>-0.0022721507119772624</v>
      </c>
      <c r="E2387" s="8">
        <v>-0.013144942990730756</v>
      </c>
      <c r="F2387" s="9"/>
      <c r="G2387" s="9">
        <v>2384.0</v>
      </c>
      <c r="H2387" s="10">
        <f t="shared" si="78"/>
        <v>0.013895533420818128</v>
      </c>
      <c r="K2387" s="7"/>
    </row>
    <row r="2388" spans="8:8">
      <c r="B2388" s="7" t="s">
        <v>10037</v>
      </c>
      <c r="C2388" s="8">
        <v>906.63</v>
      </c>
      <c r="D2388" s="8">
        <f t="shared" si="77"/>
        <v>-0.011448758627457395</v>
      </c>
      <c r="E2388" s="8">
        <v>-0.013161328809514832</v>
      </c>
      <c r="F2388" s="9"/>
      <c r="G2388" s="9">
        <v>2385.0</v>
      </c>
      <c r="H2388" s="10">
        <f t="shared" si="78"/>
        <v>-0.0035957883498038646</v>
      </c>
      <c r="K2388" s="7"/>
    </row>
    <row r="2389" spans="8:8">
      <c r="B2389" s="7" t="s">
        <v>10038</v>
      </c>
      <c r="C2389" s="8">
        <v>917.13</v>
      </c>
      <c r="D2389" s="8">
        <f t="shared" si="77"/>
        <v>0.007868391265646086</v>
      </c>
      <c r="E2389" s="8">
        <v>-0.013171871680475853</v>
      </c>
      <c r="F2389" s="9"/>
      <c r="G2389" s="9">
        <v>2386.0</v>
      </c>
      <c r="H2389" s="10">
        <f t="shared" si="78"/>
        <v>0.004137917148375629</v>
      </c>
      <c r="K2389" s="7"/>
    </row>
    <row r="2390" spans="8:8">
      <c r="B2390" s="7">
        <v>42716.0</v>
      </c>
      <c r="C2390" s="8">
        <v>909.97</v>
      </c>
      <c r="D2390" s="8">
        <f t="shared" si="77"/>
        <v>0.002026141631704747</v>
      </c>
      <c r="E2390" s="8">
        <v>-0.013188804617759642</v>
      </c>
      <c r="F2390" s="9"/>
      <c r="G2390" s="9">
        <v>2387.0</v>
      </c>
      <c r="H2390" s="10">
        <f t="shared" si="78"/>
        <v>0.015305373313616085</v>
      </c>
      <c r="K2390" s="7"/>
    </row>
    <row r="2391" spans="8:8">
      <c r="B2391" s="7">
        <v>42625.0</v>
      </c>
      <c r="C2391" s="8">
        <v>908.13</v>
      </c>
      <c r="D2391" s="8">
        <f t="shared" si="77"/>
        <v>-0.003478547130472906</v>
      </c>
      <c r="E2391" s="8">
        <v>-0.013214982287147342</v>
      </c>
      <c r="F2391" s="9"/>
      <c r="G2391" s="9">
        <v>2388.0</v>
      </c>
      <c r="H2391" s="10">
        <f t="shared" si="78"/>
        <v>0.007040843850370442</v>
      </c>
      <c r="K2391" s="7"/>
    </row>
    <row r="2392" spans="8:8">
      <c r="B2392" s="7">
        <v>42594.0</v>
      </c>
      <c r="C2392" s="8">
        <v>911.3</v>
      </c>
      <c r="D2392" s="8">
        <f t="shared" si="77"/>
        <v>0.009717128516503587</v>
      </c>
      <c r="E2392" s="8">
        <v>-0.013215515763554503</v>
      </c>
      <c r="F2392" s="9"/>
      <c r="G2392" s="9">
        <v>2389.0</v>
      </c>
      <c r="H2392" s="10">
        <f t="shared" si="78"/>
        <v>-0.009550489819806898</v>
      </c>
      <c r="K2392" s="7"/>
    </row>
    <row r="2393" spans="8:8">
      <c r="B2393" s="7">
        <v>42563.0</v>
      </c>
      <c r="C2393" s="8">
        <v>902.53</v>
      </c>
      <c r="D2393" s="8">
        <f t="shared" si="77"/>
        <v>-0.0061336857174320554</v>
      </c>
      <c r="E2393" s="8">
        <v>-0.013216580056467196</v>
      </c>
      <c r="F2393" s="9"/>
      <c r="G2393" s="9">
        <v>2390.0</v>
      </c>
      <c r="H2393" s="10">
        <f t="shared" si="78"/>
        <v>-0.002380830961393906</v>
      </c>
      <c r="K2393" s="7"/>
    </row>
    <row r="2394" spans="8:8">
      <c r="B2394" s="7">
        <v>42533.0</v>
      </c>
      <c r="C2394" s="8">
        <v>908.1</v>
      </c>
      <c r="D2394" s="8">
        <f t="shared" si="77"/>
        <v>0.004424289348523393</v>
      </c>
      <c r="E2394" s="8">
        <v>-0.013229494283860017</v>
      </c>
      <c r="F2394" s="9"/>
      <c r="G2394" s="9">
        <v>2391.0</v>
      </c>
      <c r="H2394" s="10">
        <f t="shared" si="78"/>
        <v>-0.006910655987464462</v>
      </c>
      <c r="K2394" s="7"/>
    </row>
    <row r="2395" spans="8:8">
      <c r="B2395" s="7">
        <v>42502.0</v>
      </c>
      <c r="C2395" s="8">
        <v>904.1</v>
      </c>
      <c r="D2395" s="8">
        <f t="shared" si="77"/>
        <v>-0.0041854829827072965</v>
      </c>
      <c r="E2395" s="8">
        <v>-0.01323180626638375</v>
      </c>
      <c r="F2395" s="9"/>
      <c r="G2395" s="9">
        <v>2392.0</v>
      </c>
      <c r="H2395" s="10">
        <f t="shared" si="78"/>
        <v>0.005432843972038205</v>
      </c>
      <c r="K2395" s="7"/>
    </row>
    <row r="2396" spans="8:8">
      <c r="B2396" s="7">
        <v>42412.0</v>
      </c>
      <c r="C2396" s="8">
        <v>907.9</v>
      </c>
      <c r="D2396" s="8">
        <f t="shared" si="77"/>
        <v>-0.019090938556781303</v>
      </c>
      <c r="E2396" s="8">
        <v>-0.013243046329233312</v>
      </c>
      <c r="F2396" s="9"/>
      <c r="G2396" s="9">
        <v>2393.0</v>
      </c>
      <c r="H2396" s="10">
        <f t="shared" si="78"/>
        <v>-0.012183894080670804</v>
      </c>
      <c r="K2396" s="7"/>
    </row>
    <row r="2397" spans="8:8">
      <c r="B2397" s="7">
        <v>42381.0</v>
      </c>
      <c r="C2397" s="8">
        <v>925.57</v>
      </c>
      <c r="D2397" s="8">
        <f t="shared" si="77"/>
        <v>0.00405714719633773</v>
      </c>
      <c r="E2397" s="8">
        <v>-0.013245518819491195</v>
      </c>
      <c r="F2397" s="9"/>
      <c r="G2397" s="9">
        <v>2394.0</v>
      </c>
      <c r="H2397" s="10">
        <f t="shared" si="78"/>
        <v>-0.00327675148608441</v>
      </c>
      <c r="K2397" s="7"/>
    </row>
    <row r="2398" spans="8:8">
      <c r="B2398" s="7" t="s">
        <v>10039</v>
      </c>
      <c r="C2398" s="8">
        <v>921.83</v>
      </c>
      <c r="D2398" s="8">
        <f t="shared" si="77"/>
        <v>0.022403868549183196</v>
      </c>
      <c r="E2398" s="8">
        <v>-0.013276973933777705</v>
      </c>
      <c r="F2398" s="9"/>
      <c r="G2398" s="9">
        <v>2395.0</v>
      </c>
      <c r="H2398" s="10">
        <f t="shared" si="78"/>
        <v>-0.008519005784144787</v>
      </c>
      <c r="K2398" s="7"/>
    </row>
    <row r="2399" spans="8:8">
      <c r="B2399" s="7" t="s">
        <v>10040</v>
      </c>
      <c r="C2399" s="8">
        <v>901.63</v>
      </c>
      <c r="D2399" s="8">
        <f t="shared" si="77"/>
        <v>-0.0033162729513723844</v>
      </c>
      <c r="E2399" s="8">
        <v>-0.013295380846004212</v>
      </c>
      <c r="F2399" s="9"/>
      <c r="G2399" s="9">
        <v>2396.0</v>
      </c>
      <c r="H2399" s="10">
        <f t="shared" si="78"/>
        <v>0.012091363428487916</v>
      </c>
      <c r="K2399" s="7"/>
    </row>
    <row r="2400" spans="8:8">
      <c r="B2400" s="7" t="s">
        <v>10041</v>
      </c>
      <c r="C2400" s="8">
        <v>904.63</v>
      </c>
      <c r="D2400" s="8">
        <f t="shared" si="77"/>
        <v>-0.010035018603633136</v>
      </c>
      <c r="E2400" s="8">
        <v>-0.013349598361221718</v>
      </c>
      <c r="F2400" s="9"/>
      <c r="G2400" s="9">
        <v>2397.0</v>
      </c>
      <c r="H2400" s="10">
        <f t="shared" si="78"/>
        <v>-6.417192440189342E-4</v>
      </c>
      <c r="K2400" s="7"/>
    </row>
    <row r="2401" spans="8:8">
      <c r="B2401" s="7" t="s">
        <v>10042</v>
      </c>
      <c r="C2401" s="8">
        <v>913.8</v>
      </c>
      <c r="D2401" s="8">
        <f t="shared" si="77"/>
        <v>0.01559287373439876</v>
      </c>
      <c r="E2401" s="8">
        <v>-0.013351591920575048</v>
      </c>
      <c r="F2401" s="9"/>
      <c r="G2401" s="9">
        <v>2398.0</v>
      </c>
      <c r="H2401" s="10">
        <f t="shared" si="78"/>
        <v>0.007466913431068589</v>
      </c>
      <c r="K2401" s="7"/>
    </row>
    <row r="2402" spans="8:8">
      <c r="B2402" s="7" t="s">
        <v>10043</v>
      </c>
      <c r="C2402" s="8">
        <v>899.77</v>
      </c>
      <c r="D2402" s="8">
        <f t="shared" si="77"/>
        <v>-0.0055922106915111775</v>
      </c>
      <c r="E2402" s="8">
        <v>-0.013383634240546002</v>
      </c>
      <c r="F2402" s="9"/>
      <c r="G2402" s="9">
        <v>2399.0</v>
      </c>
      <c r="H2402" s="10">
        <f t="shared" si="78"/>
        <v>-0.0036563209429221095</v>
      </c>
      <c r="K2402" s="7"/>
    </row>
    <row r="2403" spans="8:8">
      <c r="B2403" s="7" t="s">
        <v>10044</v>
      </c>
      <c r="C2403" s="8">
        <v>904.83</v>
      </c>
      <c r="D2403" s="8">
        <f t="shared" si="77"/>
        <v>0.020826517142953888</v>
      </c>
      <c r="E2403" s="8">
        <v>-0.013385686239514544</v>
      </c>
      <c r="F2403" s="9"/>
      <c r="G2403" s="9">
        <v>2400.0</v>
      </c>
      <c r="H2403" s="10">
        <f t="shared" si="78"/>
        <v>0.011261522977982663</v>
      </c>
      <c r="K2403" s="7"/>
    </row>
    <row r="2404" spans="8:8">
      <c r="B2404" s="7" t="s">
        <v>10045</v>
      </c>
      <c r="C2404" s="8">
        <v>886.37</v>
      </c>
      <c r="D2404" s="8">
        <f t="shared" si="77"/>
        <v>-0.013610060093478765</v>
      </c>
      <c r="E2404" s="8">
        <v>-0.01342433556318942</v>
      </c>
      <c r="F2404" s="9"/>
      <c r="G2404" s="9">
        <v>2401.0</v>
      </c>
      <c r="H2404" s="10">
        <f t="shared" si="78"/>
        <v>-0.0036506277507437207</v>
      </c>
      <c r="K2404" s="7"/>
    </row>
    <row r="2405" spans="8:8">
      <c r="B2405" s="7" t="s">
        <v>10046</v>
      </c>
      <c r="C2405" s="8">
        <v>898.6</v>
      </c>
      <c r="D2405" s="8">
        <f t="shared" si="77"/>
        <v>-0.016450860851767096</v>
      </c>
      <c r="E2405" s="8">
        <v>-0.013426665029268566</v>
      </c>
      <c r="F2405" s="9"/>
      <c r="G2405" s="9">
        <v>2402.0</v>
      </c>
      <c r="H2405" s="10">
        <f t="shared" si="78"/>
        <v>0.02281746984962152</v>
      </c>
      <c r="K2405" s="7"/>
    </row>
    <row r="2406" spans="8:8">
      <c r="B2406" s="7" t="s">
        <v>10047</v>
      </c>
      <c r="C2406" s="8">
        <v>913.63</v>
      </c>
      <c r="D2406" s="8">
        <f t="shared" si="77"/>
        <v>-4.048140043763726E-4</v>
      </c>
      <c r="E2406" s="8">
        <v>-0.013434579439252449</v>
      </c>
      <c r="F2406" s="9"/>
      <c r="G2406" s="9">
        <v>2403.0</v>
      </c>
      <c r="H2406" s="10">
        <f t="shared" si="78"/>
        <v>-1.166400972776472E-4</v>
      </c>
      <c r="K2406" s="7"/>
    </row>
    <row r="2407" spans="8:8">
      <c r="B2407" s="7" t="s">
        <v>10048</v>
      </c>
      <c r="C2407" s="8">
        <v>914.0</v>
      </c>
      <c r="D2407" s="8">
        <f t="shared" si="77"/>
        <v>-0.0033041449025658625</v>
      </c>
      <c r="E2407" s="8">
        <v>-0.013437135756856096</v>
      </c>
      <c r="F2407" s="9"/>
      <c r="G2407" s="9">
        <v>2404.0</v>
      </c>
      <c r="H2407" s="10">
        <f t="shared" si="78"/>
        <v>0.011825764086799855</v>
      </c>
      <c r="K2407" s="7"/>
    </row>
    <row r="2408" spans="8:8">
      <c r="B2408" s="7" t="s">
        <v>10049</v>
      </c>
      <c r="C2408" s="8">
        <v>917.03</v>
      </c>
      <c r="D2408" s="8">
        <f t="shared" si="77"/>
        <v>0.0038312918021301983</v>
      </c>
      <c r="E2408" s="8">
        <v>-0.01346114623699788</v>
      </c>
      <c r="F2408" s="9"/>
      <c r="G2408" s="9">
        <v>2405.0</v>
      </c>
      <c r="H2408" s="10">
        <f t="shared" si="78"/>
        <v>-0.00421080529796136</v>
      </c>
      <c r="K2408" s="7"/>
    </row>
    <row r="2409" spans="8:8">
      <c r="B2409" s="7" t="s">
        <v>10050</v>
      </c>
      <c r="C2409" s="8">
        <v>913.53</v>
      </c>
      <c r="D2409" s="8">
        <f t="shared" si="77"/>
        <v>-0.01332800501150273</v>
      </c>
      <c r="E2409" s="8">
        <v>-0.013484197541367251</v>
      </c>
      <c r="F2409" s="9"/>
      <c r="G2409" s="9">
        <v>2406.0</v>
      </c>
      <c r="H2409" s="10">
        <f t="shared" si="78"/>
        <v>0.006233223706709716</v>
      </c>
      <c r="K2409" s="7"/>
    </row>
    <row r="2410" spans="8:8">
      <c r="B2410" s="7">
        <v>42685.0</v>
      </c>
      <c r="C2410" s="8">
        <v>925.87</v>
      </c>
      <c r="D2410" s="8">
        <f t="shared" si="77"/>
        <v>-0.016496707032079852</v>
      </c>
      <c r="E2410" s="8">
        <v>-0.013489809555629879</v>
      </c>
      <c r="F2410" s="9"/>
      <c r="G2410" s="9">
        <v>2407.0</v>
      </c>
      <c r="H2410" s="10">
        <f t="shared" si="78"/>
        <v>-0.007420109889991614</v>
      </c>
      <c r="K2410" s="7"/>
    </row>
    <row r="2411" spans="8:8">
      <c r="B2411" s="7">
        <v>42654.0</v>
      </c>
      <c r="C2411" s="8">
        <v>941.4</v>
      </c>
      <c r="D2411" s="8">
        <f t="shared" si="77"/>
        <v>0.015566846823521743</v>
      </c>
      <c r="E2411" s="8">
        <v>-0.013501898144831968</v>
      </c>
      <c r="F2411" s="9"/>
      <c r="G2411" s="9">
        <v>2408.0</v>
      </c>
      <c r="H2411" s="10">
        <f t="shared" si="78"/>
        <v>-0.00421184237201869</v>
      </c>
      <c r="K2411" s="7"/>
    </row>
    <row r="2412" spans="8:8">
      <c r="B2412" s="7">
        <v>42624.0</v>
      </c>
      <c r="C2412" s="8">
        <v>926.97</v>
      </c>
      <c r="D2412" s="8">
        <f t="shared" si="77"/>
        <v>-0.004831073464523817</v>
      </c>
      <c r="E2412" s="8">
        <v>-0.013537675606641153</v>
      </c>
      <c r="F2412" s="9"/>
      <c r="G2412" s="9">
        <v>2409.0</v>
      </c>
      <c r="H2412" s="10">
        <f t="shared" si="78"/>
        <v>0.004994451309944194</v>
      </c>
      <c r="K2412" s="7"/>
    </row>
    <row r="2413" spans="8:8">
      <c r="B2413" s="7">
        <v>42593.0</v>
      </c>
      <c r="C2413" s="8">
        <v>931.47</v>
      </c>
      <c r="D2413" s="8">
        <f t="shared" si="77"/>
        <v>-5.686695278969664E-4</v>
      </c>
      <c r="E2413" s="8">
        <v>-0.013576565514821897</v>
      </c>
      <c r="F2413" s="9"/>
      <c r="G2413" s="9">
        <v>2410.0</v>
      </c>
      <c r="H2413" s="10">
        <f t="shared" si="78"/>
        <v>0.011298751481318287</v>
      </c>
      <c r="K2413" s="7"/>
    </row>
    <row r="2414" spans="8:8">
      <c r="B2414" s="7">
        <v>42562.0</v>
      </c>
      <c r="C2414" s="8">
        <v>932.0</v>
      </c>
      <c r="D2414" s="8">
        <f t="shared" si="77"/>
        <v>-0.01535080768702521</v>
      </c>
      <c r="E2414" s="8">
        <v>-0.013588924387646471</v>
      </c>
      <c r="F2414" s="9"/>
      <c r="G2414" s="9">
        <v>2411.0</v>
      </c>
      <c r="H2414" s="10">
        <f t="shared" si="78"/>
        <v>0.012170626887078453</v>
      </c>
      <c r="K2414" s="7"/>
    </row>
    <row r="2415" spans="8:8">
      <c r="B2415" s="7">
        <v>42471.0</v>
      </c>
      <c r="C2415" s="8">
        <v>946.53</v>
      </c>
      <c r="D2415" s="8">
        <f t="shared" si="77"/>
        <v>-0.016898628998753617</v>
      </c>
      <c r="E2415" s="8">
        <v>-0.013680017293024174</v>
      </c>
      <c r="F2415" s="9"/>
      <c r="G2415" s="9">
        <v>2412.0</v>
      </c>
      <c r="H2415" s="10">
        <f t="shared" si="78"/>
        <v>-0.005596786484956207</v>
      </c>
      <c r="K2415" s="7"/>
    </row>
    <row r="2416" spans="8:8">
      <c r="B2416" s="7">
        <v>42440.0</v>
      </c>
      <c r="C2416" s="8">
        <v>962.8</v>
      </c>
      <c r="D2416" s="8">
        <f t="shared" si="77"/>
        <v>-0.0030752663677687518</v>
      </c>
      <c r="E2416" s="8">
        <v>-0.013780451384444807</v>
      </c>
      <c r="F2416" s="9"/>
      <c r="G2416" s="9">
        <v>2413.0</v>
      </c>
      <c r="H2416" s="10">
        <f t="shared" si="78"/>
        <v>-0.013410547993941126</v>
      </c>
      <c r="K2416" s="7"/>
    </row>
    <row r="2417" spans="8:8">
      <c r="B2417" s="7">
        <v>42411.0</v>
      </c>
      <c r="C2417" s="8">
        <v>965.77</v>
      </c>
      <c r="D2417" s="8">
        <f t="shared" si="77"/>
        <v>-0.009903324687573654</v>
      </c>
      <c r="E2417" s="8">
        <v>-0.013780487804878085</v>
      </c>
      <c r="F2417" s="9"/>
      <c r="G2417" s="9">
        <v>2414.0</v>
      </c>
      <c r="H2417" s="10">
        <f t="shared" si="78"/>
        <v>0.006403427141590375</v>
      </c>
      <c r="K2417" s="7"/>
    </row>
    <row r="2418" spans="8:8">
      <c r="B2418" s="7">
        <v>42380.0</v>
      </c>
      <c r="C2418" s="8">
        <v>975.43</v>
      </c>
      <c r="D2418" s="8">
        <f t="shared" si="77"/>
        <v>-0.00820538891713274</v>
      </c>
      <c r="E2418" s="8">
        <v>-0.013786139674820128</v>
      </c>
      <c r="F2418" s="9"/>
      <c r="G2418" s="9">
        <v>2415.0</v>
      </c>
      <c r="H2418" s="10">
        <f t="shared" si="78"/>
        <v>0.029439054058951086</v>
      </c>
      <c r="K2418" s="7"/>
    </row>
    <row r="2419" spans="8:8">
      <c r="B2419" s="7" t="s">
        <v>10051</v>
      </c>
      <c r="C2419" s="8">
        <v>983.5</v>
      </c>
      <c r="D2419" s="8">
        <f t="shared" si="77"/>
        <v>-0.0036773272010778677</v>
      </c>
      <c r="E2419" s="8">
        <v>-0.013808046904873179</v>
      </c>
      <c r="F2419" s="9"/>
      <c r="G2419" s="9">
        <v>2416.0</v>
      </c>
      <c r="H2419" s="10">
        <f t="shared" si="78"/>
        <v>-0.010233762129202417</v>
      </c>
      <c r="K2419" s="7"/>
    </row>
    <row r="2420" spans="8:8">
      <c r="B2420" s="7" t="s">
        <v>10052</v>
      </c>
      <c r="C2420" s="8">
        <v>987.13</v>
      </c>
      <c r="D2420" s="8">
        <f t="shared" si="77"/>
        <v>0.0036602848921741308</v>
      </c>
      <c r="E2420" s="8">
        <v>-0.013900589721988061</v>
      </c>
      <c r="F2420" s="9"/>
      <c r="G2420" s="9">
        <v>2417.0</v>
      </c>
      <c r="H2420" s="10">
        <f t="shared" si="78"/>
        <v>0.012235645314680434</v>
      </c>
      <c r="K2420" s="7"/>
    </row>
    <row r="2421" spans="8:8">
      <c r="B2421" s="7" t="s">
        <v>10053</v>
      </c>
      <c r="C2421" s="8">
        <v>983.53</v>
      </c>
      <c r="D2421" s="8">
        <f t="shared" si="77"/>
        <v>-0.004725764015381575</v>
      </c>
      <c r="E2421" s="8">
        <v>-0.013904530884518717</v>
      </c>
      <c r="F2421" s="9"/>
      <c r="G2421" s="9">
        <v>2418.0</v>
      </c>
      <c r="H2421" s="10">
        <f t="shared" si="78"/>
        <v>-0.012414677439895286</v>
      </c>
      <c r="K2421" s="7"/>
    </row>
    <row r="2422" spans="8:8">
      <c r="B2422" s="7" t="s">
        <v>10054</v>
      </c>
      <c r="C2422" s="8">
        <v>988.2</v>
      </c>
      <c r="D2422" s="8">
        <f t="shared" si="77"/>
        <v>-0.0012128562765311621</v>
      </c>
      <c r="E2422" s="8">
        <v>-0.013931986574631119</v>
      </c>
      <c r="F2422" s="9"/>
      <c r="G2422" s="9">
        <v>2419.0</v>
      </c>
      <c r="H2422" s="10">
        <f t="shared" si="78"/>
        <v>0.0022828040573317733</v>
      </c>
      <c r="K2422" s="7"/>
    </row>
    <row r="2423" spans="8:8">
      <c r="B2423" s="7" t="s">
        <v>10055</v>
      </c>
      <c r="C2423" s="8">
        <v>989.4</v>
      </c>
      <c r="D2423" s="8">
        <f t="shared" si="77"/>
        <v>-0.005728067530901462</v>
      </c>
      <c r="E2423" s="8">
        <v>-0.013996490176775359</v>
      </c>
      <c r="F2423" s="9"/>
      <c r="G2423" s="9">
        <v>2420.0</v>
      </c>
      <c r="H2423" s="10">
        <f t="shared" si="78"/>
        <v>0.011554099472818217</v>
      </c>
      <c r="K2423" s="7"/>
    </row>
    <row r="2424" spans="8:8">
      <c r="B2424" s="7" t="s">
        <v>10056</v>
      </c>
      <c r="C2424" s="8">
        <v>995.1</v>
      </c>
      <c r="D2424" s="8">
        <f t="shared" si="77"/>
        <v>-0.012042929618855669</v>
      </c>
      <c r="E2424" s="8">
        <v>-0.014012594315538687</v>
      </c>
      <c r="F2424" s="9"/>
      <c r="G2424" s="9">
        <v>2421.0</v>
      </c>
      <c r="H2424" s="10">
        <f t="shared" si="78"/>
        <v>0.018160231154798527</v>
      </c>
      <c r="K2424" s="7"/>
    </row>
    <row r="2425" spans="8:8">
      <c r="B2425" s="7" t="s">
        <v>10057</v>
      </c>
      <c r="C2425" s="8">
        <v>1007.23</v>
      </c>
      <c r="D2425" s="8">
        <f t="shared" si="77"/>
        <v>0.004788364274812274</v>
      </c>
      <c r="E2425" s="8">
        <v>-0.014027388672295978</v>
      </c>
      <c r="F2425" s="9"/>
      <c r="G2425" s="9">
        <v>2422.0</v>
      </c>
      <c r="H2425" s="10">
        <f t="shared" si="78"/>
        <v>-0.001510871065158021</v>
      </c>
      <c r="K2425" s="7"/>
    </row>
    <row r="2426" spans="8:8">
      <c r="B2426" s="7" t="s">
        <v>10058</v>
      </c>
      <c r="C2426" s="8">
        <v>1002.43</v>
      </c>
      <c r="D2426" s="8">
        <f t="shared" si="77"/>
        <v>0.008450449181614214</v>
      </c>
      <c r="E2426" s="8">
        <v>-0.014056368176953297</v>
      </c>
      <c r="F2426" s="9"/>
      <c r="G2426" s="9">
        <v>2423.0</v>
      </c>
      <c r="H2426" s="10">
        <f t="shared" si="78"/>
        <v>0.015192227260366856</v>
      </c>
      <c r="K2426" s="7"/>
    </row>
    <row r="2427" spans="8:8">
      <c r="B2427" s="7" t="s">
        <v>10059</v>
      </c>
      <c r="C2427" s="8">
        <v>994.03</v>
      </c>
      <c r="D2427" s="8">
        <f t="shared" si="77"/>
        <v>0.001874678734491079</v>
      </c>
      <c r="E2427" s="8">
        <v>-0.014100678124215036</v>
      </c>
      <c r="F2427" s="9"/>
      <c r="G2427" s="9">
        <v>2424.0</v>
      </c>
      <c r="H2427" s="10">
        <f t="shared" si="78"/>
        <v>-0.0027691962119211176</v>
      </c>
      <c r="K2427" s="7"/>
    </row>
    <row r="2428" spans="8:8">
      <c r="B2428" s="7" t="s">
        <v>10060</v>
      </c>
      <c r="C2428" s="8">
        <v>992.17</v>
      </c>
      <c r="D2428" s="8">
        <f t="shared" si="77"/>
        <v>0.02783590593597846</v>
      </c>
      <c r="E2428" s="8">
        <v>-0.014126056617688823</v>
      </c>
      <c r="F2428" s="9"/>
      <c r="G2428" s="9">
        <v>2425.0</v>
      </c>
      <c r="H2428" s="10">
        <f t="shared" si="78"/>
        <v>-5.583428386762507E-4</v>
      </c>
      <c r="K2428" s="7"/>
    </row>
    <row r="2429" spans="8:8">
      <c r="B2429" s="7" t="s">
        <v>10061</v>
      </c>
      <c r="C2429" s="8">
        <v>965.3</v>
      </c>
      <c r="D2429" s="8">
        <f t="shared" si="77"/>
        <v>-0.018235814611026985</v>
      </c>
      <c r="E2429" s="8">
        <v>-0.014135454079014856</v>
      </c>
      <c r="F2429" s="9"/>
      <c r="G2429" s="9">
        <v>2426.0</v>
      </c>
      <c r="H2429" s="10">
        <f t="shared" si="78"/>
        <v>0.014734406000090336</v>
      </c>
      <c r="K2429" s="7"/>
    </row>
    <row r="2430" spans="8:8">
      <c r="B2430" s="7" t="s">
        <v>10062</v>
      </c>
      <c r="C2430" s="8">
        <v>983.23</v>
      </c>
      <c r="D2430" s="8">
        <f t="shared" si="77"/>
        <v>0.025340744371330617</v>
      </c>
      <c r="E2430" s="8">
        <v>-0.01413739226853483</v>
      </c>
      <c r="F2430" s="9"/>
      <c r="G2430" s="9">
        <v>2427.0</v>
      </c>
      <c r="H2430" s="10">
        <f t="shared" si="78"/>
        <v>-0.029153749606422443</v>
      </c>
      <c r="K2430" s="7"/>
    </row>
    <row r="2431" spans="8:8">
      <c r="B2431" s="7" t="s">
        <v>10063</v>
      </c>
      <c r="C2431" s="8">
        <v>958.93</v>
      </c>
      <c r="D2431" s="8">
        <f t="shared" si="77"/>
        <v>-0.008006868941831245</v>
      </c>
      <c r="E2431" s="8">
        <v>-0.01428833636889884</v>
      </c>
      <c r="F2431" s="9"/>
      <c r="G2431" s="9">
        <v>2428.0</v>
      </c>
      <c r="H2431" s="10">
        <f t="shared" si="78"/>
        <v>0.0025971848579291914</v>
      </c>
      <c r="K2431" s="7"/>
    </row>
    <row r="2432" spans="8:8">
      <c r="B2432" s="7">
        <v>42653.0</v>
      </c>
      <c r="C2432" s="8">
        <v>966.67</v>
      </c>
      <c r="D2432" s="8">
        <f t="shared" si="77"/>
        <v>-0.004766807371563879</v>
      </c>
      <c r="E2432" s="8">
        <v>-0.014292537752140073</v>
      </c>
      <c r="F2432" s="9"/>
      <c r="G2432" s="9">
        <v>2429.0</v>
      </c>
      <c r="H2432" s="10">
        <f t="shared" si="78"/>
        <v>0.00243823799861073</v>
      </c>
      <c r="K2432" s="7"/>
    </row>
    <row r="2433" spans="8:8">
      <c r="B2433" s="7">
        <v>42561.0</v>
      </c>
      <c r="C2433" s="8">
        <v>971.3</v>
      </c>
      <c r="D2433" s="8">
        <f t="shared" si="77"/>
        <v>0.0016809842523745145</v>
      </c>
      <c r="E2433" s="8">
        <v>-0.014302779840506305</v>
      </c>
      <c r="F2433" s="9"/>
      <c r="G2433" s="9">
        <v>2430.0</v>
      </c>
      <c r="H2433" s="10">
        <f t="shared" si="78"/>
        <v>-0.0035597427090848874</v>
      </c>
      <c r="K2433" s="7"/>
    </row>
    <row r="2434" spans="8:8">
      <c r="B2434" s="7">
        <v>42531.0</v>
      </c>
      <c r="C2434" s="8">
        <v>969.67</v>
      </c>
      <c r="D2434" s="8">
        <f t="shared" si="77"/>
        <v>3.8171876611988505E-4</v>
      </c>
      <c r="E2434" s="8">
        <v>-0.014336227419129068</v>
      </c>
      <c r="F2434" s="9"/>
      <c r="G2434" s="9">
        <v>2431.0</v>
      </c>
      <c r="H2434" s="10">
        <f t="shared" si="78"/>
        <v>-0.0035172594933408482</v>
      </c>
      <c r="K2434" s="7"/>
    </row>
    <row r="2435" spans="8:8">
      <c r="B2435" s="7">
        <v>42500.0</v>
      </c>
      <c r="C2435" s="8">
        <v>969.3</v>
      </c>
      <c r="D2435" s="8">
        <f t="shared" si="77"/>
        <v>0.0033122865127832852</v>
      </c>
      <c r="E2435" s="8">
        <v>-0.014354755192451423</v>
      </c>
      <c r="F2435" s="9"/>
      <c r="G2435" s="9">
        <v>2432.0</v>
      </c>
      <c r="H2435" s="10">
        <f t="shared" si="78"/>
        <v>0.018711275291576998</v>
      </c>
      <c r="K2435" s="7"/>
    </row>
    <row r="2436" spans="8:8">
      <c r="B2436" s="7">
        <v>42470.0</v>
      </c>
      <c r="C2436" s="8">
        <v>966.1</v>
      </c>
      <c r="D2436" s="8">
        <f t="shared" si="79" ref="D2436:D2478">(C2436-C2437)/C2437</f>
        <v>-0.014656236294838193</v>
      </c>
      <c r="E2436" s="8">
        <v>-0.014392752825636032</v>
      </c>
      <c r="F2436" s="9"/>
      <c r="G2436" s="9">
        <v>2433.0</v>
      </c>
      <c r="H2436" s="10">
        <f t="shared" si="78"/>
        <v>-0.0157527322373985</v>
      </c>
      <c r="K2436" s="7"/>
    </row>
    <row r="2437" spans="8:8">
      <c r="B2437" s="7">
        <v>42439.0</v>
      </c>
      <c r="C2437" s="8">
        <v>980.47</v>
      </c>
      <c r="D2437" s="8">
        <f t="shared" si="79"/>
        <v>0.026208094784547355</v>
      </c>
      <c r="E2437" s="8">
        <v>-0.014444114023535409</v>
      </c>
      <c r="F2437" s="9"/>
      <c r="G2437" s="9">
        <v>2434.0</v>
      </c>
      <c r="H2437" s="10">
        <f t="shared" si="80" ref="H2437:H2500">_xlfn.NORM.INV(RAND(),N$6,N$7)</f>
        <v>0.0010120460802731253</v>
      </c>
      <c r="K2437" s="7"/>
    </row>
    <row r="2438" spans="8:8">
      <c r="B2438" s="7" t="s">
        <v>10064</v>
      </c>
      <c r="C2438" s="8">
        <v>955.43</v>
      </c>
      <c r="D2438" s="8">
        <f t="shared" si="79"/>
        <v>-0.0030989148580968565</v>
      </c>
      <c r="E2438" s="8">
        <v>-0.014493850520340655</v>
      </c>
      <c r="F2438" s="9"/>
      <c r="G2438" s="9">
        <v>2435.0</v>
      </c>
      <c r="H2438" s="10">
        <f t="shared" si="80"/>
        <v>0.013196566212484554</v>
      </c>
      <c r="K2438" s="7"/>
    </row>
    <row r="2439" spans="8:8">
      <c r="B2439" s="7" t="s">
        <v>10065</v>
      </c>
      <c r="C2439" s="8">
        <v>958.4</v>
      </c>
      <c r="D2439" s="8">
        <f t="shared" si="79"/>
        <v>-0.012569544611580512</v>
      </c>
      <c r="E2439" s="8">
        <v>-0.014499776353063995</v>
      </c>
      <c r="F2439" s="9"/>
      <c r="G2439" s="9">
        <v>2436.0</v>
      </c>
      <c r="H2439" s="10">
        <f t="shared" si="80"/>
        <v>0.010446613812550899</v>
      </c>
      <c r="K2439" s="7"/>
    </row>
    <row r="2440" spans="8:8">
      <c r="B2440" s="7" t="s">
        <v>10066</v>
      </c>
      <c r="C2440" s="8">
        <v>970.6</v>
      </c>
      <c r="D2440" s="8">
        <f t="shared" si="79"/>
        <v>0.013575605680868838</v>
      </c>
      <c r="E2440" s="8">
        <v>-0.014519097498352807</v>
      </c>
      <c r="F2440" s="9"/>
      <c r="G2440" s="9">
        <v>2437.0</v>
      </c>
      <c r="H2440" s="10">
        <f t="shared" si="80"/>
        <v>0.007045306121081105</v>
      </c>
      <c r="K2440" s="7"/>
    </row>
    <row r="2441" spans="8:8">
      <c r="B2441" s="7" t="s">
        <v>10067</v>
      </c>
      <c r="C2441" s="8">
        <v>957.6</v>
      </c>
      <c r="D2441" s="8">
        <f t="shared" si="79"/>
        <v>-0.019987105093488045</v>
      </c>
      <c r="E2441" s="8">
        <v>-0.014523027951855078</v>
      </c>
      <c r="F2441" s="9"/>
      <c r="G2441" s="9">
        <v>2438.0</v>
      </c>
      <c r="H2441" s="10">
        <f t="shared" si="80"/>
        <v>0.005593835359668172</v>
      </c>
      <c r="K2441" s="7"/>
    </row>
    <row r="2442" spans="8:8">
      <c r="B2442" s="7" t="s">
        <v>10068</v>
      </c>
      <c r="C2442" s="8">
        <v>977.13</v>
      </c>
      <c r="D2442" s="8">
        <f t="shared" si="79"/>
        <v>-0.020911823647294592</v>
      </c>
      <c r="E2442" s="8">
        <v>-0.014539678660883487</v>
      </c>
      <c r="F2442" s="9"/>
      <c r="G2442" s="9">
        <v>2439.0</v>
      </c>
      <c r="H2442" s="10">
        <f t="shared" si="80"/>
        <v>-0.0066874474946734255</v>
      </c>
      <c r="K2442" s="7"/>
    </row>
    <row r="2443" spans="8:8">
      <c r="B2443" s="7" t="s">
        <v>10069</v>
      </c>
      <c r="C2443" s="8">
        <v>998.0</v>
      </c>
      <c r="D2443" s="8">
        <f t="shared" si="79"/>
        <v>-0.0019700591017730805</v>
      </c>
      <c r="E2443" s="8">
        <v>-0.01455283118715823</v>
      </c>
      <c r="F2443" s="9"/>
      <c r="G2443" s="9">
        <v>2440.0</v>
      </c>
      <c r="H2443" s="10">
        <f t="shared" si="80"/>
        <v>0.007156274795507106</v>
      </c>
      <c r="K2443" s="7"/>
    </row>
    <row r="2444" spans="8:8">
      <c r="B2444" s="7" t="s">
        <v>10070</v>
      </c>
      <c r="C2444" s="8">
        <v>999.97</v>
      </c>
      <c r="D2444" s="8">
        <f t="shared" si="79"/>
        <v>0.0189219482372122</v>
      </c>
      <c r="E2444" s="8">
        <v>-0.014683601431288395</v>
      </c>
      <c r="F2444" s="9"/>
      <c r="G2444" s="9">
        <v>2441.0</v>
      </c>
      <c r="H2444" s="10">
        <f t="shared" si="80"/>
        <v>-0.00943601981881895</v>
      </c>
      <c r="K2444" s="7"/>
    </row>
    <row r="2445" spans="8:8">
      <c r="B2445" s="7" t="s">
        <v>10071</v>
      </c>
      <c r="C2445" s="8">
        <v>981.4</v>
      </c>
      <c r="D2445" s="8">
        <f t="shared" si="79"/>
        <v>-0.0026118682480157423</v>
      </c>
      <c r="E2445" s="8">
        <v>-0.014721901832628418</v>
      </c>
      <c r="F2445" s="9"/>
      <c r="G2445" s="9">
        <v>2442.0</v>
      </c>
      <c r="H2445" s="10">
        <f t="shared" si="80"/>
        <v>0.004232022539850152</v>
      </c>
      <c r="K2445" s="7"/>
    </row>
    <row r="2446" spans="8:8">
      <c r="B2446" s="7" t="s">
        <v>10072</v>
      </c>
      <c r="C2446" s="8">
        <v>983.97</v>
      </c>
      <c r="D2446" s="8">
        <f t="shared" si="79"/>
        <v>-0.002594954030794751</v>
      </c>
      <c r="E2446" s="8">
        <v>-0.014739506777723302</v>
      </c>
      <c r="F2446" s="9"/>
      <c r="G2446" s="9">
        <v>2443.0</v>
      </c>
      <c r="H2446" s="10">
        <f t="shared" si="80"/>
        <v>-0.008106292271006042</v>
      </c>
      <c r="K2446" s="7"/>
    </row>
    <row r="2447" spans="8:8">
      <c r="B2447" s="7" t="s">
        <v>10073</v>
      </c>
      <c r="C2447" s="8">
        <v>986.53</v>
      </c>
      <c r="D2447" s="8">
        <f t="shared" si="79"/>
        <v>0.00448005864804046</v>
      </c>
      <c r="E2447" s="8">
        <v>-0.014812770264053731</v>
      </c>
      <c r="F2447" s="9"/>
      <c r="G2447" s="9">
        <v>2444.0</v>
      </c>
      <c r="H2447" s="10">
        <f t="shared" si="80"/>
        <v>0.01981277772109723</v>
      </c>
      <c r="K2447" s="7"/>
    </row>
    <row r="2448" spans="8:8">
      <c r="B2448" s="7" t="s">
        <v>10074</v>
      </c>
      <c r="C2448" s="8">
        <v>982.13</v>
      </c>
      <c r="D2448" s="8">
        <f t="shared" si="79"/>
        <v>0.001999653121397346</v>
      </c>
      <c r="E2448" s="8">
        <v>-0.014864328663431393</v>
      </c>
      <c r="F2448" s="9"/>
      <c r="G2448" s="9">
        <v>2445.0</v>
      </c>
      <c r="H2448" s="10">
        <f t="shared" si="80"/>
        <v>0.013909229091441006</v>
      </c>
      <c r="K2448" s="7"/>
    </row>
    <row r="2449" spans="8:8">
      <c r="B2449" s="7" t="s">
        <v>10075</v>
      </c>
      <c r="C2449" s="8">
        <v>980.17</v>
      </c>
      <c r="D2449" s="8">
        <f t="shared" si="79"/>
        <v>-0.0034162658993625145</v>
      </c>
      <c r="E2449" s="8">
        <v>-0.01486570189762942</v>
      </c>
      <c r="F2449" s="9"/>
      <c r="G2449" s="9">
        <v>2446.0</v>
      </c>
      <c r="H2449" s="10">
        <f t="shared" si="80"/>
        <v>-0.01283116860074025</v>
      </c>
      <c r="K2449" s="7"/>
    </row>
    <row r="2450" spans="8:8">
      <c r="B2450" s="7" t="s">
        <v>10076</v>
      </c>
      <c r="C2450" s="8">
        <v>983.53</v>
      </c>
      <c r="D2450" s="8">
        <f t="shared" si="79"/>
        <v>0.00826268362942986</v>
      </c>
      <c r="E2450" s="8">
        <v>-0.014933563281464493</v>
      </c>
      <c r="F2450" s="9"/>
      <c r="G2450" s="9">
        <v>2447.0</v>
      </c>
      <c r="H2450" s="10">
        <f t="shared" si="80"/>
        <v>0.006052009575410277</v>
      </c>
      <c r="K2450" s="7"/>
    </row>
    <row r="2451" spans="8:8">
      <c r="B2451" s="7">
        <v>42713.0</v>
      </c>
      <c r="C2451" s="8">
        <v>975.47</v>
      </c>
      <c r="D2451" s="8">
        <f t="shared" si="79"/>
        <v>-0.035906305593990835</v>
      </c>
      <c r="E2451" s="8">
        <v>-0.015053763440860277</v>
      </c>
      <c r="F2451" s="9"/>
      <c r="G2451" s="9">
        <v>2448.0</v>
      </c>
      <c r="H2451" s="10">
        <f t="shared" si="80"/>
        <v>0.0053615759587719814</v>
      </c>
      <c r="K2451" s="7"/>
    </row>
    <row r="2452" spans="8:8">
      <c r="B2452" s="7">
        <v>42622.0</v>
      </c>
      <c r="C2452" s="8">
        <v>1011.8</v>
      </c>
      <c r="D2452" s="8">
        <f t="shared" si="79"/>
        <v>-0.014157239874114538</v>
      </c>
      <c r="E2452" s="8">
        <v>-0.01507251456863694</v>
      </c>
      <c r="F2452" s="9"/>
      <c r="G2452" s="9">
        <v>2449.0</v>
      </c>
      <c r="H2452" s="10">
        <f t="shared" si="80"/>
        <v>0.010015218491128275</v>
      </c>
      <c r="K2452" s="7"/>
    </row>
    <row r="2453" spans="8:8">
      <c r="B2453" s="7">
        <v>42591.0</v>
      </c>
      <c r="C2453" s="8">
        <v>1026.33</v>
      </c>
      <c r="D2453" s="8">
        <f t="shared" si="79"/>
        <v>0.013989744805714424</v>
      </c>
      <c r="E2453" s="8">
        <v>-0.01507434486157883</v>
      </c>
      <c r="F2453" s="9"/>
      <c r="G2453" s="9">
        <v>2450.0</v>
      </c>
      <c r="H2453" s="10">
        <f t="shared" si="80"/>
        <v>0.015758220998129846</v>
      </c>
      <c r="K2453" s="7"/>
    </row>
    <row r="2454" spans="8:8">
      <c r="B2454" s="7">
        <v>42560.0</v>
      </c>
      <c r="C2454" s="8">
        <v>1012.17</v>
      </c>
      <c r="D2454" s="8">
        <f t="shared" si="79"/>
        <v>0.0012265933348500975</v>
      </c>
      <c r="E2454" s="8">
        <v>-0.015102088369790103</v>
      </c>
      <c r="F2454" s="9"/>
      <c r="G2454" s="9">
        <v>2451.0</v>
      </c>
      <c r="H2454" s="10">
        <f t="shared" si="80"/>
        <v>0.012033594473019594</v>
      </c>
      <c r="K2454" s="7"/>
    </row>
    <row r="2455" spans="8:8">
      <c r="B2455" s="7">
        <v>42530.0</v>
      </c>
      <c r="C2455" s="8">
        <v>1010.93</v>
      </c>
      <c r="D2455" s="8">
        <f t="shared" si="79"/>
        <v>0.007534608369793741</v>
      </c>
      <c r="E2455" s="8">
        <v>-0.01511690405804891</v>
      </c>
      <c r="F2455" s="9"/>
      <c r="G2455" s="9">
        <v>2452.0</v>
      </c>
      <c r="H2455" s="10">
        <f t="shared" si="80"/>
        <v>-0.012558965917229752</v>
      </c>
      <c r="K2455" s="7"/>
    </row>
    <row r="2456" spans="8:8">
      <c r="B2456" s="7">
        <v>42409.0</v>
      </c>
      <c r="C2456" s="8">
        <v>1003.37</v>
      </c>
      <c r="D2456" s="8">
        <f t="shared" si="79"/>
        <v>-0.0013535974839011611</v>
      </c>
      <c r="E2456" s="8">
        <v>-0.015172477402693202</v>
      </c>
      <c r="F2456" s="9"/>
      <c r="G2456" s="9">
        <v>2453.0</v>
      </c>
      <c r="H2456" s="10">
        <f t="shared" si="80"/>
        <v>0.0019668494304381154</v>
      </c>
      <c r="K2456" s="7"/>
    </row>
    <row r="2457" spans="8:8">
      <c r="B2457" s="7">
        <v>42378.0</v>
      </c>
      <c r="C2457" s="8">
        <v>1004.73</v>
      </c>
      <c r="D2457" s="8">
        <f t="shared" si="79"/>
        <v>-0.003866630974688416</v>
      </c>
      <c r="E2457" s="8">
        <v>-0.015206271544534588</v>
      </c>
      <c r="F2457" s="9"/>
      <c r="G2457" s="9">
        <v>2454.0</v>
      </c>
      <c r="H2457" s="10">
        <f t="shared" si="80"/>
        <v>-0.00553482442875692</v>
      </c>
      <c r="K2457" s="7"/>
    </row>
    <row r="2458" spans="8:8">
      <c r="B2458" s="7" t="s">
        <v>10077</v>
      </c>
      <c r="C2458" s="8">
        <v>1008.63</v>
      </c>
      <c r="D2458" s="8">
        <f t="shared" si="79"/>
        <v>0.02527013427935393</v>
      </c>
      <c r="E2458" s="8">
        <v>-0.015232400882625162</v>
      </c>
      <c r="F2458" s="9"/>
      <c r="G2458" s="9">
        <v>2455.0</v>
      </c>
      <c r="H2458" s="10">
        <f t="shared" si="80"/>
        <v>0.010864152346629139</v>
      </c>
      <c r="K2458" s="7"/>
    </row>
    <row r="2459" spans="8:8">
      <c r="B2459" s="7" t="s">
        <v>10078</v>
      </c>
      <c r="C2459" s="8">
        <v>983.77</v>
      </c>
      <c r="D2459" s="8">
        <f t="shared" si="79"/>
        <v>0.011068859198355582</v>
      </c>
      <c r="E2459" s="8">
        <v>-0.015253722272865335</v>
      </c>
      <c r="F2459" s="9"/>
      <c r="G2459" s="9">
        <v>2456.0</v>
      </c>
      <c r="H2459" s="10">
        <f t="shared" si="80"/>
        <v>0.025598875123821474</v>
      </c>
      <c r="K2459" s="7"/>
    </row>
    <row r="2460" spans="8:8">
      <c r="B2460" s="7" t="s">
        <v>10079</v>
      </c>
      <c r="C2460" s="8">
        <v>973.0</v>
      </c>
      <c r="D2460" s="8">
        <f t="shared" si="79"/>
        <v>0.022628143819563382</v>
      </c>
      <c r="E2460" s="8">
        <v>-0.015267823062894948</v>
      </c>
      <c r="F2460" s="9"/>
      <c r="G2460" s="9">
        <v>2457.0</v>
      </c>
      <c r="H2460" s="10">
        <f t="shared" si="80"/>
        <v>2.882375551773921E-4</v>
      </c>
      <c r="K2460" s="7"/>
    </row>
    <row r="2461" spans="8:8">
      <c r="B2461" s="7" t="s">
        <v>10080</v>
      </c>
      <c r="C2461" s="8">
        <v>951.47</v>
      </c>
      <c r="D2461" s="8">
        <f t="shared" si="79"/>
        <v>-0.018870453818946715</v>
      </c>
      <c r="E2461" s="8">
        <v>-0.01528348397699253</v>
      </c>
      <c r="F2461" s="9"/>
      <c r="G2461" s="9">
        <v>2458.0</v>
      </c>
      <c r="H2461" s="10">
        <f t="shared" si="80"/>
        <v>0.017379244001289</v>
      </c>
      <c r="K2461" s="7"/>
    </row>
    <row r="2462" spans="8:8">
      <c r="B2462" s="7" t="s">
        <v>10081</v>
      </c>
      <c r="C2462" s="8">
        <v>969.77</v>
      </c>
      <c r="D2462" s="8">
        <f t="shared" si="79"/>
        <v>-0.012785927336027668</v>
      </c>
      <c r="E2462" s="8">
        <v>-0.015359213608263256</v>
      </c>
      <c r="F2462" s="9"/>
      <c r="G2462" s="9">
        <v>2459.0</v>
      </c>
      <c r="H2462" s="10">
        <f t="shared" si="80"/>
        <v>0.011723610291532884</v>
      </c>
      <c r="K2462" s="7"/>
    </row>
    <row r="2463" spans="8:8">
      <c r="B2463" s="7" t="s">
        <v>10082</v>
      </c>
      <c r="C2463" s="8">
        <v>982.33</v>
      </c>
      <c r="D2463" s="8">
        <f t="shared" si="79"/>
        <v>-0.002477735918031562</v>
      </c>
      <c r="E2463" s="8">
        <v>-0.015369782214156157</v>
      </c>
      <c r="F2463" s="9"/>
      <c r="G2463" s="9">
        <v>2460.0</v>
      </c>
      <c r="H2463" s="10">
        <f t="shared" si="80"/>
        <v>1.0793716075799742E-4</v>
      </c>
      <c r="K2463" s="7"/>
    </row>
    <row r="2464" spans="8:8">
      <c r="B2464" s="7" t="s">
        <v>10083</v>
      </c>
      <c r="C2464" s="8">
        <v>984.77</v>
      </c>
      <c r="D2464" s="8">
        <f t="shared" si="79"/>
        <v>-0.010380866244598573</v>
      </c>
      <c r="E2464" s="8">
        <v>-0.015372720243780497</v>
      </c>
      <c r="F2464" s="9"/>
      <c r="G2464" s="9">
        <v>2461.0</v>
      </c>
      <c r="H2464" s="10">
        <f t="shared" si="80"/>
        <v>0.00688258197374262</v>
      </c>
      <c r="K2464" s="7"/>
    </row>
    <row r="2465" spans="8:8">
      <c r="B2465" s="7" t="s">
        <v>10084</v>
      </c>
      <c r="C2465" s="8">
        <v>995.1</v>
      </c>
      <c r="D2465" s="8">
        <f t="shared" si="79"/>
        <v>-0.0011342762213545018</v>
      </c>
      <c r="E2465" s="8">
        <v>-0.01537670792821332</v>
      </c>
      <c r="F2465" s="9"/>
      <c r="G2465" s="9">
        <v>2462.0</v>
      </c>
      <c r="H2465" s="10">
        <f t="shared" si="80"/>
        <v>0.006211329659479998</v>
      </c>
      <c r="K2465" s="7"/>
    </row>
    <row r="2466" spans="8:8">
      <c r="B2466" s="7" t="s">
        <v>10085</v>
      </c>
      <c r="C2466" s="8">
        <v>996.23</v>
      </c>
      <c r="D2466" s="8">
        <f t="shared" si="79"/>
        <v>0.008258524193629973</v>
      </c>
      <c r="E2466" s="8">
        <v>-0.015394008111290275</v>
      </c>
      <c r="F2466" s="9"/>
      <c r="G2466" s="9">
        <v>2463.0</v>
      </c>
      <c r="H2466" s="10">
        <f t="shared" si="80"/>
        <v>0.018873804917637016</v>
      </c>
      <c r="K2466" s="7"/>
    </row>
    <row r="2467" spans="8:8">
      <c r="B2467" s="7" t="s">
        <v>10086</v>
      </c>
      <c r="C2467" s="8">
        <v>988.07</v>
      </c>
      <c r="D2467" s="8">
        <f t="shared" si="79"/>
        <v>-0.013577325865804016</v>
      </c>
      <c r="E2467" s="8">
        <v>-0.015495628844997455</v>
      </c>
      <c r="F2467" s="9"/>
      <c r="G2467" s="9">
        <v>2464.0</v>
      </c>
      <c r="H2467" s="10">
        <f t="shared" si="80"/>
        <v>-6.134983908839264E-4</v>
      </c>
      <c r="K2467" s="7"/>
    </row>
    <row r="2468" spans="8:8">
      <c r="B2468" s="7" t="s">
        <v>10087</v>
      </c>
      <c r="C2468" s="8">
        <v>1001.67</v>
      </c>
      <c r="D2468" s="8">
        <f t="shared" si="79"/>
        <v>-0.00254921681288157</v>
      </c>
      <c r="E2468" s="8">
        <v>-0.015527950310559006</v>
      </c>
      <c r="F2468" s="9"/>
      <c r="G2468" s="9">
        <v>2465.0</v>
      </c>
      <c r="H2468" s="10">
        <f t="shared" si="80"/>
        <v>0.002927348789140568</v>
      </c>
      <c r="K2468" s="7"/>
    </row>
    <row r="2469" spans="8:8">
      <c r="B2469" s="7" t="s">
        <v>10088</v>
      </c>
      <c r="C2469" s="8">
        <v>1004.23</v>
      </c>
      <c r="D2469" s="8">
        <f t="shared" si="79"/>
        <v>0.009682284335411215</v>
      </c>
      <c r="E2469" s="8">
        <v>-0.015560466632852626</v>
      </c>
      <c r="F2469" s="9"/>
      <c r="G2469" s="9">
        <v>2466.0</v>
      </c>
      <c r="H2469" s="10">
        <f t="shared" si="80"/>
        <v>0.013174949149929178</v>
      </c>
      <c r="K2469" s="7"/>
    </row>
    <row r="2470" spans="8:8">
      <c r="B2470" s="7">
        <v>42712.0</v>
      </c>
      <c r="C2470" s="8">
        <v>994.6</v>
      </c>
      <c r="D2470" s="8">
        <f t="shared" si="79"/>
        <v>0.011666819240588759</v>
      </c>
      <c r="E2470" s="8">
        <v>-0.015581886057458241</v>
      </c>
      <c r="F2470" s="9"/>
      <c r="G2470" s="9">
        <v>2467.0</v>
      </c>
      <c r="H2470" s="10">
        <f t="shared" si="80"/>
        <v>-0.016323767141716204</v>
      </c>
      <c r="K2470" s="7"/>
    </row>
    <row r="2471" spans="8:8">
      <c r="B2471" s="7">
        <v>42682.0</v>
      </c>
      <c r="C2471" s="8">
        <v>983.13</v>
      </c>
      <c r="D2471" s="8">
        <f t="shared" si="79"/>
        <v>-0.0057342233009708326</v>
      </c>
      <c r="E2471" s="8">
        <v>-0.015589202969700101</v>
      </c>
      <c r="F2471" s="9"/>
      <c r="G2471" s="9">
        <v>2468.0</v>
      </c>
      <c r="H2471" s="10">
        <f t="shared" si="80"/>
        <v>0.004313886733800924</v>
      </c>
      <c r="K2471" s="7"/>
    </row>
    <row r="2472" spans="8:8">
      <c r="B2472" s="7">
        <v>42651.0</v>
      </c>
      <c r="C2472" s="8">
        <v>988.8</v>
      </c>
      <c r="D2472" s="8">
        <f t="shared" si="79"/>
        <v>-0.011822551792370847</v>
      </c>
      <c r="E2472" s="8">
        <v>-0.015642242330611417</v>
      </c>
      <c r="F2472" s="9"/>
      <c r="G2472" s="9">
        <v>2469.0</v>
      </c>
      <c r="H2472" s="10">
        <f t="shared" si="80"/>
        <v>-0.005455792453518894</v>
      </c>
      <c r="K2472" s="7"/>
    </row>
    <row r="2473" spans="8:8">
      <c r="B2473" s="7">
        <v>42621.0</v>
      </c>
      <c r="C2473" s="8">
        <v>1000.63</v>
      </c>
      <c r="D2473" s="8">
        <f t="shared" si="79"/>
        <v>-0.004120345949819348</v>
      </c>
      <c r="E2473" s="8">
        <v>-0.015648458251530148</v>
      </c>
      <c r="F2473" s="9"/>
      <c r="G2473" s="9">
        <v>2470.0</v>
      </c>
      <c r="H2473" s="10">
        <f t="shared" si="80"/>
        <v>0.0112855157338492</v>
      </c>
      <c r="K2473" s="7"/>
    </row>
    <row r="2474" spans="8:8">
      <c r="B2474" s="7">
        <v>42590.0</v>
      </c>
      <c r="C2474" s="8">
        <v>1004.77</v>
      </c>
      <c r="D2474" s="8">
        <f t="shared" si="79"/>
        <v>-0.003332903494589005</v>
      </c>
      <c r="E2474" s="8">
        <v>-0.01585303623065144</v>
      </c>
      <c r="F2474" s="9"/>
      <c r="G2474" s="9">
        <v>2471.0</v>
      </c>
      <c r="H2474" s="10">
        <f t="shared" si="80"/>
        <v>-0.008451521974820846</v>
      </c>
      <c r="K2474" s="7"/>
    </row>
    <row r="2475" spans="8:8">
      <c r="B2475" s="7">
        <v>42498.0</v>
      </c>
      <c r="C2475" s="8">
        <v>1008.13</v>
      </c>
      <c r="D2475" s="8">
        <f t="shared" si="79"/>
        <v>0.02930275772643277</v>
      </c>
      <c r="E2475" s="8">
        <v>-0.015897402723420655</v>
      </c>
      <c r="F2475" s="9"/>
      <c r="G2475" s="9">
        <v>2472.0</v>
      </c>
      <c r="H2475" s="10">
        <f t="shared" si="80"/>
        <v>-0.007896088221113179</v>
      </c>
      <c r="K2475" s="7"/>
    </row>
    <row r="2476" spans="8:8">
      <c r="B2476" s="7">
        <v>42468.0</v>
      </c>
      <c r="C2476" s="8">
        <v>979.43</v>
      </c>
      <c r="D2476" s="8">
        <f t="shared" si="79"/>
        <v>-0.006391202459091301</v>
      </c>
      <c r="E2476" s="8">
        <v>-0.015935313031965326</v>
      </c>
      <c r="F2476" s="9"/>
      <c r="G2476" s="9">
        <v>2473.0</v>
      </c>
      <c r="H2476" s="10">
        <f t="shared" si="80"/>
        <v>0.013615379757713097</v>
      </c>
      <c r="K2476" s="7"/>
    </row>
    <row r="2477" spans="8:8">
      <c r="B2477" s="7">
        <v>42437.0</v>
      </c>
      <c r="C2477" s="8">
        <v>985.73</v>
      </c>
      <c r="D2477" s="8">
        <f t="shared" si="79"/>
        <v>-0.016463286870279276</v>
      </c>
      <c r="E2477" s="8">
        <v>-0.01598816398606405</v>
      </c>
      <c r="F2477" s="9"/>
      <c r="G2477" s="9">
        <v>2474.0</v>
      </c>
      <c r="H2477" s="10">
        <f t="shared" si="80"/>
        <v>-0.0033135063831237453</v>
      </c>
      <c r="K2477" s="7"/>
    </row>
    <row r="2478" spans="8:8">
      <c r="B2478" s="7">
        <v>42408.0</v>
      </c>
      <c r="C2478" s="8">
        <v>1002.23</v>
      </c>
      <c r="D2478" s="8">
        <f t="shared" si="79"/>
        <v>0.006457119903595164</v>
      </c>
      <c r="E2478" s="8">
        <v>-0.016003174183309116</v>
      </c>
      <c r="F2478" s="9"/>
      <c r="G2478" s="9">
        <v>2475.0</v>
      </c>
      <c r="H2478" s="10">
        <f t="shared" si="80"/>
        <v>0.016426690251468413</v>
      </c>
      <c r="K2478" s="7"/>
    </row>
    <row r="2479" spans="8:8">
      <c r="B2479" s="7">
        <v>42377.0</v>
      </c>
      <c r="C2479" s="8">
        <v>995.8</v>
      </c>
      <c r="D2479" s="8"/>
      <c r="E2479" s="8"/>
      <c r="F2479" s="9"/>
      <c r="G2479" s="9">
        <v>2476.0</v>
      </c>
      <c r="H2479" s="10">
        <f t="shared" si="80"/>
        <v>0.012147858786283619</v>
      </c>
      <c r="K2479" s="7"/>
    </row>
    <row r="2480" spans="8:8">
      <c r="B2480" s="7"/>
      <c r="C2480" s="8"/>
      <c r="D2480" s="8"/>
      <c r="E2480" s="8"/>
      <c r="F2480" s="9"/>
      <c r="G2480" s="9">
        <v>2477.0</v>
      </c>
      <c r="H2480" s="10">
        <f t="shared" si="80"/>
        <v>-0.014385007548272308</v>
      </c>
      <c r="K2480" s="7"/>
    </row>
    <row r="2481" spans="8:8">
      <c r="B2481" s="7"/>
      <c r="C2481" s="8"/>
      <c r="D2481" s="8"/>
      <c r="E2481" s="8"/>
      <c r="F2481" s="9"/>
      <c r="G2481" s="9">
        <v>2478.0</v>
      </c>
      <c r="H2481" s="10">
        <f t="shared" si="80"/>
        <v>-0.004131862824716808</v>
      </c>
      <c r="K2481" s="7"/>
    </row>
    <row r="2482" spans="8:8">
      <c r="B2482" s="7"/>
      <c r="C2482" s="8"/>
      <c r="D2482" s="8"/>
      <c r="E2482" s="8"/>
      <c r="F2482" s="9"/>
      <c r="G2482" s="9">
        <v>2479.0</v>
      </c>
      <c r="H2482" s="10">
        <f t="shared" si="80"/>
        <v>-0.006051799877295</v>
      </c>
      <c r="K2482" s="7"/>
    </row>
    <row r="2483" spans="8:8">
      <c r="B2483" s="7"/>
      <c r="C2483" s="8"/>
      <c r="D2483" s="8"/>
      <c r="E2483" s="8"/>
      <c r="F2483" s="9"/>
      <c r="G2483" s="9">
        <v>2480.0</v>
      </c>
      <c r="H2483" s="10">
        <f t="shared" si="80"/>
        <v>0.00990563927063947</v>
      </c>
      <c r="K2483" s="7"/>
    </row>
    <row r="2484" spans="8:8">
      <c r="B2484" s="7"/>
      <c r="C2484" s="8"/>
      <c r="D2484" s="8"/>
      <c r="E2484" s="8"/>
      <c r="F2484" s="9"/>
      <c r="G2484" s="9">
        <v>2481.0</v>
      </c>
      <c r="H2484" s="10">
        <f t="shared" si="80"/>
        <v>0.00461231253186453</v>
      </c>
      <c r="K2484" s="7"/>
    </row>
    <row r="2485" spans="8:8">
      <c r="B2485" s="7"/>
      <c r="C2485" s="8"/>
      <c r="D2485" s="8"/>
      <c r="E2485" s="8"/>
      <c r="F2485" s="9"/>
      <c r="G2485" s="9">
        <v>2482.0</v>
      </c>
      <c r="H2485" s="10">
        <f t="shared" si="80"/>
        <v>-0.0041871829238787715</v>
      </c>
      <c r="K2485" s="7"/>
    </row>
    <row r="2486" spans="8:8">
      <c r="B2486" s="7"/>
      <c r="C2486" s="8"/>
      <c r="D2486" s="8"/>
      <c r="E2486" s="8"/>
      <c r="F2486" s="9"/>
      <c r="G2486" s="9">
        <v>2483.0</v>
      </c>
      <c r="H2486" s="10">
        <f t="shared" si="80"/>
        <v>0.0068039303978706875</v>
      </c>
      <c r="K2486" s="7"/>
    </row>
    <row r="2487" spans="8:8">
      <c r="B2487" s="7"/>
      <c r="C2487" s="8"/>
      <c r="D2487" s="8"/>
      <c r="E2487" s="8"/>
      <c r="F2487" s="9"/>
      <c r="G2487" s="9">
        <v>2484.0</v>
      </c>
      <c r="H2487" s="10">
        <f t="shared" si="80"/>
        <v>-0.014058987455088465</v>
      </c>
      <c r="K2487" s="7"/>
    </row>
    <row r="2488" spans="8:8">
      <c r="B2488" s="7"/>
      <c r="C2488" s="8"/>
      <c r="D2488" s="8"/>
      <c r="E2488" s="8"/>
      <c r="F2488" s="9"/>
      <c r="G2488" s="9">
        <v>2485.0</v>
      </c>
      <c r="H2488" s="10">
        <f t="shared" si="80"/>
        <v>-0.021719286295307578</v>
      </c>
      <c r="K2488" s="7"/>
    </row>
    <row r="2489" spans="8:8">
      <c r="B2489" s="7"/>
      <c r="C2489" s="8"/>
      <c r="D2489" s="8"/>
      <c r="E2489" s="8"/>
      <c r="F2489" s="9"/>
      <c r="G2489" s="9">
        <v>2486.0</v>
      </c>
      <c r="H2489" s="10">
        <f t="shared" si="80"/>
        <v>0.013491331088195339</v>
      </c>
      <c r="K2489" s="7"/>
    </row>
    <row r="2490" spans="8:8">
      <c r="B2490" s="7"/>
      <c r="C2490" s="8"/>
      <c r="D2490" s="8"/>
      <c r="E2490" s="8"/>
      <c r="F2490" s="9"/>
      <c r="G2490" s="9">
        <v>2487.0</v>
      </c>
      <c r="H2490" s="10">
        <f t="shared" si="80"/>
        <v>0.012609517652626707</v>
      </c>
      <c r="K2490" s="7"/>
    </row>
    <row r="2491" spans="8:8">
      <c r="B2491" s="7"/>
      <c r="C2491" s="8"/>
      <c r="D2491" s="8"/>
      <c r="E2491" s="8"/>
      <c r="F2491" s="9"/>
      <c r="G2491" s="9">
        <v>2488.0</v>
      </c>
      <c r="H2491" s="10">
        <f t="shared" si="80"/>
        <v>0.0022672542406045825</v>
      </c>
      <c r="K2491" s="7"/>
    </row>
    <row r="2492" spans="8:8">
      <c r="B2492" s="7"/>
      <c r="C2492" s="8"/>
      <c r="D2492" s="8"/>
      <c r="E2492" s="8"/>
      <c r="F2492" s="9"/>
      <c r="G2492" s="9">
        <v>2489.0</v>
      </c>
      <c r="H2492" s="10">
        <f t="shared" si="80"/>
        <v>-0.008914898717292508</v>
      </c>
      <c r="K2492" s="7"/>
    </row>
    <row r="2493" spans="8:8">
      <c r="B2493" s="7"/>
      <c r="C2493" s="8"/>
      <c r="D2493" s="8"/>
      <c r="E2493" s="8"/>
      <c r="F2493" s="9"/>
      <c r="G2493" s="9">
        <v>2490.0</v>
      </c>
      <c r="H2493" s="10">
        <f t="shared" si="80"/>
        <v>0.007422266463242792</v>
      </c>
      <c r="K2493" s="7"/>
    </row>
    <row r="2494" spans="8:8">
      <c r="B2494" s="7"/>
      <c r="C2494" s="8"/>
      <c r="D2494" s="8"/>
      <c r="E2494" s="8"/>
      <c r="F2494" s="9"/>
      <c r="G2494" s="9">
        <v>2491.0</v>
      </c>
      <c r="H2494" s="10">
        <f t="shared" si="80"/>
        <v>0.010306052123106785</v>
      </c>
      <c r="K2494" s="7"/>
    </row>
    <row r="2495" spans="8:8">
      <c r="B2495" s="7"/>
      <c r="C2495" s="8"/>
      <c r="D2495" s="8"/>
      <c r="E2495" s="8"/>
      <c r="F2495" s="9"/>
      <c r="G2495" s="9">
        <v>2492.0</v>
      </c>
      <c r="H2495" s="10">
        <f t="shared" si="80"/>
        <v>-0.005822972256803915</v>
      </c>
      <c r="K2495" s="7"/>
    </row>
    <row r="2496" spans="8:8">
      <c r="B2496" s="7"/>
      <c r="C2496" s="8"/>
      <c r="D2496" s="8"/>
      <c r="E2496" s="8"/>
      <c r="F2496" s="9"/>
      <c r="G2496" s="9">
        <v>2493.0</v>
      </c>
      <c r="H2496" s="10">
        <f t="shared" si="80"/>
        <v>-0.004649500317331482</v>
      </c>
      <c r="K2496" s="7"/>
    </row>
    <row r="2497" spans="8:8">
      <c r="B2497" s="7"/>
      <c r="C2497" s="8"/>
      <c r="D2497" s="8"/>
      <c r="E2497" s="8"/>
      <c r="F2497" s="9"/>
      <c r="G2497" s="9">
        <v>2494.0</v>
      </c>
      <c r="H2497" s="10">
        <f t="shared" si="80"/>
        <v>0.004093496260934205</v>
      </c>
      <c r="K2497" s="7"/>
    </row>
    <row r="2498" spans="8:8">
      <c r="B2498" s="7"/>
      <c r="C2498" s="8"/>
      <c r="D2498" s="8"/>
      <c r="E2498" s="8"/>
      <c r="F2498" s="9"/>
      <c r="G2498" s="9">
        <v>2495.0</v>
      </c>
      <c r="H2498" s="10">
        <f t="shared" si="80"/>
        <v>0.010513294575490191</v>
      </c>
      <c r="K2498" s="7"/>
    </row>
    <row r="2499" spans="8:8">
      <c r="B2499" s="7"/>
      <c r="C2499" s="8"/>
      <c r="D2499" s="8"/>
      <c r="E2499" s="8"/>
      <c r="F2499" s="9"/>
      <c r="G2499" s="9">
        <v>2496.0</v>
      </c>
      <c r="H2499" s="10">
        <f t="shared" si="80"/>
        <v>-0.018897390048049734</v>
      </c>
      <c r="K2499" s="7"/>
    </row>
    <row r="2500" spans="8:8">
      <c r="B2500" s="7"/>
      <c r="C2500" s="8"/>
      <c r="D2500" s="8"/>
      <c r="E2500" s="8"/>
      <c r="F2500" s="9"/>
      <c r="G2500" s="9">
        <v>2497.0</v>
      </c>
      <c r="H2500" s="10">
        <f t="shared" si="80"/>
        <v>-0.020149539003739492</v>
      </c>
      <c r="K2500" s="7"/>
    </row>
    <row r="2501" spans="8:8">
      <c r="B2501" s="7"/>
      <c r="C2501" s="8"/>
      <c r="D2501" s="8"/>
      <c r="E2501" s="8"/>
      <c r="F2501" s="9"/>
      <c r="G2501" s="9">
        <v>2498.0</v>
      </c>
      <c r="H2501" s="10">
        <f t="shared" si="81" ref="H2501:H2564">_xlfn.NORM.INV(RAND(),N$6,N$7)</f>
        <v>0.00221085779310727</v>
      </c>
      <c r="K2501" s="7"/>
    </row>
    <row r="2502" spans="8:8">
      <c r="B2502" s="7"/>
      <c r="C2502" s="8"/>
      <c r="D2502" s="8"/>
      <c r="E2502" s="8"/>
      <c r="F2502" s="9"/>
      <c r="G2502" s="9">
        <v>2499.0</v>
      </c>
      <c r="H2502" s="10">
        <f t="shared" si="81"/>
        <v>0.027599404286644934</v>
      </c>
      <c r="K2502" s="7"/>
    </row>
    <row r="2503" spans="8:8">
      <c r="B2503" s="7"/>
      <c r="C2503" s="8"/>
      <c r="D2503" s="8"/>
      <c r="E2503" s="8"/>
      <c r="F2503" s="9"/>
      <c r="G2503" s="9">
        <v>2500.0</v>
      </c>
      <c r="H2503" s="10">
        <f t="shared" si="81"/>
        <v>-0.0027473021290544885</v>
      </c>
      <c r="K2503" s="7"/>
    </row>
    <row r="2504" spans="8:8">
      <c r="B2504" s="7"/>
      <c r="C2504" s="8"/>
      <c r="D2504" s="8"/>
      <c r="E2504" s="8"/>
      <c r="F2504" s="9"/>
      <c r="G2504" s="9">
        <v>2501.0</v>
      </c>
      <c r="H2504" s="10">
        <f t="shared" si="81"/>
        <v>-9.129093343938875E-4</v>
      </c>
      <c r="K2504" s="7"/>
    </row>
    <row r="2505" spans="8:8">
      <c r="B2505" s="7"/>
      <c r="C2505" s="8"/>
      <c r="D2505" s="8"/>
      <c r="E2505" s="8"/>
      <c r="F2505" s="9"/>
      <c r="G2505" s="9">
        <v>2502.0</v>
      </c>
      <c r="H2505" s="10">
        <f t="shared" si="81"/>
        <v>0.014385837672082378</v>
      </c>
      <c r="K2505" s="7"/>
    </row>
    <row r="2506" spans="8:8">
      <c r="B2506" s="7"/>
      <c r="C2506" s="8"/>
      <c r="D2506" s="8"/>
      <c r="E2506" s="8"/>
      <c r="F2506" s="9"/>
      <c r="G2506" s="9">
        <v>2503.0</v>
      </c>
      <c r="H2506" s="10">
        <f t="shared" si="81"/>
        <v>-0.00827222428774409</v>
      </c>
      <c r="K2506" s="7"/>
    </row>
    <row r="2507" spans="8:8">
      <c r="B2507" s="7"/>
      <c r="C2507" s="8"/>
      <c r="D2507" s="8"/>
      <c r="E2507" s="8"/>
      <c r="F2507" s="9"/>
      <c r="G2507" s="9">
        <v>2504.0</v>
      </c>
      <c r="H2507" s="10">
        <f t="shared" si="81"/>
        <v>0.028378198968416916</v>
      </c>
      <c r="K2507" s="7"/>
    </row>
    <row r="2508" spans="8:8">
      <c r="B2508" s="7"/>
      <c r="C2508" s="8"/>
      <c r="D2508" s="8"/>
      <c r="E2508" s="8"/>
      <c r="F2508" s="9"/>
      <c r="G2508" s="9">
        <v>2505.0</v>
      </c>
      <c r="H2508" s="10">
        <f t="shared" si="81"/>
        <v>0.017135693924926646</v>
      </c>
      <c r="K2508" s="7"/>
    </row>
    <row r="2509" spans="8:8">
      <c r="B2509" s="7"/>
      <c r="C2509" s="8"/>
      <c r="D2509" s="8"/>
      <c r="E2509" s="8"/>
      <c r="F2509" s="9"/>
      <c r="G2509" s="9">
        <v>2506.0</v>
      </c>
      <c r="H2509" s="10">
        <f t="shared" si="81"/>
        <v>0.006919803748043614</v>
      </c>
      <c r="K2509" s="7"/>
    </row>
    <row r="2510" spans="8:8">
      <c r="B2510" s="7"/>
      <c r="C2510" s="8"/>
      <c r="D2510" s="8"/>
      <c r="E2510" s="8"/>
      <c r="F2510" s="9"/>
      <c r="G2510" s="9">
        <v>2507.0</v>
      </c>
      <c r="H2510" s="10">
        <f t="shared" si="81"/>
        <v>-0.011192218134241611</v>
      </c>
      <c r="K2510" s="7"/>
    </row>
    <row r="2511" spans="8:8">
      <c r="B2511" s="7"/>
      <c r="C2511" s="8"/>
      <c r="D2511" s="8"/>
      <c r="E2511" s="8"/>
      <c r="F2511" s="9"/>
      <c r="G2511" s="9">
        <v>2508.0</v>
      </c>
      <c r="H2511" s="10">
        <f t="shared" si="81"/>
        <v>-0.017419571461006547</v>
      </c>
      <c r="K2511" s="7"/>
    </row>
    <row r="2512" spans="8:8">
      <c r="B2512" s="7"/>
      <c r="C2512" s="8"/>
      <c r="D2512" s="8"/>
      <c r="E2512" s="8"/>
      <c r="F2512" s="9"/>
      <c r="G2512" s="9">
        <v>2509.0</v>
      </c>
      <c r="H2512" s="10">
        <f t="shared" si="81"/>
        <v>-8.827767923456006E-4</v>
      </c>
      <c r="K2512" s="7"/>
    </row>
    <row r="2513" spans="8:8">
      <c r="B2513" s="7"/>
      <c r="C2513" s="8"/>
      <c r="D2513" s="8"/>
      <c r="E2513" s="8"/>
      <c r="F2513" s="9"/>
      <c r="G2513" s="9">
        <v>2510.0</v>
      </c>
      <c r="H2513" s="10">
        <f t="shared" si="81"/>
        <v>-0.0029312257547876386</v>
      </c>
      <c r="K2513" s="7"/>
    </row>
    <row r="2514" spans="8:8">
      <c r="B2514" s="7"/>
      <c r="C2514" s="8"/>
      <c r="D2514" s="8"/>
      <c r="E2514" s="8"/>
      <c r="F2514" s="9"/>
      <c r="G2514" s="9">
        <v>2511.0</v>
      </c>
      <c r="H2514" s="10">
        <f t="shared" si="81"/>
        <v>0.002276899412562137</v>
      </c>
      <c r="K2514" s="7"/>
    </row>
    <row r="2515" spans="8:8">
      <c r="B2515" s="7"/>
      <c r="C2515" s="8"/>
      <c r="D2515" s="8"/>
      <c r="E2515" s="8"/>
      <c r="F2515" s="9"/>
      <c r="G2515" s="9">
        <v>2512.0</v>
      </c>
      <c r="H2515" s="10">
        <f t="shared" si="81"/>
        <v>-6.054686527318153E-4</v>
      </c>
      <c r="K2515" s="7"/>
    </row>
    <row r="2516" spans="8:8">
      <c r="B2516" s="7"/>
      <c r="C2516" s="8"/>
      <c r="D2516" s="8"/>
      <c r="E2516" s="8"/>
      <c r="F2516" s="9"/>
      <c r="G2516" s="9">
        <v>2513.0</v>
      </c>
      <c r="H2516" s="10">
        <f t="shared" si="81"/>
        <v>0.008520362735382113</v>
      </c>
      <c r="K2516" s="7"/>
    </row>
    <row r="2517" spans="8:8">
      <c r="B2517" s="7"/>
      <c r="C2517" s="8"/>
      <c r="D2517" s="8"/>
      <c r="E2517" s="8"/>
      <c r="F2517" s="9"/>
      <c r="G2517" s="9">
        <v>2514.0</v>
      </c>
      <c r="H2517" s="10">
        <f t="shared" si="81"/>
        <v>-0.016321132812379343</v>
      </c>
      <c r="K2517" s="7"/>
    </row>
    <row r="2518" spans="8:8">
      <c r="B2518" s="7"/>
      <c r="C2518" s="8"/>
      <c r="D2518" s="8"/>
      <c r="E2518" s="8"/>
      <c r="F2518" s="9"/>
      <c r="G2518" s="9">
        <v>2515.0</v>
      </c>
      <c r="H2518" s="10">
        <f t="shared" si="81"/>
        <v>9.727033422849622E-4</v>
      </c>
      <c r="K2518" s="7"/>
    </row>
    <row r="2519" spans="8:8">
      <c r="B2519" s="7"/>
      <c r="C2519" s="8"/>
      <c r="D2519" s="8"/>
      <c r="E2519" s="8"/>
      <c r="F2519" s="9"/>
      <c r="G2519" s="9">
        <v>2516.0</v>
      </c>
      <c r="H2519" s="10">
        <f t="shared" si="81"/>
        <v>0.009219885867022218</v>
      </c>
      <c r="K2519" s="7"/>
    </row>
    <row r="2520" spans="8:8">
      <c r="B2520" s="7"/>
      <c r="C2520" s="8"/>
      <c r="D2520" s="8"/>
      <c r="E2520" s="8"/>
      <c r="F2520" s="9"/>
      <c r="G2520" s="9">
        <v>2517.0</v>
      </c>
      <c r="H2520" s="10">
        <f t="shared" si="81"/>
        <v>0.007628522932962387</v>
      </c>
      <c r="K2520" s="7"/>
    </row>
    <row r="2521" spans="8:8">
      <c r="B2521" s="7"/>
      <c r="C2521" s="8"/>
      <c r="D2521" s="8"/>
      <c r="E2521" s="8"/>
      <c r="F2521" s="9"/>
      <c r="G2521" s="9">
        <v>2518.0</v>
      </c>
      <c r="H2521" s="10">
        <f t="shared" si="81"/>
        <v>-8.48040960476134E-4</v>
      </c>
      <c r="K2521" s="7"/>
    </row>
    <row r="2522" spans="8:8">
      <c r="B2522" s="7"/>
      <c r="C2522" s="8"/>
      <c r="D2522" s="8"/>
      <c r="E2522" s="8"/>
      <c r="F2522" s="9"/>
      <c r="G2522" s="9">
        <v>2519.0</v>
      </c>
      <c r="H2522" s="10">
        <f t="shared" si="81"/>
        <v>0.0032917146878315854</v>
      </c>
      <c r="K2522" s="7"/>
    </row>
    <row r="2523" spans="8:8">
      <c r="B2523" s="7"/>
      <c r="C2523" s="8"/>
      <c r="D2523" s="8"/>
      <c r="E2523" s="8"/>
      <c r="F2523" s="9"/>
      <c r="G2523" s="9">
        <v>2520.0</v>
      </c>
      <c r="H2523" s="10">
        <f t="shared" si="81"/>
        <v>0.03125029634999865</v>
      </c>
      <c r="K2523" s="7"/>
    </row>
    <row r="2524" spans="8:8">
      <c r="B2524" s="7"/>
      <c r="C2524" s="8"/>
      <c r="D2524" s="8"/>
      <c r="E2524" s="8"/>
      <c r="F2524" s="9"/>
      <c r="G2524" s="9">
        <v>2521.0</v>
      </c>
      <c r="H2524" s="10">
        <f t="shared" si="81"/>
        <v>0.018382745046631694</v>
      </c>
      <c r="K2524" s="7"/>
    </row>
    <row r="2525" spans="8:8">
      <c r="B2525" s="7"/>
      <c r="C2525" s="8"/>
      <c r="D2525" s="8"/>
      <c r="E2525" s="8"/>
      <c r="F2525" s="9"/>
      <c r="G2525" s="9">
        <v>2522.0</v>
      </c>
      <c r="H2525" s="10">
        <f t="shared" si="81"/>
        <v>0.006968773333009813</v>
      </c>
      <c r="K2525" s="7"/>
    </row>
    <row r="2526" spans="8:8">
      <c r="B2526" s="7"/>
      <c r="C2526" s="8"/>
      <c r="D2526" s="8"/>
      <c r="E2526" s="8"/>
      <c r="F2526" s="9"/>
      <c r="G2526" s="9">
        <v>2523.0</v>
      </c>
      <c r="H2526" s="10">
        <f t="shared" si="81"/>
        <v>0.010813457787972453</v>
      </c>
      <c r="K2526" s="7"/>
    </row>
    <row r="2527" spans="8:8">
      <c r="B2527" s="7"/>
      <c r="C2527" s="8"/>
      <c r="D2527" s="8"/>
      <c r="E2527" s="8"/>
      <c r="F2527" s="9"/>
      <c r="G2527" s="9">
        <v>2524.0</v>
      </c>
      <c r="H2527" s="10">
        <f t="shared" si="81"/>
        <v>0.011480889097511264</v>
      </c>
      <c r="K2527" s="7"/>
    </row>
    <row r="2528" spans="8:8">
      <c r="B2528" s="7"/>
      <c r="C2528" s="8"/>
      <c r="D2528" s="8"/>
      <c r="E2528" s="8"/>
      <c r="F2528" s="9"/>
      <c r="G2528" s="9">
        <v>2525.0</v>
      </c>
      <c r="H2528" s="10">
        <f t="shared" si="81"/>
        <v>0.004314980258242323</v>
      </c>
      <c r="K2528" s="7"/>
    </row>
    <row r="2529" spans="8:8">
      <c r="B2529" s="7"/>
      <c r="C2529" s="8"/>
      <c r="D2529" s="8"/>
      <c r="E2529" s="8"/>
      <c r="F2529" s="9"/>
      <c r="G2529" s="9">
        <v>2526.0</v>
      </c>
      <c r="H2529" s="10">
        <f t="shared" si="81"/>
        <v>0.0017020283599036739</v>
      </c>
      <c r="K2529" s="7"/>
    </row>
    <row r="2530" spans="8:8">
      <c r="B2530" s="7"/>
      <c r="C2530" s="8"/>
      <c r="D2530" s="8"/>
      <c r="E2530" s="8"/>
      <c r="F2530" s="9"/>
      <c r="G2530" s="9">
        <v>2527.0</v>
      </c>
      <c r="H2530" s="10">
        <f t="shared" si="81"/>
        <v>-0.0030035105475630357</v>
      </c>
      <c r="K2530" s="7"/>
    </row>
    <row r="2531" spans="8:8">
      <c r="B2531" s="7"/>
      <c r="C2531" s="8"/>
      <c r="D2531" s="8"/>
      <c r="E2531" s="8"/>
      <c r="F2531" s="9"/>
      <c r="G2531" s="9">
        <v>2528.0</v>
      </c>
      <c r="H2531" s="10">
        <f t="shared" si="81"/>
        <v>0.007477276100088326</v>
      </c>
      <c r="K2531" s="7"/>
    </row>
    <row r="2532" spans="8:8">
      <c r="B2532" s="7"/>
      <c r="C2532" s="8"/>
      <c r="D2532" s="8"/>
      <c r="E2532" s="8"/>
      <c r="F2532" s="9"/>
      <c r="G2532" s="9">
        <v>2529.0</v>
      </c>
      <c r="H2532" s="10">
        <f t="shared" si="81"/>
        <v>0.014371989131578056</v>
      </c>
      <c r="K2532" s="7"/>
    </row>
    <row r="2533" spans="8:8">
      <c r="B2533" s="7"/>
      <c r="C2533" s="8"/>
      <c r="D2533" s="8"/>
      <c r="E2533" s="8"/>
      <c r="F2533" s="9"/>
      <c r="G2533" s="9">
        <v>2530.0</v>
      </c>
      <c r="H2533" s="10">
        <f t="shared" si="81"/>
        <v>-0.010958704895759706</v>
      </c>
      <c r="K2533" s="7"/>
    </row>
    <row r="2534" spans="8:8">
      <c r="B2534" s="7"/>
      <c r="C2534" s="8"/>
      <c r="D2534" s="8"/>
      <c r="E2534" s="8"/>
      <c r="F2534" s="9"/>
      <c r="G2534" s="9">
        <v>2531.0</v>
      </c>
      <c r="H2534" s="10">
        <f t="shared" si="81"/>
        <v>1.203567565675012E-4</v>
      </c>
      <c r="K2534" s="7"/>
    </row>
    <row r="2535" spans="8:8">
      <c r="B2535" s="7"/>
      <c r="C2535" s="8"/>
      <c r="D2535" s="8"/>
      <c r="E2535" s="8"/>
      <c r="F2535" s="9"/>
      <c r="G2535" s="9">
        <v>2532.0</v>
      </c>
      <c r="H2535" s="10">
        <f t="shared" si="81"/>
        <v>0.016288470762469497</v>
      </c>
      <c r="K2535" s="7"/>
    </row>
    <row r="2536" spans="8:8">
      <c r="B2536" s="7"/>
      <c r="C2536" s="8"/>
      <c r="D2536" s="8"/>
      <c r="E2536" s="8"/>
      <c r="F2536" s="9"/>
      <c r="G2536" s="9">
        <v>2533.0</v>
      </c>
      <c r="H2536" s="10">
        <f t="shared" si="81"/>
        <v>-0.005873052733293529</v>
      </c>
      <c r="K2536" s="7"/>
    </row>
    <row r="2537" spans="8:8">
      <c r="B2537" s="7"/>
      <c r="C2537" s="8"/>
      <c r="D2537" s="8"/>
      <c r="E2537" s="8"/>
      <c r="F2537" s="9"/>
      <c r="G2537" s="9">
        <v>2534.0</v>
      </c>
      <c r="H2537" s="10">
        <f t="shared" si="81"/>
        <v>0.0018776169678164892</v>
      </c>
      <c r="K2537" s="7"/>
    </row>
    <row r="2538" spans="8:8">
      <c r="B2538" s="7"/>
      <c r="C2538" s="8"/>
      <c r="D2538" s="8"/>
      <c r="E2538" s="8"/>
      <c r="F2538" s="9"/>
      <c r="G2538" s="9">
        <v>2535.0</v>
      </c>
      <c r="H2538" s="10">
        <f t="shared" si="81"/>
        <v>0.012165660564565788</v>
      </c>
      <c r="K2538" s="7"/>
    </row>
    <row r="2539" spans="8:8">
      <c r="B2539" s="7"/>
      <c r="C2539" s="8"/>
      <c r="D2539" s="8"/>
      <c r="E2539" s="8"/>
      <c r="F2539" s="9"/>
      <c r="G2539" s="9">
        <v>2536.0</v>
      </c>
      <c r="H2539" s="10">
        <f t="shared" si="81"/>
        <v>0.016440222850728745</v>
      </c>
      <c r="K2539" s="7"/>
    </row>
    <row r="2540" spans="8:8">
      <c r="B2540" s="7"/>
      <c r="C2540" s="8"/>
      <c r="D2540" s="8"/>
      <c r="E2540" s="8"/>
      <c r="F2540" s="9"/>
      <c r="G2540" s="9">
        <v>2537.0</v>
      </c>
      <c r="H2540" s="10">
        <f t="shared" si="81"/>
        <v>-0.0022752889347534815</v>
      </c>
      <c r="K2540" s="7"/>
    </row>
    <row r="2541" spans="8:8">
      <c r="B2541" s="7"/>
      <c r="C2541" s="8"/>
      <c r="D2541" s="8"/>
      <c r="E2541" s="8"/>
      <c r="F2541" s="9"/>
      <c r="G2541" s="9">
        <v>2538.0</v>
      </c>
      <c r="H2541" s="10">
        <f t="shared" si="81"/>
        <v>0.0013650505061224764</v>
      </c>
      <c r="K2541" s="7"/>
    </row>
    <row r="2542" spans="8:8">
      <c r="B2542" s="7"/>
      <c r="C2542" s="8"/>
      <c r="D2542" s="8"/>
      <c r="E2542" s="8"/>
      <c r="F2542" s="9"/>
      <c r="G2542" s="9">
        <v>2539.0</v>
      </c>
      <c r="H2542" s="10">
        <f t="shared" si="81"/>
        <v>0.0037352035905604004</v>
      </c>
      <c r="K2542" s="7"/>
    </row>
    <row r="2543" spans="8:8">
      <c r="B2543" s="7"/>
      <c r="C2543" s="8"/>
      <c r="D2543" s="8"/>
      <c r="E2543" s="8"/>
      <c r="F2543" s="9"/>
      <c r="G2543" s="9">
        <v>2540.0</v>
      </c>
      <c r="H2543" s="10">
        <f t="shared" si="81"/>
        <v>-0.017856196073696783</v>
      </c>
      <c r="K2543" s="7"/>
    </row>
    <row r="2544" spans="8:8">
      <c r="B2544" s="7"/>
      <c r="C2544" s="8"/>
      <c r="D2544" s="8"/>
      <c r="E2544" s="8"/>
      <c r="F2544" s="9"/>
      <c r="G2544" s="9">
        <v>2541.0</v>
      </c>
      <c r="H2544" s="10">
        <f t="shared" si="81"/>
        <v>-0.007267362424084851</v>
      </c>
      <c r="K2544" s="7"/>
    </row>
    <row r="2545" spans="8:8">
      <c r="B2545" s="7"/>
      <c r="C2545" s="8"/>
      <c r="D2545" s="8"/>
      <c r="E2545" s="8"/>
      <c r="F2545" s="9"/>
      <c r="G2545" s="9">
        <v>2542.0</v>
      </c>
      <c r="H2545" s="10">
        <f t="shared" si="81"/>
        <v>0.01703644823195496</v>
      </c>
      <c r="K2545" s="7"/>
    </row>
    <row r="2546" spans="8:8">
      <c r="B2546" s="7"/>
      <c r="C2546" s="8"/>
      <c r="D2546" s="8"/>
      <c r="E2546" s="8"/>
      <c r="F2546" s="9"/>
      <c r="G2546" s="9">
        <v>2543.0</v>
      </c>
      <c r="H2546" s="10">
        <f t="shared" si="81"/>
        <v>0.012758379400232098</v>
      </c>
      <c r="K2546" s="7"/>
    </row>
    <row r="2547" spans="8:8">
      <c r="B2547" s="7"/>
      <c r="C2547" s="8"/>
      <c r="D2547" s="8"/>
      <c r="E2547" s="8"/>
      <c r="F2547" s="9"/>
      <c r="G2547" s="9">
        <v>2544.0</v>
      </c>
      <c r="H2547" s="10">
        <f t="shared" si="81"/>
        <v>-0.010406395030650089</v>
      </c>
      <c r="K2547" s="7"/>
    </row>
    <row r="2548" spans="8:8">
      <c r="B2548" s="7"/>
      <c r="C2548" s="8"/>
      <c r="D2548" s="8"/>
      <c r="E2548" s="8"/>
      <c r="F2548" s="9"/>
      <c r="G2548" s="9">
        <v>2545.0</v>
      </c>
      <c r="H2548" s="10">
        <f t="shared" si="81"/>
        <v>0.01684159389473782</v>
      </c>
      <c r="K2548" s="7"/>
    </row>
    <row r="2549" spans="8:8">
      <c r="B2549" s="7"/>
      <c r="C2549" s="8"/>
      <c r="D2549" s="8"/>
      <c r="E2549" s="8"/>
      <c r="F2549" s="9"/>
      <c r="G2549" s="9">
        <v>2546.0</v>
      </c>
      <c r="H2549" s="10">
        <f t="shared" si="81"/>
        <v>0.024058080050677173</v>
      </c>
      <c r="K2549" s="7"/>
    </row>
    <row r="2550" spans="8:8">
      <c r="B2550" s="7"/>
      <c r="C2550" s="8"/>
      <c r="D2550" s="8"/>
      <c r="E2550" s="8"/>
      <c r="F2550" s="9"/>
      <c r="G2550" s="9">
        <v>2547.0</v>
      </c>
      <c r="H2550" s="10">
        <f t="shared" si="81"/>
        <v>0.03302980336526468</v>
      </c>
      <c r="K2550" s="7"/>
    </row>
    <row r="2551" spans="8:8">
      <c r="B2551" s="7"/>
      <c r="C2551" s="8"/>
      <c r="D2551" s="8"/>
      <c r="E2551" s="8"/>
      <c r="F2551" s="9"/>
      <c r="G2551" s="9">
        <v>2548.0</v>
      </c>
      <c r="H2551" s="10">
        <f t="shared" si="81"/>
        <v>-0.0033478722133308625</v>
      </c>
      <c r="K2551" s="7"/>
    </row>
    <row r="2552" spans="8:8">
      <c r="B2552" s="7"/>
      <c r="C2552" s="8"/>
      <c r="D2552" s="8"/>
      <c r="E2552" s="8"/>
      <c r="F2552" s="9"/>
      <c r="G2552" s="9">
        <v>2549.0</v>
      </c>
      <c r="H2552" s="10">
        <f t="shared" si="81"/>
        <v>-0.011305828435771843</v>
      </c>
      <c r="K2552" s="7"/>
    </row>
    <row r="2553" spans="8:8">
      <c r="B2553" s="7"/>
      <c r="C2553" s="8"/>
      <c r="D2553" s="8"/>
      <c r="E2553" s="8"/>
      <c r="F2553" s="9"/>
      <c r="G2553" s="9">
        <v>2550.0</v>
      </c>
      <c r="H2553" s="10">
        <f t="shared" si="81"/>
        <v>0.012429081167184199</v>
      </c>
      <c r="K2553" s="7"/>
    </row>
    <row r="2554" spans="8:8">
      <c r="B2554" s="7"/>
      <c r="C2554" s="8"/>
      <c r="D2554" s="8"/>
      <c r="E2554" s="8"/>
      <c r="F2554" s="9"/>
      <c r="G2554" s="9">
        <v>2551.0</v>
      </c>
      <c r="H2554" s="10">
        <f t="shared" si="81"/>
        <v>0.019299184253901893</v>
      </c>
      <c r="K2554" s="7"/>
    </row>
    <row r="2555" spans="8:8">
      <c r="B2555" s="7"/>
      <c r="C2555" s="8"/>
      <c r="D2555" s="8"/>
      <c r="E2555" s="8"/>
      <c r="F2555" s="9"/>
      <c r="G2555" s="9">
        <v>2552.0</v>
      </c>
      <c r="H2555" s="10">
        <f t="shared" si="81"/>
        <v>-0.0016235544376627985</v>
      </c>
      <c r="K2555" s="7"/>
    </row>
    <row r="2556" spans="8:8">
      <c r="B2556" s="7"/>
      <c r="C2556" s="8"/>
      <c r="D2556" s="8"/>
      <c r="E2556" s="8"/>
      <c r="F2556" s="9"/>
      <c r="G2556" s="9">
        <v>2553.0</v>
      </c>
      <c r="H2556" s="10">
        <f t="shared" si="81"/>
        <v>0.004499445420831224</v>
      </c>
      <c r="K2556" s="7"/>
    </row>
    <row r="2557" spans="8:8">
      <c r="B2557" s="7"/>
      <c r="C2557" s="8"/>
      <c r="D2557" s="8"/>
      <c r="E2557" s="8"/>
      <c r="F2557" s="9"/>
      <c r="G2557" s="9">
        <v>2554.0</v>
      </c>
      <c r="H2557" s="10">
        <f t="shared" si="81"/>
        <v>0.02497841755952584</v>
      </c>
      <c r="K2557" s="7"/>
    </row>
    <row r="2558" spans="8:8">
      <c r="B2558" s="7"/>
      <c r="C2558" s="8"/>
      <c r="D2558" s="8"/>
      <c r="E2558" s="8"/>
      <c r="F2558" s="9"/>
      <c r="G2558" s="9">
        <v>2555.0</v>
      </c>
      <c r="H2558" s="10">
        <f t="shared" si="81"/>
        <v>0.01110477809748281</v>
      </c>
      <c r="K2558" s="7"/>
    </row>
    <row r="2559" spans="8:8">
      <c r="B2559" s="7"/>
      <c r="C2559" s="8"/>
      <c r="D2559" s="8"/>
      <c r="E2559" s="8"/>
      <c r="F2559" s="9"/>
      <c r="G2559" s="9">
        <v>2556.0</v>
      </c>
      <c r="H2559" s="10">
        <f t="shared" si="81"/>
        <v>0.00375177726552305</v>
      </c>
      <c r="K2559" s="7"/>
    </row>
    <row r="2560" spans="8:8">
      <c r="B2560" s="7"/>
      <c r="C2560" s="8"/>
      <c r="D2560" s="8"/>
      <c r="E2560" s="8"/>
      <c r="F2560" s="9"/>
      <c r="G2560" s="9">
        <v>2557.0</v>
      </c>
      <c r="H2560" s="10">
        <f t="shared" si="81"/>
        <v>0.02103720534816815</v>
      </c>
      <c r="K2560" s="7"/>
    </row>
    <row r="2561" spans="8:8">
      <c r="B2561" s="7"/>
      <c r="C2561" s="8"/>
      <c r="D2561" s="8"/>
      <c r="E2561" s="8"/>
      <c r="F2561" s="9"/>
      <c r="G2561" s="9">
        <v>2558.0</v>
      </c>
      <c r="H2561" s="10">
        <f t="shared" si="81"/>
        <v>0.008540081009812277</v>
      </c>
      <c r="K2561" s="7"/>
    </row>
    <row r="2562" spans="8:8">
      <c r="B2562" s="7"/>
      <c r="C2562" s="8"/>
      <c r="D2562" s="8"/>
      <c r="E2562" s="8"/>
      <c r="F2562" s="9"/>
      <c r="G2562" s="9">
        <v>2559.0</v>
      </c>
      <c r="H2562" s="10">
        <f t="shared" si="81"/>
        <v>6.166818375512241E-4</v>
      </c>
      <c r="K2562" s="7"/>
    </row>
    <row r="2563" spans="8:8">
      <c r="B2563" s="7"/>
      <c r="C2563" s="8"/>
      <c r="D2563" s="8"/>
      <c r="E2563" s="8"/>
      <c r="F2563" s="9"/>
      <c r="G2563" s="9">
        <v>2560.0</v>
      </c>
      <c r="H2563" s="10">
        <f t="shared" si="81"/>
        <v>-0.02635854361523564</v>
      </c>
      <c r="K2563" s="7"/>
    </row>
    <row r="2564" spans="8:8">
      <c r="B2564" s="7"/>
      <c r="C2564" s="8"/>
      <c r="D2564" s="8"/>
      <c r="E2564" s="8"/>
      <c r="F2564" s="9"/>
      <c r="G2564" s="9">
        <v>2561.0</v>
      </c>
      <c r="H2564" s="10">
        <f t="shared" si="81"/>
        <v>0.002963912886914313</v>
      </c>
      <c r="K2564" s="7"/>
    </row>
    <row r="2565" spans="8:8">
      <c r="B2565" s="7"/>
      <c r="C2565" s="8"/>
      <c r="D2565" s="8"/>
      <c r="E2565" s="8"/>
      <c r="F2565" s="9"/>
      <c r="G2565" s="9">
        <v>2562.0</v>
      </c>
      <c r="H2565" s="10">
        <f t="shared" si="82" ref="H2565:H2628">_xlfn.NORM.INV(RAND(),N$6,N$7)</f>
        <v>-0.03689715227111915</v>
      </c>
      <c r="K2565" s="7"/>
    </row>
    <row r="2566" spans="8:8">
      <c r="B2566" s="7"/>
      <c r="C2566" s="8"/>
      <c r="D2566" s="8"/>
      <c r="E2566" s="8"/>
      <c r="F2566" s="9"/>
      <c r="G2566" s="9">
        <v>2563.0</v>
      </c>
      <c r="H2566" s="10">
        <f t="shared" si="82"/>
        <v>-0.013599463529202896</v>
      </c>
      <c r="K2566" s="7"/>
    </row>
    <row r="2567" spans="8:8">
      <c r="B2567" s="7"/>
      <c r="C2567" s="8"/>
      <c r="D2567" s="8"/>
      <c r="E2567" s="8"/>
      <c r="F2567" s="9"/>
      <c r="G2567" s="9">
        <v>2564.0</v>
      </c>
      <c r="H2567" s="10">
        <f t="shared" si="82"/>
        <v>0.006742655738682411</v>
      </c>
      <c r="K2567" s="7"/>
    </row>
    <row r="2568" spans="8:8">
      <c r="B2568" s="7"/>
      <c r="C2568" s="8"/>
      <c r="D2568" s="8"/>
      <c r="E2568" s="8"/>
      <c r="F2568" s="9"/>
      <c r="G2568" s="9">
        <v>2565.0</v>
      </c>
      <c r="H2568" s="10">
        <f t="shared" si="82"/>
        <v>0.025727008506252706</v>
      </c>
      <c r="K2568" s="7"/>
    </row>
    <row r="2569" spans="8:8">
      <c r="B2569" s="7"/>
      <c r="C2569" s="8"/>
      <c r="D2569" s="8"/>
      <c r="E2569" s="8"/>
      <c r="F2569" s="9"/>
      <c r="G2569" s="9">
        <v>2566.0</v>
      </c>
      <c r="H2569" s="10">
        <f t="shared" si="82"/>
        <v>0.009346044704233848</v>
      </c>
      <c r="K2569" s="7"/>
    </row>
    <row r="2570" spans="8:8">
      <c r="B2570" s="7"/>
      <c r="C2570" s="8"/>
      <c r="D2570" s="8"/>
      <c r="E2570" s="8"/>
      <c r="F2570" s="9"/>
      <c r="G2570" s="9">
        <v>2567.0</v>
      </c>
      <c r="H2570" s="10">
        <f t="shared" si="82"/>
        <v>0.010076432374557926</v>
      </c>
      <c r="K2570" s="7"/>
    </row>
    <row r="2571" spans="8:8">
      <c r="B2571" s="7"/>
      <c r="C2571" s="8"/>
      <c r="D2571" s="8"/>
      <c r="E2571" s="8"/>
      <c r="F2571" s="9"/>
      <c r="G2571" s="9">
        <v>2568.0</v>
      </c>
      <c r="H2571" s="10">
        <f t="shared" si="82"/>
        <v>-0.00826716505372533</v>
      </c>
      <c r="K2571" s="7"/>
    </row>
    <row r="2572" spans="8:8">
      <c r="B2572" s="7"/>
      <c r="C2572" s="8"/>
      <c r="D2572" s="8"/>
      <c r="E2572" s="8"/>
      <c r="F2572" s="9"/>
      <c r="G2572" s="9">
        <v>2569.0</v>
      </c>
      <c r="H2572" s="10">
        <f t="shared" si="82"/>
        <v>0.004208565747990432</v>
      </c>
      <c r="K2572" s="7"/>
    </row>
    <row r="2573" spans="8:8">
      <c r="B2573" s="7"/>
      <c r="C2573" s="8"/>
      <c r="D2573" s="8"/>
      <c r="E2573" s="8"/>
      <c r="F2573" s="9"/>
      <c r="G2573" s="9">
        <v>2570.0</v>
      </c>
      <c r="H2573" s="10">
        <f t="shared" si="82"/>
        <v>0.009192619354397892</v>
      </c>
      <c r="K2573" s="7"/>
    </row>
    <row r="2574" spans="8:8">
      <c r="B2574" s="7"/>
      <c r="C2574" s="8"/>
      <c r="D2574" s="8"/>
      <c r="E2574" s="8"/>
      <c r="F2574" s="9"/>
      <c r="G2574" s="9">
        <v>2571.0</v>
      </c>
      <c r="H2574" s="10">
        <f t="shared" si="82"/>
        <v>-0.004093473831043182</v>
      </c>
      <c r="K2574" s="7"/>
    </row>
    <row r="2575" spans="8:8">
      <c r="B2575" s="7"/>
      <c r="C2575" s="8"/>
      <c r="D2575" s="8"/>
      <c r="E2575" s="8"/>
      <c r="F2575" s="9"/>
      <c r="G2575" s="9">
        <v>2572.0</v>
      </c>
      <c r="H2575" s="10">
        <f t="shared" si="82"/>
        <v>0.01828875849928944</v>
      </c>
      <c r="K2575" s="7"/>
    </row>
    <row r="2576" spans="8:8">
      <c r="B2576" s="7"/>
      <c r="C2576" s="8"/>
      <c r="D2576" s="8"/>
      <c r="E2576" s="8"/>
      <c r="F2576" s="9"/>
      <c r="G2576" s="9">
        <v>2573.0</v>
      </c>
      <c r="H2576" s="10">
        <f t="shared" si="82"/>
        <v>0.005935656052659739</v>
      </c>
      <c r="K2576" s="7"/>
    </row>
    <row r="2577" spans="8:8">
      <c r="B2577" s="7"/>
      <c r="C2577" s="8"/>
      <c r="D2577" s="8"/>
      <c r="E2577" s="8"/>
      <c r="F2577" s="9"/>
      <c r="G2577" s="9">
        <v>2574.0</v>
      </c>
      <c r="H2577" s="10">
        <f t="shared" si="82"/>
        <v>0.007227215730932546</v>
      </c>
      <c r="K2577" s="7"/>
    </row>
    <row r="2578" spans="8:8">
      <c r="B2578" s="7"/>
      <c r="C2578" s="8"/>
      <c r="D2578" s="8"/>
      <c r="E2578" s="8"/>
      <c r="F2578" s="9"/>
      <c r="G2578" s="9">
        <v>2575.0</v>
      </c>
      <c r="H2578" s="10">
        <f t="shared" si="82"/>
        <v>-0.014050450899623597</v>
      </c>
      <c r="K2578" s="7"/>
    </row>
    <row r="2579" spans="8:8">
      <c r="B2579" s="7"/>
      <c r="C2579" s="8"/>
      <c r="D2579" s="8"/>
      <c r="E2579" s="8"/>
      <c r="F2579" s="9"/>
      <c r="G2579" s="9">
        <v>2576.0</v>
      </c>
      <c r="H2579" s="10">
        <f t="shared" si="82"/>
        <v>0.006901801757966734</v>
      </c>
      <c r="K2579" s="7"/>
    </row>
    <row r="2580" spans="8:8">
      <c r="B2580" s="7"/>
      <c r="C2580" s="8"/>
      <c r="D2580" s="8"/>
      <c r="E2580" s="8"/>
      <c r="F2580" s="9"/>
      <c r="G2580" s="9">
        <v>2577.0</v>
      </c>
      <c r="H2580" s="10">
        <f t="shared" si="82"/>
        <v>-0.013168122961483682</v>
      </c>
      <c r="K2580" s="7"/>
    </row>
    <row r="2581" spans="8:8">
      <c r="B2581" s="7"/>
      <c r="C2581" s="8"/>
      <c r="D2581" s="8"/>
      <c r="E2581" s="8"/>
      <c r="F2581" s="9"/>
      <c r="G2581" s="9">
        <v>2578.0</v>
      </c>
      <c r="H2581" s="10">
        <f t="shared" si="82"/>
        <v>-0.0035814477274827075</v>
      </c>
      <c r="K2581" s="7"/>
    </row>
    <row r="2582" spans="8:8">
      <c r="B2582" s="7"/>
      <c r="C2582" s="8"/>
      <c r="D2582" s="8"/>
      <c r="E2582" s="8"/>
      <c r="F2582" s="9"/>
      <c r="G2582" s="9">
        <v>2579.0</v>
      </c>
      <c r="H2582" s="10">
        <f t="shared" si="82"/>
        <v>-0.00678024990135358</v>
      </c>
      <c r="K2582" s="7"/>
    </row>
    <row r="2583" spans="8:8">
      <c r="B2583" s="7"/>
      <c r="C2583" s="8"/>
      <c r="D2583" s="8"/>
      <c r="E2583" s="8"/>
      <c r="F2583" s="9"/>
      <c r="G2583" s="9">
        <v>2580.0</v>
      </c>
      <c r="H2583" s="10">
        <f t="shared" si="82"/>
        <v>-0.002885344964093037</v>
      </c>
      <c r="K2583" s="7"/>
    </row>
    <row r="2584" spans="8:8">
      <c r="B2584" s="7"/>
      <c r="C2584" s="8"/>
      <c r="D2584" s="8"/>
      <c r="E2584" s="8"/>
      <c r="F2584" s="9"/>
      <c r="G2584" s="9">
        <v>2581.0</v>
      </c>
      <c r="H2584" s="10">
        <f t="shared" si="82"/>
        <v>0.019659892260253234</v>
      </c>
      <c r="K2584" s="7"/>
    </row>
    <row r="2585" spans="8:8">
      <c r="B2585" s="7"/>
      <c r="C2585" s="8"/>
      <c r="D2585" s="8"/>
      <c r="E2585" s="8"/>
      <c r="F2585" s="9"/>
      <c r="G2585" s="9">
        <v>2582.0</v>
      </c>
      <c r="H2585" s="10">
        <f t="shared" si="82"/>
        <v>-0.0038709780739261375</v>
      </c>
      <c r="K2585" s="7"/>
    </row>
    <row r="2586" spans="8:8">
      <c r="B2586" s="7"/>
      <c r="C2586" s="8"/>
      <c r="D2586" s="8"/>
      <c r="E2586" s="8"/>
      <c r="F2586" s="9"/>
      <c r="G2586" s="9">
        <v>2583.0</v>
      </c>
      <c r="H2586" s="10">
        <f t="shared" si="82"/>
        <v>-0.011460576661537502</v>
      </c>
      <c r="K2586" s="7"/>
    </row>
    <row r="2587" spans="8:8">
      <c r="B2587" s="7"/>
      <c r="C2587" s="8"/>
      <c r="D2587" s="8"/>
      <c r="E2587" s="8"/>
      <c r="F2587" s="9"/>
      <c r="G2587" s="9">
        <v>2584.0</v>
      </c>
      <c r="H2587" s="10">
        <f t="shared" si="82"/>
        <v>-0.0030645314568299607</v>
      </c>
      <c r="K2587" s="7"/>
    </row>
    <row r="2588" spans="8:8">
      <c r="B2588" s="7"/>
      <c r="C2588" s="8"/>
      <c r="D2588" s="8"/>
      <c r="E2588" s="8"/>
      <c r="F2588" s="9"/>
      <c r="G2588" s="9">
        <v>2585.0</v>
      </c>
      <c r="H2588" s="10">
        <f t="shared" si="82"/>
        <v>0.006052769921703137</v>
      </c>
      <c r="K2588" s="7"/>
    </row>
    <row r="2589" spans="8:8">
      <c r="B2589" s="7"/>
      <c r="C2589" s="8"/>
      <c r="D2589" s="8"/>
      <c r="E2589" s="8"/>
      <c r="F2589" s="9"/>
      <c r="G2589" s="9">
        <v>2586.0</v>
      </c>
      <c r="H2589" s="10">
        <f t="shared" si="82"/>
        <v>0.005663288874018037</v>
      </c>
      <c r="K2589" s="7"/>
    </row>
    <row r="2590" spans="8:8">
      <c r="B2590" s="7"/>
      <c r="C2590" s="8"/>
      <c r="D2590" s="8"/>
      <c r="E2590" s="8"/>
      <c r="F2590" s="9"/>
      <c r="G2590" s="9">
        <v>2587.0</v>
      </c>
      <c r="H2590" s="10">
        <f t="shared" si="82"/>
        <v>0.009109131320003044</v>
      </c>
      <c r="K2590" s="7"/>
    </row>
    <row r="2591" spans="8:8">
      <c r="B2591" s="7"/>
      <c r="C2591" s="8"/>
      <c r="D2591" s="8"/>
      <c r="E2591" s="8"/>
      <c r="F2591" s="9"/>
      <c r="G2591" s="9">
        <v>2588.0</v>
      </c>
      <c r="H2591" s="10">
        <f t="shared" si="82"/>
        <v>-0.016155949427891024</v>
      </c>
      <c r="K2591" s="7"/>
    </row>
    <row r="2592" spans="8:8">
      <c r="B2592" s="7"/>
      <c r="C2592" s="8"/>
      <c r="D2592" s="8"/>
      <c r="E2592" s="8"/>
      <c r="F2592" s="9"/>
      <c r="G2592" s="9">
        <v>2589.0</v>
      </c>
      <c r="H2592" s="10">
        <f t="shared" si="82"/>
        <v>0.021285086511820924</v>
      </c>
      <c r="K2592" s="7"/>
    </row>
    <row r="2593" spans="8:8">
      <c r="B2593" s="7"/>
      <c r="C2593" s="8"/>
      <c r="D2593" s="8"/>
      <c r="E2593" s="8"/>
      <c r="F2593" s="9"/>
      <c r="G2593" s="9">
        <v>2590.0</v>
      </c>
      <c r="H2593" s="10">
        <f t="shared" si="82"/>
        <v>-0.00990197413017152</v>
      </c>
      <c r="K2593" s="7"/>
    </row>
    <row r="2594" spans="8:8">
      <c r="B2594" s="7"/>
      <c r="C2594" s="8"/>
      <c r="D2594" s="8"/>
      <c r="E2594" s="8"/>
      <c r="F2594" s="9"/>
      <c r="G2594" s="9">
        <v>2591.0</v>
      </c>
      <c r="H2594" s="10">
        <f t="shared" si="82"/>
        <v>-0.01215803562171246</v>
      </c>
      <c r="K2594" s="7"/>
    </row>
    <row r="2595" spans="8:8">
      <c r="B2595" s="7"/>
      <c r="C2595" s="8"/>
      <c r="D2595" s="8"/>
      <c r="E2595" s="8"/>
      <c r="F2595" s="9"/>
      <c r="G2595" s="9">
        <v>2592.0</v>
      </c>
      <c r="H2595" s="10">
        <f t="shared" si="82"/>
        <v>-0.025744376905275684</v>
      </c>
      <c r="K2595" s="7"/>
    </row>
    <row r="2596" spans="8:8">
      <c r="B2596" s="7"/>
      <c r="C2596" s="8"/>
      <c r="D2596" s="8"/>
      <c r="E2596" s="8"/>
      <c r="F2596" s="9"/>
      <c r="G2596" s="9">
        <v>2593.0</v>
      </c>
      <c r="H2596" s="10">
        <f t="shared" si="82"/>
        <v>0.009648272089222127</v>
      </c>
      <c r="K2596" s="7"/>
    </row>
    <row r="2597" spans="8:8">
      <c r="B2597" s="7"/>
      <c r="C2597" s="8"/>
      <c r="D2597" s="8"/>
      <c r="E2597" s="8"/>
      <c r="F2597" s="9"/>
      <c r="G2597" s="9">
        <v>2594.0</v>
      </c>
      <c r="H2597" s="10">
        <f t="shared" si="82"/>
        <v>0.007618515732179448</v>
      </c>
      <c r="K2597" s="7"/>
    </row>
    <row r="2598" spans="8:8">
      <c r="B2598" s="7"/>
      <c r="C2598" s="8"/>
      <c r="D2598" s="8"/>
      <c r="E2598" s="8"/>
      <c r="F2598" s="9"/>
      <c r="G2598" s="9">
        <v>2595.0</v>
      </c>
      <c r="H2598" s="10">
        <f t="shared" si="82"/>
        <v>0.012670594394584483</v>
      </c>
      <c r="K2598" s="7"/>
    </row>
    <row r="2599" spans="8:8">
      <c r="B2599" s="7"/>
      <c r="C2599" s="8"/>
      <c r="D2599" s="8"/>
      <c r="E2599" s="8"/>
      <c r="F2599" s="9"/>
      <c r="G2599" s="9">
        <v>2596.0</v>
      </c>
      <c r="H2599" s="10">
        <f t="shared" si="82"/>
        <v>0.0030639300112725375</v>
      </c>
      <c r="K2599" s="7"/>
    </row>
    <row r="2600" spans="8:8">
      <c r="B2600" s="7"/>
      <c r="C2600" s="8"/>
      <c r="D2600" s="8"/>
      <c r="E2600" s="8"/>
      <c r="F2600" s="9"/>
      <c r="G2600" s="9">
        <v>2597.0</v>
      </c>
      <c r="H2600" s="10">
        <f t="shared" si="82"/>
        <v>-8.742742490606362E-4</v>
      </c>
      <c r="K2600" s="7"/>
    </row>
    <row r="2601" spans="8:8">
      <c r="B2601" s="7"/>
      <c r="C2601" s="8"/>
      <c r="D2601" s="8"/>
      <c r="E2601" s="8"/>
      <c r="F2601" s="9"/>
      <c r="G2601" s="9">
        <v>2598.0</v>
      </c>
      <c r="H2601" s="10">
        <f t="shared" si="82"/>
        <v>-0.006445410423400181</v>
      </c>
      <c r="K2601" s="7"/>
    </row>
    <row r="2602" spans="8:8">
      <c r="B2602" s="7"/>
      <c r="C2602" s="8"/>
      <c r="D2602" s="8"/>
      <c r="E2602" s="8"/>
      <c r="F2602" s="9"/>
      <c r="G2602" s="9">
        <v>2599.0</v>
      </c>
      <c r="H2602" s="10">
        <f t="shared" si="82"/>
        <v>-0.0011835221264881925</v>
      </c>
      <c r="K2602" s="7"/>
    </row>
    <row r="2603" spans="8:8">
      <c r="B2603" s="7"/>
      <c r="C2603" s="8"/>
      <c r="D2603" s="8"/>
      <c r="E2603" s="8"/>
      <c r="F2603" s="9"/>
      <c r="G2603" s="9">
        <v>2600.0</v>
      </c>
      <c r="H2603" s="10">
        <f t="shared" si="82"/>
        <v>-0.010970364575322265</v>
      </c>
      <c r="K2603" s="7"/>
    </row>
    <row r="2604" spans="8:8">
      <c r="B2604" s="7"/>
      <c r="C2604" s="8"/>
      <c r="D2604" s="8"/>
      <c r="E2604" s="8"/>
      <c r="F2604" s="9"/>
      <c r="G2604" s="9">
        <v>2601.0</v>
      </c>
      <c r="H2604" s="10">
        <f t="shared" si="82"/>
        <v>0.005335381749166521</v>
      </c>
      <c r="K2604" s="7"/>
    </row>
    <row r="2605" spans="8:8">
      <c r="B2605" s="7"/>
      <c r="C2605" s="8"/>
      <c r="D2605" s="8"/>
      <c r="E2605" s="8"/>
      <c r="F2605" s="9"/>
      <c r="G2605" s="9">
        <v>2602.0</v>
      </c>
      <c r="H2605" s="10">
        <f t="shared" si="82"/>
        <v>0.01673747887308355</v>
      </c>
      <c r="K2605" s="7"/>
    </row>
    <row r="2606" spans="8:8">
      <c r="B2606" s="7"/>
      <c r="C2606" s="8"/>
      <c r="D2606" s="8"/>
      <c r="E2606" s="8"/>
      <c r="F2606" s="9"/>
      <c r="G2606" s="9">
        <v>2603.0</v>
      </c>
      <c r="H2606" s="10">
        <f t="shared" si="82"/>
        <v>-0.018932560351345152</v>
      </c>
      <c r="K2606" s="7"/>
    </row>
    <row r="2607" spans="8:8">
      <c r="B2607" s="7"/>
      <c r="C2607" s="8"/>
      <c r="D2607" s="8"/>
      <c r="E2607" s="8"/>
      <c r="F2607" s="9"/>
      <c r="G2607" s="9">
        <v>2604.0</v>
      </c>
      <c r="H2607" s="10">
        <f t="shared" si="82"/>
        <v>-0.005118806597677759</v>
      </c>
      <c r="K2607" s="7"/>
    </row>
    <row r="2608" spans="8:8">
      <c r="B2608" s="7"/>
      <c r="C2608" s="8"/>
      <c r="D2608" s="8"/>
      <c r="E2608" s="8"/>
      <c r="F2608" s="9"/>
      <c r="G2608" s="9">
        <v>2605.0</v>
      </c>
      <c r="H2608" s="10">
        <f t="shared" si="82"/>
        <v>8.110716746689323E-4</v>
      </c>
      <c r="K2608" s="7"/>
    </row>
    <row r="2609" spans="8:8">
      <c r="B2609" s="7"/>
      <c r="C2609" s="8"/>
      <c r="D2609" s="8"/>
      <c r="E2609" s="8"/>
      <c r="F2609" s="9"/>
      <c r="G2609" s="9">
        <v>2606.0</v>
      </c>
      <c r="H2609" s="10">
        <f t="shared" si="82"/>
        <v>-8.414685530850055E-4</v>
      </c>
      <c r="K2609" s="7"/>
    </row>
    <row r="2610" spans="8:8">
      <c r="B2610" s="7"/>
      <c r="C2610" s="8"/>
      <c r="D2610" s="8"/>
      <c r="E2610" s="8"/>
      <c r="F2610" s="9"/>
      <c r="G2610" s="9">
        <v>2607.0</v>
      </c>
      <c r="H2610" s="10">
        <f t="shared" si="82"/>
        <v>0.013020899049278743</v>
      </c>
      <c r="K2610" s="7"/>
    </row>
    <row r="2611" spans="8:8">
      <c r="B2611" s="7"/>
      <c r="C2611" s="8"/>
      <c r="D2611" s="8"/>
      <c r="E2611" s="8"/>
      <c r="F2611" s="9"/>
      <c r="G2611" s="9">
        <v>2608.0</v>
      </c>
      <c r="H2611" s="10">
        <f t="shared" si="82"/>
        <v>0.010724550186574871</v>
      </c>
      <c r="K2611" s="7"/>
    </row>
    <row r="2612" spans="8:8">
      <c r="B2612" s="7"/>
      <c r="C2612" s="8"/>
      <c r="D2612" s="8"/>
      <c r="E2612" s="8"/>
      <c r="F2612" s="9"/>
      <c r="G2612" s="9">
        <v>2609.0</v>
      </c>
      <c r="H2612" s="10">
        <f t="shared" si="82"/>
        <v>0.02217413592026605</v>
      </c>
      <c r="K2612" s="7"/>
    </row>
    <row r="2613" spans="8:8">
      <c r="B2613" s="7"/>
      <c r="C2613" s="8"/>
      <c r="D2613" s="8"/>
      <c r="E2613" s="8"/>
      <c r="F2613" s="9"/>
      <c r="G2613" s="9">
        <v>2610.0</v>
      </c>
      <c r="H2613" s="10">
        <f t="shared" si="82"/>
        <v>0.003071570586134582</v>
      </c>
      <c r="K2613" s="7"/>
    </row>
    <row r="2614" spans="8:8">
      <c r="B2614" s="7"/>
      <c r="C2614" s="8"/>
      <c r="D2614" s="8"/>
      <c r="E2614" s="8"/>
      <c r="F2614" s="9"/>
      <c r="G2614" s="9">
        <v>2611.0</v>
      </c>
      <c r="H2614" s="10">
        <f t="shared" si="82"/>
        <v>8.315974806431645E-4</v>
      </c>
      <c r="K2614" s="7"/>
    </row>
    <row r="2615" spans="8:8">
      <c r="B2615" s="7"/>
      <c r="C2615" s="8"/>
      <c r="D2615" s="8"/>
      <c r="E2615" s="8"/>
      <c r="F2615" s="9"/>
      <c r="G2615" s="9">
        <v>2612.0</v>
      </c>
      <c r="H2615" s="10">
        <f t="shared" si="82"/>
        <v>0.01706372938370339</v>
      </c>
      <c r="K2615" s="7"/>
    </row>
    <row r="2616" spans="8:8">
      <c r="B2616" s="7"/>
      <c r="C2616" s="8"/>
      <c r="D2616" s="8"/>
      <c r="E2616" s="8"/>
      <c r="F2616" s="9"/>
      <c r="G2616" s="9">
        <v>2613.0</v>
      </c>
      <c r="H2616" s="10">
        <f t="shared" si="82"/>
        <v>0.002452720268368156</v>
      </c>
      <c r="K2616" s="7"/>
    </row>
    <row r="2617" spans="8:8">
      <c r="B2617" s="7"/>
      <c r="C2617" s="8"/>
      <c r="D2617" s="8"/>
      <c r="E2617" s="8"/>
      <c r="F2617" s="9"/>
      <c r="G2617" s="9">
        <v>2614.0</v>
      </c>
      <c r="H2617" s="10">
        <f t="shared" si="82"/>
        <v>0.004490429258917779</v>
      </c>
      <c r="K2617" s="7"/>
    </row>
    <row r="2618" spans="8:8">
      <c r="B2618" s="7"/>
      <c r="C2618" s="8"/>
      <c r="D2618" s="8"/>
      <c r="E2618" s="8"/>
      <c r="F2618" s="9"/>
      <c r="G2618" s="9">
        <v>2615.0</v>
      </c>
      <c r="H2618" s="10">
        <f t="shared" si="82"/>
        <v>0.00839041804574777</v>
      </c>
      <c r="K2618" s="7"/>
    </row>
    <row r="2619" spans="8:8">
      <c r="B2619" s="7"/>
      <c r="C2619" s="8"/>
      <c r="D2619" s="8"/>
      <c r="E2619" s="8"/>
      <c r="F2619" s="9"/>
      <c r="G2619" s="9">
        <v>2616.0</v>
      </c>
      <c r="H2619" s="10">
        <f t="shared" si="82"/>
        <v>0.006504110750156353</v>
      </c>
      <c r="K2619" s="7"/>
    </row>
    <row r="2620" spans="8:8">
      <c r="B2620" s="7"/>
      <c r="C2620" s="8"/>
      <c r="D2620" s="8"/>
      <c r="E2620" s="8"/>
      <c r="F2620" s="9"/>
      <c r="G2620" s="9">
        <v>2617.0</v>
      </c>
      <c r="H2620" s="10">
        <f t="shared" si="82"/>
        <v>0.002719304461523069</v>
      </c>
      <c r="K2620" s="7"/>
    </row>
    <row r="2621" spans="8:8">
      <c r="B2621" s="7"/>
      <c r="C2621" s="8"/>
      <c r="D2621" s="8"/>
      <c r="E2621" s="8"/>
      <c r="F2621" s="9"/>
      <c r="G2621" s="9">
        <v>2618.0</v>
      </c>
      <c r="H2621" s="10">
        <f t="shared" si="82"/>
        <v>-0.006870409486541002</v>
      </c>
      <c r="K2621" s="7"/>
    </row>
    <row r="2622" spans="8:8">
      <c r="B2622" s="7"/>
      <c r="C2622" s="8"/>
      <c r="D2622" s="8"/>
      <c r="E2622" s="8"/>
      <c r="F2622" s="9"/>
      <c r="G2622" s="9">
        <v>2619.0</v>
      </c>
      <c r="H2622" s="10">
        <f t="shared" si="82"/>
        <v>-0.009746735365319274</v>
      </c>
      <c r="K2622" s="7"/>
    </row>
    <row r="2623" spans="8:8">
      <c r="B2623" s="7"/>
      <c r="C2623" s="8"/>
      <c r="D2623" s="8"/>
      <c r="E2623" s="8"/>
      <c r="F2623" s="9"/>
      <c r="G2623" s="9">
        <v>2620.0</v>
      </c>
      <c r="H2623" s="10">
        <f t="shared" si="82"/>
        <v>0.006028970156621289</v>
      </c>
      <c r="K2623" s="7"/>
    </row>
    <row r="2624" spans="8:8">
      <c r="B2624" s="7"/>
      <c r="C2624" s="8"/>
      <c r="D2624" s="8"/>
      <c r="E2624" s="8"/>
      <c r="F2624" s="9"/>
      <c r="G2624" s="9">
        <v>2621.0</v>
      </c>
      <c r="H2624" s="10">
        <f t="shared" si="82"/>
        <v>0.004968527497002601</v>
      </c>
      <c r="K2624" s="7"/>
    </row>
    <row r="2625" spans="8:8">
      <c r="B2625" s="7"/>
      <c r="C2625" s="8"/>
      <c r="D2625" s="8"/>
      <c r="E2625" s="8"/>
      <c r="F2625" s="9"/>
      <c r="G2625" s="9">
        <v>2622.0</v>
      </c>
      <c r="H2625" s="10">
        <f t="shared" si="82"/>
        <v>-0.007181950016879555</v>
      </c>
      <c r="K2625" s="7"/>
    </row>
    <row r="2626" spans="8:8">
      <c r="B2626" s="7"/>
      <c r="C2626" s="8"/>
      <c r="D2626" s="8"/>
      <c r="E2626" s="8"/>
      <c r="F2626" s="9"/>
      <c r="G2626" s="9">
        <v>2623.0</v>
      </c>
      <c r="H2626" s="10">
        <f t="shared" si="82"/>
        <v>-0.0042247027409163555</v>
      </c>
      <c r="K2626" s="7"/>
    </row>
    <row r="2627" spans="8:8">
      <c r="B2627" s="7"/>
      <c r="C2627" s="8"/>
      <c r="D2627" s="8"/>
      <c r="E2627" s="8"/>
      <c r="F2627" s="9"/>
      <c r="G2627" s="9">
        <v>2624.0</v>
      </c>
      <c r="H2627" s="10">
        <f t="shared" si="82"/>
        <v>-4.632328194893688E-4</v>
      </c>
      <c r="K2627" s="7"/>
    </row>
    <row r="2628" spans="8:8">
      <c r="B2628" s="7"/>
      <c r="C2628" s="8"/>
      <c r="D2628" s="8"/>
      <c r="E2628" s="8"/>
      <c r="F2628" s="9"/>
      <c r="G2628" s="9">
        <v>2625.0</v>
      </c>
      <c r="H2628" s="10">
        <f t="shared" si="82"/>
        <v>0.0015223095630476093</v>
      </c>
      <c r="K2628" s="7"/>
    </row>
    <row r="2629" spans="8:8">
      <c r="B2629" s="7"/>
      <c r="C2629" s="8"/>
      <c r="D2629" s="8"/>
      <c r="E2629" s="8"/>
      <c r="F2629" s="9"/>
      <c r="G2629" s="9">
        <v>2626.0</v>
      </c>
      <c r="H2629" s="10">
        <f t="shared" si="83" ref="H2629:H2692">_xlfn.NORM.INV(RAND(),N$6,N$7)</f>
        <v>-0.002870470730232815</v>
      </c>
      <c r="K2629" s="7"/>
    </row>
    <row r="2630" spans="8:8">
      <c r="B2630" s="7"/>
      <c r="C2630" s="8"/>
      <c r="D2630" s="8"/>
      <c r="E2630" s="8"/>
      <c r="F2630" s="9"/>
      <c r="G2630" s="9">
        <v>2627.0</v>
      </c>
      <c r="H2630" s="10">
        <f t="shared" si="83"/>
        <v>-0.010991652757077974</v>
      </c>
      <c r="K2630" s="7"/>
    </row>
    <row r="2631" spans="8:8">
      <c r="B2631" s="7"/>
      <c r="C2631" s="8"/>
      <c r="D2631" s="8"/>
      <c r="E2631" s="8"/>
      <c r="F2631" s="9"/>
      <c r="G2631" s="9">
        <v>2628.0</v>
      </c>
      <c r="H2631" s="10">
        <f t="shared" si="83"/>
        <v>0.017932548740537138</v>
      </c>
      <c r="K2631" s="7"/>
    </row>
    <row r="2632" spans="8:8">
      <c r="B2632" s="7"/>
      <c r="C2632" s="8"/>
      <c r="D2632" s="8"/>
      <c r="E2632" s="8"/>
      <c r="F2632" s="9"/>
      <c r="G2632" s="9">
        <v>2629.0</v>
      </c>
      <c r="H2632" s="10">
        <f t="shared" si="83"/>
        <v>-0.005372550729186091</v>
      </c>
      <c r="K2632" s="7"/>
    </row>
    <row r="2633" spans="8:8">
      <c r="B2633" s="7"/>
      <c r="C2633" s="8"/>
      <c r="D2633" s="8"/>
      <c r="E2633" s="8"/>
      <c r="F2633" s="9"/>
      <c r="G2633" s="9">
        <v>2630.0</v>
      </c>
      <c r="H2633" s="10">
        <f t="shared" si="83"/>
        <v>-0.00848036752319413</v>
      </c>
      <c r="K2633" s="7"/>
    </row>
    <row r="2634" spans="8:8">
      <c r="B2634" s="7"/>
      <c r="C2634" s="8"/>
      <c r="D2634" s="8"/>
      <c r="E2634" s="8"/>
      <c r="F2634" s="9"/>
      <c r="G2634" s="9">
        <v>2631.0</v>
      </c>
      <c r="H2634" s="10">
        <f t="shared" si="83"/>
        <v>0.022448978006787038</v>
      </c>
      <c r="K2634" s="7"/>
    </row>
    <row r="2635" spans="8:8">
      <c r="B2635" s="7"/>
      <c r="C2635" s="8"/>
      <c r="D2635" s="8"/>
      <c r="E2635" s="8"/>
      <c r="F2635" s="9"/>
      <c r="G2635" s="9">
        <v>2632.0</v>
      </c>
      <c r="H2635" s="10">
        <f t="shared" si="83"/>
        <v>-0.027222142673329678</v>
      </c>
      <c r="K2635" s="7"/>
    </row>
    <row r="2636" spans="8:8">
      <c r="B2636" s="7"/>
      <c r="C2636" s="8"/>
      <c r="D2636" s="8"/>
      <c r="E2636" s="8"/>
      <c r="F2636" s="9"/>
      <c r="G2636" s="9">
        <v>2633.0</v>
      </c>
      <c r="H2636" s="10">
        <f t="shared" si="83"/>
        <v>0.0015621285656961248</v>
      </c>
      <c r="K2636" s="7"/>
    </row>
    <row r="2637" spans="8:8">
      <c r="B2637" s="7"/>
      <c r="C2637" s="8"/>
      <c r="D2637" s="8"/>
      <c r="E2637" s="8"/>
      <c r="F2637" s="9"/>
      <c r="G2637" s="9">
        <v>2634.0</v>
      </c>
      <c r="H2637" s="10">
        <f t="shared" si="83"/>
        <v>0.008022744621900342</v>
      </c>
      <c r="K2637" s="7"/>
    </row>
    <row r="2638" spans="8:8">
      <c r="B2638" s="7"/>
      <c r="C2638" s="8"/>
      <c r="D2638" s="8"/>
      <c r="E2638" s="8"/>
      <c r="F2638" s="9"/>
      <c r="G2638" s="9">
        <v>2635.0</v>
      </c>
      <c r="H2638" s="10">
        <f t="shared" si="83"/>
        <v>-0.010747364123310867</v>
      </c>
      <c r="K2638" s="7"/>
    </row>
    <row r="2639" spans="8:8">
      <c r="B2639" s="7"/>
      <c r="C2639" s="8"/>
      <c r="D2639" s="8"/>
      <c r="E2639" s="8"/>
      <c r="F2639" s="9"/>
      <c r="G2639" s="9">
        <v>2636.0</v>
      </c>
      <c r="H2639" s="10">
        <f t="shared" si="83"/>
        <v>0.0075527695160118565</v>
      </c>
      <c r="K2639" s="7"/>
    </row>
    <row r="2640" spans="8:8">
      <c r="B2640" s="7"/>
      <c r="C2640" s="8"/>
      <c r="D2640" s="8"/>
      <c r="E2640" s="8"/>
      <c r="F2640" s="9"/>
      <c r="G2640" s="9">
        <v>2637.0</v>
      </c>
      <c r="H2640" s="10">
        <f t="shared" si="83"/>
        <v>0.006745944566764138</v>
      </c>
      <c r="K2640" s="7"/>
    </row>
    <row r="2641" spans="8:8">
      <c r="B2641" s="7"/>
      <c r="C2641" s="8"/>
      <c r="D2641" s="8"/>
      <c r="E2641" s="8"/>
      <c r="F2641" s="9"/>
      <c r="G2641" s="9">
        <v>2638.0</v>
      </c>
      <c r="H2641" s="10">
        <f t="shared" si="83"/>
        <v>0.001806437294972925</v>
      </c>
      <c r="K2641" s="7"/>
    </row>
    <row r="2642" spans="8:8">
      <c r="B2642" s="7"/>
      <c r="C2642" s="8"/>
      <c r="D2642" s="8"/>
      <c r="E2642" s="8"/>
      <c r="F2642" s="9"/>
      <c r="G2642" s="9">
        <v>2639.0</v>
      </c>
      <c r="H2642" s="10">
        <f t="shared" si="83"/>
        <v>0.01095555192224448</v>
      </c>
      <c r="K2642" s="7"/>
    </row>
    <row r="2643" spans="8:8">
      <c r="B2643" s="7"/>
      <c r="C2643" s="8"/>
      <c r="D2643" s="8"/>
      <c r="E2643" s="8"/>
      <c r="F2643" s="9"/>
      <c r="G2643" s="9">
        <v>2640.0</v>
      </c>
      <c r="H2643" s="10">
        <f t="shared" si="83"/>
        <v>-0.0013341031519155614</v>
      </c>
      <c r="K2643" s="7"/>
    </row>
    <row r="2644" spans="8:8">
      <c r="B2644" s="7"/>
      <c r="C2644" s="8"/>
      <c r="D2644" s="8"/>
      <c r="E2644" s="8"/>
      <c r="F2644" s="9"/>
      <c r="G2644" s="9">
        <v>2641.0</v>
      </c>
      <c r="H2644" s="10">
        <f t="shared" si="83"/>
        <v>-0.006943386619685135</v>
      </c>
      <c r="K2644" s="7"/>
    </row>
    <row r="2645" spans="8:8">
      <c r="B2645" s="7"/>
      <c r="C2645" s="8"/>
      <c r="D2645" s="8"/>
      <c r="E2645" s="8"/>
      <c r="F2645" s="9"/>
      <c r="G2645" s="9">
        <v>2642.0</v>
      </c>
      <c r="H2645" s="10">
        <f t="shared" si="83"/>
        <v>-0.030028462012196156</v>
      </c>
      <c r="K2645" s="7"/>
    </row>
    <row r="2646" spans="8:8">
      <c r="B2646" s="7"/>
      <c r="C2646" s="8"/>
      <c r="D2646" s="8"/>
      <c r="E2646" s="8"/>
      <c r="F2646" s="9"/>
      <c r="G2646" s="9">
        <v>2643.0</v>
      </c>
      <c r="H2646" s="10">
        <f t="shared" si="83"/>
        <v>6.325464222504606E-4</v>
      </c>
      <c r="K2646" s="7"/>
    </row>
    <row r="2647" spans="8:8">
      <c r="B2647" s="7"/>
      <c r="C2647" s="8"/>
      <c r="D2647" s="8"/>
      <c r="E2647" s="8"/>
      <c r="F2647" s="9"/>
      <c r="G2647" s="9">
        <v>2644.0</v>
      </c>
      <c r="H2647" s="10">
        <f t="shared" si="83"/>
        <v>0.0019645268298072644</v>
      </c>
      <c r="K2647" s="7"/>
    </row>
    <row r="2648" spans="8:8">
      <c r="B2648" s="7"/>
      <c r="C2648" s="8"/>
      <c r="D2648" s="8"/>
      <c r="E2648" s="8"/>
      <c r="F2648" s="9"/>
      <c r="G2648" s="9">
        <v>2645.0</v>
      </c>
      <c r="H2648" s="10">
        <f t="shared" si="83"/>
        <v>0.006841998574710249</v>
      </c>
      <c r="K2648" s="7"/>
    </row>
    <row r="2649" spans="8:8">
      <c r="B2649" s="7"/>
      <c r="C2649" s="8"/>
      <c r="D2649" s="8"/>
      <c r="E2649" s="8"/>
      <c r="F2649" s="9"/>
      <c r="G2649" s="9">
        <v>2646.0</v>
      </c>
      <c r="H2649" s="10">
        <f t="shared" si="83"/>
        <v>-0.005077161983183404</v>
      </c>
      <c r="K2649" s="7"/>
    </row>
    <row r="2650" spans="8:8">
      <c r="B2650" s="7"/>
      <c r="C2650" s="8"/>
      <c r="D2650" s="8"/>
      <c r="E2650" s="8"/>
      <c r="F2650" s="9"/>
      <c r="G2650" s="9">
        <v>2647.0</v>
      </c>
      <c r="H2650" s="10">
        <f t="shared" si="83"/>
        <v>-0.01878026568949487</v>
      </c>
      <c r="K2650" s="7"/>
    </row>
    <row r="2651" spans="8:8">
      <c r="B2651" s="7"/>
      <c r="C2651" s="8"/>
      <c r="D2651" s="8"/>
      <c r="E2651" s="8"/>
      <c r="F2651" s="9"/>
      <c r="G2651" s="9">
        <v>2648.0</v>
      </c>
      <c r="H2651" s="10">
        <f t="shared" si="83"/>
        <v>-0.006731862110099094</v>
      </c>
      <c r="K2651" s="7"/>
    </row>
    <row r="2652" spans="8:8">
      <c r="B2652" s="7"/>
      <c r="C2652" s="8"/>
      <c r="D2652" s="8"/>
      <c r="E2652" s="8"/>
      <c r="F2652" s="9"/>
      <c r="G2652" s="9">
        <v>2649.0</v>
      </c>
      <c r="H2652" s="10">
        <f t="shared" si="83"/>
        <v>-0.008753705680573237</v>
      </c>
      <c r="K2652" s="7"/>
    </row>
    <row r="2653" spans="8:8">
      <c r="B2653" s="7"/>
      <c r="C2653" s="8"/>
      <c r="D2653" s="8"/>
      <c r="E2653" s="8"/>
      <c r="F2653" s="9"/>
      <c r="G2653" s="9">
        <v>2650.0</v>
      </c>
      <c r="H2653" s="10">
        <f t="shared" si="83"/>
        <v>0.019006053093129263</v>
      </c>
      <c r="K2653" s="7"/>
    </row>
    <row r="2654" spans="8:8">
      <c r="B2654" s="7"/>
      <c r="C2654" s="8"/>
      <c r="D2654" s="8"/>
      <c r="E2654" s="8"/>
      <c r="F2654" s="9"/>
      <c r="G2654" s="9">
        <v>2651.0</v>
      </c>
      <c r="H2654" s="10">
        <f t="shared" si="83"/>
        <v>0.013699850256267437</v>
      </c>
      <c r="K2654" s="7"/>
    </row>
    <row r="2655" spans="8:8">
      <c r="B2655" s="7"/>
      <c r="C2655" s="8"/>
      <c r="D2655" s="8"/>
      <c r="E2655" s="8"/>
      <c r="F2655" s="9"/>
      <c r="G2655" s="9">
        <v>2652.0</v>
      </c>
      <c r="H2655" s="10">
        <f t="shared" si="83"/>
        <v>-0.004293052870237621</v>
      </c>
      <c r="K2655" s="7"/>
    </row>
    <row r="2656" spans="8:8">
      <c r="B2656" s="7"/>
      <c r="C2656" s="8"/>
      <c r="D2656" s="8"/>
      <c r="E2656" s="8"/>
      <c r="F2656" s="9"/>
      <c r="G2656" s="9">
        <v>2653.0</v>
      </c>
      <c r="H2656" s="10">
        <f t="shared" si="83"/>
        <v>-0.0021755644798113517</v>
      </c>
      <c r="K2656" s="7"/>
    </row>
    <row r="2657" spans="8:8">
      <c r="B2657" s="7"/>
      <c r="C2657" s="8"/>
      <c r="D2657" s="8"/>
      <c r="E2657" s="8"/>
      <c r="F2657" s="9"/>
      <c r="G2657" s="9">
        <v>2654.0</v>
      </c>
      <c r="H2657" s="10">
        <f t="shared" si="83"/>
        <v>0.014978487839017625</v>
      </c>
      <c r="K2657" s="7"/>
    </row>
    <row r="2658" spans="8:8">
      <c r="B2658" s="7"/>
      <c r="C2658" s="8"/>
      <c r="D2658" s="8"/>
      <c r="E2658" s="8"/>
      <c r="F2658" s="9"/>
      <c r="G2658" s="9">
        <v>2655.0</v>
      </c>
      <c r="H2658" s="10">
        <f t="shared" si="83"/>
        <v>0.00781270239814845</v>
      </c>
      <c r="K2658" s="7"/>
    </row>
    <row r="2659" spans="8:8">
      <c r="B2659" s="7"/>
      <c r="C2659" s="8"/>
      <c r="D2659" s="8"/>
      <c r="E2659" s="8"/>
      <c r="F2659" s="9"/>
      <c r="G2659" s="9">
        <v>2656.0</v>
      </c>
      <c r="H2659" s="10">
        <f t="shared" si="83"/>
        <v>0.005223395827150232</v>
      </c>
      <c r="K2659" s="7"/>
    </row>
    <row r="2660" spans="8:8">
      <c r="B2660" s="7"/>
      <c r="C2660" s="8"/>
      <c r="D2660" s="8"/>
      <c r="E2660" s="8"/>
      <c r="F2660" s="9"/>
      <c r="G2660" s="9">
        <v>2657.0</v>
      </c>
      <c r="H2660" s="10">
        <f t="shared" si="83"/>
        <v>0.004463227712815493</v>
      </c>
      <c r="K2660" s="7"/>
    </row>
    <row r="2661" spans="8:8">
      <c r="B2661" s="7"/>
      <c r="C2661" s="8"/>
      <c r="D2661" s="8"/>
      <c r="E2661" s="8"/>
      <c r="F2661" s="9"/>
      <c r="G2661" s="9">
        <v>2658.0</v>
      </c>
      <c r="H2661" s="10">
        <f t="shared" si="83"/>
        <v>-9.975858533076672E-4</v>
      </c>
      <c r="K2661" s="7"/>
    </row>
    <row r="2662" spans="8:8">
      <c r="B2662" s="7"/>
      <c r="C2662" s="8"/>
      <c r="D2662" s="8"/>
      <c r="E2662" s="8"/>
      <c r="F2662" s="9"/>
      <c r="G2662" s="9">
        <v>2659.0</v>
      </c>
      <c r="H2662" s="10">
        <f t="shared" si="83"/>
        <v>0.02624848345569047</v>
      </c>
      <c r="K2662" s="7"/>
    </row>
    <row r="2663" spans="8:8">
      <c r="B2663" s="7"/>
      <c r="C2663" s="8"/>
      <c r="D2663" s="8"/>
      <c r="E2663" s="8"/>
      <c r="F2663" s="9"/>
      <c r="G2663" s="9">
        <v>2660.0</v>
      </c>
      <c r="H2663" s="10">
        <f t="shared" si="83"/>
        <v>0.00975613151438241</v>
      </c>
      <c r="K2663" s="7"/>
    </row>
    <row r="2664" spans="8:8">
      <c r="B2664" s="7"/>
      <c r="C2664" s="8"/>
      <c r="D2664" s="8"/>
      <c r="E2664" s="8"/>
      <c r="F2664" s="9"/>
      <c r="G2664" s="9">
        <v>2661.0</v>
      </c>
      <c r="H2664" s="10">
        <f t="shared" si="83"/>
        <v>-0.002956335581235467</v>
      </c>
      <c r="K2664" s="7"/>
    </row>
    <row r="2665" spans="8:8">
      <c r="B2665" s="7"/>
      <c r="C2665" s="8"/>
      <c r="D2665" s="8"/>
      <c r="E2665" s="8"/>
      <c r="F2665" s="9"/>
      <c r="G2665" s="9">
        <v>2662.0</v>
      </c>
      <c r="H2665" s="10">
        <f t="shared" si="83"/>
        <v>0.0051403788282170584</v>
      </c>
      <c r="K2665" s="7"/>
    </row>
    <row r="2666" spans="8:8">
      <c r="B2666" s="7"/>
      <c r="C2666" s="8"/>
      <c r="D2666" s="8"/>
      <c r="E2666" s="8"/>
      <c r="F2666" s="9"/>
      <c r="G2666" s="9">
        <v>2663.0</v>
      </c>
      <c r="H2666" s="10">
        <f t="shared" si="83"/>
        <v>-0.019965643824737287</v>
      </c>
      <c r="K2666" s="7"/>
    </row>
    <row r="2667" spans="8:8">
      <c r="B2667" s="7"/>
      <c r="C2667" s="8"/>
      <c r="D2667" s="8"/>
      <c r="E2667" s="8"/>
      <c r="F2667" s="9"/>
      <c r="G2667" s="9">
        <v>2664.0</v>
      </c>
      <c r="H2667" s="10">
        <f t="shared" si="83"/>
        <v>-0.003325384557206103</v>
      </c>
      <c r="K2667" s="7"/>
    </row>
    <row r="2668" spans="8:8">
      <c r="B2668" s="7"/>
      <c r="C2668" s="8"/>
      <c r="D2668" s="8"/>
      <c r="E2668" s="8"/>
      <c r="F2668" s="9"/>
      <c r="G2668" s="9">
        <v>2665.0</v>
      </c>
      <c r="H2668" s="10">
        <f t="shared" si="83"/>
        <v>0.010210196707440217</v>
      </c>
      <c r="K2668" s="7"/>
    </row>
    <row r="2669" spans="8:8">
      <c r="B2669" s="7"/>
      <c r="C2669" s="8"/>
      <c r="D2669" s="8"/>
      <c r="E2669" s="8"/>
      <c r="F2669" s="9"/>
      <c r="G2669" s="9">
        <v>2666.0</v>
      </c>
      <c r="H2669" s="10">
        <f t="shared" si="83"/>
        <v>0.015182921347873565</v>
      </c>
      <c r="K2669" s="7"/>
    </row>
    <row r="2670" spans="8:8">
      <c r="B2670" s="7"/>
      <c r="C2670" s="8"/>
      <c r="D2670" s="8"/>
      <c r="E2670" s="8"/>
      <c r="F2670" s="9"/>
      <c r="G2670" s="9">
        <v>2667.0</v>
      </c>
      <c r="H2670" s="10">
        <f t="shared" si="83"/>
        <v>0.01425675964850057</v>
      </c>
      <c r="K2670" s="7"/>
    </row>
    <row r="2671" spans="8:8">
      <c r="B2671" s="7"/>
      <c r="C2671" s="8"/>
      <c r="D2671" s="8"/>
      <c r="E2671" s="8"/>
      <c r="F2671" s="9"/>
      <c r="G2671" s="9">
        <v>2668.0</v>
      </c>
      <c r="H2671" s="10">
        <f t="shared" si="83"/>
        <v>0.01467557725089945</v>
      </c>
      <c r="K2671" s="7"/>
    </row>
    <row r="2672" spans="8:8">
      <c r="B2672" s="7"/>
      <c r="C2672" s="8"/>
      <c r="D2672" s="8"/>
      <c r="E2672" s="8"/>
      <c r="F2672" s="9"/>
      <c r="G2672" s="9">
        <v>2669.0</v>
      </c>
      <c r="H2672" s="10">
        <f t="shared" si="83"/>
        <v>-0.015085208218380938</v>
      </c>
      <c r="K2672" s="7"/>
    </row>
    <row r="2673" spans="8:8">
      <c r="B2673" s="7"/>
      <c r="C2673" s="8"/>
      <c r="D2673" s="8"/>
      <c r="E2673" s="8"/>
      <c r="F2673" s="9"/>
      <c r="G2673" s="9">
        <v>2670.0</v>
      </c>
      <c r="H2673" s="10">
        <f t="shared" si="83"/>
        <v>-0.010636048749620559</v>
      </c>
      <c r="K2673" s="7"/>
    </row>
    <row r="2674" spans="8:8">
      <c r="B2674" s="7"/>
      <c r="C2674" s="8"/>
      <c r="D2674" s="8"/>
      <c r="E2674" s="8"/>
      <c r="F2674" s="9"/>
      <c r="G2674" s="9">
        <v>2671.0</v>
      </c>
      <c r="H2674" s="10">
        <f t="shared" si="83"/>
        <v>-0.0034434260512466175</v>
      </c>
      <c r="K2674" s="7"/>
    </row>
    <row r="2675" spans="8:8">
      <c r="B2675" s="7"/>
      <c r="C2675" s="8"/>
      <c r="D2675" s="8"/>
      <c r="E2675" s="8"/>
      <c r="F2675" s="9"/>
      <c r="G2675" s="9">
        <v>2672.0</v>
      </c>
      <c r="H2675" s="10">
        <f t="shared" si="83"/>
        <v>6.534286075338697E-4</v>
      </c>
      <c r="K2675" s="7"/>
    </row>
    <row r="2676" spans="8:8">
      <c r="B2676" s="7"/>
      <c r="C2676" s="8"/>
      <c r="D2676" s="8"/>
      <c r="E2676" s="8"/>
      <c r="F2676" s="9"/>
      <c r="G2676" s="9">
        <v>2673.0</v>
      </c>
      <c r="H2676" s="10">
        <f t="shared" si="83"/>
        <v>0.0185167368524194</v>
      </c>
      <c r="K2676" s="7"/>
    </row>
    <row r="2677" spans="8:8">
      <c r="B2677" s="7"/>
      <c r="C2677" s="8"/>
      <c r="D2677" s="8"/>
      <c r="E2677" s="8"/>
      <c r="F2677" s="9"/>
      <c r="G2677" s="9">
        <v>2674.0</v>
      </c>
      <c r="H2677" s="10">
        <f t="shared" si="83"/>
        <v>0.021771173177262466</v>
      </c>
      <c r="K2677" s="7"/>
    </row>
    <row r="2678" spans="8:8">
      <c r="B2678" s="7"/>
      <c r="C2678" s="8"/>
      <c r="D2678" s="8"/>
      <c r="E2678" s="8"/>
      <c r="F2678" s="9"/>
      <c r="G2678" s="9">
        <v>2675.0</v>
      </c>
      <c r="H2678" s="10">
        <f t="shared" si="83"/>
        <v>-0.002608515638751973</v>
      </c>
      <c r="K2678" s="7"/>
    </row>
    <row r="2679" spans="8:8">
      <c r="B2679" s="7"/>
      <c r="C2679" s="8"/>
      <c r="D2679" s="8"/>
      <c r="E2679" s="8"/>
      <c r="F2679" s="9"/>
      <c r="G2679" s="9">
        <v>2676.0</v>
      </c>
      <c r="H2679" s="10">
        <f t="shared" si="83"/>
        <v>0.034299262916308845</v>
      </c>
      <c r="K2679" s="7"/>
    </row>
    <row r="2680" spans="8:8">
      <c r="B2680" s="7"/>
      <c r="C2680" s="8"/>
      <c r="D2680" s="8"/>
      <c r="E2680" s="8"/>
      <c r="F2680" s="9"/>
      <c r="G2680" s="9">
        <v>2677.0</v>
      </c>
      <c r="H2680" s="10">
        <f t="shared" si="83"/>
        <v>0.0018721320005648295</v>
      </c>
      <c r="K2680" s="7"/>
    </row>
    <row r="2681" spans="8:8">
      <c r="B2681" s="7"/>
      <c r="C2681" s="8"/>
      <c r="D2681" s="8"/>
      <c r="E2681" s="8"/>
      <c r="F2681" s="9"/>
      <c r="G2681" s="9">
        <v>2678.0</v>
      </c>
      <c r="H2681" s="10">
        <f t="shared" si="83"/>
        <v>-0.003394107233289502</v>
      </c>
      <c r="K2681" s="7"/>
    </row>
    <row r="2682" spans="8:8">
      <c r="B2682" s="7"/>
      <c r="C2682" s="8"/>
      <c r="D2682" s="8"/>
      <c r="E2682" s="8"/>
      <c r="F2682" s="9"/>
      <c r="G2682" s="9">
        <v>2679.0</v>
      </c>
      <c r="H2682" s="10">
        <f t="shared" si="83"/>
        <v>0.0036877470795050786</v>
      </c>
      <c r="K2682" s="7"/>
    </row>
    <row r="2683" spans="8:8">
      <c r="B2683" s="7"/>
      <c r="C2683" s="8"/>
      <c r="D2683" s="8"/>
      <c r="E2683" s="8"/>
      <c r="F2683" s="9"/>
      <c r="G2683" s="9">
        <v>2680.0</v>
      </c>
      <c r="H2683" s="10">
        <f t="shared" si="83"/>
        <v>-0.0029717384711636366</v>
      </c>
      <c r="K2683" s="7"/>
    </row>
    <row r="2684" spans="8:8">
      <c r="B2684" s="7"/>
      <c r="C2684" s="8"/>
      <c r="D2684" s="8"/>
      <c r="E2684" s="8"/>
      <c r="F2684" s="9"/>
      <c r="G2684" s="9">
        <v>2681.0</v>
      </c>
      <c r="H2684" s="10">
        <f t="shared" si="83"/>
        <v>-0.008317062836834088</v>
      </c>
      <c r="K2684" s="7"/>
    </row>
    <row r="2685" spans="8:8">
      <c r="B2685" s="7"/>
      <c r="C2685" s="8"/>
      <c r="D2685" s="8"/>
      <c r="E2685" s="8"/>
      <c r="F2685" s="9"/>
      <c r="G2685" s="9">
        <v>2682.0</v>
      </c>
      <c r="H2685" s="10">
        <f t="shared" si="83"/>
        <v>0.028844096272901017</v>
      </c>
      <c r="K2685" s="7"/>
    </row>
    <row r="2686" spans="8:8">
      <c r="B2686" s="7"/>
      <c r="C2686" s="8"/>
      <c r="D2686" s="8"/>
      <c r="E2686" s="8"/>
      <c r="F2686" s="9"/>
      <c r="G2686" s="9">
        <v>2683.0</v>
      </c>
      <c r="H2686" s="10">
        <f t="shared" si="83"/>
        <v>0.022572760415267533</v>
      </c>
      <c r="K2686" s="7"/>
    </row>
    <row r="2687" spans="8:8">
      <c r="B2687" s="7"/>
      <c r="C2687" s="8"/>
      <c r="D2687" s="8"/>
      <c r="E2687" s="8"/>
      <c r="F2687" s="9"/>
      <c r="G2687" s="9">
        <v>2684.0</v>
      </c>
      <c r="H2687" s="10">
        <f t="shared" si="83"/>
        <v>0.021552022409617125</v>
      </c>
      <c r="K2687" s="7"/>
    </row>
    <row r="2688" spans="8:8">
      <c r="B2688" s="7"/>
      <c r="C2688" s="8"/>
      <c r="D2688" s="8"/>
      <c r="E2688" s="8"/>
      <c r="F2688" s="9"/>
      <c r="G2688" s="9">
        <v>2685.0</v>
      </c>
      <c r="H2688" s="10">
        <f t="shared" si="83"/>
        <v>0.0162692372790472</v>
      </c>
      <c r="K2688" s="7"/>
    </row>
    <row r="2689" spans="8:8">
      <c r="B2689" s="7"/>
      <c r="C2689" s="8"/>
      <c r="D2689" s="8"/>
      <c r="E2689" s="8"/>
      <c r="F2689" s="9"/>
      <c r="G2689" s="9">
        <v>2686.0</v>
      </c>
      <c r="H2689" s="10">
        <f t="shared" si="83"/>
        <v>-9.618355611260287E-4</v>
      </c>
      <c r="K2689" s="7"/>
    </row>
    <row r="2690" spans="8:8">
      <c r="B2690" s="7"/>
      <c r="C2690" s="8"/>
      <c r="D2690" s="8"/>
      <c r="E2690" s="8"/>
      <c r="F2690" s="9"/>
      <c r="G2690" s="9">
        <v>2687.0</v>
      </c>
      <c r="H2690" s="10">
        <f t="shared" si="83"/>
        <v>0.005362950592404597</v>
      </c>
      <c r="K2690" s="7"/>
    </row>
    <row r="2691" spans="8:8">
      <c r="B2691" s="7"/>
      <c r="C2691" s="8"/>
      <c r="D2691" s="8"/>
      <c r="E2691" s="8"/>
      <c r="F2691" s="9"/>
      <c r="G2691" s="9">
        <v>2688.0</v>
      </c>
      <c r="H2691" s="10">
        <f t="shared" si="83"/>
        <v>0.004128093701231286</v>
      </c>
      <c r="K2691" s="7"/>
    </row>
    <row r="2692" spans="8:8">
      <c r="B2692" s="7"/>
      <c r="C2692" s="8"/>
      <c r="D2692" s="8"/>
      <c r="E2692" s="8"/>
      <c r="F2692" s="9"/>
      <c r="G2692" s="9">
        <v>2689.0</v>
      </c>
      <c r="H2692" s="10">
        <f t="shared" si="83"/>
        <v>-0.018690165783115144</v>
      </c>
      <c r="K2692" s="7"/>
    </row>
    <row r="2693" spans="8:8">
      <c r="B2693" s="7"/>
      <c r="C2693" s="8"/>
      <c r="D2693" s="8"/>
      <c r="E2693" s="8"/>
      <c r="F2693" s="9"/>
      <c r="G2693" s="9">
        <v>2690.0</v>
      </c>
      <c r="H2693" s="10">
        <f t="shared" si="84" ref="H2693:H2756">_xlfn.NORM.INV(RAND(),N$6,N$7)</f>
        <v>0.01586430316465108</v>
      </c>
      <c r="K2693" s="7"/>
    </row>
    <row r="2694" spans="8:8">
      <c r="B2694" s="7"/>
      <c r="C2694" s="8"/>
      <c r="D2694" s="8"/>
      <c r="E2694" s="8"/>
      <c r="F2694" s="9"/>
      <c r="G2694" s="9">
        <v>2691.0</v>
      </c>
      <c r="H2694" s="10">
        <f t="shared" si="84"/>
        <v>-5.608848016835453E-4</v>
      </c>
      <c r="K2694" s="7"/>
    </row>
    <row r="2695" spans="8:8">
      <c r="B2695" s="7"/>
      <c r="C2695" s="8"/>
      <c r="D2695" s="8"/>
      <c r="E2695" s="8"/>
      <c r="F2695" s="9"/>
      <c r="G2695" s="9">
        <v>2692.0</v>
      </c>
      <c r="H2695" s="10">
        <f t="shared" si="84"/>
        <v>0.00475199283133716</v>
      </c>
      <c r="K2695" s="7"/>
    </row>
    <row r="2696" spans="8:8">
      <c r="B2696" s="7"/>
      <c r="C2696" s="8"/>
      <c r="D2696" s="8"/>
      <c r="E2696" s="8"/>
      <c r="F2696" s="9"/>
      <c r="G2696" s="9">
        <v>2693.0</v>
      </c>
      <c r="H2696" s="10">
        <f t="shared" si="84"/>
        <v>0.004132636958494114</v>
      </c>
      <c r="K2696" s="7"/>
    </row>
    <row r="2697" spans="8:8">
      <c r="B2697" s="7"/>
      <c r="C2697" s="8"/>
      <c r="D2697" s="8"/>
      <c r="E2697" s="8"/>
      <c r="F2697" s="9"/>
      <c r="G2697" s="9">
        <v>2694.0</v>
      </c>
      <c r="H2697" s="10">
        <f t="shared" si="84"/>
        <v>0.009037584791083023</v>
      </c>
      <c r="K2697" s="7"/>
    </row>
    <row r="2698" spans="8:8">
      <c r="B2698" s="7"/>
      <c r="C2698" s="8"/>
      <c r="D2698" s="8"/>
      <c r="E2698" s="8"/>
      <c r="F2698" s="9"/>
      <c r="G2698" s="9">
        <v>2695.0</v>
      </c>
      <c r="H2698" s="10">
        <f t="shared" si="84"/>
        <v>-0.022347766759749522</v>
      </c>
      <c r="K2698" s="7"/>
    </row>
    <row r="2699" spans="8:8">
      <c r="B2699" s="7"/>
      <c r="C2699" s="8"/>
      <c r="D2699" s="8"/>
      <c r="E2699" s="8"/>
      <c r="F2699" s="9"/>
      <c r="G2699" s="9">
        <v>2696.0</v>
      </c>
      <c r="H2699" s="10">
        <f t="shared" si="84"/>
        <v>-0.005612649869785506</v>
      </c>
      <c r="K2699" s="7"/>
    </row>
    <row r="2700" spans="8:8">
      <c r="B2700" s="7"/>
      <c r="C2700" s="8"/>
      <c r="D2700" s="8"/>
      <c r="E2700" s="8"/>
      <c r="F2700" s="9"/>
      <c r="G2700" s="9">
        <v>2697.0</v>
      </c>
      <c r="H2700" s="10">
        <f t="shared" si="84"/>
        <v>0.02412947683527152</v>
      </c>
      <c r="K2700" s="7"/>
    </row>
    <row r="2701" spans="8:8">
      <c r="B2701" s="7"/>
      <c r="C2701" s="8"/>
      <c r="D2701" s="8"/>
      <c r="E2701" s="8"/>
      <c r="F2701" s="9"/>
      <c r="G2701" s="9">
        <v>2698.0</v>
      </c>
      <c r="H2701" s="10">
        <f t="shared" si="84"/>
        <v>0.029519768453651264</v>
      </c>
      <c r="K2701" s="7"/>
    </row>
    <row r="2702" spans="8:8">
      <c r="B2702" s="7"/>
      <c r="C2702" s="8"/>
      <c r="D2702" s="8"/>
      <c r="E2702" s="8"/>
      <c r="F2702" s="9"/>
      <c r="G2702" s="9">
        <v>2699.0</v>
      </c>
      <c r="H2702" s="10">
        <f t="shared" si="84"/>
        <v>-0.014202057223179007</v>
      </c>
      <c r="K2702" s="7"/>
    </row>
    <row r="2703" spans="8:8">
      <c r="B2703" s="7"/>
      <c r="C2703" s="8"/>
      <c r="D2703" s="8"/>
      <c r="E2703" s="8"/>
      <c r="F2703" s="9"/>
      <c r="G2703" s="9">
        <v>2700.0</v>
      </c>
      <c r="H2703" s="10">
        <f t="shared" si="84"/>
        <v>0.008527090612305901</v>
      </c>
      <c r="K2703" s="7"/>
    </row>
    <row r="2704" spans="8:8">
      <c r="B2704" s="7"/>
      <c r="C2704" s="8"/>
      <c r="D2704" s="8"/>
      <c r="E2704" s="8"/>
      <c r="F2704" s="9"/>
      <c r="G2704" s="9">
        <v>2701.0</v>
      </c>
      <c r="H2704" s="10">
        <f t="shared" si="84"/>
        <v>-0.01486143142552096</v>
      </c>
      <c r="K2704" s="7"/>
    </row>
    <row r="2705" spans="8:8">
      <c r="B2705" s="7"/>
      <c r="C2705" s="8"/>
      <c r="D2705" s="8"/>
      <c r="E2705" s="8"/>
      <c r="F2705" s="9"/>
      <c r="G2705" s="9">
        <v>2702.0</v>
      </c>
      <c r="H2705" s="10">
        <f t="shared" si="84"/>
        <v>-0.016251693440666487</v>
      </c>
      <c r="K2705" s="7"/>
    </row>
    <row r="2706" spans="8:8">
      <c r="B2706" s="7"/>
      <c r="C2706" s="8"/>
      <c r="D2706" s="8"/>
      <c r="E2706" s="8"/>
      <c r="F2706" s="9"/>
      <c r="G2706" s="9">
        <v>2703.0</v>
      </c>
      <c r="H2706" s="10">
        <f t="shared" si="84"/>
        <v>-0.009522190194684824</v>
      </c>
      <c r="K2706" s="7"/>
    </row>
    <row r="2707" spans="8:8">
      <c r="B2707" s="7"/>
      <c r="C2707" s="8"/>
      <c r="D2707" s="8"/>
      <c r="E2707" s="8"/>
      <c r="F2707" s="9"/>
      <c r="G2707" s="9">
        <v>2704.0</v>
      </c>
      <c r="H2707" s="10">
        <f t="shared" si="84"/>
        <v>0.0069927194875625</v>
      </c>
      <c r="K2707" s="7"/>
    </row>
    <row r="2708" spans="8:8">
      <c r="B2708" s="7"/>
      <c r="C2708" s="8"/>
      <c r="D2708" s="8"/>
      <c r="E2708" s="8"/>
      <c r="F2708" s="9"/>
      <c r="G2708" s="9">
        <v>2705.0</v>
      </c>
      <c r="H2708" s="10">
        <f t="shared" si="84"/>
        <v>-0.01042693827153994</v>
      </c>
      <c r="K2708" s="7"/>
    </row>
    <row r="2709" spans="8:8">
      <c r="B2709" s="7"/>
      <c r="C2709" s="8"/>
      <c r="D2709" s="8"/>
      <c r="E2709" s="8"/>
      <c r="F2709" s="9"/>
      <c r="G2709" s="9">
        <v>2706.0</v>
      </c>
      <c r="H2709" s="10">
        <f t="shared" si="84"/>
        <v>0.013982425032943224</v>
      </c>
      <c r="K2709" s="7"/>
    </row>
    <row r="2710" spans="8:8">
      <c r="B2710" s="7"/>
      <c r="C2710" s="8"/>
      <c r="D2710" s="8"/>
      <c r="E2710" s="8"/>
      <c r="F2710" s="9"/>
      <c r="G2710" s="9">
        <v>2707.0</v>
      </c>
      <c r="H2710" s="10">
        <f t="shared" si="84"/>
        <v>-0.004554350922045422</v>
      </c>
      <c r="K2710" s="7"/>
    </row>
    <row r="2711" spans="8:8">
      <c r="B2711" s="7"/>
      <c r="C2711" s="8"/>
      <c r="D2711" s="8"/>
      <c r="E2711" s="8"/>
      <c r="F2711" s="9"/>
      <c r="G2711" s="9">
        <v>2708.0</v>
      </c>
      <c r="H2711" s="10">
        <f t="shared" si="84"/>
        <v>0.021754133766771374</v>
      </c>
      <c r="K2711" s="7"/>
    </row>
    <row r="2712" spans="8:8">
      <c r="B2712" s="7"/>
      <c r="C2712" s="8"/>
      <c r="D2712" s="8"/>
      <c r="E2712" s="8"/>
      <c r="F2712" s="9"/>
      <c r="G2712" s="9">
        <v>2709.0</v>
      </c>
      <c r="H2712" s="10">
        <f t="shared" si="84"/>
        <v>-0.009283839546694827</v>
      </c>
      <c r="K2712" s="7"/>
    </row>
    <row r="2713" spans="8:8">
      <c r="B2713" s="7"/>
      <c r="C2713" s="8"/>
      <c r="D2713" s="8"/>
      <c r="E2713" s="8"/>
      <c r="F2713" s="9"/>
      <c r="G2713" s="9">
        <v>2710.0</v>
      </c>
      <c r="H2713" s="10">
        <f t="shared" si="84"/>
        <v>0.0052492674771622274</v>
      </c>
      <c r="K2713" s="7"/>
    </row>
    <row r="2714" spans="8:8">
      <c r="B2714" s="7"/>
      <c r="C2714" s="8"/>
      <c r="D2714" s="8"/>
      <c r="E2714" s="8"/>
      <c r="F2714" s="9"/>
      <c r="G2714" s="9">
        <v>2711.0</v>
      </c>
      <c r="H2714" s="10">
        <f t="shared" si="84"/>
        <v>0.010551385502061607</v>
      </c>
      <c r="K2714" s="7"/>
    </row>
    <row r="2715" spans="8:8">
      <c r="B2715" s="7"/>
      <c r="C2715" s="8"/>
      <c r="D2715" s="8"/>
      <c r="E2715" s="8"/>
      <c r="F2715" s="9"/>
      <c r="G2715" s="9">
        <v>2712.0</v>
      </c>
      <c r="H2715" s="10">
        <f t="shared" si="84"/>
        <v>-0.005681169026932665</v>
      </c>
      <c r="K2715" s="7"/>
    </row>
    <row r="2716" spans="8:8">
      <c r="B2716" s="7"/>
      <c r="C2716" s="8"/>
      <c r="D2716" s="8"/>
      <c r="E2716" s="8"/>
      <c r="F2716" s="9"/>
      <c r="G2716" s="9">
        <v>2713.0</v>
      </c>
      <c r="H2716" s="10">
        <f t="shared" si="84"/>
        <v>0.017828298137044937</v>
      </c>
      <c r="K2716" s="7"/>
    </row>
    <row r="2717" spans="8:8">
      <c r="B2717" s="7"/>
      <c r="C2717" s="8"/>
      <c r="D2717" s="8"/>
      <c r="E2717" s="8"/>
      <c r="F2717" s="9"/>
      <c r="G2717" s="9">
        <v>2714.0</v>
      </c>
      <c r="H2717" s="10">
        <f t="shared" si="84"/>
        <v>3.0927087567643756E-4</v>
      </c>
      <c r="K2717" s="7"/>
    </row>
    <row r="2718" spans="8:8">
      <c r="B2718" s="7"/>
      <c r="C2718" s="8"/>
      <c r="D2718" s="8"/>
      <c r="E2718" s="8"/>
      <c r="F2718" s="9"/>
      <c r="G2718" s="9">
        <v>2715.0</v>
      </c>
      <c r="H2718" s="10">
        <f t="shared" si="84"/>
        <v>-0.016829644238161724</v>
      </c>
      <c r="K2718" s="7"/>
    </row>
    <row r="2719" spans="8:8">
      <c r="B2719" s="7"/>
      <c r="C2719" s="8"/>
      <c r="D2719" s="8"/>
      <c r="E2719" s="8"/>
      <c r="F2719" s="9"/>
      <c r="G2719" s="9">
        <v>2716.0</v>
      </c>
      <c r="H2719" s="10">
        <f t="shared" si="84"/>
        <v>-0.009885321405575392</v>
      </c>
      <c r="K2719" s="7"/>
    </row>
    <row r="2720" spans="8:8">
      <c r="B2720" s="7"/>
      <c r="C2720" s="8"/>
      <c r="D2720" s="8"/>
      <c r="E2720" s="8"/>
      <c r="F2720" s="9"/>
      <c r="G2720" s="9">
        <v>2717.0</v>
      </c>
      <c r="H2720" s="10">
        <f t="shared" si="84"/>
        <v>-0.0016584971262724275</v>
      </c>
      <c r="K2720" s="7"/>
    </row>
    <row r="2721" spans="8:8">
      <c r="B2721" s="7"/>
      <c r="C2721" s="8"/>
      <c r="D2721" s="8"/>
      <c r="E2721" s="8"/>
      <c r="F2721" s="9"/>
      <c r="G2721" s="9">
        <v>2718.0</v>
      </c>
      <c r="H2721" s="10">
        <f t="shared" si="84"/>
        <v>-0.016838122773644194</v>
      </c>
      <c r="K2721" s="7"/>
    </row>
    <row r="2722" spans="8:8">
      <c r="B2722" s="7"/>
      <c r="C2722" s="8"/>
      <c r="D2722" s="8"/>
      <c r="E2722" s="8"/>
      <c r="F2722" s="9"/>
      <c r="G2722" s="9">
        <v>2719.0</v>
      </c>
      <c r="H2722" s="10">
        <f t="shared" si="84"/>
        <v>4.923547402300972E-4</v>
      </c>
      <c r="K2722" s="7"/>
    </row>
    <row r="2723" spans="8:8">
      <c r="B2723" s="7"/>
      <c r="C2723" s="8"/>
      <c r="D2723" s="8"/>
      <c r="E2723" s="8"/>
      <c r="F2723" s="9"/>
      <c r="G2723" s="9">
        <v>2720.0</v>
      </c>
      <c r="H2723" s="10">
        <f t="shared" si="84"/>
        <v>-0.002233844453121074</v>
      </c>
      <c r="K2723" s="7"/>
    </row>
    <row r="2724" spans="8:8">
      <c r="B2724" s="7"/>
      <c r="C2724" s="8"/>
      <c r="D2724" s="8"/>
      <c r="E2724" s="8"/>
      <c r="F2724" s="9"/>
      <c r="G2724" s="9">
        <v>2721.0</v>
      </c>
      <c r="H2724" s="10">
        <f t="shared" si="84"/>
        <v>-0.015663796246313064</v>
      </c>
      <c r="K2724" s="7"/>
    </row>
    <row r="2725" spans="8:8">
      <c r="B2725" s="7"/>
      <c r="C2725" s="8"/>
      <c r="D2725" s="8"/>
      <c r="E2725" s="8"/>
      <c r="F2725" s="9"/>
      <c r="G2725" s="9">
        <v>2722.0</v>
      </c>
      <c r="H2725" s="10">
        <f t="shared" si="84"/>
        <v>0.009945897098756089</v>
      </c>
      <c r="K2725" s="7"/>
    </row>
    <row r="2726" spans="8:8">
      <c r="B2726" s="7"/>
      <c r="C2726" s="8"/>
      <c r="D2726" s="8"/>
      <c r="E2726" s="8"/>
      <c r="F2726" s="9"/>
      <c r="G2726" s="9">
        <v>2723.0</v>
      </c>
      <c r="H2726" s="10">
        <f t="shared" si="84"/>
        <v>0.002871488529549962</v>
      </c>
      <c r="K2726" s="7"/>
    </row>
    <row r="2727" spans="8:8">
      <c r="B2727" s="7"/>
      <c r="C2727" s="8"/>
      <c r="D2727" s="8"/>
      <c r="E2727" s="8"/>
      <c r="F2727" s="9"/>
      <c r="G2727" s="9">
        <v>2724.0</v>
      </c>
      <c r="H2727" s="10">
        <f t="shared" si="84"/>
        <v>0.0055096047218500446</v>
      </c>
      <c r="K2727" s="7"/>
    </row>
    <row r="2728" spans="8:8">
      <c r="B2728" s="7"/>
      <c r="C2728" s="8"/>
      <c r="D2728" s="8"/>
      <c r="E2728" s="8"/>
      <c r="F2728" s="9"/>
      <c r="G2728" s="9">
        <v>2725.0</v>
      </c>
      <c r="H2728" s="10">
        <f t="shared" si="84"/>
        <v>-0.01037475886400192</v>
      </c>
      <c r="K2728" s="7"/>
    </row>
    <row r="2729" spans="8:8">
      <c r="B2729" s="7"/>
      <c r="C2729" s="8"/>
      <c r="D2729" s="8"/>
      <c r="E2729" s="8"/>
      <c r="F2729" s="9"/>
      <c r="G2729" s="9">
        <v>2726.0</v>
      </c>
      <c r="H2729" s="10">
        <f t="shared" si="84"/>
        <v>-0.008927217557636254</v>
      </c>
      <c r="K2729" s="7"/>
    </row>
    <row r="2730" spans="8:8">
      <c r="B2730" s="7"/>
      <c r="C2730" s="8"/>
      <c r="D2730" s="8"/>
      <c r="E2730" s="8"/>
      <c r="F2730" s="9"/>
      <c r="G2730" s="9">
        <v>2727.0</v>
      </c>
      <c r="H2730" s="10">
        <f t="shared" si="84"/>
        <v>-0.004592408501997024</v>
      </c>
      <c r="K2730" s="7"/>
    </row>
    <row r="2731" spans="8:8">
      <c r="B2731" s="7"/>
      <c r="C2731" s="8"/>
      <c r="D2731" s="8"/>
      <c r="E2731" s="8"/>
      <c r="F2731" s="9"/>
      <c r="G2731" s="9">
        <v>2728.0</v>
      </c>
      <c r="H2731" s="10">
        <f t="shared" si="84"/>
        <v>-0.005982307130487397</v>
      </c>
      <c r="K2731" s="7"/>
    </row>
    <row r="2732" spans="8:8">
      <c r="B2732" s="7"/>
      <c r="C2732" s="8"/>
      <c r="D2732" s="8"/>
      <c r="E2732" s="8"/>
      <c r="F2732" s="9"/>
      <c r="G2732" s="9">
        <v>2729.0</v>
      </c>
      <c r="H2732" s="10">
        <f t="shared" si="84"/>
        <v>-0.006071439131268757</v>
      </c>
      <c r="K2732" s="7"/>
    </row>
    <row r="2733" spans="8:8">
      <c r="B2733" s="7"/>
      <c r="C2733" s="8"/>
      <c r="D2733" s="8"/>
      <c r="E2733" s="8"/>
      <c r="F2733" s="9"/>
      <c r="G2733" s="9">
        <v>2730.0</v>
      </c>
      <c r="H2733" s="10">
        <f t="shared" si="84"/>
        <v>-5.76072115777199E-4</v>
      </c>
      <c r="K2733" s="7"/>
    </row>
    <row r="2734" spans="8:8">
      <c r="B2734" s="7"/>
      <c r="C2734" s="8"/>
      <c r="D2734" s="8"/>
      <c r="E2734" s="8"/>
      <c r="F2734" s="9"/>
      <c r="G2734" s="9">
        <v>2731.0</v>
      </c>
      <c r="H2734" s="10">
        <f t="shared" si="84"/>
        <v>0.004400842639186652</v>
      </c>
      <c r="K2734" s="7"/>
    </row>
    <row r="2735" spans="8:8">
      <c r="B2735" s="7"/>
      <c r="C2735" s="8"/>
      <c r="D2735" s="8"/>
      <c r="E2735" s="8"/>
      <c r="F2735" s="9"/>
      <c r="G2735" s="9">
        <v>2732.0</v>
      </c>
      <c r="H2735" s="10">
        <f t="shared" si="84"/>
        <v>0.0109761092300426</v>
      </c>
      <c r="K2735" s="7"/>
    </row>
    <row r="2736" spans="8:8">
      <c r="B2736" s="7"/>
      <c r="C2736" s="8"/>
      <c r="D2736" s="8"/>
      <c r="E2736" s="8"/>
      <c r="F2736" s="9"/>
      <c r="G2736" s="9">
        <v>2733.0</v>
      </c>
      <c r="H2736" s="10">
        <f t="shared" si="84"/>
        <v>0.02926540011606565</v>
      </c>
      <c r="K2736" s="7"/>
    </row>
    <row r="2737" spans="8:8">
      <c r="B2737" s="7"/>
      <c r="C2737" s="8"/>
      <c r="D2737" s="8"/>
      <c r="E2737" s="8"/>
      <c r="F2737" s="9"/>
      <c r="G2737" s="9">
        <v>2734.0</v>
      </c>
      <c r="H2737" s="10">
        <f t="shared" si="84"/>
        <v>-0.005304110616106003</v>
      </c>
      <c r="K2737" s="7"/>
    </row>
    <row r="2738" spans="8:8">
      <c r="B2738" s="7"/>
      <c r="C2738" s="8"/>
      <c r="D2738" s="8"/>
      <c r="E2738" s="8"/>
      <c r="F2738" s="9"/>
      <c r="G2738" s="9">
        <v>2735.0</v>
      </c>
      <c r="H2738" s="10">
        <f t="shared" si="84"/>
        <v>-0.005461489590718761</v>
      </c>
      <c r="K2738" s="7"/>
    </row>
    <row r="2739" spans="8:8">
      <c r="B2739" s="7"/>
      <c r="C2739" s="8"/>
      <c r="D2739" s="8"/>
      <c r="E2739" s="8"/>
      <c r="F2739" s="9"/>
      <c r="G2739" s="9">
        <v>2736.0</v>
      </c>
      <c r="H2739" s="10">
        <f t="shared" si="84"/>
        <v>0.013132154572873356</v>
      </c>
      <c r="K2739" s="7"/>
    </row>
    <row r="2740" spans="8:8">
      <c r="B2740" s="7"/>
      <c r="C2740" s="8"/>
      <c r="D2740" s="8"/>
      <c r="E2740" s="8"/>
      <c r="F2740" s="9"/>
      <c r="G2740" s="9">
        <v>2737.0</v>
      </c>
      <c r="H2740" s="10">
        <f t="shared" si="84"/>
        <v>0.0019082767943414585</v>
      </c>
      <c r="K2740" s="7"/>
    </row>
    <row r="2741" spans="8:8">
      <c r="B2741" s="7"/>
      <c r="C2741" s="8"/>
      <c r="D2741" s="8"/>
      <c r="E2741" s="8"/>
      <c r="F2741" s="9"/>
      <c r="G2741" s="9">
        <v>2738.0</v>
      </c>
      <c r="H2741" s="10">
        <f t="shared" si="84"/>
        <v>0.004031323329385156</v>
      </c>
      <c r="K2741" s="7"/>
    </row>
    <row r="2742" spans="8:8">
      <c r="B2742" s="7"/>
      <c r="C2742" s="8"/>
      <c r="D2742" s="8"/>
      <c r="E2742" s="8"/>
      <c r="F2742" s="9"/>
      <c r="G2742" s="9">
        <v>2739.0</v>
      </c>
      <c r="H2742" s="10">
        <f t="shared" si="84"/>
        <v>0.001424335590286882</v>
      </c>
      <c r="K2742" s="7"/>
    </row>
    <row r="2743" spans="8:8">
      <c r="B2743" s="7"/>
      <c r="C2743" s="8"/>
      <c r="D2743" s="8"/>
      <c r="E2743" s="8"/>
      <c r="F2743" s="9"/>
      <c r="G2743" s="9">
        <v>2740.0</v>
      </c>
      <c r="H2743" s="10">
        <f t="shared" si="84"/>
        <v>-0.008790330488149381</v>
      </c>
      <c r="K2743" s="7"/>
    </row>
    <row r="2744" spans="8:8">
      <c r="B2744" s="7"/>
      <c r="C2744" s="8"/>
      <c r="D2744" s="8"/>
      <c r="E2744" s="8"/>
      <c r="F2744" s="9"/>
      <c r="G2744" s="9">
        <v>2741.0</v>
      </c>
      <c r="H2744" s="10">
        <f t="shared" si="84"/>
        <v>-0.0010162060637164804</v>
      </c>
      <c r="K2744" s="7"/>
    </row>
    <row r="2745" spans="8:8">
      <c r="B2745" s="7"/>
      <c r="C2745" s="8"/>
      <c r="D2745" s="8"/>
      <c r="E2745" s="8"/>
      <c r="F2745" s="9"/>
      <c r="G2745" s="9">
        <v>2742.0</v>
      </c>
      <c r="H2745" s="10">
        <f t="shared" si="84"/>
        <v>-0.008549445588234426</v>
      </c>
      <c r="K2745" s="7"/>
    </row>
    <row r="2746" spans="8:8">
      <c r="B2746" s="7"/>
      <c r="C2746" s="8"/>
      <c r="D2746" s="8"/>
      <c r="E2746" s="8"/>
      <c r="F2746" s="9"/>
      <c r="G2746" s="9">
        <v>2743.0</v>
      </c>
      <c r="H2746" s="10">
        <f t="shared" si="84"/>
        <v>-0.009437815756953783</v>
      </c>
      <c r="K2746" s="7"/>
    </row>
    <row r="2747" spans="8:8">
      <c r="B2747" s="7"/>
      <c r="C2747" s="8"/>
      <c r="D2747" s="9"/>
      <c r="E2747" s="9"/>
      <c r="F2747" s="9"/>
      <c r="G2747" s="9">
        <v>2744.0</v>
      </c>
      <c r="H2747" s="10">
        <f t="shared" si="84"/>
        <v>-0.005889264960959051</v>
      </c>
      <c r="K2747" s="7"/>
    </row>
    <row r="2748" spans="8:8">
      <c r="G2748" s="9">
        <v>2745.0</v>
      </c>
      <c r="H2748" s="10">
        <f t="shared" si="84"/>
        <v>-0.009818000491982875</v>
      </c>
      <c r="K2748" s="7"/>
    </row>
    <row r="2749" spans="8:8">
      <c r="G2749" s="9">
        <v>2746.0</v>
      </c>
      <c r="H2749" s="10">
        <f t="shared" si="84"/>
        <v>5.433942357649336E-4</v>
      </c>
      <c r="K2749" s="7"/>
    </row>
    <row r="2750" spans="8:8">
      <c r="G2750" s="9">
        <v>2747.0</v>
      </c>
      <c r="H2750" s="10">
        <f t="shared" si="84"/>
        <v>0.018676198622203117</v>
      </c>
      <c r="K2750" s="7"/>
    </row>
    <row r="2751" spans="8:8">
      <c r="G2751" s="9">
        <v>2748.0</v>
      </c>
      <c r="H2751" s="10">
        <f t="shared" si="84"/>
        <v>0.025378846935216998</v>
      </c>
      <c r="K2751" s="7"/>
    </row>
    <row r="2752" spans="8:8">
      <c r="G2752" s="9">
        <v>2749.0</v>
      </c>
      <c r="H2752" s="10">
        <f t="shared" si="84"/>
        <v>-0.009305316948158403</v>
      </c>
      <c r="K2752" s="7"/>
    </row>
    <row r="2753" spans="8:8">
      <c r="G2753" s="9">
        <v>2750.0</v>
      </c>
      <c r="H2753" s="10">
        <f t="shared" si="84"/>
        <v>0.0150187678336293</v>
      </c>
      <c r="K2753" s="7"/>
    </row>
    <row r="2754" spans="8:8">
      <c r="G2754" s="9">
        <v>2751.0</v>
      </c>
      <c r="H2754" s="10">
        <f t="shared" si="84"/>
        <v>0.010489816704461696</v>
      </c>
      <c r="K2754" s="7"/>
    </row>
    <row r="2755" spans="8:8">
      <c r="G2755" s="9">
        <v>2752.0</v>
      </c>
      <c r="H2755" s="10">
        <f t="shared" si="84"/>
        <v>0.016067450199374788</v>
      </c>
      <c r="K2755" s="7"/>
    </row>
    <row r="2756" spans="8:8">
      <c r="G2756" s="9">
        <v>2753.0</v>
      </c>
      <c r="H2756" s="10">
        <f t="shared" si="84"/>
        <v>0.005708423495106848</v>
      </c>
      <c r="K2756" s="7"/>
    </row>
    <row r="2757" spans="8:8">
      <c r="G2757" s="9">
        <v>2754.0</v>
      </c>
      <c r="H2757" s="10">
        <f t="shared" si="85" ref="H2757:H2820">_xlfn.NORM.INV(RAND(),N$6,N$7)</f>
        <v>0.02325074050257527</v>
      </c>
      <c r="K2757" s="7"/>
    </row>
    <row r="2758" spans="8:8">
      <c r="G2758" s="9">
        <v>2755.0</v>
      </c>
      <c r="H2758" s="10">
        <f t="shared" si="85"/>
        <v>0.021918452898740327</v>
      </c>
      <c r="K2758" s="7"/>
    </row>
    <row r="2759" spans="8:8">
      <c r="G2759" s="9">
        <v>2756.0</v>
      </c>
      <c r="H2759" s="10">
        <f t="shared" si="85"/>
        <v>0.0018247066411993913</v>
      </c>
      <c r="K2759" s="7"/>
    </row>
    <row r="2760" spans="8:8">
      <c r="G2760" s="9">
        <v>2757.0</v>
      </c>
      <c r="H2760" s="10">
        <f t="shared" si="85"/>
        <v>0.0079249225070459</v>
      </c>
      <c r="K2760" s="7"/>
    </row>
    <row r="2761" spans="8:8">
      <c r="G2761" s="9">
        <v>2758.0</v>
      </c>
      <c r="H2761" s="10">
        <f t="shared" si="85"/>
        <v>0.003616533514497896</v>
      </c>
      <c r="K2761" s="7"/>
    </row>
    <row r="2762" spans="8:8">
      <c r="G2762" s="9">
        <v>2759.0</v>
      </c>
      <c r="H2762" s="10">
        <f t="shared" si="85"/>
        <v>-0.001164144940731868</v>
      </c>
      <c r="K2762" s="7"/>
    </row>
    <row r="2763" spans="8:8">
      <c r="G2763" s="9">
        <v>2760.0</v>
      </c>
      <c r="H2763" s="10">
        <f t="shared" si="85"/>
        <v>0.018262355283555156</v>
      </c>
      <c r="K2763" s="7"/>
    </row>
    <row r="2764" spans="8:8">
      <c r="G2764" s="9">
        <v>2761.0</v>
      </c>
      <c r="H2764" s="10">
        <f t="shared" si="85"/>
        <v>-0.008452417422954283</v>
      </c>
      <c r="K2764" s="7"/>
    </row>
    <row r="2765" spans="8:8">
      <c r="G2765" s="9">
        <v>2762.0</v>
      </c>
      <c r="H2765" s="10">
        <f t="shared" si="85"/>
        <v>-0.013262659512450464</v>
      </c>
      <c r="K2765" s="7"/>
    </row>
    <row r="2766" spans="8:8">
      <c r="G2766" s="9">
        <v>2763.0</v>
      </c>
      <c r="H2766" s="10">
        <f t="shared" si="85"/>
        <v>0.01455240750785106</v>
      </c>
      <c r="K2766" s="7"/>
    </row>
    <row r="2767" spans="8:8">
      <c r="G2767" s="9">
        <v>2764.0</v>
      </c>
      <c r="H2767" s="10">
        <f t="shared" si="85"/>
        <v>-0.008168007382488046</v>
      </c>
      <c r="K2767" s="7"/>
    </row>
    <row r="2768" spans="8:8">
      <c r="G2768" s="9">
        <v>2765.0</v>
      </c>
      <c r="H2768" s="10">
        <f t="shared" si="85"/>
        <v>-0.015919101281833065</v>
      </c>
      <c r="K2768" s="7"/>
    </row>
    <row r="2769" spans="8:8">
      <c r="G2769" s="9">
        <v>2766.0</v>
      </c>
      <c r="H2769" s="10">
        <f t="shared" si="85"/>
        <v>0.0036782740977805723</v>
      </c>
      <c r="K2769" s="7"/>
    </row>
    <row r="2770" spans="8:8">
      <c r="G2770" s="9">
        <v>2767.0</v>
      </c>
      <c r="H2770" s="10">
        <f t="shared" si="85"/>
        <v>-0.022271286395634977</v>
      </c>
      <c r="K2770" s="7"/>
    </row>
    <row r="2771" spans="8:8">
      <c r="G2771" s="9">
        <v>2768.0</v>
      </c>
      <c r="H2771" s="10">
        <f t="shared" si="85"/>
        <v>-0.006654674487575558</v>
      </c>
      <c r="K2771" s="7"/>
    </row>
    <row r="2772" spans="8:8">
      <c r="G2772" s="9">
        <v>2769.0</v>
      </c>
      <c r="H2772" s="10">
        <f t="shared" si="85"/>
        <v>-0.009093028085361145</v>
      </c>
      <c r="K2772" s="7"/>
    </row>
    <row r="2773" spans="8:8">
      <c r="G2773" s="9">
        <v>2770.0</v>
      </c>
      <c r="H2773" s="10">
        <f t="shared" si="85"/>
        <v>-0.008277257924645065</v>
      </c>
      <c r="K2773" s="7"/>
    </row>
    <row r="2774" spans="8:8">
      <c r="G2774" s="9">
        <v>2771.0</v>
      </c>
      <c r="H2774" s="10">
        <f t="shared" si="85"/>
        <v>0.015611348719520114</v>
      </c>
      <c r="K2774" s="7"/>
    </row>
    <row r="2775" spans="8:8">
      <c r="G2775" s="9">
        <v>2772.0</v>
      </c>
      <c r="H2775" s="10">
        <f t="shared" si="85"/>
        <v>-0.009036726733668617</v>
      </c>
      <c r="K2775" s="7"/>
    </row>
    <row r="2776" spans="8:8">
      <c r="G2776" s="9">
        <v>2773.0</v>
      </c>
      <c r="H2776" s="10">
        <f t="shared" si="85"/>
        <v>0.019368745962927487</v>
      </c>
      <c r="K2776" s="7"/>
    </row>
    <row r="2777" spans="8:8">
      <c r="G2777" s="9">
        <v>2774.0</v>
      </c>
      <c r="H2777" s="10">
        <f t="shared" si="85"/>
        <v>0.001669617399853169</v>
      </c>
      <c r="K2777" s="7"/>
    </row>
    <row r="2778" spans="8:8">
      <c r="G2778" s="9">
        <v>2775.0</v>
      </c>
      <c r="H2778" s="10">
        <f t="shared" si="85"/>
        <v>-0.019853405503695742</v>
      </c>
      <c r="K2778" s="7"/>
    </row>
    <row r="2779" spans="8:8">
      <c r="G2779" s="9">
        <v>2776.0</v>
      </c>
      <c r="H2779" s="10">
        <f t="shared" si="85"/>
        <v>0.010264736842260903</v>
      </c>
      <c r="K2779" s="7"/>
    </row>
    <row r="2780" spans="8:8">
      <c r="G2780" s="9">
        <v>2777.0</v>
      </c>
      <c r="H2780" s="10">
        <f t="shared" si="85"/>
        <v>-0.013478594326686882</v>
      </c>
      <c r="K2780" s="7"/>
    </row>
    <row r="2781" spans="8:8">
      <c r="G2781" s="9">
        <v>2778.0</v>
      </c>
      <c r="H2781" s="10">
        <f t="shared" si="85"/>
        <v>0.020782548414811936</v>
      </c>
      <c r="K2781" s="7"/>
    </row>
    <row r="2782" spans="8:8">
      <c r="G2782" s="9">
        <v>2779.0</v>
      </c>
      <c r="H2782" s="10">
        <f t="shared" si="85"/>
        <v>-0.0077276315966435345</v>
      </c>
      <c r="K2782" s="7"/>
    </row>
    <row r="2783" spans="8:8">
      <c r="G2783" s="9">
        <v>2780.0</v>
      </c>
      <c r="H2783" s="10">
        <f t="shared" si="85"/>
        <v>0.03468230434619289</v>
      </c>
      <c r="K2783" s="7"/>
    </row>
    <row r="2784" spans="8:8">
      <c r="G2784" s="9">
        <v>2781.0</v>
      </c>
      <c r="H2784" s="10">
        <f t="shared" si="85"/>
        <v>0.011750246443503587</v>
      </c>
      <c r="K2784" s="7"/>
    </row>
    <row r="2785" spans="8:8">
      <c r="G2785" s="9">
        <v>2782.0</v>
      </c>
      <c r="H2785" s="10">
        <f t="shared" si="85"/>
        <v>-0.0024702916257956517</v>
      </c>
      <c r="K2785" s="7"/>
    </row>
    <row r="2786" spans="8:8">
      <c r="G2786" s="9">
        <v>2783.0</v>
      </c>
      <c r="H2786" s="10">
        <f t="shared" si="85"/>
        <v>-0.012196390083968684</v>
      </c>
      <c r="K2786" s="7"/>
    </row>
    <row r="2787" spans="8:8">
      <c r="G2787" s="9">
        <v>2784.0</v>
      </c>
      <c r="H2787" s="10">
        <f t="shared" si="85"/>
        <v>-0.009121697965385742</v>
      </c>
    </row>
    <row r="2788" spans="8:8">
      <c r="G2788" s="9">
        <v>2785.0</v>
      </c>
      <c r="H2788" s="10">
        <f t="shared" si="85"/>
        <v>0.013796964294368459</v>
      </c>
    </row>
    <row r="2789" spans="8:8">
      <c r="G2789" s="9">
        <v>2786.0</v>
      </c>
      <c r="H2789" s="10">
        <f t="shared" si="85"/>
        <v>0.02034251742538812</v>
      </c>
    </row>
    <row r="2790" spans="8:8">
      <c r="G2790" s="9">
        <v>2787.0</v>
      </c>
      <c r="H2790" s="10">
        <f t="shared" si="85"/>
        <v>-0.006427386161992216</v>
      </c>
    </row>
    <row r="2791" spans="8:8">
      <c r="G2791" s="9">
        <v>2788.0</v>
      </c>
      <c r="H2791" s="10">
        <f t="shared" si="85"/>
        <v>0.0010099891234510282</v>
      </c>
    </row>
    <row r="2792" spans="8:8">
      <c r="G2792" s="9">
        <v>2789.0</v>
      </c>
      <c r="H2792" s="10">
        <f t="shared" si="85"/>
        <v>-0.006653160497437065</v>
      </c>
    </row>
    <row r="2793" spans="8:8">
      <c r="G2793" s="9">
        <v>2790.0</v>
      </c>
      <c r="H2793" s="10">
        <f t="shared" si="85"/>
        <v>-0.0014280077493933584</v>
      </c>
    </row>
    <row r="2794" spans="8:8">
      <c r="G2794" s="9">
        <v>2791.0</v>
      </c>
      <c r="H2794" s="10">
        <f t="shared" si="85"/>
        <v>0.002356795202739604</v>
      </c>
    </row>
    <row r="2795" spans="8:8">
      <c r="G2795" s="9">
        <v>2792.0</v>
      </c>
      <c r="H2795" s="10">
        <f t="shared" si="85"/>
        <v>-0.007441722609830445</v>
      </c>
    </row>
    <row r="2796" spans="8:8">
      <c r="G2796" s="9">
        <v>2793.0</v>
      </c>
      <c r="H2796" s="10">
        <f t="shared" si="85"/>
        <v>0.010195089538146351</v>
      </c>
    </row>
    <row r="2797" spans="8:8">
      <c r="G2797" s="9">
        <v>2794.0</v>
      </c>
      <c r="H2797" s="10">
        <f t="shared" si="85"/>
        <v>-0.010246001559132079</v>
      </c>
    </row>
    <row r="2798" spans="8:8">
      <c r="G2798" s="9">
        <v>2795.0</v>
      </c>
      <c r="H2798" s="10">
        <f t="shared" si="85"/>
        <v>0.00271367108648749</v>
      </c>
    </row>
    <row r="2799" spans="8:8">
      <c r="G2799" s="9">
        <v>2796.0</v>
      </c>
      <c r="H2799" s="10">
        <f t="shared" si="85"/>
        <v>0.006982614443657512</v>
      </c>
    </row>
    <row r="2800" spans="8:8">
      <c r="G2800" s="9">
        <v>2797.0</v>
      </c>
      <c r="H2800" s="10">
        <f t="shared" si="85"/>
        <v>-0.02410879067663203</v>
      </c>
    </row>
    <row r="2801" spans="8:8">
      <c r="G2801" s="9">
        <v>2798.0</v>
      </c>
      <c r="H2801" s="10">
        <f t="shared" si="85"/>
        <v>3.1254981471373145E-4</v>
      </c>
    </row>
    <row r="2802" spans="8:8">
      <c r="G2802" s="9">
        <v>2799.0</v>
      </c>
      <c r="H2802" s="10">
        <f t="shared" si="85"/>
        <v>0.0015271169434659775</v>
      </c>
    </row>
    <row r="2803" spans="8:8">
      <c r="G2803" s="9">
        <v>2800.0</v>
      </c>
      <c r="H2803" s="10">
        <f t="shared" si="85"/>
        <v>0.011227419856708196</v>
      </c>
    </row>
    <row r="2804" spans="8:8">
      <c r="G2804" s="9">
        <v>2801.0</v>
      </c>
      <c r="H2804" s="10">
        <f t="shared" si="85"/>
        <v>-0.01684560725909878</v>
      </c>
    </row>
    <row r="2805" spans="8:8">
      <c r="G2805" s="9">
        <v>2802.0</v>
      </c>
      <c r="H2805" s="10">
        <f t="shared" si="85"/>
        <v>0.00685747009374931</v>
      </c>
    </row>
    <row r="2806" spans="8:8">
      <c r="G2806" s="9">
        <v>2803.0</v>
      </c>
      <c r="H2806" s="10">
        <f t="shared" si="85"/>
        <v>-0.0040632480297558985</v>
      </c>
    </row>
    <row r="2807" spans="8:8">
      <c r="G2807" s="9">
        <v>2804.0</v>
      </c>
      <c r="H2807" s="10">
        <f t="shared" si="85"/>
        <v>0.00957892707963996</v>
      </c>
    </row>
    <row r="2808" spans="8:8">
      <c r="G2808" s="9">
        <v>2805.0</v>
      </c>
      <c r="H2808" s="10">
        <f t="shared" si="85"/>
        <v>0.009711134328761589</v>
      </c>
    </row>
    <row r="2809" spans="8:8">
      <c r="G2809" s="9">
        <v>2806.0</v>
      </c>
      <c r="H2809" s="10">
        <f t="shared" si="85"/>
        <v>0.02519860314443603</v>
      </c>
    </row>
    <row r="2810" spans="8:8">
      <c r="G2810" s="9">
        <v>2807.0</v>
      </c>
      <c r="H2810" s="10">
        <f t="shared" si="85"/>
        <v>0.02668118748611253</v>
      </c>
    </row>
    <row r="2811" spans="8:8">
      <c r="G2811" s="9">
        <v>2808.0</v>
      </c>
      <c r="H2811" s="10">
        <f t="shared" si="85"/>
        <v>7.743725489827479E-4</v>
      </c>
    </row>
    <row r="2812" spans="8:8">
      <c r="G2812" s="9">
        <v>2809.0</v>
      </c>
      <c r="H2812" s="10">
        <f t="shared" si="85"/>
        <v>0.010791433302576547</v>
      </c>
    </row>
    <row r="2813" spans="8:8">
      <c r="G2813" s="9">
        <v>2810.0</v>
      </c>
      <c r="H2813" s="10">
        <f t="shared" si="85"/>
        <v>0.003562213024427943</v>
      </c>
    </row>
    <row r="2814" spans="8:8">
      <c r="G2814" s="9">
        <v>2811.0</v>
      </c>
      <c r="H2814" s="10">
        <f t="shared" si="85"/>
        <v>-0.005480677524895822</v>
      </c>
    </row>
    <row r="2815" spans="8:8">
      <c r="G2815" s="9">
        <v>2812.0</v>
      </c>
      <c r="H2815" s="10">
        <f t="shared" si="85"/>
        <v>0.016528659475132573</v>
      </c>
    </row>
    <row r="2816" spans="8:8">
      <c r="G2816" s="9">
        <v>2813.0</v>
      </c>
      <c r="H2816" s="10">
        <f t="shared" si="85"/>
        <v>-0.0035178296020546666</v>
      </c>
    </row>
    <row r="2817" spans="8:8">
      <c r="G2817" s="9">
        <v>2814.0</v>
      </c>
      <c r="H2817" s="10">
        <f t="shared" si="85"/>
        <v>-0.012972730479854519</v>
      </c>
    </row>
    <row r="2818" spans="8:8">
      <c r="G2818" s="9">
        <v>2815.0</v>
      </c>
      <c r="H2818" s="10">
        <f t="shared" si="85"/>
        <v>0.003280909515998125</v>
      </c>
    </row>
    <row r="2819" spans="8:8">
      <c r="G2819" s="9">
        <v>2816.0</v>
      </c>
      <c r="H2819" s="10">
        <f t="shared" si="85"/>
        <v>0.011028363203981317</v>
      </c>
    </row>
    <row r="2820" spans="8:8">
      <c r="G2820" s="9">
        <v>2817.0</v>
      </c>
      <c r="H2820" s="10">
        <f t="shared" si="85"/>
        <v>0.008407571218670883</v>
      </c>
    </row>
    <row r="2821" spans="8:8">
      <c r="G2821" s="9">
        <v>2818.0</v>
      </c>
      <c r="H2821" s="10">
        <f t="shared" si="86" ref="H2821:H2884">_xlfn.NORM.INV(RAND(),N$6,N$7)</f>
        <v>0.024451121928178082</v>
      </c>
    </row>
    <row r="2822" spans="8:8">
      <c r="G2822" s="9">
        <v>2819.0</v>
      </c>
      <c r="H2822" s="10">
        <f t="shared" si="86"/>
        <v>-0.003270607818335234</v>
      </c>
    </row>
    <row r="2823" spans="8:8">
      <c r="G2823" s="9">
        <v>2820.0</v>
      </c>
      <c r="H2823" s="10">
        <f t="shared" si="86"/>
        <v>0.006930133643166581</v>
      </c>
    </row>
    <row r="2824" spans="8:8">
      <c r="G2824" s="9">
        <v>2821.0</v>
      </c>
      <c r="H2824" s="10">
        <f t="shared" si="86"/>
        <v>0.0029914879459832754</v>
      </c>
    </row>
    <row r="2825" spans="8:8">
      <c r="G2825" s="9">
        <v>2822.0</v>
      </c>
      <c r="H2825" s="10">
        <f t="shared" si="86"/>
        <v>0.022462192110921396</v>
      </c>
    </row>
    <row r="2826" spans="8:8">
      <c r="G2826" s="9">
        <v>2823.0</v>
      </c>
      <c r="H2826" s="10">
        <f t="shared" si="86"/>
        <v>-0.0031793932122825917</v>
      </c>
    </row>
    <row r="2827" spans="8:8">
      <c r="G2827" s="9">
        <v>2824.0</v>
      </c>
      <c r="H2827" s="10">
        <f t="shared" si="86"/>
        <v>-0.009868266570893125</v>
      </c>
    </row>
    <row r="2828" spans="8:8">
      <c r="G2828" s="9">
        <v>2825.0</v>
      </c>
      <c r="H2828" s="10">
        <f t="shared" si="86"/>
        <v>0.009004783308247397</v>
      </c>
    </row>
    <row r="2829" spans="8:8">
      <c r="G2829" s="9">
        <v>2826.0</v>
      </c>
      <c r="H2829" s="10">
        <f t="shared" si="86"/>
        <v>0.01890739408874527</v>
      </c>
    </row>
    <row r="2830" spans="8:8">
      <c r="G2830" s="9">
        <v>2827.0</v>
      </c>
      <c r="H2830" s="10">
        <f t="shared" si="86"/>
        <v>0.014446113260601218</v>
      </c>
    </row>
    <row r="2831" spans="8:8">
      <c r="G2831" s="9">
        <v>2828.0</v>
      </c>
      <c r="H2831" s="10">
        <f t="shared" si="86"/>
        <v>0.012607589942727405</v>
      </c>
    </row>
    <row r="2832" spans="8:8">
      <c r="G2832" s="9">
        <v>2829.0</v>
      </c>
      <c r="H2832" s="10">
        <f t="shared" si="86"/>
        <v>0.0020854809462384355</v>
      </c>
    </row>
    <row r="2833" spans="8:8">
      <c r="G2833" s="9">
        <v>2830.0</v>
      </c>
      <c r="H2833" s="10">
        <f t="shared" si="86"/>
        <v>0.009037061652776374</v>
      </c>
    </row>
    <row r="2834" spans="8:8">
      <c r="G2834" s="9">
        <v>2831.0</v>
      </c>
      <c r="H2834" s="10">
        <f t="shared" si="86"/>
        <v>-0.009025411102379349</v>
      </c>
    </row>
    <row r="2835" spans="8:8">
      <c r="G2835" s="9">
        <v>2832.0</v>
      </c>
      <c r="H2835" s="10">
        <f t="shared" si="86"/>
        <v>0.002993286359649907</v>
      </c>
    </row>
    <row r="2836" spans="8:8">
      <c r="G2836" s="9">
        <v>2833.0</v>
      </c>
      <c r="H2836" s="10">
        <f t="shared" si="86"/>
        <v>0.007693322354536635</v>
      </c>
    </row>
    <row r="2837" spans="8:8">
      <c r="G2837" s="9">
        <v>2834.0</v>
      </c>
      <c r="H2837" s="10">
        <f t="shared" si="86"/>
        <v>-2.1261102372463567E-4</v>
      </c>
    </row>
    <row r="2838" spans="8:8">
      <c r="G2838" s="9">
        <v>2835.0</v>
      </c>
      <c r="H2838" s="10">
        <f t="shared" si="86"/>
        <v>-0.007374199771647698</v>
      </c>
    </row>
    <row r="2839" spans="8:8">
      <c r="G2839" s="9">
        <v>2836.0</v>
      </c>
      <c r="H2839" s="10">
        <f t="shared" si="86"/>
        <v>-0.0014347124254023378</v>
      </c>
    </row>
    <row r="2840" spans="8:8">
      <c r="G2840" s="9">
        <v>2837.0</v>
      </c>
      <c r="H2840" s="10">
        <f t="shared" si="86"/>
        <v>0.01697444275139924</v>
      </c>
    </row>
    <row r="2841" spans="8:8">
      <c r="G2841" s="9">
        <v>2838.0</v>
      </c>
      <c r="H2841" s="10">
        <f t="shared" si="86"/>
        <v>0.008516395136112787</v>
      </c>
    </row>
    <row r="2842" spans="8:8">
      <c r="G2842" s="9">
        <v>2839.0</v>
      </c>
      <c r="H2842" s="10">
        <f t="shared" si="86"/>
        <v>0.011275137037885625</v>
      </c>
    </row>
    <row r="2843" spans="8:8">
      <c r="G2843" s="9">
        <v>2840.0</v>
      </c>
      <c r="H2843" s="10">
        <f t="shared" si="86"/>
        <v>-0.002475150555162871</v>
      </c>
    </row>
    <row r="2844" spans="8:8">
      <c r="G2844" s="9">
        <v>2841.0</v>
      </c>
      <c r="H2844" s="10">
        <f t="shared" si="86"/>
        <v>0.0028133483172340466</v>
      </c>
    </row>
    <row r="2845" spans="8:8">
      <c r="G2845" s="9">
        <v>2842.0</v>
      </c>
      <c r="H2845" s="10">
        <f t="shared" si="86"/>
        <v>0.005624365264640477</v>
      </c>
    </row>
    <row r="2846" spans="8:8">
      <c r="G2846" s="9">
        <v>2843.0</v>
      </c>
      <c r="H2846" s="10">
        <f t="shared" si="86"/>
        <v>-0.006125696732562111</v>
      </c>
    </row>
    <row r="2847" spans="8:8">
      <c r="G2847" s="9">
        <v>2844.0</v>
      </c>
      <c r="H2847" s="10">
        <f t="shared" si="86"/>
        <v>-0.013810221794874504</v>
      </c>
    </row>
    <row r="2848" spans="8:8">
      <c r="G2848" s="9">
        <v>2845.0</v>
      </c>
      <c r="H2848" s="10">
        <f t="shared" si="86"/>
        <v>0.011009849933385732</v>
      </c>
    </row>
    <row r="2849" spans="8:8">
      <c r="G2849" s="9">
        <v>2846.0</v>
      </c>
      <c r="H2849" s="10">
        <f t="shared" si="86"/>
        <v>0.016915602580062604</v>
      </c>
    </row>
    <row r="2850" spans="8:8">
      <c r="G2850" s="9">
        <v>2847.0</v>
      </c>
      <c r="H2850" s="10">
        <f t="shared" si="86"/>
        <v>0.007220810493386619</v>
      </c>
    </row>
    <row r="2851" spans="8:8">
      <c r="G2851" s="9">
        <v>2848.0</v>
      </c>
      <c r="H2851" s="10">
        <f t="shared" si="86"/>
        <v>0.007361711483922354</v>
      </c>
    </row>
    <row r="2852" spans="8:8">
      <c r="G2852" s="9">
        <v>2849.0</v>
      </c>
      <c r="H2852" s="10">
        <f t="shared" si="86"/>
        <v>0.008679907080919005</v>
      </c>
    </row>
    <row r="2853" spans="8:8">
      <c r="G2853" s="9">
        <v>2850.0</v>
      </c>
      <c r="H2853" s="10">
        <f t="shared" si="86"/>
        <v>-0.0041915092849412255</v>
      </c>
    </row>
    <row r="2854" spans="8:8">
      <c r="G2854" s="9">
        <v>2851.0</v>
      </c>
      <c r="H2854" s="10">
        <f t="shared" si="86"/>
        <v>0.03221312047517757</v>
      </c>
    </row>
    <row r="2855" spans="8:8">
      <c r="G2855" s="9">
        <v>2852.0</v>
      </c>
      <c r="H2855" s="10">
        <f t="shared" si="86"/>
        <v>0.007566710699990172</v>
      </c>
    </row>
    <row r="2856" spans="8:8">
      <c r="G2856" s="9">
        <v>2853.0</v>
      </c>
      <c r="H2856" s="10">
        <f t="shared" si="86"/>
        <v>0.02204102545650164</v>
      </c>
    </row>
    <row r="2857" spans="8:8">
      <c r="G2857" s="9">
        <v>2854.0</v>
      </c>
      <c r="H2857" s="10">
        <f t="shared" si="86"/>
        <v>-0.007826868321370143</v>
      </c>
    </row>
    <row r="2858" spans="8:8">
      <c r="G2858" s="9">
        <v>2855.0</v>
      </c>
      <c r="H2858" s="10">
        <f t="shared" si="86"/>
        <v>0.02637122612714723</v>
      </c>
    </row>
    <row r="2859" spans="8:8">
      <c r="G2859" s="9">
        <v>2856.0</v>
      </c>
      <c r="H2859" s="10">
        <f t="shared" si="86"/>
        <v>0.009682400389828736</v>
      </c>
    </row>
    <row r="2860" spans="8:8">
      <c r="G2860" s="9">
        <v>2857.0</v>
      </c>
      <c r="H2860" s="10">
        <f t="shared" si="86"/>
        <v>0.00299433406003244</v>
      </c>
    </row>
    <row r="2861" spans="8:8">
      <c r="G2861" s="9">
        <v>2858.0</v>
      </c>
      <c r="H2861" s="10">
        <f t="shared" si="86"/>
        <v>0.01113548343407521</v>
      </c>
    </row>
    <row r="2862" spans="8:8">
      <c r="G2862" s="9">
        <v>2859.0</v>
      </c>
      <c r="H2862" s="10">
        <f t="shared" si="86"/>
        <v>0.013012654625077225</v>
      </c>
    </row>
    <row r="2863" spans="8:8">
      <c r="G2863" s="9">
        <v>2860.0</v>
      </c>
      <c r="H2863" s="10">
        <f t="shared" si="86"/>
        <v>-0.0030502740619791826</v>
      </c>
    </row>
    <row r="2864" spans="8:8">
      <c r="G2864" s="9">
        <v>2861.0</v>
      </c>
      <c r="H2864" s="10">
        <f t="shared" si="86"/>
        <v>-0.0029145397685666286</v>
      </c>
    </row>
    <row r="2865" spans="8:8">
      <c r="G2865" s="9">
        <v>2862.0</v>
      </c>
      <c r="H2865" s="10">
        <f t="shared" si="86"/>
        <v>0.006994533359464584</v>
      </c>
    </row>
    <row r="2866" spans="8:8">
      <c r="G2866" s="9">
        <v>2863.0</v>
      </c>
      <c r="H2866" s="10">
        <f t="shared" si="86"/>
        <v>0.003360420105681439</v>
      </c>
    </row>
    <row r="2867" spans="8:8">
      <c r="G2867" s="9">
        <v>2864.0</v>
      </c>
      <c r="H2867" s="10">
        <f t="shared" si="86"/>
        <v>0.042159489060243596</v>
      </c>
    </row>
    <row r="2868" spans="8:8">
      <c r="G2868" s="9">
        <v>2865.0</v>
      </c>
      <c r="H2868" s="10">
        <f t="shared" si="86"/>
        <v>0.018297663826434094</v>
      </c>
    </row>
    <row r="2869" spans="8:8">
      <c r="G2869" s="9">
        <v>2866.0</v>
      </c>
      <c r="H2869" s="10">
        <f t="shared" si="86"/>
        <v>0.0033167197792844725</v>
      </c>
    </row>
    <row r="2870" spans="8:8">
      <c r="G2870" s="9">
        <v>2867.0</v>
      </c>
      <c r="H2870" s="10">
        <f t="shared" si="86"/>
        <v>-0.010468475565502781</v>
      </c>
    </row>
    <row r="2871" spans="8:8">
      <c r="G2871" s="9">
        <v>2868.0</v>
      </c>
      <c r="H2871" s="10">
        <f t="shared" si="86"/>
        <v>0.007564653643611567</v>
      </c>
    </row>
    <row r="2872" spans="8:8">
      <c r="G2872" s="9">
        <v>2869.0</v>
      </c>
      <c r="H2872" s="10">
        <f t="shared" si="86"/>
        <v>0.00366861650389802</v>
      </c>
    </row>
    <row r="2873" spans="8:8">
      <c r="G2873" s="9">
        <v>2870.0</v>
      </c>
      <c r="H2873" s="10">
        <f t="shared" si="86"/>
        <v>4.3969452882029357E-4</v>
      </c>
    </row>
    <row r="2874" spans="8:8">
      <c r="G2874" s="9">
        <v>2871.0</v>
      </c>
      <c r="H2874" s="10">
        <f t="shared" si="86"/>
        <v>0.019858198247091133</v>
      </c>
    </row>
    <row r="2875" spans="8:8">
      <c r="G2875" s="9">
        <v>2872.0</v>
      </c>
      <c r="H2875" s="10">
        <f t="shared" si="86"/>
        <v>-0.003817362168811565</v>
      </c>
    </row>
    <row r="2876" spans="8:8">
      <c r="G2876" s="9">
        <v>2873.0</v>
      </c>
      <c r="H2876" s="10">
        <f t="shared" si="86"/>
        <v>0.012303090688789733</v>
      </c>
    </row>
    <row r="2877" spans="8:8">
      <c r="G2877" s="9">
        <v>2874.0</v>
      </c>
      <c r="H2877" s="10">
        <f t="shared" si="86"/>
        <v>0.006287387351545289</v>
      </c>
    </row>
    <row r="2878" spans="8:8">
      <c r="G2878" s="9">
        <v>2875.0</v>
      </c>
      <c r="H2878" s="10">
        <f t="shared" si="86"/>
        <v>0.026658239711801313</v>
      </c>
    </row>
    <row r="2879" spans="8:8">
      <c r="G2879" s="9">
        <v>2876.0</v>
      </c>
      <c r="H2879" s="10">
        <f t="shared" si="86"/>
        <v>0.01828839049324447</v>
      </c>
    </row>
    <row r="2880" spans="8:8">
      <c r="G2880" s="9">
        <v>2877.0</v>
      </c>
      <c r="H2880" s="10">
        <f t="shared" si="86"/>
        <v>0.01836686277461695</v>
      </c>
    </row>
    <row r="2881" spans="8:8">
      <c r="G2881" s="9">
        <v>2878.0</v>
      </c>
      <c r="H2881" s="10">
        <f t="shared" si="86"/>
        <v>0.005311863880682376</v>
      </c>
    </row>
    <row r="2882" spans="8:8">
      <c r="G2882" s="9">
        <v>2879.0</v>
      </c>
      <c r="H2882" s="10">
        <f t="shared" si="86"/>
        <v>-3.4388895163140355E-4</v>
      </c>
    </row>
    <row r="2883" spans="8:8">
      <c r="G2883" s="9">
        <v>2880.0</v>
      </c>
      <c r="H2883" s="10">
        <f t="shared" si="86"/>
        <v>0.002434294640855153</v>
      </c>
    </row>
    <row r="2884" spans="8:8">
      <c r="G2884" s="9">
        <v>2881.0</v>
      </c>
      <c r="H2884" s="10">
        <f t="shared" si="86"/>
        <v>-0.0017065029738793187</v>
      </c>
    </row>
    <row r="2885" spans="8:8">
      <c r="G2885" s="9">
        <v>2882.0</v>
      </c>
      <c r="H2885" s="10">
        <f t="shared" si="87" ref="H2885:H2948">_xlfn.NORM.INV(RAND(),N$6,N$7)</f>
        <v>0.025349187721085263</v>
      </c>
    </row>
    <row r="2886" spans="8:8">
      <c r="G2886" s="9">
        <v>2883.0</v>
      </c>
      <c r="H2886" s="10">
        <f t="shared" si="87"/>
        <v>0.0024539362746189425</v>
      </c>
    </row>
    <row r="2887" spans="8:8">
      <c r="G2887" s="9">
        <v>2884.0</v>
      </c>
      <c r="H2887" s="10">
        <f t="shared" si="87"/>
        <v>-0.00428680794548237</v>
      </c>
    </row>
    <row r="2888" spans="8:8">
      <c r="G2888" s="9">
        <v>2885.0</v>
      </c>
      <c r="H2888" s="10">
        <f t="shared" si="87"/>
        <v>0.04160703357574862</v>
      </c>
    </row>
    <row r="2889" spans="8:8">
      <c r="G2889" s="9">
        <v>2886.0</v>
      </c>
      <c r="H2889" s="10">
        <f t="shared" si="87"/>
        <v>0.01576693989814155</v>
      </c>
    </row>
    <row r="2890" spans="8:8">
      <c r="G2890" s="9">
        <v>2887.0</v>
      </c>
      <c r="H2890" s="10">
        <f t="shared" si="87"/>
        <v>0.00556099316401556</v>
      </c>
    </row>
    <row r="2891" spans="8:8">
      <c r="G2891" s="9">
        <v>2888.0</v>
      </c>
      <c r="H2891" s="10">
        <f t="shared" si="87"/>
        <v>0.007584809462353724</v>
      </c>
    </row>
    <row r="2892" spans="8:8">
      <c r="G2892" s="9">
        <v>2889.0</v>
      </c>
      <c r="H2892" s="10">
        <f t="shared" si="87"/>
        <v>0.012396347328913752</v>
      </c>
    </row>
    <row r="2893" spans="8:8">
      <c r="G2893" s="9">
        <v>2890.0</v>
      </c>
      <c r="H2893" s="10">
        <f t="shared" si="87"/>
        <v>0.014942594413260426</v>
      </c>
    </row>
    <row r="2894" spans="8:8">
      <c r="G2894" s="9">
        <v>2891.0</v>
      </c>
      <c r="H2894" s="10">
        <f t="shared" si="87"/>
        <v>0.008230517185178733</v>
      </c>
    </row>
    <row r="2895" spans="8:8">
      <c r="G2895" s="9">
        <v>2892.0</v>
      </c>
      <c r="H2895" s="10">
        <f t="shared" si="87"/>
        <v>0.00915145946836461</v>
      </c>
    </row>
    <row r="2896" spans="8:8">
      <c r="G2896" s="9">
        <v>2893.0</v>
      </c>
      <c r="H2896" s="10">
        <f t="shared" si="87"/>
        <v>0.032945649838267525</v>
      </c>
    </row>
    <row r="2897" spans="8:8">
      <c r="G2897" s="9">
        <v>2894.0</v>
      </c>
      <c r="H2897" s="10">
        <f t="shared" si="87"/>
        <v>-0.0011049943114448358</v>
      </c>
    </row>
    <row r="2898" spans="8:8">
      <c r="G2898" s="9">
        <v>2895.0</v>
      </c>
      <c r="H2898" s="10">
        <f t="shared" si="87"/>
        <v>0.004226412785562565</v>
      </c>
    </row>
    <row r="2899" spans="8:8">
      <c r="G2899" s="9">
        <v>2896.0</v>
      </c>
      <c r="H2899" s="10">
        <f t="shared" si="87"/>
        <v>0.02006960214489239</v>
      </c>
    </row>
    <row r="2900" spans="8:8">
      <c r="G2900" s="9">
        <v>2897.0</v>
      </c>
      <c r="H2900" s="10">
        <f t="shared" si="87"/>
        <v>0.008244212255298054</v>
      </c>
    </row>
    <row r="2901" spans="8:8">
      <c r="G2901" s="9">
        <v>2898.0</v>
      </c>
      <c r="H2901" s="10">
        <f t="shared" si="87"/>
        <v>0.02587692089190412</v>
      </c>
    </row>
    <row r="2902" spans="8:8">
      <c r="G2902" s="9">
        <v>2899.0</v>
      </c>
      <c r="H2902" s="10">
        <f t="shared" si="87"/>
        <v>0.013531901314930685</v>
      </c>
    </row>
    <row r="2903" spans="8:8">
      <c r="G2903" s="9">
        <v>2900.0</v>
      </c>
      <c r="H2903" s="10">
        <f t="shared" si="87"/>
        <v>0.00922555579474409</v>
      </c>
    </row>
    <row r="2904" spans="8:8">
      <c r="G2904" s="9">
        <v>2901.0</v>
      </c>
      <c r="H2904" s="10">
        <f t="shared" si="87"/>
        <v>0.004901946619627126</v>
      </c>
    </row>
    <row r="2905" spans="8:8">
      <c r="G2905" s="9">
        <v>2902.0</v>
      </c>
      <c r="H2905" s="10">
        <f t="shared" si="87"/>
        <v>-0.0037095111816230313</v>
      </c>
    </row>
    <row r="2906" spans="8:8">
      <c r="G2906" s="9">
        <v>2903.0</v>
      </c>
      <c r="H2906" s="10">
        <f t="shared" si="87"/>
        <v>0.00803917989938043</v>
      </c>
    </row>
    <row r="2907" spans="8:8">
      <c r="G2907" s="9">
        <v>2904.0</v>
      </c>
      <c r="H2907" s="10">
        <f t="shared" si="87"/>
        <v>-0.01748897378690661</v>
      </c>
    </row>
    <row r="2908" spans="8:8">
      <c r="G2908" s="9">
        <v>2905.0</v>
      </c>
      <c r="H2908" s="10">
        <f t="shared" si="87"/>
        <v>0.016807306324124638</v>
      </c>
    </row>
    <row r="2909" spans="8:8">
      <c r="G2909" s="9">
        <v>2906.0</v>
      </c>
      <c r="H2909" s="10">
        <f t="shared" si="87"/>
        <v>0.029255765639188146</v>
      </c>
    </row>
    <row r="2910" spans="8:8">
      <c r="G2910" s="9">
        <v>2907.0</v>
      </c>
      <c r="H2910" s="10">
        <f t="shared" si="87"/>
        <v>0.001428135905785488</v>
      </c>
    </row>
    <row r="2911" spans="8:8">
      <c r="G2911" s="9">
        <v>2908.0</v>
      </c>
      <c r="H2911" s="10">
        <f t="shared" si="87"/>
        <v>-0.005508581289722301</v>
      </c>
    </row>
    <row r="2912" spans="8:8">
      <c r="G2912" s="9">
        <v>2909.0</v>
      </c>
      <c r="H2912" s="10">
        <f t="shared" si="87"/>
        <v>0.027996590564822416</v>
      </c>
    </row>
    <row r="2913" spans="8:8">
      <c r="G2913" s="9">
        <v>2910.0</v>
      </c>
      <c r="H2913" s="10">
        <f t="shared" si="87"/>
        <v>-0.012089370773785003</v>
      </c>
    </row>
    <row r="2914" spans="8:8">
      <c r="G2914" s="9">
        <v>2911.0</v>
      </c>
      <c r="H2914" s="10">
        <f t="shared" si="87"/>
        <v>-0.0018273426328803436</v>
      </c>
    </row>
    <row r="2915" spans="8:8">
      <c r="G2915" s="9">
        <v>2912.0</v>
      </c>
      <c r="H2915" s="10">
        <f t="shared" si="87"/>
        <v>0.0011682326464217251</v>
      </c>
    </row>
    <row r="2916" spans="8:8">
      <c r="G2916" s="9">
        <v>2913.0</v>
      </c>
      <c r="H2916" s="10">
        <f t="shared" si="87"/>
        <v>0.018890870753740355</v>
      </c>
    </row>
    <row r="2917" spans="8:8">
      <c r="G2917" s="9">
        <v>2914.0</v>
      </c>
      <c r="H2917" s="10">
        <f t="shared" si="87"/>
        <v>0.0027507910181803594</v>
      </c>
    </row>
    <row r="2918" spans="8:8">
      <c r="G2918" s="9">
        <v>2915.0</v>
      </c>
      <c r="H2918" s="10">
        <f t="shared" si="87"/>
        <v>0.014242979305195639</v>
      </c>
    </row>
    <row r="2919" spans="8:8">
      <c r="G2919" s="9">
        <v>2916.0</v>
      </c>
      <c r="H2919" s="10">
        <f t="shared" si="87"/>
        <v>-0.017263428908171945</v>
      </c>
    </row>
    <row r="2920" spans="8:8">
      <c r="G2920" s="9">
        <v>2917.0</v>
      </c>
      <c r="H2920" s="10">
        <f t="shared" si="87"/>
        <v>0.006690717824602994</v>
      </c>
    </row>
    <row r="2921" spans="8:8">
      <c r="G2921" s="9">
        <v>2918.0</v>
      </c>
      <c r="H2921" s="10">
        <f t="shared" si="87"/>
        <v>0.009930166921048453</v>
      </c>
    </row>
    <row r="2922" spans="8:8">
      <c r="G2922" s="9">
        <v>2919.0</v>
      </c>
      <c r="H2922" s="10">
        <f t="shared" si="87"/>
        <v>-0.0024111621451244</v>
      </c>
    </row>
    <row r="2923" spans="8:8">
      <c r="G2923" s="9">
        <v>2920.0</v>
      </c>
      <c r="H2923" s="10">
        <f t="shared" si="87"/>
        <v>-9.529627319403156E-4</v>
      </c>
    </row>
    <row r="2924" spans="8:8">
      <c r="G2924" s="9">
        <v>2921.0</v>
      </c>
      <c r="H2924" s="10">
        <f t="shared" si="87"/>
        <v>-0.0035488303595949244</v>
      </c>
    </row>
    <row r="2925" spans="8:8">
      <c r="G2925" s="9">
        <v>2922.0</v>
      </c>
      <c r="H2925" s="10">
        <f t="shared" si="87"/>
        <v>0.018982109530394288</v>
      </c>
    </row>
    <row r="2926" spans="8:8">
      <c r="G2926" s="9">
        <v>2923.0</v>
      </c>
      <c r="H2926" s="10">
        <f t="shared" si="87"/>
        <v>-0.01825648196346123</v>
      </c>
    </row>
    <row r="2927" spans="8:8">
      <c r="G2927" s="9">
        <v>2924.0</v>
      </c>
      <c r="H2927" s="10">
        <f t="shared" si="87"/>
        <v>0.004426920265056527</v>
      </c>
    </row>
    <row r="2928" spans="8:8">
      <c r="G2928" s="9">
        <v>2925.0</v>
      </c>
      <c r="H2928" s="10">
        <f t="shared" si="87"/>
        <v>-0.009010724153032522</v>
      </c>
    </row>
    <row r="2929" spans="8:8">
      <c r="G2929" s="9">
        <v>2926.0</v>
      </c>
      <c r="H2929" s="10">
        <f t="shared" si="87"/>
        <v>-0.012625861229519107</v>
      </c>
    </row>
    <row r="2930" spans="8:8">
      <c r="G2930" s="9">
        <v>2927.0</v>
      </c>
      <c r="H2930" s="10">
        <f t="shared" si="87"/>
        <v>0.023024171796446762</v>
      </c>
    </row>
    <row r="2931" spans="8:8">
      <c r="G2931" s="9">
        <v>2928.0</v>
      </c>
      <c r="H2931" s="10">
        <f t="shared" si="87"/>
        <v>0.0016667122982461043</v>
      </c>
    </row>
    <row r="2932" spans="8:8">
      <c r="G2932" s="9">
        <v>2929.0</v>
      </c>
      <c r="H2932" s="10">
        <f t="shared" si="87"/>
        <v>0.01765805315865959</v>
      </c>
    </row>
    <row r="2933" spans="8:8">
      <c r="G2933" s="9">
        <v>2930.0</v>
      </c>
      <c r="H2933" s="10">
        <f t="shared" si="87"/>
        <v>0.0061395138787693985</v>
      </c>
    </row>
    <row r="2934" spans="8:8">
      <c r="G2934" s="9">
        <v>2931.0</v>
      </c>
      <c r="H2934" s="10">
        <f t="shared" si="87"/>
        <v>-0.010099099799170473</v>
      </c>
    </row>
    <row r="2935" spans="8:8">
      <c r="G2935" s="9">
        <v>2932.0</v>
      </c>
      <c r="H2935" s="10">
        <f t="shared" si="87"/>
        <v>-9.386278569928535E-4</v>
      </c>
    </row>
    <row r="2936" spans="8:8">
      <c r="G2936" s="9">
        <v>2933.0</v>
      </c>
      <c r="H2936" s="10">
        <f t="shared" si="87"/>
        <v>-9.792992918068438E-4</v>
      </c>
    </row>
    <row r="2937" spans="8:8">
      <c r="G2937" s="9">
        <v>2934.0</v>
      </c>
      <c r="H2937" s="10">
        <f t="shared" si="87"/>
        <v>-0.003760023795732422</v>
      </c>
    </row>
    <row r="2938" spans="8:8">
      <c r="G2938" s="9">
        <v>2935.0</v>
      </c>
      <c r="H2938" s="10">
        <f t="shared" si="87"/>
        <v>0.02552281963427031</v>
      </c>
    </row>
    <row r="2939" spans="8:8">
      <c r="G2939" s="9">
        <v>2936.0</v>
      </c>
      <c r="H2939" s="10">
        <f t="shared" si="87"/>
        <v>-0.011941130943147023</v>
      </c>
    </row>
    <row r="2940" spans="8:8">
      <c r="G2940" s="9">
        <v>2937.0</v>
      </c>
      <c r="H2940" s="10">
        <f t="shared" si="87"/>
        <v>0.010725368316682426</v>
      </c>
    </row>
    <row r="2941" spans="8:8">
      <c r="G2941" s="9">
        <v>2938.0</v>
      </c>
      <c r="H2941" s="10">
        <f t="shared" si="87"/>
        <v>0.0019490251753251696</v>
      </c>
    </row>
    <row r="2942" spans="8:8">
      <c r="G2942" s="9">
        <v>2939.0</v>
      </c>
      <c r="H2942" s="10">
        <f t="shared" si="87"/>
        <v>0.01609548289475524</v>
      </c>
    </row>
    <row r="2943" spans="8:8">
      <c r="G2943" s="9">
        <v>2940.0</v>
      </c>
      <c r="H2943" s="10">
        <f t="shared" si="87"/>
        <v>0.0019379033718283604</v>
      </c>
    </row>
    <row r="2944" spans="8:8">
      <c r="G2944" s="9">
        <v>2941.0</v>
      </c>
      <c r="H2944" s="10">
        <f t="shared" si="87"/>
        <v>-0.017808820382196163</v>
      </c>
    </row>
    <row r="2945" spans="8:8">
      <c r="G2945" s="9">
        <v>2942.0</v>
      </c>
      <c r="H2945" s="10">
        <f t="shared" si="87"/>
        <v>-0.0030832836725654556</v>
      </c>
    </row>
    <row r="2946" spans="8:8">
      <c r="G2946" s="9">
        <v>2943.0</v>
      </c>
      <c r="H2946" s="10">
        <f t="shared" si="87"/>
        <v>7.781816598638946E-5</v>
      </c>
    </row>
    <row r="2947" spans="8:8">
      <c r="G2947" s="9">
        <v>2944.0</v>
      </c>
      <c r="H2947" s="10">
        <f t="shared" si="87"/>
        <v>0.03502800463863807</v>
      </c>
    </row>
    <row r="2948" spans="8:8">
      <c r="G2948" s="9">
        <v>2945.0</v>
      </c>
      <c r="H2948" s="10">
        <f t="shared" si="87"/>
        <v>0.0027965710449303575</v>
      </c>
    </row>
    <row r="2949" spans="8:8">
      <c r="G2949" s="9">
        <v>2946.0</v>
      </c>
      <c r="H2949" s="10">
        <f t="shared" si="88" ref="H2949:H3012">_xlfn.NORM.INV(RAND(),N$6,N$7)</f>
        <v>-0.0063088289291977915</v>
      </c>
    </row>
    <row r="2950" spans="8:8">
      <c r="G2950" s="9">
        <v>2947.0</v>
      </c>
      <c r="H2950" s="10">
        <f t="shared" si="88"/>
        <v>0.008992588175609575</v>
      </c>
    </row>
    <row r="2951" spans="8:8">
      <c r="G2951" s="9">
        <v>2948.0</v>
      </c>
      <c r="H2951" s="10">
        <f t="shared" si="88"/>
        <v>-0.009933944264731813</v>
      </c>
    </row>
    <row r="2952" spans="8:8">
      <c r="G2952" s="9">
        <v>2949.0</v>
      </c>
      <c r="H2952" s="10">
        <f t="shared" si="88"/>
        <v>0.018911220198460182</v>
      </c>
    </row>
    <row r="2953" spans="8:8">
      <c r="G2953" s="9">
        <v>2950.0</v>
      </c>
      <c r="H2953" s="10">
        <f t="shared" si="88"/>
        <v>0.011665910532659994</v>
      </c>
    </row>
    <row r="2954" spans="8:8">
      <c r="G2954" s="9">
        <v>2951.0</v>
      </c>
      <c r="H2954" s="10">
        <f t="shared" si="88"/>
        <v>-0.006883109534429836</v>
      </c>
    </row>
    <row r="2955" spans="8:8">
      <c r="G2955" s="9">
        <v>2952.0</v>
      </c>
      <c r="H2955" s="10">
        <f t="shared" si="88"/>
        <v>0.0073558109377297376</v>
      </c>
    </row>
    <row r="2956" spans="8:8">
      <c r="G2956" s="9">
        <v>2953.0</v>
      </c>
      <c r="H2956" s="10">
        <f t="shared" si="88"/>
        <v>-2.8091427761254553E-4</v>
      </c>
    </row>
    <row r="2957" spans="8:8">
      <c r="G2957" s="9">
        <v>2954.0</v>
      </c>
      <c r="H2957" s="10">
        <f t="shared" si="88"/>
        <v>0.014056588570916163</v>
      </c>
    </row>
    <row r="2958" spans="8:8">
      <c r="G2958" s="9">
        <v>2955.0</v>
      </c>
      <c r="H2958" s="10">
        <f t="shared" si="88"/>
        <v>0.015971571445638256</v>
      </c>
    </row>
    <row r="2959" spans="8:8">
      <c r="G2959" s="9">
        <v>2956.0</v>
      </c>
      <c r="H2959" s="10">
        <f t="shared" si="88"/>
        <v>-0.012573374563519858</v>
      </c>
    </row>
    <row r="2960" spans="8:8">
      <c r="G2960" s="9">
        <v>2957.0</v>
      </c>
      <c r="H2960" s="10">
        <f t="shared" si="88"/>
        <v>0.003361507561557993</v>
      </c>
    </row>
    <row r="2961" spans="8:8">
      <c r="G2961" s="9">
        <v>2958.0</v>
      </c>
      <c r="H2961" s="10">
        <f t="shared" si="88"/>
        <v>0.011524803852725734</v>
      </c>
    </row>
    <row r="2962" spans="8:8">
      <c r="G2962" s="9">
        <v>2959.0</v>
      </c>
      <c r="H2962" s="10">
        <f t="shared" si="88"/>
        <v>0.010030792670326586</v>
      </c>
    </row>
    <row r="2963" spans="8:8">
      <c r="G2963" s="9">
        <v>2960.0</v>
      </c>
      <c r="H2963" s="10">
        <f t="shared" si="88"/>
        <v>0.022200412319915087</v>
      </c>
    </row>
    <row r="2964" spans="8:8">
      <c r="G2964" s="9">
        <v>2961.0</v>
      </c>
      <c r="H2964" s="10">
        <f t="shared" si="88"/>
        <v>0.024256197968285084</v>
      </c>
    </row>
    <row r="2965" spans="8:8">
      <c r="G2965" s="9">
        <v>2962.0</v>
      </c>
      <c r="H2965" s="10">
        <f t="shared" si="88"/>
        <v>0.0024886444531964005</v>
      </c>
    </row>
    <row r="2966" spans="8:8">
      <c r="G2966" s="9">
        <v>2963.0</v>
      </c>
      <c r="H2966" s="10">
        <f t="shared" si="88"/>
        <v>0.0036950142963579633</v>
      </c>
    </row>
    <row r="2967" spans="8:8">
      <c r="G2967" s="9">
        <v>2964.0</v>
      </c>
      <c r="H2967" s="10">
        <f t="shared" si="88"/>
        <v>0.009930696275659553</v>
      </c>
    </row>
    <row r="2968" spans="8:8">
      <c r="G2968" s="9">
        <v>2965.0</v>
      </c>
      <c r="H2968" s="10">
        <f t="shared" si="88"/>
        <v>-0.006669187254991043</v>
      </c>
    </row>
    <row r="2969" spans="8:8">
      <c r="G2969" s="9">
        <v>2966.0</v>
      </c>
      <c r="H2969" s="10">
        <f t="shared" si="88"/>
        <v>-0.0013088154927915832</v>
      </c>
    </row>
    <row r="2970" spans="8:8">
      <c r="G2970" s="9">
        <v>2967.0</v>
      </c>
      <c r="H2970" s="10">
        <f t="shared" si="88"/>
        <v>0.02002249645155055</v>
      </c>
    </row>
    <row r="2971" spans="8:8">
      <c r="G2971" s="9">
        <v>2968.0</v>
      </c>
      <c r="H2971" s="10">
        <f t="shared" si="88"/>
        <v>-0.010830165813059248</v>
      </c>
    </row>
    <row r="2972" spans="8:8">
      <c r="G2972" s="9">
        <v>2969.0</v>
      </c>
      <c r="H2972" s="10">
        <f t="shared" si="88"/>
        <v>0.0032502538047549023</v>
      </c>
    </row>
    <row r="2973" spans="8:8">
      <c r="G2973" s="9">
        <v>2970.0</v>
      </c>
      <c r="H2973" s="10">
        <f t="shared" si="88"/>
        <v>0.035575625975756885</v>
      </c>
    </row>
    <row r="2974" spans="8:8">
      <c r="G2974" s="9">
        <v>2971.0</v>
      </c>
      <c r="H2974" s="10">
        <f t="shared" si="88"/>
        <v>0.007345739088926427</v>
      </c>
    </row>
    <row r="2975" spans="8:8">
      <c r="G2975" s="9">
        <v>2972.0</v>
      </c>
      <c r="H2975" s="10">
        <f t="shared" si="88"/>
        <v>0.003891102251021353</v>
      </c>
    </row>
    <row r="2976" spans="8:8">
      <c r="G2976" s="9">
        <v>2973.0</v>
      </c>
      <c r="H2976" s="10">
        <f t="shared" si="88"/>
        <v>0.015134711633477134</v>
      </c>
    </row>
    <row r="2977" spans="8:8">
      <c r="G2977" s="9">
        <v>2974.0</v>
      </c>
      <c r="H2977" s="10">
        <f t="shared" si="88"/>
        <v>0.0051570300231070735</v>
      </c>
    </row>
    <row r="2978" spans="8:8">
      <c r="G2978" s="9">
        <v>2975.0</v>
      </c>
      <c r="H2978" s="10">
        <f t="shared" si="88"/>
        <v>0.0022886258388862377</v>
      </c>
    </row>
    <row r="2979" spans="8:8">
      <c r="G2979" s="9">
        <v>2976.0</v>
      </c>
      <c r="H2979" s="10">
        <f t="shared" si="88"/>
        <v>0.0035973747253131017</v>
      </c>
    </row>
    <row r="2980" spans="8:8">
      <c r="G2980" s="9">
        <v>2977.0</v>
      </c>
      <c r="H2980" s="10">
        <f t="shared" si="88"/>
        <v>9.224536263775524E-5</v>
      </c>
    </row>
    <row r="2981" spans="8:8">
      <c r="G2981" s="9">
        <v>2978.0</v>
      </c>
      <c r="H2981" s="10">
        <f t="shared" si="88"/>
        <v>-0.0015989268939670008</v>
      </c>
    </row>
    <row r="2982" spans="8:8">
      <c r="G2982" s="9">
        <v>2979.0</v>
      </c>
      <c r="H2982" s="10">
        <f t="shared" si="88"/>
        <v>0.018632590943474348</v>
      </c>
    </row>
    <row r="2983" spans="8:8">
      <c r="G2983" s="9">
        <v>2980.0</v>
      </c>
      <c r="H2983" s="10">
        <f t="shared" si="88"/>
        <v>0.015269588392992445</v>
      </c>
    </row>
    <row r="2984" spans="8:8">
      <c r="G2984" s="9">
        <v>2981.0</v>
      </c>
      <c r="H2984" s="10">
        <f t="shared" si="88"/>
        <v>-0.005339187315707527</v>
      </c>
    </row>
    <row r="2985" spans="8:8">
      <c r="G2985" s="9">
        <v>2982.0</v>
      </c>
      <c r="H2985" s="10">
        <f t="shared" si="88"/>
        <v>0.0064570203027995345</v>
      </c>
    </row>
    <row r="2986" spans="8:8">
      <c r="G2986" s="9">
        <v>2983.0</v>
      </c>
      <c r="H2986" s="10">
        <f t="shared" si="88"/>
        <v>-0.009298530227094225</v>
      </c>
    </row>
    <row r="2987" spans="8:8">
      <c r="G2987" s="9">
        <v>2984.0</v>
      </c>
      <c r="H2987" s="10">
        <f t="shared" si="88"/>
        <v>0.011897476013012463</v>
      </c>
    </row>
    <row r="2988" spans="8:8">
      <c r="G2988" s="9">
        <v>2985.0</v>
      </c>
      <c r="H2988" s="10">
        <f t="shared" si="88"/>
        <v>0.010662059485934218</v>
      </c>
    </row>
    <row r="2989" spans="8:8">
      <c r="G2989" s="9">
        <v>2986.0</v>
      </c>
      <c r="H2989" s="10">
        <f t="shared" si="88"/>
        <v>0.011689647588031066</v>
      </c>
    </row>
    <row r="2990" spans="8:8">
      <c r="G2990" s="9">
        <v>2987.0</v>
      </c>
      <c r="H2990" s="10">
        <f t="shared" si="88"/>
        <v>7.962764537340055E-4</v>
      </c>
    </row>
    <row r="2991" spans="8:8">
      <c r="G2991" s="9">
        <v>2988.0</v>
      </c>
      <c r="H2991" s="10">
        <f t="shared" si="88"/>
        <v>-0.011376726328937294</v>
      </c>
    </row>
    <row r="2992" spans="8:8">
      <c r="G2992" s="9">
        <v>2989.0</v>
      </c>
      <c r="H2992" s="10">
        <f t="shared" si="88"/>
        <v>-0.0018289927664782036</v>
      </c>
    </row>
    <row r="2993" spans="8:8">
      <c r="G2993" s="9">
        <v>2990.0</v>
      </c>
      <c r="H2993" s="10">
        <f t="shared" si="88"/>
        <v>-0.007766900990996057</v>
      </c>
    </row>
    <row r="2994" spans="8:8">
      <c r="G2994" s="9">
        <v>2991.0</v>
      </c>
      <c r="H2994" s="10">
        <f t="shared" si="88"/>
        <v>-5.5724610460539375E-5</v>
      </c>
    </row>
    <row r="2995" spans="8:8">
      <c r="G2995" s="9">
        <v>2992.0</v>
      </c>
      <c r="H2995" s="10">
        <f t="shared" si="88"/>
        <v>0.021742281992905874</v>
      </c>
    </row>
    <row r="2996" spans="8:8">
      <c r="G2996" s="9">
        <v>2993.0</v>
      </c>
      <c r="H2996" s="10">
        <f t="shared" si="88"/>
        <v>0.009146045366589356</v>
      </c>
    </row>
    <row r="2997" spans="8:8">
      <c r="G2997" s="9">
        <v>2994.0</v>
      </c>
      <c r="H2997" s="10">
        <f t="shared" si="88"/>
        <v>0.005765366645954279</v>
      </c>
    </row>
    <row r="2998" spans="8:8">
      <c r="G2998" s="9">
        <v>2995.0</v>
      </c>
      <c r="H2998" s="10">
        <f t="shared" si="88"/>
        <v>0.01183835126987096</v>
      </c>
    </row>
    <row r="2999" spans="8:8">
      <c r="G2999" s="9">
        <v>2996.0</v>
      </c>
      <c r="H2999" s="10">
        <f t="shared" si="88"/>
        <v>0.0027235484209628133</v>
      </c>
    </row>
    <row r="3000" spans="8:8">
      <c r="G3000" s="9">
        <v>2997.0</v>
      </c>
      <c r="H3000" s="10">
        <f t="shared" si="88"/>
        <v>0.009748563993074787</v>
      </c>
    </row>
    <row r="3001" spans="8:8">
      <c r="G3001" s="9">
        <v>2998.0</v>
      </c>
      <c r="H3001" s="10">
        <f t="shared" si="88"/>
        <v>-0.0026320668665736633</v>
      </c>
    </row>
    <row r="3002" spans="8:8">
      <c r="G3002" s="9">
        <v>2999.0</v>
      </c>
      <c r="H3002" s="10">
        <f t="shared" si="88"/>
        <v>0.01756000394496187</v>
      </c>
    </row>
    <row r="3003" spans="8:8">
      <c r="G3003" s="9">
        <v>3000.0</v>
      </c>
      <c r="H3003" s="10">
        <f t="shared" si="88"/>
        <v>0.001909373671820572</v>
      </c>
    </row>
    <row r="3004" spans="8:8">
      <c r="G3004" s="9">
        <v>3001.0</v>
      </c>
      <c r="H3004" s="10">
        <f t="shared" si="88"/>
        <v>-0.005722859802446803</v>
      </c>
    </row>
    <row r="3005" spans="8:8">
      <c r="G3005" s="9">
        <v>3002.0</v>
      </c>
      <c r="H3005" s="10">
        <f t="shared" si="88"/>
        <v>0.002339113278479231</v>
      </c>
    </row>
    <row r="3006" spans="8:8">
      <c r="G3006" s="9">
        <v>3003.0</v>
      </c>
      <c r="H3006" s="10">
        <f t="shared" si="88"/>
        <v>-0.013491692846343866</v>
      </c>
    </row>
    <row r="3007" spans="8:8">
      <c r="G3007" s="9">
        <v>3004.0</v>
      </c>
      <c r="H3007" s="10">
        <f t="shared" si="88"/>
        <v>-0.0026774843375407054</v>
      </c>
    </row>
    <row r="3008" spans="8:8">
      <c r="G3008" s="9">
        <v>3005.0</v>
      </c>
      <c r="H3008" s="10">
        <f t="shared" si="88"/>
        <v>-0.0016400180890723485</v>
      </c>
    </row>
    <row r="3009" spans="8:8">
      <c r="G3009" s="9">
        <v>3006.0</v>
      </c>
      <c r="H3009" s="10">
        <f t="shared" si="88"/>
        <v>-0.010541564652286471</v>
      </c>
    </row>
    <row r="3010" spans="8:8">
      <c r="G3010" s="9">
        <v>3007.0</v>
      </c>
      <c r="H3010" s="10">
        <f t="shared" si="88"/>
        <v>-0.013040800240813683</v>
      </c>
    </row>
    <row r="3011" spans="8:8">
      <c r="G3011" s="9">
        <v>3008.0</v>
      </c>
      <c r="H3011" s="10">
        <f t="shared" si="88"/>
        <v>6.112574483537673E-4</v>
      </c>
    </row>
    <row r="3012" spans="8:8">
      <c r="G3012" s="9">
        <v>3009.0</v>
      </c>
      <c r="H3012" s="10">
        <f t="shared" si="88"/>
        <v>-0.017458091805458768</v>
      </c>
    </row>
    <row r="3013" spans="8:8">
      <c r="G3013" s="9">
        <v>3010.0</v>
      </c>
      <c r="H3013" s="10">
        <f t="shared" si="89" ref="H3013:H3076">_xlfn.NORM.INV(RAND(),N$6,N$7)</f>
        <v>-0.00566217135316109</v>
      </c>
    </row>
    <row r="3014" spans="8:8">
      <c r="G3014" s="9">
        <v>3011.0</v>
      </c>
      <c r="H3014" s="10">
        <f t="shared" si="89"/>
        <v>-0.015301914814146587</v>
      </c>
    </row>
    <row r="3015" spans="8:8">
      <c r="G3015" s="9">
        <v>3012.0</v>
      </c>
      <c r="H3015" s="10">
        <f t="shared" si="89"/>
        <v>0.00932814337635286</v>
      </c>
    </row>
    <row r="3016" spans="8:8">
      <c r="G3016" s="9">
        <v>3013.0</v>
      </c>
      <c r="H3016" s="10">
        <f t="shared" si="89"/>
        <v>0.017763377533140782</v>
      </c>
    </row>
    <row r="3017" spans="8:8">
      <c r="G3017" s="9">
        <v>3014.0</v>
      </c>
      <c r="H3017" s="10">
        <f t="shared" si="89"/>
        <v>0.003671322477378234</v>
      </c>
    </row>
    <row r="3018" spans="8:8">
      <c r="G3018" s="9">
        <v>3015.0</v>
      </c>
      <c r="H3018" s="10">
        <f t="shared" si="89"/>
        <v>0.010177223945804736</v>
      </c>
    </row>
    <row r="3019" spans="8:8">
      <c r="G3019" s="9">
        <v>3016.0</v>
      </c>
      <c r="H3019" s="10">
        <f t="shared" si="89"/>
        <v>-0.012407051337839335</v>
      </c>
    </row>
    <row r="3020" spans="8:8">
      <c r="G3020" s="9">
        <v>3017.0</v>
      </c>
      <c r="H3020" s="10">
        <f t="shared" si="89"/>
        <v>0.005820713325292631</v>
      </c>
    </row>
    <row r="3021" spans="8:8">
      <c r="G3021" s="9">
        <v>3018.0</v>
      </c>
      <c r="H3021" s="10">
        <f t="shared" si="89"/>
        <v>0.010956004364401077</v>
      </c>
    </row>
    <row r="3022" spans="8:8">
      <c r="G3022" s="9">
        <v>3019.0</v>
      </c>
      <c r="H3022" s="10">
        <f t="shared" si="89"/>
        <v>0.011269288752928357</v>
      </c>
    </row>
    <row r="3023" spans="8:8">
      <c r="G3023" s="9">
        <v>3020.0</v>
      </c>
      <c r="H3023" s="10">
        <f t="shared" si="89"/>
        <v>-0.011438719148011058</v>
      </c>
    </row>
    <row r="3024" spans="8:8">
      <c r="G3024" s="9">
        <v>3021.0</v>
      </c>
      <c r="H3024" s="10">
        <f t="shared" si="89"/>
        <v>0.007771772970246011</v>
      </c>
    </row>
    <row r="3025" spans="8:8">
      <c r="G3025" s="9">
        <v>3022.0</v>
      </c>
      <c r="H3025" s="10">
        <f t="shared" si="89"/>
        <v>0.010809527555057031</v>
      </c>
    </row>
    <row r="3026" spans="8:8">
      <c r="G3026" s="9">
        <v>3023.0</v>
      </c>
      <c r="H3026" s="10">
        <f t="shared" si="89"/>
        <v>0.003646557422724822</v>
      </c>
    </row>
    <row r="3027" spans="8:8">
      <c r="G3027" s="9">
        <v>3024.0</v>
      </c>
      <c r="H3027" s="10">
        <f t="shared" si="89"/>
        <v>-0.003228099579459272</v>
      </c>
    </row>
    <row r="3028" spans="8:8">
      <c r="G3028" s="9">
        <v>3025.0</v>
      </c>
      <c r="H3028" s="10">
        <f t="shared" si="89"/>
        <v>0.008444550913736748</v>
      </c>
    </row>
    <row r="3029" spans="8:8">
      <c r="G3029" s="9">
        <v>3026.0</v>
      </c>
      <c r="H3029" s="10">
        <f t="shared" si="89"/>
        <v>-4.6539818560820383E-4</v>
      </c>
    </row>
    <row r="3030" spans="8:8">
      <c r="G3030" s="9">
        <v>3027.0</v>
      </c>
      <c r="H3030" s="10">
        <f t="shared" si="89"/>
        <v>-0.012885569015941484</v>
      </c>
    </row>
    <row r="3031" spans="8:8">
      <c r="G3031" s="9">
        <v>3028.0</v>
      </c>
      <c r="H3031" s="10">
        <f t="shared" si="89"/>
        <v>0.012396615411350499</v>
      </c>
    </row>
    <row r="3032" spans="8:8">
      <c r="G3032" s="9">
        <v>3029.0</v>
      </c>
      <c r="H3032" s="10">
        <f t="shared" si="89"/>
        <v>0.016591241827286114</v>
      </c>
    </row>
    <row r="3033" spans="8:8">
      <c r="G3033" s="9">
        <v>3030.0</v>
      </c>
      <c r="H3033" s="10">
        <f t="shared" si="89"/>
        <v>0.003029972895065174</v>
      </c>
    </row>
    <row r="3034" spans="8:8">
      <c r="G3034" s="9">
        <v>3031.0</v>
      </c>
      <c r="H3034" s="10">
        <f t="shared" si="89"/>
        <v>-0.004220957282045912</v>
      </c>
    </row>
    <row r="3035" spans="8:8">
      <c r="G3035" s="9">
        <v>3032.0</v>
      </c>
      <c r="H3035" s="10">
        <f t="shared" si="89"/>
        <v>0.007534637418806099</v>
      </c>
    </row>
    <row r="3036" spans="8:8">
      <c r="G3036" s="9">
        <v>3033.0</v>
      </c>
      <c r="H3036" s="10">
        <f t="shared" si="89"/>
        <v>-0.0015124495606351589</v>
      </c>
    </row>
    <row r="3037" spans="8:8">
      <c r="G3037" s="9">
        <v>3034.0</v>
      </c>
      <c r="H3037" s="10">
        <f t="shared" si="89"/>
        <v>-0.004765504196897437</v>
      </c>
    </row>
    <row r="3038" spans="8:8">
      <c r="G3038" s="9">
        <v>3035.0</v>
      </c>
      <c r="H3038" s="10">
        <f t="shared" si="89"/>
        <v>0.0012580212604233316</v>
      </c>
    </row>
    <row r="3039" spans="8:8">
      <c r="G3039" s="9">
        <v>3036.0</v>
      </c>
      <c r="H3039" s="10">
        <f t="shared" si="89"/>
        <v>0.009680160117018144</v>
      </c>
    </row>
    <row r="3040" spans="8:8">
      <c r="G3040" s="9">
        <v>3037.0</v>
      </c>
      <c r="H3040" s="10">
        <f t="shared" si="89"/>
        <v>0.0047629992154291844</v>
      </c>
    </row>
    <row r="3041" spans="8:8">
      <c r="G3041" s="9">
        <v>3038.0</v>
      </c>
      <c r="H3041" s="10">
        <f t="shared" si="89"/>
        <v>0.007604897913534043</v>
      </c>
    </row>
    <row r="3042" spans="8:8">
      <c r="G3042" s="9">
        <v>3039.0</v>
      </c>
      <c r="H3042" s="10">
        <f t="shared" si="89"/>
        <v>0.018662605107692326</v>
      </c>
    </row>
    <row r="3043" spans="8:8">
      <c r="G3043" s="9">
        <v>3040.0</v>
      </c>
      <c r="H3043" s="10">
        <f t="shared" si="89"/>
        <v>0.009342953526351228</v>
      </c>
    </row>
    <row r="3044" spans="8:8">
      <c r="G3044" s="9">
        <v>3041.0</v>
      </c>
      <c r="H3044" s="10">
        <f t="shared" si="89"/>
        <v>-0.0211688802741416</v>
      </c>
    </row>
    <row r="3045" spans="8:8">
      <c r="G3045" s="9">
        <v>3042.0</v>
      </c>
      <c r="H3045" s="10">
        <f t="shared" si="89"/>
        <v>0.0058331149133906204</v>
      </c>
    </row>
    <row r="3046" spans="8:8">
      <c r="G3046" s="9">
        <v>3043.0</v>
      </c>
      <c r="H3046" s="10">
        <f t="shared" si="89"/>
        <v>0.0015664765695848804</v>
      </c>
    </row>
    <row r="3047" spans="8:8">
      <c r="G3047" s="9">
        <v>3044.0</v>
      </c>
      <c r="H3047" s="10">
        <f t="shared" si="89"/>
        <v>-0.004475440571202883</v>
      </c>
    </row>
    <row r="3048" spans="8:8">
      <c r="G3048" s="9">
        <v>3045.0</v>
      </c>
      <c r="H3048" s="10">
        <f t="shared" si="89"/>
        <v>-0.004361637952365158</v>
      </c>
    </row>
    <row r="3049" spans="8:8">
      <c r="G3049" s="9">
        <v>3046.0</v>
      </c>
      <c r="H3049" s="10">
        <f t="shared" si="89"/>
        <v>-0.001066391946673446</v>
      </c>
    </row>
    <row r="3050" spans="8:8">
      <c r="G3050" s="9">
        <v>3047.0</v>
      </c>
      <c r="H3050" s="10">
        <f t="shared" si="89"/>
        <v>0.00808430675592413</v>
      </c>
    </row>
    <row r="3051" spans="8:8">
      <c r="G3051" s="9">
        <v>3048.0</v>
      </c>
      <c r="H3051" s="10">
        <f t="shared" si="89"/>
        <v>0.01281686927925102</v>
      </c>
    </row>
    <row r="3052" spans="8:8">
      <c r="G3052" s="9">
        <v>3049.0</v>
      </c>
      <c r="H3052" s="10">
        <f t="shared" si="89"/>
        <v>0.026623208352960875</v>
      </c>
    </row>
    <row r="3053" spans="8:8">
      <c r="G3053" s="9">
        <v>3050.0</v>
      </c>
      <c r="H3053" s="10">
        <f t="shared" si="89"/>
        <v>0.003160654560690754</v>
      </c>
    </row>
    <row r="3054" spans="8:8">
      <c r="G3054" s="9">
        <v>3051.0</v>
      </c>
      <c r="H3054" s="10">
        <f t="shared" si="89"/>
        <v>0.024949890416307467</v>
      </c>
    </row>
    <row r="3055" spans="8:8">
      <c r="G3055" s="9">
        <v>3052.0</v>
      </c>
      <c r="H3055" s="10">
        <f t="shared" si="89"/>
        <v>0.008393934467431755</v>
      </c>
    </row>
    <row r="3056" spans="8:8">
      <c r="G3056" s="9">
        <v>3053.0</v>
      </c>
      <c r="H3056" s="10">
        <f t="shared" si="89"/>
        <v>0.017987876699755673</v>
      </c>
    </row>
    <row r="3057" spans="8:8">
      <c r="G3057" s="9">
        <v>3054.0</v>
      </c>
      <c r="H3057" s="10">
        <f t="shared" si="89"/>
        <v>-0.010514869815454533</v>
      </c>
    </row>
    <row r="3058" spans="8:8">
      <c r="G3058" s="9">
        <v>3055.0</v>
      </c>
      <c r="H3058" s="10">
        <f t="shared" si="89"/>
        <v>0.01544967291522267</v>
      </c>
    </row>
    <row r="3059" spans="8:8">
      <c r="G3059" s="9">
        <v>3056.0</v>
      </c>
      <c r="H3059" s="10">
        <f t="shared" si="89"/>
        <v>0.008689538044113595</v>
      </c>
    </row>
    <row r="3060" spans="8:8">
      <c r="G3060" s="9">
        <v>3057.0</v>
      </c>
      <c r="H3060" s="10">
        <f t="shared" si="89"/>
        <v>-6.381862194358009E-4</v>
      </c>
    </row>
    <row r="3061" spans="8:8">
      <c r="G3061" s="9">
        <v>3058.0</v>
      </c>
      <c r="H3061" s="10">
        <f t="shared" si="89"/>
        <v>0.0011870138609897316</v>
      </c>
    </row>
    <row r="3062" spans="8:8">
      <c r="G3062" s="9">
        <v>3059.0</v>
      </c>
      <c r="H3062" s="10">
        <f t="shared" si="89"/>
        <v>0.011776466389677297</v>
      </c>
    </row>
    <row r="3063" spans="8:8">
      <c r="G3063" s="9">
        <v>3060.0</v>
      </c>
      <c r="H3063" s="10">
        <f t="shared" si="89"/>
        <v>0.0013798865352947537</v>
      </c>
    </row>
    <row r="3064" spans="8:8">
      <c r="G3064" s="9">
        <v>3061.0</v>
      </c>
      <c r="H3064" s="10">
        <f t="shared" si="89"/>
        <v>0.005486728622388062</v>
      </c>
    </row>
    <row r="3065" spans="8:8">
      <c r="G3065" s="9">
        <v>3062.0</v>
      </c>
      <c r="H3065" s="10">
        <f t="shared" si="89"/>
        <v>0.00332880760099179</v>
      </c>
    </row>
    <row r="3066" spans="8:8">
      <c r="G3066" s="9">
        <v>3063.0</v>
      </c>
      <c r="H3066" s="10">
        <f t="shared" si="89"/>
        <v>0.021772105246290474</v>
      </c>
    </row>
    <row r="3067" spans="8:8">
      <c r="G3067" s="9">
        <v>3064.0</v>
      </c>
      <c r="H3067" s="10">
        <f t="shared" si="89"/>
        <v>-0.022942222576970654</v>
      </c>
    </row>
    <row r="3068" spans="8:8">
      <c r="G3068" s="9">
        <v>3065.0</v>
      </c>
      <c r="H3068" s="10">
        <f t="shared" si="89"/>
        <v>0.016345140217043943</v>
      </c>
    </row>
    <row r="3069" spans="8:8">
      <c r="G3069" s="9">
        <v>3066.0</v>
      </c>
      <c r="H3069" s="10">
        <f t="shared" si="89"/>
        <v>-0.012560540244477177</v>
      </c>
    </row>
    <row r="3070" spans="8:8">
      <c r="G3070" s="9">
        <v>3067.0</v>
      </c>
      <c r="H3070" s="10">
        <f t="shared" si="89"/>
        <v>0.011566963546049545</v>
      </c>
    </row>
    <row r="3071" spans="8:8">
      <c r="G3071" s="9">
        <v>3068.0</v>
      </c>
      <c r="H3071" s="10">
        <f t="shared" si="89"/>
        <v>0.002378576288037011</v>
      </c>
    </row>
    <row r="3072" spans="8:8">
      <c r="G3072" s="9">
        <v>3069.0</v>
      </c>
      <c r="H3072" s="10">
        <f t="shared" si="89"/>
        <v>0.04304507316786693</v>
      </c>
    </row>
    <row r="3073" spans="8:8">
      <c r="G3073" s="9">
        <v>3070.0</v>
      </c>
      <c r="H3073" s="10">
        <f t="shared" si="89"/>
        <v>-0.00654198941403152</v>
      </c>
    </row>
    <row r="3074" spans="8:8">
      <c r="G3074" s="9">
        <v>3071.0</v>
      </c>
      <c r="H3074" s="10">
        <f t="shared" si="89"/>
        <v>0.0277213202383848</v>
      </c>
    </row>
    <row r="3075" spans="8:8">
      <c r="G3075" s="9">
        <v>3072.0</v>
      </c>
      <c r="H3075" s="10">
        <f t="shared" si="89"/>
        <v>0.012284890673170436</v>
      </c>
    </row>
    <row r="3076" spans="8:8">
      <c r="G3076" s="9">
        <v>3073.0</v>
      </c>
      <c r="H3076" s="10">
        <f t="shared" si="89"/>
        <v>-0.0021651766850118125</v>
      </c>
    </row>
    <row r="3077" spans="8:8">
      <c r="G3077" s="9">
        <v>3074.0</v>
      </c>
      <c r="H3077" s="10">
        <f t="shared" si="90" ref="H3077:H3140">_xlfn.NORM.INV(RAND(),N$6,N$7)</f>
        <v>0.010757359264234165</v>
      </c>
    </row>
    <row r="3078" spans="8:8">
      <c r="G3078" s="9">
        <v>3075.0</v>
      </c>
      <c r="H3078" s="10">
        <f t="shared" si="90"/>
        <v>0.011657494070469187</v>
      </c>
    </row>
    <row r="3079" spans="8:8">
      <c r="G3079" s="9">
        <v>3076.0</v>
      </c>
      <c r="H3079" s="10">
        <f t="shared" si="90"/>
        <v>0.0016846838590528401</v>
      </c>
    </row>
    <row r="3080" spans="8:8">
      <c r="G3080" s="9">
        <v>3077.0</v>
      </c>
      <c r="H3080" s="10">
        <f t="shared" si="90"/>
        <v>-0.011429077835392955</v>
      </c>
    </row>
    <row r="3081" spans="8:8">
      <c r="G3081" s="9">
        <v>3078.0</v>
      </c>
      <c r="H3081" s="10">
        <f t="shared" si="90"/>
        <v>0.011544596068251149</v>
      </c>
    </row>
    <row r="3082" spans="8:8">
      <c r="G3082" s="9">
        <v>3079.0</v>
      </c>
      <c r="H3082" s="10">
        <f t="shared" si="90"/>
        <v>0.007549532202609693</v>
      </c>
    </row>
    <row r="3083" spans="8:8">
      <c r="G3083" s="9">
        <v>3080.0</v>
      </c>
      <c r="H3083" s="10">
        <f t="shared" si="90"/>
        <v>-0.008799802751514839</v>
      </c>
    </row>
    <row r="3084" spans="8:8">
      <c r="G3084" s="9">
        <v>3081.0</v>
      </c>
      <c r="H3084" s="10">
        <f t="shared" si="90"/>
        <v>0.006353791078133313</v>
      </c>
    </row>
    <row r="3085" spans="8:8">
      <c r="G3085" s="9">
        <v>3082.0</v>
      </c>
      <c r="H3085" s="10">
        <f t="shared" si="90"/>
        <v>0.005129901956317497</v>
      </c>
    </row>
    <row r="3086" spans="8:8">
      <c r="G3086" s="9">
        <v>3083.0</v>
      </c>
      <c r="H3086" s="10">
        <f t="shared" si="90"/>
        <v>0.021774617446720528</v>
      </c>
    </row>
    <row r="3087" spans="8:8">
      <c r="G3087" s="9">
        <v>3084.0</v>
      </c>
      <c r="H3087" s="10">
        <f t="shared" si="90"/>
        <v>0.018982602910591628</v>
      </c>
    </row>
    <row r="3088" spans="8:8">
      <c r="G3088" s="9">
        <v>3085.0</v>
      </c>
      <c r="H3088" s="10">
        <f t="shared" si="90"/>
        <v>0.010975030367414323</v>
      </c>
    </row>
    <row r="3089" spans="8:8">
      <c r="G3089" s="9">
        <v>3086.0</v>
      </c>
      <c r="H3089" s="10">
        <f t="shared" si="90"/>
        <v>0.007609885989679396</v>
      </c>
    </row>
    <row r="3090" spans="8:8">
      <c r="G3090" s="9">
        <v>3087.0</v>
      </c>
      <c r="H3090" s="10">
        <f t="shared" si="90"/>
        <v>-0.022014740009144194</v>
      </c>
    </row>
    <row r="3091" spans="8:8">
      <c r="G3091" s="9">
        <v>3088.0</v>
      </c>
      <c r="H3091" s="10">
        <f t="shared" si="90"/>
        <v>-0.005394728615200721</v>
      </c>
    </row>
    <row r="3092" spans="8:8">
      <c r="G3092" s="9">
        <v>3089.0</v>
      </c>
      <c r="H3092" s="10">
        <f t="shared" si="90"/>
        <v>0.015308114444979315</v>
      </c>
    </row>
    <row r="3093" spans="8:8">
      <c r="G3093" s="9">
        <v>3090.0</v>
      </c>
      <c r="H3093" s="10">
        <f t="shared" si="90"/>
        <v>-0.023155704777770094</v>
      </c>
    </row>
    <row r="3094" spans="8:8">
      <c r="G3094" s="9">
        <v>3091.0</v>
      </c>
      <c r="H3094" s="10">
        <f t="shared" si="90"/>
        <v>-0.030443943202624387</v>
      </c>
    </row>
    <row r="3095" spans="8:8">
      <c r="G3095" s="9">
        <v>3092.0</v>
      </c>
      <c r="H3095" s="10">
        <f t="shared" si="90"/>
        <v>-0.0022911413417426793</v>
      </c>
    </row>
    <row r="3096" spans="8:8">
      <c r="G3096" s="9">
        <v>3093.0</v>
      </c>
      <c r="H3096" s="10">
        <f t="shared" si="90"/>
        <v>0.027042965363097533</v>
      </c>
    </row>
    <row r="3097" spans="8:8">
      <c r="G3097" s="9">
        <v>3094.0</v>
      </c>
      <c r="H3097" s="10">
        <f t="shared" si="90"/>
        <v>-0.014918749339875303</v>
      </c>
    </row>
    <row r="3098" spans="8:8">
      <c r="G3098" s="9">
        <v>3095.0</v>
      </c>
      <c r="H3098" s="10">
        <f t="shared" si="90"/>
        <v>0.019590761955236843</v>
      </c>
    </row>
    <row r="3099" spans="8:8">
      <c r="G3099" s="9">
        <v>3096.0</v>
      </c>
      <c r="H3099" s="10">
        <f t="shared" si="90"/>
        <v>-0.007676422824096841</v>
      </c>
    </row>
    <row r="3100" spans="8:8">
      <c r="G3100" s="9">
        <v>3097.0</v>
      </c>
      <c r="H3100" s="10">
        <f t="shared" si="90"/>
        <v>0.007483122849196656</v>
      </c>
    </row>
    <row r="3101" spans="8:8">
      <c r="G3101" s="9">
        <v>3098.0</v>
      </c>
      <c r="H3101" s="10">
        <f t="shared" si="90"/>
        <v>0.012270932814124415</v>
      </c>
    </row>
    <row r="3102" spans="8:8">
      <c r="G3102" s="9">
        <v>3099.0</v>
      </c>
      <c r="H3102" s="10">
        <f t="shared" si="90"/>
        <v>-0.0011638913427248218</v>
      </c>
    </row>
    <row r="3103" spans="8:8">
      <c r="G3103" s="9">
        <v>3100.0</v>
      </c>
      <c r="H3103" s="10">
        <f t="shared" si="90"/>
        <v>-0.010031360183596585</v>
      </c>
    </row>
    <row r="3104" spans="8:8">
      <c r="G3104" s="9">
        <v>3101.0</v>
      </c>
      <c r="H3104" s="10">
        <f t="shared" si="90"/>
        <v>0.029436758347291706</v>
      </c>
    </row>
    <row r="3105" spans="8:8">
      <c r="G3105" s="9">
        <v>3102.0</v>
      </c>
      <c r="H3105" s="10">
        <f t="shared" si="90"/>
        <v>0.0028255013398164764</v>
      </c>
    </row>
    <row r="3106" spans="8:8">
      <c r="G3106" s="9">
        <v>3103.0</v>
      </c>
      <c r="H3106" s="10">
        <f t="shared" si="90"/>
        <v>0.0025555931992546285</v>
      </c>
    </row>
    <row r="3107" spans="8:8">
      <c r="G3107" s="9">
        <v>3104.0</v>
      </c>
      <c r="H3107" s="10">
        <f t="shared" si="90"/>
        <v>0.00593093871384218</v>
      </c>
    </row>
    <row r="3108" spans="8:8">
      <c r="G3108" s="9">
        <v>3105.0</v>
      </c>
      <c r="H3108" s="10">
        <f t="shared" si="90"/>
        <v>0.015482288732948834</v>
      </c>
    </row>
    <row r="3109" spans="8:8">
      <c r="G3109" s="9">
        <v>3106.0</v>
      </c>
      <c r="H3109" s="10">
        <f t="shared" si="90"/>
        <v>-0.026159659770371293</v>
      </c>
    </row>
    <row r="3110" spans="8:8">
      <c r="G3110" s="9">
        <v>3107.0</v>
      </c>
      <c r="H3110" s="10">
        <f t="shared" si="90"/>
        <v>0.010393999723803208</v>
      </c>
    </row>
    <row r="3111" spans="8:8">
      <c r="G3111" s="9">
        <v>3108.0</v>
      </c>
      <c r="H3111" s="10">
        <f t="shared" si="90"/>
        <v>0.002579262744086451</v>
      </c>
    </row>
    <row r="3112" spans="8:8">
      <c r="G3112" s="9">
        <v>3109.0</v>
      </c>
      <c r="H3112" s="10">
        <f t="shared" si="90"/>
        <v>-0.005694615414012126</v>
      </c>
    </row>
    <row r="3113" spans="8:8">
      <c r="G3113" s="9">
        <v>3110.0</v>
      </c>
      <c r="H3113" s="10">
        <f t="shared" si="90"/>
        <v>0.002814040343166415</v>
      </c>
    </row>
    <row r="3114" spans="8:8">
      <c r="G3114" s="9">
        <v>3111.0</v>
      </c>
      <c r="H3114" s="10">
        <f t="shared" si="90"/>
        <v>0.014897245623305407</v>
      </c>
    </row>
    <row r="3115" spans="8:8">
      <c r="G3115" s="9">
        <v>3112.0</v>
      </c>
      <c r="H3115" s="10">
        <f t="shared" si="90"/>
        <v>0.026739760210532364</v>
      </c>
    </row>
    <row r="3116" spans="8:8">
      <c r="G3116" s="9">
        <v>3113.0</v>
      </c>
      <c r="H3116" s="10">
        <f t="shared" si="90"/>
        <v>0.011831075406155706</v>
      </c>
    </row>
    <row r="3117" spans="8:8">
      <c r="G3117" s="9">
        <v>3114.0</v>
      </c>
      <c r="H3117" s="10">
        <f t="shared" si="90"/>
        <v>-0.005690054910307837</v>
      </c>
    </row>
    <row r="3118" spans="8:8">
      <c r="G3118" s="9">
        <v>3115.0</v>
      </c>
      <c r="H3118" s="10">
        <f t="shared" si="90"/>
        <v>-0.011787631500009825</v>
      </c>
    </row>
    <row r="3119" spans="8:8">
      <c r="G3119" s="9">
        <v>3116.0</v>
      </c>
      <c r="H3119" s="10">
        <f t="shared" si="90"/>
        <v>0.01620664422428652</v>
      </c>
    </row>
    <row r="3120" spans="8:8">
      <c r="G3120" s="9">
        <v>3117.0</v>
      </c>
      <c r="H3120" s="10">
        <f t="shared" si="90"/>
        <v>-0.003180332152092566</v>
      </c>
    </row>
    <row r="3121" spans="8:8">
      <c r="G3121" s="9">
        <v>3118.0</v>
      </c>
      <c r="H3121" s="10">
        <f t="shared" si="90"/>
        <v>0.006921081547494181</v>
      </c>
    </row>
    <row r="3122" spans="8:8">
      <c r="G3122" s="9">
        <v>3119.0</v>
      </c>
      <c r="H3122" s="10">
        <f t="shared" si="90"/>
        <v>-0.01930405050749512</v>
      </c>
    </row>
    <row r="3123" spans="8:8">
      <c r="G3123" s="9">
        <v>3120.0</v>
      </c>
      <c r="H3123" s="10">
        <f t="shared" si="90"/>
        <v>0.0036438578107613963</v>
      </c>
    </row>
    <row r="3124" spans="8:8">
      <c r="G3124" s="9">
        <v>3121.0</v>
      </c>
      <c r="H3124" s="10">
        <f t="shared" si="90"/>
        <v>-0.005495590297055811</v>
      </c>
    </row>
    <row r="3125" spans="8:8">
      <c r="G3125" s="9">
        <v>3122.0</v>
      </c>
      <c r="H3125" s="10">
        <f t="shared" si="90"/>
        <v>-0.006891845816622084</v>
      </c>
    </row>
    <row r="3126" spans="8:8">
      <c r="G3126" s="9">
        <v>3123.0</v>
      </c>
      <c r="H3126" s="10">
        <f t="shared" si="90"/>
        <v>0.0070870738387462</v>
      </c>
    </row>
    <row r="3127" spans="8:8">
      <c r="G3127" s="9">
        <v>3124.0</v>
      </c>
      <c r="H3127" s="10">
        <f t="shared" si="90"/>
        <v>0.006883828623074606</v>
      </c>
    </row>
    <row r="3128" spans="8:8">
      <c r="G3128" s="9">
        <v>3125.0</v>
      </c>
      <c r="H3128" s="10">
        <f t="shared" si="90"/>
        <v>0.003106350303173535</v>
      </c>
    </row>
    <row r="3129" spans="8:8">
      <c r="G3129" s="9">
        <v>3126.0</v>
      </c>
      <c r="H3129" s="10">
        <f t="shared" si="90"/>
        <v>5.861967599886807E-4</v>
      </c>
    </row>
    <row r="3130" spans="8:8">
      <c r="G3130" s="9">
        <v>3127.0</v>
      </c>
      <c r="H3130" s="10">
        <f t="shared" si="90"/>
        <v>-0.020175867399297512</v>
      </c>
    </row>
    <row r="3131" spans="8:8">
      <c r="G3131" s="9">
        <v>3128.0</v>
      </c>
      <c r="H3131" s="10">
        <f t="shared" si="90"/>
        <v>-0.014029623883635507</v>
      </c>
    </row>
    <row r="3132" spans="8:8">
      <c r="G3132" s="9">
        <v>3129.0</v>
      </c>
      <c r="H3132" s="10">
        <f t="shared" si="90"/>
        <v>-0.014761413258555085</v>
      </c>
    </row>
    <row r="3133" spans="8:8">
      <c r="G3133" s="9">
        <v>3130.0</v>
      </c>
      <c r="H3133" s="10">
        <f t="shared" si="90"/>
        <v>0.0011656536158605505</v>
      </c>
    </row>
    <row r="3134" spans="8:8">
      <c r="G3134" s="9">
        <v>3131.0</v>
      </c>
      <c r="H3134" s="10">
        <f t="shared" si="90"/>
        <v>0.0031527156739293576</v>
      </c>
    </row>
    <row r="3135" spans="8:8">
      <c r="G3135" s="9">
        <v>3132.0</v>
      </c>
      <c r="H3135" s="10">
        <f t="shared" si="90"/>
        <v>0.016966870383666205</v>
      </c>
    </row>
    <row r="3136" spans="8:8">
      <c r="G3136" s="9">
        <v>3133.0</v>
      </c>
      <c r="H3136" s="10">
        <f t="shared" si="90"/>
        <v>0.030848274005286665</v>
      </c>
    </row>
    <row r="3137" spans="8:8">
      <c r="G3137" s="9">
        <v>3134.0</v>
      </c>
      <c r="H3137" s="10">
        <f t="shared" si="90"/>
        <v>-0.01947444454543786</v>
      </c>
    </row>
    <row r="3138" spans="8:8">
      <c r="G3138" s="9">
        <v>3135.0</v>
      </c>
      <c r="H3138" s="10">
        <f t="shared" si="90"/>
        <v>0.026004409126384027</v>
      </c>
    </row>
    <row r="3139" spans="8:8">
      <c r="G3139" s="9">
        <v>3136.0</v>
      </c>
      <c r="H3139" s="10">
        <f t="shared" si="90"/>
        <v>0.0027489907877135916</v>
      </c>
    </row>
    <row r="3140" spans="8:8">
      <c r="G3140" s="9">
        <v>3137.0</v>
      </c>
      <c r="H3140" s="10">
        <f t="shared" si="90"/>
        <v>-0.011614567917921738</v>
      </c>
    </row>
    <row r="3141" spans="8:8">
      <c r="G3141" s="9">
        <v>3138.0</v>
      </c>
      <c r="H3141" s="10">
        <f t="shared" si="91" ref="H3141:H3204">_xlfn.NORM.INV(RAND(),N$6,N$7)</f>
        <v>0.020259799820570766</v>
      </c>
    </row>
    <row r="3142" spans="8:8">
      <c r="G3142" s="9">
        <v>3139.0</v>
      </c>
      <c r="H3142" s="10">
        <f t="shared" si="91"/>
        <v>0.010382458187384341</v>
      </c>
    </row>
    <row r="3143" spans="8:8">
      <c r="G3143" s="9">
        <v>3140.0</v>
      </c>
      <c r="H3143" s="10">
        <f t="shared" si="91"/>
        <v>-0.009929542756694103</v>
      </c>
    </row>
    <row r="3144" spans="8:8">
      <c r="G3144" s="9">
        <v>3141.0</v>
      </c>
      <c r="H3144" s="10">
        <f t="shared" si="91"/>
        <v>0.007142615390451009</v>
      </c>
    </row>
    <row r="3145" spans="8:8">
      <c r="G3145" s="9">
        <v>3142.0</v>
      </c>
      <c r="H3145" s="10">
        <f t="shared" si="91"/>
        <v>-0.010783376561346172</v>
      </c>
    </row>
    <row r="3146" spans="8:8">
      <c r="G3146" s="9">
        <v>3143.0</v>
      </c>
      <c r="H3146" s="10">
        <f t="shared" si="91"/>
        <v>0.01813171412891334</v>
      </c>
    </row>
    <row r="3147" spans="8:8">
      <c r="G3147" s="9">
        <v>3144.0</v>
      </c>
      <c r="H3147" s="10">
        <f t="shared" si="91"/>
        <v>-0.024086197173493813</v>
      </c>
    </row>
    <row r="3148" spans="8:8">
      <c r="G3148" s="9">
        <v>3145.0</v>
      </c>
      <c r="H3148" s="10">
        <f t="shared" si="91"/>
        <v>8.682260366018892E-4</v>
      </c>
    </row>
    <row r="3149" spans="8:8">
      <c r="G3149" s="9">
        <v>3146.0</v>
      </c>
      <c r="H3149" s="10">
        <f t="shared" si="91"/>
        <v>0.007220532268834077</v>
      </c>
    </row>
    <row r="3150" spans="8:8">
      <c r="G3150" s="9">
        <v>3147.0</v>
      </c>
      <c r="H3150" s="10">
        <f t="shared" si="91"/>
        <v>-0.01361262280697326</v>
      </c>
    </row>
    <row r="3151" spans="8:8">
      <c r="G3151" s="9">
        <v>3148.0</v>
      </c>
      <c r="H3151" s="10">
        <f t="shared" si="91"/>
        <v>-1.1942286029298843E-4</v>
      </c>
    </row>
    <row r="3152" spans="8:8">
      <c r="G3152" s="9">
        <v>3149.0</v>
      </c>
      <c r="H3152" s="10">
        <f t="shared" si="91"/>
        <v>-0.023295275264223637</v>
      </c>
    </row>
    <row r="3153" spans="8:8">
      <c r="G3153" s="9">
        <v>3150.0</v>
      </c>
      <c r="H3153" s="10">
        <f t="shared" si="91"/>
        <v>0.003455421478750916</v>
      </c>
    </row>
    <row r="3154" spans="8:8">
      <c r="G3154" s="9">
        <v>3151.0</v>
      </c>
      <c r="H3154" s="10">
        <f t="shared" si="91"/>
        <v>0.001175028599900603</v>
      </c>
    </row>
    <row r="3155" spans="8:8">
      <c r="G3155" s="9">
        <v>3152.0</v>
      </c>
      <c r="H3155" s="10">
        <f t="shared" si="91"/>
        <v>0.023703179556768383</v>
      </c>
    </row>
    <row r="3156" spans="8:8">
      <c r="G3156" s="9">
        <v>3153.0</v>
      </c>
      <c r="H3156" s="10">
        <f t="shared" si="91"/>
        <v>-0.004965234641340855</v>
      </c>
    </row>
    <row r="3157" spans="8:8">
      <c r="G3157" s="9">
        <v>3154.0</v>
      </c>
      <c r="H3157" s="10">
        <f t="shared" si="91"/>
        <v>0.017053943102360594</v>
      </c>
    </row>
    <row r="3158" spans="8:8">
      <c r="G3158" s="9">
        <v>3155.0</v>
      </c>
      <c r="H3158" s="10">
        <f t="shared" si="91"/>
        <v>-0.008827158254177524</v>
      </c>
    </row>
    <row r="3159" spans="8:8">
      <c r="G3159" s="9">
        <v>3156.0</v>
      </c>
      <c r="H3159" s="10">
        <f t="shared" si="91"/>
        <v>-0.009987251085912707</v>
      </c>
    </row>
    <row r="3160" spans="8:8">
      <c r="G3160" s="9">
        <v>3157.0</v>
      </c>
      <c r="H3160" s="10">
        <f t="shared" si="91"/>
        <v>-0.00440742642459972</v>
      </c>
    </row>
    <row r="3161" spans="8:8">
      <c r="G3161" s="9">
        <v>3158.0</v>
      </c>
      <c r="H3161" s="10">
        <f t="shared" si="91"/>
        <v>0.014066574104427045</v>
      </c>
    </row>
    <row r="3162" spans="8:8">
      <c r="G3162" s="9">
        <v>3159.0</v>
      </c>
      <c r="H3162" s="10">
        <f t="shared" si="91"/>
        <v>-0.0017293196037687008</v>
      </c>
    </row>
    <row r="3163" spans="8:8">
      <c r="G3163" s="9">
        <v>3160.0</v>
      </c>
      <c r="H3163" s="10">
        <f t="shared" si="91"/>
        <v>0.005544851603268815</v>
      </c>
    </row>
    <row r="3164" spans="8:8">
      <c r="G3164" s="9">
        <v>3161.0</v>
      </c>
      <c r="H3164" s="10">
        <f t="shared" si="91"/>
        <v>0.01602584428010418</v>
      </c>
    </row>
    <row r="3165" spans="8:8">
      <c r="G3165" s="9">
        <v>3162.0</v>
      </c>
      <c r="H3165" s="10">
        <f t="shared" si="91"/>
        <v>0.011251933186866524</v>
      </c>
    </row>
    <row r="3166" spans="8:8">
      <c r="G3166" s="9">
        <v>3163.0</v>
      </c>
      <c r="H3166" s="10">
        <f t="shared" si="91"/>
        <v>0.007078851264387709</v>
      </c>
    </row>
    <row r="3167" spans="8:8">
      <c r="G3167" s="9">
        <v>3164.0</v>
      </c>
      <c r="H3167" s="10">
        <f t="shared" si="91"/>
        <v>5.624332894051949E-4</v>
      </c>
    </row>
    <row r="3168" spans="8:8">
      <c r="G3168" s="9">
        <v>3165.0</v>
      </c>
      <c r="H3168" s="10">
        <f t="shared" si="91"/>
        <v>0.025093627551548352</v>
      </c>
    </row>
    <row r="3169" spans="8:8">
      <c r="G3169" s="9">
        <v>3166.0</v>
      </c>
      <c r="H3169" s="10">
        <f t="shared" si="91"/>
        <v>0.0035927636893540696</v>
      </c>
    </row>
    <row r="3170" spans="8:8">
      <c r="G3170" s="9">
        <v>3167.0</v>
      </c>
      <c r="H3170" s="10">
        <f t="shared" si="91"/>
        <v>-0.018386006364310346</v>
      </c>
    </row>
    <row r="3171" spans="8:8">
      <c r="G3171" s="9">
        <v>3168.0</v>
      </c>
      <c r="H3171" s="10">
        <f t="shared" si="91"/>
        <v>-0.00584101828684861</v>
      </c>
    </row>
    <row r="3172" spans="8:8">
      <c r="G3172" s="9">
        <v>3169.0</v>
      </c>
      <c r="H3172" s="10">
        <f t="shared" si="91"/>
        <v>-0.016851278641308653</v>
      </c>
    </row>
    <row r="3173" spans="8:8">
      <c r="G3173" s="9">
        <v>3170.0</v>
      </c>
      <c r="H3173" s="10">
        <f t="shared" si="91"/>
        <v>-0.01498086617959287</v>
      </c>
    </row>
    <row r="3174" spans="8:8">
      <c r="G3174" s="9">
        <v>3171.0</v>
      </c>
      <c r="H3174" s="10">
        <f t="shared" si="91"/>
        <v>-0.026472355312375417</v>
      </c>
    </row>
    <row r="3175" spans="8:8">
      <c r="G3175" s="9">
        <v>3172.0</v>
      </c>
      <c r="H3175" s="10">
        <f t="shared" si="91"/>
        <v>2.588827687184333E-4</v>
      </c>
    </row>
    <row r="3176" spans="8:8">
      <c r="G3176" s="9">
        <v>3173.0</v>
      </c>
      <c r="H3176" s="10">
        <f t="shared" si="91"/>
        <v>0.010247466766900228</v>
      </c>
    </row>
    <row r="3177" spans="8:8">
      <c r="G3177" s="9">
        <v>3174.0</v>
      </c>
      <c r="H3177" s="10">
        <f t="shared" si="91"/>
        <v>0.02472639675724419</v>
      </c>
    </row>
    <row r="3178" spans="8:8">
      <c r="G3178" s="9">
        <v>3175.0</v>
      </c>
      <c r="H3178" s="10">
        <f t="shared" si="91"/>
        <v>0.009265872825169675</v>
      </c>
    </row>
    <row r="3179" spans="8:8">
      <c r="G3179" s="9">
        <v>3176.0</v>
      </c>
      <c r="H3179" s="10">
        <f t="shared" si="91"/>
        <v>-0.009248987637043016</v>
      </c>
    </row>
    <row r="3180" spans="8:8">
      <c r="G3180" s="9">
        <v>3177.0</v>
      </c>
      <c r="H3180" s="10">
        <f t="shared" si="91"/>
        <v>0.0034061557916157045</v>
      </c>
    </row>
    <row r="3181" spans="8:8">
      <c r="G3181" s="9">
        <v>3178.0</v>
      </c>
      <c r="H3181" s="10">
        <f t="shared" si="91"/>
        <v>0.0029257467499885716</v>
      </c>
    </row>
    <row r="3182" spans="8:8">
      <c r="G3182" s="9">
        <v>3179.0</v>
      </c>
      <c r="H3182" s="10">
        <f t="shared" si="91"/>
        <v>-0.015265583301808314</v>
      </c>
    </row>
    <row r="3183" spans="8:8">
      <c r="G3183" s="9">
        <v>3180.0</v>
      </c>
      <c r="H3183" s="10">
        <f t="shared" si="91"/>
        <v>-0.010487605012812158</v>
      </c>
    </row>
    <row r="3184" spans="8:8">
      <c r="G3184" s="9">
        <v>3181.0</v>
      </c>
      <c r="H3184" s="10">
        <f t="shared" si="91"/>
        <v>0.015255557394055777</v>
      </c>
    </row>
    <row r="3185" spans="8:8">
      <c r="G3185" s="9">
        <v>3182.0</v>
      </c>
      <c r="H3185" s="10">
        <f t="shared" si="91"/>
        <v>0.007993761379800209</v>
      </c>
    </row>
    <row r="3186" spans="8:8">
      <c r="G3186" s="9">
        <v>3183.0</v>
      </c>
      <c r="H3186" s="10">
        <f t="shared" si="91"/>
        <v>-0.002770038008272754</v>
      </c>
    </row>
    <row r="3187" spans="8:8">
      <c r="G3187" s="9">
        <v>3184.0</v>
      </c>
      <c r="H3187" s="10">
        <f t="shared" si="91"/>
        <v>0.008410888113675652</v>
      </c>
    </row>
    <row r="3188" spans="8:8">
      <c r="G3188" s="9">
        <v>3185.0</v>
      </c>
      <c r="H3188" s="10">
        <f t="shared" si="91"/>
        <v>0.006668082604881354</v>
      </c>
    </row>
    <row r="3189" spans="8:8">
      <c r="G3189" s="9">
        <v>3186.0</v>
      </c>
      <c r="H3189" s="10">
        <f t="shared" si="91"/>
        <v>0.007936907843234038</v>
      </c>
    </row>
    <row r="3190" spans="8:8">
      <c r="G3190" s="9">
        <v>3187.0</v>
      </c>
      <c r="H3190" s="10">
        <f t="shared" si="91"/>
        <v>0.010793639196505792</v>
      </c>
    </row>
    <row r="3191" spans="8:8">
      <c r="G3191" s="9">
        <v>3188.0</v>
      </c>
      <c r="H3191" s="10">
        <f t="shared" si="91"/>
        <v>0.021439373154569296</v>
      </c>
    </row>
    <row r="3192" spans="8:8">
      <c r="G3192" s="9">
        <v>3189.0</v>
      </c>
      <c r="H3192" s="10">
        <f t="shared" si="91"/>
        <v>0.014226054615302231</v>
      </c>
    </row>
    <row r="3193" spans="8:8">
      <c r="G3193" s="9">
        <v>3190.0</v>
      </c>
      <c r="H3193" s="10">
        <f t="shared" si="91"/>
        <v>-0.004895710830536879</v>
      </c>
    </row>
    <row r="3194" spans="8:8">
      <c r="G3194" s="9">
        <v>3191.0</v>
      </c>
      <c r="H3194" s="10">
        <f t="shared" si="91"/>
        <v>-0.011777837555033994</v>
      </c>
    </row>
    <row r="3195" spans="8:8">
      <c r="G3195" s="9">
        <v>3192.0</v>
      </c>
      <c r="H3195" s="10">
        <f t="shared" si="91"/>
        <v>0.00409082448356236</v>
      </c>
    </row>
    <row r="3196" spans="8:8">
      <c r="G3196" s="9">
        <v>3193.0</v>
      </c>
      <c r="H3196" s="10">
        <f t="shared" si="91"/>
        <v>-0.024771628849428448</v>
      </c>
    </row>
    <row r="3197" spans="8:8">
      <c r="G3197" s="9">
        <v>3194.0</v>
      </c>
      <c r="H3197" s="10">
        <f t="shared" si="91"/>
        <v>0.0018051059289919127</v>
      </c>
    </row>
    <row r="3198" spans="8:8">
      <c r="G3198" s="9">
        <v>3195.0</v>
      </c>
      <c r="H3198" s="10">
        <f t="shared" si="91"/>
        <v>-0.005197009992727355</v>
      </c>
    </row>
    <row r="3199" spans="8:8">
      <c r="G3199" s="9">
        <v>3196.0</v>
      </c>
      <c r="H3199" s="10">
        <f t="shared" si="91"/>
        <v>8.717124247304199E-4</v>
      </c>
    </row>
    <row r="3200" spans="8:8">
      <c r="G3200" s="9">
        <v>3197.0</v>
      </c>
      <c r="H3200" s="10">
        <f t="shared" si="91"/>
        <v>0.006996703809962141</v>
      </c>
    </row>
    <row r="3201" spans="8:8">
      <c r="G3201" s="9">
        <v>3198.0</v>
      </c>
      <c r="H3201" s="10">
        <f t="shared" si="91"/>
        <v>0.012869023674062428</v>
      </c>
    </row>
    <row r="3202" spans="8:8">
      <c r="G3202" s="9">
        <v>3199.0</v>
      </c>
      <c r="H3202" s="10">
        <f t="shared" si="91"/>
        <v>0.002965240616022266</v>
      </c>
    </row>
    <row r="3203" spans="8:8">
      <c r="G3203" s="9">
        <v>3200.0</v>
      </c>
      <c r="H3203" s="10">
        <f t="shared" si="91"/>
        <v>-0.002754191621407341</v>
      </c>
    </row>
    <row r="3204" spans="8:8">
      <c r="G3204" s="9">
        <v>3201.0</v>
      </c>
      <c r="H3204" s="10">
        <f t="shared" si="91"/>
        <v>0.009296724834623604</v>
      </c>
    </row>
    <row r="3205" spans="8:8">
      <c r="G3205" s="9">
        <v>3202.0</v>
      </c>
      <c r="H3205" s="10">
        <f t="shared" si="92" ref="H3205:H3268">_xlfn.NORM.INV(RAND(),N$6,N$7)</f>
        <v>-0.014270738678851421</v>
      </c>
    </row>
    <row r="3206" spans="8:8">
      <c r="G3206" s="9">
        <v>3203.0</v>
      </c>
      <c r="H3206" s="10">
        <f t="shared" si="92"/>
        <v>-0.002695001408800788</v>
      </c>
    </row>
    <row r="3207" spans="8:8">
      <c r="G3207" s="9">
        <v>3204.0</v>
      </c>
      <c r="H3207" s="10">
        <f t="shared" si="92"/>
        <v>0.004870889016613759</v>
      </c>
    </row>
    <row r="3208" spans="8:8">
      <c r="G3208" s="9">
        <v>3205.0</v>
      </c>
      <c r="H3208" s="10">
        <f t="shared" si="92"/>
        <v>0.008673857359243881</v>
      </c>
    </row>
    <row r="3209" spans="8:8">
      <c r="G3209" s="9">
        <v>3206.0</v>
      </c>
      <c r="H3209" s="10">
        <f t="shared" si="92"/>
        <v>0.015019866790873165</v>
      </c>
    </row>
    <row r="3210" spans="8:8">
      <c r="G3210" s="9">
        <v>3207.0</v>
      </c>
      <c r="H3210" s="10">
        <f t="shared" si="92"/>
        <v>0.007015904218745232</v>
      </c>
    </row>
    <row r="3211" spans="8:8">
      <c r="G3211" s="9">
        <v>3208.0</v>
      </c>
      <c r="H3211" s="10">
        <f t="shared" si="92"/>
        <v>-0.0011091714867446974</v>
      </c>
    </row>
    <row r="3212" spans="8:8">
      <c r="G3212" s="9">
        <v>3209.0</v>
      </c>
      <c r="H3212" s="10">
        <f t="shared" si="92"/>
        <v>-0.0010985257602937467</v>
      </c>
    </row>
    <row r="3213" spans="8:8">
      <c r="G3213" s="9">
        <v>3210.0</v>
      </c>
      <c r="H3213" s="10">
        <f t="shared" si="92"/>
        <v>0.015086725715652855</v>
      </c>
    </row>
    <row r="3214" spans="8:8">
      <c r="G3214" s="9">
        <v>3211.0</v>
      </c>
      <c r="H3214" s="10">
        <f t="shared" si="92"/>
        <v>0.0027587891908524517</v>
      </c>
    </row>
    <row r="3215" spans="8:8">
      <c r="G3215" s="9">
        <v>3212.0</v>
      </c>
      <c r="H3215" s="10">
        <f t="shared" si="92"/>
        <v>0.0026957808091046674</v>
      </c>
    </row>
    <row r="3216" spans="8:8">
      <c r="G3216" s="9">
        <v>3213.0</v>
      </c>
      <c r="H3216" s="10">
        <f t="shared" si="92"/>
        <v>0.004670235450479756</v>
      </c>
    </row>
    <row r="3217" spans="8:8">
      <c r="G3217" s="9">
        <v>3214.0</v>
      </c>
      <c r="H3217" s="10">
        <f t="shared" si="92"/>
        <v>0.004097913116961801</v>
      </c>
    </row>
    <row r="3218" spans="8:8">
      <c r="G3218" s="9">
        <v>3215.0</v>
      </c>
      <c r="H3218" s="10">
        <f t="shared" si="92"/>
        <v>-0.0025537918604405276</v>
      </c>
    </row>
    <row r="3219" spans="8:8">
      <c r="G3219" s="9">
        <v>3216.0</v>
      </c>
      <c r="H3219" s="10">
        <f t="shared" si="92"/>
        <v>0.011803411174982178</v>
      </c>
    </row>
    <row r="3220" spans="8:8">
      <c r="G3220" s="9">
        <v>3217.0</v>
      </c>
      <c r="H3220" s="10">
        <f t="shared" si="92"/>
        <v>-0.019744521233727594</v>
      </c>
    </row>
    <row r="3221" spans="8:8">
      <c r="G3221" s="9">
        <v>3218.0</v>
      </c>
      <c r="H3221" s="10">
        <f t="shared" si="92"/>
        <v>-0.014878939326599526</v>
      </c>
    </row>
    <row r="3222" spans="8:8">
      <c r="G3222" s="9">
        <v>3219.0</v>
      </c>
      <c r="H3222" s="10">
        <f t="shared" si="92"/>
        <v>0.011327591056122483</v>
      </c>
    </row>
    <row r="3223" spans="8:8">
      <c r="G3223" s="9">
        <v>3220.0</v>
      </c>
      <c r="H3223" s="10">
        <f t="shared" si="92"/>
        <v>0.0026855823100832366</v>
      </c>
    </row>
    <row r="3224" spans="8:8">
      <c r="G3224" s="9">
        <v>3221.0</v>
      </c>
      <c r="H3224" s="10">
        <f t="shared" si="92"/>
        <v>-7.023279447201233E-4</v>
      </c>
    </row>
    <row r="3225" spans="8:8">
      <c r="G3225" s="9">
        <v>3222.0</v>
      </c>
      <c r="H3225" s="10">
        <f t="shared" si="92"/>
        <v>-0.003023054727489681</v>
      </c>
    </row>
    <row r="3226" spans="8:8">
      <c r="G3226" s="9">
        <v>3223.0</v>
      </c>
      <c r="H3226" s="10">
        <f t="shared" si="92"/>
        <v>0.014436280809199918</v>
      </c>
    </row>
    <row r="3227" spans="8:8">
      <c r="G3227" s="9">
        <v>3224.0</v>
      </c>
      <c r="H3227" s="10">
        <f t="shared" si="92"/>
        <v>0.0021619908390449875</v>
      </c>
    </row>
    <row r="3228" spans="8:8">
      <c r="G3228" s="9">
        <v>3225.0</v>
      </c>
      <c r="H3228" s="10">
        <f t="shared" si="92"/>
        <v>1.1936908636635919E-4</v>
      </c>
    </row>
    <row r="3229" spans="8:8">
      <c r="G3229" s="9">
        <v>3226.0</v>
      </c>
      <c r="H3229" s="10">
        <f t="shared" si="92"/>
        <v>-0.010603954240221307</v>
      </c>
    </row>
    <row r="3230" spans="8:8">
      <c r="G3230" s="9">
        <v>3227.0</v>
      </c>
      <c r="H3230" s="10">
        <f t="shared" si="92"/>
        <v>9.029417389815574E-5</v>
      </c>
    </row>
    <row r="3231" spans="8:8">
      <c r="G3231" s="9">
        <v>3228.0</v>
      </c>
      <c r="H3231" s="10">
        <f t="shared" si="92"/>
        <v>-0.005454813555509075</v>
      </c>
    </row>
    <row r="3232" spans="8:8">
      <c r="G3232" s="9">
        <v>3229.0</v>
      </c>
      <c r="H3232" s="10">
        <f t="shared" si="92"/>
        <v>-0.02095530714301609</v>
      </c>
    </row>
    <row r="3233" spans="8:8">
      <c r="G3233" s="9">
        <v>3230.0</v>
      </c>
      <c r="H3233" s="10">
        <f t="shared" si="92"/>
        <v>0.030779917151581064</v>
      </c>
    </row>
    <row r="3234" spans="8:8">
      <c r="G3234" s="9">
        <v>3231.0</v>
      </c>
      <c r="H3234" s="10">
        <f t="shared" si="92"/>
        <v>-0.0070489237252971135</v>
      </c>
    </row>
    <row r="3235" spans="8:8">
      <c r="G3235" s="9">
        <v>3232.0</v>
      </c>
      <c r="H3235" s="10">
        <f t="shared" si="92"/>
        <v>-0.014645868351364999</v>
      </c>
    </row>
    <row r="3236" spans="8:8">
      <c r="G3236" s="9">
        <v>3233.0</v>
      </c>
      <c r="H3236" s="10">
        <f t="shared" si="92"/>
        <v>0.006185656357857222</v>
      </c>
    </row>
    <row r="3237" spans="8:8">
      <c r="G3237" s="9">
        <v>3234.0</v>
      </c>
      <c r="H3237" s="10">
        <f t="shared" si="92"/>
        <v>0.007624754296657903</v>
      </c>
    </row>
    <row r="3238" spans="8:8">
      <c r="G3238" s="9">
        <v>3235.0</v>
      </c>
      <c r="H3238" s="10">
        <f t="shared" si="92"/>
        <v>0.013360550023942888</v>
      </c>
    </row>
    <row r="3239" spans="8:8">
      <c r="G3239" s="9">
        <v>3236.0</v>
      </c>
      <c r="H3239" s="10">
        <f t="shared" si="92"/>
        <v>0.001499246555326315</v>
      </c>
    </row>
    <row r="3240" spans="8:8">
      <c r="G3240" s="9">
        <v>3237.0</v>
      </c>
      <c r="H3240" s="10">
        <f t="shared" si="92"/>
        <v>-0.024525603795117853</v>
      </c>
    </row>
    <row r="3241" spans="8:8">
      <c r="G3241" s="9">
        <v>3238.0</v>
      </c>
      <c r="H3241" s="10">
        <f t="shared" si="92"/>
        <v>-0.001319357938849775</v>
      </c>
    </row>
    <row r="3242" spans="8:8">
      <c r="G3242" s="9">
        <v>3239.0</v>
      </c>
      <c r="H3242" s="10">
        <f t="shared" si="92"/>
        <v>-0.006798590696905512</v>
      </c>
    </row>
    <row r="3243" spans="8:8">
      <c r="G3243" s="9">
        <v>3240.0</v>
      </c>
      <c r="H3243" s="10">
        <f t="shared" si="92"/>
        <v>0.00778073949597798</v>
      </c>
    </row>
    <row r="3244" spans="8:8">
      <c r="G3244" s="9">
        <v>3241.0</v>
      </c>
      <c r="H3244" s="10">
        <f t="shared" si="92"/>
        <v>0.00810410458850869</v>
      </c>
    </row>
    <row r="3245" spans="8:8">
      <c r="G3245" s="9">
        <v>3242.0</v>
      </c>
      <c r="H3245" s="10">
        <f t="shared" si="92"/>
        <v>0.013336409299682446</v>
      </c>
    </row>
    <row r="3246" spans="8:8">
      <c r="G3246" s="9">
        <v>3243.0</v>
      </c>
      <c r="H3246" s="10">
        <f t="shared" si="92"/>
        <v>0.004011034697924423</v>
      </c>
    </row>
    <row r="3247" spans="8:8">
      <c r="G3247" s="9">
        <v>3244.0</v>
      </c>
      <c r="H3247" s="10">
        <f t="shared" si="92"/>
        <v>-0.0017497814540046869</v>
      </c>
    </row>
    <row r="3248" spans="8:8">
      <c r="G3248" s="9">
        <v>3245.0</v>
      </c>
      <c r="H3248" s="10">
        <f t="shared" si="92"/>
        <v>-4.6553792123915465E-4</v>
      </c>
    </row>
    <row r="3249" spans="8:8">
      <c r="G3249" s="9">
        <v>3246.0</v>
      </c>
      <c r="H3249" s="10">
        <f t="shared" si="92"/>
        <v>-0.0015068599862952028</v>
      </c>
    </row>
    <row r="3250" spans="8:8">
      <c r="G3250" s="9">
        <v>3247.0</v>
      </c>
      <c r="H3250" s="10">
        <f t="shared" si="92"/>
        <v>0.0040131363561888185</v>
      </c>
    </row>
    <row r="3251" spans="8:8">
      <c r="G3251" s="9">
        <v>3248.0</v>
      </c>
      <c r="H3251" s="10">
        <f t="shared" si="92"/>
        <v>-0.00837346536855069</v>
      </c>
    </row>
    <row r="3252" spans="8:8">
      <c r="G3252" s="9">
        <v>3249.0</v>
      </c>
      <c r="H3252" s="10">
        <f t="shared" si="92"/>
        <v>-0.0064272181885574676</v>
      </c>
    </row>
    <row r="3253" spans="8:8">
      <c r="G3253" s="9">
        <v>3250.0</v>
      </c>
      <c r="H3253" s="10">
        <f t="shared" si="92"/>
        <v>2.5937694780741455E-4</v>
      </c>
    </row>
    <row r="3254" spans="8:8">
      <c r="G3254" s="9">
        <v>3251.0</v>
      </c>
      <c r="H3254" s="10">
        <f t="shared" si="92"/>
        <v>-0.004189979574678037</v>
      </c>
    </row>
    <row r="3255" spans="8:8">
      <c r="G3255" s="9">
        <v>3252.0</v>
      </c>
      <c r="H3255" s="10">
        <f t="shared" si="92"/>
        <v>0.01219846244979294</v>
      </c>
    </row>
    <row r="3256" spans="8:8">
      <c r="G3256" s="9">
        <v>3253.0</v>
      </c>
      <c r="H3256" s="10">
        <f t="shared" si="92"/>
        <v>0.017621473428439675</v>
      </c>
    </row>
    <row r="3257" spans="8:8">
      <c r="G3257" s="9">
        <v>3254.0</v>
      </c>
      <c r="H3257" s="10">
        <f t="shared" si="92"/>
        <v>-0.0013928349737049525</v>
      </c>
    </row>
    <row r="3258" spans="8:8">
      <c r="G3258" s="9">
        <v>3255.0</v>
      </c>
      <c r="H3258" s="10">
        <f t="shared" si="92"/>
        <v>-0.005113611674221172</v>
      </c>
    </row>
    <row r="3259" spans="8:8">
      <c r="G3259" s="9">
        <v>3256.0</v>
      </c>
      <c r="H3259" s="10">
        <f t="shared" si="92"/>
        <v>0.01911290990006626</v>
      </c>
    </row>
    <row r="3260" spans="8:8">
      <c r="G3260" s="9">
        <v>3257.0</v>
      </c>
      <c r="H3260" s="10">
        <f t="shared" si="92"/>
        <v>-0.0019335011297718875</v>
      </c>
    </row>
    <row r="3261" spans="8:8">
      <c r="G3261" s="9">
        <v>3258.0</v>
      </c>
      <c r="H3261" s="10">
        <f t="shared" si="92"/>
        <v>0.01033613212370604</v>
      </c>
    </row>
    <row r="3262" spans="8:8">
      <c r="G3262" s="9">
        <v>3259.0</v>
      </c>
      <c r="H3262" s="10">
        <f t="shared" si="92"/>
        <v>-0.006516795969502443</v>
      </c>
    </row>
    <row r="3263" spans="8:8">
      <c r="G3263" s="9">
        <v>3260.0</v>
      </c>
      <c r="H3263" s="10">
        <f t="shared" si="92"/>
        <v>-0.009665054393840689</v>
      </c>
    </row>
    <row r="3264" spans="8:8">
      <c r="G3264" s="9">
        <v>3261.0</v>
      </c>
      <c r="H3264" s="10">
        <f t="shared" si="92"/>
        <v>-0.0043231570525682295</v>
      </c>
    </row>
    <row r="3265" spans="8:8">
      <c r="G3265" s="9">
        <v>3262.0</v>
      </c>
      <c r="H3265" s="10">
        <f t="shared" si="92"/>
        <v>0.004319208914614668</v>
      </c>
    </row>
    <row r="3266" spans="8:8">
      <c r="G3266" s="9">
        <v>3263.0</v>
      </c>
      <c r="H3266" s="10">
        <f t="shared" si="92"/>
        <v>0.004585074178968589</v>
      </c>
    </row>
    <row r="3267" spans="8:8">
      <c r="G3267" s="9">
        <v>3264.0</v>
      </c>
      <c r="H3267" s="10">
        <f t="shared" si="92"/>
        <v>0.020798550083922663</v>
      </c>
    </row>
    <row r="3268" spans="8:8">
      <c r="G3268" s="9">
        <v>3265.0</v>
      </c>
      <c r="H3268" s="10">
        <f t="shared" si="92"/>
        <v>0.007218459781813205</v>
      </c>
    </row>
    <row r="3269" spans="8:8">
      <c r="G3269" s="9">
        <v>3266.0</v>
      </c>
      <c r="H3269" s="10">
        <f t="shared" si="93" ref="H3269:H3332">_xlfn.NORM.INV(RAND(),N$6,N$7)</f>
        <v>0.010723086518577755</v>
      </c>
    </row>
    <row r="3270" spans="8:8">
      <c r="G3270" s="9">
        <v>3267.0</v>
      </c>
      <c r="H3270" s="10">
        <f t="shared" si="93"/>
        <v>0.0038771292639710304</v>
      </c>
    </row>
    <row r="3271" spans="8:8">
      <c r="G3271" s="9">
        <v>3268.0</v>
      </c>
      <c r="H3271" s="10">
        <f t="shared" si="93"/>
        <v>0.005942460183910656</v>
      </c>
    </row>
    <row r="3272" spans="8:8">
      <c r="G3272" s="9">
        <v>3269.0</v>
      </c>
      <c r="H3272" s="10">
        <f t="shared" si="93"/>
        <v>0.0061907030791023415</v>
      </c>
    </row>
    <row r="3273" spans="8:8">
      <c r="G3273" s="9">
        <v>3270.0</v>
      </c>
      <c r="H3273" s="10">
        <f t="shared" si="93"/>
        <v>-0.006812551044985577</v>
      </c>
    </row>
    <row r="3274" spans="8:8">
      <c r="G3274" s="9">
        <v>3271.0</v>
      </c>
      <c r="H3274" s="10">
        <f t="shared" si="93"/>
        <v>0.026630681988435774</v>
      </c>
    </row>
    <row r="3275" spans="8:8">
      <c r="G3275" s="9">
        <v>3272.0</v>
      </c>
      <c r="H3275" s="10">
        <f t="shared" si="93"/>
        <v>-4.498337220202528E-4</v>
      </c>
    </row>
    <row r="3276" spans="8:8">
      <c r="G3276" s="9">
        <v>3273.0</v>
      </c>
      <c r="H3276" s="10">
        <f t="shared" si="93"/>
        <v>0.00912655003244624</v>
      </c>
    </row>
    <row r="3277" spans="8:8">
      <c r="G3277" s="9">
        <v>3274.0</v>
      </c>
      <c r="H3277" s="10">
        <f t="shared" si="93"/>
        <v>-0.007076501096329859</v>
      </c>
    </row>
    <row r="3278" spans="8:8">
      <c r="G3278" s="9">
        <v>3275.0</v>
      </c>
      <c r="H3278" s="10">
        <f t="shared" si="93"/>
        <v>0.013247540742671208</v>
      </c>
    </row>
    <row r="3279" spans="8:8">
      <c r="G3279" s="9">
        <v>3276.0</v>
      </c>
      <c r="H3279" s="10">
        <f t="shared" si="93"/>
        <v>-0.018250980404852023</v>
      </c>
    </row>
    <row r="3280" spans="8:8">
      <c r="G3280" s="9">
        <v>3277.0</v>
      </c>
      <c r="H3280" s="10">
        <f t="shared" si="93"/>
        <v>0.005420533772488843</v>
      </c>
    </row>
    <row r="3281" spans="8:8">
      <c r="G3281" s="9">
        <v>3278.0</v>
      </c>
      <c r="H3281" s="10">
        <f t="shared" si="93"/>
        <v>0.01721826714547216</v>
      </c>
    </row>
    <row r="3282" spans="8:8">
      <c r="G3282" s="9">
        <v>3279.0</v>
      </c>
      <c r="H3282" s="10">
        <f t="shared" si="93"/>
        <v>0.014074408435325213</v>
      </c>
    </row>
    <row r="3283" spans="8:8">
      <c r="G3283" s="9">
        <v>3280.0</v>
      </c>
      <c r="H3283" s="10">
        <f t="shared" si="93"/>
        <v>0.006631766045934158</v>
      </c>
    </row>
    <row r="3284" spans="8:8">
      <c r="G3284" s="9">
        <v>3281.0</v>
      </c>
      <c r="H3284" s="10">
        <f t="shared" si="93"/>
        <v>0.00897358701675369</v>
      </c>
    </row>
    <row r="3285" spans="8:8">
      <c r="G3285" s="9">
        <v>3282.0</v>
      </c>
      <c r="H3285" s="10">
        <f t="shared" si="93"/>
        <v>-0.008434050059516744</v>
      </c>
    </row>
    <row r="3286" spans="8:8">
      <c r="G3286" s="9">
        <v>3283.0</v>
      </c>
      <c r="H3286" s="10">
        <f t="shared" si="93"/>
        <v>0.0035109179544744466</v>
      </c>
    </row>
    <row r="3287" spans="8:8">
      <c r="G3287" s="9">
        <v>3284.0</v>
      </c>
      <c r="H3287" s="10">
        <f t="shared" si="93"/>
        <v>0.014155037991185112</v>
      </c>
    </row>
    <row r="3288" spans="8:8">
      <c r="G3288" s="9">
        <v>3285.0</v>
      </c>
      <c r="H3288" s="10">
        <f t="shared" si="93"/>
        <v>-0.005014512388772087</v>
      </c>
    </row>
    <row r="3289" spans="8:8">
      <c r="G3289" s="9">
        <v>3286.0</v>
      </c>
      <c r="H3289" s="10">
        <f t="shared" si="93"/>
        <v>0.014135916884772927</v>
      </c>
    </row>
    <row r="3290" spans="8:8">
      <c r="G3290" s="9">
        <v>3287.0</v>
      </c>
      <c r="H3290" s="10">
        <f t="shared" si="93"/>
        <v>0.00829429350629721</v>
      </c>
    </row>
    <row r="3291" spans="8:8">
      <c r="G3291" s="9">
        <v>3288.0</v>
      </c>
      <c r="H3291" s="10">
        <f t="shared" si="93"/>
        <v>-7.066240050635679E-4</v>
      </c>
    </row>
    <row r="3292" spans="8:8">
      <c r="G3292" s="9">
        <v>3289.0</v>
      </c>
      <c r="H3292" s="10">
        <f t="shared" si="93"/>
        <v>1.6256035481149221E-4</v>
      </c>
    </row>
    <row r="3293" spans="8:8">
      <c r="G3293" s="9">
        <v>3290.0</v>
      </c>
      <c r="H3293" s="10">
        <f t="shared" si="93"/>
        <v>0.012816217230797362</v>
      </c>
    </row>
    <row r="3294" spans="8:8">
      <c r="G3294" s="9">
        <v>3291.0</v>
      </c>
      <c r="H3294" s="10">
        <f t="shared" si="93"/>
        <v>0.009920875842931906</v>
      </c>
    </row>
    <row r="3295" spans="8:8">
      <c r="G3295" s="9">
        <v>3292.0</v>
      </c>
      <c r="H3295" s="10">
        <f t="shared" si="93"/>
        <v>0.009863550063466292</v>
      </c>
    </row>
    <row r="3296" spans="8:8">
      <c r="G3296" s="9">
        <v>3293.0</v>
      </c>
      <c r="H3296" s="10">
        <f t="shared" si="93"/>
        <v>0.017083911507428218</v>
      </c>
    </row>
    <row r="3297" spans="8:8">
      <c r="G3297" s="9">
        <v>3294.0</v>
      </c>
      <c r="H3297" s="10">
        <f t="shared" si="93"/>
        <v>0.02572818756287681</v>
      </c>
    </row>
    <row r="3298" spans="8:8">
      <c r="G3298" s="9">
        <v>3295.0</v>
      </c>
      <c r="H3298" s="10">
        <f t="shared" si="93"/>
        <v>-0.017219543698354503</v>
      </c>
    </row>
    <row r="3299" spans="8:8">
      <c r="G3299" s="9">
        <v>3296.0</v>
      </c>
      <c r="H3299" s="10">
        <f t="shared" si="93"/>
        <v>0.020759316187119597</v>
      </c>
    </row>
    <row r="3300" spans="8:8">
      <c r="G3300" s="9">
        <v>3297.0</v>
      </c>
      <c r="H3300" s="10">
        <f t="shared" si="93"/>
        <v>0.002039270186706979</v>
      </c>
    </row>
    <row r="3301" spans="8:8">
      <c r="G3301" s="9">
        <v>3298.0</v>
      </c>
      <c r="H3301" s="10">
        <f t="shared" si="93"/>
        <v>-0.004863949129479573</v>
      </c>
    </row>
    <row r="3302" spans="8:8">
      <c r="G3302" s="9">
        <v>3299.0</v>
      </c>
      <c r="H3302" s="10">
        <f t="shared" si="93"/>
        <v>0.00931269966358008</v>
      </c>
    </row>
    <row r="3303" spans="8:8">
      <c r="G3303" s="9">
        <v>3300.0</v>
      </c>
      <c r="H3303" s="10">
        <f t="shared" si="93"/>
        <v>0.004408780847702346</v>
      </c>
    </row>
    <row r="3304" spans="8:8">
      <c r="G3304" s="9">
        <v>3301.0</v>
      </c>
      <c r="H3304" s="10">
        <f t="shared" si="93"/>
        <v>-0.016809976348514773</v>
      </c>
    </row>
    <row r="3305" spans="8:8">
      <c r="G3305" s="9">
        <v>3302.0</v>
      </c>
      <c r="H3305" s="10">
        <f t="shared" si="93"/>
        <v>-0.014418061112802163</v>
      </c>
    </row>
    <row r="3306" spans="8:8">
      <c r="G3306" s="9">
        <v>3303.0</v>
      </c>
      <c r="H3306" s="10">
        <f t="shared" si="93"/>
        <v>0.020413690935813487</v>
      </c>
    </row>
    <row r="3307" spans="8:8">
      <c r="G3307" s="9">
        <v>3304.0</v>
      </c>
      <c r="H3307" s="10">
        <f t="shared" si="93"/>
        <v>0.013143844067760882</v>
      </c>
    </row>
    <row r="3308" spans="8:8">
      <c r="G3308" s="9">
        <v>3305.0</v>
      </c>
      <c r="H3308" s="10">
        <f t="shared" si="93"/>
        <v>0.014472625246540395</v>
      </c>
    </row>
    <row r="3309" spans="8:8">
      <c r="G3309" s="9">
        <v>3306.0</v>
      </c>
      <c r="H3309" s="10">
        <f t="shared" si="93"/>
        <v>-0.0010195051412113442</v>
      </c>
    </row>
    <row r="3310" spans="8:8">
      <c r="G3310" s="9">
        <v>3307.0</v>
      </c>
      <c r="H3310" s="10">
        <f t="shared" si="93"/>
        <v>-0.012184392943900266</v>
      </c>
    </row>
    <row r="3311" spans="8:8">
      <c r="G3311" s="9">
        <v>3308.0</v>
      </c>
      <c r="H3311" s="10">
        <f t="shared" si="93"/>
        <v>-0.011250019709631378</v>
      </c>
    </row>
    <row r="3312" spans="8:8">
      <c r="G3312" s="9">
        <v>3309.0</v>
      </c>
      <c r="H3312" s="10">
        <f t="shared" si="93"/>
        <v>-0.0030132236030916745</v>
      </c>
    </row>
    <row r="3313" spans="8:8">
      <c r="G3313" s="9">
        <v>3310.0</v>
      </c>
      <c r="H3313" s="10">
        <f t="shared" si="93"/>
        <v>0.011031953522761102</v>
      </c>
    </row>
    <row r="3314" spans="8:8">
      <c r="G3314" s="9">
        <v>3311.0</v>
      </c>
      <c r="H3314" s="10">
        <f t="shared" si="93"/>
        <v>0.005721443496833975</v>
      </c>
    </row>
    <row r="3315" spans="8:8">
      <c r="G3315" s="9">
        <v>3312.0</v>
      </c>
      <c r="H3315" s="10">
        <f t="shared" si="93"/>
        <v>0.016130657292047046</v>
      </c>
    </row>
    <row r="3316" spans="8:8">
      <c r="G3316" s="9">
        <v>3313.0</v>
      </c>
      <c r="H3316" s="10">
        <f t="shared" si="93"/>
        <v>0.0035104638890808082</v>
      </c>
    </row>
    <row r="3317" spans="8:8">
      <c r="G3317" s="9">
        <v>3314.0</v>
      </c>
      <c r="H3317" s="10">
        <f t="shared" si="93"/>
        <v>0.02674362941222804</v>
      </c>
    </row>
    <row r="3318" spans="8:8">
      <c r="G3318" s="9">
        <v>3315.0</v>
      </c>
      <c r="H3318" s="10">
        <f t="shared" si="93"/>
        <v>-0.01396210886560758</v>
      </c>
    </row>
    <row r="3319" spans="8:8">
      <c r="G3319" s="9">
        <v>3316.0</v>
      </c>
      <c r="H3319" s="10">
        <f t="shared" si="93"/>
        <v>0.006396806217420988</v>
      </c>
    </row>
    <row r="3320" spans="8:8">
      <c r="G3320" s="9">
        <v>3317.0</v>
      </c>
      <c r="H3320" s="10">
        <f t="shared" si="93"/>
        <v>-0.008291128944221189</v>
      </c>
    </row>
    <row r="3321" spans="8:8">
      <c r="G3321" s="9">
        <v>3318.0</v>
      </c>
      <c r="H3321" s="10">
        <f t="shared" si="93"/>
        <v>0.004080018511623335</v>
      </c>
    </row>
    <row r="3322" spans="8:8">
      <c r="G3322" s="9">
        <v>3319.0</v>
      </c>
      <c r="H3322" s="10">
        <f t="shared" si="93"/>
        <v>0.015405410439139521</v>
      </c>
    </row>
    <row r="3323" spans="8:8">
      <c r="G3323" s="9">
        <v>3320.0</v>
      </c>
      <c r="H3323" s="10">
        <f t="shared" si="93"/>
        <v>0.007495703914975465</v>
      </c>
    </row>
    <row r="3324" spans="8:8">
      <c r="G3324" s="9">
        <v>3321.0</v>
      </c>
      <c r="H3324" s="10">
        <f t="shared" si="93"/>
        <v>-0.013266424847774478</v>
      </c>
    </row>
    <row r="3325" spans="8:8">
      <c r="G3325" s="9">
        <v>3322.0</v>
      </c>
      <c r="H3325" s="10">
        <f t="shared" si="93"/>
        <v>0.009532477030350477</v>
      </c>
    </row>
    <row r="3326" spans="8:8">
      <c r="G3326" s="9">
        <v>3323.0</v>
      </c>
      <c r="H3326" s="10">
        <f t="shared" si="93"/>
        <v>0.004718203097334117</v>
      </c>
    </row>
    <row r="3327" spans="8:8">
      <c r="G3327" s="9">
        <v>3324.0</v>
      </c>
      <c r="H3327" s="10">
        <f t="shared" si="93"/>
        <v>0.006511394596338663</v>
      </c>
    </row>
    <row r="3328" spans="8:8">
      <c r="G3328" s="9">
        <v>3325.0</v>
      </c>
      <c r="H3328" s="10">
        <f t="shared" si="93"/>
        <v>0.005005017100220241</v>
      </c>
    </row>
    <row r="3329" spans="8:8">
      <c r="G3329" s="9">
        <v>3326.0</v>
      </c>
      <c r="H3329" s="10">
        <f t="shared" si="93"/>
        <v>0.011262807928885503</v>
      </c>
    </row>
    <row r="3330" spans="8:8">
      <c r="G3330" s="9">
        <v>3327.0</v>
      </c>
      <c r="H3330" s="10">
        <f t="shared" si="93"/>
        <v>0.0037666935376056434</v>
      </c>
    </row>
    <row r="3331" spans="8:8">
      <c r="G3331" s="9">
        <v>3328.0</v>
      </c>
      <c r="H3331" s="10">
        <f t="shared" si="93"/>
        <v>-0.0064385267770507145</v>
      </c>
    </row>
    <row r="3332" spans="8:8">
      <c r="G3332" s="9">
        <v>3329.0</v>
      </c>
      <c r="H3332" s="10">
        <f t="shared" si="93"/>
        <v>0.017820350331209028</v>
      </c>
    </row>
    <row r="3333" spans="8:8">
      <c r="G3333" s="9">
        <v>3330.0</v>
      </c>
      <c r="H3333" s="10">
        <f t="shared" si="94" ref="H3333:H3396">_xlfn.NORM.INV(RAND(),N$6,N$7)</f>
        <v>-0.0011776209876035578</v>
      </c>
    </row>
    <row r="3334" spans="8:8">
      <c r="G3334" s="9">
        <v>3331.0</v>
      </c>
      <c r="H3334" s="10">
        <f t="shared" si="94"/>
        <v>0.013219164139837664</v>
      </c>
    </row>
    <row r="3335" spans="8:8">
      <c r="G3335" s="9">
        <v>3332.0</v>
      </c>
      <c r="H3335" s="10">
        <f t="shared" si="94"/>
        <v>-0.009887162928441169</v>
      </c>
    </row>
    <row r="3336" spans="8:8">
      <c r="G3336" s="9">
        <v>3333.0</v>
      </c>
      <c r="H3336" s="10">
        <f t="shared" si="94"/>
        <v>0.029570442192483188</v>
      </c>
    </row>
    <row r="3337" spans="8:8">
      <c r="G3337" s="9">
        <v>3334.0</v>
      </c>
      <c r="H3337" s="10">
        <f t="shared" si="94"/>
        <v>0.012461148913908149</v>
      </c>
    </row>
    <row r="3338" spans="8:8">
      <c r="G3338" s="9">
        <v>3335.0</v>
      </c>
      <c r="H3338" s="10">
        <f t="shared" si="94"/>
        <v>0.025900485218044205</v>
      </c>
    </row>
    <row r="3339" spans="8:8">
      <c r="G3339" s="9">
        <v>3336.0</v>
      </c>
      <c r="H3339" s="10">
        <f t="shared" si="94"/>
        <v>0.008173847035144084</v>
      </c>
    </row>
    <row r="3340" spans="8:8">
      <c r="G3340" s="9">
        <v>3337.0</v>
      </c>
      <c r="H3340" s="10">
        <f t="shared" si="94"/>
        <v>0.021508826841744134</v>
      </c>
    </row>
    <row r="3341" spans="8:8">
      <c r="G3341" s="9">
        <v>3338.0</v>
      </c>
      <c r="H3341" s="10">
        <f t="shared" si="94"/>
        <v>0.010593839331945286</v>
      </c>
    </row>
    <row r="3342" spans="8:8">
      <c r="G3342" s="9">
        <v>3339.0</v>
      </c>
      <c r="H3342" s="10">
        <f t="shared" si="94"/>
        <v>0.007978195935004082</v>
      </c>
    </row>
    <row r="3343" spans="8:8">
      <c r="G3343" s="9">
        <v>3340.0</v>
      </c>
      <c r="H3343" s="10">
        <f t="shared" si="94"/>
        <v>-0.004409719306954367</v>
      </c>
    </row>
    <row r="3344" spans="8:8">
      <c r="G3344" s="9">
        <v>3341.0</v>
      </c>
      <c r="H3344" s="10">
        <f t="shared" si="94"/>
        <v>0.01165908187658999</v>
      </c>
    </row>
    <row r="3345" spans="8:8">
      <c r="G3345" s="9">
        <v>3342.0</v>
      </c>
      <c r="H3345" s="10">
        <f t="shared" si="94"/>
        <v>0.006109897493737621</v>
      </c>
    </row>
    <row r="3346" spans="8:8">
      <c r="G3346" s="9">
        <v>3343.0</v>
      </c>
      <c r="H3346" s="10">
        <f t="shared" si="94"/>
        <v>0.013396241078562625</v>
      </c>
    </row>
    <row r="3347" spans="8:8">
      <c r="G3347" s="9">
        <v>3344.0</v>
      </c>
      <c r="H3347" s="10">
        <f t="shared" si="94"/>
        <v>-0.016845671410370258</v>
      </c>
    </row>
    <row r="3348" spans="8:8">
      <c r="G3348" s="9">
        <v>3345.0</v>
      </c>
      <c r="H3348" s="10">
        <f t="shared" si="94"/>
        <v>-0.008493373582884971</v>
      </c>
    </row>
    <row r="3349" spans="8:8">
      <c r="G3349" s="9">
        <v>3346.0</v>
      </c>
      <c r="H3349" s="10">
        <f t="shared" si="94"/>
        <v>-0.003654708187586302</v>
      </c>
    </row>
    <row r="3350" spans="8:8">
      <c r="G3350" s="9">
        <v>3347.0</v>
      </c>
      <c r="H3350" s="10">
        <f t="shared" si="94"/>
        <v>0.023439441224408105</v>
      </c>
    </row>
    <row r="3351" spans="8:8">
      <c r="G3351" s="9">
        <v>3348.0</v>
      </c>
      <c r="H3351" s="10">
        <f t="shared" si="94"/>
        <v>2.8313045149256245E-4</v>
      </c>
    </row>
    <row r="3352" spans="8:8">
      <c r="G3352" s="9">
        <v>3349.0</v>
      </c>
      <c r="H3352" s="10">
        <f t="shared" si="94"/>
        <v>0.013715384281800587</v>
      </c>
    </row>
    <row r="3353" spans="8:8">
      <c r="G3353" s="9">
        <v>3350.0</v>
      </c>
      <c r="H3353" s="10">
        <f t="shared" si="94"/>
        <v>0.02305720742252487</v>
      </c>
    </row>
    <row r="3354" spans="8:8">
      <c r="G3354" s="9">
        <v>3351.0</v>
      </c>
      <c r="H3354" s="10">
        <f t="shared" si="94"/>
        <v>-0.007351124366455317</v>
      </c>
    </row>
    <row r="3355" spans="8:8">
      <c r="G3355" s="9">
        <v>3352.0</v>
      </c>
      <c r="H3355" s="10">
        <f t="shared" si="94"/>
        <v>0.017756263898038256</v>
      </c>
    </row>
    <row r="3356" spans="8:8">
      <c r="G3356" s="9">
        <v>3353.0</v>
      </c>
      <c r="H3356" s="10">
        <f t="shared" si="94"/>
        <v>0.01544851903473525</v>
      </c>
    </row>
    <row r="3357" spans="8:8">
      <c r="G3357" s="9">
        <v>3354.0</v>
      </c>
      <c r="H3357" s="10">
        <f t="shared" si="94"/>
        <v>0.011133620596729166</v>
      </c>
    </row>
    <row r="3358" spans="8:8">
      <c r="G3358" s="9">
        <v>3355.0</v>
      </c>
      <c r="H3358" s="10">
        <f t="shared" si="94"/>
        <v>0.02454530258929634</v>
      </c>
    </row>
    <row r="3359" spans="8:8">
      <c r="G3359" s="9">
        <v>3356.0</v>
      </c>
      <c r="H3359" s="10">
        <f t="shared" si="94"/>
        <v>0.006520495287891381</v>
      </c>
    </row>
    <row r="3360" spans="8:8">
      <c r="G3360" s="9">
        <v>3357.0</v>
      </c>
      <c r="H3360" s="10">
        <f t="shared" si="94"/>
        <v>0.016924261258175855</v>
      </c>
    </row>
    <row r="3361" spans="8:8">
      <c r="G3361" s="9">
        <v>3358.0</v>
      </c>
      <c r="H3361" s="10">
        <f t="shared" si="94"/>
        <v>-0.006363102433423002</v>
      </c>
    </row>
    <row r="3362" spans="8:8">
      <c r="G3362" s="9">
        <v>3359.0</v>
      </c>
      <c r="H3362" s="10">
        <f t="shared" si="94"/>
        <v>0.013421110836197077</v>
      </c>
    </row>
    <row r="3363" spans="8:8">
      <c r="G3363" s="9">
        <v>3360.0</v>
      </c>
      <c r="H3363" s="10">
        <f t="shared" si="94"/>
        <v>-0.007905848046296505</v>
      </c>
    </row>
    <row r="3364" spans="8:8">
      <c r="G3364" s="9">
        <v>3361.0</v>
      </c>
      <c r="H3364" s="10">
        <f t="shared" si="94"/>
        <v>0.025486499909718203</v>
      </c>
    </row>
    <row r="3365" spans="8:8">
      <c r="G3365" s="9">
        <v>3362.0</v>
      </c>
      <c r="H3365" s="10">
        <f t="shared" si="94"/>
        <v>0.015063568789752443</v>
      </c>
    </row>
    <row r="3366" spans="8:8">
      <c r="G3366" s="9">
        <v>3363.0</v>
      </c>
      <c r="H3366" s="10">
        <f t="shared" si="94"/>
        <v>0.011759700803569022</v>
      </c>
    </row>
    <row r="3367" spans="8:8">
      <c r="G3367" s="9">
        <v>3364.0</v>
      </c>
      <c r="H3367" s="10">
        <f t="shared" si="94"/>
        <v>-0.003602916909610768</v>
      </c>
    </row>
    <row r="3368" spans="8:8">
      <c r="G3368" s="9">
        <v>3365.0</v>
      </c>
      <c r="H3368" s="10">
        <f t="shared" si="94"/>
        <v>0.024427468553030882</v>
      </c>
    </row>
    <row r="3369" spans="8:8">
      <c r="G3369" s="9">
        <v>3366.0</v>
      </c>
      <c r="H3369" s="10">
        <f t="shared" si="94"/>
        <v>0.016939778232163482</v>
      </c>
    </row>
    <row r="3370" spans="8:8">
      <c r="G3370" s="9">
        <v>3367.0</v>
      </c>
      <c r="H3370" s="10">
        <f t="shared" si="94"/>
        <v>0.003213534876185342</v>
      </c>
    </row>
    <row r="3371" spans="8:8">
      <c r="G3371" s="9">
        <v>3368.0</v>
      </c>
      <c r="H3371" s="10">
        <f t="shared" si="94"/>
        <v>0.021012082166230406</v>
      </c>
    </row>
    <row r="3372" spans="8:8">
      <c r="G3372" s="9">
        <v>3369.0</v>
      </c>
      <c r="H3372" s="10">
        <f t="shared" si="94"/>
        <v>0.0031823095585880343</v>
      </c>
    </row>
    <row r="3373" spans="8:8">
      <c r="G3373" s="9">
        <v>3370.0</v>
      </c>
      <c r="H3373" s="10">
        <f t="shared" si="94"/>
        <v>0.01865007387084108</v>
      </c>
    </row>
    <row r="3374" spans="8:8">
      <c r="G3374" s="9">
        <v>3371.0</v>
      </c>
      <c r="H3374" s="10">
        <f t="shared" si="94"/>
        <v>-3.2058735395204454E-4</v>
      </c>
    </row>
    <row r="3375" spans="8:8">
      <c r="G3375" s="9">
        <v>3372.0</v>
      </c>
      <c r="H3375" s="10">
        <f t="shared" si="94"/>
        <v>0.006623908421723924</v>
      </c>
    </row>
    <row r="3376" spans="8:8">
      <c r="G3376" s="9">
        <v>3373.0</v>
      </c>
      <c r="H3376" s="10">
        <f t="shared" si="94"/>
        <v>0.015549431130394087</v>
      </c>
    </row>
    <row r="3377" spans="8:8">
      <c r="G3377" s="9">
        <v>3374.0</v>
      </c>
      <c r="H3377" s="10">
        <f t="shared" si="94"/>
        <v>0.003913573261264404</v>
      </c>
    </row>
    <row r="3378" spans="8:8">
      <c r="G3378" s="9">
        <v>3375.0</v>
      </c>
      <c r="H3378" s="10">
        <f t="shared" si="94"/>
        <v>0.013643919679258456</v>
      </c>
    </row>
    <row r="3379" spans="8:8">
      <c r="G3379" s="9">
        <v>3376.0</v>
      </c>
      <c r="H3379" s="10">
        <f t="shared" si="94"/>
        <v>-0.007823935098115967</v>
      </c>
    </row>
    <row r="3380" spans="8:8">
      <c r="G3380" s="9">
        <v>3377.0</v>
      </c>
      <c r="H3380" s="10">
        <f t="shared" si="94"/>
        <v>0.009078145493928607</v>
      </c>
    </row>
    <row r="3381" spans="8:8">
      <c r="G3381" s="9">
        <v>3378.0</v>
      </c>
      <c r="H3381" s="10">
        <f t="shared" si="94"/>
        <v>0.007905971692468865</v>
      </c>
    </row>
    <row r="3382" spans="8:8">
      <c r="G3382" s="9">
        <v>3379.0</v>
      </c>
      <c r="H3382" s="10">
        <f t="shared" si="94"/>
        <v>-0.012747255040391536</v>
      </c>
    </row>
    <row r="3383" spans="8:8">
      <c r="G3383" s="9">
        <v>3380.0</v>
      </c>
      <c r="H3383" s="10">
        <f t="shared" si="94"/>
        <v>0.009266905348206265</v>
      </c>
    </row>
    <row r="3384" spans="8:8">
      <c r="G3384" s="9">
        <v>3381.0</v>
      </c>
      <c r="H3384" s="10">
        <f t="shared" si="94"/>
        <v>0.012732613363372655</v>
      </c>
    </row>
    <row r="3385" spans="8:8">
      <c r="G3385" s="9">
        <v>3382.0</v>
      </c>
      <c r="H3385" s="10">
        <f t="shared" si="94"/>
        <v>0.006032146316087273</v>
      </c>
    </row>
    <row r="3386" spans="8:8">
      <c r="G3386" s="9">
        <v>3383.0</v>
      </c>
      <c r="H3386" s="10">
        <f t="shared" si="94"/>
        <v>-0.017575437456729324</v>
      </c>
    </row>
    <row r="3387" spans="8:8">
      <c r="G3387" s="9">
        <v>3384.0</v>
      </c>
      <c r="H3387" s="10">
        <f t="shared" si="94"/>
        <v>0.004262362878985376</v>
      </c>
    </row>
    <row r="3388" spans="8:8">
      <c r="G3388" s="9">
        <v>3385.0</v>
      </c>
      <c r="H3388" s="10">
        <f t="shared" si="94"/>
        <v>0.028693624534183223</v>
      </c>
    </row>
    <row r="3389" spans="8:8">
      <c r="G3389" s="9">
        <v>3386.0</v>
      </c>
      <c r="H3389" s="10">
        <f t="shared" si="94"/>
        <v>0.00993970661360783</v>
      </c>
    </row>
    <row r="3390" spans="8:8">
      <c r="G3390" s="9">
        <v>3387.0</v>
      </c>
      <c r="H3390" s="10">
        <f t="shared" si="94"/>
        <v>0.0037323845830923995</v>
      </c>
    </row>
    <row r="3391" spans="8:8">
      <c r="G3391" s="9">
        <v>3388.0</v>
      </c>
      <c r="H3391" s="10">
        <f t="shared" si="94"/>
        <v>0.0028219506960924234</v>
      </c>
    </row>
    <row r="3392" spans="8:8">
      <c r="G3392" s="9">
        <v>3389.0</v>
      </c>
      <c r="H3392" s="10">
        <f t="shared" si="94"/>
        <v>0.016580492145227173</v>
      </c>
    </row>
    <row r="3393" spans="8:8">
      <c r="G3393" s="9">
        <v>3390.0</v>
      </c>
      <c r="H3393" s="10">
        <f t="shared" si="94"/>
        <v>0.01467601037313283</v>
      </c>
    </row>
    <row r="3394" spans="8:8">
      <c r="G3394" s="9">
        <v>3391.0</v>
      </c>
      <c r="H3394" s="10">
        <f t="shared" si="94"/>
        <v>-0.003443591714110076</v>
      </c>
    </row>
    <row r="3395" spans="8:8">
      <c r="G3395" s="9">
        <v>3392.0</v>
      </c>
      <c r="H3395" s="10">
        <f t="shared" si="94"/>
        <v>0.02407564182919052</v>
      </c>
    </row>
    <row r="3396" spans="8:8">
      <c r="G3396" s="9">
        <v>3393.0</v>
      </c>
      <c r="H3396" s="10">
        <f t="shared" si="94"/>
        <v>-0.00997133378494533</v>
      </c>
    </row>
    <row r="3397" spans="8:8">
      <c r="G3397" s="9">
        <v>3394.0</v>
      </c>
      <c r="H3397" s="10">
        <f t="shared" si="95" ref="H3397:H3460">_xlfn.NORM.INV(RAND(),N$6,N$7)</f>
        <v>0.010364707945037006</v>
      </c>
    </row>
    <row r="3398" spans="8:8">
      <c r="G3398" s="9">
        <v>3395.0</v>
      </c>
      <c r="H3398" s="10">
        <f t="shared" si="95"/>
        <v>-0.010656592502462505</v>
      </c>
    </row>
    <row r="3399" spans="8:8">
      <c r="G3399" s="9">
        <v>3396.0</v>
      </c>
      <c r="H3399" s="10">
        <f t="shared" si="95"/>
        <v>0.00499355620113883</v>
      </c>
    </row>
    <row r="3400" spans="8:8">
      <c r="G3400" s="9">
        <v>3397.0</v>
      </c>
      <c r="H3400" s="10">
        <f t="shared" si="95"/>
        <v>-0.0072942440594007145</v>
      </c>
    </row>
    <row r="3401" spans="8:8">
      <c r="G3401" s="9">
        <v>3398.0</v>
      </c>
      <c r="H3401" s="10">
        <f t="shared" si="95"/>
        <v>0.004505502382458698</v>
      </c>
    </row>
    <row r="3402" spans="8:8">
      <c r="G3402" s="9">
        <v>3399.0</v>
      </c>
      <c r="H3402" s="10">
        <f t="shared" si="95"/>
        <v>0.002833856076342247</v>
      </c>
    </row>
    <row r="3403" spans="8:8">
      <c r="G3403" s="9">
        <v>3400.0</v>
      </c>
      <c r="H3403" s="10">
        <f t="shared" si="95"/>
        <v>-0.0016005395489083925</v>
      </c>
    </row>
    <row r="3404" spans="8:8">
      <c r="G3404" s="9">
        <v>3401.0</v>
      </c>
      <c r="H3404" s="10">
        <f t="shared" si="95"/>
        <v>-0.009591477129654063</v>
      </c>
    </row>
    <row r="3405" spans="8:8">
      <c r="G3405" s="9">
        <v>3402.0</v>
      </c>
      <c r="H3405" s="10">
        <f t="shared" si="95"/>
        <v>-0.0025926064016352406</v>
      </c>
    </row>
    <row r="3406" spans="8:8">
      <c r="G3406" s="9">
        <v>3403.0</v>
      </c>
      <c r="H3406" s="10">
        <f t="shared" si="95"/>
        <v>-0.0017963625153239998</v>
      </c>
    </row>
    <row r="3407" spans="8:8">
      <c r="G3407" s="9">
        <v>3404.0</v>
      </c>
      <c r="H3407" s="10">
        <f t="shared" si="95"/>
        <v>0.007829908848133536</v>
      </c>
    </row>
    <row r="3408" spans="8:8">
      <c r="G3408" s="9">
        <v>3405.0</v>
      </c>
      <c r="H3408" s="10">
        <f t="shared" si="95"/>
        <v>0.009586795592657753</v>
      </c>
    </row>
    <row r="3409" spans="8:8">
      <c r="G3409" s="9">
        <v>3406.0</v>
      </c>
      <c r="H3409" s="10">
        <f t="shared" si="95"/>
        <v>-0.022058736191992376</v>
      </c>
    </row>
    <row r="3410" spans="8:8">
      <c r="G3410" s="9">
        <v>3407.0</v>
      </c>
      <c r="H3410" s="10">
        <f t="shared" si="95"/>
        <v>-8.581577601714423E-4</v>
      </c>
    </row>
    <row r="3411" spans="8:8">
      <c r="G3411" s="9">
        <v>3408.0</v>
      </c>
      <c r="H3411" s="10">
        <f t="shared" si="95"/>
        <v>0.0021183859820256236</v>
      </c>
    </row>
    <row r="3412" spans="8:8">
      <c r="G3412" s="9">
        <v>3409.0</v>
      </c>
      <c r="H3412" s="10">
        <f t="shared" si="95"/>
        <v>0.001579396231876457</v>
      </c>
    </row>
    <row r="3413" spans="8:8">
      <c r="G3413" s="9">
        <v>3410.0</v>
      </c>
      <c r="H3413" s="10">
        <f t="shared" si="95"/>
        <v>0.0013875226055267602</v>
      </c>
    </row>
    <row r="3414" spans="8:8">
      <c r="G3414" s="9">
        <v>3411.0</v>
      </c>
      <c r="H3414" s="10">
        <f t="shared" si="95"/>
        <v>0.011378632971698967</v>
      </c>
    </row>
    <row r="3415" spans="8:8">
      <c r="G3415" s="9">
        <v>3412.0</v>
      </c>
      <c r="H3415" s="10">
        <f t="shared" si="95"/>
        <v>0.033379967607931604</v>
      </c>
    </row>
    <row r="3416" spans="8:8">
      <c r="G3416" s="9">
        <v>3413.0</v>
      </c>
      <c r="H3416" s="10">
        <f t="shared" si="95"/>
        <v>9.132735057069963E-4</v>
      </c>
    </row>
    <row r="3417" spans="8:8">
      <c r="G3417" s="9">
        <v>3414.0</v>
      </c>
      <c r="H3417" s="10">
        <f t="shared" si="95"/>
        <v>0.01971435061238367</v>
      </c>
    </row>
    <row r="3418" spans="8:8">
      <c r="G3418" s="9">
        <v>3415.0</v>
      </c>
      <c r="H3418" s="10">
        <f t="shared" si="95"/>
        <v>-0.006677615000088846</v>
      </c>
    </row>
    <row r="3419" spans="8:8">
      <c r="G3419" s="9">
        <v>3416.0</v>
      </c>
      <c r="H3419" s="10">
        <f t="shared" si="95"/>
        <v>0.0034307961528568885</v>
      </c>
    </row>
    <row r="3420" spans="8:8">
      <c r="G3420" s="9">
        <v>3417.0</v>
      </c>
      <c r="H3420" s="10">
        <f t="shared" si="95"/>
        <v>0.020680344627884345</v>
      </c>
    </row>
    <row r="3421" spans="8:8">
      <c r="G3421" s="9">
        <v>3418.0</v>
      </c>
      <c r="H3421" s="10">
        <f t="shared" si="95"/>
        <v>0.03686764494678081</v>
      </c>
    </row>
    <row r="3422" spans="8:8">
      <c r="G3422" s="9">
        <v>3419.0</v>
      </c>
      <c r="H3422" s="10">
        <f t="shared" si="95"/>
        <v>0.0153920132685567</v>
      </c>
    </row>
    <row r="3423" spans="8:8">
      <c r="G3423" s="9">
        <v>3420.0</v>
      </c>
      <c r="H3423" s="10">
        <f t="shared" si="95"/>
        <v>0.010974773841039787</v>
      </c>
    </row>
    <row r="3424" spans="8:8">
      <c r="G3424" s="9">
        <v>3421.0</v>
      </c>
      <c r="H3424" s="10">
        <f t="shared" si="95"/>
        <v>-0.0013457996952459224</v>
      </c>
    </row>
    <row r="3425" spans="8:8">
      <c r="G3425" s="9">
        <v>3422.0</v>
      </c>
      <c r="H3425" s="10">
        <f t="shared" si="95"/>
        <v>0.007297267212707367</v>
      </c>
    </row>
    <row r="3426" spans="8:8">
      <c r="G3426" s="9">
        <v>3423.0</v>
      </c>
      <c r="H3426" s="10">
        <f t="shared" si="95"/>
        <v>0.02246811973659509</v>
      </c>
    </row>
    <row r="3427" spans="8:8">
      <c r="G3427" s="9">
        <v>3424.0</v>
      </c>
      <c r="H3427" s="10">
        <f t="shared" si="95"/>
        <v>-0.008057909967140724</v>
      </c>
    </row>
    <row r="3428" spans="8:8">
      <c r="G3428" s="9">
        <v>3425.0</v>
      </c>
      <c r="H3428" s="10">
        <f t="shared" si="95"/>
        <v>0.003963475850884183</v>
      </c>
    </row>
    <row r="3429" spans="8:8">
      <c r="G3429" s="9">
        <v>3426.0</v>
      </c>
      <c r="H3429" s="10">
        <f t="shared" si="95"/>
        <v>0.024130461406525153</v>
      </c>
    </row>
    <row r="3430" spans="8:8">
      <c r="G3430" s="9">
        <v>3427.0</v>
      </c>
      <c r="H3430" s="10">
        <f t="shared" si="95"/>
        <v>-0.0023879869594277577</v>
      </c>
    </row>
    <row r="3431" spans="8:8">
      <c r="G3431" s="9">
        <v>3428.0</v>
      </c>
      <c r="H3431" s="10">
        <f t="shared" si="95"/>
        <v>0.011615547992242837</v>
      </c>
    </row>
    <row r="3432" spans="8:8">
      <c r="G3432" s="9">
        <v>3429.0</v>
      </c>
      <c r="H3432" s="10">
        <f t="shared" si="95"/>
        <v>-5.91806404366766E-7</v>
      </c>
    </row>
    <row r="3433" spans="8:8">
      <c r="G3433" s="9">
        <v>3430.0</v>
      </c>
      <c r="H3433" s="10">
        <f t="shared" si="95"/>
        <v>-0.008265353057686015</v>
      </c>
    </row>
    <row r="3434" spans="8:8">
      <c r="G3434" s="9">
        <v>3431.0</v>
      </c>
      <c r="H3434" s="10">
        <f t="shared" si="95"/>
        <v>-0.019551802126956064</v>
      </c>
    </row>
    <row r="3435" spans="8:8">
      <c r="G3435" s="9">
        <v>3432.0</v>
      </c>
      <c r="H3435" s="10">
        <f t="shared" si="95"/>
        <v>0.020714767716561264</v>
      </c>
    </row>
    <row r="3436" spans="8:8">
      <c r="G3436" s="9">
        <v>3433.0</v>
      </c>
      <c r="H3436" s="10">
        <f t="shared" si="95"/>
        <v>0.005929355315972064</v>
      </c>
    </row>
    <row r="3437" spans="8:8">
      <c r="G3437" s="9">
        <v>3434.0</v>
      </c>
      <c r="H3437" s="10">
        <f t="shared" si="95"/>
        <v>-0.019804614208867862</v>
      </c>
    </row>
    <row r="3438" spans="8:8">
      <c r="G3438" s="9">
        <v>3435.0</v>
      </c>
      <c r="H3438" s="10">
        <f t="shared" si="95"/>
        <v>0.02041789560788799</v>
      </c>
    </row>
    <row r="3439" spans="8:8">
      <c r="G3439" s="9">
        <v>3436.0</v>
      </c>
      <c r="H3439" s="10">
        <f t="shared" si="95"/>
        <v>0.009995968319593243</v>
      </c>
    </row>
    <row r="3440" spans="8:8">
      <c r="G3440" s="9">
        <v>3437.0</v>
      </c>
      <c r="H3440" s="10">
        <f t="shared" si="95"/>
        <v>-0.009257409053681241</v>
      </c>
    </row>
    <row r="3441" spans="8:8">
      <c r="G3441" s="9">
        <v>3438.0</v>
      </c>
      <c r="H3441" s="10">
        <f t="shared" si="95"/>
        <v>0.029985631454064146</v>
      </c>
    </row>
    <row r="3442" spans="8:8">
      <c r="G3442" s="9">
        <v>3439.0</v>
      </c>
      <c r="H3442" s="10">
        <f t="shared" si="95"/>
        <v>0.016816322989925775</v>
      </c>
    </row>
    <row r="3443" spans="8:8">
      <c r="G3443" s="9">
        <v>3440.0</v>
      </c>
      <c r="H3443" s="10">
        <f t="shared" si="95"/>
        <v>0.01180203214723588</v>
      </c>
    </row>
    <row r="3444" spans="8:8">
      <c r="G3444" s="9">
        <v>3441.0</v>
      </c>
      <c r="H3444" s="10">
        <f t="shared" si="95"/>
        <v>0.007239194762644313</v>
      </c>
    </row>
    <row r="3445" spans="8:8">
      <c r="G3445" s="9">
        <v>3442.0</v>
      </c>
      <c r="H3445" s="10">
        <f t="shared" si="95"/>
        <v>-0.0026814256332264134</v>
      </c>
    </row>
    <row r="3446" spans="8:8">
      <c r="G3446" s="9">
        <v>3443.0</v>
      </c>
      <c r="H3446" s="10">
        <f t="shared" si="95"/>
        <v>-0.012438355882467982</v>
      </c>
    </row>
    <row r="3447" spans="8:8">
      <c r="G3447" s="9">
        <v>3444.0</v>
      </c>
      <c r="H3447" s="10">
        <f t="shared" si="95"/>
        <v>-0.007537645470889208</v>
      </c>
    </row>
    <row r="3448" spans="8:8">
      <c r="G3448" s="9">
        <v>3445.0</v>
      </c>
      <c r="H3448" s="10">
        <f t="shared" si="95"/>
        <v>0.002381113561053548</v>
      </c>
    </row>
    <row r="3449" spans="8:8">
      <c r="G3449" s="9">
        <v>3446.0</v>
      </c>
      <c r="H3449" s="10">
        <f t="shared" si="95"/>
        <v>-0.007778345246421477</v>
      </c>
    </row>
    <row r="3450" spans="8:8">
      <c r="G3450" s="9">
        <v>3447.0</v>
      </c>
      <c r="H3450" s="10">
        <f t="shared" si="95"/>
        <v>0.012567219313362861</v>
      </c>
    </row>
    <row r="3451" spans="8:8">
      <c r="G3451" s="9">
        <v>3448.0</v>
      </c>
      <c r="H3451" s="10">
        <f t="shared" si="95"/>
        <v>0.01453132071228001</v>
      </c>
    </row>
    <row r="3452" spans="8:8">
      <c r="G3452" s="9">
        <v>3449.0</v>
      </c>
      <c r="H3452" s="10">
        <f t="shared" si="95"/>
        <v>0.016793926426889948</v>
      </c>
    </row>
    <row r="3453" spans="8:8">
      <c r="G3453" s="9">
        <v>3450.0</v>
      </c>
      <c r="H3453" s="10">
        <f t="shared" si="95"/>
        <v>0.007756952317436599</v>
      </c>
    </row>
    <row r="3454" spans="8:8">
      <c r="G3454" s="9">
        <v>3451.0</v>
      </c>
      <c r="H3454" s="10">
        <f t="shared" si="95"/>
        <v>0.001983247325050736</v>
      </c>
    </row>
    <row r="3455" spans="8:8">
      <c r="G3455" s="9">
        <v>3452.0</v>
      </c>
      <c r="H3455" s="10">
        <f t="shared" si="95"/>
        <v>0.02526346422578006</v>
      </c>
    </row>
    <row r="3456" spans="8:8">
      <c r="G3456" s="9">
        <v>3453.0</v>
      </c>
      <c r="H3456" s="10">
        <f t="shared" si="95"/>
        <v>0.018751120266691415</v>
      </c>
    </row>
    <row r="3457" spans="8:8">
      <c r="G3457" s="9">
        <v>3454.0</v>
      </c>
      <c r="H3457" s="10">
        <f t="shared" si="95"/>
        <v>-0.007393746808102818</v>
      </c>
    </row>
    <row r="3458" spans="8:8">
      <c r="G3458" s="9">
        <v>3455.0</v>
      </c>
      <c r="H3458" s="10">
        <f t="shared" si="95"/>
        <v>0.02063818887148301</v>
      </c>
    </row>
    <row r="3459" spans="8:8">
      <c r="G3459" s="9">
        <v>3456.0</v>
      </c>
      <c r="H3459" s="10">
        <f t="shared" si="95"/>
        <v>-0.008378922983391261</v>
      </c>
    </row>
    <row r="3460" spans="8:8">
      <c r="G3460" s="9">
        <v>3457.0</v>
      </c>
      <c r="H3460" s="10">
        <f t="shared" si="95"/>
        <v>-0.011134582244773126</v>
      </c>
    </row>
    <row r="3461" spans="8:8">
      <c r="G3461" s="9">
        <v>3458.0</v>
      </c>
      <c r="H3461" s="10">
        <f t="shared" si="96" ref="H3461:H3524">_xlfn.NORM.INV(RAND(),N$6,N$7)</f>
        <v>-0.004213579062125364</v>
      </c>
    </row>
    <row r="3462" spans="8:8">
      <c r="G3462" s="9">
        <v>3459.0</v>
      </c>
      <c r="H3462" s="10">
        <f t="shared" si="96"/>
        <v>-0.002283975836656015</v>
      </c>
    </row>
    <row r="3463" spans="8:8">
      <c r="G3463" s="9">
        <v>3460.0</v>
      </c>
      <c r="H3463" s="10">
        <f t="shared" si="96"/>
        <v>0.010163574842957875</v>
      </c>
    </row>
    <row r="3464" spans="8:8">
      <c r="G3464" s="9">
        <v>3461.0</v>
      </c>
      <c r="H3464" s="10">
        <f t="shared" si="96"/>
        <v>0.020399080415463004</v>
      </c>
    </row>
    <row r="3465" spans="8:8">
      <c r="G3465" s="9">
        <v>3462.0</v>
      </c>
      <c r="H3465" s="10">
        <f t="shared" si="96"/>
        <v>-0.007196854797416437</v>
      </c>
    </row>
    <row r="3466" spans="8:8">
      <c r="G3466" s="9">
        <v>3463.0</v>
      </c>
      <c r="H3466" s="10">
        <f t="shared" si="96"/>
        <v>0.008673227251428606</v>
      </c>
    </row>
    <row r="3467" spans="8:8">
      <c r="G3467" s="9">
        <v>3464.0</v>
      </c>
      <c r="H3467" s="10">
        <f t="shared" si="96"/>
        <v>0.0146338356839999</v>
      </c>
    </row>
    <row r="3468" spans="8:8">
      <c r="G3468" s="9">
        <v>3465.0</v>
      </c>
      <c r="H3468" s="10">
        <f t="shared" si="96"/>
        <v>0.00540502186940653</v>
      </c>
    </row>
    <row r="3469" spans="8:8">
      <c r="G3469" s="9">
        <v>3466.0</v>
      </c>
      <c r="H3469" s="10">
        <f t="shared" si="96"/>
        <v>-0.005030737700314197</v>
      </c>
    </row>
    <row r="3470" spans="8:8">
      <c r="G3470" s="9">
        <v>3467.0</v>
      </c>
      <c r="H3470" s="10">
        <f t="shared" si="96"/>
        <v>-0.0038297491737008414</v>
      </c>
    </row>
    <row r="3471" spans="8:8">
      <c r="G3471" s="9">
        <v>3468.0</v>
      </c>
      <c r="H3471" s="10">
        <f t="shared" si="96"/>
        <v>6.854184843759167E-4</v>
      </c>
    </row>
    <row r="3472" spans="8:8">
      <c r="G3472" s="9">
        <v>3469.0</v>
      </c>
      <c r="H3472" s="10">
        <f t="shared" si="96"/>
        <v>0.00487975511951604</v>
      </c>
    </row>
    <row r="3473" spans="8:8">
      <c r="G3473" s="9">
        <v>3470.0</v>
      </c>
      <c r="H3473" s="10">
        <f t="shared" si="96"/>
        <v>0.03042893676050114</v>
      </c>
    </row>
    <row r="3474" spans="8:8">
      <c r="G3474" s="9">
        <v>3471.0</v>
      </c>
      <c r="H3474" s="10">
        <f t="shared" si="96"/>
        <v>0.015411810539837683</v>
      </c>
    </row>
    <row r="3475" spans="8:8">
      <c r="G3475" s="9">
        <v>3472.0</v>
      </c>
      <c r="H3475" s="10">
        <f t="shared" si="96"/>
        <v>0.004478996461838644</v>
      </c>
    </row>
    <row r="3476" spans="8:8">
      <c r="G3476" s="9">
        <v>3473.0</v>
      </c>
      <c r="H3476" s="10">
        <f t="shared" si="96"/>
        <v>0.016145252178288997</v>
      </c>
    </row>
    <row r="3477" spans="8:8">
      <c r="G3477" s="9">
        <v>3474.0</v>
      </c>
      <c r="H3477" s="10">
        <f t="shared" si="96"/>
        <v>-0.0036451299839183925</v>
      </c>
    </row>
    <row r="3478" spans="8:8">
      <c r="G3478" s="9">
        <v>3475.0</v>
      </c>
      <c r="H3478" s="10">
        <f t="shared" si="96"/>
        <v>0.024945808525732853</v>
      </c>
    </row>
    <row r="3479" spans="8:8">
      <c r="G3479" s="9">
        <v>3476.0</v>
      </c>
      <c r="H3479" s="10">
        <f t="shared" si="96"/>
        <v>0.019147241652123944</v>
      </c>
    </row>
    <row r="3480" spans="8:8">
      <c r="G3480" s="9">
        <v>3477.0</v>
      </c>
      <c r="H3480" s="10">
        <f t="shared" si="96"/>
        <v>7.945796522134444E-4</v>
      </c>
    </row>
    <row r="3481" spans="8:8">
      <c r="G3481" s="9">
        <v>3478.0</v>
      </c>
      <c r="H3481" s="10">
        <f t="shared" si="96"/>
        <v>-0.009130710561149297</v>
      </c>
    </row>
    <row r="3482" spans="8:8">
      <c r="G3482" s="9">
        <v>3479.0</v>
      </c>
      <c r="H3482" s="10">
        <f t="shared" si="96"/>
        <v>0.007625391814797312</v>
      </c>
    </row>
    <row r="3483" spans="8:8">
      <c r="G3483" s="9">
        <v>3480.0</v>
      </c>
      <c r="H3483" s="10">
        <f t="shared" si="96"/>
        <v>0.01655491857788647</v>
      </c>
    </row>
    <row r="3484" spans="8:8">
      <c r="G3484" s="9">
        <v>3481.0</v>
      </c>
      <c r="H3484" s="10">
        <f t="shared" si="96"/>
        <v>0.009295315101671295</v>
      </c>
    </row>
    <row r="3485" spans="8:8">
      <c r="G3485" s="9">
        <v>3482.0</v>
      </c>
      <c r="H3485" s="10">
        <f t="shared" si="96"/>
        <v>0.030760648977929465</v>
      </c>
    </row>
    <row r="3486" spans="8:8">
      <c r="G3486" s="9">
        <v>3483.0</v>
      </c>
      <c r="H3486" s="10">
        <f t="shared" si="96"/>
        <v>0.0019442248429206819</v>
      </c>
    </row>
    <row r="3487" spans="8:8">
      <c r="G3487" s="9">
        <v>3484.0</v>
      </c>
      <c r="H3487" s="10">
        <f t="shared" si="96"/>
        <v>-2.601580831616012E-4</v>
      </c>
    </row>
    <row r="3488" spans="8:8">
      <c r="G3488" s="9">
        <v>3485.0</v>
      </c>
      <c r="H3488" s="10">
        <f t="shared" si="96"/>
        <v>0.022065803282285742</v>
      </c>
    </row>
    <row r="3489" spans="8:8">
      <c r="G3489" s="9">
        <v>3486.0</v>
      </c>
      <c r="H3489" s="10">
        <f t="shared" si="96"/>
        <v>-0.012011457368275961</v>
      </c>
    </row>
    <row r="3490" spans="8:8">
      <c r="G3490" s="9">
        <v>3487.0</v>
      </c>
      <c r="H3490" s="10">
        <f t="shared" si="96"/>
        <v>0.008135336204593422</v>
      </c>
    </row>
    <row r="3491" spans="8:8">
      <c r="G3491" s="9">
        <v>3488.0</v>
      </c>
      <c r="H3491" s="10">
        <f t="shared" si="96"/>
        <v>0.011589482307024966</v>
      </c>
    </row>
    <row r="3492" spans="8:8">
      <c r="G3492" s="9">
        <v>3489.0</v>
      </c>
      <c r="H3492" s="10">
        <f t="shared" si="96"/>
        <v>-0.013024656817667409</v>
      </c>
    </row>
    <row r="3493" spans="8:8">
      <c r="G3493" s="9">
        <v>3490.0</v>
      </c>
      <c r="H3493" s="10">
        <f t="shared" si="96"/>
        <v>0.006301293838871206</v>
      </c>
    </row>
    <row r="3494" spans="8:8">
      <c r="G3494" s="9">
        <v>3491.0</v>
      </c>
      <c r="H3494" s="10">
        <f t="shared" si="96"/>
        <v>0.004623120019774446</v>
      </c>
    </row>
    <row r="3495" spans="8:8">
      <c r="G3495" s="9">
        <v>3492.0</v>
      </c>
      <c r="H3495" s="10">
        <f t="shared" si="96"/>
        <v>0.005823727177223321</v>
      </c>
    </row>
    <row r="3496" spans="8:8">
      <c r="G3496" s="9">
        <v>3493.0</v>
      </c>
      <c r="H3496" s="10">
        <f t="shared" si="96"/>
        <v>0.008510046992158689</v>
      </c>
    </row>
    <row r="3497" spans="8:8">
      <c r="G3497" s="9">
        <v>3494.0</v>
      </c>
      <c r="H3497" s="10">
        <f t="shared" si="96"/>
        <v>0.022937549976525407</v>
      </c>
    </row>
    <row r="3498" spans="8:8">
      <c r="G3498" s="9">
        <v>3495.0</v>
      </c>
      <c r="H3498" s="10">
        <f t="shared" si="96"/>
        <v>-0.0027581308024783105</v>
      </c>
    </row>
    <row r="3499" spans="8:8">
      <c r="G3499" s="9">
        <v>3496.0</v>
      </c>
      <c r="H3499" s="10">
        <f t="shared" si="96"/>
        <v>0.00643750371715029</v>
      </c>
    </row>
    <row r="3500" spans="8:8">
      <c r="G3500" s="9">
        <v>3497.0</v>
      </c>
      <c r="H3500" s="10">
        <f t="shared" si="96"/>
        <v>0.005667525761726458</v>
      </c>
    </row>
    <row r="3501" spans="8:8">
      <c r="G3501" s="9">
        <v>3498.0</v>
      </c>
      <c r="H3501" s="10">
        <f t="shared" si="96"/>
        <v>-0.011698471610699764</v>
      </c>
    </row>
    <row r="3502" spans="8:8">
      <c r="G3502" s="9">
        <v>3499.0</v>
      </c>
      <c r="H3502" s="10">
        <f t="shared" si="96"/>
        <v>0.02282525666248084</v>
      </c>
    </row>
    <row r="3503" spans="8:8">
      <c r="G3503" s="9">
        <v>3500.0</v>
      </c>
      <c r="H3503" s="10">
        <f t="shared" si="96"/>
        <v>0.008306796574228512</v>
      </c>
    </row>
    <row r="3504" spans="8:8">
      <c r="G3504" s="9">
        <v>3501.0</v>
      </c>
      <c r="H3504" s="10">
        <f t="shared" si="96"/>
        <v>0.014742885947221545</v>
      </c>
    </row>
    <row r="3505" spans="8:8">
      <c r="G3505" s="9">
        <v>3502.0</v>
      </c>
      <c r="H3505" s="10">
        <f t="shared" si="96"/>
        <v>0.008426080121765732</v>
      </c>
    </row>
    <row r="3506" spans="8:8">
      <c r="G3506" s="9">
        <v>3503.0</v>
      </c>
      <c r="H3506" s="10">
        <f t="shared" si="96"/>
        <v>-0.005120891503319513</v>
      </c>
    </row>
    <row r="3507" spans="8:8">
      <c r="G3507" s="9">
        <v>3504.0</v>
      </c>
      <c r="H3507" s="10">
        <f t="shared" si="96"/>
        <v>0.006491352878630641</v>
      </c>
    </row>
    <row r="3508" spans="8:8">
      <c r="G3508" s="9">
        <v>3505.0</v>
      </c>
      <c r="H3508" s="10">
        <f t="shared" si="96"/>
        <v>4.4903653307149785E-4</v>
      </c>
    </row>
    <row r="3509" spans="8:8">
      <c r="G3509" s="9">
        <v>3506.0</v>
      </c>
      <c r="H3509" s="10">
        <f t="shared" si="96"/>
        <v>-0.009850993373560445</v>
      </c>
    </row>
    <row r="3510" spans="8:8">
      <c r="G3510" s="9">
        <v>3507.0</v>
      </c>
      <c r="H3510" s="10">
        <f t="shared" si="96"/>
        <v>-0.004341819635940655</v>
      </c>
    </row>
    <row r="3511" spans="8:8">
      <c r="G3511" s="9">
        <v>3508.0</v>
      </c>
      <c r="H3511" s="10">
        <f t="shared" si="96"/>
        <v>0.006638607407803502</v>
      </c>
    </row>
    <row r="3512" spans="8:8">
      <c r="G3512" s="9">
        <v>3509.0</v>
      </c>
      <c r="H3512" s="10">
        <f t="shared" si="96"/>
        <v>0.008634922423594024</v>
      </c>
    </row>
    <row r="3513" spans="8:8">
      <c r="G3513" s="9">
        <v>3510.0</v>
      </c>
      <c r="H3513" s="10">
        <f t="shared" si="96"/>
        <v>-0.002189061765604728</v>
      </c>
    </row>
    <row r="3514" spans="8:8">
      <c r="G3514" s="9">
        <v>3511.0</v>
      </c>
      <c r="H3514" s="10">
        <f t="shared" si="96"/>
        <v>0.0029745557946955613</v>
      </c>
    </row>
    <row r="3515" spans="8:8">
      <c r="G3515" s="9">
        <v>3512.0</v>
      </c>
      <c r="H3515" s="10">
        <f t="shared" si="96"/>
        <v>0.012449440082945993</v>
      </c>
    </row>
    <row r="3516" spans="8:8">
      <c r="G3516" s="9">
        <v>3513.0</v>
      </c>
      <c r="H3516" s="10">
        <f t="shared" si="96"/>
        <v>0.006357530294963661</v>
      </c>
    </row>
    <row r="3517" spans="8:8">
      <c r="G3517" s="9">
        <v>3514.0</v>
      </c>
      <c r="H3517" s="10">
        <f t="shared" si="96"/>
        <v>0.01748996599744149</v>
      </c>
    </row>
    <row r="3518" spans="8:8">
      <c r="G3518" s="9">
        <v>3515.0</v>
      </c>
      <c r="H3518" s="10">
        <f t="shared" si="96"/>
        <v>-0.013658676391227188</v>
      </c>
    </row>
    <row r="3519" spans="8:8">
      <c r="G3519" s="9">
        <v>3516.0</v>
      </c>
      <c r="H3519" s="10">
        <f t="shared" si="96"/>
        <v>0.004986054326607997</v>
      </c>
    </row>
    <row r="3520" spans="8:8">
      <c r="G3520" s="9">
        <v>3517.0</v>
      </c>
      <c r="H3520" s="10">
        <f t="shared" si="96"/>
        <v>0.032347539081763244</v>
      </c>
    </row>
    <row r="3521" spans="8:8">
      <c r="G3521" s="9">
        <v>3518.0</v>
      </c>
      <c r="H3521" s="10">
        <f t="shared" si="96"/>
        <v>0.012794897546344473</v>
      </c>
    </row>
    <row r="3522" spans="8:8">
      <c r="G3522" s="9">
        <v>3519.0</v>
      </c>
      <c r="H3522" s="10">
        <f t="shared" si="96"/>
        <v>-0.014004990283313288</v>
      </c>
    </row>
    <row r="3523" spans="8:8">
      <c r="G3523" s="9">
        <v>3520.0</v>
      </c>
      <c r="H3523" s="10">
        <f t="shared" si="96"/>
        <v>-0.010165980704824103</v>
      </c>
    </row>
    <row r="3524" spans="8:8">
      <c r="G3524" s="9">
        <v>3521.0</v>
      </c>
      <c r="H3524" s="10">
        <f t="shared" si="96"/>
        <v>-0.001565246761394583</v>
      </c>
    </row>
    <row r="3525" spans="8:8">
      <c r="G3525" s="9">
        <v>3522.0</v>
      </c>
      <c r="H3525" s="10">
        <f t="shared" si="97" ref="H3525:H3588">_xlfn.NORM.INV(RAND(),N$6,N$7)</f>
        <v>-0.013536306638459734</v>
      </c>
    </row>
    <row r="3526" spans="8:8">
      <c r="G3526" s="9">
        <v>3523.0</v>
      </c>
      <c r="H3526" s="10">
        <f t="shared" si="97"/>
        <v>3.8095698321034474E-4</v>
      </c>
    </row>
    <row r="3527" spans="8:8">
      <c r="G3527" s="9">
        <v>3524.0</v>
      </c>
      <c r="H3527" s="10">
        <f t="shared" si="97"/>
        <v>0.00888354573897975</v>
      </c>
    </row>
    <row r="3528" spans="8:8">
      <c r="G3528" s="9">
        <v>3525.0</v>
      </c>
      <c r="H3528" s="10">
        <f t="shared" si="97"/>
        <v>0.016452937051021563</v>
      </c>
    </row>
    <row r="3529" spans="8:8">
      <c r="G3529" s="9">
        <v>3526.0</v>
      </c>
      <c r="H3529" s="10">
        <f t="shared" si="97"/>
        <v>-0.009569120366579455</v>
      </c>
    </row>
    <row r="3530" spans="8:8">
      <c r="G3530" s="9">
        <v>3527.0</v>
      </c>
      <c r="H3530" s="10">
        <f t="shared" si="97"/>
        <v>-0.003606435798426697</v>
      </c>
    </row>
    <row r="3531" spans="8:8">
      <c r="G3531" s="9">
        <v>3528.0</v>
      </c>
      <c r="H3531" s="10">
        <f t="shared" si="97"/>
        <v>0.0016163963228811157</v>
      </c>
    </row>
    <row r="3532" spans="8:8">
      <c r="G3532" s="9">
        <v>3529.0</v>
      </c>
      <c r="H3532" s="10">
        <f t="shared" si="97"/>
        <v>0.01832045467721211</v>
      </c>
    </row>
    <row r="3533" spans="8:8">
      <c r="G3533" s="9">
        <v>3530.0</v>
      </c>
      <c r="H3533" s="10">
        <f t="shared" si="97"/>
        <v>0.009386326607721474</v>
      </c>
    </row>
    <row r="3534" spans="8:8">
      <c r="G3534" s="9">
        <v>3531.0</v>
      </c>
      <c r="H3534" s="10">
        <f t="shared" si="97"/>
        <v>0.010326783561478377</v>
      </c>
    </row>
    <row r="3535" spans="8:8">
      <c r="G3535" s="9">
        <v>3532.0</v>
      </c>
      <c r="H3535" s="10">
        <f t="shared" si="97"/>
        <v>0.0071505550540729105</v>
      </c>
    </row>
    <row r="3536" spans="8:8">
      <c r="G3536" s="9">
        <v>3533.0</v>
      </c>
      <c r="H3536" s="10">
        <f t="shared" si="97"/>
        <v>0.00969606751380989</v>
      </c>
    </row>
    <row r="3537" spans="8:8">
      <c r="G3537" s="9">
        <v>3534.0</v>
      </c>
      <c r="H3537" s="10">
        <f t="shared" si="97"/>
        <v>0.014993084740461599</v>
      </c>
    </row>
    <row r="3538" spans="8:8">
      <c r="G3538" s="9">
        <v>3535.0</v>
      </c>
      <c r="H3538" s="10">
        <f t="shared" si="97"/>
        <v>-0.02174409051478548</v>
      </c>
    </row>
    <row r="3539" spans="8:8">
      <c r="G3539" s="9">
        <v>3536.0</v>
      </c>
      <c r="H3539" s="10">
        <f t="shared" si="97"/>
        <v>-0.0026718524332372826</v>
      </c>
    </row>
    <row r="3540" spans="8:8">
      <c r="G3540" s="9">
        <v>3537.0</v>
      </c>
      <c r="H3540" s="10">
        <f t="shared" si="97"/>
        <v>-0.030814166511104805</v>
      </c>
    </row>
    <row r="3541" spans="8:8">
      <c r="G3541" s="9">
        <v>3538.0</v>
      </c>
      <c r="H3541" s="10">
        <f t="shared" si="97"/>
        <v>0.005761222237594897</v>
      </c>
    </row>
    <row r="3542" spans="8:8">
      <c r="G3542" s="9">
        <v>3539.0</v>
      </c>
      <c r="H3542" s="10">
        <f t="shared" si="97"/>
        <v>-0.01757066375656017</v>
      </c>
    </row>
    <row r="3543" spans="8:8">
      <c r="G3543" s="9">
        <v>3540.0</v>
      </c>
      <c r="H3543" s="10">
        <f t="shared" si="97"/>
        <v>-0.00986915504288791</v>
      </c>
    </row>
    <row r="3544" spans="8:8">
      <c r="G3544" s="9">
        <v>3541.0</v>
      </c>
      <c r="H3544" s="10">
        <f t="shared" si="97"/>
        <v>1.252483170925485E-4</v>
      </c>
    </row>
    <row r="3545" spans="8:8">
      <c r="G3545" s="9">
        <v>3542.0</v>
      </c>
      <c r="H3545" s="10">
        <f t="shared" si="97"/>
        <v>-0.0020585240649176485</v>
      </c>
    </row>
    <row r="3546" spans="8:8">
      <c r="G3546" s="9">
        <v>3543.0</v>
      </c>
      <c r="H3546" s="10">
        <f t="shared" si="97"/>
        <v>0.004698763033690835</v>
      </c>
    </row>
    <row r="3547" spans="8:8">
      <c r="G3547" s="9">
        <v>3544.0</v>
      </c>
      <c r="H3547" s="10">
        <f t="shared" si="97"/>
        <v>-0.01352464256578478</v>
      </c>
    </row>
    <row r="3548" spans="8:8">
      <c r="G3548" s="9">
        <v>3545.0</v>
      </c>
      <c r="H3548" s="10">
        <f t="shared" si="97"/>
        <v>0.01172735891136252</v>
      </c>
    </row>
    <row r="3549" spans="8:8">
      <c r="G3549" s="9">
        <v>3546.0</v>
      </c>
      <c r="H3549" s="10">
        <f t="shared" si="97"/>
        <v>-0.0026454021113691524</v>
      </c>
    </row>
    <row r="3550" spans="8:8">
      <c r="G3550" s="9">
        <v>3547.0</v>
      </c>
      <c r="H3550" s="10">
        <f t="shared" si="97"/>
        <v>-0.014072539542432892</v>
      </c>
    </row>
    <row r="3551" spans="8:8">
      <c r="G3551" s="9">
        <v>3548.0</v>
      </c>
      <c r="H3551" s="10">
        <f t="shared" si="97"/>
        <v>0.005144190209631196</v>
      </c>
    </row>
    <row r="3552" spans="8:8">
      <c r="G3552" s="9">
        <v>3549.0</v>
      </c>
      <c r="H3552" s="10">
        <f t="shared" si="97"/>
        <v>-0.0031656883999084534</v>
      </c>
    </row>
    <row r="3553" spans="8:8">
      <c r="G3553" s="9">
        <v>3550.0</v>
      </c>
      <c r="H3553" s="10">
        <f t="shared" si="97"/>
        <v>0.013205426058064622</v>
      </c>
    </row>
    <row r="3554" spans="8:8">
      <c r="G3554" s="9">
        <v>3551.0</v>
      </c>
      <c r="H3554" s="10">
        <f t="shared" si="97"/>
        <v>0.01470451480102311</v>
      </c>
    </row>
    <row r="3555" spans="8:8">
      <c r="G3555" s="9">
        <v>3552.0</v>
      </c>
      <c r="H3555" s="10">
        <f t="shared" si="97"/>
        <v>0.0061263904974489525</v>
      </c>
    </row>
    <row r="3556" spans="8:8">
      <c r="G3556" s="9">
        <v>3553.0</v>
      </c>
      <c r="H3556" s="10">
        <f t="shared" si="97"/>
        <v>-0.004992337504343042</v>
      </c>
    </row>
    <row r="3557" spans="8:8">
      <c r="G3557" s="9">
        <v>3554.0</v>
      </c>
      <c r="H3557" s="10">
        <f t="shared" si="97"/>
        <v>-0.0044768827877798316</v>
      </c>
    </row>
    <row r="3558" spans="8:8">
      <c r="G3558" s="9">
        <v>3555.0</v>
      </c>
      <c r="H3558" s="10">
        <f t="shared" si="97"/>
        <v>0.02208827487318897</v>
      </c>
    </row>
    <row r="3559" spans="8:8">
      <c r="G3559" s="9">
        <v>3556.0</v>
      </c>
      <c r="H3559" s="10">
        <f t="shared" si="97"/>
        <v>0.027573931487972422</v>
      </c>
    </row>
    <row r="3560" spans="8:8">
      <c r="G3560" s="9">
        <v>3557.0</v>
      </c>
      <c r="H3560" s="10">
        <f t="shared" si="97"/>
        <v>0.007965281486404397</v>
      </c>
    </row>
    <row r="3561" spans="8:8">
      <c r="G3561" s="9">
        <v>3558.0</v>
      </c>
      <c r="H3561" s="10">
        <f t="shared" si="97"/>
        <v>-0.0025041434854864274</v>
      </c>
    </row>
    <row r="3562" spans="8:8">
      <c r="G3562" s="9">
        <v>3559.0</v>
      </c>
      <c r="H3562" s="10">
        <f t="shared" si="97"/>
        <v>-0.00788941967341214</v>
      </c>
    </row>
    <row r="3563" spans="8:8">
      <c r="G3563" s="9">
        <v>3560.0</v>
      </c>
      <c r="H3563" s="10">
        <f t="shared" si="97"/>
        <v>0.0060493343053310295</v>
      </c>
    </row>
    <row r="3564" spans="8:8">
      <c r="G3564" s="9">
        <v>3561.0</v>
      </c>
      <c r="H3564" s="10">
        <f t="shared" si="97"/>
        <v>-0.01597555289243989</v>
      </c>
    </row>
    <row r="3565" spans="8:8">
      <c r="G3565" s="9">
        <v>3562.0</v>
      </c>
      <c r="H3565" s="10">
        <f t="shared" si="97"/>
        <v>0.020242390024685284</v>
      </c>
    </row>
    <row r="3566" spans="8:8">
      <c r="G3566" s="9">
        <v>3563.0</v>
      </c>
      <c r="H3566" s="10">
        <f t="shared" si="97"/>
        <v>6.705346677280065E-4</v>
      </c>
    </row>
    <row r="3567" spans="8:8">
      <c r="G3567" s="9">
        <v>3564.0</v>
      </c>
      <c r="H3567" s="10">
        <f t="shared" si="97"/>
        <v>0.004902070111179562</v>
      </c>
    </row>
    <row r="3568" spans="8:8">
      <c r="G3568" s="9">
        <v>3565.0</v>
      </c>
      <c r="H3568" s="10">
        <f t="shared" si="97"/>
        <v>0.0015988635589116746</v>
      </c>
    </row>
    <row r="3569" spans="8:8">
      <c r="G3569" s="9">
        <v>3566.0</v>
      </c>
      <c r="H3569" s="10">
        <f t="shared" si="97"/>
        <v>0.00309904451812057</v>
      </c>
    </row>
    <row r="3570" spans="8:8">
      <c r="G3570" s="9">
        <v>3567.0</v>
      </c>
      <c r="H3570" s="10">
        <f t="shared" si="97"/>
        <v>-0.0011961155717103156</v>
      </c>
    </row>
    <row r="3571" spans="8:8">
      <c r="G3571" s="9">
        <v>3568.0</v>
      </c>
      <c r="H3571" s="10">
        <f t="shared" si="97"/>
        <v>0.021546218495977227</v>
      </c>
    </row>
    <row r="3572" spans="8:8">
      <c r="G3572" s="9">
        <v>3569.0</v>
      </c>
      <c r="H3572" s="10">
        <f t="shared" si="97"/>
        <v>0.003325400106924242</v>
      </c>
    </row>
    <row r="3573" spans="8:8">
      <c r="G3573" s="9">
        <v>3570.0</v>
      </c>
      <c r="H3573" s="10">
        <f t="shared" si="97"/>
        <v>0.010778723180866007</v>
      </c>
    </row>
    <row r="3574" spans="8:8">
      <c r="G3574" s="9">
        <v>3571.0</v>
      </c>
      <c r="H3574" s="10">
        <f t="shared" si="97"/>
        <v>0.004903358179996934</v>
      </c>
    </row>
    <row r="3575" spans="8:8">
      <c r="G3575" s="9">
        <v>3572.0</v>
      </c>
      <c r="H3575" s="10">
        <f t="shared" si="97"/>
        <v>-0.005372082024506485</v>
      </c>
    </row>
    <row r="3576" spans="8:8">
      <c r="G3576" s="9">
        <v>3573.0</v>
      </c>
      <c r="H3576" s="10">
        <f t="shared" si="97"/>
        <v>0.0031054585036994565</v>
      </c>
    </row>
    <row r="3577" spans="8:8">
      <c r="G3577" s="9">
        <v>3574.0</v>
      </c>
      <c r="H3577" s="10">
        <f t="shared" si="97"/>
        <v>-0.023957603272795305</v>
      </c>
    </row>
    <row r="3578" spans="8:8">
      <c r="G3578" s="9">
        <v>3575.0</v>
      </c>
      <c r="H3578" s="10">
        <f t="shared" si="97"/>
        <v>-0.022924381651909697</v>
      </c>
    </row>
    <row r="3579" spans="8:8">
      <c r="G3579" s="9">
        <v>3576.0</v>
      </c>
      <c r="H3579" s="10">
        <f t="shared" si="97"/>
        <v>-0.015791483498602567</v>
      </c>
    </row>
    <row r="3580" spans="8:8">
      <c r="G3580" s="9">
        <v>3577.0</v>
      </c>
      <c r="H3580" s="10">
        <f t="shared" si="97"/>
        <v>4.0974813138214316E-4</v>
      </c>
    </row>
    <row r="3581" spans="8:8">
      <c r="G3581" s="9">
        <v>3578.0</v>
      </c>
      <c r="H3581" s="10">
        <f t="shared" si="97"/>
        <v>0.011258098840333847</v>
      </c>
    </row>
    <row r="3582" spans="8:8">
      <c r="G3582" s="9">
        <v>3579.0</v>
      </c>
      <c r="H3582" s="10">
        <f t="shared" si="97"/>
        <v>-0.011594086593906813</v>
      </c>
    </row>
    <row r="3583" spans="8:8">
      <c r="G3583" s="9">
        <v>3580.0</v>
      </c>
      <c r="H3583" s="10">
        <f t="shared" si="97"/>
        <v>0.013297597558713962</v>
      </c>
    </row>
    <row r="3584" spans="8:8">
      <c r="G3584" s="9">
        <v>3581.0</v>
      </c>
      <c r="H3584" s="10">
        <f t="shared" si="97"/>
        <v>0.023997610413815672</v>
      </c>
    </row>
    <row r="3585" spans="8:8">
      <c r="G3585" s="9">
        <v>3582.0</v>
      </c>
      <c r="H3585" s="10">
        <f t="shared" si="97"/>
        <v>-0.0063699632839876634</v>
      </c>
    </row>
    <row r="3586" spans="8:8">
      <c r="G3586" s="9">
        <v>3583.0</v>
      </c>
      <c r="H3586" s="10">
        <f t="shared" si="97"/>
        <v>-0.012216220490921137</v>
      </c>
    </row>
    <row r="3587" spans="8:8">
      <c r="G3587" s="9">
        <v>3584.0</v>
      </c>
      <c r="H3587" s="10">
        <f t="shared" si="97"/>
        <v>0.014817863234357978</v>
      </c>
    </row>
    <row r="3588" spans="8:8">
      <c r="G3588" s="9">
        <v>3585.0</v>
      </c>
      <c r="H3588" s="10">
        <f t="shared" si="97"/>
        <v>-0.0060917017925281565</v>
      </c>
    </row>
    <row r="3589" spans="8:8">
      <c r="G3589" s="9">
        <v>3586.0</v>
      </c>
      <c r="H3589" s="10">
        <f t="shared" si="98" ref="H3589:H3652">_xlfn.NORM.INV(RAND(),N$6,N$7)</f>
        <v>0.01359830445244594</v>
      </c>
    </row>
    <row r="3590" spans="8:8">
      <c r="G3590" s="9">
        <v>3587.0</v>
      </c>
      <c r="H3590" s="10">
        <f t="shared" si="98"/>
        <v>-0.001831287424170401</v>
      </c>
    </row>
    <row r="3591" spans="8:8">
      <c r="G3591" s="9">
        <v>3588.0</v>
      </c>
      <c r="H3591" s="10">
        <f t="shared" si="98"/>
        <v>0.01799299740894596</v>
      </c>
    </row>
    <row r="3592" spans="8:8">
      <c r="G3592" s="9">
        <v>3589.0</v>
      </c>
      <c r="H3592" s="10">
        <f t="shared" si="98"/>
        <v>0.024573818103049063</v>
      </c>
    </row>
    <row r="3593" spans="8:8">
      <c r="G3593" s="9">
        <v>3590.0</v>
      </c>
      <c r="H3593" s="10">
        <f t="shared" si="98"/>
        <v>-7.903707196436089E-4</v>
      </c>
    </row>
    <row r="3594" spans="8:8">
      <c r="G3594" s="9">
        <v>3591.0</v>
      </c>
      <c r="H3594" s="10">
        <f t="shared" si="98"/>
        <v>-0.016724501215193786</v>
      </c>
    </row>
    <row r="3595" spans="8:8">
      <c r="G3595" s="9">
        <v>3592.0</v>
      </c>
      <c r="H3595" s="10">
        <f t="shared" si="98"/>
        <v>-2.8619730920150617E-4</v>
      </c>
    </row>
    <row r="3596" spans="8:8">
      <c r="G3596" s="9">
        <v>3593.0</v>
      </c>
      <c r="H3596" s="10">
        <f t="shared" si="98"/>
        <v>-0.010610910054273111</v>
      </c>
    </row>
    <row r="3597" spans="8:8">
      <c r="G3597" s="9">
        <v>3594.0</v>
      </c>
      <c r="H3597" s="10">
        <f t="shared" si="98"/>
        <v>-0.009124876721536054</v>
      </c>
    </row>
    <row r="3598" spans="8:8">
      <c r="G3598" s="9">
        <v>3595.0</v>
      </c>
      <c r="H3598" s="10">
        <f t="shared" si="98"/>
        <v>-0.022660557160338084</v>
      </c>
    </row>
    <row r="3599" spans="8:8">
      <c r="G3599" s="9">
        <v>3596.0</v>
      </c>
      <c r="H3599" s="10">
        <f t="shared" si="98"/>
        <v>-0.004562909297607402</v>
      </c>
    </row>
    <row r="3600" spans="8:8">
      <c r="G3600" s="9">
        <v>3597.0</v>
      </c>
      <c r="H3600" s="10">
        <f t="shared" si="98"/>
        <v>0.018722266463510162</v>
      </c>
    </row>
    <row r="3601" spans="8:8">
      <c r="G3601" s="9">
        <v>3598.0</v>
      </c>
      <c r="H3601" s="10">
        <f t="shared" si="98"/>
        <v>-0.017832372681469793</v>
      </c>
    </row>
    <row r="3602" spans="8:8">
      <c r="G3602" s="9">
        <v>3599.0</v>
      </c>
      <c r="H3602" s="10">
        <f t="shared" si="98"/>
        <v>0.008183549750856809</v>
      </c>
    </row>
    <row r="3603" spans="8:8">
      <c r="G3603" s="9">
        <v>3600.0</v>
      </c>
      <c r="H3603" s="10">
        <f t="shared" si="98"/>
        <v>0.03865157948931917</v>
      </c>
    </row>
    <row r="3604" spans="8:8">
      <c r="G3604" s="9">
        <v>3601.0</v>
      </c>
      <c r="H3604" s="10">
        <f t="shared" si="98"/>
        <v>-0.00673191825566274</v>
      </c>
    </row>
    <row r="3605" spans="8:8">
      <c r="G3605" s="9">
        <v>3602.0</v>
      </c>
      <c r="H3605" s="10">
        <f t="shared" si="98"/>
        <v>-0.011335563432402395</v>
      </c>
    </row>
    <row r="3606" spans="8:8">
      <c r="G3606" s="9">
        <v>3603.0</v>
      </c>
      <c r="H3606" s="10">
        <f t="shared" si="98"/>
        <v>-0.011817190577552067</v>
      </c>
    </row>
    <row r="3607" spans="8:8">
      <c r="G3607" s="9">
        <v>3604.0</v>
      </c>
      <c r="H3607" s="10">
        <f t="shared" si="98"/>
        <v>-0.005508331762485791</v>
      </c>
    </row>
    <row r="3608" spans="8:8">
      <c r="G3608" s="9">
        <v>3605.0</v>
      </c>
      <c r="H3608" s="10">
        <f t="shared" si="98"/>
        <v>0.026861742235959836</v>
      </c>
    </row>
    <row r="3609" spans="8:8">
      <c r="G3609" s="9">
        <v>3606.0</v>
      </c>
      <c r="H3609" s="10">
        <f t="shared" si="98"/>
        <v>-0.002039384801928868</v>
      </c>
    </row>
    <row r="3610" spans="8:8">
      <c r="G3610" s="9">
        <v>3607.0</v>
      </c>
      <c r="H3610" s="10">
        <f t="shared" si="98"/>
        <v>0.029319372333875916</v>
      </c>
    </row>
    <row r="3611" spans="8:8">
      <c r="G3611" s="9">
        <v>3608.0</v>
      </c>
      <c r="H3611" s="10">
        <f t="shared" si="98"/>
        <v>0.0013571563481182087</v>
      </c>
    </row>
    <row r="3612" spans="8:8">
      <c r="G3612" s="9">
        <v>3609.0</v>
      </c>
      <c r="H3612" s="10">
        <f t="shared" si="98"/>
        <v>-0.0035450434200909355</v>
      </c>
    </row>
    <row r="3613" spans="8:8">
      <c r="G3613" s="9">
        <v>3610.0</v>
      </c>
      <c r="H3613" s="10">
        <f t="shared" si="98"/>
        <v>-0.0021542450663336416</v>
      </c>
    </row>
    <row r="3614" spans="8:8">
      <c r="G3614" s="9">
        <v>3611.0</v>
      </c>
      <c r="H3614" s="10">
        <f t="shared" si="98"/>
        <v>0.004805484280874042</v>
      </c>
    </row>
    <row r="3615" spans="8:8">
      <c r="G3615" s="9">
        <v>3612.0</v>
      </c>
      <c r="H3615" s="10">
        <f t="shared" si="98"/>
        <v>0.00973672099580472</v>
      </c>
    </row>
    <row r="3616" spans="8:8">
      <c r="G3616" s="9">
        <v>3613.0</v>
      </c>
      <c r="H3616" s="10">
        <f t="shared" si="98"/>
        <v>-0.009388376295712035</v>
      </c>
    </row>
    <row r="3617" spans="8:8">
      <c r="G3617" s="9">
        <v>3614.0</v>
      </c>
      <c r="H3617" s="10">
        <f t="shared" si="98"/>
        <v>0.008737756829236783</v>
      </c>
    </row>
    <row r="3618" spans="8:8">
      <c r="G3618" s="9">
        <v>3615.0</v>
      </c>
      <c r="H3618" s="10">
        <f t="shared" si="98"/>
        <v>0.002126871918348437</v>
      </c>
    </row>
    <row r="3619" spans="8:8">
      <c r="G3619" s="9">
        <v>3616.0</v>
      </c>
      <c r="H3619" s="10">
        <f t="shared" si="98"/>
        <v>0.00791801733450891</v>
      </c>
    </row>
    <row r="3620" spans="8:8">
      <c r="G3620" s="9">
        <v>3617.0</v>
      </c>
      <c r="H3620" s="10">
        <f t="shared" si="98"/>
        <v>0.009782635552043686</v>
      </c>
    </row>
    <row r="3621" spans="8:8">
      <c r="G3621" s="9">
        <v>3618.0</v>
      </c>
      <c r="H3621" s="10">
        <f t="shared" si="98"/>
        <v>-0.01085913266504462</v>
      </c>
    </row>
    <row r="3622" spans="8:8">
      <c r="G3622" s="9">
        <v>3619.0</v>
      </c>
      <c r="H3622" s="10">
        <f t="shared" si="98"/>
        <v>-0.010739706964583044</v>
      </c>
    </row>
    <row r="3623" spans="8:8">
      <c r="G3623" s="9">
        <v>3620.0</v>
      </c>
      <c r="H3623" s="10">
        <f t="shared" si="98"/>
        <v>0.014294248529933117</v>
      </c>
    </row>
    <row r="3624" spans="8:8">
      <c r="G3624" s="9">
        <v>3621.0</v>
      </c>
      <c r="H3624" s="10">
        <f t="shared" si="98"/>
        <v>0.005917648413214464</v>
      </c>
    </row>
    <row r="3625" spans="8:8">
      <c r="G3625" s="9">
        <v>3622.0</v>
      </c>
      <c r="H3625" s="10">
        <f t="shared" si="98"/>
        <v>0.024456487212913172</v>
      </c>
    </row>
    <row r="3626" spans="8:8">
      <c r="G3626" s="9">
        <v>3623.0</v>
      </c>
      <c r="H3626" s="10">
        <f t="shared" si="98"/>
        <v>0.02715911371032707</v>
      </c>
    </row>
    <row r="3627" spans="8:8">
      <c r="G3627" s="9">
        <v>3624.0</v>
      </c>
      <c r="H3627" s="10">
        <f t="shared" si="98"/>
        <v>0.02811653071009641</v>
      </c>
    </row>
    <row r="3628" spans="8:8">
      <c r="G3628" s="9">
        <v>3625.0</v>
      </c>
      <c r="H3628" s="10">
        <f t="shared" si="98"/>
        <v>0.024859033237561428</v>
      </c>
    </row>
    <row r="3629" spans="8:8">
      <c r="G3629" s="9">
        <v>3626.0</v>
      </c>
      <c r="H3629" s="10">
        <f t="shared" si="98"/>
        <v>-0.01570180539719377</v>
      </c>
    </row>
    <row r="3630" spans="8:8">
      <c r="G3630" s="9">
        <v>3627.0</v>
      </c>
      <c r="H3630" s="10">
        <f t="shared" si="98"/>
        <v>0.005251325205300323</v>
      </c>
    </row>
    <row r="3631" spans="8:8">
      <c r="G3631" s="9">
        <v>3628.0</v>
      </c>
      <c r="H3631" s="10">
        <f t="shared" si="98"/>
        <v>-0.016772277079230447</v>
      </c>
    </row>
    <row r="3632" spans="8:8">
      <c r="G3632" s="9">
        <v>3629.0</v>
      </c>
      <c r="H3632" s="10">
        <f t="shared" si="98"/>
        <v>0.011675224895679234</v>
      </c>
    </row>
    <row r="3633" spans="8:8">
      <c r="G3633" s="9">
        <v>3630.0</v>
      </c>
      <c r="H3633" s="10">
        <f t="shared" si="98"/>
        <v>0.010299067554634729</v>
      </c>
    </row>
    <row r="3634" spans="8:8">
      <c r="G3634" s="9">
        <v>3631.0</v>
      </c>
      <c r="H3634" s="10">
        <f t="shared" si="98"/>
        <v>-0.0162755666816939</v>
      </c>
    </row>
    <row r="3635" spans="8:8">
      <c r="G3635" s="9">
        <v>3632.0</v>
      </c>
      <c r="H3635" s="10">
        <f t="shared" si="98"/>
        <v>0.012037081979785445</v>
      </c>
    </row>
    <row r="3636" spans="8:8">
      <c r="G3636" s="9">
        <v>3633.0</v>
      </c>
      <c r="H3636" s="10">
        <f t="shared" si="98"/>
        <v>0.018054150033884817</v>
      </c>
    </row>
    <row r="3637" spans="8:8">
      <c r="G3637" s="9">
        <v>3634.0</v>
      </c>
      <c r="H3637" s="10">
        <f t="shared" si="98"/>
        <v>0.015721517814145703</v>
      </c>
    </row>
    <row r="3638" spans="8:8">
      <c r="G3638" s="9">
        <v>3635.0</v>
      </c>
      <c r="H3638" s="10">
        <f t="shared" si="98"/>
        <v>-1.716316738983423E-4</v>
      </c>
    </row>
    <row r="3639" spans="8:8">
      <c r="G3639" s="9">
        <v>3636.0</v>
      </c>
      <c r="H3639" s="10">
        <f t="shared" si="98"/>
        <v>-0.01564109980167368</v>
      </c>
    </row>
    <row r="3640" spans="8:8">
      <c r="G3640" s="9">
        <v>3637.0</v>
      </c>
      <c r="H3640" s="10">
        <f t="shared" si="98"/>
        <v>-0.012868347933983861</v>
      </c>
    </row>
    <row r="3641" spans="8:8">
      <c r="G3641" s="9">
        <v>3638.0</v>
      </c>
      <c r="H3641" s="10">
        <f t="shared" si="98"/>
        <v>0.004810499135304831</v>
      </c>
    </row>
    <row r="3642" spans="8:8">
      <c r="G3642" s="9">
        <v>3639.0</v>
      </c>
      <c r="H3642" s="10">
        <f t="shared" si="98"/>
        <v>-0.00817769127514598</v>
      </c>
    </row>
    <row r="3643" spans="8:8">
      <c r="G3643" s="9">
        <v>3640.0</v>
      </c>
      <c r="H3643" s="10">
        <f t="shared" si="98"/>
        <v>0.004882370406005204</v>
      </c>
    </row>
    <row r="3644" spans="8:8">
      <c r="G3644" s="9">
        <v>3641.0</v>
      </c>
      <c r="H3644" s="10">
        <f t="shared" si="98"/>
        <v>-0.005228165767041197</v>
      </c>
    </row>
    <row r="3645" spans="8:8">
      <c r="G3645" s="9">
        <v>3642.0</v>
      </c>
      <c r="H3645" s="10">
        <f t="shared" si="98"/>
        <v>0.008949875868417681</v>
      </c>
    </row>
    <row r="3646" spans="8:8">
      <c r="G3646" s="9">
        <v>3643.0</v>
      </c>
      <c r="H3646" s="10">
        <f t="shared" si="98"/>
        <v>-6.86799098815691E-4</v>
      </c>
    </row>
    <row r="3647" spans="8:8">
      <c r="G3647" s="9">
        <v>3644.0</v>
      </c>
      <c r="H3647" s="10">
        <f t="shared" si="98"/>
        <v>-0.0052801707998211865</v>
      </c>
    </row>
    <row r="3648" spans="8:8">
      <c r="G3648" s="9">
        <v>3645.0</v>
      </c>
      <c r="H3648" s="10">
        <f t="shared" si="98"/>
        <v>-0.012356004037930014</v>
      </c>
    </row>
    <row r="3649" spans="8:8">
      <c r="G3649" s="9">
        <v>3646.0</v>
      </c>
      <c r="H3649" s="10">
        <f t="shared" si="98"/>
        <v>-0.0015123610781407745</v>
      </c>
    </row>
    <row r="3650" spans="8:8">
      <c r="G3650" s="9">
        <v>3647.0</v>
      </c>
      <c r="H3650" s="10">
        <f t="shared" si="98"/>
        <v>-0.007690710653696539</v>
      </c>
    </row>
    <row r="3651" spans="8:8">
      <c r="G3651" s="9">
        <v>3648.0</v>
      </c>
      <c r="H3651" s="10">
        <f t="shared" si="98"/>
        <v>0.016958064612920036</v>
      </c>
    </row>
    <row r="3652" spans="8:8">
      <c r="G3652" s="9">
        <v>3649.0</v>
      </c>
      <c r="H3652" s="10">
        <f t="shared" si="98"/>
        <v>0.014483382528947646</v>
      </c>
    </row>
    <row r="3653" spans="8:8">
      <c r="G3653" s="9">
        <v>3650.0</v>
      </c>
      <c r="H3653" s="10">
        <f t="shared" si="99" ref="H3653:H3716">_xlfn.NORM.INV(RAND(),N$6,N$7)</f>
        <v>-0.02218606710515129</v>
      </c>
    </row>
    <row r="3654" spans="8:8">
      <c r="G3654" s="9">
        <v>3651.0</v>
      </c>
      <c r="H3654" s="10">
        <f t="shared" si="99"/>
        <v>7.475471978586239E-4</v>
      </c>
    </row>
    <row r="3655" spans="8:8">
      <c r="G3655" s="9">
        <v>3652.0</v>
      </c>
      <c r="H3655" s="10">
        <f t="shared" si="99"/>
        <v>0.0081425562099867</v>
      </c>
    </row>
    <row r="3656" spans="8:8">
      <c r="G3656" s="9">
        <v>3653.0</v>
      </c>
      <c r="H3656" s="10">
        <f t="shared" si="99"/>
        <v>0.010740482790234148</v>
      </c>
    </row>
    <row r="3657" spans="8:8">
      <c r="G3657" s="9">
        <v>3654.0</v>
      </c>
      <c r="H3657" s="10">
        <f t="shared" si="99"/>
        <v>-0.0038858424506621</v>
      </c>
    </row>
    <row r="3658" spans="8:8">
      <c r="G3658" s="9">
        <v>3655.0</v>
      </c>
      <c r="H3658" s="10">
        <f t="shared" si="99"/>
        <v>-0.01005083229890033</v>
      </c>
    </row>
    <row r="3659" spans="8:8">
      <c r="G3659" s="9">
        <v>3656.0</v>
      </c>
      <c r="H3659" s="10">
        <f t="shared" si="99"/>
        <v>0.0218352517055011</v>
      </c>
    </row>
    <row r="3660" spans="8:8">
      <c r="G3660" s="9">
        <v>3657.0</v>
      </c>
      <c r="H3660" s="10">
        <f t="shared" si="99"/>
        <v>0.004603070883494364</v>
      </c>
    </row>
    <row r="3661" spans="8:8">
      <c r="G3661" s="9">
        <v>3658.0</v>
      </c>
      <c r="H3661" s="10">
        <f t="shared" si="99"/>
        <v>0.020042817419351454</v>
      </c>
    </row>
    <row r="3662" spans="8:8">
      <c r="G3662" s="9">
        <v>3659.0</v>
      </c>
      <c r="H3662" s="10">
        <f t="shared" si="99"/>
        <v>0.013661904527699872</v>
      </c>
    </row>
    <row r="3663" spans="8:8">
      <c r="G3663" s="9">
        <v>3660.0</v>
      </c>
      <c r="H3663" s="10">
        <f t="shared" si="99"/>
        <v>-0.009990631606060972</v>
      </c>
    </row>
    <row r="3664" spans="8:8">
      <c r="G3664" s="9">
        <v>3661.0</v>
      </c>
      <c r="H3664" s="10">
        <f t="shared" si="99"/>
        <v>-1.444500560108218E-4</v>
      </c>
    </row>
    <row r="3665" spans="8:8">
      <c r="G3665" s="9">
        <v>3662.0</v>
      </c>
      <c r="H3665" s="10">
        <f t="shared" si="99"/>
        <v>0.004970116889443082</v>
      </c>
    </row>
    <row r="3666" spans="8:8">
      <c r="G3666" s="9">
        <v>3663.0</v>
      </c>
      <c r="H3666" s="10">
        <f t="shared" si="99"/>
        <v>-0.012506427396333782</v>
      </c>
    </row>
    <row r="3667" spans="8:8">
      <c r="G3667" s="9">
        <v>3664.0</v>
      </c>
      <c r="H3667" s="10">
        <f t="shared" si="99"/>
        <v>0.003839355853691987</v>
      </c>
    </row>
    <row r="3668" spans="8:8">
      <c r="G3668" s="9">
        <v>3665.0</v>
      </c>
      <c r="H3668" s="10">
        <f t="shared" si="99"/>
        <v>0.004230571503516283</v>
      </c>
    </row>
    <row r="3669" spans="8:8">
      <c r="G3669" s="9">
        <v>3666.0</v>
      </c>
      <c r="H3669" s="10">
        <f t="shared" si="99"/>
        <v>0.01441102492113068</v>
      </c>
    </row>
    <row r="3670" spans="8:8">
      <c r="G3670" s="9">
        <v>3667.0</v>
      </c>
      <c r="H3670" s="10">
        <f t="shared" si="99"/>
        <v>-0.006349403546134491</v>
      </c>
    </row>
    <row r="3671" spans="8:8">
      <c r="G3671" s="9">
        <v>3668.0</v>
      </c>
      <c r="H3671" s="10">
        <f t="shared" si="99"/>
        <v>-0.010093866272329423</v>
      </c>
    </row>
    <row r="3672" spans="8:8">
      <c r="G3672" s="9">
        <v>3669.0</v>
      </c>
      <c r="H3672" s="10">
        <f t="shared" si="99"/>
        <v>-0.004445646512346438</v>
      </c>
    </row>
    <row r="3673" spans="8:8">
      <c r="G3673" s="9">
        <v>3670.0</v>
      </c>
      <c r="H3673" s="10">
        <f t="shared" si="99"/>
        <v>-0.0024204348852596798</v>
      </c>
    </row>
    <row r="3674" spans="8:8">
      <c r="G3674" s="9">
        <v>3671.0</v>
      </c>
      <c r="H3674" s="10">
        <f t="shared" si="99"/>
        <v>0.008743890065159852</v>
      </c>
    </row>
    <row r="3675" spans="8:8">
      <c r="G3675" s="9">
        <v>3672.0</v>
      </c>
      <c r="H3675" s="10">
        <f t="shared" si="99"/>
        <v>0.0015929766936982235</v>
      </c>
    </row>
    <row r="3676" spans="8:8">
      <c r="G3676" s="9">
        <v>3673.0</v>
      </c>
      <c r="H3676" s="10">
        <f t="shared" si="99"/>
        <v>-0.0070921232516361525</v>
      </c>
    </row>
    <row r="3677" spans="8:8">
      <c r="G3677" s="9">
        <v>3674.0</v>
      </c>
      <c r="H3677" s="10">
        <f t="shared" si="99"/>
        <v>-0.0018067805786071518</v>
      </c>
    </row>
    <row r="3678" spans="8:8">
      <c r="G3678" s="9">
        <v>3675.0</v>
      </c>
      <c r="H3678" s="10">
        <f t="shared" si="99"/>
        <v>0.01850773276409803</v>
      </c>
    </row>
    <row r="3679" spans="8:8">
      <c r="G3679" s="9">
        <v>3676.0</v>
      </c>
      <c r="H3679" s="10">
        <f t="shared" si="99"/>
        <v>-0.014296122602244853</v>
      </c>
    </row>
    <row r="3680" spans="8:8">
      <c r="G3680" s="9">
        <v>3677.0</v>
      </c>
      <c r="H3680" s="10">
        <f t="shared" si="99"/>
        <v>5.192814803406795E-4</v>
      </c>
    </row>
    <row r="3681" spans="8:8">
      <c r="G3681" s="9">
        <v>3678.0</v>
      </c>
      <c r="H3681" s="10">
        <f t="shared" si="99"/>
        <v>0.012577277184799479</v>
      </c>
    </row>
    <row r="3682" spans="8:8">
      <c r="G3682" s="9">
        <v>3679.0</v>
      </c>
      <c r="H3682" s="10">
        <f t="shared" si="99"/>
        <v>0.02376390511590415</v>
      </c>
    </row>
    <row r="3683" spans="8:8">
      <c r="G3683" s="9">
        <v>3680.0</v>
      </c>
      <c r="H3683" s="10">
        <f t="shared" si="99"/>
        <v>0.002487290870063449</v>
      </c>
    </row>
    <row r="3684" spans="8:8">
      <c r="G3684" s="9">
        <v>3681.0</v>
      </c>
      <c r="H3684" s="10">
        <f t="shared" si="99"/>
        <v>-0.009144877308011903</v>
      </c>
    </row>
    <row r="3685" spans="8:8">
      <c r="G3685" s="9">
        <v>3682.0</v>
      </c>
      <c r="H3685" s="10">
        <f t="shared" si="99"/>
        <v>0.007465832995902057</v>
      </c>
    </row>
    <row r="3686" spans="8:8">
      <c r="G3686" s="9">
        <v>3683.0</v>
      </c>
      <c r="H3686" s="10">
        <f t="shared" si="99"/>
        <v>-9.834798033787088E-4</v>
      </c>
    </row>
    <row r="3687" spans="8:8">
      <c r="G3687" s="9">
        <v>3684.0</v>
      </c>
      <c r="H3687" s="10">
        <f t="shared" si="99"/>
        <v>0.017570999673467404</v>
      </c>
    </row>
    <row r="3688" spans="8:8">
      <c r="G3688" s="9">
        <v>3685.0</v>
      </c>
      <c r="H3688" s="10">
        <f t="shared" si="99"/>
        <v>0.0034432188031950496</v>
      </c>
    </row>
    <row r="3689" spans="8:8">
      <c r="G3689" s="9">
        <v>3686.0</v>
      </c>
      <c r="H3689" s="10">
        <f t="shared" si="99"/>
        <v>0.0018065075233052598</v>
      </c>
    </row>
    <row r="3690" spans="8:8">
      <c r="G3690" s="9">
        <v>3687.0</v>
      </c>
      <c r="H3690" s="10">
        <f t="shared" si="99"/>
        <v>-0.0021747696265657446</v>
      </c>
    </row>
    <row r="3691" spans="8:8">
      <c r="G3691" s="9">
        <v>3688.0</v>
      </c>
      <c r="H3691" s="10">
        <f t="shared" si="99"/>
        <v>-0.006951926357845874</v>
      </c>
    </row>
    <row r="3692" spans="8:8">
      <c r="G3692" s="9">
        <v>3689.0</v>
      </c>
      <c r="H3692" s="10">
        <f t="shared" si="99"/>
        <v>0.0027555154023044016</v>
      </c>
    </row>
    <row r="3693" spans="8:8">
      <c r="G3693" s="9">
        <v>3690.0</v>
      </c>
      <c r="H3693" s="10">
        <f t="shared" si="99"/>
        <v>0.020226382068764058</v>
      </c>
    </row>
    <row r="3694" spans="8:8">
      <c r="G3694" s="9">
        <v>3691.0</v>
      </c>
      <c r="H3694" s="10">
        <f t="shared" si="99"/>
        <v>-0.009425912968386043</v>
      </c>
    </row>
    <row r="3695" spans="8:8">
      <c r="G3695" s="9">
        <v>3692.0</v>
      </c>
      <c r="H3695" s="10">
        <f t="shared" si="99"/>
        <v>0.003175849919387726</v>
      </c>
    </row>
    <row r="3696" spans="8:8">
      <c r="G3696" s="9">
        <v>3693.0</v>
      </c>
      <c r="H3696" s="10">
        <f t="shared" si="99"/>
        <v>-0.026470697708067946</v>
      </c>
    </row>
    <row r="3697" spans="8:8">
      <c r="G3697" s="9">
        <v>3694.0</v>
      </c>
      <c r="H3697" s="10">
        <f t="shared" si="99"/>
        <v>0.0019334577321780833</v>
      </c>
    </row>
    <row r="3698" spans="8:8">
      <c r="G3698" s="9">
        <v>3695.0</v>
      </c>
      <c r="H3698" s="10">
        <f t="shared" si="99"/>
        <v>0.006789227183252644</v>
      </c>
    </row>
    <row r="3699" spans="8:8">
      <c r="G3699" s="9">
        <v>3696.0</v>
      </c>
      <c r="H3699" s="10">
        <f t="shared" si="99"/>
        <v>0.0027842016498521994</v>
      </c>
    </row>
    <row r="3700" spans="8:8">
      <c r="G3700" s="9">
        <v>3697.0</v>
      </c>
      <c r="H3700" s="10">
        <f t="shared" si="99"/>
        <v>-0.0036579644804018976</v>
      </c>
    </row>
    <row r="3701" spans="8:8">
      <c r="G3701" s="9">
        <v>3698.0</v>
      </c>
      <c r="H3701" s="10">
        <f t="shared" si="99"/>
        <v>-0.009838019682156716</v>
      </c>
    </row>
    <row r="3702" spans="8:8">
      <c r="G3702" s="9">
        <v>3699.0</v>
      </c>
      <c r="H3702" s="10">
        <f t="shared" si="99"/>
        <v>0.010558888765163758</v>
      </c>
    </row>
    <row r="3703" spans="8:8">
      <c r="G3703" s="9">
        <v>3700.0</v>
      </c>
      <c r="H3703" s="10">
        <f t="shared" si="99"/>
        <v>-0.008183357990850047</v>
      </c>
    </row>
    <row r="3704" spans="8:8">
      <c r="G3704" s="9">
        <v>3701.0</v>
      </c>
      <c r="H3704" s="10">
        <f t="shared" si="99"/>
        <v>-0.009700991004137505</v>
      </c>
    </row>
    <row r="3705" spans="8:8">
      <c r="G3705" s="9">
        <v>3702.0</v>
      </c>
      <c r="H3705" s="10">
        <f t="shared" si="99"/>
        <v>-0.011923091076617372</v>
      </c>
    </row>
    <row r="3706" spans="8:8">
      <c r="G3706" s="9">
        <v>3703.0</v>
      </c>
      <c r="H3706" s="10">
        <f t="shared" si="99"/>
        <v>0.010222855717809629</v>
      </c>
    </row>
    <row r="3707" spans="8:8">
      <c r="G3707" s="9">
        <v>3704.0</v>
      </c>
      <c r="H3707" s="10">
        <f t="shared" si="99"/>
        <v>0.004426235701295203</v>
      </c>
    </row>
    <row r="3708" spans="8:8">
      <c r="G3708" s="9">
        <v>3705.0</v>
      </c>
      <c r="H3708" s="10">
        <f t="shared" si="99"/>
        <v>0.004119042740882551</v>
      </c>
    </row>
    <row r="3709" spans="8:8">
      <c r="G3709" s="9">
        <v>3706.0</v>
      </c>
      <c r="H3709" s="10">
        <f t="shared" si="99"/>
        <v>0.011901525153531791</v>
      </c>
    </row>
    <row r="3710" spans="8:8">
      <c r="G3710" s="9">
        <v>3707.0</v>
      </c>
      <c r="H3710" s="10">
        <f t="shared" si="99"/>
        <v>0.0027429492426533416</v>
      </c>
    </row>
    <row r="3711" spans="8:8">
      <c r="G3711" s="9">
        <v>3708.0</v>
      </c>
      <c r="H3711" s="10">
        <f t="shared" si="99"/>
        <v>0.014779233699385646</v>
      </c>
    </row>
    <row r="3712" spans="8:8">
      <c r="G3712" s="9">
        <v>3709.0</v>
      </c>
      <c r="H3712" s="10">
        <f t="shared" si="99"/>
        <v>0.003504124688941731</v>
      </c>
    </row>
    <row r="3713" spans="8:8">
      <c r="G3713" s="9">
        <v>3710.0</v>
      </c>
      <c r="H3713" s="10">
        <f t="shared" si="99"/>
        <v>0.02580660135643184</v>
      </c>
    </row>
    <row r="3714" spans="8:8">
      <c r="G3714" s="9">
        <v>3711.0</v>
      </c>
      <c r="H3714" s="10">
        <f t="shared" si="99"/>
        <v>-0.012199557934321852</v>
      </c>
    </row>
    <row r="3715" spans="8:8">
      <c r="G3715" s="9">
        <v>3712.0</v>
      </c>
      <c r="H3715" s="10">
        <f t="shared" si="99"/>
        <v>-0.001621920943936303</v>
      </c>
    </row>
    <row r="3716" spans="8:8">
      <c r="G3716" s="9">
        <v>3713.0</v>
      </c>
      <c r="H3716" s="10">
        <f t="shared" si="99"/>
        <v>0.0022420072021426007</v>
      </c>
    </row>
    <row r="3717" spans="8:8">
      <c r="G3717" s="9">
        <v>3714.0</v>
      </c>
      <c r="H3717" s="10">
        <f t="shared" si="100" ref="H3717:H3780">_xlfn.NORM.INV(RAND(),N$6,N$7)</f>
        <v>-0.019301038215484734</v>
      </c>
    </row>
    <row r="3718" spans="8:8">
      <c r="G3718" s="9">
        <v>3715.0</v>
      </c>
      <c r="H3718" s="10">
        <f t="shared" si="100"/>
        <v>-0.014748160616400531</v>
      </c>
    </row>
    <row r="3719" spans="8:8">
      <c r="G3719" s="9">
        <v>3716.0</v>
      </c>
      <c r="H3719" s="10">
        <f t="shared" si="100"/>
        <v>0.001854902560716551</v>
      </c>
    </row>
    <row r="3720" spans="8:8">
      <c r="G3720" s="9">
        <v>3717.0</v>
      </c>
      <c r="H3720" s="10">
        <f t="shared" si="100"/>
        <v>0.024584007771503796</v>
      </c>
    </row>
    <row r="3721" spans="8:8">
      <c r="G3721" s="9">
        <v>3718.0</v>
      </c>
      <c r="H3721" s="10">
        <f t="shared" si="100"/>
        <v>-0.013920308218937152</v>
      </c>
    </row>
    <row r="3722" spans="8:8">
      <c r="G3722" s="9">
        <v>3719.0</v>
      </c>
      <c r="H3722" s="10">
        <f t="shared" si="100"/>
        <v>0.009138884613504022</v>
      </c>
    </row>
    <row r="3723" spans="8:8">
      <c r="G3723" s="9">
        <v>3720.0</v>
      </c>
      <c r="H3723" s="10">
        <f t="shared" si="100"/>
        <v>-0.006909963284750774</v>
      </c>
    </row>
    <row r="3724" spans="8:8">
      <c r="G3724" s="9">
        <v>3721.0</v>
      </c>
      <c r="H3724" s="10">
        <f t="shared" si="100"/>
        <v>0.00546697590020076</v>
      </c>
    </row>
    <row r="3725" spans="8:8">
      <c r="G3725" s="9">
        <v>3722.0</v>
      </c>
      <c r="H3725" s="10">
        <f t="shared" si="100"/>
        <v>0.017325634634973164</v>
      </c>
    </row>
    <row r="3726" spans="8:8">
      <c r="G3726" s="9">
        <v>3723.0</v>
      </c>
      <c r="H3726" s="10">
        <f t="shared" si="100"/>
        <v>0.009417288752575758</v>
      </c>
    </row>
    <row r="3727" spans="8:8">
      <c r="G3727" s="9">
        <v>3724.0</v>
      </c>
      <c r="H3727" s="10">
        <f t="shared" si="100"/>
        <v>0.012487354889435406</v>
      </c>
    </row>
    <row r="3728" spans="8:8">
      <c r="G3728" s="9">
        <v>3725.0</v>
      </c>
      <c r="H3728" s="10">
        <f t="shared" si="100"/>
        <v>0.007527516863661053</v>
      </c>
    </row>
    <row r="3729" spans="8:8">
      <c r="G3729" s="9">
        <v>3726.0</v>
      </c>
      <c r="H3729" s="10">
        <f t="shared" si="100"/>
        <v>-0.004716246368233454</v>
      </c>
    </row>
    <row r="3730" spans="8:8">
      <c r="G3730" s="9">
        <v>3727.0</v>
      </c>
      <c r="H3730" s="10">
        <f t="shared" si="100"/>
        <v>-0.00428391342551861</v>
      </c>
    </row>
    <row r="3731" spans="8:8">
      <c r="G3731" s="9">
        <v>3728.0</v>
      </c>
      <c r="H3731" s="10">
        <f t="shared" si="100"/>
        <v>0.006708635610974368</v>
      </c>
    </row>
    <row r="3732" spans="8:8">
      <c r="G3732" s="9">
        <v>3729.0</v>
      </c>
      <c r="H3732" s="10">
        <f t="shared" si="100"/>
        <v>0.00674227184782123</v>
      </c>
    </row>
    <row r="3733" spans="8:8">
      <c r="G3733" s="9">
        <v>3730.0</v>
      </c>
      <c r="H3733" s="10">
        <f t="shared" si="100"/>
        <v>-0.0119055455406064</v>
      </c>
    </row>
    <row r="3734" spans="8:8">
      <c r="G3734" s="9">
        <v>3731.0</v>
      </c>
      <c r="H3734" s="10">
        <f t="shared" si="100"/>
        <v>0.014244010909544892</v>
      </c>
    </row>
    <row r="3735" spans="8:8">
      <c r="G3735" s="9">
        <v>3732.0</v>
      </c>
      <c r="H3735" s="10">
        <f t="shared" si="100"/>
        <v>0.01670234615082472</v>
      </c>
    </row>
    <row r="3736" spans="8:8">
      <c r="G3736" s="9">
        <v>3733.0</v>
      </c>
      <c r="H3736" s="10">
        <f t="shared" si="100"/>
        <v>0.008816406354193545</v>
      </c>
    </row>
    <row r="3737" spans="8:8">
      <c r="G3737" s="9">
        <v>3734.0</v>
      </c>
      <c r="H3737" s="10">
        <f t="shared" si="100"/>
        <v>0.013476363349805707</v>
      </c>
    </row>
    <row r="3738" spans="8:8">
      <c r="G3738" s="9">
        <v>3735.0</v>
      </c>
      <c r="H3738" s="10">
        <f t="shared" si="100"/>
        <v>0.002744296281541961</v>
      </c>
    </row>
    <row r="3739" spans="8:8">
      <c r="G3739" s="9">
        <v>3736.0</v>
      </c>
      <c r="H3739" s="10">
        <f t="shared" si="100"/>
        <v>0.021693378129101396</v>
      </c>
    </row>
    <row r="3740" spans="8:8">
      <c r="G3740" s="9">
        <v>3737.0</v>
      </c>
      <c r="H3740" s="10">
        <f t="shared" si="100"/>
        <v>-0.016244917581442028</v>
      </c>
    </row>
    <row r="3741" spans="8:8">
      <c r="G3741" s="9">
        <v>3738.0</v>
      </c>
      <c r="H3741" s="10">
        <f t="shared" si="100"/>
        <v>-0.008224485616070136</v>
      </c>
    </row>
    <row r="3742" spans="8:8">
      <c r="G3742" s="9">
        <v>3739.0</v>
      </c>
      <c r="H3742" s="10">
        <f t="shared" si="100"/>
        <v>0.020576781850830665</v>
      </c>
    </row>
    <row r="3743" spans="8:8">
      <c r="G3743" s="9">
        <v>3740.0</v>
      </c>
      <c r="H3743" s="10">
        <f t="shared" si="100"/>
        <v>0.0019605696768293683</v>
      </c>
    </row>
    <row r="3744" spans="8:8">
      <c r="G3744" s="9">
        <v>3741.0</v>
      </c>
      <c r="H3744" s="10">
        <f t="shared" si="100"/>
        <v>0.011020227371336615</v>
      </c>
    </row>
    <row r="3745" spans="8:8">
      <c r="G3745" s="9">
        <v>3742.0</v>
      </c>
      <c r="H3745" s="10">
        <f t="shared" si="100"/>
        <v>-0.01871817390928589</v>
      </c>
    </row>
    <row r="3746" spans="8:8">
      <c r="G3746" s="9">
        <v>3743.0</v>
      </c>
      <c r="H3746" s="10">
        <f t="shared" si="100"/>
        <v>-0.0066665041075266085</v>
      </c>
    </row>
    <row r="3747" spans="8:8">
      <c r="G3747" s="9">
        <v>3744.0</v>
      </c>
      <c r="H3747" s="10">
        <f t="shared" si="100"/>
        <v>-0.007349087311922458</v>
      </c>
    </row>
    <row r="3748" spans="8:8">
      <c r="G3748" s="9">
        <v>3745.0</v>
      </c>
      <c r="H3748" s="10">
        <f t="shared" si="100"/>
        <v>-0.0015336700273978921</v>
      </c>
    </row>
    <row r="3749" spans="8:8">
      <c r="G3749" s="9">
        <v>3746.0</v>
      </c>
      <c r="H3749" s="10">
        <f t="shared" si="100"/>
        <v>0.024829910969717844</v>
      </c>
    </row>
    <row r="3750" spans="8:8">
      <c r="G3750" s="9">
        <v>3747.0</v>
      </c>
      <c r="H3750" s="10">
        <f t="shared" si="100"/>
        <v>-0.019734818268133798</v>
      </c>
    </row>
    <row r="3751" spans="8:8">
      <c r="G3751" s="9">
        <v>3748.0</v>
      </c>
      <c r="H3751" s="10">
        <f t="shared" si="100"/>
        <v>-0.0021853712865835357</v>
      </c>
    </row>
    <row r="3752" spans="8:8">
      <c r="G3752" s="9">
        <v>3749.0</v>
      </c>
      <c r="H3752" s="10">
        <f t="shared" si="100"/>
        <v>-0.0014822801546972558</v>
      </c>
    </row>
    <row r="3753" spans="8:8">
      <c r="G3753" s="9">
        <v>3750.0</v>
      </c>
      <c r="H3753" s="10">
        <f t="shared" si="100"/>
        <v>0.011114884506550373</v>
      </c>
    </row>
    <row r="3754" spans="8:8">
      <c r="G3754" s="9">
        <v>3751.0</v>
      </c>
      <c r="H3754" s="10">
        <f t="shared" si="100"/>
        <v>-0.003203281691298821</v>
      </c>
    </row>
    <row r="3755" spans="8:8">
      <c r="G3755" s="9">
        <v>3752.0</v>
      </c>
      <c r="H3755" s="10">
        <f t="shared" si="100"/>
        <v>0.01002572121181868</v>
      </c>
    </row>
    <row r="3756" spans="8:8">
      <c r="G3756" s="9">
        <v>3753.0</v>
      </c>
      <c r="H3756" s="10">
        <f t="shared" si="100"/>
        <v>-0.0023222912669294297</v>
      </c>
    </row>
    <row r="3757" spans="8:8">
      <c r="G3757" s="9">
        <v>3754.0</v>
      </c>
      <c r="H3757" s="10">
        <f t="shared" si="100"/>
        <v>0.012567790179342366</v>
      </c>
    </row>
    <row r="3758" spans="8:8">
      <c r="G3758" s="9">
        <v>3755.0</v>
      </c>
      <c r="H3758" s="10">
        <f t="shared" si="100"/>
        <v>0.0020078487544899232</v>
      </c>
    </row>
    <row r="3759" spans="8:8">
      <c r="G3759" s="9">
        <v>3756.0</v>
      </c>
      <c r="H3759" s="10">
        <f t="shared" si="100"/>
        <v>0.002898057399402888</v>
      </c>
    </row>
    <row r="3760" spans="8:8">
      <c r="G3760" s="9">
        <v>3757.0</v>
      </c>
      <c r="H3760" s="10">
        <f t="shared" si="100"/>
        <v>0.01734364008894982</v>
      </c>
    </row>
    <row r="3761" spans="8:8">
      <c r="G3761" s="9">
        <v>3758.0</v>
      </c>
      <c r="H3761" s="10">
        <f t="shared" si="100"/>
        <v>0.022346659794366577</v>
      </c>
    </row>
    <row r="3762" spans="8:8">
      <c r="G3762" s="9">
        <v>3759.0</v>
      </c>
      <c r="H3762" s="10">
        <f t="shared" si="100"/>
        <v>-0.013064046455368062</v>
      </c>
    </row>
    <row r="3763" spans="8:8">
      <c r="G3763" s="9">
        <v>3760.0</v>
      </c>
      <c r="H3763" s="10">
        <f t="shared" si="100"/>
        <v>0.010328810731983851</v>
      </c>
    </row>
    <row r="3764" spans="8:8">
      <c r="G3764" s="9">
        <v>3761.0</v>
      </c>
      <c r="H3764" s="10">
        <f t="shared" si="100"/>
        <v>0.019395683751227737</v>
      </c>
    </row>
    <row r="3765" spans="8:8">
      <c r="G3765" s="9">
        <v>3762.0</v>
      </c>
      <c r="H3765" s="10">
        <f t="shared" si="100"/>
        <v>-0.015608810171158824</v>
      </c>
    </row>
    <row r="3766" spans="8:8">
      <c r="G3766" s="9">
        <v>3763.0</v>
      </c>
      <c r="H3766" s="10">
        <f t="shared" si="100"/>
        <v>0.011297669881400487</v>
      </c>
    </row>
    <row r="3767" spans="8:8">
      <c r="G3767" s="9">
        <v>3764.0</v>
      </c>
      <c r="H3767" s="10">
        <f t="shared" si="100"/>
        <v>-0.012701759680736256</v>
      </c>
    </row>
    <row r="3768" spans="8:8">
      <c r="G3768" s="9">
        <v>3765.0</v>
      </c>
      <c r="H3768" s="10">
        <f t="shared" si="100"/>
        <v>0.001618663638868115</v>
      </c>
    </row>
    <row r="3769" spans="8:8">
      <c r="G3769" s="9">
        <v>3766.0</v>
      </c>
      <c r="H3769" s="10">
        <f t="shared" si="100"/>
        <v>-0.006765944593611334</v>
      </c>
    </row>
    <row r="3770" spans="8:8">
      <c r="G3770" s="9">
        <v>3767.0</v>
      </c>
      <c r="H3770" s="10">
        <f t="shared" si="100"/>
        <v>0.0339802425311188</v>
      </c>
    </row>
    <row r="3771" spans="8:8">
      <c r="G3771" s="9">
        <v>3768.0</v>
      </c>
      <c r="H3771" s="10">
        <f t="shared" si="100"/>
        <v>0.02001936345382793</v>
      </c>
    </row>
    <row r="3772" spans="8:8">
      <c r="G3772" s="9">
        <v>3769.0</v>
      </c>
      <c r="H3772" s="10">
        <f t="shared" si="100"/>
        <v>0.019316370650978232</v>
      </c>
    </row>
    <row r="3773" spans="8:8">
      <c r="G3773" s="9">
        <v>3770.0</v>
      </c>
      <c r="H3773" s="10">
        <f t="shared" si="100"/>
        <v>-0.004665149429062339</v>
      </c>
    </row>
    <row r="3774" spans="8:8">
      <c r="G3774" s="9">
        <v>3771.0</v>
      </c>
      <c r="H3774" s="10">
        <f t="shared" si="100"/>
        <v>0.01094461943542063</v>
      </c>
    </row>
    <row r="3775" spans="8:8">
      <c r="G3775" s="9">
        <v>3772.0</v>
      </c>
      <c r="H3775" s="10">
        <f t="shared" si="100"/>
        <v>-0.007202688868581706</v>
      </c>
    </row>
    <row r="3776" spans="8:8">
      <c r="G3776" s="9">
        <v>3773.0</v>
      </c>
      <c r="H3776" s="10">
        <f t="shared" si="100"/>
        <v>0.01487076152956622</v>
      </c>
    </row>
    <row r="3777" spans="8:8">
      <c r="G3777" s="9">
        <v>3774.0</v>
      </c>
      <c r="H3777" s="10">
        <f t="shared" si="100"/>
        <v>0.003831619213391004</v>
      </c>
    </row>
    <row r="3778" spans="8:8">
      <c r="G3778" s="9">
        <v>3775.0</v>
      </c>
      <c r="H3778" s="10">
        <f t="shared" si="100"/>
        <v>-0.011672725867612855</v>
      </c>
    </row>
    <row r="3779" spans="8:8">
      <c r="G3779" s="9">
        <v>3776.0</v>
      </c>
      <c r="H3779" s="10">
        <f t="shared" si="100"/>
        <v>0.008501962997444039</v>
      </c>
    </row>
    <row r="3780" spans="8:8">
      <c r="G3780" s="9">
        <v>3777.0</v>
      </c>
      <c r="H3780" s="10">
        <f t="shared" si="100"/>
        <v>0.0034619313830475595</v>
      </c>
    </row>
    <row r="3781" spans="8:8">
      <c r="G3781" s="9">
        <v>3778.0</v>
      </c>
      <c r="H3781" s="10">
        <f t="shared" si="101" ref="H3781:H3844">_xlfn.NORM.INV(RAND(),N$6,N$7)</f>
        <v>0.017154335961014597</v>
      </c>
    </row>
    <row r="3782" spans="8:8">
      <c r="G3782" s="9">
        <v>3779.0</v>
      </c>
      <c r="H3782" s="10">
        <f t="shared" si="101"/>
        <v>0.010448166364831767</v>
      </c>
    </row>
    <row r="3783" spans="8:8">
      <c r="G3783" s="9">
        <v>3780.0</v>
      </c>
      <c r="H3783" s="10">
        <f t="shared" si="101"/>
        <v>0.0016243728717477634</v>
      </c>
    </row>
    <row r="3784" spans="8:8">
      <c r="G3784" s="9">
        <v>3781.0</v>
      </c>
      <c r="H3784" s="10">
        <f t="shared" si="101"/>
        <v>-0.016552403213152975</v>
      </c>
    </row>
    <row r="3785" spans="8:8">
      <c r="G3785" s="9">
        <v>3782.0</v>
      </c>
      <c r="H3785" s="10">
        <f t="shared" si="101"/>
        <v>-0.012190030351549964</v>
      </c>
    </row>
    <row r="3786" spans="8:8">
      <c r="G3786" s="9">
        <v>3783.0</v>
      </c>
      <c r="H3786" s="10">
        <f t="shared" si="101"/>
        <v>-0.0032769023616702553</v>
      </c>
    </row>
    <row r="3787" spans="8:8">
      <c r="G3787" s="9">
        <v>3784.0</v>
      </c>
      <c r="H3787" s="10">
        <f t="shared" si="101"/>
        <v>0.007927034129517563</v>
      </c>
    </row>
    <row r="3788" spans="8:8">
      <c r="G3788" s="9">
        <v>3785.0</v>
      </c>
      <c r="H3788" s="10">
        <f t="shared" si="101"/>
        <v>-0.0026505531411650223</v>
      </c>
    </row>
    <row r="3789" spans="8:8">
      <c r="G3789" s="9">
        <v>3786.0</v>
      </c>
      <c r="H3789" s="10">
        <f t="shared" si="101"/>
        <v>0.020778168765251275</v>
      </c>
    </row>
    <row r="3790" spans="8:8">
      <c r="G3790" s="9">
        <v>3787.0</v>
      </c>
      <c r="H3790" s="10">
        <f t="shared" si="101"/>
        <v>-0.0018803369116012145</v>
      </c>
    </row>
    <row r="3791" spans="8:8">
      <c r="G3791" s="9">
        <v>3788.0</v>
      </c>
      <c r="H3791" s="10">
        <f t="shared" si="101"/>
        <v>0.019295722812184057</v>
      </c>
    </row>
    <row r="3792" spans="8:8">
      <c r="G3792" s="9">
        <v>3789.0</v>
      </c>
      <c r="H3792" s="10">
        <f t="shared" si="101"/>
        <v>0.010970936145279577</v>
      </c>
    </row>
    <row r="3793" spans="8:8">
      <c r="G3793" s="9">
        <v>3790.0</v>
      </c>
      <c r="H3793" s="10">
        <f t="shared" si="101"/>
        <v>-0.010948056150097963</v>
      </c>
    </row>
    <row r="3794" spans="8:8">
      <c r="G3794" s="9">
        <v>3791.0</v>
      </c>
      <c r="H3794" s="10">
        <f t="shared" si="101"/>
        <v>0.008217318130560359</v>
      </c>
    </row>
    <row r="3795" spans="8:8">
      <c r="G3795" s="9">
        <v>3792.0</v>
      </c>
      <c r="H3795" s="10">
        <f t="shared" si="101"/>
        <v>0.0332108035985199</v>
      </c>
    </row>
    <row r="3796" spans="8:8">
      <c r="G3796" s="9">
        <v>3793.0</v>
      </c>
      <c r="H3796" s="10">
        <f t="shared" si="101"/>
        <v>-0.006823611685603827</v>
      </c>
    </row>
    <row r="3797" spans="8:8">
      <c r="G3797" s="9">
        <v>3794.0</v>
      </c>
      <c r="H3797" s="10">
        <f t="shared" si="101"/>
        <v>0.011188651948269426</v>
      </c>
    </row>
    <row r="3798" spans="8:8">
      <c r="G3798" s="9">
        <v>3795.0</v>
      </c>
      <c r="H3798" s="10">
        <f t="shared" si="101"/>
        <v>0.0017264302974091031</v>
      </c>
    </row>
    <row r="3799" spans="8:8">
      <c r="G3799" s="9">
        <v>3796.0</v>
      </c>
      <c r="H3799" s="10">
        <f t="shared" si="101"/>
        <v>-0.004850538194203919</v>
      </c>
    </row>
    <row r="3800" spans="8:8">
      <c r="G3800" s="9">
        <v>3797.0</v>
      </c>
      <c r="H3800" s="10">
        <f t="shared" si="101"/>
        <v>0.010063334221717981</v>
      </c>
    </row>
    <row r="3801" spans="8:8">
      <c r="G3801" s="9">
        <v>3798.0</v>
      </c>
      <c r="H3801" s="10">
        <f t="shared" si="101"/>
        <v>-0.0056185993586647725</v>
      </c>
    </row>
    <row r="3802" spans="8:8">
      <c r="G3802" s="9">
        <v>3799.0</v>
      </c>
      <c r="H3802" s="10">
        <f t="shared" si="101"/>
        <v>0.007915886026029297</v>
      </c>
    </row>
    <row r="3803" spans="8:8">
      <c r="G3803" s="9">
        <v>3800.0</v>
      </c>
      <c r="H3803" s="10">
        <f t="shared" si="101"/>
        <v>-0.013223794659656694</v>
      </c>
    </row>
    <row r="3804" spans="8:8">
      <c r="G3804" s="9">
        <v>3801.0</v>
      </c>
      <c r="H3804" s="10">
        <f t="shared" si="101"/>
        <v>0.012908789833384362</v>
      </c>
    </row>
    <row r="3805" spans="8:8">
      <c r="G3805" s="9">
        <v>3802.0</v>
      </c>
      <c r="H3805" s="10">
        <f t="shared" si="101"/>
        <v>-0.007322746316160505</v>
      </c>
    </row>
    <row r="3806" spans="8:8">
      <c r="G3806" s="9">
        <v>3803.0</v>
      </c>
      <c r="H3806" s="10">
        <f t="shared" si="101"/>
        <v>0.003365898400803948</v>
      </c>
    </row>
    <row r="3807" spans="8:8">
      <c r="G3807" s="9">
        <v>3804.0</v>
      </c>
      <c r="H3807" s="10">
        <f t="shared" si="101"/>
        <v>-0.007227784913359914</v>
      </c>
    </row>
    <row r="3808" spans="8:8">
      <c r="G3808" s="9">
        <v>3805.0</v>
      </c>
      <c r="H3808" s="10">
        <f t="shared" si="101"/>
        <v>-0.0026046940473186137</v>
      </c>
    </row>
    <row r="3809" spans="8:8">
      <c r="G3809" s="9">
        <v>3806.0</v>
      </c>
      <c r="H3809" s="10">
        <f t="shared" si="101"/>
        <v>-0.0026393172798106984</v>
      </c>
    </row>
    <row r="3810" spans="8:8">
      <c r="G3810" s="9">
        <v>3807.0</v>
      </c>
      <c r="H3810" s="10">
        <f t="shared" si="101"/>
        <v>0.004347661294109804</v>
      </c>
    </row>
    <row r="3811" spans="8:8">
      <c r="G3811" s="9">
        <v>3808.0</v>
      </c>
      <c r="H3811" s="10">
        <f t="shared" si="101"/>
        <v>-0.0128324059494489</v>
      </c>
    </row>
    <row r="3812" spans="8:8">
      <c r="G3812" s="9">
        <v>3809.0</v>
      </c>
      <c r="H3812" s="10">
        <f t="shared" si="101"/>
        <v>-0.021539492959201524</v>
      </c>
    </row>
    <row r="3813" spans="8:8">
      <c r="G3813" s="9">
        <v>3810.0</v>
      </c>
      <c r="H3813" s="10">
        <f t="shared" si="101"/>
        <v>-0.0031949713659221776</v>
      </c>
    </row>
    <row r="3814" spans="8:8">
      <c r="G3814" s="9">
        <v>3811.0</v>
      </c>
      <c r="H3814" s="10">
        <f t="shared" si="101"/>
        <v>-0.003014988642016719</v>
      </c>
    </row>
    <row r="3815" spans="8:8">
      <c r="G3815" s="9">
        <v>3812.0</v>
      </c>
      <c r="H3815" s="10">
        <f t="shared" si="101"/>
        <v>0.011761431608303584</v>
      </c>
    </row>
    <row r="3816" spans="8:8">
      <c r="G3816" s="9">
        <v>3813.0</v>
      </c>
      <c r="H3816" s="10">
        <f t="shared" si="101"/>
        <v>-0.006201166497611355</v>
      </c>
    </row>
    <row r="3817" spans="8:8">
      <c r="G3817" s="9">
        <v>3814.0</v>
      </c>
      <c r="H3817" s="10">
        <f t="shared" si="101"/>
        <v>-0.008058642642951898</v>
      </c>
    </row>
    <row r="3818" spans="8:8">
      <c r="G3818" s="9">
        <v>3815.0</v>
      </c>
      <c r="H3818" s="10">
        <f t="shared" si="101"/>
        <v>0.02142490780253876</v>
      </c>
    </row>
    <row r="3819" spans="8:8">
      <c r="G3819" s="9">
        <v>3816.0</v>
      </c>
      <c r="H3819" s="10">
        <f t="shared" si="101"/>
        <v>0.0032169934122534306</v>
      </c>
    </row>
    <row r="3820" spans="8:8">
      <c r="G3820" s="9">
        <v>3817.0</v>
      </c>
      <c r="H3820" s="10">
        <f t="shared" si="101"/>
        <v>-0.006338038171711272</v>
      </c>
    </row>
    <row r="3821" spans="8:8">
      <c r="G3821" s="9">
        <v>3818.0</v>
      </c>
      <c r="H3821" s="10">
        <f t="shared" si="101"/>
        <v>0.012625544206790282</v>
      </c>
    </row>
    <row r="3822" spans="8:8">
      <c r="G3822" s="9">
        <v>3819.0</v>
      </c>
      <c r="H3822" s="10">
        <f t="shared" si="101"/>
        <v>-0.009730112905601773</v>
      </c>
    </row>
    <row r="3823" spans="8:8">
      <c r="G3823" s="9">
        <v>3820.0</v>
      </c>
      <c r="H3823" s="10">
        <f t="shared" si="101"/>
        <v>0.0018995998598533236</v>
      </c>
    </row>
    <row r="3824" spans="8:8">
      <c r="G3824" s="9">
        <v>3821.0</v>
      </c>
      <c r="H3824" s="10">
        <f t="shared" si="101"/>
        <v>-0.023919324311625398</v>
      </c>
    </row>
    <row r="3825" spans="8:8">
      <c r="G3825" s="9">
        <v>3822.0</v>
      </c>
      <c r="H3825" s="10">
        <f t="shared" si="101"/>
        <v>-0.002720245903647997</v>
      </c>
    </row>
    <row r="3826" spans="8:8">
      <c r="G3826" s="9">
        <v>3823.0</v>
      </c>
      <c r="H3826" s="10">
        <f t="shared" si="101"/>
        <v>-0.019949135465043098</v>
      </c>
    </row>
    <row r="3827" spans="8:8">
      <c r="G3827" s="9">
        <v>3824.0</v>
      </c>
      <c r="H3827" s="10">
        <f t="shared" si="101"/>
        <v>-0.007847063034069741</v>
      </c>
    </row>
    <row r="3828" spans="8:8">
      <c r="G3828" s="9">
        <v>3825.0</v>
      </c>
      <c r="H3828" s="10">
        <f t="shared" si="101"/>
        <v>0.019409163062279553</v>
      </c>
    </row>
    <row r="3829" spans="8:8">
      <c r="G3829" s="9">
        <v>3826.0</v>
      </c>
      <c r="H3829" s="10">
        <f t="shared" si="101"/>
        <v>0.017692225871074177</v>
      </c>
    </row>
    <row r="3830" spans="8:8">
      <c r="G3830" s="9">
        <v>3827.0</v>
      </c>
      <c r="H3830" s="10">
        <f t="shared" si="101"/>
        <v>-0.019644092435593407</v>
      </c>
    </row>
    <row r="3831" spans="8:8">
      <c r="G3831" s="9">
        <v>3828.0</v>
      </c>
      <c r="H3831" s="10">
        <f t="shared" si="101"/>
        <v>-0.010238139833213668</v>
      </c>
    </row>
    <row r="3832" spans="8:8">
      <c r="G3832" s="9">
        <v>3829.0</v>
      </c>
      <c r="H3832" s="10">
        <f t="shared" si="101"/>
        <v>-0.009881332835669939</v>
      </c>
    </row>
    <row r="3833" spans="8:8">
      <c r="G3833" s="9">
        <v>3830.0</v>
      </c>
      <c r="H3833" s="10">
        <f t="shared" si="101"/>
        <v>0.03202591386572324</v>
      </c>
    </row>
    <row r="3834" spans="8:8">
      <c r="G3834" s="9">
        <v>3831.0</v>
      </c>
      <c r="H3834" s="10">
        <f t="shared" si="101"/>
        <v>0.002622854150232923</v>
      </c>
    </row>
    <row r="3835" spans="8:8">
      <c r="G3835" s="9">
        <v>3832.0</v>
      </c>
      <c r="H3835" s="10">
        <f t="shared" si="101"/>
        <v>0.028177475310211517</v>
      </c>
    </row>
    <row r="3836" spans="8:8">
      <c r="G3836" s="9">
        <v>3833.0</v>
      </c>
      <c r="H3836" s="10">
        <f t="shared" si="101"/>
        <v>-0.013197307852731599</v>
      </c>
    </row>
    <row r="3837" spans="8:8">
      <c r="G3837" s="9">
        <v>3834.0</v>
      </c>
      <c r="H3837" s="10">
        <f t="shared" si="101"/>
        <v>6.228598647840659E-4</v>
      </c>
    </row>
    <row r="3838" spans="8:8">
      <c r="G3838" s="9">
        <v>3835.0</v>
      </c>
      <c r="H3838" s="10">
        <f t="shared" si="101"/>
        <v>-0.006034549932660259</v>
      </c>
    </row>
    <row r="3839" spans="8:8">
      <c r="G3839" s="9">
        <v>3836.0</v>
      </c>
      <c r="H3839" s="10">
        <f t="shared" si="101"/>
        <v>0.014830371743993067</v>
      </c>
    </row>
    <row r="3840" spans="8:8">
      <c r="G3840" s="9">
        <v>3837.0</v>
      </c>
      <c r="H3840" s="10">
        <f t="shared" si="101"/>
        <v>0.01309968774027178</v>
      </c>
    </row>
    <row r="3841" spans="8:8">
      <c r="G3841" s="9">
        <v>3838.0</v>
      </c>
      <c r="H3841" s="10">
        <f t="shared" si="101"/>
        <v>-0.007337035008746519</v>
      </c>
    </row>
    <row r="3842" spans="8:8">
      <c r="G3842" s="9">
        <v>3839.0</v>
      </c>
      <c r="H3842" s="10">
        <f t="shared" si="101"/>
        <v>0.007853831381087441</v>
      </c>
    </row>
    <row r="3843" spans="8:8">
      <c r="G3843" s="9">
        <v>3840.0</v>
      </c>
      <c r="H3843" s="10">
        <f t="shared" si="101"/>
        <v>0.022152373134546374</v>
      </c>
    </row>
    <row r="3844" spans="8:8">
      <c r="G3844" s="9">
        <v>3841.0</v>
      </c>
      <c r="H3844" s="10">
        <f t="shared" si="101"/>
        <v>4.58986544973563E-4</v>
      </c>
    </row>
    <row r="3845" spans="8:8">
      <c r="G3845" s="9">
        <v>3842.0</v>
      </c>
      <c r="H3845" s="10">
        <f t="shared" si="102" ref="H3845:H3908">_xlfn.NORM.INV(RAND(),N$6,N$7)</f>
        <v>0.013696812426250819</v>
      </c>
    </row>
    <row r="3846" spans="8:8">
      <c r="G3846" s="9">
        <v>3843.0</v>
      </c>
      <c r="H3846" s="10">
        <f t="shared" si="102"/>
        <v>-0.009726860037017098</v>
      </c>
    </row>
    <row r="3847" spans="8:8">
      <c r="G3847" s="9">
        <v>3844.0</v>
      </c>
      <c r="H3847" s="10">
        <f t="shared" si="102"/>
        <v>0.001106976743932162</v>
      </c>
    </row>
    <row r="3848" spans="8:8">
      <c r="G3848" s="9">
        <v>3845.0</v>
      </c>
      <c r="H3848" s="10">
        <f t="shared" si="102"/>
        <v>0.007304089880174591</v>
      </c>
    </row>
    <row r="3849" spans="8:8">
      <c r="G3849" s="9">
        <v>3846.0</v>
      </c>
      <c r="H3849" s="10">
        <f t="shared" si="102"/>
        <v>-0.010515276844060627</v>
      </c>
    </row>
    <row r="3850" spans="8:8">
      <c r="G3850" s="9">
        <v>3847.0</v>
      </c>
      <c r="H3850" s="10">
        <f t="shared" si="102"/>
        <v>-0.005717177805915469</v>
      </c>
    </row>
    <row r="3851" spans="8:8">
      <c r="G3851" s="9">
        <v>3848.0</v>
      </c>
      <c r="H3851" s="10">
        <f t="shared" si="102"/>
        <v>-0.004042878598040412</v>
      </c>
    </row>
    <row r="3852" spans="8:8">
      <c r="G3852" s="9">
        <v>3849.0</v>
      </c>
      <c r="H3852" s="10">
        <f t="shared" si="102"/>
        <v>0.01449701310400435</v>
      </c>
    </row>
    <row r="3853" spans="8:8">
      <c r="G3853" s="9">
        <v>3850.0</v>
      </c>
      <c r="H3853" s="10">
        <f t="shared" si="102"/>
        <v>0.013216905155417537</v>
      </c>
    </row>
    <row r="3854" spans="8:8">
      <c r="G3854" s="9">
        <v>3851.0</v>
      </c>
      <c r="H3854" s="10">
        <f t="shared" si="102"/>
        <v>-0.007673629188855548</v>
      </c>
    </row>
    <row r="3855" spans="8:8">
      <c r="G3855" s="9">
        <v>3852.0</v>
      </c>
      <c r="H3855" s="10">
        <f t="shared" si="102"/>
        <v>-0.020518494638663672</v>
      </c>
    </row>
    <row r="3856" spans="8:8">
      <c r="G3856" s="9">
        <v>3853.0</v>
      </c>
      <c r="H3856" s="10">
        <f t="shared" si="102"/>
        <v>0.013619811345828532</v>
      </c>
    </row>
    <row r="3857" spans="8:8">
      <c r="G3857" s="9">
        <v>3854.0</v>
      </c>
      <c r="H3857" s="10">
        <f t="shared" si="102"/>
        <v>2.4612788696799955E-5</v>
      </c>
    </row>
    <row r="3858" spans="8:8">
      <c r="G3858" s="9">
        <v>3855.0</v>
      </c>
      <c r="H3858" s="10">
        <f t="shared" si="102"/>
        <v>0.003910917234932436</v>
      </c>
    </row>
    <row r="3859" spans="8:8">
      <c r="G3859" s="9">
        <v>3856.0</v>
      </c>
      <c r="H3859" s="10">
        <f t="shared" si="102"/>
        <v>-0.011665029483407793</v>
      </c>
    </row>
    <row r="3860" spans="8:8">
      <c r="G3860" s="9">
        <v>3857.0</v>
      </c>
      <c r="H3860" s="10">
        <f t="shared" si="102"/>
        <v>0.030779606024763064</v>
      </c>
    </row>
    <row r="3861" spans="8:8">
      <c r="G3861" s="9">
        <v>3858.0</v>
      </c>
      <c r="H3861" s="10">
        <f t="shared" si="102"/>
        <v>0.015176623767065994</v>
      </c>
    </row>
    <row r="3862" spans="8:8">
      <c r="G3862" s="9">
        <v>3859.0</v>
      </c>
      <c r="H3862" s="10">
        <f t="shared" si="102"/>
        <v>0.01360839402261562</v>
      </c>
    </row>
    <row r="3863" spans="8:8">
      <c r="G3863" s="9">
        <v>3860.0</v>
      </c>
      <c r="H3863" s="10">
        <f t="shared" si="102"/>
        <v>-0.009488501095082424</v>
      </c>
    </row>
    <row r="3864" spans="8:8">
      <c r="G3864" s="9">
        <v>3861.0</v>
      </c>
      <c r="H3864" s="10">
        <f t="shared" si="102"/>
        <v>0.0049801778728435515</v>
      </c>
    </row>
    <row r="3865" spans="8:8">
      <c r="G3865" s="9">
        <v>3862.0</v>
      </c>
      <c r="H3865" s="10">
        <f t="shared" si="102"/>
        <v>-0.013653343837376854</v>
      </c>
    </row>
    <row r="3866" spans="8:8">
      <c r="G3866" s="9">
        <v>3863.0</v>
      </c>
      <c r="H3866" s="10">
        <f t="shared" si="102"/>
        <v>-0.009315304806115556</v>
      </c>
    </row>
    <row r="3867" spans="8:8">
      <c r="G3867" s="9">
        <v>3864.0</v>
      </c>
      <c r="H3867" s="10">
        <f t="shared" si="102"/>
        <v>0.0010753641743433333</v>
      </c>
    </row>
    <row r="3868" spans="8:8">
      <c r="G3868" s="9">
        <v>3865.0</v>
      </c>
      <c r="H3868" s="10">
        <f t="shared" si="102"/>
        <v>0.005024785588468535</v>
      </c>
    </row>
    <row r="3869" spans="8:8">
      <c r="G3869" s="9">
        <v>3866.0</v>
      </c>
      <c r="H3869" s="10">
        <f t="shared" si="102"/>
        <v>0.013241038276997828</v>
      </c>
    </row>
    <row r="3870" spans="8:8">
      <c r="G3870" s="9">
        <v>3867.0</v>
      </c>
      <c r="H3870" s="10">
        <f t="shared" si="102"/>
        <v>1.4412625610053277E-4</v>
      </c>
    </row>
    <row r="3871" spans="8:8">
      <c r="G3871" s="9">
        <v>3868.0</v>
      </c>
      <c r="H3871" s="10">
        <f t="shared" si="102"/>
        <v>0.009275905390278946</v>
      </c>
    </row>
    <row r="3872" spans="8:8">
      <c r="G3872" s="9">
        <v>3869.0</v>
      </c>
      <c r="H3872" s="10">
        <f t="shared" si="102"/>
        <v>0.003161769384409693</v>
      </c>
    </row>
    <row r="3873" spans="8:8">
      <c r="G3873" s="9">
        <v>3870.0</v>
      </c>
      <c r="H3873" s="10">
        <f t="shared" si="102"/>
        <v>-0.004730198913229035</v>
      </c>
    </row>
    <row r="3874" spans="8:8">
      <c r="G3874" s="9">
        <v>3871.0</v>
      </c>
      <c r="H3874" s="10">
        <f t="shared" si="102"/>
        <v>0.013610628443683472</v>
      </c>
    </row>
    <row r="3875" spans="8:8">
      <c r="G3875" s="9">
        <v>3872.0</v>
      </c>
      <c r="H3875" s="10">
        <f t="shared" si="102"/>
        <v>0.0029039519792147324</v>
      </c>
    </row>
    <row r="3876" spans="8:8">
      <c r="G3876" s="9">
        <v>3873.0</v>
      </c>
      <c r="H3876" s="10">
        <f t="shared" si="102"/>
        <v>0.008219343996382016</v>
      </c>
    </row>
    <row r="3877" spans="8:8">
      <c r="G3877" s="9">
        <v>3874.0</v>
      </c>
      <c r="H3877" s="10">
        <f t="shared" si="102"/>
        <v>0.008166216269686537</v>
      </c>
    </row>
    <row r="3878" spans="8:8">
      <c r="G3878" s="9">
        <v>3875.0</v>
      </c>
      <c r="H3878" s="10">
        <f t="shared" si="102"/>
        <v>-0.0024826521381297977</v>
      </c>
    </row>
    <row r="3879" spans="8:8">
      <c r="G3879" s="9">
        <v>3876.0</v>
      </c>
      <c r="H3879" s="10">
        <f t="shared" si="102"/>
        <v>-0.01231803469972911</v>
      </c>
    </row>
    <row r="3880" spans="8:8">
      <c r="G3880" s="9">
        <v>3877.0</v>
      </c>
      <c r="H3880" s="10">
        <f t="shared" si="102"/>
        <v>0.0037650314538976424</v>
      </c>
    </row>
    <row r="3881" spans="8:8">
      <c r="G3881" s="9">
        <v>3878.0</v>
      </c>
      <c r="H3881" s="10">
        <f t="shared" si="102"/>
        <v>0.02567782965398639</v>
      </c>
    </row>
    <row r="3882" spans="8:8">
      <c r="G3882" s="9">
        <v>3879.0</v>
      </c>
      <c r="H3882" s="10">
        <f t="shared" si="102"/>
        <v>0.02736663122746061</v>
      </c>
    </row>
    <row r="3883" spans="8:8">
      <c r="G3883" s="9">
        <v>3880.0</v>
      </c>
      <c r="H3883" s="10">
        <f t="shared" si="102"/>
        <v>0.014873676831785098</v>
      </c>
    </row>
    <row r="3884" spans="8:8">
      <c r="G3884" s="9">
        <v>3881.0</v>
      </c>
      <c r="H3884" s="10">
        <f t="shared" si="102"/>
        <v>0.030424272720290465</v>
      </c>
    </row>
    <row r="3885" spans="8:8">
      <c r="G3885" s="9">
        <v>3882.0</v>
      </c>
      <c r="H3885" s="10">
        <f t="shared" si="102"/>
        <v>0.00174908665159536</v>
      </c>
    </row>
    <row r="3886" spans="8:8">
      <c r="G3886" s="9">
        <v>3883.0</v>
      </c>
      <c r="H3886" s="10">
        <f t="shared" si="102"/>
        <v>-0.022825734341452783</v>
      </c>
    </row>
    <row r="3887" spans="8:8">
      <c r="G3887" s="9">
        <v>3884.0</v>
      </c>
      <c r="H3887" s="10">
        <f t="shared" si="102"/>
        <v>-0.008193576880040226</v>
      </c>
    </row>
    <row r="3888" spans="8:8">
      <c r="G3888" s="9">
        <v>3885.0</v>
      </c>
      <c r="H3888" s="10">
        <f t="shared" si="102"/>
        <v>-0.02081449752504673</v>
      </c>
    </row>
    <row r="3889" spans="8:8">
      <c r="G3889" s="9">
        <v>3886.0</v>
      </c>
      <c r="H3889" s="10">
        <f t="shared" si="102"/>
        <v>-0.010838074361596534</v>
      </c>
    </row>
    <row r="3890" spans="8:8">
      <c r="G3890" s="9">
        <v>3887.0</v>
      </c>
      <c r="H3890" s="10">
        <f t="shared" si="102"/>
        <v>0.008994071983192391</v>
      </c>
    </row>
    <row r="3891" spans="8:8">
      <c r="G3891" s="9">
        <v>3888.0</v>
      </c>
      <c r="H3891" s="10">
        <f t="shared" si="102"/>
        <v>0.01167705835560313</v>
      </c>
    </row>
    <row r="3892" spans="8:8">
      <c r="G3892" s="9">
        <v>3889.0</v>
      </c>
      <c r="H3892" s="10">
        <f t="shared" si="102"/>
        <v>0.014411648541180017</v>
      </c>
    </row>
    <row r="3893" spans="8:8">
      <c r="G3893" s="9">
        <v>3890.0</v>
      </c>
      <c r="H3893" s="10">
        <f t="shared" si="102"/>
        <v>-0.002698558374266919</v>
      </c>
    </row>
    <row r="3894" spans="8:8">
      <c r="G3894" s="9">
        <v>3891.0</v>
      </c>
      <c r="H3894" s="10">
        <f t="shared" si="102"/>
        <v>0.008469904578754905</v>
      </c>
    </row>
    <row r="3895" spans="8:8">
      <c r="G3895" s="9">
        <v>3892.0</v>
      </c>
      <c r="H3895" s="10">
        <f t="shared" si="102"/>
        <v>-0.015958714998940634</v>
      </c>
    </row>
    <row r="3896" spans="8:8">
      <c r="G3896" s="9">
        <v>3893.0</v>
      </c>
      <c r="H3896" s="10">
        <f t="shared" si="102"/>
        <v>0.013163266622455594</v>
      </c>
    </row>
    <row r="3897" spans="8:8">
      <c r="G3897" s="9">
        <v>3894.0</v>
      </c>
      <c r="H3897" s="10">
        <f t="shared" si="102"/>
        <v>0.01525761430477865</v>
      </c>
    </row>
    <row r="3898" spans="8:8">
      <c r="G3898" s="9">
        <v>3895.0</v>
      </c>
      <c r="H3898" s="10">
        <f t="shared" si="102"/>
        <v>0.0033025883213538445</v>
      </c>
    </row>
    <row r="3899" spans="8:8">
      <c r="G3899" s="9">
        <v>3896.0</v>
      </c>
      <c r="H3899" s="10">
        <f t="shared" si="102"/>
        <v>0.023417720425276924</v>
      </c>
    </row>
    <row r="3900" spans="8:8">
      <c r="G3900" s="9">
        <v>3897.0</v>
      </c>
      <c r="H3900" s="10">
        <f t="shared" si="102"/>
        <v>-0.005988536303573396</v>
      </c>
    </row>
    <row r="3901" spans="8:8">
      <c r="G3901" s="9">
        <v>3898.0</v>
      </c>
      <c r="H3901" s="10">
        <f t="shared" si="102"/>
        <v>-0.00977749539746102</v>
      </c>
    </row>
    <row r="3902" spans="8:8">
      <c r="G3902" s="9">
        <v>3899.0</v>
      </c>
      <c r="H3902" s="10">
        <f t="shared" si="102"/>
        <v>0.0068433692338637385</v>
      </c>
    </row>
    <row r="3903" spans="8:8">
      <c r="G3903" s="9">
        <v>3900.0</v>
      </c>
      <c r="H3903" s="10">
        <f t="shared" si="102"/>
        <v>0.0027674934265944136</v>
      </c>
    </row>
    <row r="3904" spans="8:8">
      <c r="G3904" s="9">
        <v>3901.0</v>
      </c>
      <c r="H3904" s="10">
        <f t="shared" si="102"/>
        <v>-0.0022801410241315807</v>
      </c>
    </row>
    <row r="3905" spans="8:8">
      <c r="G3905" s="9">
        <v>3902.0</v>
      </c>
      <c r="H3905" s="10">
        <f t="shared" si="102"/>
        <v>0.007998925515949464</v>
      </c>
    </row>
    <row r="3906" spans="8:8">
      <c r="G3906" s="9">
        <v>3903.0</v>
      </c>
      <c r="H3906" s="10">
        <f t="shared" si="102"/>
        <v>-0.001333036691537881</v>
      </c>
    </row>
    <row r="3907" spans="8:8">
      <c r="G3907" s="9">
        <v>3904.0</v>
      </c>
      <c r="H3907" s="10">
        <f t="shared" si="102"/>
        <v>-0.0037657355162310077</v>
      </c>
    </row>
    <row r="3908" spans="8:8">
      <c r="G3908" s="9">
        <v>3905.0</v>
      </c>
      <c r="H3908" s="10">
        <f t="shared" si="102"/>
        <v>-0.001974257503259338</v>
      </c>
    </row>
    <row r="3909" spans="8:8">
      <c r="G3909" s="9">
        <v>3906.0</v>
      </c>
      <c r="H3909" s="10">
        <f t="shared" si="103" ref="H3909:H3972">_xlfn.NORM.INV(RAND(),N$6,N$7)</f>
        <v>-0.0027168456516266457</v>
      </c>
    </row>
    <row r="3910" spans="8:8">
      <c r="G3910" s="9">
        <v>3907.0</v>
      </c>
      <c r="H3910" s="10">
        <f t="shared" si="103"/>
        <v>8.969910182489429E-4</v>
      </c>
    </row>
    <row r="3911" spans="8:8">
      <c r="G3911" s="9">
        <v>3908.0</v>
      </c>
      <c r="H3911" s="10">
        <f t="shared" si="103"/>
        <v>0.01794071288933034</v>
      </c>
    </row>
    <row r="3912" spans="8:8">
      <c r="G3912" s="9">
        <v>3909.0</v>
      </c>
      <c r="H3912" s="10">
        <f t="shared" si="103"/>
        <v>0.018330865627856067</v>
      </c>
    </row>
    <row r="3913" spans="8:8">
      <c r="G3913" s="9">
        <v>3910.0</v>
      </c>
      <c r="H3913" s="10">
        <f t="shared" si="103"/>
        <v>0.006257733951622468</v>
      </c>
    </row>
    <row r="3914" spans="8:8">
      <c r="G3914" s="9">
        <v>3911.0</v>
      </c>
      <c r="H3914" s="10">
        <f t="shared" si="103"/>
        <v>0.0038247449190949236</v>
      </c>
    </row>
    <row r="3915" spans="8:8">
      <c r="G3915" s="9">
        <v>3912.0</v>
      </c>
      <c r="H3915" s="10">
        <f t="shared" si="103"/>
        <v>-0.015374977365109708</v>
      </c>
    </row>
    <row r="3916" spans="8:8">
      <c r="G3916" s="9">
        <v>3913.0</v>
      </c>
      <c r="H3916" s="10">
        <f t="shared" si="103"/>
        <v>-0.005903980060348</v>
      </c>
    </row>
    <row r="3917" spans="8:8">
      <c r="G3917" s="9">
        <v>3914.0</v>
      </c>
      <c r="H3917" s="10">
        <f t="shared" si="103"/>
        <v>0.0011264643556153442</v>
      </c>
    </row>
    <row r="3918" spans="8:8">
      <c r="G3918" s="9">
        <v>3915.0</v>
      </c>
      <c r="H3918" s="10">
        <f t="shared" si="103"/>
        <v>-0.021260655838868856</v>
      </c>
    </row>
    <row r="3919" spans="8:8">
      <c r="G3919" s="9">
        <v>3916.0</v>
      </c>
      <c r="H3919" s="10">
        <f t="shared" si="103"/>
        <v>0.014080039014537304</v>
      </c>
    </row>
    <row r="3920" spans="8:8">
      <c r="G3920" s="9">
        <v>3917.0</v>
      </c>
      <c r="H3920" s="10">
        <f t="shared" si="103"/>
        <v>0.015580290812136265</v>
      </c>
    </row>
    <row r="3921" spans="8:8">
      <c r="G3921" s="9">
        <v>3918.0</v>
      </c>
      <c r="H3921" s="10">
        <f t="shared" si="103"/>
        <v>0.009698213366275701</v>
      </c>
    </row>
    <row r="3922" spans="8:8">
      <c r="G3922" s="9">
        <v>3919.0</v>
      </c>
      <c r="H3922" s="10">
        <f t="shared" si="103"/>
        <v>0.013799442460595893</v>
      </c>
    </row>
    <row r="3923" spans="8:8">
      <c r="G3923" s="9">
        <v>3920.0</v>
      </c>
      <c r="H3923" s="10">
        <f t="shared" si="103"/>
        <v>0.0073374221186426215</v>
      </c>
    </row>
    <row r="3924" spans="8:8">
      <c r="G3924" s="9">
        <v>3921.0</v>
      </c>
      <c r="H3924" s="10">
        <f t="shared" si="103"/>
        <v>0.0021614587397055032</v>
      </c>
    </row>
    <row r="3925" spans="8:8">
      <c r="G3925" s="9">
        <v>3922.0</v>
      </c>
      <c r="H3925" s="10">
        <f t="shared" si="103"/>
        <v>-0.006173473148264161</v>
      </c>
    </row>
    <row r="3926" spans="8:8">
      <c r="G3926" s="9">
        <v>3923.0</v>
      </c>
      <c r="H3926" s="10">
        <f t="shared" si="103"/>
        <v>0.004972482434611908</v>
      </c>
    </row>
    <row r="3927" spans="8:8">
      <c r="G3927" s="9">
        <v>3924.0</v>
      </c>
      <c r="H3927" s="10">
        <f t="shared" si="103"/>
        <v>0.005089478112430502</v>
      </c>
    </row>
    <row r="3928" spans="8:8">
      <c r="G3928" s="9">
        <v>3925.0</v>
      </c>
      <c r="H3928" s="10">
        <f t="shared" si="103"/>
        <v>-0.003987240611629648</v>
      </c>
    </row>
    <row r="3929" spans="8:8">
      <c r="G3929" s="9">
        <v>3926.0</v>
      </c>
      <c r="H3929" s="10">
        <f t="shared" si="103"/>
        <v>9.078055973055221E-7</v>
      </c>
    </row>
    <row r="3930" spans="8:8">
      <c r="G3930" s="9">
        <v>3927.0</v>
      </c>
      <c r="H3930" s="10">
        <f t="shared" si="103"/>
        <v>0.005683972777058098</v>
      </c>
    </row>
    <row r="3931" spans="8:8">
      <c r="G3931" s="9">
        <v>3928.0</v>
      </c>
      <c r="H3931" s="10">
        <f t="shared" si="103"/>
        <v>0.025795606895900342</v>
      </c>
    </row>
    <row r="3932" spans="8:8">
      <c r="G3932" s="9">
        <v>3929.0</v>
      </c>
      <c r="H3932" s="10">
        <f t="shared" si="103"/>
        <v>-0.0030458395340862768</v>
      </c>
    </row>
    <row r="3933" spans="8:8">
      <c r="G3933" s="9">
        <v>3930.0</v>
      </c>
      <c r="H3933" s="10">
        <f t="shared" si="103"/>
        <v>-0.004661370370214547</v>
      </c>
    </row>
    <row r="3934" spans="8:8">
      <c r="G3934" s="9">
        <v>3931.0</v>
      </c>
      <c r="H3934" s="10">
        <f t="shared" si="103"/>
        <v>0.009147760765503086</v>
      </c>
    </row>
    <row r="3935" spans="8:8">
      <c r="G3935" s="9">
        <v>3932.0</v>
      </c>
      <c r="H3935" s="10">
        <f t="shared" si="103"/>
        <v>-0.01410591439440824</v>
      </c>
    </row>
    <row r="3936" spans="8:8">
      <c r="G3936" s="9">
        <v>3933.0</v>
      </c>
      <c r="H3936" s="10">
        <f t="shared" si="103"/>
        <v>-0.009834378325740384</v>
      </c>
    </row>
    <row r="3937" spans="8:8">
      <c r="G3937" s="9">
        <v>3934.0</v>
      </c>
      <c r="H3937" s="10">
        <f t="shared" si="103"/>
        <v>0.007190752220610071</v>
      </c>
    </row>
    <row r="3938" spans="8:8">
      <c r="G3938" s="9">
        <v>3935.0</v>
      </c>
      <c r="H3938" s="10">
        <f t="shared" si="103"/>
        <v>0.015400444644223826</v>
      </c>
    </row>
    <row r="3939" spans="8:8">
      <c r="G3939" s="9">
        <v>3936.0</v>
      </c>
      <c r="H3939" s="10">
        <f t="shared" si="103"/>
        <v>0.01300974517835278</v>
      </c>
    </row>
    <row r="3940" spans="8:8">
      <c r="G3940" s="9">
        <v>3937.0</v>
      </c>
      <c r="H3940" s="10">
        <f t="shared" si="103"/>
        <v>0.012867072497256826</v>
      </c>
    </row>
    <row r="3941" spans="8:8">
      <c r="G3941" s="9">
        <v>3938.0</v>
      </c>
      <c r="H3941" s="10">
        <f t="shared" si="103"/>
        <v>7.979557075299126E-4</v>
      </c>
    </row>
    <row r="3942" spans="8:8">
      <c r="G3942" s="9">
        <v>3939.0</v>
      </c>
      <c r="H3942" s="10">
        <f t="shared" si="103"/>
        <v>-0.008311225176626885</v>
      </c>
    </row>
    <row r="3943" spans="8:8">
      <c r="G3943" s="9">
        <v>3940.0</v>
      </c>
      <c r="H3943" s="10">
        <f t="shared" si="103"/>
        <v>0.008481584574515429</v>
      </c>
    </row>
    <row r="3944" spans="8:8">
      <c r="G3944" s="9">
        <v>3941.0</v>
      </c>
      <c r="H3944" s="10">
        <f t="shared" si="103"/>
        <v>-0.005351832633641774</v>
      </c>
    </row>
    <row r="3945" spans="8:8">
      <c r="G3945" s="9">
        <v>3942.0</v>
      </c>
      <c r="H3945" s="10">
        <f t="shared" si="103"/>
        <v>0.025163264655172</v>
      </c>
    </row>
    <row r="3946" spans="8:8">
      <c r="G3946" s="9">
        <v>3943.0</v>
      </c>
      <c r="H3946" s="10">
        <f t="shared" si="103"/>
        <v>0.009816892573589595</v>
      </c>
    </row>
    <row r="3947" spans="8:8">
      <c r="G3947" s="9">
        <v>3944.0</v>
      </c>
      <c r="H3947" s="10">
        <f t="shared" si="103"/>
        <v>8.053428219667058E-4</v>
      </c>
    </row>
    <row r="3948" spans="8:8">
      <c r="G3948" s="9">
        <v>3945.0</v>
      </c>
      <c r="H3948" s="10">
        <f t="shared" si="103"/>
        <v>-0.010214708749422069</v>
      </c>
    </row>
    <row r="3949" spans="8:8">
      <c r="G3949" s="9">
        <v>3946.0</v>
      </c>
      <c r="H3949" s="10">
        <f t="shared" si="103"/>
        <v>-0.004590288119316214</v>
      </c>
    </row>
    <row r="3950" spans="8:8">
      <c r="G3950" s="9">
        <v>3947.0</v>
      </c>
      <c r="H3950" s="10">
        <f t="shared" si="103"/>
        <v>0.01643168758674978</v>
      </c>
    </row>
    <row r="3951" spans="8:8">
      <c r="G3951" s="9">
        <v>3948.0</v>
      </c>
      <c r="H3951" s="10">
        <f t="shared" si="103"/>
        <v>0.00610851961906329</v>
      </c>
    </row>
    <row r="3952" spans="8:8">
      <c r="G3952" s="9">
        <v>3949.0</v>
      </c>
      <c r="H3952" s="10">
        <f t="shared" si="103"/>
        <v>0.005715761251187885</v>
      </c>
    </row>
    <row r="3953" spans="8:8">
      <c r="G3953" s="9">
        <v>3950.0</v>
      </c>
      <c r="H3953" s="10">
        <f t="shared" si="103"/>
        <v>0.009633150700355735</v>
      </c>
    </row>
    <row r="3954" spans="8:8">
      <c r="G3954" s="9">
        <v>3951.0</v>
      </c>
      <c r="H3954" s="10">
        <f t="shared" si="103"/>
        <v>0.009230595821626978</v>
      </c>
    </row>
    <row r="3955" spans="8:8">
      <c r="G3955" s="9">
        <v>3952.0</v>
      </c>
      <c r="H3955" s="10">
        <f t="shared" si="103"/>
        <v>0.01798714106617199</v>
      </c>
    </row>
    <row r="3956" spans="8:8">
      <c r="G3956" s="9">
        <v>3953.0</v>
      </c>
      <c r="H3956" s="10">
        <f t="shared" si="103"/>
        <v>0.0028855565002986307</v>
      </c>
    </row>
    <row r="3957" spans="8:8">
      <c r="G3957" s="9">
        <v>3954.0</v>
      </c>
      <c r="H3957" s="10">
        <f t="shared" si="103"/>
        <v>0.0074156860087842376</v>
      </c>
    </row>
    <row r="3958" spans="8:8">
      <c r="G3958" s="9">
        <v>3955.0</v>
      </c>
      <c r="H3958" s="10">
        <f t="shared" si="103"/>
        <v>0.015405594072818066</v>
      </c>
    </row>
    <row r="3959" spans="8:8">
      <c r="G3959" s="9">
        <v>3956.0</v>
      </c>
      <c r="H3959" s="10">
        <f t="shared" si="103"/>
        <v>-0.004748225244538966</v>
      </c>
    </row>
    <row r="3960" spans="8:8">
      <c r="G3960" s="9">
        <v>3957.0</v>
      </c>
      <c r="H3960" s="10">
        <f t="shared" si="103"/>
        <v>0.027145577452327308</v>
      </c>
    </row>
    <row r="3961" spans="8:8">
      <c r="G3961" s="9">
        <v>3958.0</v>
      </c>
      <c r="H3961" s="10">
        <f t="shared" si="103"/>
        <v>-0.001327883497610395</v>
      </c>
    </row>
    <row r="3962" spans="8:8">
      <c r="G3962" s="9">
        <v>3959.0</v>
      </c>
      <c r="H3962" s="10">
        <f t="shared" si="103"/>
        <v>0.0012927679968118455</v>
      </c>
    </row>
    <row r="3963" spans="8:8">
      <c r="G3963" s="9">
        <v>3960.0</v>
      </c>
      <c r="H3963" s="10">
        <f t="shared" si="103"/>
        <v>0.004410668639564173</v>
      </c>
    </row>
    <row r="3964" spans="8:8">
      <c r="G3964" s="9">
        <v>3961.0</v>
      </c>
      <c r="H3964" s="10">
        <f t="shared" si="103"/>
        <v>0.005497415964507195</v>
      </c>
    </row>
    <row r="3965" spans="8:8">
      <c r="G3965" s="9">
        <v>3962.0</v>
      </c>
      <c r="H3965" s="10">
        <f t="shared" si="103"/>
        <v>-0.0028065028168450445</v>
      </c>
    </row>
    <row r="3966" spans="8:8">
      <c r="G3966" s="9">
        <v>3963.0</v>
      </c>
      <c r="H3966" s="10">
        <f t="shared" si="103"/>
        <v>0.005307414643377267</v>
      </c>
    </row>
    <row r="3967" spans="8:8">
      <c r="G3967" s="9">
        <v>3964.0</v>
      </c>
      <c r="H3967" s="10">
        <f t="shared" si="103"/>
        <v>-0.009991350520982132</v>
      </c>
    </row>
    <row r="3968" spans="8:8">
      <c r="G3968" s="9">
        <v>3965.0</v>
      </c>
      <c r="H3968" s="10">
        <f t="shared" si="103"/>
        <v>0.0155754667244218</v>
      </c>
    </row>
    <row r="3969" spans="8:8">
      <c r="G3969" s="9">
        <v>3966.0</v>
      </c>
      <c r="H3969" s="10">
        <f t="shared" si="103"/>
        <v>0.018632045201600375</v>
      </c>
    </row>
    <row r="3970" spans="8:8">
      <c r="G3970" s="9">
        <v>3967.0</v>
      </c>
      <c r="H3970" s="10">
        <f t="shared" si="103"/>
        <v>-0.013805227483896863</v>
      </c>
    </row>
    <row r="3971" spans="8:8">
      <c r="G3971" s="9">
        <v>3968.0</v>
      </c>
      <c r="H3971" s="10">
        <f t="shared" si="103"/>
        <v>-0.002989905243978082</v>
      </c>
    </row>
    <row r="3972" spans="8:8">
      <c r="G3972" s="9">
        <v>3969.0</v>
      </c>
      <c r="H3972" s="10">
        <f t="shared" si="103"/>
        <v>3.2450707228171526E-4</v>
      </c>
    </row>
    <row r="3973" spans="8:8">
      <c r="G3973" s="9">
        <v>3970.0</v>
      </c>
      <c r="H3973" s="10">
        <f t="shared" si="104" ref="H3973:H4036">_xlfn.NORM.INV(RAND(),N$6,N$7)</f>
        <v>0.021543457455614742</v>
      </c>
    </row>
    <row r="3974" spans="8:8">
      <c r="G3974" s="9">
        <v>3971.0</v>
      </c>
      <c r="H3974" s="10">
        <f t="shared" si="104"/>
        <v>0.0021963138366772944</v>
      </c>
    </row>
    <row r="3975" spans="8:8">
      <c r="G3975" s="9">
        <v>3972.0</v>
      </c>
      <c r="H3975" s="10">
        <f t="shared" si="104"/>
        <v>-0.012749652998556939</v>
      </c>
    </row>
    <row r="3976" spans="8:8">
      <c r="G3976" s="9">
        <v>3973.0</v>
      </c>
      <c r="H3976" s="10">
        <f t="shared" si="104"/>
        <v>-0.016224235078341465</v>
      </c>
    </row>
    <row r="3977" spans="8:8">
      <c r="G3977" s="9">
        <v>3974.0</v>
      </c>
      <c r="H3977" s="10">
        <f t="shared" si="104"/>
        <v>-0.005442101980754367</v>
      </c>
    </row>
    <row r="3978" spans="8:8">
      <c r="G3978" s="9">
        <v>3975.0</v>
      </c>
      <c r="H3978" s="10">
        <f t="shared" si="104"/>
        <v>0.018693417966460797</v>
      </c>
    </row>
    <row r="3979" spans="8:8">
      <c r="G3979" s="9">
        <v>3976.0</v>
      </c>
      <c r="H3979" s="10">
        <f t="shared" si="104"/>
        <v>0.02995510373081032</v>
      </c>
    </row>
    <row r="3980" spans="8:8">
      <c r="G3980" s="9">
        <v>3977.0</v>
      </c>
      <c r="H3980" s="10">
        <f t="shared" si="104"/>
        <v>-0.002963569338965151</v>
      </c>
    </row>
    <row r="3981" spans="8:8">
      <c r="G3981" s="9">
        <v>3978.0</v>
      </c>
      <c r="H3981" s="10">
        <f t="shared" si="104"/>
        <v>0.030722491183422473</v>
      </c>
    </row>
    <row r="3982" spans="8:8">
      <c r="G3982" s="9">
        <v>3979.0</v>
      </c>
      <c r="H3982" s="10">
        <f t="shared" si="104"/>
        <v>0.0014471259834691057</v>
      </c>
    </row>
    <row r="3983" spans="8:8">
      <c r="G3983" s="9">
        <v>3980.0</v>
      </c>
      <c r="H3983" s="10">
        <f t="shared" si="104"/>
        <v>-0.00339538956179456</v>
      </c>
    </row>
    <row r="3984" spans="8:8">
      <c r="G3984" s="9">
        <v>3981.0</v>
      </c>
      <c r="H3984" s="10">
        <f t="shared" si="104"/>
        <v>0.010543015384727922</v>
      </c>
    </row>
    <row r="3985" spans="8:8">
      <c r="G3985" s="9">
        <v>3982.0</v>
      </c>
      <c r="H3985" s="10">
        <f t="shared" si="104"/>
        <v>-0.0024532892696017376</v>
      </c>
    </row>
    <row r="3986" spans="8:8">
      <c r="G3986" s="9">
        <v>3983.0</v>
      </c>
      <c r="H3986" s="10">
        <f t="shared" si="104"/>
        <v>0.0030419740979321314</v>
      </c>
    </row>
    <row r="3987" spans="8:8">
      <c r="G3987" s="9">
        <v>3984.0</v>
      </c>
      <c r="H3987" s="10">
        <f t="shared" si="104"/>
        <v>0.004152463135526005</v>
      </c>
    </row>
    <row r="3988" spans="8:8">
      <c r="G3988" s="9">
        <v>3985.0</v>
      </c>
      <c r="H3988" s="10">
        <f t="shared" si="104"/>
        <v>0.03449568927857697</v>
      </c>
    </row>
    <row r="3989" spans="8:8">
      <c r="G3989" s="9">
        <v>3986.0</v>
      </c>
      <c r="H3989" s="10">
        <f t="shared" si="104"/>
        <v>-0.00949796091847559</v>
      </c>
    </row>
    <row r="3990" spans="8:8">
      <c r="G3990" s="9">
        <v>3987.0</v>
      </c>
      <c r="H3990" s="10">
        <f t="shared" si="104"/>
        <v>-0.002338570376295696</v>
      </c>
    </row>
    <row r="3991" spans="8:8">
      <c r="G3991" s="9">
        <v>3988.0</v>
      </c>
      <c r="H3991" s="10">
        <f t="shared" si="104"/>
        <v>-3.726649638544758E-4</v>
      </c>
    </row>
    <row r="3992" spans="8:8">
      <c r="G3992" s="9">
        <v>3989.0</v>
      </c>
      <c r="H3992" s="10">
        <f t="shared" si="104"/>
        <v>-0.004506686391827165</v>
      </c>
    </row>
    <row r="3993" spans="8:8">
      <c r="G3993" s="9">
        <v>3990.0</v>
      </c>
      <c r="H3993" s="10">
        <f t="shared" si="104"/>
        <v>0.0028870998765830364</v>
      </c>
    </row>
    <row r="3994" spans="8:8">
      <c r="G3994" s="9">
        <v>3991.0</v>
      </c>
      <c r="H3994" s="10">
        <f t="shared" si="104"/>
        <v>0.023733358322939532</v>
      </c>
    </row>
    <row r="3995" spans="8:8">
      <c r="G3995" s="9">
        <v>3992.0</v>
      </c>
      <c r="H3995" s="10">
        <f t="shared" si="104"/>
        <v>-0.015434565181132617</v>
      </c>
    </row>
    <row r="3996" spans="8:8">
      <c r="G3996" s="9">
        <v>3993.0</v>
      </c>
      <c r="H3996" s="10">
        <f t="shared" si="104"/>
        <v>0.01491729365890469</v>
      </c>
    </row>
    <row r="3997" spans="8:8">
      <c r="G3997" s="9">
        <v>3994.0</v>
      </c>
      <c r="H3997" s="10">
        <f t="shared" si="104"/>
        <v>0.018691274640071143</v>
      </c>
    </row>
    <row r="3998" spans="8:8">
      <c r="G3998" s="9">
        <v>3995.0</v>
      </c>
      <c r="H3998" s="10">
        <f t="shared" si="104"/>
        <v>-2.7330392921221013E-4</v>
      </c>
    </row>
    <row r="3999" spans="8:8">
      <c r="G3999" s="9">
        <v>3996.0</v>
      </c>
      <c r="H3999" s="10">
        <f t="shared" si="104"/>
        <v>-0.009215018749709234</v>
      </c>
    </row>
    <row r="4000" spans="8:8">
      <c r="G4000" s="9">
        <v>3997.0</v>
      </c>
      <c r="H4000" s="10">
        <f t="shared" si="104"/>
        <v>0.01220257650793494</v>
      </c>
    </row>
    <row r="4001" spans="8:8">
      <c r="G4001" s="9">
        <v>3998.0</v>
      </c>
      <c r="H4001" s="10">
        <f t="shared" si="104"/>
        <v>-0.013006254033722086</v>
      </c>
    </row>
    <row r="4002" spans="8:8">
      <c r="G4002" s="9">
        <v>3999.0</v>
      </c>
      <c r="H4002" s="10">
        <f t="shared" si="104"/>
        <v>0.00889258732408234</v>
      </c>
    </row>
    <row r="4003" spans="8:8">
      <c r="G4003" s="9">
        <v>4000.0</v>
      </c>
      <c r="H4003" s="10">
        <f t="shared" si="104"/>
        <v>0.02012789450901277</v>
      </c>
    </row>
    <row r="4004" spans="8:8">
      <c r="G4004" s="9">
        <v>4001.0</v>
      </c>
      <c r="H4004" s="10">
        <f t="shared" si="104"/>
        <v>-1.9990691804177858E-4</v>
      </c>
    </row>
    <row r="4005" spans="8:8">
      <c r="G4005" s="9">
        <v>4002.0</v>
      </c>
      <c r="H4005" s="10">
        <f t="shared" si="104"/>
        <v>0.009513417286183445</v>
      </c>
    </row>
    <row r="4006" spans="8:8">
      <c r="G4006" s="9">
        <v>4003.0</v>
      </c>
      <c r="H4006" s="10">
        <f t="shared" si="104"/>
        <v>0.02842889803383101</v>
      </c>
    </row>
    <row r="4007" spans="8:8">
      <c r="G4007" s="9">
        <v>4004.0</v>
      </c>
      <c r="H4007" s="10">
        <f t="shared" si="104"/>
        <v>0.015694030649078622</v>
      </c>
    </row>
    <row r="4008" spans="8:8">
      <c r="G4008" s="9">
        <v>4005.0</v>
      </c>
      <c r="H4008" s="10">
        <f t="shared" si="104"/>
        <v>0.005661898367180645</v>
      </c>
    </row>
    <row r="4009" spans="8:8">
      <c r="G4009" s="9">
        <v>4006.0</v>
      </c>
      <c r="H4009" s="10">
        <f t="shared" si="104"/>
        <v>0.007305519501293587</v>
      </c>
    </row>
    <row r="4010" spans="8:8">
      <c r="G4010" s="9">
        <v>4007.0</v>
      </c>
      <c r="H4010" s="10">
        <f t="shared" si="104"/>
        <v>0.017884750446503617</v>
      </c>
    </row>
    <row r="4011" spans="8:8">
      <c r="G4011" s="9">
        <v>4008.0</v>
      </c>
      <c r="H4011" s="10">
        <f t="shared" si="104"/>
        <v>0.021410881109858622</v>
      </c>
    </row>
    <row r="4012" spans="8:8">
      <c r="G4012" s="9">
        <v>4009.0</v>
      </c>
      <c r="H4012" s="10">
        <f t="shared" si="104"/>
        <v>0.0044868425095669195</v>
      </c>
    </row>
    <row r="4013" spans="8:8">
      <c r="G4013" s="9">
        <v>4010.0</v>
      </c>
      <c r="H4013" s="10">
        <f t="shared" si="104"/>
        <v>0.014561954454466685</v>
      </c>
    </row>
    <row r="4014" spans="8:8">
      <c r="G4014" s="9">
        <v>4011.0</v>
      </c>
      <c r="H4014" s="10">
        <f t="shared" si="104"/>
        <v>-0.005421830902715571</v>
      </c>
    </row>
    <row r="4015" spans="8:8">
      <c r="G4015" s="9">
        <v>4012.0</v>
      </c>
      <c r="H4015" s="10">
        <f t="shared" si="104"/>
        <v>0.005194034310709561</v>
      </c>
    </row>
    <row r="4016" spans="8:8">
      <c r="G4016" s="9">
        <v>4013.0</v>
      </c>
      <c r="H4016" s="10">
        <f t="shared" si="104"/>
        <v>0.02926343631719366</v>
      </c>
    </row>
    <row r="4017" spans="8:8">
      <c r="G4017" s="9">
        <v>4014.0</v>
      </c>
      <c r="H4017" s="10">
        <f t="shared" si="104"/>
        <v>-0.01662332248488149</v>
      </c>
    </row>
    <row r="4018" spans="8:8">
      <c r="G4018" s="9">
        <v>4015.0</v>
      </c>
      <c r="H4018" s="10">
        <f t="shared" si="104"/>
        <v>-0.004864415817170572</v>
      </c>
    </row>
    <row r="4019" spans="8:8">
      <c r="G4019" s="9">
        <v>4016.0</v>
      </c>
      <c r="H4019" s="10">
        <f t="shared" si="104"/>
        <v>2.0788628598921235E-4</v>
      </c>
    </row>
    <row r="4020" spans="8:8">
      <c r="G4020" s="9">
        <v>4017.0</v>
      </c>
      <c r="H4020" s="10">
        <f t="shared" si="104"/>
        <v>0.013247267173206331</v>
      </c>
    </row>
    <row r="4021" spans="8:8">
      <c r="G4021" s="9">
        <v>4018.0</v>
      </c>
      <c r="H4021" s="10">
        <f t="shared" si="104"/>
        <v>0.04454405617088895</v>
      </c>
    </row>
    <row r="4022" spans="8:8">
      <c r="G4022" s="9">
        <v>4019.0</v>
      </c>
      <c r="H4022" s="10">
        <f t="shared" si="104"/>
        <v>0.016524119473595073</v>
      </c>
    </row>
    <row r="4023" spans="8:8">
      <c r="G4023" s="9">
        <v>4020.0</v>
      </c>
      <c r="H4023" s="10">
        <f t="shared" si="104"/>
        <v>-0.0251718941185445</v>
      </c>
    </row>
    <row r="4024" spans="8:8">
      <c r="G4024" s="9">
        <v>4021.0</v>
      </c>
      <c r="H4024" s="10">
        <f t="shared" si="104"/>
        <v>0.0030274720072868185</v>
      </c>
    </row>
    <row r="4025" spans="8:8">
      <c r="G4025" s="9">
        <v>4022.0</v>
      </c>
      <c r="H4025" s="10">
        <f t="shared" si="104"/>
        <v>-0.02316367240202028</v>
      </c>
    </row>
    <row r="4026" spans="8:8">
      <c r="G4026" s="9">
        <v>4023.0</v>
      </c>
      <c r="H4026" s="10">
        <f t="shared" si="104"/>
        <v>0.003216261005469457</v>
      </c>
    </row>
    <row r="4027" spans="8:8">
      <c r="G4027" s="9">
        <v>4024.0</v>
      </c>
      <c r="H4027" s="10">
        <f t="shared" si="104"/>
        <v>-0.004986915196879257</v>
      </c>
    </row>
    <row r="4028" spans="8:8">
      <c r="G4028" s="9">
        <v>4025.0</v>
      </c>
      <c r="H4028" s="10">
        <f t="shared" si="104"/>
        <v>0.001774645937457508</v>
      </c>
    </row>
    <row r="4029" spans="8:8">
      <c r="G4029" s="9">
        <v>4026.0</v>
      </c>
      <c r="H4029" s="10">
        <f t="shared" si="104"/>
        <v>0.019978622198592026</v>
      </c>
    </row>
    <row r="4030" spans="8:8">
      <c r="G4030" s="9">
        <v>4027.0</v>
      </c>
      <c r="H4030" s="10">
        <f t="shared" si="104"/>
        <v>-0.014729246272206165</v>
      </c>
    </row>
    <row r="4031" spans="8:8">
      <c r="G4031" s="9">
        <v>4028.0</v>
      </c>
      <c r="H4031" s="10">
        <f t="shared" si="104"/>
        <v>-9.87066589847982E-4</v>
      </c>
    </row>
    <row r="4032" spans="8:8">
      <c r="G4032" s="9">
        <v>4029.0</v>
      </c>
      <c r="H4032" s="10">
        <f t="shared" si="104"/>
        <v>0.012530972768488517</v>
      </c>
    </row>
    <row r="4033" spans="8:8">
      <c r="G4033" s="9">
        <v>4030.0</v>
      </c>
      <c r="H4033" s="10">
        <f t="shared" si="104"/>
        <v>0.013991772664086046</v>
      </c>
    </row>
    <row r="4034" spans="8:8">
      <c r="G4034" s="9">
        <v>4031.0</v>
      </c>
      <c r="H4034" s="10">
        <f t="shared" si="104"/>
        <v>0.0032319946523596257</v>
      </c>
    </row>
    <row r="4035" spans="8:8">
      <c r="G4035" s="9">
        <v>4032.0</v>
      </c>
      <c r="H4035" s="10">
        <f t="shared" si="104"/>
        <v>0.014710062167365326</v>
      </c>
    </row>
    <row r="4036" spans="8:8">
      <c r="G4036" s="9">
        <v>4033.0</v>
      </c>
      <c r="H4036" s="10">
        <f t="shared" si="104"/>
        <v>0.006756595226148711</v>
      </c>
    </row>
    <row r="4037" spans="8:8">
      <c r="G4037" s="9">
        <v>4034.0</v>
      </c>
      <c r="H4037" s="10">
        <f t="shared" si="105" ref="H4037:H4100">_xlfn.NORM.INV(RAND(),N$6,N$7)</f>
        <v>0.013353679243865272</v>
      </c>
    </row>
    <row r="4038" spans="8:8">
      <c r="G4038" s="9">
        <v>4035.0</v>
      </c>
      <c r="H4038" s="10">
        <f t="shared" si="105"/>
        <v>-0.01948693107096494</v>
      </c>
    </row>
    <row r="4039" spans="8:8">
      <c r="G4039" s="9">
        <v>4036.0</v>
      </c>
      <c r="H4039" s="10">
        <f t="shared" si="105"/>
        <v>0.012758187811113403</v>
      </c>
    </row>
    <row r="4040" spans="8:8">
      <c r="G4040" s="9">
        <v>4037.0</v>
      </c>
      <c r="H4040" s="10">
        <f t="shared" si="105"/>
        <v>0.008244166468425199</v>
      </c>
    </row>
    <row r="4041" spans="8:8">
      <c r="G4041" s="9">
        <v>4038.0</v>
      </c>
      <c r="H4041" s="10">
        <f t="shared" si="105"/>
        <v>0.01094242586288947</v>
      </c>
    </row>
    <row r="4042" spans="8:8">
      <c r="G4042" s="9">
        <v>4039.0</v>
      </c>
      <c r="H4042" s="10">
        <f t="shared" si="105"/>
        <v>-0.017511419216036054</v>
      </c>
    </row>
    <row r="4043" spans="8:8">
      <c r="G4043" s="9">
        <v>4040.0</v>
      </c>
      <c r="H4043" s="10">
        <f t="shared" si="105"/>
        <v>0.025845325548129527</v>
      </c>
    </row>
    <row r="4044" spans="8:8">
      <c r="G4044" s="9">
        <v>4041.0</v>
      </c>
      <c r="H4044" s="10">
        <f t="shared" si="105"/>
        <v>-0.00973095698124276</v>
      </c>
    </row>
    <row r="4045" spans="8:8">
      <c r="G4045" s="9">
        <v>4042.0</v>
      </c>
      <c r="H4045" s="10">
        <f t="shared" si="105"/>
        <v>0.005291289815425577</v>
      </c>
    </row>
    <row r="4046" spans="8:8">
      <c r="G4046" s="9">
        <v>4043.0</v>
      </c>
      <c r="H4046" s="10">
        <f t="shared" si="105"/>
        <v>0.004671615359546882</v>
      </c>
    </row>
    <row r="4047" spans="8:8">
      <c r="G4047" s="9">
        <v>4044.0</v>
      </c>
      <c r="H4047" s="10">
        <f t="shared" si="105"/>
        <v>0.028853657200023083</v>
      </c>
    </row>
    <row r="4048" spans="8:8">
      <c r="G4048" s="9">
        <v>4045.0</v>
      </c>
      <c r="H4048" s="10">
        <f t="shared" si="105"/>
        <v>2.871346378377575E-4</v>
      </c>
    </row>
    <row r="4049" spans="8:8">
      <c r="G4049" s="9">
        <v>4046.0</v>
      </c>
      <c r="H4049" s="10">
        <f t="shared" si="105"/>
        <v>-0.013434256498113827</v>
      </c>
    </row>
    <row r="4050" spans="8:8">
      <c r="G4050" s="9">
        <v>4047.0</v>
      </c>
      <c r="H4050" s="10">
        <f t="shared" si="105"/>
        <v>0.006383205023737859</v>
      </c>
    </row>
    <row r="4051" spans="8:8">
      <c r="G4051" s="9">
        <v>4048.0</v>
      </c>
      <c r="H4051" s="10">
        <f t="shared" si="105"/>
        <v>-0.018090311716556062</v>
      </c>
    </row>
    <row r="4052" spans="8:8">
      <c r="G4052" s="9">
        <v>4049.0</v>
      </c>
      <c r="H4052" s="10">
        <f t="shared" si="105"/>
        <v>0.004683401942188158</v>
      </c>
    </row>
    <row r="4053" spans="8:8">
      <c r="G4053" s="9">
        <v>4050.0</v>
      </c>
      <c r="H4053" s="10">
        <f t="shared" si="105"/>
        <v>0.013097064611230398</v>
      </c>
    </row>
    <row r="4054" spans="8:8">
      <c r="G4054" s="9">
        <v>4051.0</v>
      </c>
      <c r="H4054" s="10">
        <f t="shared" si="105"/>
        <v>0.007038699003091582</v>
      </c>
    </row>
    <row r="4055" spans="8:8">
      <c r="G4055" s="9">
        <v>4052.0</v>
      </c>
      <c r="H4055" s="10">
        <f t="shared" si="105"/>
        <v>0.00802315810551334</v>
      </c>
    </row>
    <row r="4056" spans="8:8">
      <c r="G4056" s="9">
        <v>4053.0</v>
      </c>
      <c r="H4056" s="10">
        <f t="shared" si="105"/>
        <v>0.0291029428625913</v>
      </c>
    </row>
    <row r="4057" spans="8:8">
      <c r="G4057" s="9">
        <v>4054.0</v>
      </c>
      <c r="H4057" s="10">
        <f t="shared" si="105"/>
        <v>0.0012917065449861878</v>
      </c>
    </row>
    <row r="4058" spans="8:8">
      <c r="G4058" s="9">
        <v>4055.0</v>
      </c>
      <c r="H4058" s="10">
        <f t="shared" si="105"/>
        <v>0.003458245960539939</v>
      </c>
    </row>
    <row r="4059" spans="8:8">
      <c r="G4059" s="9">
        <v>4056.0</v>
      </c>
      <c r="H4059" s="10">
        <f t="shared" si="105"/>
        <v>-0.0025862412865556503</v>
      </c>
    </row>
    <row r="4060" spans="8:8">
      <c r="G4060" s="9">
        <v>4057.0</v>
      </c>
      <c r="H4060" s="10">
        <f t="shared" si="105"/>
        <v>0.020788950798530683</v>
      </c>
    </row>
    <row r="4061" spans="8:8">
      <c r="G4061" s="9">
        <v>4058.0</v>
      </c>
      <c r="H4061" s="10">
        <f t="shared" si="105"/>
        <v>0.0037212073379583907</v>
      </c>
    </row>
    <row r="4062" spans="8:8">
      <c r="G4062" s="9">
        <v>4059.0</v>
      </c>
      <c r="H4062" s="10">
        <f t="shared" si="105"/>
        <v>0.0038524543653267944</v>
      </c>
    </row>
    <row r="4063" spans="8:8">
      <c r="G4063" s="9">
        <v>4060.0</v>
      </c>
      <c r="H4063" s="10">
        <f t="shared" si="105"/>
        <v>3.09041514791658E-4</v>
      </c>
    </row>
    <row r="4064" spans="8:8">
      <c r="G4064" s="9">
        <v>4061.0</v>
      </c>
      <c r="H4064" s="10">
        <f t="shared" si="105"/>
        <v>-0.0072553754374033745</v>
      </c>
    </row>
    <row r="4065" spans="8:8">
      <c r="G4065" s="9">
        <v>4062.0</v>
      </c>
      <c r="H4065" s="10">
        <f t="shared" si="105"/>
        <v>-6.246188264533575E-4</v>
      </c>
    </row>
    <row r="4066" spans="8:8">
      <c r="G4066" s="9">
        <v>4063.0</v>
      </c>
      <c r="H4066" s="10">
        <f t="shared" si="105"/>
        <v>0.01874358687746325</v>
      </c>
    </row>
    <row r="4067" spans="8:8">
      <c r="G4067" s="9">
        <v>4064.0</v>
      </c>
      <c r="H4067" s="10">
        <f t="shared" si="105"/>
        <v>-0.006666575199536438</v>
      </c>
    </row>
    <row r="4068" spans="8:8">
      <c r="G4068" s="9">
        <v>4065.0</v>
      </c>
      <c r="H4068" s="10">
        <f t="shared" si="105"/>
        <v>-0.006057642252337225</v>
      </c>
    </row>
    <row r="4069" spans="8:8">
      <c r="G4069" s="9">
        <v>4066.0</v>
      </c>
      <c r="H4069" s="10">
        <f t="shared" si="105"/>
        <v>-0.0021318464394005764</v>
      </c>
    </row>
    <row r="4070" spans="8:8">
      <c r="G4070" s="9">
        <v>4067.0</v>
      </c>
      <c r="H4070" s="10">
        <f t="shared" si="105"/>
        <v>0.0034895051121456165</v>
      </c>
    </row>
    <row r="4071" spans="8:8">
      <c r="G4071" s="9">
        <v>4068.0</v>
      </c>
      <c r="H4071" s="10">
        <f t="shared" si="105"/>
        <v>-0.0035680120395351128</v>
      </c>
    </row>
    <row r="4072" spans="8:8">
      <c r="G4072" s="9">
        <v>4069.0</v>
      </c>
      <c r="H4072" s="10">
        <f t="shared" si="105"/>
        <v>-0.005731611216932679</v>
      </c>
    </row>
    <row r="4073" spans="8:8">
      <c r="G4073" s="9">
        <v>4070.0</v>
      </c>
      <c r="H4073" s="10">
        <f t="shared" si="105"/>
        <v>-0.015483167963778032</v>
      </c>
    </row>
    <row r="4074" spans="8:8">
      <c r="G4074" s="9">
        <v>4071.0</v>
      </c>
      <c r="H4074" s="10">
        <f t="shared" si="105"/>
        <v>-0.010183206526045596</v>
      </c>
    </row>
    <row r="4075" spans="8:8">
      <c r="G4075" s="9">
        <v>4072.0</v>
      </c>
      <c r="H4075" s="10">
        <f t="shared" si="105"/>
        <v>0.009300909702685472</v>
      </c>
    </row>
    <row r="4076" spans="8:8">
      <c r="G4076" s="9">
        <v>4073.0</v>
      </c>
      <c r="H4076" s="10">
        <f t="shared" si="105"/>
        <v>0.0053547562681567785</v>
      </c>
    </row>
    <row r="4077" spans="8:8">
      <c r="G4077" s="9">
        <v>4074.0</v>
      </c>
      <c r="H4077" s="10">
        <f t="shared" si="105"/>
        <v>-0.023262187935499255</v>
      </c>
    </row>
    <row r="4078" spans="8:8">
      <c r="G4078" s="9">
        <v>4075.0</v>
      </c>
      <c r="H4078" s="10">
        <f t="shared" si="105"/>
        <v>4.723899187236095E-5</v>
      </c>
    </row>
    <row r="4079" spans="8:8">
      <c r="G4079" s="9">
        <v>4076.0</v>
      </c>
      <c r="H4079" s="10">
        <f t="shared" si="105"/>
        <v>-0.014518111140843556</v>
      </c>
    </row>
    <row r="4080" spans="8:8">
      <c r="G4080" s="9">
        <v>4077.0</v>
      </c>
      <c r="H4080" s="10">
        <f t="shared" si="105"/>
        <v>-0.010843877253987319</v>
      </c>
    </row>
    <row r="4081" spans="8:8">
      <c r="G4081" s="9">
        <v>4078.0</v>
      </c>
      <c r="H4081" s="10">
        <f t="shared" si="105"/>
        <v>0.0038911953366356036</v>
      </c>
    </row>
    <row r="4082" spans="8:8">
      <c r="G4082" s="9">
        <v>4079.0</v>
      </c>
      <c r="H4082" s="10">
        <f t="shared" si="105"/>
        <v>0.0013751967572573245</v>
      </c>
    </row>
    <row r="4083" spans="8:8">
      <c r="G4083" s="9">
        <v>4080.0</v>
      </c>
      <c r="H4083" s="10">
        <f t="shared" si="105"/>
        <v>-0.024612195249147366</v>
      </c>
    </row>
    <row r="4084" spans="8:8">
      <c r="G4084" s="9">
        <v>4081.0</v>
      </c>
      <c r="H4084" s="10">
        <f t="shared" si="105"/>
        <v>-0.0016048334294278153</v>
      </c>
    </row>
    <row r="4085" spans="8:8">
      <c r="G4085" s="9">
        <v>4082.0</v>
      </c>
      <c r="H4085" s="10">
        <f t="shared" si="105"/>
        <v>-0.009913990320178971</v>
      </c>
    </row>
    <row r="4086" spans="8:8">
      <c r="G4086" s="9">
        <v>4083.0</v>
      </c>
      <c r="H4086" s="10">
        <f t="shared" si="105"/>
        <v>-0.022167167110882027</v>
      </c>
    </row>
    <row r="4087" spans="8:8">
      <c r="G4087" s="9">
        <v>4084.0</v>
      </c>
      <c r="H4087" s="10">
        <f t="shared" si="105"/>
        <v>0.024940448780522515</v>
      </c>
    </row>
    <row r="4088" spans="8:8">
      <c r="G4088" s="9">
        <v>4085.0</v>
      </c>
      <c r="H4088" s="10">
        <f t="shared" si="105"/>
        <v>0.006790621812268937</v>
      </c>
    </row>
    <row r="4089" spans="8:8">
      <c r="G4089" s="9">
        <v>4086.0</v>
      </c>
      <c r="H4089" s="10">
        <f t="shared" si="105"/>
        <v>0.006238113191987141</v>
      </c>
    </row>
    <row r="4090" spans="8:8">
      <c r="G4090" s="9">
        <v>4087.0</v>
      </c>
      <c r="H4090" s="10">
        <f t="shared" si="105"/>
        <v>0.01961249377684839</v>
      </c>
    </row>
    <row r="4091" spans="8:8">
      <c r="G4091" s="9">
        <v>4088.0</v>
      </c>
      <c r="H4091" s="10">
        <f t="shared" si="105"/>
        <v>-0.004114130964662525</v>
      </c>
    </row>
    <row r="4092" spans="8:8">
      <c r="G4092" s="9">
        <v>4089.0</v>
      </c>
      <c r="H4092" s="10">
        <f t="shared" si="105"/>
        <v>0.005554907236307182</v>
      </c>
    </row>
    <row r="4093" spans="8:8">
      <c r="G4093" s="9">
        <v>4090.0</v>
      </c>
      <c r="H4093" s="10">
        <f t="shared" si="105"/>
        <v>0.012026437380558953</v>
      </c>
    </row>
    <row r="4094" spans="8:8">
      <c r="G4094" s="9">
        <v>4091.0</v>
      </c>
      <c r="H4094" s="10">
        <f t="shared" si="105"/>
        <v>-0.02169746386270495</v>
      </c>
    </row>
    <row r="4095" spans="8:8">
      <c r="G4095" s="9">
        <v>4092.0</v>
      </c>
      <c r="H4095" s="10">
        <f t="shared" si="105"/>
        <v>0.022964547868534205</v>
      </c>
    </row>
    <row r="4096" spans="8:8">
      <c r="G4096" s="9">
        <v>4093.0</v>
      </c>
      <c r="H4096" s="10">
        <f t="shared" si="105"/>
        <v>0.010079698106585596</v>
      </c>
    </row>
    <row r="4097" spans="8:8">
      <c r="G4097" s="9">
        <v>4094.0</v>
      </c>
      <c r="H4097" s="10">
        <f t="shared" si="105"/>
        <v>0.004701474190118051</v>
      </c>
    </row>
    <row r="4098" spans="8:8">
      <c r="G4098" s="9">
        <v>4095.0</v>
      </c>
      <c r="H4098" s="10">
        <f t="shared" si="105"/>
        <v>0.003569792700441253</v>
      </c>
    </row>
    <row r="4099" spans="8:8">
      <c r="G4099" s="9">
        <v>4096.0</v>
      </c>
      <c r="H4099" s="10">
        <f t="shared" si="105"/>
        <v>0.003779163730219446</v>
      </c>
    </row>
    <row r="4100" spans="8:8">
      <c r="G4100" s="9">
        <v>4097.0</v>
      </c>
      <c r="H4100" s="10">
        <f t="shared" si="105"/>
        <v>0.02506770844917327</v>
      </c>
    </row>
    <row r="4101" spans="8:8">
      <c r="G4101" s="9">
        <v>4098.0</v>
      </c>
      <c r="H4101" s="10">
        <f t="shared" si="106" ref="H4101:H4164">_xlfn.NORM.INV(RAND(),N$6,N$7)</f>
        <v>0.017659638121256503</v>
      </c>
    </row>
    <row r="4102" spans="8:8">
      <c r="G4102" s="9">
        <v>4099.0</v>
      </c>
      <c r="H4102" s="10">
        <f t="shared" si="106"/>
        <v>0.012354781869012923</v>
      </c>
    </row>
    <row r="4103" spans="8:8">
      <c r="G4103" s="9">
        <v>4100.0</v>
      </c>
      <c r="H4103" s="10">
        <f t="shared" si="106"/>
        <v>0.001061955938468021</v>
      </c>
    </row>
    <row r="4104" spans="8:8">
      <c r="G4104" s="9">
        <v>4101.0</v>
      </c>
      <c r="H4104" s="10">
        <f t="shared" si="106"/>
        <v>0.01007064348278192</v>
      </c>
    </row>
    <row r="4105" spans="8:8">
      <c r="G4105" s="9">
        <v>4102.0</v>
      </c>
      <c r="H4105" s="10">
        <f t="shared" si="106"/>
        <v>-9.579863635872186E-4</v>
      </c>
    </row>
    <row r="4106" spans="8:8">
      <c r="G4106" s="9">
        <v>4103.0</v>
      </c>
      <c r="H4106" s="10">
        <f t="shared" si="106"/>
        <v>0.0048227906542225125</v>
      </c>
    </row>
    <row r="4107" spans="8:8">
      <c r="G4107" s="9">
        <v>4104.0</v>
      </c>
      <c r="H4107" s="10">
        <f t="shared" si="106"/>
        <v>0.003575986488129679</v>
      </c>
    </row>
    <row r="4108" spans="8:8">
      <c r="G4108" s="9">
        <v>4105.0</v>
      </c>
      <c r="H4108" s="10">
        <f t="shared" si="106"/>
        <v>-0.013253372372080123</v>
      </c>
    </row>
    <row r="4109" spans="8:8">
      <c r="G4109" s="9">
        <v>4106.0</v>
      </c>
      <c r="H4109" s="10">
        <f t="shared" si="106"/>
        <v>0.0047930540320252416</v>
      </c>
    </row>
    <row r="4110" spans="8:8">
      <c r="G4110" s="9">
        <v>4107.0</v>
      </c>
      <c r="H4110" s="10">
        <f t="shared" si="106"/>
        <v>0.011011241988970664</v>
      </c>
    </row>
    <row r="4111" spans="8:8">
      <c r="G4111" s="9">
        <v>4108.0</v>
      </c>
      <c r="H4111" s="10">
        <f t="shared" si="106"/>
        <v>0.013542536194870183</v>
      </c>
    </row>
    <row r="4112" spans="8:8">
      <c r="G4112" s="9">
        <v>4109.0</v>
      </c>
      <c r="H4112" s="10">
        <f t="shared" si="106"/>
        <v>0.006835437710635598</v>
      </c>
    </row>
    <row r="4113" spans="8:8">
      <c r="G4113" s="9">
        <v>4110.0</v>
      </c>
      <c r="H4113" s="10">
        <f t="shared" si="106"/>
        <v>-0.01741418109003713</v>
      </c>
    </row>
    <row r="4114" spans="8:8">
      <c r="G4114" s="9">
        <v>4111.0</v>
      </c>
      <c r="H4114" s="10">
        <f t="shared" si="106"/>
        <v>-0.007273024307662484</v>
      </c>
    </row>
    <row r="4115" spans="8:8">
      <c r="G4115" s="9">
        <v>4112.0</v>
      </c>
      <c r="H4115" s="10">
        <f t="shared" si="106"/>
        <v>0.012237547198513547</v>
      </c>
    </row>
    <row r="4116" spans="8:8">
      <c r="G4116" s="9">
        <v>4113.0</v>
      </c>
      <c r="H4116" s="10">
        <f t="shared" si="106"/>
        <v>0.013049837683462944</v>
      </c>
    </row>
    <row r="4117" spans="8:8">
      <c r="G4117" s="9">
        <v>4114.0</v>
      </c>
      <c r="H4117" s="10">
        <f t="shared" si="106"/>
        <v>-0.002046434629493725</v>
      </c>
    </row>
    <row r="4118" spans="8:8">
      <c r="G4118" s="9">
        <v>4115.0</v>
      </c>
      <c r="H4118" s="10">
        <f t="shared" si="106"/>
        <v>-0.0016758467420891305</v>
      </c>
    </row>
    <row r="4119" spans="8:8">
      <c r="G4119" s="9">
        <v>4116.0</v>
      </c>
      <c r="H4119" s="10">
        <f t="shared" si="106"/>
        <v>-3.7277979824803164E-4</v>
      </c>
    </row>
    <row r="4120" spans="8:8">
      <c r="G4120" s="9">
        <v>4117.0</v>
      </c>
      <c r="H4120" s="10">
        <f t="shared" si="106"/>
        <v>-0.023503567493509715</v>
      </c>
    </row>
    <row r="4121" spans="8:8">
      <c r="G4121" s="9">
        <v>4118.0</v>
      </c>
      <c r="H4121" s="10">
        <f t="shared" si="106"/>
        <v>0.004913703481542877</v>
      </c>
    </row>
    <row r="4122" spans="8:8">
      <c r="G4122" s="9">
        <v>4119.0</v>
      </c>
      <c r="H4122" s="10">
        <f t="shared" si="106"/>
        <v>-0.008680258243954405</v>
      </c>
    </row>
    <row r="4123" spans="8:8">
      <c r="G4123" s="9">
        <v>4120.0</v>
      </c>
      <c r="H4123" s="10">
        <f t="shared" si="106"/>
        <v>-0.006132998253186232</v>
      </c>
    </row>
    <row r="4124" spans="8:8">
      <c r="G4124" s="9">
        <v>4121.0</v>
      </c>
      <c r="H4124" s="10">
        <f t="shared" si="106"/>
        <v>-0.0037244287937742496</v>
      </c>
    </row>
    <row r="4125" spans="8:8">
      <c r="G4125" s="9">
        <v>4122.0</v>
      </c>
      <c r="H4125" s="10">
        <f t="shared" si="106"/>
        <v>0.021781264914869532</v>
      </c>
    </row>
    <row r="4126" spans="8:8">
      <c r="G4126" s="9">
        <v>4123.0</v>
      </c>
      <c r="H4126" s="10">
        <f t="shared" si="106"/>
        <v>0.01896190671533115</v>
      </c>
    </row>
    <row r="4127" spans="8:8">
      <c r="G4127" s="9">
        <v>4124.0</v>
      </c>
      <c r="H4127" s="10">
        <f t="shared" si="106"/>
        <v>0.012676083731572058</v>
      </c>
    </row>
    <row r="4128" spans="8:8">
      <c r="G4128" s="9">
        <v>4125.0</v>
      </c>
      <c r="H4128" s="10">
        <f t="shared" si="106"/>
        <v>-0.004796270215738248</v>
      </c>
    </row>
    <row r="4129" spans="8:8">
      <c r="G4129" s="9">
        <v>4126.0</v>
      </c>
      <c r="H4129" s="10">
        <f t="shared" si="106"/>
        <v>0.008778486690147962</v>
      </c>
    </row>
    <row r="4130" spans="8:8">
      <c r="G4130" s="9">
        <v>4127.0</v>
      </c>
      <c r="H4130" s="10">
        <f t="shared" si="106"/>
        <v>0.00491837875219771</v>
      </c>
    </row>
    <row r="4131" spans="8:8">
      <c r="G4131" s="9">
        <v>4128.0</v>
      </c>
      <c r="H4131" s="10">
        <f t="shared" si="106"/>
        <v>-0.019349742423718733</v>
      </c>
    </row>
    <row r="4132" spans="8:8">
      <c r="G4132" s="9">
        <v>4129.0</v>
      </c>
      <c r="H4132" s="10">
        <f t="shared" si="106"/>
        <v>-0.0032345616326642642</v>
      </c>
    </row>
    <row r="4133" spans="8:8">
      <c r="G4133" s="9">
        <v>4130.0</v>
      </c>
      <c r="H4133" s="10">
        <f t="shared" si="106"/>
        <v>-0.012504627788520215</v>
      </c>
    </row>
    <row r="4134" spans="8:8">
      <c r="G4134" s="9">
        <v>4131.0</v>
      </c>
      <c r="H4134" s="10">
        <f t="shared" si="106"/>
        <v>-4.7352364097062206E-4</v>
      </c>
    </row>
    <row r="4135" spans="8:8">
      <c r="G4135" s="9">
        <v>4132.0</v>
      </c>
      <c r="H4135" s="10">
        <f t="shared" si="106"/>
        <v>-0.0023101570793346606</v>
      </c>
    </row>
    <row r="4136" spans="8:8">
      <c r="G4136" s="9">
        <v>4133.0</v>
      </c>
      <c r="H4136" s="10">
        <f t="shared" si="106"/>
        <v>-0.009926150463900385</v>
      </c>
    </row>
    <row r="4137" spans="8:8">
      <c r="G4137" s="9">
        <v>4134.0</v>
      </c>
      <c r="H4137" s="10">
        <f t="shared" si="106"/>
        <v>-0.008980474715103735</v>
      </c>
    </row>
    <row r="4138" spans="8:8">
      <c r="G4138" s="9">
        <v>4135.0</v>
      </c>
      <c r="H4138" s="10">
        <f t="shared" si="106"/>
        <v>0.029644306673749045</v>
      </c>
    </row>
    <row r="4139" spans="8:8">
      <c r="G4139" s="9">
        <v>4136.0</v>
      </c>
      <c r="H4139" s="10">
        <f t="shared" si="106"/>
        <v>0.00867567209341302</v>
      </c>
    </row>
    <row r="4140" spans="8:8">
      <c r="G4140" s="9">
        <v>4137.0</v>
      </c>
      <c r="H4140" s="10">
        <f t="shared" si="106"/>
        <v>0.009657350159394005</v>
      </c>
    </row>
    <row r="4141" spans="8:8">
      <c r="G4141" s="9">
        <v>4138.0</v>
      </c>
      <c r="H4141" s="10">
        <f t="shared" si="106"/>
        <v>0.008581952997614977</v>
      </c>
    </row>
    <row r="4142" spans="8:8">
      <c r="G4142" s="9">
        <v>4139.0</v>
      </c>
      <c r="H4142" s="10">
        <f t="shared" si="106"/>
        <v>0.00395423976429142</v>
      </c>
    </row>
    <row r="4143" spans="8:8">
      <c r="G4143" s="9">
        <v>4140.0</v>
      </c>
      <c r="H4143" s="10">
        <f t="shared" si="106"/>
        <v>0.004301289552484544</v>
      </c>
    </row>
    <row r="4144" spans="8:8">
      <c r="G4144" s="9">
        <v>4141.0</v>
      </c>
      <c r="H4144" s="10">
        <f t="shared" si="106"/>
        <v>0.006613430978401251</v>
      </c>
    </row>
    <row r="4145" spans="8:8">
      <c r="G4145" s="9">
        <v>4142.0</v>
      </c>
      <c r="H4145" s="10">
        <f t="shared" si="106"/>
        <v>0.0036672790363722874</v>
      </c>
    </row>
    <row r="4146" spans="8:8">
      <c r="G4146" s="9">
        <v>4143.0</v>
      </c>
      <c r="H4146" s="10">
        <f t="shared" si="106"/>
        <v>0.0147833996843421</v>
      </c>
    </row>
    <row r="4147" spans="8:8">
      <c r="G4147" s="9">
        <v>4144.0</v>
      </c>
      <c r="H4147" s="10">
        <f t="shared" si="106"/>
        <v>0.00709281211780172</v>
      </c>
    </row>
    <row r="4148" spans="8:8">
      <c r="G4148" s="9">
        <v>4145.0</v>
      </c>
      <c r="H4148" s="10">
        <f t="shared" si="106"/>
        <v>-0.009606809360103063</v>
      </c>
    </row>
    <row r="4149" spans="8:8">
      <c r="G4149" s="9">
        <v>4146.0</v>
      </c>
      <c r="H4149" s="10">
        <f t="shared" si="106"/>
        <v>0.013402440041564784</v>
      </c>
    </row>
    <row r="4150" spans="8:8">
      <c r="G4150" s="9">
        <v>4147.0</v>
      </c>
      <c r="H4150" s="10">
        <f t="shared" si="106"/>
        <v>0.009856798229251687</v>
      </c>
    </row>
    <row r="4151" spans="8:8">
      <c r="G4151" s="9">
        <v>4148.0</v>
      </c>
      <c r="H4151" s="10">
        <f t="shared" si="106"/>
        <v>0.002764465305698081</v>
      </c>
    </row>
    <row r="4152" spans="8:8">
      <c r="G4152" s="9">
        <v>4149.0</v>
      </c>
      <c r="H4152" s="10">
        <f t="shared" si="106"/>
        <v>0.012201705196692562</v>
      </c>
    </row>
    <row r="4153" spans="8:8">
      <c r="G4153" s="9">
        <v>4150.0</v>
      </c>
      <c r="H4153" s="10">
        <f t="shared" si="106"/>
        <v>-0.01006889400944986</v>
      </c>
    </row>
    <row r="4154" spans="8:8">
      <c r="G4154" s="9">
        <v>4151.0</v>
      </c>
      <c r="H4154" s="10">
        <f t="shared" si="106"/>
        <v>0.013050134468365459</v>
      </c>
    </row>
    <row r="4155" spans="8:8">
      <c r="G4155" s="9">
        <v>4152.0</v>
      </c>
      <c r="H4155" s="10">
        <f t="shared" si="106"/>
        <v>-0.0025837190153701556</v>
      </c>
    </row>
    <row r="4156" spans="8:8">
      <c r="G4156" s="9">
        <v>4153.0</v>
      </c>
      <c r="H4156" s="10">
        <f t="shared" si="106"/>
        <v>0.025501178617448626</v>
      </c>
    </row>
    <row r="4157" spans="8:8">
      <c r="G4157" s="9">
        <v>4154.0</v>
      </c>
      <c r="H4157" s="10">
        <f t="shared" si="106"/>
        <v>0.01115530599686363</v>
      </c>
    </row>
    <row r="4158" spans="8:8">
      <c r="G4158" s="9">
        <v>4155.0</v>
      </c>
      <c r="H4158" s="10">
        <f t="shared" si="106"/>
        <v>-0.005650823954397195</v>
      </c>
    </row>
    <row r="4159" spans="8:8">
      <c r="G4159" s="9">
        <v>4156.0</v>
      </c>
      <c r="H4159" s="10">
        <f t="shared" si="106"/>
        <v>0.004433032158064832</v>
      </c>
    </row>
    <row r="4160" spans="8:8">
      <c r="G4160" s="9">
        <v>4157.0</v>
      </c>
      <c r="H4160" s="10">
        <f t="shared" si="106"/>
        <v>-0.010463831934050968</v>
      </c>
    </row>
    <row r="4161" spans="8:8">
      <c r="G4161" s="9">
        <v>4158.0</v>
      </c>
      <c r="H4161" s="10">
        <f t="shared" si="106"/>
        <v>-0.018329628521907716</v>
      </c>
    </row>
    <row r="4162" spans="8:8">
      <c r="G4162" s="9">
        <v>4159.0</v>
      </c>
      <c r="H4162" s="10">
        <f t="shared" si="106"/>
        <v>-0.005256649669148085</v>
      </c>
    </row>
    <row r="4163" spans="8:8">
      <c r="G4163" s="9">
        <v>4160.0</v>
      </c>
      <c r="H4163" s="10">
        <f t="shared" si="106"/>
        <v>0.004133090889733942</v>
      </c>
    </row>
    <row r="4164" spans="8:8">
      <c r="G4164" s="9">
        <v>4161.0</v>
      </c>
      <c r="H4164" s="10">
        <f t="shared" si="106"/>
        <v>0.01686143632211727</v>
      </c>
    </row>
    <row r="4165" spans="8:8">
      <c r="G4165" s="9">
        <v>4162.0</v>
      </c>
      <c r="H4165" s="10">
        <f t="shared" si="107" ref="H4165:H4228">_xlfn.NORM.INV(RAND(),N$6,N$7)</f>
        <v>0.013117882257615544</v>
      </c>
    </row>
    <row r="4166" spans="8:8">
      <c r="G4166" s="9">
        <v>4163.0</v>
      </c>
      <c r="H4166" s="10">
        <f t="shared" si="107"/>
        <v>0.016794946949096688</v>
      </c>
    </row>
    <row r="4167" spans="8:8">
      <c r="G4167" s="9">
        <v>4164.0</v>
      </c>
      <c r="H4167" s="10">
        <f t="shared" si="107"/>
        <v>-0.006632754686359464</v>
      </c>
    </row>
    <row r="4168" spans="8:8">
      <c r="G4168" s="9">
        <v>4165.0</v>
      </c>
      <c r="H4168" s="10">
        <f t="shared" si="107"/>
        <v>-0.008559087458513661</v>
      </c>
    </row>
    <row r="4169" spans="8:8">
      <c r="G4169" s="9">
        <v>4166.0</v>
      </c>
      <c r="H4169" s="10">
        <f t="shared" si="107"/>
        <v>-0.007342846294330731</v>
      </c>
    </row>
    <row r="4170" spans="8:8">
      <c r="G4170" s="9">
        <v>4167.0</v>
      </c>
      <c r="H4170" s="10">
        <f t="shared" si="107"/>
        <v>0.008215503518220535</v>
      </c>
    </row>
    <row r="4171" spans="8:8">
      <c r="G4171" s="9">
        <v>4168.0</v>
      </c>
      <c r="H4171" s="10">
        <f t="shared" si="107"/>
        <v>0.0015170813663705285</v>
      </c>
    </row>
    <row r="4172" spans="8:8">
      <c r="G4172" s="9">
        <v>4169.0</v>
      </c>
      <c r="H4172" s="10">
        <f t="shared" si="107"/>
        <v>-0.012918164255727022</v>
      </c>
    </row>
    <row r="4173" spans="8:8">
      <c r="G4173" s="9">
        <v>4170.0</v>
      </c>
      <c r="H4173" s="10">
        <f t="shared" si="107"/>
        <v>-0.019773995511717945</v>
      </c>
    </row>
    <row r="4174" spans="8:8">
      <c r="G4174" s="9">
        <v>4171.0</v>
      </c>
      <c r="H4174" s="10">
        <f t="shared" si="107"/>
        <v>-0.011593687253614371</v>
      </c>
    </row>
    <row r="4175" spans="8:8">
      <c r="G4175" s="9">
        <v>4172.0</v>
      </c>
      <c r="H4175" s="10">
        <f t="shared" si="107"/>
        <v>0.00293803039710876</v>
      </c>
    </row>
    <row r="4176" spans="8:8">
      <c r="G4176" s="9">
        <v>4173.0</v>
      </c>
      <c r="H4176" s="10">
        <f t="shared" si="107"/>
        <v>-0.007865473838803282</v>
      </c>
    </row>
    <row r="4177" spans="8:8">
      <c r="G4177" s="9">
        <v>4174.0</v>
      </c>
      <c r="H4177" s="10">
        <f t="shared" si="107"/>
        <v>0.007717818289624734</v>
      </c>
    </row>
    <row r="4178" spans="8:8">
      <c r="G4178" s="9">
        <v>4175.0</v>
      </c>
      <c r="H4178" s="10">
        <f t="shared" si="107"/>
        <v>0.031006963191269055</v>
      </c>
    </row>
    <row r="4179" spans="8:8">
      <c r="G4179" s="9">
        <v>4176.0</v>
      </c>
      <c r="H4179" s="10">
        <f t="shared" si="107"/>
        <v>-0.009353197510580988</v>
      </c>
    </row>
    <row r="4180" spans="8:8">
      <c r="G4180" s="9">
        <v>4177.0</v>
      </c>
      <c r="H4180" s="10">
        <f t="shared" si="107"/>
        <v>-0.016629146113456502</v>
      </c>
    </row>
    <row r="4181" spans="8:8">
      <c r="G4181" s="9">
        <v>4178.0</v>
      </c>
      <c r="H4181" s="10">
        <f t="shared" si="107"/>
        <v>0.020455006956969675</v>
      </c>
    </row>
    <row r="4182" spans="8:8">
      <c r="G4182" s="9">
        <v>4179.0</v>
      </c>
      <c r="H4182" s="10">
        <f t="shared" si="107"/>
        <v>0.00221691289421766</v>
      </c>
    </row>
    <row r="4183" spans="8:8">
      <c r="G4183" s="9">
        <v>4180.0</v>
      </c>
      <c r="H4183" s="10">
        <f t="shared" si="107"/>
        <v>0.007049902118828477</v>
      </c>
    </row>
    <row r="4184" spans="8:8">
      <c r="G4184" s="9">
        <v>4181.0</v>
      </c>
      <c r="H4184" s="10">
        <f t="shared" si="107"/>
        <v>-0.0037651301982266957</v>
      </c>
    </row>
    <row r="4185" spans="8:8">
      <c r="G4185" s="9">
        <v>4182.0</v>
      </c>
      <c r="H4185" s="10">
        <f t="shared" si="107"/>
        <v>0.012755262723797279</v>
      </c>
    </row>
    <row r="4186" spans="8:8">
      <c r="G4186" s="9">
        <v>4183.0</v>
      </c>
      <c r="H4186" s="10">
        <f t="shared" si="107"/>
        <v>0.017045709159622103</v>
      </c>
    </row>
    <row r="4187" spans="8:8">
      <c r="G4187" s="9">
        <v>4184.0</v>
      </c>
      <c r="H4187" s="10">
        <f t="shared" si="107"/>
        <v>2.125574176388375E-4</v>
      </c>
    </row>
    <row r="4188" spans="8:8">
      <c r="G4188" s="9">
        <v>4185.0</v>
      </c>
      <c r="H4188" s="10">
        <f t="shared" si="107"/>
        <v>-0.004604260372055464</v>
      </c>
    </row>
    <row r="4189" spans="8:8">
      <c r="G4189" s="9">
        <v>4186.0</v>
      </c>
      <c r="H4189" s="10">
        <f t="shared" si="107"/>
        <v>0.007140086613320087</v>
      </c>
    </row>
    <row r="4190" spans="8:8">
      <c r="G4190" s="9">
        <v>4187.0</v>
      </c>
      <c r="H4190" s="10">
        <f t="shared" si="107"/>
        <v>0.01140952725745304</v>
      </c>
    </row>
    <row r="4191" spans="8:8">
      <c r="G4191" s="9">
        <v>4188.0</v>
      </c>
      <c r="H4191" s="10">
        <f t="shared" si="107"/>
        <v>0.015716327176876627</v>
      </c>
    </row>
    <row r="4192" spans="8:8">
      <c r="G4192" s="9">
        <v>4189.0</v>
      </c>
      <c r="H4192" s="10">
        <f t="shared" si="107"/>
        <v>-0.008016936883851349</v>
      </c>
    </row>
    <row r="4193" spans="8:8">
      <c r="G4193" s="9">
        <v>4190.0</v>
      </c>
      <c r="H4193" s="10">
        <f t="shared" si="107"/>
        <v>0.0217706105902318</v>
      </c>
    </row>
    <row r="4194" spans="8:8">
      <c r="G4194" s="9">
        <v>4191.0</v>
      </c>
      <c r="H4194" s="10">
        <f t="shared" si="107"/>
        <v>-0.011403764022672704</v>
      </c>
    </row>
    <row r="4195" spans="8:8">
      <c r="G4195" s="9">
        <v>4192.0</v>
      </c>
      <c r="H4195" s="10">
        <f t="shared" si="107"/>
        <v>0.031059026255066798</v>
      </c>
    </row>
    <row r="4196" spans="8:8">
      <c r="G4196" s="9">
        <v>4193.0</v>
      </c>
      <c r="H4196" s="10">
        <f t="shared" si="107"/>
        <v>0.004535807866299726</v>
      </c>
    </row>
    <row r="4197" spans="8:8">
      <c r="G4197" s="9">
        <v>4194.0</v>
      </c>
      <c r="H4197" s="10">
        <f t="shared" si="107"/>
        <v>-0.01276876045557086</v>
      </c>
    </row>
    <row r="4198" spans="8:8">
      <c r="G4198" s="9">
        <v>4195.0</v>
      </c>
      <c r="H4198" s="10">
        <f t="shared" si="107"/>
        <v>0.007028776797831787</v>
      </c>
    </row>
    <row r="4199" spans="8:8">
      <c r="G4199" s="9">
        <v>4196.0</v>
      </c>
      <c r="H4199" s="10">
        <f t="shared" si="107"/>
        <v>0.002603793753736772</v>
      </c>
    </row>
    <row r="4200" spans="8:8">
      <c r="G4200" s="9">
        <v>4197.0</v>
      </c>
      <c r="H4200" s="10">
        <f t="shared" si="107"/>
        <v>0.004234919030220903</v>
      </c>
    </row>
    <row r="4201" spans="8:8">
      <c r="G4201" s="9">
        <v>4198.0</v>
      </c>
      <c r="H4201" s="10">
        <f t="shared" si="107"/>
        <v>0.015622574359369108</v>
      </c>
    </row>
    <row r="4202" spans="8:8">
      <c r="G4202" s="9">
        <v>4199.0</v>
      </c>
      <c r="H4202" s="10">
        <f t="shared" si="107"/>
        <v>0.01707335891693409</v>
      </c>
    </row>
    <row r="4203" spans="8:8">
      <c r="G4203" s="9">
        <v>4200.0</v>
      </c>
      <c r="H4203" s="10">
        <f t="shared" si="107"/>
        <v>-0.010221390387053553</v>
      </c>
    </row>
    <row r="4204" spans="8:8">
      <c r="G4204" s="9">
        <v>4201.0</v>
      </c>
      <c r="H4204" s="10">
        <f t="shared" si="107"/>
        <v>-0.006092592379460158</v>
      </c>
    </row>
    <row r="4205" spans="8:8">
      <c r="G4205" s="9">
        <v>4202.0</v>
      </c>
      <c r="H4205" s="10">
        <f t="shared" si="107"/>
        <v>0.009099388353355393</v>
      </c>
    </row>
    <row r="4206" spans="8:8">
      <c r="G4206" s="9">
        <v>4203.0</v>
      </c>
      <c r="H4206" s="10">
        <f t="shared" si="107"/>
        <v>0.006272362851949295</v>
      </c>
    </row>
    <row r="4207" spans="8:8">
      <c r="G4207" s="9">
        <v>4204.0</v>
      </c>
      <c r="H4207" s="10">
        <f t="shared" si="107"/>
        <v>0.029659782281684116</v>
      </c>
    </row>
    <row r="4208" spans="8:8">
      <c r="G4208" s="9">
        <v>4205.0</v>
      </c>
      <c r="H4208" s="10">
        <f t="shared" si="107"/>
        <v>0.006365333688137395</v>
      </c>
    </row>
    <row r="4209" spans="8:8">
      <c r="G4209" s="9">
        <v>4206.0</v>
      </c>
      <c r="H4209" s="10">
        <f t="shared" si="107"/>
        <v>-0.004180897965836179</v>
      </c>
    </row>
    <row r="4210" spans="8:8">
      <c r="G4210" s="9">
        <v>4207.0</v>
      </c>
      <c r="H4210" s="10">
        <f t="shared" si="107"/>
        <v>-3.2809922592767033E-4</v>
      </c>
    </row>
    <row r="4211" spans="8:8">
      <c r="G4211" s="9">
        <v>4208.0</v>
      </c>
      <c r="H4211" s="10">
        <f t="shared" si="107"/>
        <v>0.02109429777942998</v>
      </c>
    </row>
    <row r="4212" spans="8:8">
      <c r="G4212" s="9">
        <v>4209.0</v>
      </c>
      <c r="H4212" s="10">
        <f t="shared" si="107"/>
        <v>0.01015018358984616</v>
      </c>
    </row>
    <row r="4213" spans="8:8">
      <c r="G4213" s="9">
        <v>4210.0</v>
      </c>
      <c r="H4213" s="10">
        <f t="shared" si="107"/>
        <v>0.027033549718523984</v>
      </c>
    </row>
    <row r="4214" spans="8:8">
      <c r="G4214" s="9">
        <v>4211.0</v>
      </c>
      <c r="H4214" s="10">
        <f t="shared" si="107"/>
        <v>-0.00297683391395457</v>
      </c>
    </row>
    <row r="4215" spans="8:8">
      <c r="G4215" s="9">
        <v>4212.0</v>
      </c>
      <c r="H4215" s="10">
        <f t="shared" si="107"/>
        <v>0.002819267857677927</v>
      </c>
    </row>
    <row r="4216" spans="8:8">
      <c r="G4216" s="9">
        <v>4213.0</v>
      </c>
      <c r="H4216" s="10">
        <f t="shared" si="107"/>
        <v>0.0037218538351725533</v>
      </c>
    </row>
    <row r="4217" spans="8:8">
      <c r="G4217" s="9">
        <v>4214.0</v>
      </c>
      <c r="H4217" s="10">
        <f t="shared" si="107"/>
        <v>-0.002546628846966984</v>
      </c>
    </row>
    <row r="4218" spans="8:8">
      <c r="G4218" s="9">
        <v>4215.0</v>
      </c>
      <c r="H4218" s="10">
        <f t="shared" si="107"/>
        <v>0.02777472050961678</v>
      </c>
    </row>
    <row r="4219" spans="8:8">
      <c r="G4219" s="9">
        <v>4216.0</v>
      </c>
      <c r="H4219" s="10">
        <f t="shared" si="107"/>
        <v>-0.006149316592172487</v>
      </c>
    </row>
    <row r="4220" spans="8:8">
      <c r="G4220" s="9">
        <v>4217.0</v>
      </c>
      <c r="H4220" s="10">
        <f t="shared" si="107"/>
        <v>-0.009226119514322211</v>
      </c>
    </row>
    <row r="4221" spans="8:8">
      <c r="G4221" s="9">
        <v>4218.0</v>
      </c>
      <c r="H4221" s="10">
        <f t="shared" si="107"/>
        <v>-0.0288968940731294</v>
      </c>
    </row>
    <row r="4222" spans="8:8">
      <c r="G4222" s="9">
        <v>4219.0</v>
      </c>
      <c r="H4222" s="10">
        <f t="shared" si="107"/>
        <v>0.019515426547076543</v>
      </c>
    </row>
    <row r="4223" spans="8:8">
      <c r="G4223" s="9">
        <v>4220.0</v>
      </c>
      <c r="H4223" s="10">
        <f t="shared" si="107"/>
        <v>0.02411826466021279</v>
      </c>
    </row>
    <row r="4224" spans="8:8">
      <c r="G4224" s="9">
        <v>4221.0</v>
      </c>
      <c r="H4224" s="10">
        <f t="shared" si="107"/>
        <v>-0.010196106060230154</v>
      </c>
    </row>
    <row r="4225" spans="8:8">
      <c r="G4225" s="9">
        <v>4222.0</v>
      </c>
      <c r="H4225" s="10">
        <f t="shared" si="107"/>
        <v>0.004173259642169048</v>
      </c>
    </row>
    <row r="4226" spans="8:8">
      <c r="G4226" s="9">
        <v>4223.0</v>
      </c>
      <c r="H4226" s="10">
        <f t="shared" si="107"/>
        <v>-0.008337316228677588</v>
      </c>
    </row>
    <row r="4227" spans="8:8">
      <c r="G4227" s="9">
        <v>4224.0</v>
      </c>
      <c r="H4227" s="10">
        <f t="shared" si="107"/>
        <v>0.015005228423940916</v>
      </c>
    </row>
    <row r="4228" spans="8:8">
      <c r="G4228" s="9">
        <v>4225.0</v>
      </c>
      <c r="H4228" s="10">
        <f t="shared" si="107"/>
        <v>-0.00849301467290563</v>
      </c>
    </row>
    <row r="4229" spans="8:8">
      <c r="G4229" s="9">
        <v>4226.0</v>
      </c>
      <c r="H4229" s="10">
        <f t="shared" si="108" ref="H4229:H4292">_xlfn.NORM.INV(RAND(),N$6,N$7)</f>
        <v>-0.0025350310079589</v>
      </c>
    </row>
    <row r="4230" spans="8:8">
      <c r="G4230" s="9">
        <v>4227.0</v>
      </c>
      <c r="H4230" s="10">
        <f t="shared" si="108"/>
        <v>0.01124097726298114</v>
      </c>
    </row>
    <row r="4231" spans="8:8">
      <c r="G4231" s="9">
        <v>4228.0</v>
      </c>
      <c r="H4231" s="10">
        <f t="shared" si="108"/>
        <v>9.134076394481483E-4</v>
      </c>
    </row>
    <row r="4232" spans="8:8">
      <c r="G4232" s="9">
        <v>4229.0</v>
      </c>
      <c r="H4232" s="10">
        <f t="shared" si="108"/>
        <v>-0.011438586310359978</v>
      </c>
    </row>
    <row r="4233" spans="8:8">
      <c r="G4233" s="9">
        <v>4230.0</v>
      </c>
      <c r="H4233" s="10">
        <f t="shared" si="108"/>
        <v>0.005939448458280285</v>
      </c>
    </row>
    <row r="4234" spans="8:8">
      <c r="G4234" s="9">
        <v>4231.0</v>
      </c>
      <c r="H4234" s="10">
        <f t="shared" si="108"/>
        <v>0.004333370049797135</v>
      </c>
    </row>
    <row r="4235" spans="8:8">
      <c r="G4235" s="9">
        <v>4232.0</v>
      </c>
      <c r="H4235" s="10">
        <f t="shared" si="108"/>
        <v>-0.007533813113671339</v>
      </c>
    </row>
    <row r="4236" spans="8:8">
      <c r="G4236" s="9">
        <v>4233.0</v>
      </c>
      <c r="H4236" s="10">
        <f t="shared" si="108"/>
        <v>0.004941563377545071</v>
      </c>
    </row>
    <row r="4237" spans="8:8">
      <c r="G4237" s="9">
        <v>4234.0</v>
      </c>
      <c r="H4237" s="10">
        <f t="shared" si="108"/>
        <v>0.00718927769183699</v>
      </c>
    </row>
    <row r="4238" spans="8:8">
      <c r="G4238" s="9">
        <v>4235.0</v>
      </c>
      <c r="H4238" s="10">
        <f t="shared" si="108"/>
        <v>-0.007484092845999011</v>
      </c>
    </row>
    <row r="4239" spans="8:8">
      <c r="G4239" s="9">
        <v>4236.0</v>
      </c>
      <c r="H4239" s="10">
        <f t="shared" si="108"/>
        <v>-0.0011913266463357622</v>
      </c>
    </row>
    <row r="4240" spans="8:8">
      <c r="G4240" s="9">
        <v>4237.0</v>
      </c>
      <c r="H4240" s="10">
        <f t="shared" si="108"/>
        <v>-0.004943482027798973</v>
      </c>
    </row>
    <row r="4241" spans="8:8">
      <c r="G4241" s="9">
        <v>4238.0</v>
      </c>
      <c r="H4241" s="10">
        <f t="shared" si="108"/>
        <v>0.011109780869742287</v>
      </c>
    </row>
    <row r="4242" spans="8:8">
      <c r="G4242" s="9">
        <v>4239.0</v>
      </c>
      <c r="H4242" s="10">
        <f t="shared" si="108"/>
        <v>0.008940278759708273</v>
      </c>
    </row>
    <row r="4243" spans="8:8">
      <c r="G4243" s="9">
        <v>4240.0</v>
      </c>
      <c r="H4243" s="10">
        <f t="shared" si="108"/>
        <v>-0.015943016351746605</v>
      </c>
    </row>
    <row r="4244" spans="8:8">
      <c r="G4244" s="9">
        <v>4241.0</v>
      </c>
      <c r="H4244" s="10">
        <f t="shared" si="108"/>
        <v>-0.0017188564864149764</v>
      </c>
    </row>
    <row r="4245" spans="8:8">
      <c r="G4245" s="9">
        <v>4242.0</v>
      </c>
      <c r="H4245" s="10">
        <f t="shared" si="108"/>
        <v>0.003976971155394615</v>
      </c>
    </row>
    <row r="4246" spans="8:8">
      <c r="G4246" s="9">
        <v>4243.0</v>
      </c>
      <c r="H4246" s="10">
        <f t="shared" si="108"/>
        <v>-0.008917309145925343</v>
      </c>
    </row>
    <row r="4247" spans="8:8">
      <c r="G4247" s="9">
        <v>4244.0</v>
      </c>
      <c r="H4247" s="10">
        <f t="shared" si="108"/>
        <v>0.019550299492438347</v>
      </c>
    </row>
    <row r="4248" spans="8:8">
      <c r="G4248" s="9">
        <v>4245.0</v>
      </c>
      <c r="H4248" s="10">
        <f t="shared" si="108"/>
        <v>0.03149399470920843</v>
      </c>
    </row>
    <row r="4249" spans="8:8">
      <c r="G4249" s="9">
        <v>4246.0</v>
      </c>
      <c r="H4249" s="10">
        <f t="shared" si="108"/>
        <v>0.015353037787645081</v>
      </c>
    </row>
    <row r="4250" spans="8:8">
      <c r="G4250" s="9">
        <v>4247.0</v>
      </c>
      <c r="H4250" s="10">
        <f t="shared" si="108"/>
        <v>0.003920981212016367</v>
      </c>
    </row>
    <row r="4251" spans="8:8">
      <c r="G4251" s="9">
        <v>4248.0</v>
      </c>
      <c r="H4251" s="10">
        <f t="shared" si="108"/>
        <v>-0.0022286263760381737</v>
      </c>
    </row>
    <row r="4252" spans="8:8">
      <c r="G4252" s="9">
        <v>4249.0</v>
      </c>
      <c r="H4252" s="10">
        <f t="shared" si="108"/>
        <v>0.0030374574095423552</v>
      </c>
    </row>
    <row r="4253" spans="8:8">
      <c r="G4253" s="9">
        <v>4250.0</v>
      </c>
      <c r="H4253" s="10">
        <f t="shared" si="108"/>
        <v>0.008123471623611933</v>
      </c>
    </row>
    <row r="4254" spans="8:8">
      <c r="G4254" s="9">
        <v>4251.0</v>
      </c>
      <c r="H4254" s="10">
        <f t="shared" si="108"/>
        <v>0.002824756659403406</v>
      </c>
    </row>
    <row r="4255" spans="8:8">
      <c r="G4255" s="9">
        <v>4252.0</v>
      </c>
      <c r="H4255" s="10">
        <f t="shared" si="108"/>
        <v>-0.006807376953613512</v>
      </c>
    </row>
    <row r="4256" spans="8:8">
      <c r="G4256" s="9">
        <v>4253.0</v>
      </c>
      <c r="H4256" s="10">
        <f t="shared" si="108"/>
        <v>0.0019222338213426577</v>
      </c>
    </row>
    <row r="4257" spans="8:8">
      <c r="G4257" s="9">
        <v>4254.0</v>
      </c>
      <c r="H4257" s="10">
        <f t="shared" si="108"/>
        <v>0.013203052686314047</v>
      </c>
    </row>
    <row r="4258" spans="8:8">
      <c r="G4258" s="9">
        <v>4255.0</v>
      </c>
      <c r="H4258" s="10">
        <f t="shared" si="108"/>
        <v>0.0052967720261670685</v>
      </c>
    </row>
    <row r="4259" spans="8:8">
      <c r="G4259" s="9">
        <v>4256.0</v>
      </c>
      <c r="H4259" s="10">
        <f t="shared" si="108"/>
        <v>-0.008345082738979867</v>
      </c>
    </row>
    <row r="4260" spans="8:8">
      <c r="G4260" s="9">
        <v>4257.0</v>
      </c>
      <c r="H4260" s="10">
        <f t="shared" si="108"/>
        <v>0.011911966499477376</v>
      </c>
    </row>
    <row r="4261" spans="8:8">
      <c r="G4261" s="9">
        <v>4258.0</v>
      </c>
      <c r="H4261" s="10">
        <f t="shared" si="108"/>
        <v>0.0031506736184613113</v>
      </c>
    </row>
    <row r="4262" spans="8:8">
      <c r="G4262" s="9">
        <v>4259.0</v>
      </c>
      <c r="H4262" s="10">
        <f t="shared" si="108"/>
        <v>-7.286963438163365E-4</v>
      </c>
    </row>
    <row r="4263" spans="8:8">
      <c r="G4263" s="9">
        <v>4260.0</v>
      </c>
      <c r="H4263" s="10">
        <f t="shared" si="108"/>
        <v>-0.007197166794374272</v>
      </c>
    </row>
    <row r="4264" spans="8:8">
      <c r="G4264" s="9">
        <v>4261.0</v>
      </c>
      <c r="H4264" s="10">
        <f t="shared" si="108"/>
        <v>0.016309065535161843</v>
      </c>
    </row>
    <row r="4265" spans="8:8">
      <c r="G4265" s="9">
        <v>4262.0</v>
      </c>
      <c r="H4265" s="10">
        <f t="shared" si="108"/>
        <v>0.004953405724954404</v>
      </c>
    </row>
    <row r="4266" spans="8:8">
      <c r="G4266" s="9">
        <v>4263.0</v>
      </c>
      <c r="H4266" s="10">
        <f t="shared" si="108"/>
        <v>-0.022635356176087206</v>
      </c>
    </row>
    <row r="4267" spans="8:8">
      <c r="G4267" s="9">
        <v>4264.0</v>
      </c>
      <c r="H4267" s="10">
        <f t="shared" si="108"/>
        <v>0.010173046074712798</v>
      </c>
    </row>
    <row r="4268" spans="8:8">
      <c r="G4268" s="9">
        <v>4265.0</v>
      </c>
      <c r="H4268" s="10">
        <f t="shared" si="108"/>
        <v>-0.0018722824452737895</v>
      </c>
    </row>
    <row r="4269" spans="8:8">
      <c r="G4269" s="9">
        <v>4266.0</v>
      </c>
      <c r="H4269" s="10">
        <f t="shared" si="108"/>
        <v>0.0020636147608722984</v>
      </c>
    </row>
    <row r="4270" spans="8:8">
      <c r="G4270" s="9">
        <v>4267.0</v>
      </c>
      <c r="H4270" s="10">
        <f t="shared" si="108"/>
        <v>0.009533228885104484</v>
      </c>
    </row>
    <row r="4271" spans="8:8">
      <c r="G4271" s="9">
        <v>4268.0</v>
      </c>
      <c r="H4271" s="10">
        <f t="shared" si="108"/>
        <v>-0.0026506212113019028</v>
      </c>
    </row>
    <row r="4272" spans="8:8">
      <c r="G4272" s="9">
        <v>4269.0</v>
      </c>
      <c r="H4272" s="10">
        <f t="shared" si="108"/>
        <v>0.004969171972747933</v>
      </c>
    </row>
    <row r="4273" spans="8:8">
      <c r="G4273" s="9">
        <v>4270.0</v>
      </c>
      <c r="H4273" s="10">
        <f t="shared" si="108"/>
        <v>6.890165103044187E-4</v>
      </c>
    </row>
    <row r="4274" spans="8:8">
      <c r="G4274" s="9">
        <v>4271.0</v>
      </c>
      <c r="H4274" s="10">
        <f t="shared" si="108"/>
        <v>0.01075002227463787</v>
      </c>
    </row>
    <row r="4275" spans="8:8">
      <c r="G4275" s="9">
        <v>4272.0</v>
      </c>
      <c r="H4275" s="10">
        <f t="shared" si="108"/>
        <v>-0.0072547971821758</v>
      </c>
    </row>
    <row r="4276" spans="8:8">
      <c r="G4276" s="9">
        <v>4273.0</v>
      </c>
      <c r="H4276" s="10">
        <f t="shared" si="108"/>
        <v>0.018919444149305336</v>
      </c>
    </row>
    <row r="4277" spans="8:8">
      <c r="G4277" s="9">
        <v>4274.0</v>
      </c>
      <c r="H4277" s="10">
        <f t="shared" si="108"/>
        <v>0.013415638306226822</v>
      </c>
    </row>
    <row r="4278" spans="8:8">
      <c r="G4278" s="9">
        <v>4275.0</v>
      </c>
      <c r="H4278" s="10">
        <f t="shared" si="108"/>
        <v>-0.03255077856348971</v>
      </c>
    </row>
    <row r="4279" spans="8:8">
      <c r="G4279" s="9">
        <v>4276.0</v>
      </c>
      <c r="H4279" s="10">
        <f t="shared" si="108"/>
        <v>0.00404664139687379</v>
      </c>
    </row>
    <row r="4280" spans="8:8">
      <c r="G4280" s="9">
        <v>4277.0</v>
      </c>
      <c r="H4280" s="10">
        <f t="shared" si="108"/>
        <v>0.01494551601686286</v>
      </c>
    </row>
    <row r="4281" spans="8:8">
      <c r="G4281" s="9">
        <v>4278.0</v>
      </c>
      <c r="H4281" s="10">
        <f t="shared" si="108"/>
        <v>-0.01375227720505532</v>
      </c>
    </row>
    <row r="4282" spans="8:8">
      <c r="G4282" s="9">
        <v>4279.0</v>
      </c>
      <c r="H4282" s="10">
        <f t="shared" si="108"/>
        <v>-0.0035058226902019507</v>
      </c>
    </row>
    <row r="4283" spans="8:8">
      <c r="G4283" s="9">
        <v>4280.0</v>
      </c>
      <c r="H4283" s="10">
        <f t="shared" si="108"/>
        <v>0.0034982780745109517</v>
      </c>
    </row>
    <row r="4284" spans="8:8">
      <c r="G4284" s="9">
        <v>4281.0</v>
      </c>
      <c r="H4284" s="10">
        <f t="shared" si="108"/>
        <v>-0.0023961445846512894</v>
      </c>
    </row>
    <row r="4285" spans="8:8">
      <c r="G4285" s="9">
        <v>4282.0</v>
      </c>
      <c r="H4285" s="10">
        <f t="shared" si="108"/>
        <v>0.010727539696118574</v>
      </c>
    </row>
    <row r="4286" spans="8:8">
      <c r="G4286" s="9">
        <v>4283.0</v>
      </c>
      <c r="H4286" s="10">
        <f t="shared" si="108"/>
        <v>0.00615515157101819</v>
      </c>
    </row>
    <row r="4287" spans="8:8">
      <c r="G4287" s="9">
        <v>4284.0</v>
      </c>
      <c r="H4287" s="10">
        <f t="shared" si="108"/>
        <v>0.00459787628513297</v>
      </c>
    </row>
    <row r="4288" spans="8:8">
      <c r="G4288" s="9">
        <v>4285.0</v>
      </c>
      <c r="H4288" s="10">
        <f t="shared" si="108"/>
        <v>-0.014238537256620325</v>
      </c>
    </row>
    <row r="4289" spans="8:8">
      <c r="G4289" s="9">
        <v>4286.0</v>
      </c>
      <c r="H4289" s="10">
        <f t="shared" si="108"/>
        <v>-0.009107496451716931</v>
      </c>
    </row>
    <row r="4290" spans="8:8">
      <c r="G4290" s="9">
        <v>4287.0</v>
      </c>
      <c r="H4290" s="10">
        <f t="shared" si="108"/>
        <v>0.0236830041838065</v>
      </c>
    </row>
    <row r="4291" spans="8:8">
      <c r="G4291" s="9">
        <v>4288.0</v>
      </c>
      <c r="H4291" s="10">
        <f t="shared" si="108"/>
        <v>0.027408826404303793</v>
      </c>
    </row>
    <row r="4292" spans="8:8">
      <c r="G4292" s="9">
        <v>4289.0</v>
      </c>
      <c r="H4292" s="10">
        <f t="shared" si="108"/>
        <v>0.014267249979092095</v>
      </c>
    </row>
    <row r="4293" spans="8:8">
      <c r="G4293" s="9">
        <v>4290.0</v>
      </c>
      <c r="H4293" s="10">
        <f t="shared" si="109" ref="H4293:H4356">_xlfn.NORM.INV(RAND(),N$6,N$7)</f>
        <v>0.0015077249210862734</v>
      </c>
    </row>
    <row r="4294" spans="8:8">
      <c r="G4294" s="9">
        <v>4291.0</v>
      </c>
      <c r="H4294" s="10">
        <f t="shared" si="109"/>
        <v>0.005497459043700262</v>
      </c>
    </row>
    <row r="4295" spans="8:8">
      <c r="G4295" s="9">
        <v>4292.0</v>
      </c>
      <c r="H4295" s="10">
        <f t="shared" si="109"/>
        <v>0.0059818381496836</v>
      </c>
    </row>
    <row r="4296" spans="8:8">
      <c r="G4296" s="9">
        <v>4293.0</v>
      </c>
      <c r="H4296" s="10">
        <f t="shared" si="109"/>
        <v>0.02396167781082491</v>
      </c>
    </row>
    <row r="4297" spans="8:8">
      <c r="G4297" s="9">
        <v>4294.0</v>
      </c>
      <c r="H4297" s="10">
        <f t="shared" si="109"/>
        <v>0.008536762824827723</v>
      </c>
    </row>
    <row r="4298" spans="8:8">
      <c r="G4298" s="9">
        <v>4295.0</v>
      </c>
      <c r="H4298" s="10">
        <f t="shared" si="109"/>
        <v>-0.001765932913232347</v>
      </c>
    </row>
    <row r="4299" spans="8:8">
      <c r="G4299" s="9">
        <v>4296.0</v>
      </c>
      <c r="H4299" s="10">
        <f t="shared" si="109"/>
        <v>0.002901699908174893</v>
      </c>
    </row>
    <row r="4300" spans="8:8">
      <c r="G4300" s="9">
        <v>4297.0</v>
      </c>
      <c r="H4300" s="10">
        <f t="shared" si="109"/>
        <v>0.008396811991132179</v>
      </c>
    </row>
    <row r="4301" spans="8:8">
      <c r="G4301" s="9">
        <v>4298.0</v>
      </c>
      <c r="H4301" s="10">
        <f t="shared" si="109"/>
        <v>-0.005090944892040656</v>
      </c>
    </row>
    <row r="4302" spans="8:8">
      <c r="G4302" s="9">
        <v>4299.0</v>
      </c>
      <c r="H4302" s="10">
        <f t="shared" si="109"/>
        <v>0.008933273114740247</v>
      </c>
    </row>
    <row r="4303" spans="8:8">
      <c r="G4303" s="9">
        <v>4300.0</v>
      </c>
      <c r="H4303" s="10">
        <f t="shared" si="109"/>
        <v>0.020094025644548093</v>
      </c>
    </row>
    <row r="4304" spans="8:8">
      <c r="G4304" s="9">
        <v>4301.0</v>
      </c>
      <c r="H4304" s="10">
        <f t="shared" si="109"/>
        <v>0.006448705151830331</v>
      </c>
    </row>
    <row r="4305" spans="8:8">
      <c r="G4305" s="9">
        <v>4302.0</v>
      </c>
      <c r="H4305" s="10">
        <f t="shared" si="109"/>
        <v>-0.019665741310190676</v>
      </c>
    </row>
    <row r="4306" spans="8:8">
      <c r="G4306" s="9">
        <v>4303.0</v>
      </c>
      <c r="H4306" s="10">
        <f t="shared" si="109"/>
        <v>0.025427535989893443</v>
      </c>
    </row>
    <row r="4307" spans="8:8">
      <c r="G4307" s="9">
        <v>4304.0</v>
      </c>
      <c r="H4307" s="10">
        <f t="shared" si="109"/>
        <v>6.599124743176857E-4</v>
      </c>
    </row>
    <row r="4308" spans="8:8">
      <c r="G4308" s="9">
        <v>4305.0</v>
      </c>
      <c r="H4308" s="10">
        <f t="shared" si="109"/>
        <v>0.01201522216633651</v>
      </c>
    </row>
    <row r="4309" spans="8:8">
      <c r="G4309" s="9">
        <v>4306.0</v>
      </c>
      <c r="H4309" s="10">
        <f t="shared" si="109"/>
        <v>-0.0069603240289845885</v>
      </c>
    </row>
    <row r="4310" spans="8:8">
      <c r="G4310" s="9">
        <v>4307.0</v>
      </c>
      <c r="H4310" s="10">
        <f t="shared" si="109"/>
        <v>0.008571808380313881</v>
      </c>
    </row>
    <row r="4311" spans="8:8">
      <c r="G4311" s="9">
        <v>4308.0</v>
      </c>
      <c r="H4311" s="10">
        <f t="shared" si="109"/>
        <v>-0.0015026093809240842</v>
      </c>
    </row>
    <row r="4312" spans="8:8">
      <c r="G4312" s="9">
        <v>4309.0</v>
      </c>
      <c r="H4312" s="10">
        <f t="shared" si="109"/>
        <v>0.028462156994852442</v>
      </c>
    </row>
    <row r="4313" spans="8:8">
      <c r="G4313" s="9">
        <v>4310.0</v>
      </c>
      <c r="H4313" s="10">
        <f t="shared" si="109"/>
        <v>0.004053827762605399</v>
      </c>
    </row>
    <row r="4314" spans="8:8">
      <c r="G4314" s="9">
        <v>4311.0</v>
      </c>
      <c r="H4314" s="10">
        <f t="shared" si="109"/>
        <v>-0.0016913814091054115</v>
      </c>
    </row>
    <row r="4315" spans="8:8">
      <c r="G4315" s="9">
        <v>4312.0</v>
      </c>
      <c r="H4315" s="10">
        <f t="shared" si="109"/>
        <v>-0.004433210571461089</v>
      </c>
    </row>
    <row r="4316" spans="8:8">
      <c r="G4316" s="9">
        <v>4313.0</v>
      </c>
      <c r="H4316" s="10">
        <f t="shared" si="109"/>
        <v>0.020422755952873472</v>
      </c>
    </row>
    <row r="4317" spans="8:8">
      <c r="G4317" s="9">
        <v>4314.0</v>
      </c>
      <c r="H4317" s="10">
        <f t="shared" si="109"/>
        <v>0.012956674492183885</v>
      </c>
    </row>
    <row r="4318" spans="8:8">
      <c r="G4318" s="9">
        <v>4315.0</v>
      </c>
      <c r="H4318" s="10">
        <f t="shared" si="109"/>
        <v>0.01239384147982037</v>
      </c>
    </row>
    <row r="4319" spans="8:8">
      <c r="G4319" s="9">
        <v>4316.0</v>
      </c>
      <c r="H4319" s="10">
        <f t="shared" si="109"/>
        <v>7.35063852256771E-4</v>
      </c>
    </row>
    <row r="4320" spans="8:8">
      <c r="G4320" s="9">
        <v>4317.0</v>
      </c>
      <c r="H4320" s="10">
        <f t="shared" si="109"/>
        <v>-0.018905047063314112</v>
      </c>
    </row>
    <row r="4321" spans="8:8">
      <c r="G4321" s="9">
        <v>4318.0</v>
      </c>
      <c r="H4321" s="10">
        <f t="shared" si="109"/>
        <v>-0.003887822314956061</v>
      </c>
    </row>
    <row r="4322" spans="8:8">
      <c r="G4322" s="9">
        <v>4319.0</v>
      </c>
      <c r="H4322" s="10">
        <f t="shared" si="109"/>
        <v>0.009841573803033996</v>
      </c>
    </row>
    <row r="4323" spans="8:8">
      <c r="G4323" s="9">
        <v>4320.0</v>
      </c>
      <c r="H4323" s="10">
        <f t="shared" si="109"/>
        <v>-0.005918471439631646</v>
      </c>
    </row>
    <row r="4324" spans="8:8">
      <c r="G4324" s="9">
        <v>4321.0</v>
      </c>
      <c r="H4324" s="10">
        <f t="shared" si="109"/>
        <v>0.011249152834687859</v>
      </c>
    </row>
    <row r="4325" spans="8:8">
      <c r="G4325" s="9">
        <v>4322.0</v>
      </c>
      <c r="H4325" s="10">
        <f t="shared" si="109"/>
        <v>0.00856645779815373</v>
      </c>
    </row>
    <row r="4326" spans="8:8">
      <c r="G4326" s="9">
        <v>4323.0</v>
      </c>
      <c r="H4326" s="10">
        <f t="shared" si="109"/>
        <v>0.009883304834757568</v>
      </c>
    </row>
    <row r="4327" spans="8:8">
      <c r="G4327" s="9">
        <v>4324.0</v>
      </c>
      <c r="H4327" s="10">
        <f t="shared" si="109"/>
        <v>-0.009273088639080836</v>
      </c>
    </row>
    <row r="4328" spans="8:8">
      <c r="G4328" s="9">
        <v>4325.0</v>
      </c>
      <c r="H4328" s="10">
        <f t="shared" si="109"/>
        <v>0.0065694930100579614</v>
      </c>
    </row>
    <row r="4329" spans="8:8">
      <c r="G4329" s="9">
        <v>4326.0</v>
      </c>
      <c r="H4329" s="10">
        <f t="shared" si="109"/>
        <v>0.004403029056986047</v>
      </c>
    </row>
    <row r="4330" spans="8:8">
      <c r="G4330" s="9">
        <v>4327.0</v>
      </c>
      <c r="H4330" s="10">
        <f t="shared" si="109"/>
        <v>-0.0018827634184111408</v>
      </c>
    </row>
    <row r="4331" spans="8:8">
      <c r="G4331" s="9">
        <v>4328.0</v>
      </c>
      <c r="H4331" s="10">
        <f t="shared" si="109"/>
        <v>-0.0010902330944363246</v>
      </c>
    </row>
    <row r="4332" spans="8:8">
      <c r="G4332" s="9">
        <v>4329.0</v>
      </c>
      <c r="H4332" s="10">
        <f t="shared" si="109"/>
        <v>0.014656262770529203</v>
      </c>
    </row>
    <row r="4333" spans="8:8">
      <c r="G4333" s="9">
        <v>4330.0</v>
      </c>
      <c r="H4333" s="10">
        <f t="shared" si="109"/>
        <v>-8.14815201709158E-4</v>
      </c>
    </row>
    <row r="4334" spans="8:8">
      <c r="G4334" s="9">
        <v>4331.0</v>
      </c>
      <c r="H4334" s="10">
        <f t="shared" si="109"/>
        <v>0.012270578410717731</v>
      </c>
    </row>
    <row r="4335" spans="8:8">
      <c r="G4335" s="9">
        <v>4332.0</v>
      </c>
      <c r="H4335" s="10">
        <f t="shared" si="109"/>
        <v>0.0011864450883916806</v>
      </c>
    </row>
    <row r="4336" spans="8:8">
      <c r="G4336" s="9">
        <v>4333.0</v>
      </c>
      <c r="H4336" s="10">
        <f t="shared" si="109"/>
        <v>7.380030843692426E-4</v>
      </c>
    </row>
    <row r="4337" spans="8:8">
      <c r="G4337" s="9">
        <v>4334.0</v>
      </c>
      <c r="H4337" s="10">
        <f t="shared" si="109"/>
        <v>-0.0014184907458812878</v>
      </c>
    </row>
    <row r="4338" spans="8:8">
      <c r="G4338" s="9">
        <v>4335.0</v>
      </c>
      <c r="H4338" s="10">
        <f t="shared" si="109"/>
        <v>0.02041032229768413</v>
      </c>
    </row>
    <row r="4339" spans="8:8">
      <c r="G4339" s="9">
        <v>4336.0</v>
      </c>
      <c r="H4339" s="10">
        <f t="shared" si="109"/>
        <v>0.004091692611702923</v>
      </c>
    </row>
    <row r="4340" spans="8:8">
      <c r="G4340" s="9">
        <v>4337.0</v>
      </c>
      <c r="H4340" s="10">
        <f t="shared" si="109"/>
        <v>0.025174066097462356</v>
      </c>
    </row>
    <row r="4341" spans="8:8">
      <c r="G4341" s="9">
        <v>4338.0</v>
      </c>
      <c r="H4341" s="10">
        <f t="shared" si="109"/>
        <v>0.005575397405871735</v>
      </c>
    </row>
    <row r="4342" spans="8:8">
      <c r="G4342" s="9">
        <v>4339.0</v>
      </c>
      <c r="H4342" s="10">
        <f t="shared" si="109"/>
        <v>-0.014817614124971616</v>
      </c>
    </row>
    <row r="4343" spans="8:8">
      <c r="G4343" s="9">
        <v>4340.0</v>
      </c>
      <c r="H4343" s="10">
        <f t="shared" si="109"/>
        <v>-0.014186515242202023</v>
      </c>
    </row>
    <row r="4344" spans="8:8">
      <c r="G4344" s="9">
        <v>4341.0</v>
      </c>
      <c r="H4344" s="10">
        <f t="shared" si="109"/>
        <v>-0.0011055368410942974</v>
      </c>
    </row>
    <row r="4345" spans="8:8">
      <c r="G4345" s="9">
        <v>4342.0</v>
      </c>
      <c r="H4345" s="10">
        <f t="shared" si="109"/>
        <v>-0.02031373262419692</v>
      </c>
    </row>
    <row r="4346" spans="8:8">
      <c r="G4346" s="9">
        <v>4343.0</v>
      </c>
      <c r="H4346" s="10">
        <f t="shared" si="109"/>
        <v>0.0389193034985593</v>
      </c>
    </row>
    <row r="4347" spans="8:8">
      <c r="G4347" s="9">
        <v>4344.0</v>
      </c>
      <c r="H4347" s="10">
        <f t="shared" si="109"/>
        <v>1.4023347445508505E-4</v>
      </c>
    </row>
    <row r="4348" spans="8:8">
      <c r="G4348" s="9">
        <v>4345.0</v>
      </c>
      <c r="H4348" s="10">
        <f t="shared" si="109"/>
        <v>0.016976893206103412</v>
      </c>
    </row>
    <row r="4349" spans="8:8">
      <c r="G4349" s="9">
        <v>4346.0</v>
      </c>
      <c r="H4349" s="10">
        <f t="shared" si="109"/>
        <v>0.013252288979427748</v>
      </c>
    </row>
    <row r="4350" spans="8:8">
      <c r="G4350" s="9">
        <v>4347.0</v>
      </c>
      <c r="H4350" s="10">
        <f t="shared" si="109"/>
        <v>-0.008342590011749099</v>
      </c>
    </row>
    <row r="4351" spans="8:8">
      <c r="G4351" s="9">
        <v>4348.0</v>
      </c>
      <c r="H4351" s="10">
        <f t="shared" si="109"/>
        <v>0.022767417807620316</v>
      </c>
    </row>
    <row r="4352" spans="8:8">
      <c r="G4352" s="9">
        <v>4349.0</v>
      </c>
      <c r="H4352" s="10">
        <f t="shared" si="109"/>
        <v>-0.003592123308387005</v>
      </c>
    </row>
    <row r="4353" spans="8:8">
      <c r="G4353" s="9">
        <v>4350.0</v>
      </c>
      <c r="H4353" s="10">
        <f t="shared" si="109"/>
        <v>-0.01781932604944063</v>
      </c>
    </row>
    <row r="4354" spans="8:8">
      <c r="G4354" s="9">
        <v>4351.0</v>
      </c>
      <c r="H4354" s="10">
        <f t="shared" si="109"/>
        <v>0.015697374392701118</v>
      </c>
    </row>
    <row r="4355" spans="8:8">
      <c r="G4355" s="9">
        <v>4352.0</v>
      </c>
      <c r="H4355" s="10">
        <f t="shared" si="109"/>
        <v>0.005195149350362882</v>
      </c>
    </row>
    <row r="4356" spans="8:8">
      <c r="G4356" s="9">
        <v>4353.0</v>
      </c>
      <c r="H4356" s="10">
        <f t="shared" si="109"/>
        <v>-0.004108303751808355</v>
      </c>
    </row>
    <row r="4357" spans="8:8">
      <c r="G4357" s="9">
        <v>4354.0</v>
      </c>
      <c r="H4357" s="10">
        <f t="shared" si="110" ref="H4357:H4420">_xlfn.NORM.INV(RAND(),N$6,N$7)</f>
        <v>0.003907223612957413</v>
      </c>
    </row>
    <row r="4358" spans="8:8">
      <c r="G4358" s="9">
        <v>4355.0</v>
      </c>
      <c r="H4358" s="10">
        <f t="shared" si="110"/>
        <v>-0.003241786470200194</v>
      </c>
    </row>
    <row r="4359" spans="8:8">
      <c r="G4359" s="9">
        <v>4356.0</v>
      </c>
      <c r="H4359" s="10">
        <f t="shared" si="110"/>
        <v>0.02261954940957923</v>
      </c>
    </row>
    <row r="4360" spans="8:8">
      <c r="G4360" s="9">
        <v>4357.0</v>
      </c>
      <c r="H4360" s="10">
        <f t="shared" si="110"/>
        <v>0.007893663765932226</v>
      </c>
    </row>
    <row r="4361" spans="8:8">
      <c r="G4361" s="9">
        <v>4358.0</v>
      </c>
      <c r="H4361" s="10">
        <f t="shared" si="110"/>
        <v>0.004865714401082702</v>
      </c>
    </row>
    <row r="4362" spans="8:8">
      <c r="G4362" s="9">
        <v>4359.0</v>
      </c>
      <c r="H4362" s="10">
        <f t="shared" si="110"/>
        <v>0.008293404722687102</v>
      </c>
    </row>
    <row r="4363" spans="8:8">
      <c r="G4363" s="9">
        <v>4360.0</v>
      </c>
      <c r="H4363" s="10">
        <f t="shared" si="110"/>
        <v>0.025415940721236638</v>
      </c>
    </row>
    <row r="4364" spans="8:8">
      <c r="G4364" s="9">
        <v>4361.0</v>
      </c>
      <c r="H4364" s="10">
        <f t="shared" si="110"/>
        <v>0.01299455589142735</v>
      </c>
    </row>
    <row r="4365" spans="8:8">
      <c r="G4365" s="9">
        <v>4362.0</v>
      </c>
      <c r="H4365" s="10">
        <f t="shared" si="110"/>
        <v>0.011648512428611896</v>
      </c>
    </row>
    <row r="4366" spans="8:8">
      <c r="G4366" s="9">
        <v>4363.0</v>
      </c>
      <c r="H4366" s="10">
        <f t="shared" si="110"/>
        <v>-6.0571250789905485E-5</v>
      </c>
    </row>
    <row r="4367" spans="8:8">
      <c r="G4367" s="9">
        <v>4364.0</v>
      </c>
      <c r="H4367" s="10">
        <f t="shared" si="110"/>
        <v>0.03151507354856587</v>
      </c>
    </row>
    <row r="4368" spans="8:8">
      <c r="G4368" s="9">
        <v>4365.0</v>
      </c>
      <c r="H4368" s="10">
        <f t="shared" si="110"/>
        <v>0.02018596715021038</v>
      </c>
    </row>
    <row r="4369" spans="8:8">
      <c r="G4369" s="9">
        <v>4366.0</v>
      </c>
      <c r="H4369" s="10">
        <f t="shared" si="110"/>
        <v>-0.006393348098823841</v>
      </c>
    </row>
    <row r="4370" spans="8:8">
      <c r="G4370" s="9">
        <v>4367.0</v>
      </c>
      <c r="H4370" s="10">
        <f t="shared" si="110"/>
        <v>0.024971906386607304</v>
      </c>
    </row>
    <row r="4371" spans="8:8">
      <c r="G4371" s="9">
        <v>4368.0</v>
      </c>
      <c r="H4371" s="10">
        <f t="shared" si="110"/>
        <v>-0.007323972129887955</v>
      </c>
    </row>
    <row r="4372" spans="8:8">
      <c r="G4372" s="9">
        <v>4369.0</v>
      </c>
      <c r="H4372" s="10">
        <f t="shared" si="110"/>
        <v>0.001818540053792773</v>
      </c>
    </row>
    <row r="4373" spans="8:8">
      <c r="G4373" s="9">
        <v>4370.0</v>
      </c>
      <c r="H4373" s="10">
        <f t="shared" si="110"/>
        <v>0.007756697214718803</v>
      </c>
    </row>
    <row r="4374" spans="8:8">
      <c r="G4374" s="9">
        <v>4371.0</v>
      </c>
      <c r="H4374" s="10">
        <f t="shared" si="110"/>
        <v>0.009104595165656003</v>
      </c>
    </row>
    <row r="4375" spans="8:8">
      <c r="G4375" s="9">
        <v>4372.0</v>
      </c>
      <c r="H4375" s="10">
        <f t="shared" si="110"/>
        <v>0.009428012090122402</v>
      </c>
    </row>
    <row r="4376" spans="8:8">
      <c r="G4376" s="9">
        <v>4373.0</v>
      </c>
      <c r="H4376" s="10">
        <f t="shared" si="110"/>
        <v>0.0015438837029755912</v>
      </c>
    </row>
    <row r="4377" spans="8:8">
      <c r="G4377" s="9">
        <v>4374.0</v>
      </c>
      <c r="H4377" s="10">
        <f t="shared" si="110"/>
        <v>0.010856196421570192</v>
      </c>
    </row>
    <row r="4378" spans="8:8">
      <c r="G4378" s="9">
        <v>4375.0</v>
      </c>
      <c r="H4378" s="10">
        <f t="shared" si="110"/>
        <v>0.01331022630632148</v>
      </c>
    </row>
    <row r="4379" spans="8:8">
      <c r="G4379" s="9">
        <v>4376.0</v>
      </c>
      <c r="H4379" s="10">
        <f t="shared" si="110"/>
        <v>-0.00211410186361281</v>
      </c>
    </row>
    <row r="4380" spans="8:8">
      <c r="G4380" s="9">
        <v>4377.0</v>
      </c>
      <c r="H4380" s="10">
        <f t="shared" si="110"/>
        <v>9.8194703559941E-4</v>
      </c>
    </row>
    <row r="4381" spans="8:8">
      <c r="G4381" s="9">
        <v>4378.0</v>
      </c>
      <c r="H4381" s="10">
        <f t="shared" si="110"/>
        <v>-0.0014929462937397428</v>
      </c>
    </row>
    <row r="4382" spans="8:8">
      <c r="G4382" s="9">
        <v>4379.0</v>
      </c>
      <c r="H4382" s="10">
        <f t="shared" si="110"/>
        <v>-0.023644678022837293</v>
      </c>
    </row>
    <row r="4383" spans="8:8">
      <c r="G4383" s="9">
        <v>4380.0</v>
      </c>
      <c r="H4383" s="10">
        <f t="shared" si="110"/>
        <v>-0.006877573217220957</v>
      </c>
    </row>
    <row r="4384" spans="8:8">
      <c r="G4384" s="9">
        <v>4381.0</v>
      </c>
      <c r="H4384" s="10">
        <f t="shared" si="110"/>
        <v>0.002347853673820211</v>
      </c>
    </row>
    <row r="4385" spans="8:8">
      <c r="G4385" s="9">
        <v>4382.0</v>
      </c>
      <c r="H4385" s="10">
        <f t="shared" si="110"/>
        <v>0.0076883064739280155</v>
      </c>
    </row>
    <row r="4386" spans="8:8">
      <c r="G4386" s="9">
        <v>4383.0</v>
      </c>
      <c r="H4386" s="10">
        <f t="shared" si="110"/>
        <v>0.03186854408631865</v>
      </c>
    </row>
    <row r="4387" spans="8:8">
      <c r="G4387" s="9">
        <v>4384.0</v>
      </c>
      <c r="H4387" s="10">
        <f t="shared" si="110"/>
        <v>-8.85688418553493E-4</v>
      </c>
    </row>
    <row r="4388" spans="8:8">
      <c r="G4388" s="9">
        <v>4385.0</v>
      </c>
      <c r="H4388" s="10">
        <f t="shared" si="110"/>
        <v>-0.011901649334091841</v>
      </c>
    </row>
    <row r="4389" spans="8:8">
      <c r="G4389" s="9">
        <v>4386.0</v>
      </c>
      <c r="H4389" s="10">
        <f t="shared" si="110"/>
        <v>0.02472675842349999</v>
      </c>
    </row>
    <row r="4390" spans="8:8">
      <c r="G4390" s="9">
        <v>4387.0</v>
      </c>
      <c r="H4390" s="10">
        <f t="shared" si="110"/>
        <v>0.00842958464116858</v>
      </c>
    </row>
    <row r="4391" spans="8:8">
      <c r="G4391" s="9">
        <v>4388.0</v>
      </c>
      <c r="H4391" s="10">
        <f t="shared" si="110"/>
        <v>0.00805689034771936</v>
      </c>
    </row>
    <row r="4392" spans="8:8">
      <c r="G4392" s="9">
        <v>4389.0</v>
      </c>
      <c r="H4392" s="10">
        <f t="shared" si="110"/>
        <v>-0.0011285833980290254</v>
      </c>
    </row>
    <row r="4393" spans="8:8">
      <c r="G4393" s="9">
        <v>4390.0</v>
      </c>
      <c r="H4393" s="10">
        <f t="shared" si="110"/>
        <v>0.004932239969313615</v>
      </c>
    </row>
    <row r="4394" spans="8:8">
      <c r="G4394" s="9">
        <v>4391.0</v>
      </c>
      <c r="H4394" s="10">
        <f t="shared" si="110"/>
        <v>0.032847074235958694</v>
      </c>
    </row>
    <row r="4395" spans="8:8">
      <c r="G4395" s="9">
        <v>4392.0</v>
      </c>
      <c r="H4395" s="10">
        <f t="shared" si="110"/>
        <v>-0.004663196275752812</v>
      </c>
    </row>
    <row r="4396" spans="8:8">
      <c r="G4396" s="9">
        <v>4393.0</v>
      </c>
      <c r="H4396" s="10">
        <f t="shared" si="110"/>
        <v>0.01847167154066815</v>
      </c>
    </row>
    <row r="4397" spans="8:8">
      <c r="G4397" s="9">
        <v>4394.0</v>
      </c>
      <c r="H4397" s="10">
        <f t="shared" si="110"/>
        <v>0.012305767464753072</v>
      </c>
    </row>
    <row r="4398" spans="8:8">
      <c r="G4398" s="9">
        <v>4395.0</v>
      </c>
      <c r="H4398" s="10">
        <f t="shared" si="110"/>
        <v>0.0045218486026903666</v>
      </c>
    </row>
    <row r="4399" spans="8:8">
      <c r="G4399" s="9">
        <v>4396.0</v>
      </c>
      <c r="H4399" s="10">
        <f t="shared" si="110"/>
        <v>-0.021201752546893608</v>
      </c>
    </row>
    <row r="4400" spans="8:8">
      <c r="G4400" s="9">
        <v>4397.0</v>
      </c>
      <c r="H4400" s="10">
        <f t="shared" si="110"/>
        <v>1.7949650259504145E-4</v>
      </c>
    </row>
    <row r="4401" spans="8:8">
      <c r="G4401" s="9">
        <v>4398.0</v>
      </c>
      <c r="H4401" s="10">
        <f t="shared" si="110"/>
        <v>0.004827731203889442</v>
      </c>
    </row>
    <row r="4402" spans="8:8">
      <c r="G4402" s="9">
        <v>4399.0</v>
      </c>
      <c r="H4402" s="10">
        <f t="shared" si="110"/>
        <v>-0.01173960926562459</v>
      </c>
    </row>
    <row r="4403" spans="8:8">
      <c r="G4403" s="9">
        <v>4400.0</v>
      </c>
      <c r="H4403" s="10">
        <f t="shared" si="110"/>
        <v>0.0024332192698206176</v>
      </c>
    </row>
    <row r="4404" spans="8:8">
      <c r="G4404" s="9">
        <v>4401.0</v>
      </c>
      <c r="H4404" s="10">
        <f t="shared" si="110"/>
        <v>-0.007510365282493798</v>
      </c>
    </row>
    <row r="4405" spans="8:8">
      <c r="G4405" s="9">
        <v>4402.0</v>
      </c>
      <c r="H4405" s="10">
        <f t="shared" si="110"/>
        <v>0.014605534593591745</v>
      </c>
    </row>
    <row r="4406" spans="8:8">
      <c r="G4406" s="9">
        <v>4403.0</v>
      </c>
      <c r="H4406" s="10">
        <f t="shared" si="110"/>
        <v>7.382411597448204E-4</v>
      </c>
    </row>
    <row r="4407" spans="8:8">
      <c r="G4407" s="9">
        <v>4404.0</v>
      </c>
      <c r="H4407" s="10">
        <f t="shared" si="110"/>
        <v>-0.02023933195427857</v>
      </c>
    </row>
    <row r="4408" spans="8:8">
      <c r="G4408" s="9">
        <v>4405.0</v>
      </c>
      <c r="H4408" s="10">
        <f t="shared" si="110"/>
        <v>0.010009426309246054</v>
      </c>
    </row>
    <row r="4409" spans="8:8">
      <c r="G4409" s="9">
        <v>4406.0</v>
      </c>
      <c r="H4409" s="10">
        <f t="shared" si="110"/>
        <v>0.018771644495234056</v>
      </c>
    </row>
    <row r="4410" spans="8:8">
      <c r="G4410" s="9">
        <v>4407.0</v>
      </c>
      <c r="H4410" s="10">
        <f t="shared" si="110"/>
        <v>0.018620713732612613</v>
      </c>
    </row>
    <row r="4411" spans="8:8">
      <c r="G4411" s="9">
        <v>4408.0</v>
      </c>
      <c r="H4411" s="10">
        <f t="shared" si="110"/>
        <v>-0.014989662559989833</v>
      </c>
    </row>
    <row r="4412" spans="8:8">
      <c r="G4412" s="9">
        <v>4409.0</v>
      </c>
      <c r="H4412" s="10">
        <f t="shared" si="110"/>
        <v>-1.8316154983133957E-4</v>
      </c>
    </row>
    <row r="4413" spans="8:8">
      <c r="G4413" s="9">
        <v>4410.0</v>
      </c>
      <c r="H4413" s="10">
        <f t="shared" si="110"/>
        <v>0.018759764610271235</v>
      </c>
    </row>
    <row r="4414" spans="8:8">
      <c r="G4414" s="9">
        <v>4411.0</v>
      </c>
      <c r="H4414" s="10">
        <f t="shared" si="110"/>
        <v>0.0017226422824012197</v>
      </c>
    </row>
    <row r="4415" spans="8:8">
      <c r="G4415" s="9">
        <v>4412.0</v>
      </c>
      <c r="H4415" s="10">
        <f t="shared" si="110"/>
        <v>0.004467281601294718</v>
      </c>
    </row>
    <row r="4416" spans="8:8">
      <c r="G4416" s="9">
        <v>4413.0</v>
      </c>
      <c r="H4416" s="10">
        <f t="shared" si="110"/>
        <v>-0.003598310298194976</v>
      </c>
    </row>
    <row r="4417" spans="8:8">
      <c r="G4417" s="9">
        <v>4414.0</v>
      </c>
      <c r="H4417" s="10">
        <f t="shared" si="110"/>
        <v>0.005570876374165897</v>
      </c>
    </row>
    <row r="4418" spans="8:8">
      <c r="G4418" s="9">
        <v>4415.0</v>
      </c>
      <c r="H4418" s="10">
        <f t="shared" si="110"/>
        <v>7.044893816908265E-5</v>
      </c>
    </row>
    <row r="4419" spans="8:8">
      <c r="G4419" s="9">
        <v>4416.0</v>
      </c>
      <c r="H4419" s="10">
        <f t="shared" si="110"/>
        <v>0.005399335796634497</v>
      </c>
    </row>
    <row r="4420" spans="8:8">
      <c r="G4420" s="9">
        <v>4417.0</v>
      </c>
      <c r="H4420" s="10">
        <f t="shared" si="110"/>
        <v>-0.004922276340341141</v>
      </c>
    </row>
    <row r="4421" spans="8:8">
      <c r="G4421" s="9">
        <v>4418.0</v>
      </c>
      <c r="H4421" s="10">
        <f t="shared" si="111" ref="H4421:H4484">_xlfn.NORM.INV(RAND(),N$6,N$7)</f>
        <v>-0.006074309358828702</v>
      </c>
    </row>
    <row r="4422" spans="8:8">
      <c r="G4422" s="9">
        <v>4419.0</v>
      </c>
      <c r="H4422" s="10">
        <f t="shared" si="111"/>
        <v>-0.0012059782206471003</v>
      </c>
    </row>
    <row r="4423" spans="8:8">
      <c r="G4423" s="9">
        <v>4420.0</v>
      </c>
      <c r="H4423" s="10">
        <f t="shared" si="111"/>
        <v>0.0033281025050478077</v>
      </c>
    </row>
    <row r="4424" spans="8:8">
      <c r="G4424" s="9">
        <v>4421.0</v>
      </c>
      <c r="H4424" s="10">
        <f t="shared" si="111"/>
        <v>0.009048647567529648</v>
      </c>
    </row>
    <row r="4425" spans="8:8">
      <c r="G4425" s="9">
        <v>4422.0</v>
      </c>
      <c r="H4425" s="10">
        <f t="shared" si="111"/>
        <v>0.004374212741090362</v>
      </c>
    </row>
    <row r="4426" spans="8:8">
      <c r="G4426" s="9">
        <v>4423.0</v>
      </c>
      <c r="H4426" s="10">
        <f t="shared" si="111"/>
        <v>0.0019494194902378614</v>
      </c>
    </row>
    <row r="4427" spans="8:8">
      <c r="G4427" s="9">
        <v>4424.0</v>
      </c>
      <c r="H4427" s="10">
        <f t="shared" si="111"/>
        <v>0.030867635426212826</v>
      </c>
    </row>
    <row r="4428" spans="8:8">
      <c r="G4428" s="9">
        <v>4425.0</v>
      </c>
      <c r="H4428" s="10">
        <f t="shared" si="111"/>
        <v>0.002954921344881887</v>
      </c>
    </row>
    <row r="4429" spans="8:8">
      <c r="G4429" s="9">
        <v>4426.0</v>
      </c>
      <c r="H4429" s="10">
        <f t="shared" si="111"/>
        <v>0.013630371446326242</v>
      </c>
    </row>
    <row r="4430" spans="8:8">
      <c r="G4430" s="9">
        <v>4427.0</v>
      </c>
      <c r="H4430" s="10">
        <f t="shared" si="111"/>
        <v>0.031599405830357016</v>
      </c>
    </row>
    <row r="4431" spans="8:8">
      <c r="G4431" s="9">
        <v>4428.0</v>
      </c>
      <c r="H4431" s="10">
        <f t="shared" si="111"/>
        <v>0.011932400684320575</v>
      </c>
    </row>
    <row r="4432" spans="8:8">
      <c r="G4432" s="9">
        <v>4429.0</v>
      </c>
      <c r="H4432" s="10">
        <f t="shared" si="111"/>
        <v>-0.0038446374398501924</v>
      </c>
    </row>
    <row r="4433" spans="8:8">
      <c r="G4433" s="9">
        <v>4430.0</v>
      </c>
      <c r="H4433" s="10">
        <f t="shared" si="111"/>
        <v>0.015845767014664256</v>
      </c>
    </row>
    <row r="4434" spans="8:8">
      <c r="G4434" s="9">
        <v>4431.0</v>
      </c>
      <c r="H4434" s="10">
        <f t="shared" si="111"/>
        <v>-0.008344856151525925</v>
      </c>
    </row>
    <row r="4435" spans="8:8">
      <c r="G4435" s="9">
        <v>4432.0</v>
      </c>
      <c r="H4435" s="10">
        <f t="shared" si="111"/>
        <v>0.02427819661307454</v>
      </c>
    </row>
    <row r="4436" spans="8:8">
      <c r="G4436" s="9">
        <v>4433.0</v>
      </c>
      <c r="H4436" s="10">
        <f t="shared" si="111"/>
        <v>0.021805996018873505</v>
      </c>
    </row>
    <row r="4437" spans="8:8">
      <c r="G4437" s="9">
        <v>4434.0</v>
      </c>
      <c r="H4437" s="10">
        <f t="shared" si="111"/>
        <v>0.002312812794814007</v>
      </c>
    </row>
    <row r="4438" spans="8:8">
      <c r="G4438" s="9">
        <v>4435.0</v>
      </c>
      <c r="H4438" s="10">
        <f t="shared" si="111"/>
        <v>-0.0013801726868502926</v>
      </c>
    </row>
    <row r="4439" spans="8:8">
      <c r="G4439" s="9">
        <v>4436.0</v>
      </c>
      <c r="H4439" s="10">
        <f t="shared" si="111"/>
        <v>0.00675843298940035</v>
      </c>
    </row>
    <row r="4440" spans="8:8">
      <c r="G4440" s="9">
        <v>4437.0</v>
      </c>
      <c r="H4440" s="10">
        <f t="shared" si="111"/>
        <v>0.013007480133162195</v>
      </c>
    </row>
    <row r="4441" spans="8:8">
      <c r="G4441" s="9">
        <v>4438.0</v>
      </c>
      <c r="H4441" s="10">
        <f t="shared" si="111"/>
        <v>0.03148392925980292</v>
      </c>
    </row>
    <row r="4442" spans="8:8">
      <c r="G4442" s="9">
        <v>4439.0</v>
      </c>
      <c r="H4442" s="10">
        <f t="shared" si="111"/>
        <v>-0.013759341322696385</v>
      </c>
    </row>
    <row r="4443" spans="8:8">
      <c r="G4443" s="9">
        <v>4440.0</v>
      </c>
      <c r="H4443" s="10">
        <f t="shared" si="111"/>
        <v>9.748423225115505E-5</v>
      </c>
    </row>
    <row r="4444" spans="8:8">
      <c r="G4444" s="9">
        <v>4441.0</v>
      </c>
      <c r="H4444" s="10">
        <f t="shared" si="111"/>
        <v>-0.012057400766245247</v>
      </c>
    </row>
    <row r="4445" spans="8:8">
      <c r="G4445" s="9">
        <v>4442.0</v>
      </c>
      <c r="H4445" s="10">
        <f t="shared" si="111"/>
        <v>0.011460180357689934</v>
      </c>
    </row>
    <row r="4446" spans="8:8">
      <c r="G4446" s="9">
        <v>4443.0</v>
      </c>
      <c r="H4446" s="10">
        <f t="shared" si="111"/>
        <v>0.011708843517033166</v>
      </c>
    </row>
    <row r="4447" spans="8:8">
      <c r="G4447" s="9">
        <v>4444.0</v>
      </c>
      <c r="H4447" s="10">
        <f t="shared" si="111"/>
        <v>0.025651194351312606</v>
      </c>
    </row>
    <row r="4448" spans="8:8">
      <c r="G4448" s="9">
        <v>4445.0</v>
      </c>
      <c r="H4448" s="10">
        <f t="shared" si="111"/>
        <v>0.020624983132236957</v>
      </c>
    </row>
    <row r="4449" spans="8:8">
      <c r="G4449" s="9">
        <v>4446.0</v>
      </c>
      <c r="H4449" s="10">
        <f t="shared" si="111"/>
        <v>0.010075302804115893</v>
      </c>
    </row>
    <row r="4450" spans="8:8">
      <c r="G4450" s="9">
        <v>4447.0</v>
      </c>
      <c r="H4450" s="10">
        <f t="shared" si="111"/>
        <v>-0.007710148649979163</v>
      </c>
    </row>
    <row r="4451" spans="8:8">
      <c r="G4451" s="9">
        <v>4448.0</v>
      </c>
      <c r="H4451" s="10">
        <f t="shared" si="111"/>
        <v>-0.007581973314446359</v>
      </c>
    </row>
    <row r="4452" spans="8:8">
      <c r="G4452" s="9">
        <v>4449.0</v>
      </c>
      <c r="H4452" s="10">
        <f t="shared" si="111"/>
        <v>0.009612401673983542</v>
      </c>
    </row>
    <row r="4453" spans="8:8">
      <c r="G4453" s="9">
        <v>4450.0</v>
      </c>
      <c r="H4453" s="10">
        <f t="shared" si="111"/>
        <v>1.4976142139072265E-4</v>
      </c>
    </row>
    <row r="4454" spans="8:8">
      <c r="G4454" s="9">
        <v>4451.0</v>
      </c>
      <c r="H4454" s="10">
        <f t="shared" si="111"/>
        <v>0.02101609817845723</v>
      </c>
    </row>
    <row r="4455" spans="8:8">
      <c r="G4455" s="9">
        <v>4452.0</v>
      </c>
      <c r="H4455" s="10">
        <f t="shared" si="111"/>
        <v>0.011766268489861086</v>
      </c>
    </row>
    <row r="4456" spans="8:8">
      <c r="G4456" s="9">
        <v>4453.0</v>
      </c>
      <c r="H4456" s="10">
        <f t="shared" si="111"/>
        <v>-0.0021075804461583737</v>
      </c>
    </row>
    <row r="4457" spans="8:8">
      <c r="G4457" s="9">
        <v>4454.0</v>
      </c>
      <c r="H4457" s="10">
        <f t="shared" si="111"/>
        <v>-0.007426394093940198</v>
      </c>
    </row>
    <row r="4458" spans="8:8">
      <c r="G4458" s="9">
        <v>4455.0</v>
      </c>
      <c r="H4458" s="10">
        <f t="shared" si="111"/>
        <v>0.014430195248275244</v>
      </c>
    </row>
    <row r="4459" spans="8:8">
      <c r="G4459" s="9">
        <v>4456.0</v>
      </c>
      <c r="H4459" s="10">
        <f t="shared" si="111"/>
        <v>0.024579032978713538</v>
      </c>
    </row>
    <row r="4460" spans="8:8">
      <c r="G4460" s="9">
        <v>4457.0</v>
      </c>
      <c r="H4460" s="10">
        <f t="shared" si="111"/>
        <v>-0.0011391615669265288</v>
      </c>
    </row>
    <row r="4461" spans="8:8">
      <c r="G4461" s="9">
        <v>4458.0</v>
      </c>
      <c r="H4461" s="10">
        <f t="shared" si="111"/>
        <v>0.005879438682774352</v>
      </c>
    </row>
    <row r="4462" spans="8:8">
      <c r="G4462" s="9">
        <v>4459.0</v>
      </c>
      <c r="H4462" s="10">
        <f t="shared" si="111"/>
        <v>0.005648426416211093</v>
      </c>
    </row>
    <row r="4463" spans="8:8">
      <c r="G4463" s="9">
        <v>4460.0</v>
      </c>
      <c r="H4463" s="10">
        <f t="shared" si="111"/>
        <v>0.023674019792056154</v>
      </c>
    </row>
    <row r="4464" spans="8:8">
      <c r="G4464" s="9">
        <v>4461.0</v>
      </c>
      <c r="H4464" s="10">
        <f t="shared" si="111"/>
        <v>0.010309495680310782</v>
      </c>
    </row>
    <row r="4465" spans="8:8">
      <c r="G4465" s="9">
        <v>4462.0</v>
      </c>
      <c r="H4465" s="10">
        <f t="shared" si="111"/>
        <v>-0.005374685045528235</v>
      </c>
    </row>
    <row r="4466" spans="8:8">
      <c r="G4466" s="9">
        <v>4463.0</v>
      </c>
      <c r="H4466" s="10">
        <f t="shared" si="111"/>
        <v>-0.012335455650988095</v>
      </c>
    </row>
    <row r="4467" spans="8:8">
      <c r="G4467" s="9">
        <v>4464.0</v>
      </c>
      <c r="H4467" s="10">
        <f t="shared" si="111"/>
        <v>-0.01150969916753591</v>
      </c>
    </row>
    <row r="4468" spans="8:8">
      <c r="G4468" s="9">
        <v>4465.0</v>
      </c>
      <c r="H4468" s="10">
        <f t="shared" si="111"/>
        <v>0.013401102408715497</v>
      </c>
    </row>
    <row r="4469" spans="8:8">
      <c r="G4469" s="9">
        <v>4466.0</v>
      </c>
      <c r="H4469" s="10">
        <f t="shared" si="111"/>
        <v>-0.007861685392196692</v>
      </c>
    </row>
    <row r="4470" spans="8:8">
      <c r="G4470" s="9">
        <v>4467.0</v>
      </c>
      <c r="H4470" s="10">
        <f t="shared" si="111"/>
        <v>-0.01411728917714709</v>
      </c>
    </row>
    <row r="4471" spans="8:8">
      <c r="G4471" s="9">
        <v>4468.0</v>
      </c>
      <c r="H4471" s="10">
        <f t="shared" si="111"/>
        <v>0.008139032713631845</v>
      </c>
    </row>
    <row r="4472" spans="8:8">
      <c r="G4472" s="9">
        <v>4469.0</v>
      </c>
      <c r="H4472" s="10">
        <f t="shared" si="111"/>
        <v>0.011055607556231653</v>
      </c>
    </row>
    <row r="4473" spans="8:8">
      <c r="G4473" s="9">
        <v>4470.0</v>
      </c>
      <c r="H4473" s="10">
        <f t="shared" si="111"/>
        <v>0.01907635959607845</v>
      </c>
    </row>
    <row r="4474" spans="8:8">
      <c r="G4474" s="9">
        <v>4471.0</v>
      </c>
      <c r="H4474" s="10">
        <f t="shared" si="111"/>
        <v>-0.004881359798981398</v>
      </c>
    </row>
    <row r="4475" spans="8:8">
      <c r="G4475" s="9">
        <v>4472.0</v>
      </c>
      <c r="H4475" s="10">
        <f t="shared" si="111"/>
        <v>0.02899160122351046</v>
      </c>
    </row>
    <row r="4476" spans="8:8">
      <c r="G4476" s="9">
        <v>4473.0</v>
      </c>
      <c r="H4476" s="10">
        <f t="shared" si="111"/>
        <v>0.00589821578721666</v>
      </c>
    </row>
    <row r="4477" spans="8:8">
      <c r="G4477" s="9">
        <v>4474.0</v>
      </c>
      <c r="H4477" s="10">
        <f t="shared" si="111"/>
        <v>0.01629642837678742</v>
      </c>
    </row>
    <row r="4478" spans="8:8">
      <c r="G4478" s="9">
        <v>4475.0</v>
      </c>
      <c r="H4478" s="10">
        <f t="shared" si="111"/>
        <v>-0.001386668978515272</v>
      </c>
    </row>
    <row r="4479" spans="8:8">
      <c r="G4479" s="9">
        <v>4476.0</v>
      </c>
      <c r="H4479" s="10">
        <f t="shared" si="111"/>
        <v>0.01702411985787078</v>
      </c>
    </row>
    <row r="4480" spans="8:8">
      <c r="G4480" s="9">
        <v>4477.0</v>
      </c>
      <c r="H4480" s="10">
        <f t="shared" si="111"/>
        <v>0.00433527794237844</v>
      </c>
    </row>
    <row r="4481" spans="8:8">
      <c r="G4481" s="9">
        <v>4478.0</v>
      </c>
      <c r="H4481" s="10">
        <f t="shared" si="111"/>
        <v>-0.0033385912431653803</v>
      </c>
    </row>
    <row r="4482" spans="8:8">
      <c r="G4482" s="9">
        <v>4479.0</v>
      </c>
      <c r="H4482" s="10">
        <f t="shared" si="111"/>
        <v>0.007454531232671571</v>
      </c>
    </row>
    <row r="4483" spans="8:8">
      <c r="G4483" s="9">
        <v>4480.0</v>
      </c>
      <c r="H4483" s="10">
        <f t="shared" si="111"/>
        <v>-0.013949379971976657</v>
      </c>
    </row>
    <row r="4484" spans="8:8">
      <c r="G4484" s="9">
        <v>4481.0</v>
      </c>
      <c r="H4484" s="10">
        <f t="shared" si="111"/>
        <v>-0.007034831673495049</v>
      </c>
    </row>
    <row r="4485" spans="8:8">
      <c r="G4485" s="9">
        <v>4482.0</v>
      </c>
      <c r="H4485" s="10">
        <f t="shared" si="112" ref="H4485:H4548">_xlfn.NORM.INV(RAND(),N$6,N$7)</f>
        <v>0.002809500526020193</v>
      </c>
    </row>
    <row r="4486" spans="8:8">
      <c r="G4486" s="9">
        <v>4483.0</v>
      </c>
      <c r="H4486" s="10">
        <f t="shared" si="112"/>
        <v>0.012424935407065404</v>
      </c>
    </row>
    <row r="4487" spans="8:8">
      <c r="G4487" s="9">
        <v>4484.0</v>
      </c>
      <c r="H4487" s="10">
        <f t="shared" si="112"/>
        <v>0.00527112935491069</v>
      </c>
    </row>
    <row r="4488" spans="8:8">
      <c r="G4488" s="9">
        <v>4485.0</v>
      </c>
      <c r="H4488" s="10">
        <f t="shared" si="112"/>
        <v>0.009315618500808</v>
      </c>
    </row>
    <row r="4489" spans="8:8">
      <c r="G4489" s="9">
        <v>4486.0</v>
      </c>
      <c r="H4489" s="10">
        <f t="shared" si="112"/>
        <v>0.005043588363720123</v>
      </c>
    </row>
    <row r="4490" spans="8:8">
      <c r="G4490" s="9">
        <v>4487.0</v>
      </c>
      <c r="H4490" s="10">
        <f t="shared" si="112"/>
        <v>-0.007484999738142377</v>
      </c>
    </row>
    <row r="4491" spans="8:8">
      <c r="G4491" s="9">
        <v>4488.0</v>
      </c>
      <c r="H4491" s="10">
        <f t="shared" si="112"/>
        <v>-0.011199655671546085</v>
      </c>
    </row>
    <row r="4492" spans="8:8">
      <c r="G4492" s="9">
        <v>4489.0</v>
      </c>
      <c r="H4492" s="10">
        <f t="shared" si="112"/>
        <v>0.013355923312300594</v>
      </c>
    </row>
    <row r="4493" spans="8:8">
      <c r="G4493" s="9">
        <v>4490.0</v>
      </c>
      <c r="H4493" s="10">
        <f t="shared" si="112"/>
        <v>0.002663802533465256</v>
      </c>
    </row>
    <row r="4494" spans="8:8">
      <c r="G4494" s="9">
        <v>4491.0</v>
      </c>
      <c r="H4494" s="10">
        <f t="shared" si="112"/>
        <v>-0.0023187987431980946</v>
      </c>
    </row>
    <row r="4495" spans="8:8">
      <c r="G4495" s="9">
        <v>4492.0</v>
      </c>
      <c r="H4495" s="10">
        <f t="shared" si="112"/>
        <v>-0.00845815352355871</v>
      </c>
    </row>
    <row r="4496" spans="8:8">
      <c r="G4496" s="9">
        <v>4493.0</v>
      </c>
      <c r="H4496" s="10">
        <f t="shared" si="112"/>
        <v>0.0025978247092991865</v>
      </c>
    </row>
    <row r="4497" spans="8:8">
      <c r="G4497" s="9">
        <v>4494.0</v>
      </c>
      <c r="H4497" s="10">
        <f t="shared" si="112"/>
        <v>0.01554010431818836</v>
      </c>
    </row>
    <row r="4498" spans="8:8">
      <c r="G4498" s="9">
        <v>4495.0</v>
      </c>
      <c r="H4498" s="10">
        <f t="shared" si="112"/>
        <v>-0.004642536702725702</v>
      </c>
    </row>
    <row r="4499" spans="8:8">
      <c r="G4499" s="9">
        <v>4496.0</v>
      </c>
      <c r="H4499" s="10">
        <f t="shared" si="112"/>
        <v>0.004846059627325437</v>
      </c>
    </row>
    <row r="4500" spans="8:8">
      <c r="G4500" s="9">
        <v>4497.0</v>
      </c>
      <c r="H4500" s="10">
        <f t="shared" si="112"/>
        <v>0.00815155220019887</v>
      </c>
    </row>
    <row r="4501" spans="8:8">
      <c r="G4501" s="9">
        <v>4498.0</v>
      </c>
      <c r="H4501" s="10">
        <f t="shared" si="112"/>
        <v>0.013474727109259465</v>
      </c>
    </row>
    <row r="4502" spans="8:8">
      <c r="G4502" s="9">
        <v>4499.0</v>
      </c>
      <c r="H4502" s="10">
        <f t="shared" si="112"/>
        <v>8.056376067794571E-4</v>
      </c>
    </row>
    <row r="4503" spans="8:8">
      <c r="G4503" s="9">
        <v>4500.0</v>
      </c>
      <c r="H4503" s="10">
        <f t="shared" si="112"/>
        <v>0.022616977643549453</v>
      </c>
    </row>
    <row r="4504" spans="8:8">
      <c r="G4504" s="9">
        <v>4501.0</v>
      </c>
      <c r="H4504" s="10">
        <f t="shared" si="112"/>
        <v>-4.562167150650772E-4</v>
      </c>
    </row>
    <row r="4505" spans="8:8">
      <c r="G4505" s="9">
        <v>4502.0</v>
      </c>
      <c r="H4505" s="10">
        <f t="shared" si="112"/>
        <v>-0.004791417873570851</v>
      </c>
    </row>
    <row r="4506" spans="8:8">
      <c r="G4506" s="9">
        <v>4503.0</v>
      </c>
      <c r="H4506" s="10">
        <f t="shared" si="112"/>
        <v>-0.0036127731536568187</v>
      </c>
    </row>
    <row r="4507" spans="8:8">
      <c r="G4507" s="9">
        <v>4504.0</v>
      </c>
      <c r="H4507" s="10">
        <f t="shared" si="112"/>
        <v>6.692123764802981E-4</v>
      </c>
    </row>
    <row r="4508" spans="8:8">
      <c r="G4508" s="9">
        <v>4505.0</v>
      </c>
      <c r="H4508" s="10">
        <f t="shared" si="112"/>
        <v>-0.010280281547012014</v>
      </c>
    </row>
    <row r="4509" spans="8:8">
      <c r="G4509" s="9">
        <v>4506.0</v>
      </c>
      <c r="H4509" s="10">
        <f t="shared" si="112"/>
        <v>0.01173711046341612</v>
      </c>
    </row>
    <row r="4510" spans="8:8">
      <c r="G4510" s="9">
        <v>4507.0</v>
      </c>
      <c r="H4510" s="10">
        <f t="shared" si="112"/>
        <v>0.00836902642747915</v>
      </c>
    </row>
    <row r="4511" spans="8:8">
      <c r="G4511" s="9">
        <v>4508.0</v>
      </c>
      <c r="H4511" s="10">
        <f t="shared" si="112"/>
        <v>-0.010331694250640112</v>
      </c>
    </row>
    <row r="4512" spans="8:8">
      <c r="G4512" s="9">
        <v>4509.0</v>
      </c>
      <c r="H4512" s="10">
        <f t="shared" si="112"/>
        <v>-2.9655735467683285E-4</v>
      </c>
    </row>
    <row r="4513" spans="8:8">
      <c r="G4513" s="9">
        <v>4510.0</v>
      </c>
      <c r="H4513" s="10">
        <f t="shared" si="112"/>
        <v>0.0020499590190622206</v>
      </c>
    </row>
    <row r="4514" spans="8:8">
      <c r="G4514" s="9">
        <v>4511.0</v>
      </c>
      <c r="H4514" s="10">
        <f t="shared" si="112"/>
        <v>0.003276937613559922</v>
      </c>
    </row>
    <row r="4515" spans="8:8">
      <c r="G4515" s="9">
        <v>4512.0</v>
      </c>
      <c r="H4515" s="10">
        <f t="shared" si="112"/>
        <v>0.01875586381504055</v>
      </c>
    </row>
    <row r="4516" spans="8:8">
      <c r="G4516" s="9">
        <v>4513.0</v>
      </c>
      <c r="H4516" s="10">
        <f t="shared" si="112"/>
        <v>-0.00599231076732152</v>
      </c>
    </row>
    <row r="4517" spans="8:8">
      <c r="G4517" s="9">
        <v>4514.0</v>
      </c>
      <c r="H4517" s="10">
        <f t="shared" si="112"/>
        <v>0.0046931706824964985</v>
      </c>
    </row>
    <row r="4518" spans="8:8">
      <c r="G4518" s="9">
        <v>4515.0</v>
      </c>
      <c r="H4518" s="10">
        <f t="shared" si="112"/>
        <v>9.22076300014871E-4</v>
      </c>
    </row>
    <row r="4519" spans="8:8">
      <c r="G4519" s="9">
        <v>4516.0</v>
      </c>
      <c r="H4519" s="10">
        <f t="shared" si="112"/>
        <v>0.02450307411869001</v>
      </c>
    </row>
    <row r="4520" spans="8:8">
      <c r="G4520" s="9">
        <v>4517.0</v>
      </c>
      <c r="H4520" s="10">
        <f t="shared" si="112"/>
        <v>0.004864492938771073</v>
      </c>
    </row>
    <row r="4521" spans="8:8">
      <c r="G4521" s="9">
        <v>4518.0</v>
      </c>
      <c r="H4521" s="10">
        <f t="shared" si="112"/>
        <v>0.010366291720035174</v>
      </c>
    </row>
    <row r="4522" spans="8:8">
      <c r="G4522" s="9">
        <v>4519.0</v>
      </c>
      <c r="H4522" s="10">
        <f t="shared" si="112"/>
        <v>-0.006440196979771324</v>
      </c>
    </row>
    <row r="4523" spans="8:8">
      <c r="G4523" s="9">
        <v>4520.0</v>
      </c>
      <c r="H4523" s="10">
        <f t="shared" si="112"/>
        <v>-0.004922928773478775</v>
      </c>
    </row>
    <row r="4524" spans="8:8">
      <c r="G4524" s="9">
        <v>4521.0</v>
      </c>
      <c r="H4524" s="10">
        <f t="shared" si="112"/>
        <v>-0.010989956313537448</v>
      </c>
    </row>
    <row r="4525" spans="8:8">
      <c r="G4525" s="9">
        <v>4522.0</v>
      </c>
      <c r="H4525" s="10">
        <f t="shared" si="112"/>
        <v>0.005478175572697909</v>
      </c>
    </row>
    <row r="4526" spans="8:8">
      <c r="G4526" s="9">
        <v>4523.0</v>
      </c>
      <c r="H4526" s="10">
        <f t="shared" si="112"/>
        <v>0.01300020476912286</v>
      </c>
    </row>
    <row r="4527" spans="8:8">
      <c r="G4527" s="9">
        <v>4524.0</v>
      </c>
      <c r="H4527" s="10">
        <f t="shared" si="112"/>
        <v>-5.058951240496084E-4</v>
      </c>
    </row>
    <row r="4528" spans="8:8">
      <c r="G4528" s="9">
        <v>4525.0</v>
      </c>
      <c r="H4528" s="10">
        <f t="shared" si="112"/>
        <v>-0.003826761312536243</v>
      </c>
    </row>
    <row r="4529" spans="8:8">
      <c r="G4529" s="9">
        <v>4526.0</v>
      </c>
      <c r="H4529" s="10">
        <f t="shared" si="112"/>
        <v>0.010974055300397755</v>
      </c>
    </row>
    <row r="4530" spans="8:8">
      <c r="G4530" s="9">
        <v>4527.0</v>
      </c>
      <c r="H4530" s="10">
        <f t="shared" si="112"/>
        <v>0.010896176908466856</v>
      </c>
    </row>
    <row r="4531" spans="8:8">
      <c r="G4531" s="9">
        <v>4528.0</v>
      </c>
      <c r="H4531" s="10">
        <f t="shared" si="112"/>
        <v>0.025960795233773207</v>
      </c>
    </row>
    <row r="4532" spans="8:8">
      <c r="G4532" s="9">
        <v>4529.0</v>
      </c>
      <c r="H4532" s="10">
        <f t="shared" si="112"/>
        <v>0.00842649400364217</v>
      </c>
    </row>
    <row r="4533" spans="8:8">
      <c r="G4533" s="9">
        <v>4530.0</v>
      </c>
      <c r="H4533" s="10">
        <f t="shared" si="112"/>
        <v>-0.018410504887891466</v>
      </c>
    </row>
    <row r="4534" spans="8:8">
      <c r="G4534" s="9">
        <v>4531.0</v>
      </c>
      <c r="H4534" s="10">
        <f t="shared" si="112"/>
        <v>0.013152565640552685</v>
      </c>
    </row>
    <row r="4535" spans="8:8">
      <c r="G4535" s="9">
        <v>4532.0</v>
      </c>
      <c r="H4535" s="10">
        <f t="shared" si="112"/>
        <v>-0.002276418055406397</v>
      </c>
    </row>
    <row r="4536" spans="8:8">
      <c r="G4536" s="9">
        <v>4533.0</v>
      </c>
      <c r="H4536" s="10">
        <f t="shared" si="112"/>
        <v>-0.003585564923951917</v>
      </c>
    </row>
    <row r="4537" spans="8:8">
      <c r="G4537" s="9">
        <v>4534.0</v>
      </c>
      <c r="H4537" s="10">
        <f t="shared" si="112"/>
        <v>0.004938245338326501</v>
      </c>
    </row>
    <row r="4538" spans="8:8">
      <c r="G4538" s="9">
        <v>4535.0</v>
      </c>
      <c r="H4538" s="10">
        <f t="shared" si="112"/>
        <v>0.0021196190934034123</v>
      </c>
    </row>
    <row r="4539" spans="8:8">
      <c r="G4539" s="9">
        <v>4536.0</v>
      </c>
      <c r="H4539" s="10">
        <f t="shared" si="112"/>
        <v>-0.013430445342561687</v>
      </c>
    </row>
    <row r="4540" spans="8:8">
      <c r="G4540" s="9">
        <v>4537.0</v>
      </c>
      <c r="H4540" s="10">
        <f t="shared" si="112"/>
        <v>0.012829596482912965</v>
      </c>
    </row>
    <row r="4541" spans="8:8">
      <c r="G4541" s="9">
        <v>4538.0</v>
      </c>
      <c r="H4541" s="10">
        <f t="shared" si="112"/>
        <v>-0.003145109499311117</v>
      </c>
    </row>
    <row r="4542" spans="8:8">
      <c r="G4542" s="9">
        <v>4539.0</v>
      </c>
      <c r="H4542" s="10">
        <f t="shared" si="112"/>
        <v>0.015623191729665819</v>
      </c>
    </row>
    <row r="4543" spans="8:8">
      <c r="G4543" s="9">
        <v>4540.0</v>
      </c>
      <c r="H4543" s="10">
        <f t="shared" si="112"/>
        <v>0.01732410315167906</v>
      </c>
    </row>
    <row r="4544" spans="8:8">
      <c r="G4544" s="9">
        <v>4541.0</v>
      </c>
      <c r="H4544" s="10">
        <f t="shared" si="112"/>
        <v>0.00664166926374558</v>
      </c>
    </row>
    <row r="4545" spans="8:8">
      <c r="G4545" s="9">
        <v>4542.0</v>
      </c>
      <c r="H4545" s="10">
        <f t="shared" si="112"/>
        <v>-0.004562846919873174</v>
      </c>
    </row>
    <row r="4546" spans="8:8">
      <c r="G4546" s="9">
        <v>4543.0</v>
      </c>
      <c r="H4546" s="10">
        <f t="shared" si="112"/>
        <v>0.008811459118600316</v>
      </c>
    </row>
    <row r="4547" spans="8:8">
      <c r="G4547" s="9">
        <v>4544.0</v>
      </c>
      <c r="H4547" s="10">
        <f t="shared" si="112"/>
        <v>0.002082357077173605</v>
      </c>
    </row>
    <row r="4548" spans="8:8">
      <c r="G4548" s="9">
        <v>4545.0</v>
      </c>
      <c r="H4548" s="10">
        <f t="shared" si="112"/>
        <v>0.014990567977622004</v>
      </c>
    </row>
    <row r="4549" spans="8:8">
      <c r="G4549" s="9">
        <v>4546.0</v>
      </c>
      <c r="H4549" s="10">
        <f t="shared" si="113" ref="H4549:H4612">_xlfn.NORM.INV(RAND(),N$6,N$7)</f>
        <v>9.213765482996667E-5</v>
      </c>
    </row>
    <row r="4550" spans="8:8">
      <c r="G4550" s="9">
        <v>4547.0</v>
      </c>
      <c r="H4550" s="10">
        <f t="shared" si="113"/>
        <v>-0.0035541487885183444</v>
      </c>
    </row>
    <row r="4551" spans="8:8">
      <c r="G4551" s="9">
        <v>4548.0</v>
      </c>
      <c r="H4551" s="10">
        <f t="shared" si="113"/>
        <v>0.01289995243248742</v>
      </c>
    </row>
    <row r="4552" spans="8:8">
      <c r="G4552" s="9">
        <v>4549.0</v>
      </c>
      <c r="H4552" s="10">
        <f t="shared" si="113"/>
        <v>0.00445028764892854</v>
      </c>
    </row>
    <row r="4553" spans="8:8">
      <c r="G4553" s="9">
        <v>4550.0</v>
      </c>
      <c r="H4553" s="10">
        <f t="shared" si="113"/>
        <v>0.0025747631115441948</v>
      </c>
    </row>
    <row r="4554" spans="8:8">
      <c r="G4554" s="9">
        <v>4551.0</v>
      </c>
      <c r="H4554" s="10">
        <f t="shared" si="113"/>
        <v>-0.01454915365302573</v>
      </c>
    </row>
    <row r="4555" spans="8:8">
      <c r="G4555" s="9">
        <v>4552.0</v>
      </c>
      <c r="H4555" s="10">
        <f t="shared" si="113"/>
        <v>0.00993662439850427</v>
      </c>
    </row>
    <row r="4556" spans="8:8">
      <c r="G4556" s="9">
        <v>4553.0</v>
      </c>
      <c r="H4556" s="10">
        <f t="shared" si="113"/>
        <v>0.013921131651429542</v>
      </c>
    </row>
    <row r="4557" spans="8:8">
      <c r="G4557" s="9">
        <v>4554.0</v>
      </c>
      <c r="H4557" s="10">
        <f t="shared" si="113"/>
        <v>-0.008992875119823999</v>
      </c>
    </row>
    <row r="4558" spans="8:8">
      <c r="G4558" s="9">
        <v>4555.0</v>
      </c>
      <c r="H4558" s="10">
        <f t="shared" si="113"/>
        <v>0.031745716729295784</v>
      </c>
    </row>
    <row r="4559" spans="8:8">
      <c r="G4559" s="9">
        <v>4556.0</v>
      </c>
      <c r="H4559" s="10">
        <f t="shared" si="113"/>
        <v>0.0022644121248417423</v>
      </c>
    </row>
    <row r="4560" spans="8:8">
      <c r="G4560" s="9">
        <v>4557.0</v>
      </c>
      <c r="H4560" s="10">
        <f t="shared" si="113"/>
        <v>-0.002560480187524445</v>
      </c>
    </row>
    <row r="4561" spans="8:8">
      <c r="G4561" s="9">
        <v>4558.0</v>
      </c>
      <c r="H4561" s="10">
        <f t="shared" si="113"/>
        <v>-0.004621178876245875</v>
      </c>
    </row>
    <row r="4562" spans="8:8">
      <c r="G4562" s="9">
        <v>4559.0</v>
      </c>
      <c r="H4562" s="10">
        <f t="shared" si="113"/>
        <v>0.004248341332977458</v>
      </c>
    </row>
    <row r="4563" spans="8:8">
      <c r="G4563" s="9">
        <v>4560.0</v>
      </c>
      <c r="H4563" s="10">
        <f t="shared" si="113"/>
        <v>0.018441988934473273</v>
      </c>
    </row>
    <row r="4564" spans="8:8">
      <c r="G4564" s="9">
        <v>4561.0</v>
      </c>
      <c r="H4564" s="10">
        <f t="shared" si="113"/>
        <v>-0.005225181493404213</v>
      </c>
    </row>
    <row r="4565" spans="8:8">
      <c r="G4565" s="9">
        <v>4562.0</v>
      </c>
      <c r="H4565" s="10">
        <f t="shared" si="113"/>
        <v>-0.01040205591598855</v>
      </c>
    </row>
    <row r="4566" spans="8:8">
      <c r="G4566" s="9">
        <v>4563.0</v>
      </c>
      <c r="H4566" s="10">
        <f t="shared" si="113"/>
        <v>0.008938547074196262</v>
      </c>
    </row>
    <row r="4567" spans="8:8">
      <c r="G4567" s="9">
        <v>4564.0</v>
      </c>
      <c r="H4567" s="10">
        <f t="shared" si="113"/>
        <v>0.014861171047073872</v>
      </c>
    </row>
    <row r="4568" spans="8:8">
      <c r="G4568" s="9">
        <v>4565.0</v>
      </c>
      <c r="H4568" s="10">
        <f t="shared" si="113"/>
        <v>0.015009773343554692</v>
      </c>
    </row>
    <row r="4569" spans="8:8">
      <c r="G4569" s="9">
        <v>4566.0</v>
      </c>
      <c r="H4569" s="10">
        <f t="shared" si="113"/>
        <v>0.029775604347047693</v>
      </c>
    </row>
    <row r="4570" spans="8:8">
      <c r="G4570" s="9">
        <v>4567.0</v>
      </c>
      <c r="H4570" s="10">
        <f t="shared" si="113"/>
        <v>0.016776192736452724</v>
      </c>
    </row>
    <row r="4571" spans="8:8">
      <c r="G4571" s="9">
        <v>4568.0</v>
      </c>
      <c r="H4571" s="10">
        <f t="shared" si="113"/>
        <v>-0.006639890748018506</v>
      </c>
    </row>
    <row r="4572" spans="8:8">
      <c r="G4572" s="9">
        <v>4569.0</v>
      </c>
      <c r="H4572" s="10">
        <f t="shared" si="113"/>
        <v>-0.005356594650484588</v>
      </c>
    </row>
    <row r="4573" spans="8:8">
      <c r="G4573" s="9">
        <v>4570.0</v>
      </c>
      <c r="H4573" s="10">
        <f t="shared" si="113"/>
        <v>0.00135812907953902</v>
      </c>
    </row>
    <row r="4574" spans="8:8">
      <c r="G4574" s="9">
        <v>4571.0</v>
      </c>
      <c r="H4574" s="10">
        <f t="shared" si="113"/>
        <v>-0.009103914289026124</v>
      </c>
    </row>
    <row r="4575" spans="8:8">
      <c r="G4575" s="9">
        <v>4572.0</v>
      </c>
      <c r="H4575" s="10">
        <f t="shared" si="113"/>
        <v>-0.0036944296504546675</v>
      </c>
    </row>
    <row r="4576" spans="8:8">
      <c r="G4576" s="9">
        <v>4573.0</v>
      </c>
      <c r="H4576" s="10">
        <f t="shared" si="113"/>
        <v>-0.011816116847502545</v>
      </c>
    </row>
    <row r="4577" spans="8:8">
      <c r="G4577" s="9">
        <v>4574.0</v>
      </c>
      <c r="H4577" s="10">
        <f t="shared" si="113"/>
        <v>-9.637767113256741E-5</v>
      </c>
    </row>
    <row r="4578" spans="8:8">
      <c r="G4578" s="9">
        <v>4575.0</v>
      </c>
      <c r="H4578" s="10">
        <f t="shared" si="113"/>
        <v>-0.002891882937355323</v>
      </c>
    </row>
    <row r="4579" spans="8:8">
      <c r="G4579" s="9">
        <v>4576.0</v>
      </c>
      <c r="H4579" s="10">
        <f t="shared" si="113"/>
        <v>-0.0043469714433382696</v>
      </c>
    </row>
    <row r="4580" spans="8:8">
      <c r="G4580" s="9">
        <v>4577.0</v>
      </c>
      <c r="H4580" s="10">
        <f t="shared" si="113"/>
        <v>-0.015351761864942446</v>
      </c>
    </row>
    <row r="4581" spans="8:8">
      <c r="G4581" s="9">
        <v>4578.0</v>
      </c>
      <c r="H4581" s="10">
        <f t="shared" si="113"/>
        <v>0.030075163418917028</v>
      </c>
    </row>
    <row r="4582" spans="8:8">
      <c r="G4582" s="9">
        <v>4579.0</v>
      </c>
      <c r="H4582" s="10">
        <f t="shared" si="113"/>
        <v>0.013636254466268708</v>
      </c>
    </row>
    <row r="4583" spans="8:8">
      <c r="G4583" s="9">
        <v>4580.0</v>
      </c>
      <c r="H4583" s="10">
        <f t="shared" si="113"/>
        <v>-0.0091355642843053</v>
      </c>
    </row>
    <row r="4584" spans="8:8">
      <c r="G4584" s="9">
        <v>4581.0</v>
      </c>
      <c r="H4584" s="10">
        <f t="shared" si="113"/>
        <v>-0.0017503097890217622</v>
      </c>
    </row>
    <row r="4585" spans="8:8">
      <c r="G4585" s="9">
        <v>4582.0</v>
      </c>
      <c r="H4585" s="10">
        <f t="shared" si="113"/>
        <v>0.013186823213939453</v>
      </c>
    </row>
    <row r="4586" spans="8:8">
      <c r="G4586" s="9">
        <v>4583.0</v>
      </c>
      <c r="H4586" s="10">
        <f t="shared" si="113"/>
        <v>0.026713017674598438</v>
      </c>
    </row>
    <row r="4587" spans="8:8">
      <c r="G4587" s="9">
        <v>4584.0</v>
      </c>
      <c r="H4587" s="10">
        <f t="shared" si="113"/>
        <v>0.005827869173286013</v>
      </c>
    </row>
    <row r="4588" spans="8:8">
      <c r="G4588" s="9">
        <v>4585.0</v>
      </c>
      <c r="H4588" s="10">
        <f t="shared" si="113"/>
        <v>0.004601086009550041</v>
      </c>
    </row>
    <row r="4589" spans="8:8">
      <c r="G4589" s="9">
        <v>4586.0</v>
      </c>
      <c r="H4589" s="10">
        <f t="shared" si="113"/>
        <v>-0.009480449008235081</v>
      </c>
    </row>
    <row r="4590" spans="8:8">
      <c r="G4590" s="9">
        <v>4587.0</v>
      </c>
      <c r="H4590" s="10">
        <f t="shared" si="113"/>
        <v>-0.01711546974784436</v>
      </c>
    </row>
    <row r="4591" spans="8:8">
      <c r="G4591" s="9">
        <v>4588.0</v>
      </c>
      <c r="H4591" s="10">
        <f t="shared" si="113"/>
        <v>-0.017861900671769328</v>
      </c>
    </row>
    <row r="4592" spans="8:8">
      <c r="G4592" s="9">
        <v>4589.0</v>
      </c>
      <c r="H4592" s="10">
        <f t="shared" si="113"/>
        <v>-0.01797630394755176</v>
      </c>
    </row>
    <row r="4593" spans="8:8">
      <c r="G4593" s="9">
        <v>4590.0</v>
      </c>
      <c r="H4593" s="10">
        <f t="shared" si="113"/>
        <v>-0.020148535117324715</v>
      </c>
    </row>
    <row r="4594" spans="8:8">
      <c r="G4594" s="9">
        <v>4591.0</v>
      </c>
      <c r="H4594" s="10">
        <f t="shared" si="113"/>
        <v>0.005740045116776388</v>
      </c>
    </row>
    <row r="4595" spans="8:8">
      <c r="G4595" s="9">
        <v>4592.0</v>
      </c>
      <c r="H4595" s="10">
        <f t="shared" si="113"/>
        <v>-0.026458627339294338</v>
      </c>
    </row>
    <row r="4596" spans="8:8">
      <c r="G4596" s="9">
        <v>4593.0</v>
      </c>
      <c r="H4596" s="10">
        <f t="shared" si="113"/>
        <v>0.011027405656210023</v>
      </c>
    </row>
    <row r="4597" spans="8:8">
      <c r="G4597" s="9">
        <v>4594.0</v>
      </c>
      <c r="H4597" s="10">
        <f t="shared" si="113"/>
        <v>-0.008163709851213976</v>
      </c>
    </row>
    <row r="4598" spans="8:8">
      <c r="G4598" s="9">
        <v>4595.0</v>
      </c>
      <c r="H4598" s="10">
        <f t="shared" si="113"/>
        <v>-0.013634688642394362</v>
      </c>
    </row>
    <row r="4599" spans="8:8">
      <c r="G4599" s="9">
        <v>4596.0</v>
      </c>
      <c r="H4599" s="10">
        <f t="shared" si="113"/>
        <v>-1.6816575449887447E-4</v>
      </c>
    </row>
    <row r="4600" spans="8:8">
      <c r="G4600" s="9">
        <v>4597.0</v>
      </c>
      <c r="H4600" s="10">
        <f t="shared" si="113"/>
        <v>-8.2317891655493E-4</v>
      </c>
    </row>
    <row r="4601" spans="8:8">
      <c r="G4601" s="9">
        <v>4598.0</v>
      </c>
      <c r="H4601" s="10">
        <f t="shared" si="113"/>
        <v>0.019569771278291456</v>
      </c>
    </row>
    <row r="4602" spans="8:8">
      <c r="G4602" s="9">
        <v>4599.0</v>
      </c>
      <c r="H4602" s="10">
        <f t="shared" si="113"/>
        <v>-0.006413861006786678</v>
      </c>
    </row>
    <row r="4603" spans="8:8">
      <c r="G4603" s="9">
        <v>4600.0</v>
      </c>
      <c r="H4603" s="10">
        <f t="shared" si="113"/>
        <v>-5.786484535119851E-4</v>
      </c>
    </row>
    <row r="4604" spans="8:8">
      <c r="G4604" s="9">
        <v>4601.0</v>
      </c>
      <c r="H4604" s="10">
        <f t="shared" si="113"/>
        <v>-0.010234265756929043</v>
      </c>
    </row>
    <row r="4605" spans="8:8">
      <c r="G4605" s="9">
        <v>4602.0</v>
      </c>
      <c r="H4605" s="10">
        <f t="shared" si="113"/>
        <v>0.022115545105525453</v>
      </c>
    </row>
    <row r="4606" spans="8:8">
      <c r="G4606" s="9">
        <v>4603.0</v>
      </c>
      <c r="H4606" s="10">
        <f t="shared" si="113"/>
        <v>-0.006879960460326107</v>
      </c>
    </row>
    <row r="4607" spans="8:8">
      <c r="G4607" s="9">
        <v>4604.0</v>
      </c>
      <c r="H4607" s="10">
        <f t="shared" si="113"/>
        <v>0.034949882279690404</v>
      </c>
    </row>
    <row r="4608" spans="8:8">
      <c r="G4608" s="9">
        <v>4605.0</v>
      </c>
      <c r="H4608" s="10">
        <f t="shared" si="113"/>
        <v>-0.011034640196217069</v>
      </c>
    </row>
    <row r="4609" spans="8:8">
      <c r="G4609" s="9">
        <v>4606.0</v>
      </c>
      <c r="H4609" s="10">
        <f t="shared" si="113"/>
        <v>-0.0020095375070502486</v>
      </c>
    </row>
    <row r="4610" spans="8:8">
      <c r="G4610" s="9">
        <v>4607.0</v>
      </c>
      <c r="H4610" s="10">
        <f t="shared" si="113"/>
        <v>0.0066768028616413875</v>
      </c>
    </row>
    <row r="4611" spans="8:8">
      <c r="G4611" s="9">
        <v>4608.0</v>
      </c>
      <c r="H4611" s="10">
        <f t="shared" si="113"/>
        <v>0.0244887242719965</v>
      </c>
    </row>
    <row r="4612" spans="8:8">
      <c r="G4612" s="9">
        <v>4609.0</v>
      </c>
      <c r="H4612" s="10">
        <f t="shared" si="113"/>
        <v>0.02064426869200205</v>
      </c>
    </row>
    <row r="4613" spans="8:8">
      <c r="G4613" s="9">
        <v>4610.0</v>
      </c>
      <c r="H4613" s="10">
        <f t="shared" si="114" ref="H4613:H4676">_xlfn.NORM.INV(RAND(),N$6,N$7)</f>
        <v>0.0186016374193439</v>
      </c>
    </row>
    <row r="4614" spans="8:8">
      <c r="G4614" s="9">
        <v>4611.0</v>
      </c>
      <c r="H4614" s="10">
        <f t="shared" si="114"/>
        <v>0.009402314368937627</v>
      </c>
    </row>
    <row r="4615" spans="8:8">
      <c r="G4615" s="9">
        <v>4612.0</v>
      </c>
      <c r="H4615" s="10">
        <f t="shared" si="114"/>
        <v>0.030698839763388722</v>
      </c>
    </row>
    <row r="4616" spans="8:8">
      <c r="G4616" s="9">
        <v>4613.0</v>
      </c>
      <c r="H4616" s="10">
        <f t="shared" si="114"/>
        <v>0.02210287402910575</v>
      </c>
    </row>
    <row r="4617" spans="8:8">
      <c r="G4617" s="9">
        <v>4614.0</v>
      </c>
      <c r="H4617" s="10">
        <f t="shared" si="114"/>
        <v>-0.002998844292396531</v>
      </c>
    </row>
    <row r="4618" spans="8:8">
      <c r="G4618" s="9">
        <v>4615.0</v>
      </c>
      <c r="H4618" s="10">
        <f t="shared" si="114"/>
        <v>-0.0020307422905429104</v>
      </c>
    </row>
    <row r="4619" spans="8:8">
      <c r="G4619" s="9">
        <v>4616.0</v>
      </c>
      <c r="H4619" s="10">
        <f t="shared" si="114"/>
        <v>0.009119546538469584</v>
      </c>
    </row>
    <row r="4620" spans="8:8">
      <c r="G4620" s="9">
        <v>4617.0</v>
      </c>
      <c r="H4620" s="10">
        <f t="shared" si="114"/>
        <v>-8.691277116443892E-4</v>
      </c>
    </row>
    <row r="4621" spans="8:8">
      <c r="G4621" s="9">
        <v>4618.0</v>
      </c>
      <c r="H4621" s="10">
        <f t="shared" si="114"/>
        <v>-0.0038040185009160406</v>
      </c>
    </row>
    <row r="4622" spans="8:8">
      <c r="G4622" s="9">
        <v>4619.0</v>
      </c>
      <c r="H4622" s="10">
        <f t="shared" si="114"/>
        <v>-0.011411605181673567</v>
      </c>
    </row>
    <row r="4623" spans="8:8">
      <c r="G4623" s="9">
        <v>4620.0</v>
      </c>
      <c r="H4623" s="10">
        <f t="shared" si="114"/>
        <v>-0.011938918718606684</v>
      </c>
    </row>
    <row r="4624" spans="8:8">
      <c r="G4624" s="9">
        <v>4621.0</v>
      </c>
      <c r="H4624" s="10">
        <f t="shared" si="114"/>
        <v>0.008774959219196982</v>
      </c>
    </row>
    <row r="4625" spans="8:8">
      <c r="G4625" s="9">
        <v>4622.0</v>
      </c>
      <c r="H4625" s="10">
        <f t="shared" si="114"/>
        <v>-0.009200411571743856</v>
      </c>
    </row>
    <row r="4626" spans="8:8">
      <c r="G4626" s="9">
        <v>4623.0</v>
      </c>
      <c r="H4626" s="10">
        <f t="shared" si="114"/>
        <v>0.015601093261418314</v>
      </c>
    </row>
    <row r="4627" spans="8:8">
      <c r="G4627" s="9">
        <v>4624.0</v>
      </c>
      <c r="H4627" s="10">
        <f t="shared" si="114"/>
        <v>0.03399171274757504</v>
      </c>
    </row>
    <row r="4628" spans="8:8">
      <c r="G4628" s="9">
        <v>4625.0</v>
      </c>
      <c r="H4628" s="10">
        <f t="shared" si="114"/>
        <v>-0.0035957636954554754</v>
      </c>
    </row>
    <row r="4629" spans="8:8">
      <c r="G4629" s="9">
        <v>4626.0</v>
      </c>
      <c r="H4629" s="10">
        <f t="shared" si="114"/>
        <v>-0.005617099087945938</v>
      </c>
    </row>
    <row r="4630" spans="8:8">
      <c r="G4630" s="9">
        <v>4627.0</v>
      </c>
      <c r="H4630" s="10">
        <f t="shared" si="114"/>
        <v>-0.00819838286018234</v>
      </c>
    </row>
    <row r="4631" spans="8:8">
      <c r="G4631" s="9">
        <v>4628.0</v>
      </c>
      <c r="H4631" s="10">
        <f t="shared" si="114"/>
        <v>-0.023932068696866187</v>
      </c>
    </row>
    <row r="4632" spans="8:8">
      <c r="G4632" s="9">
        <v>4629.0</v>
      </c>
      <c r="H4632" s="10">
        <f t="shared" si="114"/>
        <v>-0.0042283002711736035</v>
      </c>
    </row>
    <row r="4633" spans="8:8">
      <c r="G4633" s="9">
        <v>4630.0</v>
      </c>
      <c r="H4633" s="10">
        <f t="shared" si="114"/>
        <v>-0.004321597970099269</v>
      </c>
    </row>
    <row r="4634" spans="8:8">
      <c r="G4634" s="9">
        <v>4631.0</v>
      </c>
      <c r="H4634" s="10">
        <f t="shared" si="114"/>
        <v>-0.0025465276852962328</v>
      </c>
    </row>
    <row r="4635" spans="8:8">
      <c r="G4635" s="9">
        <v>4632.0</v>
      </c>
      <c r="H4635" s="10">
        <f t="shared" si="114"/>
        <v>0.02337889887355493</v>
      </c>
    </row>
    <row r="4636" spans="8:8">
      <c r="G4636" s="9">
        <v>4633.0</v>
      </c>
      <c r="H4636" s="10">
        <f t="shared" si="114"/>
        <v>0.010012962771637199</v>
      </c>
    </row>
    <row r="4637" spans="8:8">
      <c r="G4637" s="9">
        <v>4634.0</v>
      </c>
      <c r="H4637" s="10">
        <f t="shared" si="114"/>
        <v>0.02681870340614095</v>
      </c>
    </row>
    <row r="4638" spans="8:8">
      <c r="G4638" s="9">
        <v>4635.0</v>
      </c>
      <c r="H4638" s="10">
        <f t="shared" si="114"/>
        <v>0.003780155953487244</v>
      </c>
    </row>
    <row r="4639" spans="8:8">
      <c r="G4639" s="9">
        <v>4636.0</v>
      </c>
      <c r="H4639" s="10">
        <f t="shared" si="114"/>
        <v>0.016292370550783496</v>
      </c>
    </row>
    <row r="4640" spans="8:8">
      <c r="G4640" s="9">
        <v>4637.0</v>
      </c>
      <c r="H4640" s="10">
        <f t="shared" si="114"/>
        <v>-0.010062764200802966</v>
      </c>
    </row>
    <row r="4641" spans="8:8">
      <c r="G4641" s="9">
        <v>4638.0</v>
      </c>
      <c r="H4641" s="10">
        <f t="shared" si="114"/>
        <v>0.014353831622137502</v>
      </c>
    </row>
    <row r="4642" spans="8:8">
      <c r="G4642" s="9">
        <v>4639.0</v>
      </c>
      <c r="H4642" s="10">
        <f t="shared" si="114"/>
        <v>0.016676446103220357</v>
      </c>
    </row>
    <row r="4643" spans="8:8">
      <c r="G4643" s="9">
        <v>4640.0</v>
      </c>
      <c r="H4643" s="10">
        <f t="shared" si="114"/>
        <v>0.0027773906007408475</v>
      </c>
    </row>
    <row r="4644" spans="8:8">
      <c r="G4644" s="9">
        <v>4641.0</v>
      </c>
      <c r="H4644" s="10">
        <f t="shared" si="114"/>
        <v>0.019539686166692067</v>
      </c>
    </row>
    <row r="4645" spans="8:8">
      <c r="G4645" s="9">
        <v>4642.0</v>
      </c>
      <c r="H4645" s="10">
        <f t="shared" si="114"/>
        <v>0.01805896223893242</v>
      </c>
    </row>
    <row r="4646" spans="8:8">
      <c r="G4646" s="9">
        <v>4643.0</v>
      </c>
      <c r="H4646" s="10">
        <f t="shared" si="114"/>
        <v>-0.0014716411275330007</v>
      </c>
    </row>
    <row r="4647" spans="8:8">
      <c r="G4647" s="9">
        <v>4644.0</v>
      </c>
      <c r="H4647" s="10">
        <f t="shared" si="114"/>
        <v>0.004304422930477675</v>
      </c>
    </row>
    <row r="4648" spans="8:8">
      <c r="G4648" s="9">
        <v>4645.0</v>
      </c>
      <c r="H4648" s="10">
        <f t="shared" si="114"/>
        <v>0.0030705716467562603</v>
      </c>
    </row>
    <row r="4649" spans="8:8">
      <c r="G4649" s="9">
        <v>4646.0</v>
      </c>
      <c r="H4649" s="10">
        <f t="shared" si="114"/>
        <v>-0.003763625648430082</v>
      </c>
    </row>
    <row r="4650" spans="8:8">
      <c r="G4650" s="9">
        <v>4647.0</v>
      </c>
      <c r="H4650" s="10">
        <f t="shared" si="114"/>
        <v>0.009776736332088136</v>
      </c>
    </row>
    <row r="4651" spans="8:8">
      <c r="G4651" s="9">
        <v>4648.0</v>
      </c>
      <c r="H4651" s="10">
        <f t="shared" si="114"/>
        <v>0.025799479891467466</v>
      </c>
    </row>
    <row r="4652" spans="8:8">
      <c r="G4652" s="9">
        <v>4649.0</v>
      </c>
      <c r="H4652" s="10">
        <f t="shared" si="114"/>
        <v>-0.005301450166238625</v>
      </c>
    </row>
    <row r="4653" spans="8:8">
      <c r="G4653" s="9">
        <v>4650.0</v>
      </c>
      <c r="H4653" s="10">
        <f t="shared" si="114"/>
        <v>0.015373968583602932</v>
      </c>
    </row>
    <row r="4654" spans="8:8">
      <c r="G4654" s="9">
        <v>4651.0</v>
      </c>
      <c r="H4654" s="10">
        <f t="shared" si="114"/>
        <v>0.01138963221861471</v>
      </c>
    </row>
    <row r="4655" spans="8:8">
      <c r="G4655" s="9">
        <v>4652.0</v>
      </c>
      <c r="H4655" s="10">
        <f t="shared" si="114"/>
        <v>0.017417579196204274</v>
      </c>
    </row>
    <row r="4656" spans="8:8">
      <c r="G4656" s="9">
        <v>4653.0</v>
      </c>
      <c r="H4656" s="10">
        <f t="shared" si="114"/>
        <v>0.0012435358686191324</v>
      </c>
    </row>
    <row r="4657" spans="8:8">
      <c r="G4657" s="9">
        <v>4654.0</v>
      </c>
      <c r="H4657" s="10">
        <f t="shared" si="114"/>
        <v>0.007504231416336011</v>
      </c>
    </row>
    <row r="4658" spans="8:8">
      <c r="G4658" s="9">
        <v>4655.0</v>
      </c>
      <c r="H4658" s="10">
        <f t="shared" si="114"/>
        <v>0.012742886481038267</v>
      </c>
    </row>
    <row r="4659" spans="8:8">
      <c r="G4659" s="9">
        <v>4656.0</v>
      </c>
      <c r="H4659" s="10">
        <f t="shared" si="114"/>
        <v>0.005994101965388182</v>
      </c>
    </row>
    <row r="4660" spans="8:8">
      <c r="G4660" s="9">
        <v>4657.0</v>
      </c>
      <c r="H4660" s="10">
        <f t="shared" si="114"/>
        <v>0.002095329066721894</v>
      </c>
    </row>
    <row r="4661" spans="8:8">
      <c r="G4661" s="9">
        <v>4658.0</v>
      </c>
      <c r="H4661" s="10">
        <f t="shared" si="114"/>
        <v>-0.023513471758874582</v>
      </c>
    </row>
    <row r="4662" spans="8:8">
      <c r="G4662" s="9">
        <v>4659.0</v>
      </c>
      <c r="H4662" s="10">
        <f t="shared" si="114"/>
        <v>0.011521121839090327</v>
      </c>
    </row>
    <row r="4663" spans="8:8">
      <c r="G4663" s="9">
        <v>4660.0</v>
      </c>
      <c r="H4663" s="10">
        <f t="shared" si="114"/>
        <v>0.015312506551854756</v>
      </c>
    </row>
    <row r="4664" spans="8:8">
      <c r="G4664" s="9">
        <v>4661.0</v>
      </c>
      <c r="H4664" s="10">
        <f t="shared" si="114"/>
        <v>0.024185424527437053</v>
      </c>
    </row>
    <row r="4665" spans="8:8">
      <c r="G4665" s="9">
        <v>4662.0</v>
      </c>
      <c r="H4665" s="10">
        <f t="shared" si="114"/>
        <v>0.013924593971526643</v>
      </c>
    </row>
    <row r="4666" spans="8:8">
      <c r="G4666" s="9">
        <v>4663.0</v>
      </c>
      <c r="H4666" s="10">
        <f t="shared" si="114"/>
        <v>0.009363540742642366</v>
      </c>
    </row>
    <row r="4667" spans="8:8">
      <c r="G4667" s="9">
        <v>4664.0</v>
      </c>
      <c r="H4667" s="10">
        <f t="shared" si="114"/>
        <v>0.009823282459409607</v>
      </c>
    </row>
    <row r="4668" spans="8:8">
      <c r="G4668" s="9">
        <v>4665.0</v>
      </c>
      <c r="H4668" s="10">
        <f t="shared" si="114"/>
        <v>-0.003701239937492942</v>
      </c>
    </row>
    <row r="4669" spans="8:8">
      <c r="G4669" s="9">
        <v>4666.0</v>
      </c>
      <c r="H4669" s="10">
        <f t="shared" si="114"/>
        <v>0.005615166616586056</v>
      </c>
    </row>
    <row r="4670" spans="8:8">
      <c r="G4670" s="9">
        <v>4667.0</v>
      </c>
      <c r="H4670" s="10">
        <f t="shared" si="114"/>
        <v>-0.00197227749591447</v>
      </c>
    </row>
    <row r="4671" spans="8:8">
      <c r="G4671" s="9">
        <v>4668.0</v>
      </c>
      <c r="H4671" s="10">
        <f t="shared" si="114"/>
        <v>0.0015464768293645117</v>
      </c>
    </row>
    <row r="4672" spans="8:8">
      <c r="G4672" s="9">
        <v>4669.0</v>
      </c>
      <c r="H4672" s="10">
        <f t="shared" si="114"/>
        <v>-0.006457363101965394</v>
      </c>
    </row>
    <row r="4673" spans="8:8">
      <c r="G4673" s="9">
        <v>4670.0</v>
      </c>
      <c r="H4673" s="10">
        <f t="shared" si="114"/>
        <v>-0.01203867306090953</v>
      </c>
    </row>
    <row r="4674" spans="8:8">
      <c r="G4674" s="9">
        <v>4671.0</v>
      </c>
      <c r="H4674" s="10">
        <f t="shared" si="114"/>
        <v>-0.013036086840481107</v>
      </c>
    </row>
    <row r="4675" spans="8:8">
      <c r="G4675" s="9">
        <v>4672.0</v>
      </c>
      <c r="H4675" s="10">
        <f t="shared" si="114"/>
        <v>0.014622120833669889</v>
      </c>
    </row>
    <row r="4676" spans="8:8">
      <c r="G4676" s="9">
        <v>4673.0</v>
      </c>
      <c r="H4676" s="10">
        <f t="shared" si="114"/>
        <v>0.009281037180544214</v>
      </c>
    </row>
    <row r="4677" spans="8:8">
      <c r="G4677" s="9">
        <v>4674.0</v>
      </c>
      <c r="H4677" s="10">
        <f t="shared" si="115" ref="H4677:H4740">_xlfn.NORM.INV(RAND(),N$6,N$7)</f>
        <v>-0.005484197182758361</v>
      </c>
    </row>
    <row r="4678" spans="8:8">
      <c r="G4678" s="9">
        <v>4675.0</v>
      </c>
      <c r="H4678" s="10">
        <f t="shared" si="115"/>
        <v>-0.01231630677682084</v>
      </c>
    </row>
    <row r="4679" spans="8:8">
      <c r="G4679" s="9">
        <v>4676.0</v>
      </c>
      <c r="H4679" s="10">
        <f t="shared" si="115"/>
        <v>0.008042145156521461</v>
      </c>
    </row>
    <row r="4680" spans="8:8">
      <c r="G4680" s="9">
        <v>4677.0</v>
      </c>
      <c r="H4680" s="10">
        <f t="shared" si="115"/>
        <v>0.013294584726916848</v>
      </c>
    </row>
    <row r="4681" spans="8:8">
      <c r="G4681" s="9">
        <v>4678.0</v>
      </c>
      <c r="H4681" s="10">
        <f t="shared" si="115"/>
        <v>0.006158927586480921</v>
      </c>
    </row>
    <row r="4682" spans="8:8">
      <c r="G4682" s="9">
        <v>4679.0</v>
      </c>
      <c r="H4682" s="10">
        <f t="shared" si="115"/>
        <v>-0.0034792534986892807</v>
      </c>
    </row>
    <row r="4683" spans="8:8">
      <c r="G4683" s="9">
        <v>4680.0</v>
      </c>
      <c r="H4683" s="10">
        <f t="shared" si="115"/>
        <v>-0.002289818304685421</v>
      </c>
    </row>
    <row r="4684" spans="8:8">
      <c r="G4684" s="9">
        <v>4681.0</v>
      </c>
      <c r="H4684" s="10">
        <f t="shared" si="115"/>
        <v>-0.0010832802326826724</v>
      </c>
    </row>
    <row r="4685" spans="8:8">
      <c r="G4685" s="9">
        <v>4682.0</v>
      </c>
      <c r="H4685" s="10">
        <f t="shared" si="115"/>
        <v>0.0074536375242047394</v>
      </c>
    </row>
    <row r="4686" spans="8:8">
      <c r="G4686" s="9">
        <v>4683.0</v>
      </c>
      <c r="H4686" s="10">
        <f t="shared" si="115"/>
        <v>0.010067019899181316</v>
      </c>
    </row>
    <row r="4687" spans="8:8">
      <c r="G4687" s="9">
        <v>4684.0</v>
      </c>
      <c r="H4687" s="10">
        <f t="shared" si="115"/>
        <v>0.01711905199085961</v>
      </c>
    </row>
    <row r="4688" spans="8:8">
      <c r="G4688" s="9">
        <v>4685.0</v>
      </c>
      <c r="H4688" s="10">
        <f t="shared" si="115"/>
        <v>-0.01249745353205018</v>
      </c>
    </row>
    <row r="4689" spans="8:8">
      <c r="G4689" s="9">
        <v>4686.0</v>
      </c>
      <c r="H4689" s="10">
        <f t="shared" si="115"/>
        <v>-0.014930021644251577</v>
      </c>
    </row>
    <row r="4690" spans="8:8">
      <c r="G4690" s="9">
        <v>4687.0</v>
      </c>
      <c r="H4690" s="10">
        <f t="shared" si="115"/>
        <v>0.030775173207159202</v>
      </c>
    </row>
    <row r="4691" spans="8:8">
      <c r="G4691" s="9">
        <v>4688.0</v>
      </c>
      <c r="H4691" s="10">
        <f t="shared" si="115"/>
        <v>-0.009229111535211332</v>
      </c>
    </row>
    <row r="4692" spans="8:8">
      <c r="G4692" s="9">
        <v>4689.0</v>
      </c>
      <c r="H4692" s="10">
        <f t="shared" si="115"/>
        <v>-0.006918714878577643</v>
      </c>
    </row>
    <row r="4693" spans="8:8">
      <c r="G4693" s="9">
        <v>4690.0</v>
      </c>
      <c r="H4693" s="10">
        <f t="shared" si="115"/>
        <v>0.012452120680629914</v>
      </c>
    </row>
    <row r="4694" spans="8:8">
      <c r="G4694" s="9">
        <v>4691.0</v>
      </c>
      <c r="H4694" s="10">
        <f t="shared" si="115"/>
        <v>-0.0022632963270390874</v>
      </c>
    </row>
    <row r="4695" spans="8:8">
      <c r="G4695" s="9">
        <v>4692.0</v>
      </c>
      <c r="H4695" s="10">
        <f t="shared" si="115"/>
        <v>0.019401402970423438</v>
      </c>
    </row>
    <row r="4696" spans="8:8">
      <c r="G4696" s="9">
        <v>4693.0</v>
      </c>
      <c r="H4696" s="10">
        <f t="shared" si="115"/>
        <v>-0.009647837824312104</v>
      </c>
    </row>
    <row r="4697" spans="8:8">
      <c r="G4697" s="9">
        <v>4694.0</v>
      </c>
      <c r="H4697" s="10">
        <f t="shared" si="115"/>
        <v>-0.004546205592161494</v>
      </c>
    </row>
    <row r="4698" spans="8:8">
      <c r="G4698" s="9">
        <v>4695.0</v>
      </c>
      <c r="H4698" s="10">
        <f t="shared" si="115"/>
        <v>-0.0034376278447241348</v>
      </c>
    </row>
    <row r="4699" spans="8:8">
      <c r="G4699" s="9">
        <v>4696.0</v>
      </c>
      <c r="H4699" s="10">
        <f t="shared" si="115"/>
        <v>2.123730318910992E-4</v>
      </c>
    </row>
    <row r="4700" spans="8:8">
      <c r="G4700" s="9">
        <v>4697.0</v>
      </c>
      <c r="H4700" s="10">
        <f t="shared" si="115"/>
        <v>-0.012564909506623138</v>
      </c>
    </row>
    <row r="4701" spans="8:8">
      <c r="G4701" s="9">
        <v>4698.0</v>
      </c>
      <c r="H4701" s="10">
        <f t="shared" si="115"/>
        <v>-0.010262059141383336</v>
      </c>
    </row>
    <row r="4702" spans="8:8">
      <c r="G4702" s="9">
        <v>4699.0</v>
      </c>
      <c r="H4702" s="10">
        <f t="shared" si="115"/>
        <v>0.014992535684253985</v>
      </c>
    </row>
    <row r="4703" spans="8:8">
      <c r="G4703" s="9">
        <v>4700.0</v>
      </c>
      <c r="H4703" s="10">
        <f t="shared" si="115"/>
        <v>0.010090170010896453</v>
      </c>
    </row>
    <row r="4704" spans="8:8">
      <c r="G4704" s="9">
        <v>4701.0</v>
      </c>
      <c r="H4704" s="10">
        <f t="shared" si="115"/>
        <v>7.736038153139009E-4</v>
      </c>
    </row>
    <row r="4705" spans="8:8">
      <c r="G4705" s="9">
        <v>4702.0</v>
      </c>
      <c r="H4705" s="10">
        <f t="shared" si="115"/>
        <v>0.018738284562132078</v>
      </c>
    </row>
    <row r="4706" spans="8:8">
      <c r="G4706" s="9">
        <v>4703.0</v>
      </c>
      <c r="H4706" s="10">
        <f t="shared" si="115"/>
        <v>0.011344437606557345</v>
      </c>
    </row>
    <row r="4707" spans="8:8">
      <c r="G4707" s="9">
        <v>4704.0</v>
      </c>
      <c r="H4707" s="10">
        <f t="shared" si="115"/>
        <v>0.0011905758418618503</v>
      </c>
    </row>
    <row r="4708" spans="8:8">
      <c r="G4708" s="9">
        <v>4705.0</v>
      </c>
      <c r="H4708" s="10">
        <f t="shared" si="115"/>
        <v>-0.009606084943836291</v>
      </c>
    </row>
    <row r="4709" spans="8:8">
      <c r="G4709" s="9">
        <v>4706.0</v>
      </c>
      <c r="H4709" s="10">
        <f t="shared" si="115"/>
        <v>-0.0051753932790549245</v>
      </c>
    </row>
    <row r="4710" spans="8:8">
      <c r="G4710" s="9">
        <v>4707.0</v>
      </c>
      <c r="H4710" s="10">
        <f t="shared" si="115"/>
        <v>0.009064187804435667</v>
      </c>
    </row>
    <row r="4711" spans="8:8">
      <c r="G4711" s="9">
        <v>4708.0</v>
      </c>
      <c r="H4711" s="10">
        <f t="shared" si="115"/>
        <v>-8.332877096009E-4</v>
      </c>
    </row>
    <row r="4712" spans="8:8">
      <c r="G4712" s="9">
        <v>4709.0</v>
      </c>
      <c r="H4712" s="10">
        <f t="shared" si="115"/>
        <v>-0.017956214645736098</v>
      </c>
    </row>
    <row r="4713" spans="8:8">
      <c r="G4713" s="9">
        <v>4710.0</v>
      </c>
      <c r="H4713" s="10">
        <f t="shared" si="115"/>
        <v>0.008344938134373994</v>
      </c>
    </row>
    <row r="4714" spans="8:8">
      <c r="G4714" s="9">
        <v>4711.0</v>
      </c>
      <c r="H4714" s="10">
        <f t="shared" si="115"/>
        <v>-0.004977395263046288</v>
      </c>
    </row>
    <row r="4715" spans="8:8">
      <c r="G4715" s="9">
        <v>4712.0</v>
      </c>
      <c r="H4715" s="10">
        <f t="shared" si="115"/>
        <v>-1.533203802801062E-4</v>
      </c>
    </row>
    <row r="4716" spans="8:8">
      <c r="G4716" s="9">
        <v>4713.0</v>
      </c>
      <c r="H4716" s="10">
        <f t="shared" si="115"/>
        <v>0.009110250936634874</v>
      </c>
    </row>
    <row r="4717" spans="8:8">
      <c r="G4717" s="9">
        <v>4714.0</v>
      </c>
      <c r="H4717" s="10">
        <f t="shared" si="115"/>
        <v>-0.018921121809633498</v>
      </c>
    </row>
    <row r="4718" spans="8:8">
      <c r="G4718" s="9">
        <v>4715.0</v>
      </c>
      <c r="H4718" s="10">
        <f t="shared" si="115"/>
        <v>0.009407352281392636</v>
      </c>
    </row>
    <row r="4719" spans="8:8">
      <c r="G4719" s="9">
        <v>4716.0</v>
      </c>
      <c r="H4719" s="10">
        <f t="shared" si="115"/>
        <v>0.02532537460860852</v>
      </c>
    </row>
    <row r="4720" spans="8:8">
      <c r="G4720" s="9">
        <v>4717.0</v>
      </c>
      <c r="H4720" s="10">
        <f t="shared" si="115"/>
        <v>0.013354979438604402</v>
      </c>
    </row>
    <row r="4721" spans="8:8">
      <c r="G4721" s="9">
        <v>4718.0</v>
      </c>
      <c r="H4721" s="10">
        <f t="shared" si="115"/>
        <v>0.025814107411048313</v>
      </c>
    </row>
    <row r="4722" spans="8:8">
      <c r="G4722" s="9">
        <v>4719.0</v>
      </c>
      <c r="H4722" s="10">
        <f t="shared" si="115"/>
        <v>5.976972885768338E-4</v>
      </c>
    </row>
    <row r="4723" spans="8:8">
      <c r="G4723" s="9">
        <v>4720.0</v>
      </c>
      <c r="H4723" s="10">
        <f t="shared" si="115"/>
        <v>0.013220878110549034</v>
      </c>
    </row>
    <row r="4724" spans="8:8">
      <c r="G4724" s="9">
        <v>4721.0</v>
      </c>
      <c r="H4724" s="10">
        <f t="shared" si="115"/>
        <v>0.010326038197311812</v>
      </c>
    </row>
    <row r="4725" spans="8:8">
      <c r="G4725" s="9">
        <v>4722.0</v>
      </c>
      <c r="H4725" s="10">
        <f t="shared" si="115"/>
        <v>0.00259179069510885</v>
      </c>
    </row>
    <row r="4726" spans="8:8">
      <c r="G4726" s="9">
        <v>4723.0</v>
      </c>
      <c r="H4726" s="10">
        <f t="shared" si="115"/>
        <v>-0.0020618718568719717</v>
      </c>
    </row>
    <row r="4727" spans="8:8">
      <c r="G4727" s="9">
        <v>4724.0</v>
      </c>
      <c r="H4727" s="10">
        <f t="shared" si="115"/>
        <v>-0.022873405892813933</v>
      </c>
    </row>
    <row r="4728" spans="8:8">
      <c r="G4728" s="9">
        <v>4725.0</v>
      </c>
      <c r="H4728" s="10">
        <f t="shared" si="115"/>
        <v>0.01265716404883905</v>
      </c>
    </row>
    <row r="4729" spans="8:8">
      <c r="G4729" s="9">
        <v>4726.0</v>
      </c>
      <c r="H4729" s="10">
        <f t="shared" si="115"/>
        <v>-0.007526533581700867</v>
      </c>
    </row>
    <row r="4730" spans="8:8">
      <c r="G4730" s="9">
        <v>4727.0</v>
      </c>
      <c r="H4730" s="10">
        <f t="shared" si="115"/>
        <v>0.01818381900919373</v>
      </c>
    </row>
    <row r="4731" spans="8:8">
      <c r="G4731" s="9">
        <v>4728.0</v>
      </c>
      <c r="H4731" s="10">
        <f t="shared" si="115"/>
        <v>0.01967762131449272</v>
      </c>
    </row>
    <row r="4732" spans="8:8">
      <c r="G4732" s="9">
        <v>4729.0</v>
      </c>
      <c r="H4732" s="10">
        <f t="shared" si="115"/>
        <v>0.0071149619702396485</v>
      </c>
    </row>
    <row r="4733" spans="8:8">
      <c r="G4733" s="9">
        <v>4730.0</v>
      </c>
      <c r="H4733" s="10">
        <f t="shared" si="115"/>
        <v>0.003149343223377697</v>
      </c>
    </row>
    <row r="4734" spans="8:8">
      <c r="G4734" s="9">
        <v>4731.0</v>
      </c>
      <c r="H4734" s="10">
        <f t="shared" si="115"/>
        <v>-0.014820904258787584</v>
      </c>
    </row>
    <row r="4735" spans="8:8">
      <c r="G4735" s="9">
        <v>4732.0</v>
      </c>
      <c r="H4735" s="10">
        <f t="shared" si="115"/>
        <v>0.005921554318557561</v>
      </c>
    </row>
    <row r="4736" spans="8:8">
      <c r="G4736" s="9">
        <v>4733.0</v>
      </c>
      <c r="H4736" s="10">
        <f t="shared" si="115"/>
        <v>0.0055108614825996275</v>
      </c>
    </row>
    <row r="4737" spans="8:8">
      <c r="G4737" s="9">
        <v>4734.0</v>
      </c>
      <c r="H4737" s="10">
        <f t="shared" si="115"/>
        <v>0.0014120437791007444</v>
      </c>
    </row>
    <row r="4738" spans="8:8">
      <c r="G4738" s="9">
        <v>4735.0</v>
      </c>
      <c r="H4738" s="10">
        <f t="shared" si="115"/>
        <v>-0.0013001755273106463</v>
      </c>
    </row>
    <row r="4739" spans="8:8">
      <c r="G4739" s="9">
        <v>4736.0</v>
      </c>
      <c r="H4739" s="10">
        <f t="shared" si="115"/>
        <v>0.010334094550650477</v>
      </c>
    </row>
    <row r="4740" spans="8:8">
      <c r="G4740" s="9">
        <v>4737.0</v>
      </c>
      <c r="H4740" s="10">
        <f t="shared" si="115"/>
        <v>0.022004979876088657</v>
      </c>
    </row>
    <row r="4741" spans="8:8">
      <c r="G4741" s="9">
        <v>4738.0</v>
      </c>
      <c r="H4741" s="10">
        <f t="shared" si="116" ref="H4741:H4804">_xlfn.NORM.INV(RAND(),N$6,N$7)</f>
        <v>0.0019443774005938022</v>
      </c>
    </row>
    <row r="4742" spans="8:8">
      <c r="G4742" s="9">
        <v>4739.0</v>
      </c>
      <c r="H4742" s="10">
        <f t="shared" si="116"/>
        <v>-0.0077064023769025805</v>
      </c>
    </row>
    <row r="4743" spans="8:8">
      <c r="G4743" s="9">
        <v>4740.0</v>
      </c>
      <c r="H4743" s="10">
        <f t="shared" si="116"/>
        <v>1.716037767761653E-4</v>
      </c>
    </row>
    <row r="4744" spans="8:8">
      <c r="G4744" s="9">
        <v>4741.0</v>
      </c>
      <c r="H4744" s="10">
        <f t="shared" si="116"/>
        <v>0.00855562408917226</v>
      </c>
    </row>
    <row r="4745" spans="8:8">
      <c r="G4745" s="9">
        <v>4742.0</v>
      </c>
      <c r="H4745" s="10">
        <f t="shared" si="116"/>
        <v>0.008468027840446908</v>
      </c>
    </row>
    <row r="4746" spans="8:8">
      <c r="G4746" s="9">
        <v>4743.0</v>
      </c>
      <c r="H4746" s="10">
        <f t="shared" si="116"/>
        <v>0.00763846654331179</v>
      </c>
    </row>
    <row r="4747" spans="8:8">
      <c r="G4747" s="9">
        <v>4744.0</v>
      </c>
      <c r="H4747" s="10">
        <f t="shared" si="116"/>
        <v>0.003641621875812184</v>
      </c>
    </row>
    <row r="4748" spans="8:8">
      <c r="G4748" s="9">
        <v>4745.0</v>
      </c>
      <c r="H4748" s="10">
        <f t="shared" si="116"/>
        <v>0.006266762980599353</v>
      </c>
    </row>
    <row r="4749" spans="8:8">
      <c r="G4749" s="9">
        <v>4746.0</v>
      </c>
      <c r="H4749" s="10">
        <f t="shared" si="116"/>
        <v>-0.0024647534610650473</v>
      </c>
    </row>
    <row r="4750" spans="8:8">
      <c r="G4750" s="9">
        <v>4747.0</v>
      </c>
      <c r="H4750" s="10">
        <f t="shared" si="116"/>
        <v>0.027569005057948757</v>
      </c>
    </row>
    <row r="4751" spans="8:8">
      <c r="G4751" s="9">
        <v>4748.0</v>
      </c>
      <c r="H4751" s="10">
        <f t="shared" si="116"/>
        <v>0.030774648461566956</v>
      </c>
    </row>
    <row r="4752" spans="8:8">
      <c r="G4752" s="9">
        <v>4749.0</v>
      </c>
      <c r="H4752" s="10">
        <f t="shared" si="116"/>
        <v>0.01659511976295582</v>
      </c>
    </row>
    <row r="4753" spans="8:8">
      <c r="G4753" s="9">
        <v>4750.0</v>
      </c>
      <c r="H4753" s="10">
        <f t="shared" si="116"/>
        <v>0.015637060630817008</v>
      </c>
    </row>
    <row r="4754" spans="8:8">
      <c r="G4754" s="9">
        <v>4751.0</v>
      </c>
      <c r="H4754" s="10">
        <f t="shared" si="116"/>
        <v>0.014580386798967906</v>
      </c>
    </row>
    <row r="4755" spans="8:8">
      <c r="G4755" s="9">
        <v>4752.0</v>
      </c>
      <c r="H4755" s="10">
        <f t="shared" si="116"/>
        <v>0.01110901372447835</v>
      </c>
    </row>
    <row r="4756" spans="8:8">
      <c r="G4756" s="9">
        <v>4753.0</v>
      </c>
      <c r="H4756" s="10">
        <f t="shared" si="116"/>
        <v>0.0028246075933291053</v>
      </c>
    </row>
    <row r="4757" spans="8:8">
      <c r="G4757" s="9">
        <v>4754.0</v>
      </c>
      <c r="H4757" s="10">
        <f t="shared" si="116"/>
        <v>-0.02437496641119223</v>
      </c>
    </row>
    <row r="4758" spans="8:8">
      <c r="G4758" s="9">
        <v>4755.0</v>
      </c>
      <c r="H4758" s="10">
        <f t="shared" si="116"/>
        <v>-0.004956926173855841</v>
      </c>
    </row>
    <row r="4759" spans="8:8">
      <c r="G4759" s="9">
        <v>4756.0</v>
      </c>
      <c r="H4759" s="10">
        <f t="shared" si="116"/>
        <v>0.020721559694643506</v>
      </c>
    </row>
    <row r="4760" spans="8:8">
      <c r="G4760" s="9">
        <v>4757.0</v>
      </c>
      <c r="H4760" s="10">
        <f t="shared" si="116"/>
        <v>0.014472624668293771</v>
      </c>
    </row>
    <row r="4761" spans="8:8">
      <c r="G4761" s="9">
        <v>4758.0</v>
      </c>
      <c r="H4761" s="10">
        <f t="shared" si="116"/>
        <v>0.00929517258497758</v>
      </c>
    </row>
    <row r="4762" spans="8:8">
      <c r="G4762" s="9">
        <v>4759.0</v>
      </c>
      <c r="H4762" s="10">
        <f t="shared" si="116"/>
        <v>-7.16370576769724E-5</v>
      </c>
    </row>
    <row r="4763" spans="8:8">
      <c r="G4763" s="9">
        <v>4760.0</v>
      </c>
      <c r="H4763" s="10">
        <f t="shared" si="116"/>
        <v>-0.0036036115119545443</v>
      </c>
    </row>
    <row r="4764" spans="8:8">
      <c r="G4764" s="9">
        <v>4761.0</v>
      </c>
      <c r="H4764" s="10">
        <f t="shared" si="116"/>
        <v>3.1849974509653425E-4</v>
      </c>
    </row>
    <row r="4765" spans="8:8">
      <c r="G4765" s="9">
        <v>4762.0</v>
      </c>
      <c r="H4765" s="10">
        <f t="shared" si="116"/>
        <v>0.015735520146355764</v>
      </c>
    </row>
    <row r="4766" spans="8:8">
      <c r="G4766" s="9">
        <v>4763.0</v>
      </c>
      <c r="H4766" s="10">
        <f t="shared" si="116"/>
        <v>-0.005229101775523566</v>
      </c>
    </row>
    <row r="4767" spans="8:8">
      <c r="G4767" s="9">
        <v>4764.0</v>
      </c>
      <c r="H4767" s="10">
        <f t="shared" si="116"/>
        <v>0.004324905460244307</v>
      </c>
    </row>
    <row r="4768" spans="8:8">
      <c r="G4768" s="9">
        <v>4765.0</v>
      </c>
      <c r="H4768" s="10">
        <f t="shared" si="116"/>
        <v>-0.003180007402415007</v>
      </c>
    </row>
    <row r="4769" spans="8:8">
      <c r="G4769" s="9">
        <v>4766.0</v>
      </c>
      <c r="H4769" s="10">
        <f t="shared" si="116"/>
        <v>-0.006147622431666523</v>
      </c>
    </row>
    <row r="4770" spans="8:8">
      <c r="G4770" s="9">
        <v>4767.0</v>
      </c>
      <c r="H4770" s="10">
        <f t="shared" si="116"/>
        <v>0.012181164776418982</v>
      </c>
    </row>
    <row r="4771" spans="8:8">
      <c r="G4771" s="9">
        <v>4768.0</v>
      </c>
      <c r="H4771" s="10">
        <f t="shared" si="116"/>
        <v>1.7753615869806668E-4</v>
      </c>
    </row>
    <row r="4772" spans="8:8">
      <c r="G4772" s="9">
        <v>4769.0</v>
      </c>
      <c r="H4772" s="10">
        <f t="shared" si="116"/>
        <v>-0.016475383859455787</v>
      </c>
    </row>
    <row r="4773" spans="8:8">
      <c r="G4773" s="9">
        <v>4770.0</v>
      </c>
      <c r="H4773" s="10">
        <f t="shared" si="116"/>
        <v>-0.006381708716877747</v>
      </c>
    </row>
    <row r="4774" spans="8:8">
      <c r="G4774" s="9">
        <v>4771.0</v>
      </c>
      <c r="H4774" s="10">
        <f t="shared" si="116"/>
        <v>0.0073920059302908635</v>
      </c>
    </row>
    <row r="4775" spans="8:8">
      <c r="G4775" s="9">
        <v>4772.0</v>
      </c>
      <c r="H4775" s="10">
        <f t="shared" si="116"/>
        <v>0.01642345269827803</v>
      </c>
    </row>
    <row r="4776" spans="8:8">
      <c r="G4776" s="9">
        <v>4773.0</v>
      </c>
      <c r="H4776" s="10">
        <f t="shared" si="116"/>
        <v>0.005139929500422539</v>
      </c>
    </row>
    <row r="4777" spans="8:8">
      <c r="G4777" s="9">
        <v>4774.0</v>
      </c>
      <c r="H4777" s="10">
        <f t="shared" si="116"/>
        <v>-0.02021036844839844</v>
      </c>
    </row>
    <row r="4778" spans="8:8">
      <c r="G4778" s="9">
        <v>4775.0</v>
      </c>
      <c r="H4778" s="10">
        <f t="shared" si="116"/>
        <v>0.011274992784190863</v>
      </c>
    </row>
    <row r="4779" spans="8:8">
      <c r="G4779" s="9">
        <v>4776.0</v>
      </c>
      <c r="H4779" s="10">
        <f t="shared" si="116"/>
        <v>0.005620576982143502</v>
      </c>
    </row>
    <row r="4780" spans="8:8">
      <c r="G4780" s="9">
        <v>4777.0</v>
      </c>
      <c r="H4780" s="10">
        <f t="shared" si="116"/>
        <v>-0.011294073252940188</v>
      </c>
    </row>
    <row r="4781" spans="8:8">
      <c r="G4781" s="9">
        <v>4778.0</v>
      </c>
      <c r="H4781" s="10">
        <f t="shared" si="116"/>
        <v>0.00918622351916</v>
      </c>
    </row>
    <row r="4782" spans="8:8">
      <c r="G4782" s="9">
        <v>4779.0</v>
      </c>
      <c r="H4782" s="10">
        <f t="shared" si="116"/>
        <v>0.02268369356869807</v>
      </c>
    </row>
    <row r="4783" spans="8:8">
      <c r="G4783" s="9">
        <v>4780.0</v>
      </c>
      <c r="H4783" s="10">
        <f t="shared" si="116"/>
        <v>0.013678282626255471</v>
      </c>
    </row>
    <row r="4784" spans="8:8">
      <c r="G4784" s="9">
        <v>4781.0</v>
      </c>
      <c r="H4784" s="10">
        <f t="shared" si="116"/>
        <v>-0.008228372573954826</v>
      </c>
    </row>
    <row r="4785" spans="8:8">
      <c r="G4785" s="9">
        <v>4782.0</v>
      </c>
      <c r="H4785" s="10">
        <f t="shared" si="116"/>
        <v>0.01172160332200128</v>
      </c>
    </row>
    <row r="4786" spans="8:8">
      <c r="G4786" s="9">
        <v>4783.0</v>
      </c>
      <c r="H4786" s="10">
        <f t="shared" si="116"/>
        <v>0.02437598988431521</v>
      </c>
    </row>
    <row r="4787" spans="8:8">
      <c r="G4787" s="9">
        <v>4784.0</v>
      </c>
      <c r="H4787" s="10">
        <f t="shared" si="116"/>
        <v>0.008904874737347532</v>
      </c>
    </row>
    <row r="4788" spans="8:8">
      <c r="G4788" s="9">
        <v>4785.0</v>
      </c>
      <c r="H4788" s="10">
        <f t="shared" si="116"/>
        <v>3.3151470667053436E-4</v>
      </c>
    </row>
    <row r="4789" spans="8:8">
      <c r="G4789" s="9">
        <v>4786.0</v>
      </c>
      <c r="H4789" s="10">
        <f t="shared" si="116"/>
        <v>0.027135371609343362</v>
      </c>
    </row>
    <row r="4790" spans="8:8">
      <c r="G4790" s="9">
        <v>4787.0</v>
      </c>
      <c r="H4790" s="10">
        <f t="shared" si="116"/>
        <v>0.01781082300752978</v>
      </c>
    </row>
    <row r="4791" spans="8:8">
      <c r="G4791" s="9">
        <v>4788.0</v>
      </c>
      <c r="H4791" s="10">
        <f t="shared" si="116"/>
        <v>9.094888532665386E-4</v>
      </c>
    </row>
    <row r="4792" spans="8:8">
      <c r="G4792" s="9">
        <v>4789.0</v>
      </c>
      <c r="H4792" s="10">
        <f t="shared" si="116"/>
        <v>0.01783605813940528</v>
      </c>
    </row>
    <row r="4793" spans="8:8">
      <c r="G4793" s="9">
        <v>4790.0</v>
      </c>
      <c r="H4793" s="10">
        <f t="shared" si="116"/>
        <v>0.009613743808602915</v>
      </c>
    </row>
    <row r="4794" spans="8:8">
      <c r="G4794" s="9">
        <v>4791.0</v>
      </c>
      <c r="H4794" s="10">
        <f t="shared" si="116"/>
        <v>-0.009464201755531608</v>
      </c>
    </row>
    <row r="4795" spans="8:8">
      <c r="G4795" s="9">
        <v>4792.0</v>
      </c>
      <c r="H4795" s="10">
        <f t="shared" si="116"/>
        <v>0.011665904634588786</v>
      </c>
    </row>
    <row r="4796" spans="8:8">
      <c r="G4796" s="9">
        <v>4793.0</v>
      </c>
      <c r="H4796" s="10">
        <f t="shared" si="116"/>
        <v>0.0011561595116013116</v>
      </c>
    </row>
    <row r="4797" spans="8:8">
      <c r="G4797" s="9">
        <v>4794.0</v>
      </c>
      <c r="H4797" s="10">
        <f t="shared" si="116"/>
        <v>-0.008018283999875232</v>
      </c>
    </row>
    <row r="4798" spans="8:8">
      <c r="G4798" s="9">
        <v>4795.0</v>
      </c>
      <c r="H4798" s="10">
        <f t="shared" si="116"/>
        <v>-0.009640558907707424</v>
      </c>
    </row>
    <row r="4799" spans="8:8">
      <c r="G4799" s="9">
        <v>4796.0</v>
      </c>
      <c r="H4799" s="10">
        <f t="shared" si="116"/>
        <v>0.00798198526247005</v>
      </c>
    </row>
    <row r="4800" spans="8:8">
      <c r="G4800" s="9">
        <v>4797.0</v>
      </c>
      <c r="H4800" s="10">
        <f t="shared" si="116"/>
        <v>0.00685170425660671</v>
      </c>
    </row>
    <row r="4801" spans="8:8">
      <c r="G4801" s="9">
        <v>4798.0</v>
      </c>
      <c r="H4801" s="10">
        <f t="shared" si="116"/>
        <v>-0.020322871278435194</v>
      </c>
    </row>
    <row r="4802" spans="8:8">
      <c r="G4802" s="9">
        <v>4799.0</v>
      </c>
      <c r="H4802" s="10">
        <f t="shared" si="116"/>
        <v>9.57349758585864E-4</v>
      </c>
    </row>
    <row r="4803" spans="8:8">
      <c r="G4803" s="9">
        <v>4800.0</v>
      </c>
      <c r="H4803" s="10">
        <f t="shared" si="116"/>
        <v>0.012624110908323903</v>
      </c>
    </row>
    <row r="4804" spans="8:8">
      <c r="G4804" s="9">
        <v>4801.0</v>
      </c>
      <c r="H4804" s="10">
        <f t="shared" si="116"/>
        <v>-0.00813434653850053</v>
      </c>
    </row>
    <row r="4805" spans="8:8">
      <c r="G4805" s="9">
        <v>4802.0</v>
      </c>
      <c r="H4805" s="10">
        <f t="shared" si="117" ref="H4805:H4868">_xlfn.NORM.INV(RAND(),N$6,N$7)</f>
        <v>0.0017175082778655313</v>
      </c>
    </row>
    <row r="4806" spans="8:8">
      <c r="G4806" s="9">
        <v>4803.0</v>
      </c>
      <c r="H4806" s="10">
        <f t="shared" si="117"/>
        <v>-4.102452085131313E-4</v>
      </c>
    </row>
    <row r="4807" spans="8:8">
      <c r="G4807" s="9">
        <v>4804.0</v>
      </c>
      <c r="H4807" s="10">
        <f t="shared" si="117"/>
        <v>-0.001341738591372205</v>
      </c>
    </row>
    <row r="4808" spans="8:8">
      <c r="G4808" s="9">
        <v>4805.0</v>
      </c>
      <c r="H4808" s="10">
        <f t="shared" si="117"/>
        <v>0.015387168580485014</v>
      </c>
    </row>
    <row r="4809" spans="8:8">
      <c r="G4809" s="9">
        <v>4806.0</v>
      </c>
      <c r="H4809" s="10">
        <f t="shared" si="117"/>
        <v>-0.0010520332556934447</v>
      </c>
    </row>
    <row r="4810" spans="8:8">
      <c r="G4810" s="9">
        <v>4807.0</v>
      </c>
      <c r="H4810" s="10">
        <f t="shared" si="117"/>
        <v>-0.009427266984703076</v>
      </c>
    </row>
    <row r="4811" spans="8:8">
      <c r="G4811" s="9">
        <v>4808.0</v>
      </c>
      <c r="H4811" s="10">
        <f t="shared" si="117"/>
        <v>-2.9319319798376455E-5</v>
      </c>
    </row>
    <row r="4812" spans="8:8">
      <c r="G4812" s="9">
        <v>4809.0</v>
      </c>
      <c r="H4812" s="10">
        <f t="shared" si="117"/>
        <v>0.018760574556071365</v>
      </c>
    </row>
    <row r="4813" spans="8:8">
      <c r="G4813" s="9">
        <v>4810.0</v>
      </c>
      <c r="H4813" s="10">
        <f t="shared" si="117"/>
        <v>0.0035325754478297243</v>
      </c>
    </row>
    <row r="4814" spans="8:8">
      <c r="G4814" s="9">
        <v>4811.0</v>
      </c>
      <c r="H4814" s="10">
        <f t="shared" si="117"/>
        <v>0.013820361350441887</v>
      </c>
    </row>
    <row r="4815" spans="8:8">
      <c r="G4815" s="9">
        <v>4812.0</v>
      </c>
      <c r="H4815" s="10">
        <f t="shared" si="117"/>
        <v>0.028416405217260854</v>
      </c>
    </row>
    <row r="4816" spans="8:8">
      <c r="G4816" s="9">
        <v>4813.0</v>
      </c>
      <c r="H4816" s="10">
        <f t="shared" si="117"/>
        <v>0.011203898972211915</v>
      </c>
    </row>
    <row r="4817" spans="8:8">
      <c r="G4817" s="9">
        <v>4814.0</v>
      </c>
      <c r="H4817" s="10">
        <f t="shared" si="117"/>
        <v>0.017131393434020155</v>
      </c>
    </row>
    <row r="4818" spans="8:8">
      <c r="G4818" s="9">
        <v>4815.0</v>
      </c>
      <c r="H4818" s="10">
        <f t="shared" si="117"/>
        <v>0.011179337815396727</v>
      </c>
    </row>
    <row r="4819" spans="8:8">
      <c r="G4819" s="9">
        <v>4816.0</v>
      </c>
      <c r="H4819" s="10">
        <f t="shared" si="117"/>
        <v>-0.0034083365510268367</v>
      </c>
    </row>
    <row r="4820" spans="8:8">
      <c r="G4820" s="9">
        <v>4817.0</v>
      </c>
      <c r="H4820" s="10">
        <f t="shared" si="117"/>
        <v>-0.00764151982271788</v>
      </c>
    </row>
    <row r="4821" spans="8:8">
      <c r="G4821" s="9">
        <v>4818.0</v>
      </c>
      <c r="H4821" s="10">
        <f t="shared" si="117"/>
        <v>0.004185565163867611</v>
      </c>
    </row>
    <row r="4822" spans="8:8">
      <c r="G4822" s="9">
        <v>4819.0</v>
      </c>
      <c r="H4822" s="10">
        <f t="shared" si="117"/>
        <v>0.006481859390220137</v>
      </c>
    </row>
    <row r="4823" spans="8:8">
      <c r="G4823" s="9">
        <v>4820.0</v>
      </c>
      <c r="H4823" s="10">
        <f t="shared" si="117"/>
        <v>-0.008679899821708272</v>
      </c>
    </row>
    <row r="4824" spans="8:8">
      <c r="G4824" s="9">
        <v>4821.0</v>
      </c>
      <c r="H4824" s="10">
        <f t="shared" si="117"/>
        <v>-0.010171457963644066</v>
      </c>
    </row>
    <row r="4825" spans="8:8">
      <c r="G4825" s="9">
        <v>4822.0</v>
      </c>
      <c r="H4825" s="10">
        <f t="shared" si="117"/>
        <v>-0.037820752778955614</v>
      </c>
    </row>
    <row r="4826" spans="8:8">
      <c r="G4826" s="9">
        <v>4823.0</v>
      </c>
      <c r="H4826" s="10">
        <f t="shared" si="117"/>
        <v>0.017905009235627305</v>
      </c>
    </row>
    <row r="4827" spans="8:8">
      <c r="G4827" s="9">
        <v>4824.0</v>
      </c>
      <c r="H4827" s="10">
        <f t="shared" si="117"/>
        <v>-0.015333168916703905</v>
      </c>
    </row>
    <row r="4828" spans="8:8">
      <c r="G4828" s="9">
        <v>4825.0</v>
      </c>
      <c r="H4828" s="10">
        <f t="shared" si="117"/>
        <v>0.015171088111401207</v>
      </c>
    </row>
    <row r="4829" spans="8:8">
      <c r="G4829" s="9">
        <v>4826.0</v>
      </c>
      <c r="H4829" s="10">
        <f t="shared" si="117"/>
        <v>-0.02313694560636661</v>
      </c>
    </row>
    <row r="4830" spans="8:8">
      <c r="G4830" s="9">
        <v>4827.0</v>
      </c>
      <c r="H4830" s="10">
        <f t="shared" si="117"/>
        <v>-0.009999948970149889</v>
      </c>
    </row>
    <row r="4831" spans="8:8">
      <c r="G4831" s="9">
        <v>4828.0</v>
      </c>
      <c r="H4831" s="10">
        <f t="shared" si="117"/>
        <v>0.001034952592293289</v>
      </c>
    </row>
    <row r="4832" spans="8:8">
      <c r="G4832" s="9">
        <v>4829.0</v>
      </c>
      <c r="H4832" s="10">
        <f t="shared" si="117"/>
        <v>0.02056487418080872</v>
      </c>
    </row>
    <row r="4833" spans="8:8">
      <c r="G4833" s="9">
        <v>4830.0</v>
      </c>
      <c r="H4833" s="10">
        <f t="shared" si="117"/>
        <v>-0.023487063435286032</v>
      </c>
    </row>
    <row r="4834" spans="8:8">
      <c r="G4834" s="9">
        <v>4831.0</v>
      </c>
      <c r="H4834" s="10">
        <f t="shared" si="117"/>
        <v>-0.007188858571789144</v>
      </c>
    </row>
    <row r="4835" spans="8:8">
      <c r="G4835" s="9">
        <v>4832.0</v>
      </c>
      <c r="H4835" s="10">
        <f t="shared" si="117"/>
        <v>0.004937833370653011</v>
      </c>
    </row>
    <row r="4836" spans="8:8">
      <c r="G4836" s="9">
        <v>4833.0</v>
      </c>
      <c r="H4836" s="10">
        <f t="shared" si="117"/>
        <v>0.024953844422671314</v>
      </c>
    </row>
    <row r="4837" spans="8:8">
      <c r="G4837" s="9">
        <v>4834.0</v>
      </c>
      <c r="H4837" s="10">
        <f t="shared" si="117"/>
        <v>0.004585796983647191</v>
      </c>
    </row>
    <row r="4838" spans="8:8">
      <c r="G4838" s="9">
        <v>4835.0</v>
      </c>
      <c r="H4838" s="10">
        <f t="shared" si="117"/>
        <v>0.00823858054354558</v>
      </c>
    </row>
    <row r="4839" spans="8:8">
      <c r="G4839" s="9">
        <v>4836.0</v>
      </c>
      <c r="H4839" s="10">
        <f t="shared" si="117"/>
        <v>-9.763339042332441E-4</v>
      </c>
    </row>
    <row r="4840" spans="8:8">
      <c r="G4840" s="9">
        <v>4837.0</v>
      </c>
      <c r="H4840" s="10">
        <f t="shared" si="117"/>
        <v>-0.011328373453394325</v>
      </c>
    </row>
    <row r="4841" spans="8:8">
      <c r="G4841" s="9">
        <v>4838.0</v>
      </c>
      <c r="H4841" s="10">
        <f t="shared" si="117"/>
        <v>0.011528465296381584</v>
      </c>
    </row>
    <row r="4842" spans="8:8">
      <c r="G4842" s="9">
        <v>4839.0</v>
      </c>
      <c r="H4842" s="10">
        <f t="shared" si="117"/>
        <v>0.017340259003841455</v>
      </c>
    </row>
    <row r="4843" spans="8:8">
      <c r="G4843" s="9">
        <v>4840.0</v>
      </c>
      <c r="H4843" s="10">
        <f t="shared" si="117"/>
        <v>0.008119201822145487</v>
      </c>
    </row>
    <row r="4844" spans="8:8">
      <c r="G4844" s="9">
        <v>4841.0</v>
      </c>
      <c r="H4844" s="10">
        <f t="shared" si="117"/>
        <v>0.004385902523373258</v>
      </c>
    </row>
    <row r="4845" spans="8:8">
      <c r="G4845" s="9">
        <v>4842.0</v>
      </c>
      <c r="H4845" s="10">
        <f t="shared" si="117"/>
        <v>6.832771712944564E-4</v>
      </c>
    </row>
    <row r="4846" spans="8:8">
      <c r="G4846" s="9">
        <v>4843.0</v>
      </c>
      <c r="H4846" s="10">
        <f t="shared" si="117"/>
        <v>0.0096195928725337</v>
      </c>
    </row>
    <row r="4847" spans="8:8">
      <c r="G4847" s="9">
        <v>4844.0</v>
      </c>
      <c r="H4847" s="10">
        <f t="shared" si="117"/>
        <v>0.0035331280931808827</v>
      </c>
    </row>
    <row r="4848" spans="8:8">
      <c r="G4848" s="9">
        <v>4845.0</v>
      </c>
      <c r="H4848" s="10">
        <f t="shared" si="117"/>
        <v>-0.001657497396391528</v>
      </c>
    </row>
    <row r="4849" spans="8:8">
      <c r="G4849" s="9">
        <v>4846.0</v>
      </c>
      <c r="H4849" s="10">
        <f t="shared" si="117"/>
        <v>0.004300647635295795</v>
      </c>
    </row>
    <row r="4850" spans="8:8">
      <c r="G4850" s="9">
        <v>4847.0</v>
      </c>
      <c r="H4850" s="10">
        <f t="shared" si="117"/>
        <v>0.02031184302428441</v>
      </c>
    </row>
    <row r="4851" spans="8:8">
      <c r="G4851" s="9">
        <v>4848.0</v>
      </c>
      <c r="H4851" s="10">
        <f t="shared" si="117"/>
        <v>0.008789244600902218</v>
      </c>
    </row>
    <row r="4852" spans="8:8">
      <c r="G4852" s="9">
        <v>4849.0</v>
      </c>
      <c r="H4852" s="10">
        <f t="shared" si="117"/>
        <v>-0.004867767736990876</v>
      </c>
    </row>
    <row r="4853" spans="8:8">
      <c r="G4853" s="9">
        <v>4850.0</v>
      </c>
      <c r="H4853" s="10">
        <f t="shared" si="117"/>
        <v>1.0163952533322716E-4</v>
      </c>
    </row>
    <row r="4854" spans="8:8">
      <c r="G4854" s="9">
        <v>4851.0</v>
      </c>
      <c r="H4854" s="10">
        <f t="shared" si="117"/>
        <v>0.0038324884613435456</v>
      </c>
    </row>
    <row r="4855" spans="8:8">
      <c r="G4855" s="9">
        <v>4852.0</v>
      </c>
      <c r="H4855" s="10">
        <f t="shared" si="117"/>
        <v>-0.012173786873328669</v>
      </c>
    </row>
    <row r="4856" spans="8:8">
      <c r="G4856" s="9">
        <v>4853.0</v>
      </c>
      <c r="H4856" s="10">
        <f t="shared" si="117"/>
        <v>0.018048491949490507</v>
      </c>
    </row>
    <row r="4857" spans="8:8">
      <c r="G4857" s="9">
        <v>4854.0</v>
      </c>
      <c r="H4857" s="10">
        <f t="shared" si="117"/>
        <v>-8.169921734149056E-4</v>
      </c>
    </row>
    <row r="4858" spans="8:8">
      <c r="G4858" s="9">
        <v>4855.0</v>
      </c>
      <c r="H4858" s="10">
        <f t="shared" si="117"/>
        <v>0.009401796383586432</v>
      </c>
    </row>
    <row r="4859" spans="8:8">
      <c r="G4859" s="9">
        <v>4856.0</v>
      </c>
      <c r="H4859" s="10">
        <f t="shared" si="117"/>
        <v>-0.008020160384754973</v>
      </c>
    </row>
    <row r="4860" spans="8:8">
      <c r="G4860" s="9">
        <v>4857.0</v>
      </c>
      <c r="H4860" s="10">
        <f t="shared" si="117"/>
        <v>-0.012831403298175649</v>
      </c>
    </row>
    <row r="4861" spans="8:8">
      <c r="G4861" s="9">
        <v>4858.0</v>
      </c>
      <c r="H4861" s="10">
        <f t="shared" si="117"/>
        <v>0.017717883632780627</v>
      </c>
    </row>
    <row r="4862" spans="8:8">
      <c r="G4862" s="9">
        <v>4859.0</v>
      </c>
      <c r="H4862" s="10">
        <f t="shared" si="117"/>
        <v>-0.019544084257901544</v>
      </c>
    </row>
    <row r="4863" spans="8:8">
      <c r="G4863" s="9">
        <v>4860.0</v>
      </c>
      <c r="H4863" s="10">
        <f t="shared" si="117"/>
        <v>-0.0011756930199906023</v>
      </c>
    </row>
    <row r="4864" spans="8:8">
      <c r="G4864" s="9">
        <v>4861.0</v>
      </c>
      <c r="H4864" s="10">
        <f t="shared" si="117"/>
        <v>0.013183651104418725</v>
      </c>
    </row>
    <row r="4865" spans="8:8">
      <c r="G4865" s="9">
        <v>4862.0</v>
      </c>
      <c r="H4865" s="10">
        <f t="shared" si="117"/>
        <v>-0.004808053887758818</v>
      </c>
    </row>
    <row r="4866" spans="8:8">
      <c r="G4866" s="9">
        <v>4863.0</v>
      </c>
      <c r="H4866" s="10">
        <f t="shared" si="117"/>
        <v>0.02198028688815836</v>
      </c>
    </row>
    <row r="4867" spans="8:8">
      <c r="G4867" s="9">
        <v>4864.0</v>
      </c>
      <c r="H4867" s="10">
        <f t="shared" si="117"/>
        <v>0.002282614262530687</v>
      </c>
    </row>
    <row r="4868" spans="8:8">
      <c r="G4868" s="9">
        <v>4865.0</v>
      </c>
      <c r="H4868" s="10">
        <f t="shared" si="117"/>
        <v>-0.02309119638645359</v>
      </c>
    </row>
    <row r="4869" spans="8:8">
      <c r="G4869" s="9">
        <v>4866.0</v>
      </c>
      <c r="H4869" s="10">
        <f t="shared" si="118" ref="H4869:H4932">_xlfn.NORM.INV(RAND(),N$6,N$7)</f>
        <v>-0.009589986909538026</v>
      </c>
    </row>
    <row r="4870" spans="8:8">
      <c r="G4870" s="9">
        <v>4867.0</v>
      </c>
      <c r="H4870" s="10">
        <f t="shared" si="118"/>
        <v>0.01682195917289299</v>
      </c>
    </row>
    <row r="4871" spans="8:8">
      <c r="G4871" s="9">
        <v>4868.0</v>
      </c>
      <c r="H4871" s="10">
        <f t="shared" si="118"/>
        <v>-0.011501354130543706</v>
      </c>
    </row>
    <row r="4872" spans="8:8">
      <c r="G4872" s="9">
        <v>4869.0</v>
      </c>
      <c r="H4872" s="10">
        <f t="shared" si="118"/>
        <v>0.006686513233420911</v>
      </c>
    </row>
    <row r="4873" spans="8:8">
      <c r="G4873" s="9">
        <v>4870.0</v>
      </c>
      <c r="H4873" s="10">
        <f t="shared" si="118"/>
        <v>-0.012512713312935686</v>
      </c>
    </row>
    <row r="4874" spans="8:8">
      <c r="G4874" s="9">
        <v>4871.0</v>
      </c>
      <c r="H4874" s="10">
        <f t="shared" si="118"/>
        <v>0.0076766641428036644</v>
      </c>
    </row>
    <row r="4875" spans="8:8">
      <c r="G4875" s="9">
        <v>4872.0</v>
      </c>
      <c r="H4875" s="10">
        <f t="shared" si="118"/>
        <v>0.0052586569938531365</v>
      </c>
    </row>
    <row r="4876" spans="8:8">
      <c r="G4876" s="9">
        <v>4873.0</v>
      </c>
      <c r="H4876" s="10">
        <f t="shared" si="118"/>
        <v>0.004280307195621781</v>
      </c>
    </row>
    <row r="4877" spans="8:8">
      <c r="G4877" s="9">
        <v>4874.0</v>
      </c>
      <c r="H4877" s="10">
        <f t="shared" si="118"/>
        <v>-7.773766985077644E-4</v>
      </c>
    </row>
    <row r="4878" spans="8:8">
      <c r="G4878" s="9">
        <v>4875.0</v>
      </c>
      <c r="H4878" s="10">
        <f t="shared" si="118"/>
        <v>-9.352484421405478E-4</v>
      </c>
    </row>
    <row r="4879" spans="8:8">
      <c r="G4879" s="9">
        <v>4876.0</v>
      </c>
      <c r="H4879" s="10">
        <f t="shared" si="118"/>
        <v>0.00798662766797273</v>
      </c>
    </row>
    <row r="4880" spans="8:8">
      <c r="G4880" s="9">
        <v>4877.0</v>
      </c>
      <c r="H4880" s="10">
        <f t="shared" si="118"/>
        <v>0.008906570579888412</v>
      </c>
    </row>
    <row r="4881" spans="8:8">
      <c r="G4881" s="9">
        <v>4878.0</v>
      </c>
      <c r="H4881" s="10">
        <f t="shared" si="118"/>
        <v>0.0055594907993024014</v>
      </c>
    </row>
    <row r="4882" spans="8:8">
      <c r="G4882" s="9">
        <v>4879.0</v>
      </c>
      <c r="H4882" s="10">
        <f t="shared" si="118"/>
        <v>-0.005121278722568171</v>
      </c>
    </row>
    <row r="4883" spans="8:8">
      <c r="G4883" s="9">
        <v>4880.0</v>
      </c>
      <c r="H4883" s="10">
        <f t="shared" si="118"/>
        <v>-0.002994485397905578</v>
      </c>
    </row>
    <row r="4884" spans="8:8">
      <c r="G4884" s="9">
        <v>4881.0</v>
      </c>
      <c r="H4884" s="10">
        <f t="shared" si="118"/>
        <v>-0.004597239047331899</v>
      </c>
    </row>
    <row r="4885" spans="8:8">
      <c r="G4885" s="9">
        <v>4882.0</v>
      </c>
      <c r="H4885" s="10">
        <f t="shared" si="118"/>
        <v>-0.013851095134528552</v>
      </c>
    </row>
    <row r="4886" spans="8:8">
      <c r="G4886" s="9">
        <v>4883.0</v>
      </c>
      <c r="H4886" s="10">
        <f t="shared" si="118"/>
        <v>0.01768252702907006</v>
      </c>
    </row>
    <row r="4887" spans="8:8">
      <c r="G4887" s="9">
        <v>4884.0</v>
      </c>
      <c r="H4887" s="10">
        <f t="shared" si="118"/>
        <v>0.008516937446215794</v>
      </c>
    </row>
    <row r="4888" spans="8:8">
      <c r="G4888" s="9">
        <v>4885.0</v>
      </c>
      <c r="H4888" s="10">
        <f t="shared" si="118"/>
        <v>0.004900239124223529</v>
      </c>
    </row>
    <row r="4889" spans="8:8">
      <c r="G4889" s="9">
        <v>4886.0</v>
      </c>
      <c r="H4889" s="10">
        <f t="shared" si="118"/>
        <v>0.026765316374417817</v>
      </c>
    </row>
    <row r="4890" spans="8:8">
      <c r="G4890" s="9">
        <v>4887.0</v>
      </c>
      <c r="H4890" s="10">
        <f t="shared" si="118"/>
        <v>0.0068953195144003865</v>
      </c>
    </row>
    <row r="4891" spans="8:8">
      <c r="G4891" s="9">
        <v>4888.0</v>
      </c>
      <c r="H4891" s="10">
        <f t="shared" si="118"/>
        <v>0.024224347575466123</v>
      </c>
    </row>
    <row r="4892" spans="8:8">
      <c r="G4892" s="9">
        <v>4889.0</v>
      </c>
      <c r="H4892" s="10">
        <f t="shared" si="118"/>
        <v>-0.01928087531437693</v>
      </c>
    </row>
    <row r="4893" spans="8:8">
      <c r="G4893" s="9">
        <v>4890.0</v>
      </c>
      <c r="H4893" s="10">
        <f t="shared" si="118"/>
        <v>0.009258990157223312</v>
      </c>
    </row>
    <row r="4894" spans="8:8">
      <c r="G4894" s="9">
        <v>4891.0</v>
      </c>
      <c r="H4894" s="10">
        <f t="shared" si="118"/>
        <v>0.011296669853679598</v>
      </c>
    </row>
    <row r="4895" spans="8:8">
      <c r="G4895" s="9">
        <v>4892.0</v>
      </c>
      <c r="H4895" s="10">
        <f t="shared" si="118"/>
        <v>0.019105598656621158</v>
      </c>
    </row>
    <row r="4896" spans="8:8">
      <c r="G4896" s="9">
        <v>4893.0</v>
      </c>
      <c r="H4896" s="10">
        <f t="shared" si="118"/>
        <v>0.014444687167955907</v>
      </c>
    </row>
    <row r="4897" spans="8:8">
      <c r="G4897" s="9">
        <v>4894.0</v>
      </c>
      <c r="H4897" s="10">
        <f t="shared" si="118"/>
        <v>0.0063364155716839985</v>
      </c>
    </row>
    <row r="4898" spans="8:8">
      <c r="G4898" s="9">
        <v>4895.0</v>
      </c>
      <c r="H4898" s="10">
        <f t="shared" si="118"/>
        <v>-6.29433215163947E-4</v>
      </c>
    </row>
    <row r="4899" spans="8:8">
      <c r="G4899" s="9">
        <v>4896.0</v>
      </c>
      <c r="H4899" s="10">
        <f t="shared" si="118"/>
        <v>-0.0020768073771210635</v>
      </c>
    </row>
    <row r="4900" spans="8:8">
      <c r="G4900" s="9">
        <v>4897.0</v>
      </c>
      <c r="H4900" s="10">
        <f t="shared" si="118"/>
        <v>0.010163760959892522</v>
      </c>
    </row>
    <row r="4901" spans="8:8">
      <c r="G4901" s="9">
        <v>4898.0</v>
      </c>
      <c r="H4901" s="10">
        <f t="shared" si="118"/>
        <v>-0.0029217805109439466</v>
      </c>
    </row>
    <row r="4902" spans="8:8">
      <c r="G4902" s="9">
        <v>4899.0</v>
      </c>
      <c r="H4902" s="10">
        <f t="shared" si="118"/>
        <v>-0.006569945040485228</v>
      </c>
    </row>
    <row r="4903" spans="8:8">
      <c r="G4903" s="9">
        <v>4900.0</v>
      </c>
      <c r="H4903" s="10">
        <f t="shared" si="118"/>
        <v>-0.00391092326782936</v>
      </c>
    </row>
    <row r="4904" spans="8:8">
      <c r="G4904" s="9">
        <v>4901.0</v>
      </c>
      <c r="H4904" s="10">
        <f t="shared" si="118"/>
        <v>-0.001839308863799738</v>
      </c>
    </row>
    <row r="4905" spans="8:8">
      <c r="G4905" s="9">
        <v>4902.0</v>
      </c>
      <c r="H4905" s="10">
        <f t="shared" si="118"/>
        <v>0.0015769096636575816</v>
      </c>
    </row>
    <row r="4906" spans="8:8">
      <c r="G4906" s="9">
        <v>4903.0</v>
      </c>
      <c r="H4906" s="10">
        <f t="shared" si="118"/>
        <v>-0.010201823467665481</v>
      </c>
    </row>
    <row r="4907" spans="8:8">
      <c r="G4907" s="9">
        <v>4904.0</v>
      </c>
      <c r="H4907" s="10">
        <f t="shared" si="118"/>
        <v>0.014351666054125196</v>
      </c>
    </row>
    <row r="4908" spans="8:8">
      <c r="G4908" s="9">
        <v>4905.0</v>
      </c>
      <c r="H4908" s="10">
        <f t="shared" si="118"/>
        <v>7.440171847245178E-4</v>
      </c>
    </row>
    <row r="4909" spans="8:8">
      <c r="G4909" s="9">
        <v>4906.0</v>
      </c>
      <c r="H4909" s="10">
        <f t="shared" si="118"/>
        <v>-0.001722617898734148</v>
      </c>
    </row>
    <row r="4910" spans="8:8">
      <c r="G4910" s="9">
        <v>4907.0</v>
      </c>
      <c r="H4910" s="10">
        <f t="shared" si="118"/>
        <v>0.0020308889639658895</v>
      </c>
    </row>
    <row r="4911" spans="8:8">
      <c r="G4911" s="9">
        <v>4908.0</v>
      </c>
      <c r="H4911" s="10">
        <f t="shared" si="118"/>
        <v>3.3088227359322686E-4</v>
      </c>
    </row>
    <row r="4912" spans="8:8">
      <c r="G4912" s="9">
        <v>4909.0</v>
      </c>
      <c r="H4912" s="10">
        <f t="shared" si="118"/>
        <v>0.017223899068794436</v>
      </c>
    </row>
    <row r="4913" spans="8:8">
      <c r="G4913" s="9">
        <v>4910.0</v>
      </c>
      <c r="H4913" s="10">
        <f t="shared" si="118"/>
        <v>0.011603165409499926</v>
      </c>
    </row>
    <row r="4914" spans="8:8">
      <c r="G4914" s="9">
        <v>4911.0</v>
      </c>
      <c r="H4914" s="10">
        <f t="shared" si="118"/>
        <v>0.011686522273846697</v>
      </c>
    </row>
    <row r="4915" spans="8:8">
      <c r="G4915" s="9">
        <v>4912.0</v>
      </c>
      <c r="H4915" s="10">
        <f t="shared" si="118"/>
        <v>-0.0028161843446991583</v>
      </c>
    </row>
    <row r="4916" spans="8:8">
      <c r="G4916" s="9">
        <v>4913.0</v>
      </c>
      <c r="H4916" s="10">
        <f t="shared" si="118"/>
        <v>0.004036670014827116</v>
      </c>
    </row>
    <row r="4917" spans="8:8">
      <c r="G4917" s="9">
        <v>4914.0</v>
      </c>
      <c r="H4917" s="10">
        <f t="shared" si="118"/>
        <v>-0.003086155551758285</v>
      </c>
    </row>
    <row r="4918" spans="8:8">
      <c r="G4918" s="9">
        <v>4915.0</v>
      </c>
      <c r="H4918" s="10">
        <f t="shared" si="118"/>
        <v>0.003852080564644005</v>
      </c>
    </row>
    <row r="4919" spans="8:8">
      <c r="G4919" s="9">
        <v>4916.0</v>
      </c>
      <c r="H4919" s="10">
        <f t="shared" si="118"/>
        <v>-0.005079902799210762</v>
      </c>
    </row>
    <row r="4920" spans="8:8">
      <c r="G4920" s="9">
        <v>4917.0</v>
      </c>
      <c r="H4920" s="10">
        <f t="shared" si="118"/>
        <v>-0.0015914548539415988</v>
      </c>
    </row>
    <row r="4921" spans="8:8">
      <c r="G4921" s="9">
        <v>4918.0</v>
      </c>
      <c r="H4921" s="10">
        <f t="shared" si="118"/>
        <v>0.026471412013605367</v>
      </c>
    </row>
    <row r="4922" spans="8:8">
      <c r="G4922" s="9">
        <v>4919.0</v>
      </c>
      <c r="H4922" s="10">
        <f t="shared" si="118"/>
        <v>-0.017480500827823185</v>
      </c>
    </row>
    <row r="4923" spans="8:8">
      <c r="G4923" s="9">
        <v>4920.0</v>
      </c>
      <c r="H4923" s="10">
        <f t="shared" si="118"/>
        <v>-0.001613638474815532</v>
      </c>
    </row>
    <row r="4924" spans="8:8">
      <c r="G4924" s="9">
        <v>4921.0</v>
      </c>
      <c r="H4924" s="10">
        <f t="shared" si="118"/>
        <v>0.021196600485476398</v>
      </c>
    </row>
    <row r="4925" spans="8:8">
      <c r="G4925" s="9">
        <v>4922.0</v>
      </c>
      <c r="H4925" s="10">
        <f t="shared" si="118"/>
        <v>-9.596700266171687E-4</v>
      </c>
    </row>
    <row r="4926" spans="8:8">
      <c r="G4926" s="9">
        <v>4923.0</v>
      </c>
      <c r="H4926" s="10">
        <f t="shared" si="118"/>
        <v>-0.00911762024006776</v>
      </c>
    </row>
    <row r="4927" spans="8:8">
      <c r="G4927" s="9">
        <v>4924.0</v>
      </c>
      <c r="H4927" s="10">
        <f t="shared" si="118"/>
        <v>-0.006797781030574132</v>
      </c>
    </row>
    <row r="4928" spans="8:8">
      <c r="G4928" s="9">
        <v>4925.0</v>
      </c>
      <c r="H4928" s="10">
        <f t="shared" si="118"/>
        <v>-0.0010029445584597988</v>
      </c>
    </row>
    <row r="4929" spans="8:8">
      <c r="G4929" s="9">
        <v>4926.0</v>
      </c>
      <c r="H4929" s="10">
        <f t="shared" si="118"/>
        <v>0.0026396796551712755</v>
      </c>
    </row>
    <row r="4930" spans="8:8">
      <c r="G4930" s="9">
        <v>4927.0</v>
      </c>
      <c r="H4930" s="10">
        <f t="shared" si="118"/>
        <v>0.0090934499625856</v>
      </c>
    </row>
    <row r="4931" spans="8:8">
      <c r="G4931" s="9">
        <v>4928.0</v>
      </c>
      <c r="H4931" s="10">
        <f t="shared" si="118"/>
        <v>0.0086035394384797</v>
      </c>
    </row>
    <row r="4932" spans="8:8">
      <c r="G4932" s="9">
        <v>4929.0</v>
      </c>
      <c r="H4932" s="10">
        <f t="shared" si="118"/>
        <v>0.003936899469366675</v>
      </c>
    </row>
    <row r="4933" spans="8:8">
      <c r="G4933" s="9">
        <v>4930.0</v>
      </c>
      <c r="H4933" s="10">
        <f t="shared" si="119" ref="H4933:H4996">_xlfn.NORM.INV(RAND(),N$6,N$7)</f>
        <v>0.02028922494953778</v>
      </c>
    </row>
    <row r="4934" spans="8:8">
      <c r="G4934" s="9">
        <v>4931.0</v>
      </c>
      <c r="H4934" s="10">
        <f t="shared" si="119"/>
        <v>0.00452491125165584</v>
      </c>
    </row>
    <row r="4935" spans="8:8">
      <c r="G4935" s="9">
        <v>4932.0</v>
      </c>
      <c r="H4935" s="10">
        <f t="shared" si="119"/>
        <v>0.014475295977518638</v>
      </c>
    </row>
    <row r="4936" spans="8:8">
      <c r="G4936" s="9">
        <v>4933.0</v>
      </c>
      <c r="H4936" s="10">
        <f t="shared" si="119"/>
        <v>-0.03801507070681228</v>
      </c>
    </row>
    <row r="4937" spans="8:8">
      <c r="G4937" s="9">
        <v>4934.0</v>
      </c>
      <c r="H4937" s="10">
        <f t="shared" si="119"/>
        <v>-0.013122285912468754</v>
      </c>
    </row>
    <row r="4938" spans="8:8">
      <c r="G4938" s="9">
        <v>4935.0</v>
      </c>
      <c r="H4938" s="10">
        <f t="shared" si="119"/>
        <v>0.008625698434332826</v>
      </c>
    </row>
    <row r="4939" spans="8:8">
      <c r="G4939" s="9">
        <v>4936.0</v>
      </c>
      <c r="H4939" s="10">
        <f t="shared" si="119"/>
        <v>0.011907109595588463</v>
      </c>
    </row>
    <row r="4940" spans="8:8">
      <c r="G4940" s="9">
        <v>4937.0</v>
      </c>
      <c r="H4940" s="10">
        <f t="shared" si="119"/>
        <v>0.005106784455726421</v>
      </c>
    </row>
    <row r="4941" spans="8:8">
      <c r="G4941" s="9">
        <v>4938.0</v>
      </c>
      <c r="H4941" s="10">
        <f t="shared" si="119"/>
        <v>0.0018083381647375234</v>
      </c>
    </row>
    <row r="4942" spans="8:8">
      <c r="G4942" s="9">
        <v>4939.0</v>
      </c>
      <c r="H4942" s="10">
        <f t="shared" si="119"/>
        <v>-0.004092355266925838</v>
      </c>
    </row>
    <row r="4943" spans="8:8">
      <c r="G4943" s="9">
        <v>4940.0</v>
      </c>
      <c r="H4943" s="10">
        <f t="shared" si="119"/>
        <v>-0.005396760974514552</v>
      </c>
    </row>
    <row r="4944" spans="8:8">
      <c r="G4944" s="9">
        <v>4941.0</v>
      </c>
      <c r="H4944" s="10">
        <f t="shared" si="119"/>
        <v>0.006507613662331829</v>
      </c>
    </row>
    <row r="4945" spans="8:8">
      <c r="G4945" s="9">
        <v>4942.0</v>
      </c>
      <c r="H4945" s="10">
        <f t="shared" si="119"/>
        <v>-1.0360312365979927E-5</v>
      </c>
    </row>
    <row r="4946" spans="8:8">
      <c r="G4946" s="9">
        <v>4943.0</v>
      </c>
      <c r="H4946" s="10">
        <f t="shared" si="119"/>
        <v>0.010784888860906422</v>
      </c>
    </row>
    <row r="4947" spans="8:8">
      <c r="G4947" s="9">
        <v>4944.0</v>
      </c>
      <c r="H4947" s="10">
        <f t="shared" si="119"/>
        <v>0.01585477195726997</v>
      </c>
    </row>
    <row r="4948" spans="8:8">
      <c r="G4948" s="9">
        <v>4945.0</v>
      </c>
      <c r="H4948" s="10">
        <f t="shared" si="119"/>
        <v>-0.0016469457651418305</v>
      </c>
    </row>
    <row r="4949" spans="8:8">
      <c r="G4949" s="9">
        <v>4946.0</v>
      </c>
      <c r="H4949" s="10">
        <f t="shared" si="119"/>
        <v>-0.007414974959115255</v>
      </c>
    </row>
    <row r="4950" spans="8:8">
      <c r="G4950" s="9">
        <v>4947.0</v>
      </c>
      <c r="H4950" s="10">
        <f t="shared" si="119"/>
        <v>-0.01720428695315498</v>
      </c>
    </row>
    <row r="4951" spans="8:8">
      <c r="G4951" s="9">
        <v>4948.0</v>
      </c>
      <c r="H4951" s="10">
        <f t="shared" si="119"/>
        <v>0.0050789668725629905</v>
      </c>
    </row>
    <row r="4952" spans="8:8">
      <c r="G4952" s="9">
        <v>4949.0</v>
      </c>
      <c r="H4952" s="10">
        <f t="shared" si="119"/>
        <v>0.008949841767233969</v>
      </c>
    </row>
    <row r="4953" spans="8:8">
      <c r="G4953" s="9">
        <v>4950.0</v>
      </c>
      <c r="H4953" s="10">
        <f t="shared" si="119"/>
        <v>0.02553408549592745</v>
      </c>
    </row>
    <row r="4954" spans="8:8">
      <c r="G4954" s="9">
        <v>4951.0</v>
      </c>
      <c r="H4954" s="10">
        <f t="shared" si="119"/>
        <v>-0.009719825925459155</v>
      </c>
    </row>
    <row r="4955" spans="8:8">
      <c r="G4955" s="9">
        <v>4952.0</v>
      </c>
      <c r="H4955" s="10">
        <f t="shared" si="119"/>
        <v>0.0015274210112119963</v>
      </c>
    </row>
    <row r="4956" spans="8:8">
      <c r="G4956" s="9">
        <v>4953.0</v>
      </c>
      <c r="H4956" s="10">
        <f t="shared" si="119"/>
        <v>-0.0025110111206122386</v>
      </c>
    </row>
    <row r="4957" spans="8:8">
      <c r="G4957" s="9">
        <v>4954.0</v>
      </c>
      <c r="H4957" s="10">
        <f t="shared" si="119"/>
        <v>-0.009699777023644888</v>
      </c>
    </row>
    <row r="4958" spans="8:8">
      <c r="G4958" s="9">
        <v>4955.0</v>
      </c>
      <c r="H4958" s="10">
        <f t="shared" si="119"/>
        <v>0.014219398492909083</v>
      </c>
    </row>
    <row r="4959" spans="8:8">
      <c r="G4959" s="9">
        <v>4956.0</v>
      </c>
      <c r="H4959" s="10">
        <f t="shared" si="119"/>
        <v>-0.015404363065985624</v>
      </c>
    </row>
    <row r="4960" spans="8:8">
      <c r="G4960" s="9">
        <v>4957.0</v>
      </c>
      <c r="H4960" s="10">
        <f t="shared" si="119"/>
        <v>-0.005266858333127309</v>
      </c>
    </row>
    <row r="4961" spans="8:8">
      <c r="G4961" s="9">
        <v>4958.0</v>
      </c>
      <c r="H4961" s="10">
        <f t="shared" si="119"/>
        <v>-0.008920215650645161</v>
      </c>
    </row>
    <row r="4962" spans="8:8">
      <c r="G4962" s="9">
        <v>4959.0</v>
      </c>
      <c r="H4962" s="10">
        <f t="shared" si="119"/>
        <v>0.003995225496057247</v>
      </c>
    </row>
    <row r="4963" spans="8:8">
      <c r="G4963" s="9">
        <v>4960.0</v>
      </c>
      <c r="H4963" s="10">
        <f t="shared" si="119"/>
        <v>0.005658232196738155</v>
      </c>
    </row>
    <row r="4964" spans="8:8">
      <c r="G4964" s="9">
        <v>4961.0</v>
      </c>
      <c r="H4964" s="10">
        <f t="shared" si="119"/>
        <v>0.010032192139107348</v>
      </c>
    </row>
    <row r="4965" spans="8:8">
      <c r="G4965" s="9">
        <v>4962.0</v>
      </c>
      <c r="H4965" s="10">
        <f t="shared" si="119"/>
        <v>0.002720652114680355</v>
      </c>
    </row>
    <row r="4966" spans="8:8">
      <c r="G4966" s="9">
        <v>4963.0</v>
      </c>
      <c r="H4966" s="10">
        <f t="shared" si="119"/>
        <v>-0.005255601106785035</v>
      </c>
    </row>
    <row r="4967" spans="8:8">
      <c r="G4967" s="9">
        <v>4964.0</v>
      </c>
      <c r="H4967" s="10">
        <f t="shared" si="119"/>
        <v>-0.008445767766286468</v>
      </c>
    </row>
    <row r="4968" spans="8:8">
      <c r="G4968" s="9">
        <v>4965.0</v>
      </c>
      <c r="H4968" s="10">
        <f t="shared" si="119"/>
        <v>-0.00419349146738542</v>
      </c>
    </row>
    <row r="4969" spans="8:8">
      <c r="G4969" s="9">
        <v>4966.0</v>
      </c>
      <c r="H4969" s="10">
        <f t="shared" si="119"/>
        <v>-0.018417746778381407</v>
      </c>
    </row>
    <row r="4970" spans="8:8">
      <c r="G4970" s="9">
        <v>4967.0</v>
      </c>
      <c r="H4970" s="10">
        <f t="shared" si="119"/>
        <v>0.011555218130885472</v>
      </c>
    </row>
    <row r="4971" spans="8:8">
      <c r="G4971" s="9">
        <v>4968.0</v>
      </c>
      <c r="H4971" s="10">
        <f t="shared" si="119"/>
        <v>0.005765279223366277</v>
      </c>
    </row>
    <row r="4972" spans="8:8">
      <c r="G4972" s="9">
        <v>4969.0</v>
      </c>
      <c r="H4972" s="10">
        <f t="shared" si="119"/>
        <v>-0.005629701489215278</v>
      </c>
    </row>
    <row r="4973" spans="8:8">
      <c r="G4973" s="9">
        <v>4970.0</v>
      </c>
      <c r="H4973" s="10">
        <f t="shared" si="119"/>
        <v>0.003454752958374466</v>
      </c>
    </row>
    <row r="4974" spans="8:8">
      <c r="G4974" s="9">
        <v>4971.0</v>
      </c>
      <c r="H4974" s="10">
        <f t="shared" si="119"/>
        <v>0.012635507593655348</v>
      </c>
    </row>
    <row r="4975" spans="8:8">
      <c r="G4975" s="9">
        <v>4972.0</v>
      </c>
      <c r="H4975" s="10">
        <f t="shared" si="119"/>
        <v>-6.456866473115198E-4</v>
      </c>
    </row>
    <row r="4976" spans="8:8">
      <c r="G4976" s="9">
        <v>4973.0</v>
      </c>
      <c r="H4976" s="10">
        <f t="shared" si="119"/>
        <v>0.016123739866191717</v>
      </c>
    </row>
    <row r="4977" spans="8:8">
      <c r="G4977" s="9">
        <v>4974.0</v>
      </c>
      <c r="H4977" s="10">
        <f t="shared" si="119"/>
        <v>0.015568122149122246</v>
      </c>
    </row>
    <row r="4978" spans="8:8">
      <c r="G4978" s="9">
        <v>4975.0</v>
      </c>
      <c r="H4978" s="10">
        <f t="shared" si="119"/>
        <v>0.0011505829692422015</v>
      </c>
    </row>
    <row r="4979" spans="8:8">
      <c r="G4979" s="9">
        <v>4976.0</v>
      </c>
      <c r="H4979" s="10">
        <f t="shared" si="119"/>
        <v>0.004085848191589664</v>
      </c>
    </row>
    <row r="4980" spans="8:8">
      <c r="G4980" s="9">
        <v>4977.0</v>
      </c>
      <c r="H4980" s="10">
        <f t="shared" si="119"/>
        <v>0.007174484457610212</v>
      </c>
    </row>
    <row r="4981" spans="8:8">
      <c r="G4981" s="9">
        <v>4978.0</v>
      </c>
      <c r="H4981" s="10">
        <f t="shared" si="119"/>
        <v>0.011048453628817453</v>
      </c>
    </row>
    <row r="4982" spans="8:8">
      <c r="G4982" s="9">
        <v>4979.0</v>
      </c>
      <c r="H4982" s="10">
        <f t="shared" si="119"/>
        <v>0.0017190099843142407</v>
      </c>
    </row>
    <row r="4983" spans="8:8">
      <c r="G4983" s="9">
        <v>4980.0</v>
      </c>
      <c r="H4983" s="10">
        <f t="shared" si="119"/>
        <v>-0.0030993046911376504</v>
      </c>
    </row>
    <row r="4984" spans="8:8">
      <c r="G4984" s="9">
        <v>4981.0</v>
      </c>
      <c r="H4984" s="10">
        <f t="shared" si="119"/>
        <v>0.0024827061033379375</v>
      </c>
    </row>
    <row r="4985" spans="8:8">
      <c r="G4985" s="9">
        <v>4982.0</v>
      </c>
      <c r="H4985" s="10">
        <f t="shared" si="119"/>
        <v>-0.008621883058456174</v>
      </c>
    </row>
    <row r="4986" spans="8:8">
      <c r="G4986" s="9">
        <v>4983.0</v>
      </c>
      <c r="H4986" s="10">
        <f t="shared" si="119"/>
        <v>0.0017015227453885456</v>
      </c>
    </row>
    <row r="4987" spans="8:8">
      <c r="G4987" s="9">
        <v>4984.0</v>
      </c>
      <c r="H4987" s="10">
        <f t="shared" si="119"/>
        <v>0.022170830581620015</v>
      </c>
    </row>
    <row r="4988" spans="8:8">
      <c r="G4988" s="9">
        <v>4985.0</v>
      </c>
      <c r="H4988" s="10">
        <f t="shared" si="119"/>
        <v>-0.007782960187547248</v>
      </c>
    </row>
    <row r="4989" spans="8:8">
      <c r="G4989" s="9">
        <v>4986.0</v>
      </c>
      <c r="H4989" s="10">
        <f t="shared" si="119"/>
        <v>0.01260587203192894</v>
      </c>
    </row>
    <row r="4990" spans="8:8">
      <c r="G4990" s="9">
        <v>4987.0</v>
      </c>
      <c r="H4990" s="10">
        <f t="shared" si="119"/>
        <v>-0.01558193779782718</v>
      </c>
    </row>
    <row r="4991" spans="8:8">
      <c r="G4991" s="9">
        <v>4988.0</v>
      </c>
      <c r="H4991" s="10">
        <f t="shared" si="119"/>
        <v>-0.003351425097808943</v>
      </c>
    </row>
    <row r="4992" spans="8:8">
      <c r="G4992" s="9">
        <v>4989.0</v>
      </c>
      <c r="H4992" s="10">
        <f t="shared" si="119"/>
        <v>0.002353859677909384</v>
      </c>
    </row>
    <row r="4993" spans="8:8">
      <c r="G4993" s="9">
        <v>4990.0</v>
      </c>
      <c r="H4993" s="10">
        <f t="shared" si="119"/>
        <v>0.008428113548450484</v>
      </c>
    </row>
    <row r="4994" spans="8:8">
      <c r="G4994" s="9">
        <v>4991.0</v>
      </c>
      <c r="H4994" s="10">
        <f t="shared" si="119"/>
        <v>0.002150919099442603</v>
      </c>
    </row>
    <row r="4995" spans="8:8">
      <c r="G4995" s="9">
        <v>4992.0</v>
      </c>
      <c r="H4995" s="10">
        <f t="shared" si="119"/>
        <v>-2.654949634361601E-4</v>
      </c>
    </row>
    <row r="4996" spans="8:8">
      <c r="G4996" s="9">
        <v>4993.0</v>
      </c>
      <c r="H4996" s="10">
        <f t="shared" si="119"/>
        <v>-0.001890079789956315</v>
      </c>
    </row>
    <row r="4997" spans="8:8">
      <c r="G4997" s="9">
        <v>4994.0</v>
      </c>
      <c r="H4997" s="10">
        <f t="shared" si="120" ref="H4997:H5003">_xlfn.NORM.INV(RAND(),N$6,N$7)</f>
        <v>0.02556196000231586</v>
      </c>
    </row>
    <row r="4998" spans="8:8">
      <c r="G4998" s="9">
        <v>4995.0</v>
      </c>
      <c r="H4998" s="10">
        <f t="shared" si="120"/>
        <v>-0.0013505874297083205</v>
      </c>
    </row>
    <row r="4999" spans="8:8">
      <c r="G4999" s="9">
        <v>4996.0</v>
      </c>
      <c r="H4999" s="10">
        <f t="shared" si="120"/>
        <v>-0.0055777731735221865</v>
      </c>
    </row>
    <row r="5000" spans="8:8">
      <c r="G5000" s="9">
        <v>4997.0</v>
      </c>
      <c r="H5000" s="10">
        <f t="shared" si="120"/>
        <v>0.012292333895592481</v>
      </c>
    </row>
    <row r="5001" spans="8:8">
      <c r="G5001" s="9">
        <v>4998.0</v>
      </c>
      <c r="H5001" s="10">
        <f t="shared" si="120"/>
        <v>-1.7898446249349758E-4</v>
      </c>
    </row>
    <row r="5002" spans="8:8">
      <c r="G5002" s="9">
        <v>4999.0</v>
      </c>
      <c r="H5002" s="10">
        <f t="shared" si="120"/>
        <v>0.0039932741297329395</v>
      </c>
    </row>
    <row r="5003" spans="8:8">
      <c r="G5003" s="9">
        <v>5000.0</v>
      </c>
      <c r="H5003" s="10">
        <f t="shared" si="120"/>
        <v>0.0011089867237171723</v>
      </c>
    </row>
  </sheetData>
  <autoFilter ref="B3:E2479">
    <filterColumn colId="0" showButton="1"/>
  </autoFilter>
  <pageMargins left="0.7" right="0.96" top="0.29" bottom="0.11" header="0.3" footer="0.3"/>
  <pageSetup paperSize="9" scale="77" orientation="landscape"/>
  <drawing r:id="rId1"/>
</worksheet>
</file>

<file path=xl/worksheets/sheet4.xml><?xml version="1.0" encoding="utf-8"?>
<worksheet xmlns:r="http://schemas.openxmlformats.org/officeDocument/2006/relationships" xmlns="http://schemas.openxmlformats.org/spreadsheetml/2006/main">
  <dimension ref="B1:Y106"/>
  <sheetViews>
    <sheetView tabSelected="1" workbookViewId="0" topLeftCell="B1" showGridLines="0" zoomScale="73">
      <selection activeCell="B18" sqref="B18"/>
    </sheetView>
  </sheetViews>
  <sheetFormatPr defaultRowHeight="15.0" defaultColWidth="10"/>
  <cols>
    <col min="1" max="1" customWidth="1" width="1.8554688" style="0"/>
    <col min="2" max="2" customWidth="1" width="35.710938" style="0"/>
    <col min="3" max="9" customWidth="1" width="12.7109375" style="0"/>
  </cols>
  <sheetData>
    <row r="1" spans="8:8">
      <c r="B1" s="2"/>
      <c r="C1" s="2"/>
      <c r="D1" s="2"/>
      <c r="E1" s="2"/>
      <c r="F1" s="2"/>
      <c r="G1" s="2"/>
      <c r="H1" s="2"/>
      <c r="I1" s="2"/>
      <c r="J1" s="2"/>
    </row>
    <row r="2" spans="8:8" ht="7.5" customHeight="1"/>
    <row r="3" spans="8:8" ht="36.0" customHeight="1">
      <c r="B3" s="33" t="str">
        <f>'Data Sheet'!B1</f>
        <v>LARSEN &amp; TOUBRO LTD</v>
      </c>
    </row>
    <row r="4" spans="8:8">
      <c r="B4" t="str">
        <f>CONCATENATE("(",_xlfn.XLOOKUP(B3,'List Of Stocks'!B2:B5442,'List Of Stocks'!D2:D5442)," ","|"," ","BSE Code:"," ",_xlfn.XLOOKUP('Altman Z Score'!B3,'List Of Stocks'!B2:B5442,'List Of Stocks'!C2:C5442)," ",")")</f>
        <v>(LT | BSE Code: 500510 )</v>
      </c>
    </row>
    <row r="5" spans="8:8" ht="18.75">
      <c r="B5" s="34" t="str">
        <f>CONCATENATE("INR"," ",'Data Sheet'!B8)</f>
        <v>INR 3785.6</v>
      </c>
    </row>
    <row r="6" spans="8:8">
      <c r="B6" t="str">
        <f>"52 Week"&amp;"  "&amp;"("&amp;"High -"&amp;" INR "&amp;'Football Field Analysis'!Q10&amp;"  "&amp;"LOW - "&amp;" INR "&amp;'Football Field Analysis'!N10&amp;")"</f>
        <v>52 Week  (High - INR 4440  LOW -  INR 3288)</v>
      </c>
    </row>
    <row r="7" spans="8:8" ht="31.5" customHeight="1"/>
    <row r="8" spans="8:8" ht="30.75" customHeight="1">
      <c r="B8" s="35" t="s">
        <v>8554</v>
      </c>
      <c r="C8" s="35"/>
      <c r="D8" s="35"/>
      <c r="E8" s="35"/>
      <c r="F8" s="35"/>
      <c r="G8" s="35"/>
      <c r="H8" s="35"/>
      <c r="I8" s="35"/>
    </row>
    <row r="9" spans="8:8" ht="15.75" customHeight="1">
      <c r="B9" s="36" t="s">
        <v>8573</v>
      </c>
      <c r="C9" s="37"/>
      <c r="D9" s="37"/>
      <c r="E9" s="37"/>
      <c r="F9" s="37"/>
      <c r="G9" s="37"/>
      <c r="H9" s="37"/>
      <c r="I9" s="37"/>
    </row>
    <row r="10" spans="8:8" ht="15.0" customHeight="1">
      <c r="B10" s="37"/>
      <c r="C10" s="37"/>
      <c r="D10" s="37"/>
      <c r="E10" s="37"/>
      <c r="F10" s="37"/>
      <c r="G10" s="37"/>
      <c r="H10" s="37"/>
      <c r="I10" s="37"/>
    </row>
    <row r="11" spans="8:8" ht="15.0" customHeight="1">
      <c r="B11" s="37"/>
      <c r="C11" s="37"/>
      <c r="D11" s="37"/>
      <c r="E11" s="37"/>
      <c r="F11" s="37"/>
      <c r="G11" s="37"/>
      <c r="H11" s="37"/>
      <c r="I11" s="37"/>
    </row>
    <row r="12" spans="8:8">
      <c r="B12" s="37"/>
      <c r="C12" s="37"/>
      <c r="D12" s="37"/>
      <c r="E12" s="37"/>
      <c r="F12" s="37"/>
      <c r="G12" s="37"/>
      <c r="H12" s="37"/>
      <c r="I12" s="37"/>
    </row>
    <row r="13" spans="8:8">
      <c r="B13" s="37"/>
      <c r="C13" s="37"/>
      <c r="D13" s="37"/>
      <c r="E13" s="37"/>
      <c r="F13" s="37"/>
      <c r="G13" s="37"/>
      <c r="H13" s="37"/>
      <c r="I13" s="37"/>
    </row>
    <row r="14" spans="8:8" ht="24.75" customHeight="1">
      <c r="B14" s="37"/>
      <c r="C14" s="37"/>
      <c r="D14" s="37"/>
      <c r="E14" s="37"/>
      <c r="F14" s="37"/>
      <c r="G14" s="37"/>
      <c r="H14" s="37"/>
      <c r="I14" s="37"/>
    </row>
    <row r="15" spans="8:8" ht="6.0" customHeight="1">
      <c r="B15" s="37"/>
      <c r="C15" s="37"/>
      <c r="D15" s="37"/>
      <c r="E15" s="37"/>
      <c r="F15" s="37"/>
      <c r="G15" s="37"/>
      <c r="H15" s="37"/>
      <c r="I15" s="37"/>
    </row>
    <row r="16" spans="8:8" ht="21.75" customHeight="1">
      <c r="B16" s="34" t="s">
        <v>8551</v>
      </c>
    </row>
    <row r="17" spans="8:8" ht="10.5" customHeight="1">
      <c r="B17" s="38"/>
    </row>
    <row r="18" spans="8:8" ht="18.75">
      <c r="B18" s="38"/>
    </row>
    <row r="19" spans="8:8">
      <c r="B19" s="39"/>
    </row>
    <row r="20" spans="8:8">
      <c r="B20" s="40"/>
    </row>
    <row r="61" spans="8:8" ht="19.5" customHeight="1"/>
    <row r="62" spans="8:8">
      <c r="B62" s="41"/>
      <c r="C62" s="41"/>
      <c r="D62" s="41"/>
      <c r="E62" s="41"/>
      <c r="F62" s="41"/>
      <c r="G62" s="41"/>
      <c r="H62" s="41"/>
      <c r="I62" s="41"/>
      <c r="J62" s="41"/>
    </row>
    <row r="63" spans="8:8" ht="0.75" customHeight="1"/>
    <row r="64" spans="8:8">
      <c r="B64" s="2"/>
      <c r="C64" s="2"/>
      <c r="D64" s="2"/>
      <c r="E64" s="2"/>
      <c r="F64" s="2"/>
      <c r="G64" s="2"/>
      <c r="H64" s="2"/>
      <c r="I64" s="2"/>
      <c r="J64" s="2"/>
    </row>
    <row r="67" spans="8:8">
      <c r="B67" s="42" t="s">
        <v>8555</v>
      </c>
      <c r="C67" s="42"/>
      <c r="D67" s="42"/>
      <c r="E67" s="42"/>
      <c r="F67" s="42"/>
      <c r="G67" s="42"/>
      <c r="H67" s="42"/>
      <c r="I67" s="42"/>
    </row>
    <row r="68" spans="8:8">
      <c r="C68" s="43">
        <f>HistoricalFS!F3</f>
        <v>43921.0</v>
      </c>
      <c r="D68" s="43">
        <f>HistoricalFS!G3</f>
        <v>44286.0</v>
      </c>
      <c r="E68" s="43">
        <f>HistoricalFS!H3</f>
        <v>44651.0</v>
      </c>
      <c r="F68" s="43">
        <f>HistoricalFS!I3</f>
        <v>45016.0</v>
      </c>
      <c r="G68" s="43">
        <f>HistoricalFS!J3</f>
        <v>45382.0</v>
      </c>
      <c r="H68" s="43">
        <f>HistoricalFS!K3</f>
        <v>45747.0</v>
      </c>
      <c r="I68" s="43">
        <f>HistoricalFS!L3</f>
        <v>46112.0</v>
      </c>
    </row>
    <row r="69" spans="8:8">
      <c r="B69" t="s">
        <v>8556</v>
      </c>
      <c r="C69" s="44">
        <f>'Data Sheet'!E65-'Data Sheet'!E60</f>
        <v>142884.94</v>
      </c>
      <c r="D69" s="44">
        <f>'Data Sheet'!F65-'Data Sheet'!F60</f>
        <v>126051.26999999999</v>
      </c>
      <c r="E69" s="44">
        <f>'Data Sheet'!G65-'Data Sheet'!G60</f>
        <v>124326.00000000001</v>
      </c>
      <c r="F69" s="44">
        <f>'Data Sheet'!H65-'Data Sheet'!H60</f>
        <v>119471.51</v>
      </c>
      <c r="G69" s="44">
        <f>'Data Sheet'!I65-'Data Sheet'!I60</f>
        <v>111024.81</v>
      </c>
      <c r="H69" s="44">
        <f>'Data Sheet'!J65-'Data Sheet'!J60</f>
        <v>128615.12</v>
      </c>
      <c r="I69" s="44">
        <f>'Data Sheet'!K65-'Data Sheet'!K60</f>
        <v>132231.74</v>
      </c>
    </row>
    <row r="70" spans="8:8">
      <c r="B70" t="s">
        <v>112</v>
      </c>
      <c r="C70" s="44">
        <f>'Data Sheet'!E66</f>
        <v>306687.09</v>
      </c>
      <c r="D70" s="44">
        <f>'Data Sheet'!F66</f>
        <v>310095.05</v>
      </c>
      <c r="E70" s="44">
        <f>'Data Sheet'!G66</f>
        <v>319027.91</v>
      </c>
      <c r="F70" s="44">
        <f>'Data Sheet'!H66</f>
        <v>329721.88</v>
      </c>
      <c r="G70" s="44">
        <f>'Data Sheet'!I66</f>
        <v>339602.34</v>
      </c>
      <c r="H70" s="44">
        <f>'Data Sheet'!J66</f>
        <v>379114.09</v>
      </c>
      <c r="I70" s="44">
        <f>'Data Sheet'!K66</f>
        <v>452382.77</v>
      </c>
    </row>
    <row r="71" spans="8:8">
      <c r="B71" s="1" t="s">
        <v>8564</v>
      </c>
      <c r="C71" s="45">
        <f>C69/C70</f>
        <v>0.46589812437165184</v>
      </c>
      <c r="D71" s="45">
        <f>D69/D70</f>
        <v>0.4064923641960747</v>
      </c>
      <c r="E71" s="45">
        <f>E69/E70</f>
        <v>0.3897025811942285</v>
      </c>
      <c r="F71" s="45">
        <f>F69/F70</f>
        <v>0.3623402547625896</v>
      </c>
      <c r="G71" s="45">
        <f t="shared" si="0" ref="G71">G69/G70</f>
        <v>0.32692592754219535</v>
      </c>
      <c r="H71" s="45">
        <f>H69/H70</f>
        <v>0.3392517540036562</v>
      </c>
      <c r="I71" s="45">
        <f>I69/I70</f>
        <v>0.29230056661972337</v>
      </c>
    </row>
    <row r="73" spans="8:8">
      <c r="B73" s="42" t="s">
        <v>8557</v>
      </c>
      <c r="C73" s="42"/>
      <c r="D73" s="42"/>
      <c r="E73" s="42"/>
      <c r="F73" s="42"/>
      <c r="G73" s="42"/>
      <c r="H73" s="42"/>
      <c r="I73" s="42"/>
    </row>
    <row r="74" spans="8:8">
      <c r="C74" s="43">
        <f t="shared" si="1" ref="C74:H74">C68</f>
        <v>43921.0</v>
      </c>
      <c r="D74" s="43">
        <f t="shared" si="1"/>
        <v>44286.0</v>
      </c>
      <c r="E74" s="43">
        <f t="shared" si="1"/>
        <v>44651.0</v>
      </c>
      <c r="F74" s="43">
        <f t="shared" si="1"/>
        <v>45016.0</v>
      </c>
      <c r="G74" s="43">
        <f t="shared" si="1"/>
        <v>45382.0</v>
      </c>
      <c r="H74" s="43">
        <f t="shared" si="1"/>
        <v>45747.0</v>
      </c>
      <c r="I74" s="43">
        <f>I68</f>
        <v>46112.0</v>
      </c>
    </row>
    <row r="75" spans="8:8">
      <c r="B75" t="s">
        <v>96</v>
      </c>
      <c r="C75" s="44">
        <f>HistoricalFS!F36*HistoricalFS!F38*HistoricalFS!F44</f>
        <v>5279.829999999998</v>
      </c>
      <c r="D75" s="44">
        <f>HistoricalFS!G36*HistoricalFS!G38*HistoricalFS!G44</f>
        <v>0.0</v>
      </c>
      <c r="E75" s="44">
        <f>HistoricalFS!H36*HistoricalFS!H38*HistoricalFS!H44</f>
        <v>4835.9299999999985</v>
      </c>
      <c r="F75" s="44">
        <f>HistoricalFS!I36*HistoricalFS!I38*HistoricalFS!I44</f>
        <v>6360.970000000003</v>
      </c>
      <c r="G75" s="44">
        <f>HistoricalFS!J36*HistoricalFS!J38*HistoricalFS!J44</f>
        <v>5942.4199999999955</v>
      </c>
      <c r="H75" s="44">
        <f>HistoricalFS!K36*HistoricalFS!K38*HistoricalFS!K44</f>
        <v>9813.860000000002</v>
      </c>
      <c r="I75" s="44">
        <f>HistoricalFS!L36*HistoricalFS!L38*HistoricalFS!L44</f>
        <v>8946.129999999996</v>
      </c>
      <c r="Q75" s="46"/>
      <c r="R75" s="46"/>
      <c r="S75" s="46"/>
      <c r="T75" s="46"/>
      <c r="U75" s="46"/>
      <c r="V75" s="46"/>
      <c r="W75" s="46"/>
      <c r="X75" s="46"/>
    </row>
    <row r="76" spans="8:8">
      <c r="B76" t="str">
        <f>B70</f>
        <v>Total Assets</v>
      </c>
      <c r="C76" s="44">
        <f>C$70</f>
        <v>306687.09</v>
      </c>
      <c r="D76" s="44">
        <f t="shared" si="2" ref="D76:I76">D$70</f>
        <v>310095.05</v>
      </c>
      <c r="E76" s="44">
        <f t="shared" si="2"/>
        <v>319027.91</v>
      </c>
      <c r="F76" s="44">
        <f t="shared" si="2"/>
        <v>329721.88</v>
      </c>
      <c r="G76" s="44">
        <f t="shared" si="2"/>
        <v>339602.34</v>
      </c>
      <c r="H76" s="44">
        <f t="shared" si="2"/>
        <v>379114.09</v>
      </c>
      <c r="I76" s="44">
        <f t="shared" si="2"/>
        <v>452382.77</v>
      </c>
      <c r="J76" s="44"/>
      <c r="K76" s="44"/>
      <c r="L76" s="44"/>
    </row>
    <row r="77" spans="8:8">
      <c r="B77" s="1" t="s">
        <v>8565</v>
      </c>
      <c r="C77" s="45">
        <f t="shared" si="3" ref="C77:H77">C75/C76</f>
        <v>0.017215690428964578</v>
      </c>
      <c r="D77" s="45">
        <f t="shared" si="3"/>
        <v>0.0</v>
      </c>
      <c r="E77" s="45">
        <f t="shared" si="3"/>
        <v>0.015158328937427445</v>
      </c>
      <c r="F77" s="45">
        <f t="shared" si="3"/>
        <v>0.019291925667777956</v>
      </c>
      <c r="G77" s="45">
        <f t="shared" si="3"/>
        <v>0.017498171537922838</v>
      </c>
      <c r="H77" s="45">
        <f t="shared" si="3"/>
        <v>0.025886297182993123</v>
      </c>
      <c r="I77" s="45">
        <f>I75/I76</f>
        <v>0.019775576333289607</v>
      </c>
    </row>
    <row r="79" spans="8:8">
      <c r="B79" s="42" t="s">
        <v>8558</v>
      </c>
      <c r="C79" s="42"/>
      <c r="D79" s="42"/>
      <c r="E79" s="42"/>
      <c r="F79" s="42"/>
      <c r="G79" s="42"/>
      <c r="H79" s="42"/>
      <c r="I79" s="42"/>
    </row>
    <row r="80" spans="8:8">
      <c r="C80" s="43">
        <f t="shared" si="4" ref="C80:I80">C74</f>
        <v>43921.0</v>
      </c>
      <c r="D80" s="43">
        <f t="shared" si="4"/>
        <v>44286.0</v>
      </c>
      <c r="E80" s="43">
        <f t="shared" si="4"/>
        <v>44651.0</v>
      </c>
      <c r="F80" s="43">
        <f t="shared" si="4"/>
        <v>45016.0</v>
      </c>
      <c r="G80" s="43">
        <f t="shared" si="4"/>
        <v>45382.0</v>
      </c>
      <c r="H80" s="43">
        <f t="shared" si="4"/>
        <v>45747.0</v>
      </c>
      <c r="I80" s="43">
        <f t="shared" si="4"/>
        <v>46112.0</v>
      </c>
    </row>
    <row r="81" spans="8:8">
      <c r="B81" t="s">
        <v>190</v>
      </c>
      <c r="C81" s="44">
        <f>HistoricalFS!F18-HistoricalFS!F24</f>
        <v>22090.829999999998</v>
      </c>
      <c r="D81" s="44">
        <f>HistoricalFS!G18-HistoricalFS!G24</f>
        <v>20556.030000000002</v>
      </c>
      <c r="E81" s="44">
        <f>HistoricalFS!H18-HistoricalFS!H24</f>
        <v>21365.94</v>
      </c>
      <c r="F81" s="44">
        <f>HistoricalFS!I18-HistoricalFS!I24</f>
        <v>23663.77</v>
      </c>
      <c r="G81" s="44">
        <f>HistoricalFS!J18-HistoricalFS!J24</f>
        <v>25075.79</v>
      </c>
      <c r="H81" s="44">
        <f>HistoricalFS!K18-HistoricalFS!K24</f>
        <v>30305.72</v>
      </c>
      <c r="I81" s="44">
        <f>HistoricalFS!L18-HistoricalFS!L24</f>
        <v>31045.949999999997</v>
      </c>
    </row>
    <row r="82" spans="8:8">
      <c r="B82" t="str">
        <f>B76</f>
        <v>Total Assets</v>
      </c>
      <c r="C82" s="44">
        <f>C76</f>
        <v>306687.09</v>
      </c>
      <c r="D82" s="44">
        <f t="shared" si="5" ref="D82:I82">D76</f>
        <v>310095.05</v>
      </c>
      <c r="E82" s="44">
        <f t="shared" si="5"/>
        <v>319027.91</v>
      </c>
      <c r="F82" s="44">
        <f t="shared" si="5"/>
        <v>329721.88</v>
      </c>
      <c r="G82" s="44">
        <f t="shared" si="5"/>
        <v>339602.34</v>
      </c>
      <c r="H82" s="44">
        <f t="shared" si="5"/>
        <v>379114.09</v>
      </c>
      <c r="I82" s="44">
        <f t="shared" si="5"/>
        <v>452382.77</v>
      </c>
    </row>
    <row r="83" spans="8:8">
      <c r="B83" s="1" t="s">
        <v>8566</v>
      </c>
      <c r="C83" s="45">
        <f t="shared" si="6" ref="C83:H83">C81/C82</f>
        <v>0.07203051814147116</v>
      </c>
      <c r="D83" s="45">
        <f t="shared" si="6"/>
        <v>0.06628944899313938</v>
      </c>
      <c r="E83" s="45">
        <f t="shared" si="6"/>
        <v>0.0669720088126459</v>
      </c>
      <c r="F83" s="45">
        <f t="shared" si="6"/>
        <v>0.0717688798814322</v>
      </c>
      <c r="G83" s="45">
        <f t="shared" si="6"/>
        <v>0.0738386843859792</v>
      </c>
      <c r="H83" s="45">
        <f t="shared" si="6"/>
        <v>0.07993825816392104</v>
      </c>
      <c r="I83" s="45">
        <f>I81/I82</f>
        <v>0.06862761373515618</v>
      </c>
    </row>
    <row r="84" spans="8:8">
      <c r="B84" s="47"/>
      <c r="C84" s="48"/>
      <c r="D84" s="48"/>
      <c r="E84" s="48"/>
      <c r="F84" s="48"/>
      <c r="G84" s="48"/>
      <c r="H84" s="48"/>
      <c r="I84" s="48"/>
    </row>
    <row r="85" spans="8:8">
      <c r="B85" s="42" t="s">
        <v>8559</v>
      </c>
      <c r="C85" s="42"/>
      <c r="D85" s="42"/>
      <c r="E85" s="42"/>
      <c r="F85" s="42"/>
      <c r="G85" s="42"/>
      <c r="H85" s="42"/>
      <c r="I85" s="42"/>
    </row>
    <row r="86" spans="8:8">
      <c r="C86" s="43">
        <f t="shared" si="7" ref="C86:I86">C80</f>
        <v>43921.0</v>
      </c>
      <c r="D86" s="43">
        <f t="shared" si="7"/>
        <v>44286.0</v>
      </c>
      <c r="E86" s="43">
        <f t="shared" si="7"/>
        <v>44651.0</v>
      </c>
      <c r="F86" s="43">
        <f t="shared" si="7"/>
        <v>45016.0</v>
      </c>
      <c r="G86" s="43">
        <f t="shared" si="7"/>
        <v>45382.0</v>
      </c>
      <c r="H86" s="43">
        <f t="shared" si="7"/>
        <v>45747.0</v>
      </c>
      <c r="I86" s="43">
        <f t="shared" si="7"/>
        <v>46112.0</v>
      </c>
    </row>
    <row r="87" spans="8:8">
      <c r="B87" t="s">
        <v>8560</v>
      </c>
      <c r="C87" s="44">
        <f>('Data Sheet'!E70*'Data Sheet'!E90)/10000000</f>
        <v>113504.6699787</v>
      </c>
      <c r="D87" s="44">
        <f>('Data Sheet'!F70*'Data Sheet'!F90)/10000000</f>
        <v>199292.35109133</v>
      </c>
      <c r="E87" s="44">
        <f>('Data Sheet'!G70*'Data Sheet'!G90)/10000000</f>
        <v>248359.97292709502</v>
      </c>
      <c r="F87" s="44">
        <f>('Data Sheet'!H70*'Data Sheet'!H90)/10000000</f>
        <v>304174.4555598</v>
      </c>
      <c r="G87" s="44">
        <f>('Data Sheet'!I70*'Data Sheet'!I90)/10000000</f>
        <v>517411.5215054101</v>
      </c>
      <c r="H87" s="44">
        <f>('Data Sheet'!J70*'Data Sheet'!J90)/10000000</f>
        <v>480258.35978295</v>
      </c>
      <c r="I87" s="44">
        <f>('Data Sheet'!K70*'Data Sheet'!K90)/10000000</f>
        <v>482035.2756979</v>
      </c>
    </row>
    <row r="88" spans="8:8">
      <c r="B88" t="s">
        <v>8561</v>
      </c>
      <c r="C88" s="44">
        <f>'Data Sheet'!E59</f>
        <v>143173.67</v>
      </c>
      <c r="D88" s="44">
        <f>'Data Sheet'!F59</f>
        <v>134629.08</v>
      </c>
      <c r="E88" s="44">
        <f>'Data Sheet'!G59</f>
        <v>125508.08</v>
      </c>
      <c r="F88" s="44">
        <f>'Data Sheet'!H59</f>
        <v>120650.44</v>
      </c>
      <c r="G88" s="44">
        <f>'Data Sheet'!I59</f>
        <v>116322.22</v>
      </c>
      <c r="H88" s="44">
        <f>'Data Sheet'!J59</f>
        <v>132408.92</v>
      </c>
      <c r="I88" s="44">
        <f>'Data Sheet'!K59</f>
        <v>125496.59</v>
      </c>
    </row>
    <row r="89" spans="8:8">
      <c r="B89" s="1" t="s">
        <v>8567</v>
      </c>
      <c r="C89" s="45">
        <f t="shared" si="8" ref="C89:H89">C87/C88</f>
        <v>0.7927761436771159</v>
      </c>
      <c r="D89" s="45">
        <f t="shared" si="8"/>
        <v>1.4803068630590808</v>
      </c>
      <c r="E89" s="45">
        <f t="shared" si="8"/>
        <v>1.9788365253224733</v>
      </c>
      <c r="F89" s="45">
        <f t="shared" si="8"/>
        <v>2.5211218090858183</v>
      </c>
      <c r="G89" s="45">
        <f t="shared" si="8"/>
        <v>4.448088434913038</v>
      </c>
      <c r="H89" s="45">
        <f t="shared" si="8"/>
        <v>3.627084638881957</v>
      </c>
      <c r="I89" s="45">
        <f>I87/I88</f>
        <v>3.841022897099435</v>
      </c>
      <c r="L89" s="49"/>
    </row>
    <row r="91" spans="8:8">
      <c r="B91" s="47"/>
      <c r="C91" s="48"/>
      <c r="D91" s="48"/>
      <c r="E91" s="48"/>
      <c r="F91" s="48"/>
      <c r="G91" s="48"/>
      <c r="H91" s="48"/>
      <c r="I91" s="48"/>
    </row>
    <row r="93" spans="8:8">
      <c r="B93" s="42" t="s">
        <v>8562</v>
      </c>
      <c r="C93" s="42"/>
      <c r="D93" s="42"/>
      <c r="E93" s="42"/>
      <c r="F93" s="42"/>
      <c r="G93" s="42"/>
      <c r="H93" s="42"/>
      <c r="I93" s="42"/>
    </row>
    <row r="94" spans="8:8">
      <c r="C94" s="43">
        <f t="shared" si="9" ref="C94:H94">C86</f>
        <v>43921.0</v>
      </c>
      <c r="D94" s="43">
        <f t="shared" si="9"/>
        <v>44286.0</v>
      </c>
      <c r="E94" s="43">
        <f t="shared" si="9"/>
        <v>44651.0</v>
      </c>
      <c r="F94" s="43">
        <f t="shared" si="9"/>
        <v>45016.0</v>
      </c>
      <c r="G94" s="43">
        <f t="shared" si="9"/>
        <v>45382.0</v>
      </c>
      <c r="H94" s="43">
        <f t="shared" si="9"/>
        <v>45747.0</v>
      </c>
      <c r="I94" s="43">
        <f>I86</f>
        <v>46112.0</v>
      </c>
    </row>
    <row r="95" spans="8:8">
      <c r="B95" t="s">
        <v>8563</v>
      </c>
      <c r="C95" s="44">
        <f>'Data Sheet'!E17</f>
        <v>145452.36</v>
      </c>
      <c r="D95" s="44">
        <f>'Data Sheet'!F17</f>
        <v>135979.03</v>
      </c>
      <c r="E95" s="44">
        <f>'Data Sheet'!G17</f>
        <v>156521.23</v>
      </c>
      <c r="F95" s="44">
        <f>'Data Sheet'!H17</f>
        <v>183340.7</v>
      </c>
      <c r="G95" s="44">
        <f>'Data Sheet'!I17</f>
        <v>221112.91</v>
      </c>
      <c r="H95" s="44">
        <f>'Data Sheet'!J17</f>
        <v>255734.45</v>
      </c>
      <c r="I95" s="44">
        <f>'Data Sheet'!K17</f>
        <v>285874.36</v>
      </c>
    </row>
    <row r="96" spans="8:8">
      <c r="B96" t="s">
        <v>112</v>
      </c>
      <c r="C96" s="44">
        <f>C82</f>
        <v>306687.09</v>
      </c>
      <c r="D96" s="44">
        <f t="shared" si="10" ref="D96:I96">D82</f>
        <v>310095.05</v>
      </c>
      <c r="E96" s="44">
        <f t="shared" si="10"/>
        <v>319027.91</v>
      </c>
      <c r="F96" s="44">
        <f t="shared" si="10"/>
        <v>329721.88</v>
      </c>
      <c r="G96" s="44">
        <f t="shared" si="10"/>
        <v>339602.34</v>
      </c>
      <c r="H96" s="44">
        <f t="shared" si="10"/>
        <v>379114.09</v>
      </c>
      <c r="I96" s="44">
        <f t="shared" si="10"/>
        <v>452382.77</v>
      </c>
    </row>
    <row r="97" spans="8:8">
      <c r="B97" s="1" t="s">
        <v>8568</v>
      </c>
      <c r="C97" s="45">
        <f t="shared" si="11" ref="C97:I97">C95/C96</f>
        <v>0.47426958858946416</v>
      </c>
      <c r="D97" s="45">
        <f t="shared" si="11"/>
        <v>0.4385075801758203</v>
      </c>
      <c r="E97" s="45">
        <f t="shared" si="11"/>
        <v>0.4906192376710866</v>
      </c>
      <c r="F97" s="45">
        <f t="shared" si="11"/>
        <v>0.5560465080449014</v>
      </c>
      <c r="G97" s="45">
        <f t="shared" si="11"/>
        <v>0.6510935996495194</v>
      </c>
      <c r="H97" s="45">
        <f t="shared" si="11"/>
        <v>0.6745580202518983</v>
      </c>
      <c r="I97" s="45">
        <f t="shared" si="11"/>
        <v>0.631930256760221</v>
      </c>
    </row>
    <row r="99" spans="8:8">
      <c r="B99" s="42" t="s">
        <v>8569</v>
      </c>
      <c r="C99" s="42"/>
      <c r="D99" s="42"/>
      <c r="E99" s="42"/>
      <c r="F99" s="42"/>
      <c r="G99" s="42"/>
      <c r="H99" s="42"/>
      <c r="I99" s="42"/>
    </row>
    <row r="100" spans="8:8">
      <c r="C100" s="43">
        <f t="shared" si="12" ref="C100:H100">C94</f>
        <v>43921.0</v>
      </c>
      <c r="D100" s="43">
        <f t="shared" si="12"/>
        <v>44286.0</v>
      </c>
      <c r="E100" s="43">
        <f t="shared" si="12"/>
        <v>44651.0</v>
      </c>
      <c r="F100" s="43">
        <f t="shared" si="12"/>
        <v>45016.0</v>
      </c>
      <c r="G100" s="43">
        <f t="shared" si="12"/>
        <v>45382.0</v>
      </c>
      <c r="H100" s="43">
        <f t="shared" si="12"/>
        <v>45747.0</v>
      </c>
      <c r="I100" s="43">
        <f>I94</f>
        <v>46112.0</v>
      </c>
    </row>
    <row r="101" spans="8:8">
      <c r="B101" s="50" t="s">
        <v>8570</v>
      </c>
      <c r="C101" s="51">
        <f>(C71*1.2)+(C77*1.4)+(C83*3.3)+(C89*0.6)+(C97*1)</f>
        <v>1.7708157005091238</v>
      </c>
      <c r="D101" s="51">
        <f t="shared" si="13" ref="D101:I101">(D71*1.2)+(D77*1.4)+(D83*3.3)+(D89*0.6)+(D97*1)</f>
        <v>2.03323771672392</v>
      </c>
      <c r="E101" s="51">
        <f t="shared" si="13"/>
        <v>2.387793539891777</v>
      </c>
      <c r="F101" s="51">
        <f t="shared" si="13"/>
        <v>2.767373898755111</v>
      </c>
      <c r="G101" s="51">
        <f t="shared" si="13"/>
        <v>3.980422872274799</v>
      </c>
      <c r="H101" s="51">
        <f t="shared" si="13"/>
        <v>3.557947976382588</v>
      </c>
      <c r="I101" s="51">
        <f t="shared" si="13"/>
        <v>3.5414616071561706</v>
      </c>
    </row>
    <row r="102" spans="8:8">
      <c r="B102" t="s">
        <v>8571</v>
      </c>
      <c r="C102" s="52" t="str">
        <f>IF(C101&lt;1.81,"Distressed",IF(C101&gt;3,"Strong","Grey Zone"))</f>
        <v>Distressed</v>
      </c>
      <c r="D102" s="52" t="str">
        <f t="shared" si="14" ref="D102:I102">IF(D101&lt;1.81,"Distressed",IF(D101&gt;3,"Strong","Grey Zone"))</f>
        <v>Grey Zone</v>
      </c>
      <c r="E102" s="52" t="str">
        <f t="shared" si="14"/>
        <v>Grey Zone</v>
      </c>
      <c r="F102" s="52" t="str">
        <f t="shared" si="14"/>
        <v>Grey Zone</v>
      </c>
      <c r="G102" s="52" t="str">
        <f t="shared" si="14"/>
        <v>Strong</v>
      </c>
      <c r="H102" s="52" t="str">
        <f t="shared" si="14"/>
        <v>Strong</v>
      </c>
      <c r="I102" s="52" t="str">
        <f t="shared" si="14"/>
        <v>Strong</v>
      </c>
    </row>
    <row r="103" spans="8:8">
      <c r="C103" s="44"/>
      <c r="D103" s="44"/>
      <c r="E103" s="44"/>
      <c r="F103" s="44"/>
      <c r="G103" s="44"/>
      <c r="H103" s="44"/>
      <c r="I103" s="44"/>
    </row>
    <row r="106" spans="8:8">
      <c r="B106" s="50"/>
      <c r="C106" s="50"/>
      <c r="D106" s="50"/>
      <c r="E106" s="50"/>
      <c r="F106" s="50"/>
      <c r="G106" s="50"/>
      <c r="H106" s="50"/>
      <c r="I106" s="50"/>
      <c r="J106" s="50"/>
    </row>
  </sheetData>
  <mergeCells count="9">
    <mergeCell ref="B93:I93"/>
    <mergeCell ref="B99:I99"/>
    <mergeCell ref="B79:I79"/>
    <mergeCell ref="Q75:X75"/>
    <mergeCell ref="B85:I85"/>
    <mergeCell ref="B8:I8"/>
    <mergeCell ref="B9:I15"/>
    <mergeCell ref="B67:I67"/>
    <mergeCell ref="B73:I73"/>
  </mergeCells>
  <pageMargins left="0.25" right="0.0" top="0.5" bottom="0.6" header="0.0" footer="0.0"/>
  <pageSetup paperSize="9" scale="73"/>
  <headerFooter>
    <oddFooter>&amp;RPage &amp;P</oddFooter>
  </headerFooter>
  <ignoredErrors>
    <ignoredError sqref="C75 C81:I81" formula="1"/>
  </ignoredErrors>
  <drawing r:id="rId1"/>
</worksheet>
</file>

<file path=xl/worksheets/sheet5.xml><?xml version="1.0" encoding="utf-8"?>
<worksheet xmlns:r="http://schemas.openxmlformats.org/officeDocument/2006/relationships" xmlns="http://schemas.openxmlformats.org/spreadsheetml/2006/main">
  <sheetPr>
    <tabColor rgb="FF002060"/>
    <pageSetUpPr fitToPage="1"/>
  </sheetPr>
  <dimension ref="B1:K40"/>
  <sheetViews>
    <sheetView workbookViewId="0" showGridLines="0" zoomScale="98">
      <selection activeCell="F16" sqref="F16"/>
    </sheetView>
  </sheetViews>
  <sheetFormatPr defaultRowHeight="15.0" defaultColWidth="10" outlineLevelRow="1"/>
  <cols>
    <col min="1" max="1" customWidth="1" width="1.8554688" style="0"/>
    <col min="2" max="10" customWidth="1" width="12.7109375" style="0"/>
  </cols>
  <sheetData>
    <row r="2" spans="8:8">
      <c r="B2" s="1" t="s">
        <v>221</v>
      </c>
      <c r="C2" s="1"/>
      <c r="D2" s="1"/>
      <c r="E2" s="53">
        <f>'Intrisic Growth'!I2</f>
        <v>46082.0</v>
      </c>
      <c r="F2" s="54">
        <f>E2+365</f>
        <v>46447.0</v>
      </c>
      <c r="G2" s="54">
        <f t="shared" si="0" ref="G2:J2">F2+365</f>
        <v>46812.0</v>
      </c>
      <c r="H2" s="54">
        <f>G2+366</f>
        <v>47178.0</v>
      </c>
      <c r="I2" s="54">
        <f t="shared" si="0"/>
        <v>47543.0</v>
      </c>
      <c r="J2" s="54">
        <f t="shared" si="0"/>
        <v>47908.0</v>
      </c>
    </row>
    <row r="4" spans="8:8">
      <c r="B4" s="19" t="s">
        <v>190</v>
      </c>
      <c r="C4" s="19"/>
      <c r="D4" s="19"/>
      <c r="E4" s="55">
        <f>_xlfn.IFERROR('Data Sheet'!K34-'Data Sheet'!K26,0)</f>
        <v>32956.34</v>
      </c>
      <c r="F4" s="56">
        <f>E4*(1+$D$14)</f>
        <v>39794.780549999996</v>
      </c>
      <c r="G4" s="56">
        <f t="shared" si="1" ref="G4:J4">F4*(1+$D$14)</f>
        <v>48052.19751412499</v>
      </c>
      <c r="H4" s="56">
        <f t="shared" si="1"/>
        <v>58023.02849830593</v>
      </c>
      <c r="I4" s="56">
        <f t="shared" si="1"/>
        <v>70062.8069117044</v>
      </c>
      <c r="J4" s="56">
        <f t="shared" si="1"/>
        <v>84600.83934588307</v>
      </c>
    </row>
    <row r="5" spans="8:8">
      <c r="B5" s="19" t="s">
        <v>31</v>
      </c>
      <c r="C5" s="19"/>
      <c r="D5" s="19"/>
      <c r="E5" s="57">
        <v>0.25</v>
      </c>
      <c r="F5" s="31">
        <f>$E$5</f>
        <v>0.25</v>
      </c>
      <c r="G5" s="31">
        <f t="shared" si="2" ref="G5:J5">$E$5</f>
        <v>0.25</v>
      </c>
      <c r="H5" s="31">
        <f t="shared" si="2"/>
        <v>0.25</v>
      </c>
      <c r="I5" s="31">
        <f t="shared" si="2"/>
        <v>0.25</v>
      </c>
      <c r="J5" s="31">
        <f t="shared" si="2"/>
        <v>0.25</v>
      </c>
    </row>
    <row r="6" spans="8:8">
      <c r="B6" s="19" t="s">
        <v>222</v>
      </c>
      <c r="C6" s="19"/>
      <c r="D6" s="19"/>
      <c r="E6" s="55">
        <f>E4*(1-E5)</f>
        <v>24717.254999999997</v>
      </c>
      <c r="F6" s="56">
        <f>E6*(1+$D$14)</f>
        <v>29846.085412499997</v>
      </c>
      <c r="G6" s="56">
        <f>F6*(1+$D$14)</f>
        <v>36039.14813559375</v>
      </c>
      <c r="H6" s="56">
        <f>G6*(1+$D$14)</f>
        <v>43517.271373729454</v>
      </c>
      <c r="I6" s="56">
        <f>H6*(1+$D$14)</f>
        <v>52547.105183778316</v>
      </c>
      <c r="J6" s="56">
        <f>I6*(1+$D$14)</f>
        <v>63450.62950941232</v>
      </c>
    </row>
    <row r="7" spans="8:8">
      <c r="B7" s="19" t="s">
        <v>223</v>
      </c>
      <c r="C7" s="19"/>
      <c r="D7" s="19"/>
      <c r="E7" s="57">
        <v>0.31</v>
      </c>
      <c r="F7" s="19"/>
      <c r="G7" s="19"/>
      <c r="H7" s="19"/>
      <c r="I7" s="19"/>
      <c r="J7" s="19"/>
    </row>
    <row r="8" spans="8:8">
      <c r="B8" s="19" t="s">
        <v>224</v>
      </c>
      <c r="C8" s="19"/>
      <c r="D8" s="19"/>
      <c r="E8" s="55">
        <f>E6*(1-E7)</f>
        <v>17054.905949999997</v>
      </c>
      <c r="F8" s="56">
        <f>E8*(1+$D$14)</f>
        <v>20593.798934624996</v>
      </c>
      <c r="G8" s="56">
        <f t="shared" si="3" ref="G8:J8">F8*(1+$D$14)</f>
        <v>24867.012213559683</v>
      </c>
      <c r="H8" s="56">
        <f t="shared" si="3"/>
        <v>30026.917247873316</v>
      </c>
      <c r="I8" s="56">
        <f t="shared" si="3"/>
        <v>36257.502576807026</v>
      </c>
      <c r="J8" s="56">
        <f t="shared" si="3"/>
        <v>43780.93436149449</v>
      </c>
    </row>
    <row r="9" spans="8:8">
      <c r="B9" s="19" t="s">
        <v>225</v>
      </c>
      <c r="C9" s="19"/>
      <c r="D9" s="19"/>
      <c r="E9" s="55"/>
      <c r="F9" s="58">
        <v>0.5</v>
      </c>
      <c r="G9" s="19">
        <f>F9+1</f>
        <v>1.5</v>
      </c>
      <c r="H9" s="19">
        <f t="shared" si="4" ref="H9:J9">G9+1</f>
        <v>2.5</v>
      </c>
      <c r="I9" s="19">
        <f t="shared" si="4"/>
        <v>3.5</v>
      </c>
      <c r="J9" s="19">
        <f t="shared" si="4"/>
        <v>4.5</v>
      </c>
    </row>
    <row r="10" spans="8:8">
      <c r="B10" s="19" t="s">
        <v>226</v>
      </c>
      <c r="C10" s="19"/>
      <c r="D10" s="19"/>
      <c r="E10" s="55"/>
      <c r="F10" s="59">
        <f>1/(1+$D$16)^F9</f>
        <v>0.9440589998735476</v>
      </c>
      <c r="G10" s="59">
        <f t="shared" si="5" ref="G10:J10">1/(1+$D$16)^G9</f>
        <v>0.8413901245922963</v>
      </c>
      <c r="H10" s="59">
        <f t="shared" si="5"/>
        <v>0.7498867569254304</v>
      </c>
      <c r="I10" s="59">
        <f t="shared" si="5"/>
        <v>0.6683346188364429</v>
      </c>
      <c r="J10" s="59">
        <f t="shared" si="5"/>
        <v>0.5956514881881969</v>
      </c>
    </row>
    <row r="11" spans="8:8" ht="6.0" customHeight="1">
      <c r="E11" s="60"/>
    </row>
    <row r="12" spans="8:8" ht="15.75">
      <c r="B12" s="61" t="s">
        <v>227</v>
      </c>
      <c r="C12" s="61"/>
      <c r="D12" s="61"/>
      <c r="E12" s="62"/>
      <c r="F12" s="63">
        <f>F8*F10</f>
        <v>19441.761225819002</v>
      </c>
      <c r="G12" s="63">
        <f t="shared" si="6" ref="G12:J12">G8*G10</f>
        <v>20922.858504605138</v>
      </c>
      <c r="H12" s="63">
        <f t="shared" si="6"/>
        <v>22516.78759547599</v>
      </c>
      <c r="I12" s="63">
        <f t="shared" si="6"/>
        <v>24232.144164631667</v>
      </c>
      <c r="J12" s="63">
        <f t="shared" si="6"/>
        <v>26078.178706693958</v>
      </c>
    </row>
    <row r="14" spans="8:8" ht="15.0" outlineLevel="1">
      <c r="B14" s="64" t="s">
        <v>228</v>
      </c>
      <c r="C14" s="64"/>
      <c r="D14" s="65">
        <v>0.2075</v>
      </c>
    </row>
    <row r="15" spans="8:8" ht="15.0" outlineLevel="1">
      <c r="B15" s="64" t="s">
        <v>229</v>
      </c>
      <c r="C15" s="64"/>
      <c r="D15" s="65">
        <v>0.045</v>
      </c>
      <c r="F15" s="1" t="s">
        <v>10090</v>
      </c>
      <c r="G15" s="1"/>
      <c r="H15" s="1"/>
      <c r="I15" s="1"/>
      <c r="J15" s="1"/>
    </row>
    <row r="16" spans="8:8" ht="15.0" outlineLevel="1">
      <c r="B16" s="64" t="s">
        <v>65</v>
      </c>
      <c r="C16" s="64"/>
      <c r="D16" s="66">
        <f>WACC!J43</f>
        <v>0.12202291455583748</v>
      </c>
      <c r="F16" s="67">
        <f>D37</f>
        <v>3203.235075158112</v>
      </c>
      <c r="G16" s="68">
        <v>0.12</v>
      </c>
      <c r="H16" s="68">
        <v>0.122</v>
      </c>
      <c r="I16" s="68">
        <v>0.135</v>
      </c>
      <c r="J16" s="68">
        <v>0.14</v>
      </c>
    </row>
    <row r="17" spans="8:8">
      <c r="F17" s="68">
        <v>0.03</v>
      </c>
      <c r="G17" s="69">
        <v>2774.6040922551956</v>
      </c>
      <c r="H17" s="69">
        <v>2719.298568104535</v>
      </c>
      <c r="I17" s="69">
        <v>2411.1677906937134</v>
      </c>
      <c r="J17" s="69">
        <v>2312.0487993587635</v>
      </c>
    </row>
    <row r="18" spans="8:8">
      <c r="B18" s="1" t="s">
        <v>243</v>
      </c>
      <c r="C18" s="1"/>
      <c r="D18" s="1"/>
      <c r="F18" s="68">
        <v>0.04</v>
      </c>
      <c r="G18" s="69">
        <v>3092.6108561214937</v>
      </c>
      <c r="H18" s="69">
        <v>3022.804493321574</v>
      </c>
      <c r="I18" s="69">
        <v>2640.706507469387</v>
      </c>
      <c r="J18" s="69">
        <v>2520.198681162158</v>
      </c>
    </row>
    <row r="19" spans="8:8">
      <c r="F19" s="68">
        <v>0.045</v>
      </c>
      <c r="G19" s="69">
        <v>3283.414914441271</v>
      </c>
      <c r="H19" s="70">
        <v>3204.119721373311</v>
      </c>
      <c r="I19" s="69">
        <v>2774.6040922551956</v>
      </c>
      <c r="J19" s="69">
        <v>2640.7065074693865</v>
      </c>
    </row>
    <row r="20" spans="8:8">
      <c r="B20" t="s">
        <v>230</v>
      </c>
      <c r="D20">
        <f>J8*(1+D14)</f>
        <v>52865.47824150459</v>
      </c>
      <c r="F20" s="68">
        <v>0.05</v>
      </c>
      <c r="G20" s="69">
        <v>3501.47669537816</v>
      </c>
      <c r="H20" s="69">
        <v>3410.617619987789</v>
      </c>
      <c r="I20" s="69">
        <v>2924.2543340746292</v>
      </c>
      <c r="J20" s="69">
        <v>2774.6040922551956</v>
      </c>
    </row>
    <row r="21" spans="8:8">
      <c r="B21" t="s">
        <v>65</v>
      </c>
      <c r="D21" s="71">
        <f>D16</f>
        <v>0.12202291455583748</v>
      </c>
      <c r="F21" s="68">
        <v>0.06</v>
      </c>
      <c r="G21" s="69">
        <v>4046.631147720383</v>
      </c>
      <c r="H21" s="69">
        <v>3923.53175525601</v>
      </c>
      <c r="I21" s="69">
        <v>3283.41491444127</v>
      </c>
      <c r="J21" s="69">
        <v>3092.610856121492</v>
      </c>
    </row>
    <row r="22" spans="8:8">
      <c r="B22" t="s">
        <v>231</v>
      </c>
      <c r="D22" s="71">
        <f>D15</f>
        <v>0.045</v>
      </c>
      <c r="F22" s="68">
        <v>0.07</v>
      </c>
      <c r="G22" s="69">
        <v>4809.847380999495</v>
      </c>
      <c r="H22" s="69">
        <v>4633.720557935085</v>
      </c>
      <c r="I22" s="69">
        <v>3753.0864426130315</v>
      </c>
      <c r="J22" s="69">
        <v>3501.476695378159</v>
      </c>
    </row>
    <row r="23" spans="8:8" ht="6.0" customHeight="1"/>
    <row r="24" spans="8:8" ht="15.75">
      <c r="B24" s="61" t="s">
        <v>232</v>
      </c>
      <c r="C24" s="61"/>
      <c r="D24" s="63">
        <f>D20/(D21-D22)</f>
        <v>686360.3973747313</v>
      </c>
    </row>
    <row r="26" spans="8:8">
      <c r="B26" s="1" t="s">
        <v>244</v>
      </c>
      <c r="C26" s="1"/>
      <c r="D26" s="1"/>
    </row>
    <row r="28" spans="8:8">
      <c r="B28" t="s">
        <v>227</v>
      </c>
      <c r="D28" s="5">
        <f>SUM(F12:J12)</f>
        <v>113191.73019722576</v>
      </c>
    </row>
    <row r="29" spans="8:8">
      <c r="B29" t="s">
        <v>233</v>
      </c>
      <c r="D29" s="5">
        <f>D24*J10</f>
        <v>408831.5921297009</v>
      </c>
    </row>
    <row r="30" spans="8:8">
      <c r="B30" s="47" t="s">
        <v>234</v>
      </c>
      <c r="C30" s="47"/>
      <c r="D30" s="72">
        <f>SUM(D28:D29)</f>
        <v>522023.32232692663</v>
      </c>
    </row>
    <row r="32" spans="8:8">
      <c r="B32" t="s">
        <v>235</v>
      </c>
      <c r="D32">
        <f>'Data Sheet'!K69</f>
        <v>20847.67</v>
      </c>
    </row>
    <row r="33" spans="8:8">
      <c r="B33" t="s">
        <v>236</v>
      </c>
      <c r="D33">
        <f>SUM('Raw FS'!N7:N9)</f>
        <v>102332.0</v>
      </c>
    </row>
    <row r="34" spans="8:8">
      <c r="B34" s="47" t="s">
        <v>237</v>
      </c>
      <c r="C34" s="47"/>
      <c r="D34" s="72">
        <f>D30+D32-D33</f>
        <v>440538.992326927</v>
      </c>
    </row>
    <row r="35" spans="8:8">
      <c r="B35" t="s">
        <v>238</v>
      </c>
      <c r="D35" s="5">
        <f>'Data Sheet'!B6</f>
        <v>137.5293982459848</v>
      </c>
    </row>
    <row r="36" spans="8:8" ht="5.25" customHeight="1">
      <c r="D36" s="5"/>
    </row>
    <row r="37" spans="8:8" ht="15.75">
      <c r="B37" s="61" t="s">
        <v>239</v>
      </c>
      <c r="C37" s="61"/>
      <c r="D37" s="63">
        <f>D34/D35</f>
        <v>3203.235075158112</v>
      </c>
    </row>
    <row r="39" spans="8:8">
      <c r="B39" t="s">
        <v>240</v>
      </c>
      <c r="D39">
        <f>'Data Sheet'!B8</f>
        <v>3785.6</v>
      </c>
    </row>
    <row r="40" spans="8:8">
      <c r="B40" t="s">
        <v>241</v>
      </c>
      <c r="D40" s="49">
        <f>D39/D37-1</f>
        <v>0.18180524100721995</v>
      </c>
    </row>
  </sheetData>
  <pageMargins left="0.7" right="0.7" top="0.75" bottom="0.75" header="0.3" footer="0.3"/>
  <pageSetup paperSize="9" scale="77"/>
  <ignoredErrors>
    <ignoredError sqref="F5:J5 H2" formula="1"/>
  </ignoredErrors>
</worksheet>
</file>

<file path=xl/worksheets/sheet6.xml><?xml version="1.0" encoding="utf-8"?>
<worksheet xmlns:r="http://schemas.openxmlformats.org/officeDocument/2006/relationships" xmlns="http://schemas.openxmlformats.org/spreadsheetml/2006/main">
  <sheetPr>
    <pageSetUpPr fitToPage="1"/>
  </sheetPr>
  <dimension ref="A1:K43"/>
  <sheetViews>
    <sheetView workbookViewId="0" showGridLines="0">
      <selection activeCell="G36" sqref="G15:G36"/>
    </sheetView>
  </sheetViews>
  <sheetFormatPr defaultRowHeight="15.0" defaultColWidth="10"/>
  <cols>
    <col min="1" max="1" customWidth="1" width="1.8554688" style="0"/>
    <col min="2" max="2" customWidth="1" width="19.855469" style="0"/>
    <col min="3" max="3" customWidth="1" bestFit="1" width="10.285156" style="0"/>
    <col min="4" max="4" customWidth="1" bestFit="1" width="10.7109375" style="0"/>
    <col min="5" max="5" customWidth="1" bestFit="1" width="11.425781" style="0"/>
    <col min="6" max="6" customWidth="1" width="10.855469" style="0"/>
    <col min="7" max="9" customWidth="1" width="9.285156" style="0"/>
    <col min="10" max="10" customWidth="1" bestFit="1" width="10.285156" style="0"/>
    <col min="14" max="14" customWidth="1" bestFit="1" width="16.570312" style="0"/>
    <col min="15" max="15" customWidth="1" bestFit="1" width="9.855469" style="0"/>
    <col min="16" max="16" customWidth="1" bestFit="1" width="6.5703125" style="0"/>
  </cols>
  <sheetData>
    <row r="2" spans="8:8" ht="18.75">
      <c r="B2" s="73" t="s">
        <v>0</v>
      </c>
      <c r="C2" s="74"/>
      <c r="D2" s="74"/>
      <c r="E2" s="74"/>
      <c r="F2" s="75"/>
      <c r="G2" s="75"/>
      <c r="H2" s="75"/>
      <c r="I2" s="75"/>
      <c r="J2" s="75"/>
    </row>
    <row r="3" spans="8:8">
      <c r="F3" s="71"/>
    </row>
    <row r="4" spans="8:8">
      <c r="B4" s="76" t="s">
        <v>1</v>
      </c>
    </row>
    <row r="6" spans="8:8">
      <c r="B6" s="47" t="s">
        <v>2</v>
      </c>
    </row>
    <row r="7" spans="8:8" ht="13.5" customHeight="1">
      <c r="B7" s="77"/>
      <c r="C7" s="77"/>
      <c r="D7" s="77"/>
      <c r="E7" s="77"/>
      <c r="F7" s="78"/>
      <c r="G7" s="78" t="s">
        <v>8</v>
      </c>
      <c r="H7" s="78" t="s">
        <v>8</v>
      </c>
      <c r="I7" s="78" t="s">
        <v>10</v>
      </c>
      <c r="J7" s="78" t="s">
        <v>13</v>
      </c>
    </row>
    <row r="8" spans="8:8" ht="18.75" customHeight="1">
      <c r="B8" s="79" t="s">
        <v>3</v>
      </c>
      <c r="C8" s="79" t="s">
        <v>4</v>
      </c>
      <c r="D8" s="80" t="s">
        <v>5</v>
      </c>
      <c r="E8" s="80" t="s">
        <v>6</v>
      </c>
      <c r="F8" s="80" t="s">
        <v>11</v>
      </c>
      <c r="G8" s="80" t="s">
        <v>9</v>
      </c>
      <c r="H8" s="80" t="s">
        <v>16</v>
      </c>
      <c r="I8" s="80" t="s">
        <v>12</v>
      </c>
      <c r="J8" s="80" t="s">
        <v>14</v>
      </c>
    </row>
    <row r="9" spans="8:8">
      <c r="B9" s="81"/>
      <c r="C9" s="81"/>
      <c r="D9" s="81"/>
      <c r="E9" s="81"/>
      <c r="F9" s="81"/>
      <c r="G9" s="81"/>
      <c r="H9" s="81"/>
      <c r="I9" s="81"/>
      <c r="J9" s="81"/>
    </row>
    <row r="10" spans="8:8">
      <c r="B10" t="str">
        <f>'Beta - Comps'!C4</f>
        <v>Larsen &amp; Tourbo</v>
      </c>
      <c r="C10" t="s">
        <v>15</v>
      </c>
      <c r="D10" s="69">
        <f>'Relative Data'!G3</f>
        <v>102332.0</v>
      </c>
      <c r="E10" s="69">
        <f>'Beta - Comps'!E4</f>
        <v>520631.29</v>
      </c>
      <c r="F10" s="82">
        <v>0.25</v>
      </c>
      <c r="G10" s="83">
        <f>D10/E10</f>
        <v>0.19655368773551818</v>
      </c>
      <c r="H10" s="83">
        <f>D10/(D10+E10)</f>
        <v>0.16426650116092714</v>
      </c>
      <c r="I10" s="84">
        <f>'Beta - Regression'!J13</f>
        <v>1.1623457100160781</v>
      </c>
      <c r="J10" s="85">
        <f>I10/(1+(1-F10)*G10)</f>
        <v>1.0130122412167912</v>
      </c>
    </row>
    <row r="11" spans="8:8">
      <c r="B11" t="str">
        <f>'Beta - Comps'!C5</f>
        <v>Rail Vikas</v>
      </c>
      <c r="C11" t="s">
        <v>15</v>
      </c>
      <c r="D11" s="69">
        <f>'Relative Data'!G4</f>
        <v>4818.49</v>
      </c>
      <c r="E11" s="69">
        <f>'Beta - Comps'!E5</f>
        <v>47163.14</v>
      </c>
      <c r="F11" s="86">
        <f>$F$10</f>
        <v>0.25</v>
      </c>
      <c r="G11" s="83">
        <f t="shared" si="0" ref="G11:G14">D11/E11</f>
        <v>0.10216643760360315</v>
      </c>
      <c r="H11" s="83">
        <f t="shared" si="1" ref="H11:H14">D11/(D11+E11)</f>
        <v>0.09269601588099488</v>
      </c>
      <c r="I11" s="87">
        <v>1.94</v>
      </c>
      <c r="J11" s="85">
        <f t="shared" si="2" ref="J11:J14">I11/(1+(1-F11)*G11)</f>
        <v>1.8019276067026988</v>
      </c>
    </row>
    <row r="12" spans="8:8">
      <c r="B12" t="str">
        <f>'Beta - Comps'!C6</f>
        <v>NBCC</v>
      </c>
      <c r="C12" t="s">
        <v>15</v>
      </c>
      <c r="D12" s="69">
        <f>'Relative Data'!G5</f>
        <v>0.26</v>
      </c>
      <c r="E12" s="69">
        <f>'Beta - Comps'!E6</f>
        <v>25717.5</v>
      </c>
      <c r="F12" s="86">
        <f t="shared" si="3" ref="F12:F14">$F$10</f>
        <v>0.25</v>
      </c>
      <c r="G12" s="83">
        <f t="shared" si="0"/>
        <v>1.0109847380188588E-5</v>
      </c>
      <c r="H12" s="83">
        <f t="shared" si="1"/>
        <v>1.0109745172207845E-5</v>
      </c>
      <c r="I12" s="87">
        <v>1.94</v>
      </c>
      <c r="J12" s="85">
        <f t="shared" si="2"/>
        <v>1.9399852902835963</v>
      </c>
    </row>
    <row r="13" spans="8:8">
      <c r="B13" t="str">
        <f>'Beta - Comps'!C7</f>
        <v>IRB Infra.Devl.</v>
      </c>
      <c r="C13" t="s">
        <v>15</v>
      </c>
      <c r="D13" s="69">
        <f>'Relative Data'!G6</f>
        <v>20027.06</v>
      </c>
      <c r="E13" s="69">
        <f>'Beta - Comps'!E7</f>
        <v>23757.42</v>
      </c>
      <c r="F13" s="86">
        <f t="shared" si="3"/>
        <v>0.25</v>
      </c>
      <c r="G13" s="83">
        <f t="shared" si="0"/>
        <v>0.8429812664843237</v>
      </c>
      <c r="H13" s="83">
        <f t="shared" si="1"/>
        <v>0.4574008872550274</v>
      </c>
      <c r="I13" s="87">
        <v>1.09</v>
      </c>
      <c r="J13" s="85">
        <f t="shared" si="2"/>
        <v>0.66779560889547</v>
      </c>
    </row>
    <row r="14" spans="8:8">
      <c r="B14" t="str">
        <f>'Beta - Comps'!C8</f>
        <v>Cemindia Project</v>
      </c>
      <c r="C14" t="s">
        <v>15</v>
      </c>
      <c r="D14" s="69">
        <f>'Relative Data'!G7</f>
        <v>1001.23</v>
      </c>
      <c r="E14" s="69">
        <f>'Beta - Comps'!E8</f>
        <v>23519.42</v>
      </c>
      <c r="F14" s="86">
        <f t="shared" si="3"/>
        <v>0.25</v>
      </c>
      <c r="G14" s="83">
        <f t="shared" si="0"/>
        <v>0.04257035250018921</v>
      </c>
      <c r="H14" s="83">
        <f t="shared" si="1"/>
        <v>0.04083211497248238</v>
      </c>
      <c r="I14" s="87">
        <v>1.46</v>
      </c>
      <c r="J14" s="85">
        <f t="shared" si="2"/>
        <v>1.4148277141123986</v>
      </c>
    </row>
    <row r="15" spans="8:8">
      <c r="F15" s="71"/>
    </row>
    <row r="16" spans="8:8">
      <c r="E16" s="88" t="s">
        <v>7</v>
      </c>
      <c r="F16" s="89">
        <f>AVERAGE(F10:F14)</f>
        <v>0.25</v>
      </c>
      <c r="G16" s="89">
        <f t="shared" si="4" ref="G16:J16">AVERAGE(G10:G14)</f>
        <v>0.2368563708342029</v>
      </c>
      <c r="H16" s="89">
        <f t="shared" si="4"/>
        <v>0.1510411258029208</v>
      </c>
      <c r="I16" s="90">
        <f t="shared" si="4"/>
        <v>1.5184691420032155</v>
      </c>
      <c r="J16" s="90">
        <f t="shared" si="4"/>
        <v>1.367509692242191</v>
      </c>
    </row>
    <row r="17" spans="8:8">
      <c r="E17" s="91" t="s">
        <v>17</v>
      </c>
      <c r="F17" s="92">
        <f>MEDIAN(F10:F14)</f>
        <v>0.25</v>
      </c>
      <c r="G17" s="92">
        <f t="shared" si="5" ref="G17:J17">MEDIAN(G10:G14)</f>
        <v>0.10216643760360315</v>
      </c>
      <c r="H17" s="92">
        <f t="shared" si="5"/>
        <v>0.09269601588099488</v>
      </c>
      <c r="I17" s="93">
        <f t="shared" si="5"/>
        <v>1.46</v>
      </c>
      <c r="J17" s="93">
        <f t="shared" si="5"/>
        <v>1.4148277141123986</v>
      </c>
    </row>
    <row r="18" spans="8:8">
      <c r="G18" s="5"/>
    </row>
    <row r="19" spans="8:8">
      <c r="G19" s="5"/>
    </row>
    <row r="20" spans="8:8">
      <c r="B20" s="91" t="s">
        <v>29</v>
      </c>
      <c r="C20" s="94"/>
      <c r="D20" s="94"/>
      <c r="E20" s="94"/>
      <c r="G20" s="91" t="s">
        <v>23</v>
      </c>
      <c r="H20" s="94"/>
      <c r="I20" s="94"/>
      <c r="J20" s="94"/>
    </row>
    <row r="21" spans="8:8">
      <c r="B21" s="5"/>
      <c r="G21" s="5"/>
    </row>
    <row r="22" spans="8:8">
      <c r="B22" t="s">
        <v>30</v>
      </c>
      <c r="E22" s="95">
        <v>0.076</v>
      </c>
      <c r="G22" t="s">
        <v>24</v>
      </c>
      <c r="J22" s="96">
        <v>0.0685</v>
      </c>
    </row>
    <row r="23" spans="8:8">
      <c r="B23" t="s">
        <v>31</v>
      </c>
      <c r="E23" s="71">
        <f>F17</f>
        <v>0.25</v>
      </c>
      <c r="G23" t="s">
        <v>25</v>
      </c>
      <c r="J23" s="97">
        <f>Rm!G11-WACC!J22</f>
        <v>0.055999999999999994</v>
      </c>
    </row>
    <row r="24" spans="8:8" ht="15.75" customHeight="1">
      <c r="B24" s="98" t="s">
        <v>32</v>
      </c>
      <c r="C24" s="98"/>
      <c r="D24" s="98"/>
      <c r="E24" s="99">
        <f>E22*(1-E23)</f>
        <v>0.056999999999999995</v>
      </c>
      <c r="G24" t="s">
        <v>28</v>
      </c>
      <c r="J24" s="100">
        <f>'Beta - Regression'!J13</f>
        <v>1.1623457100160781</v>
      </c>
    </row>
    <row r="25" spans="8:8">
      <c r="G25" s="98" t="s">
        <v>23</v>
      </c>
      <c r="H25" s="98"/>
      <c r="I25" s="98"/>
      <c r="J25" s="101">
        <f>J22+(J23*J24)</f>
        <v>0.13359135976090042</v>
      </c>
    </row>
    <row r="28" spans="8:8">
      <c r="B28" s="91" t="s">
        <v>18</v>
      </c>
      <c r="C28" s="94"/>
      <c r="D28" s="94"/>
      <c r="E28" s="94"/>
      <c r="G28" s="91" t="s">
        <v>33</v>
      </c>
      <c r="H28" s="94"/>
      <c r="I28" s="94"/>
      <c r="J28" s="94"/>
    </row>
    <row r="29" spans="8:8">
      <c r="G29" s="47"/>
    </row>
    <row r="30" spans="8:8">
      <c r="D30" s="102" t="s">
        <v>21</v>
      </c>
      <c r="E30" s="102" t="s">
        <v>22</v>
      </c>
      <c r="G30" s="5" t="s">
        <v>34</v>
      </c>
      <c r="J30" s="5">
        <f>J17</f>
        <v>1.4148277141123986</v>
      </c>
    </row>
    <row r="31" spans="8:8">
      <c r="B31" t="s">
        <v>5</v>
      </c>
      <c r="C31" s="103">
        <f>D10</f>
        <v>102332.0</v>
      </c>
      <c r="D31" s="104">
        <f>C31/$C$33</f>
        <v>0.16426650116092714</v>
      </c>
      <c r="E31" s="105">
        <f>H16</f>
        <v>0.1510411258029208</v>
      </c>
      <c r="G31" t="s">
        <v>35</v>
      </c>
      <c r="J31" s="106">
        <f>E35</f>
        <v>0.17791335999140262</v>
      </c>
    </row>
    <row r="32" spans="8:8">
      <c r="B32" t="s">
        <v>19</v>
      </c>
      <c r="C32" s="103">
        <f>E10</f>
        <v>520631.29</v>
      </c>
      <c r="D32" s="104">
        <f>C32/$C$33</f>
        <v>0.8357334988390728</v>
      </c>
      <c r="E32" s="71">
        <f>E33-E31</f>
        <v>0.848958874197079</v>
      </c>
      <c r="G32" t="s">
        <v>31</v>
      </c>
      <c r="J32" s="71">
        <f>E23</f>
        <v>0.25</v>
      </c>
    </row>
    <row r="33" spans="8:8">
      <c r="B33" t="s">
        <v>20</v>
      </c>
      <c r="C33" s="98">
        <f>SUM(C31:C32)</f>
        <v>622963.29</v>
      </c>
      <c r="D33" s="107">
        <f>C33/$C$33</f>
        <v>1.0</v>
      </c>
      <c r="E33" s="108">
        <f>D33</f>
        <v>1.0</v>
      </c>
      <c r="G33" s="98" t="s">
        <v>26</v>
      </c>
      <c r="H33" s="98"/>
      <c r="I33" s="98"/>
      <c r="J33" s="109">
        <f>J30*(1+(1-J31)*J32)</f>
        <v>1.7056054545338253</v>
      </c>
    </row>
    <row r="35" spans="8:8">
      <c r="B35" s="98" t="s">
        <v>27</v>
      </c>
      <c r="C35" s="98"/>
      <c r="D35" s="101">
        <f>D31/D32</f>
        <v>0.19655368773551815</v>
      </c>
      <c r="E35" s="101">
        <f>E31/E32</f>
        <v>0.17791335999140262</v>
      </c>
      <c r="G35" s="91" t="s">
        <v>0</v>
      </c>
      <c r="H35" s="94"/>
      <c r="I35" s="94"/>
      <c r="J35" s="94"/>
    </row>
    <row r="36" spans="8:8">
      <c r="G36" s="5"/>
    </row>
    <row r="37" spans="8:8">
      <c r="B37" s="110" t="s">
        <v>36</v>
      </c>
      <c r="G37" t="s">
        <v>23</v>
      </c>
      <c r="J37" s="111">
        <f>J25</f>
        <v>0.13359135976090042</v>
      </c>
    </row>
    <row r="38" spans="8:8">
      <c r="B38" s="110" t="s">
        <v>37</v>
      </c>
      <c r="G38" t="s">
        <v>63</v>
      </c>
      <c r="J38" s="71">
        <f>E32</f>
        <v>0.848958874197079</v>
      </c>
    </row>
    <row r="39" spans="8:8">
      <c r="A39" t="s">
        <v>38</v>
      </c>
      <c r="B39" s="110" t="s">
        <v>39</v>
      </c>
      <c r="J39" s="111"/>
    </row>
    <row r="40" spans="8:8">
      <c r="B40" s="110" t="s">
        <v>291</v>
      </c>
      <c r="G40" t="s">
        <v>29</v>
      </c>
      <c r="J40" s="71">
        <f>E24</f>
        <v>0.056999999999999995</v>
      </c>
    </row>
    <row r="41" spans="8:8">
      <c r="B41" s="110" t="s">
        <v>292</v>
      </c>
      <c r="G41" t="s">
        <v>64</v>
      </c>
      <c r="J41" s="71">
        <f>E31</f>
        <v>0.1510411258029208</v>
      </c>
    </row>
    <row r="43" spans="8:8">
      <c r="G43" s="112" t="s">
        <v>65</v>
      </c>
      <c r="H43" s="112"/>
      <c r="I43" s="112"/>
      <c r="J43" s="113">
        <f>(J37*J38)+(J40*J41)</f>
        <v>0.12202291455583748</v>
      </c>
    </row>
  </sheetData>
  <pageMargins left="0.7" right="0.7" top="0.75" bottom="0.75" header="0.3" footer="0.3"/>
  <pageSetup paperSize="9" scale="88"/>
</worksheet>
</file>

<file path=xl/worksheets/sheet7.xml><?xml version="1.0" encoding="utf-8"?>
<worksheet xmlns:r="http://schemas.openxmlformats.org/officeDocument/2006/relationships" xmlns="http://schemas.openxmlformats.org/spreadsheetml/2006/main">
  <sheetPr>
    <pageSetUpPr fitToPage="1"/>
  </sheetPr>
  <dimension ref="A1:L66"/>
  <sheetViews>
    <sheetView workbookViewId="0" showGridLines="0" zoomScale="99">
      <pane ySplit="1" topLeftCell="A2" state="frozen" activePane="bottomLeft"/>
      <selection pane="bottomLeft" activeCell="K59" sqref="K59"/>
    </sheetView>
  </sheetViews>
  <sheetFormatPr defaultRowHeight="15.0" defaultColWidth="10"/>
  <cols>
    <col min="1" max="1" customWidth="1" width="1.8554688" style="0"/>
    <col min="2" max="7" customWidth="1" width="12.7109375" style="0"/>
    <col min="8" max="8" customWidth="1" bestFit="1" width="14.285156" style="0"/>
    <col min="9" max="9" customWidth="1" width="12.7109375" style="0"/>
    <col min="11" max="11" customWidth="1" bestFit="1" width="21.0" style="0"/>
  </cols>
  <sheetData>
    <row r="2" spans="8:8" s="114" ht="24.95" customFormat="1" customHeight="1">
      <c r="A2" s="114" t="s">
        <v>68</v>
      </c>
      <c r="B2" s="115" t="s">
        <v>182</v>
      </c>
      <c r="C2" s="116"/>
      <c r="D2" s="116"/>
      <c r="E2" s="117">
        <f>'Raw FS'!J$2</f>
        <v>44621.0</v>
      </c>
      <c r="F2" s="117">
        <f>'Raw FS'!K$2</f>
        <v>44986.0</v>
      </c>
      <c r="G2" s="117">
        <f>'Raw FS'!L$2</f>
        <v>45352.0</v>
      </c>
      <c r="H2" s="117">
        <f>'Raw FS'!M$2</f>
        <v>45717.0</v>
      </c>
      <c r="I2" s="117">
        <f>'Raw FS'!N$2</f>
        <v>46082.0</v>
      </c>
    </row>
    <row r="4" spans="8:8">
      <c r="B4" s="47" t="s">
        <v>183</v>
      </c>
    </row>
    <row r="5" spans="8:8">
      <c r="B5" s="118" t="str">
        <f>'Raw FS'!B39</f>
        <v>Inventories</v>
      </c>
      <c r="C5" s="118"/>
      <c r="D5" s="118"/>
      <c r="E5" s="119">
        <f>'Raw FS'!J39</f>
        <v>5943.0</v>
      </c>
      <c r="F5" s="119">
        <f>'Raw FS'!K39</f>
        <v>6829.0</v>
      </c>
      <c r="G5" s="119">
        <f>'Raw FS'!L39</f>
        <v>6620.0</v>
      </c>
      <c r="H5" s="119">
        <f>'Raw FS'!M39</f>
        <v>7671.0</v>
      </c>
      <c r="I5" s="119">
        <f>'Raw FS'!N39</f>
        <v>9531.0</v>
      </c>
    </row>
    <row r="6" spans="8:8">
      <c r="B6" s="118" t="str">
        <f>'Raw FS'!B40</f>
        <v>Trade receivables +</v>
      </c>
      <c r="C6" s="118"/>
      <c r="D6" s="118"/>
      <c r="E6" s="119">
        <f>'Raw FS'!J40</f>
        <v>46139.0</v>
      </c>
      <c r="F6" s="119">
        <f>'Raw FS'!K40</f>
        <v>44732.0</v>
      </c>
      <c r="G6" s="119">
        <f>'Raw FS'!L40</f>
        <v>48771.0</v>
      </c>
      <c r="H6" s="119">
        <f>'Raw FS'!M40</f>
        <v>53714.0</v>
      </c>
      <c r="I6" s="119">
        <f>'Raw FS'!N40</f>
        <v>60461.0</v>
      </c>
    </row>
    <row r="7" spans="8:8">
      <c r="B7" s="118" t="str">
        <f>'Raw FS'!B42</f>
        <v>Loans n Advances</v>
      </c>
      <c r="C7" s="118"/>
      <c r="D7" s="118"/>
      <c r="E7" s="119">
        <f>'Raw FS'!J42</f>
        <v>41799.0</v>
      </c>
      <c r="F7" s="119">
        <f>'Raw FS'!K42</f>
        <v>40356.0</v>
      </c>
      <c r="G7" s="119">
        <f>'Raw FS'!L42</f>
        <v>34700.0</v>
      </c>
      <c r="H7" s="119">
        <f>'Raw FS'!M42</f>
        <v>34244.0</v>
      </c>
      <c r="I7" s="119">
        <f>'Raw FS'!N42</f>
        <v>40747.0</v>
      </c>
    </row>
    <row r="8" spans="8:8">
      <c r="B8" t="str">
        <f>'Raw FS'!B43</f>
        <v>Other asset items</v>
      </c>
      <c r="E8" s="120">
        <f>'Raw FS'!J43</f>
        <v>122604.0</v>
      </c>
      <c r="F8" s="120">
        <f>'Raw FS'!K43</f>
        <v>124781.0</v>
      </c>
      <c r="G8" s="120">
        <f>'Raw FS'!L43</f>
        <v>142496.0</v>
      </c>
      <c r="H8" s="120">
        <f>'Raw FS'!M43</f>
        <v>159071.0</v>
      </c>
      <c r="I8" s="120">
        <f>'Raw FS'!N43</f>
        <v>218241.0</v>
      </c>
    </row>
    <row r="9" spans="8:8">
      <c r="B9" s="121" t="s">
        <v>111</v>
      </c>
      <c r="C9" s="77"/>
      <c r="D9" s="77"/>
      <c r="E9" s="122">
        <f>SUM(E5:E8)</f>
        <v>216485.0</v>
      </c>
      <c r="F9" s="122">
        <f t="shared" si="0" ref="F9:I9">SUM(F5:F8)</f>
        <v>216698.0</v>
      </c>
      <c r="G9" s="122">
        <f t="shared" si="0"/>
        <v>232587.0</v>
      </c>
      <c r="H9" s="122">
        <f t="shared" si="0"/>
        <v>254700.0</v>
      </c>
      <c r="I9" s="122">
        <f t="shared" si="0"/>
        <v>328980.0</v>
      </c>
    </row>
    <row r="10" spans="8:8">
      <c r="E10" s="120"/>
      <c r="F10" s="120"/>
      <c r="G10" s="120"/>
      <c r="H10" s="120"/>
      <c r="I10" s="120"/>
    </row>
    <row r="11" spans="8:8">
      <c r="B11" s="47" t="s">
        <v>184</v>
      </c>
      <c r="E11" s="120"/>
      <c r="F11" s="120"/>
      <c r="G11" s="120"/>
      <c r="H11" s="120"/>
      <c r="I11" s="120"/>
    </row>
    <row r="12" spans="8:8">
      <c r="B12" s="118" t="str">
        <f>'Raw FS'!B14</f>
        <v>Trade Payables</v>
      </c>
      <c r="C12" s="118"/>
      <c r="D12" s="118"/>
      <c r="E12" s="119">
        <f>'Raw FS'!J14</f>
        <v>51366.0</v>
      </c>
      <c r="F12" s="119">
        <f>'Raw FS'!K14</f>
        <v>49784.0</v>
      </c>
      <c r="G12" s="119">
        <f>'Raw FS'!L14</f>
        <v>53293.0</v>
      </c>
      <c r="H12" s="119">
        <f>'Raw FS'!M14</f>
        <v>52459.0</v>
      </c>
      <c r="I12" s="119">
        <f>'Raw FS'!N14</f>
        <v>69456.0</v>
      </c>
    </row>
    <row r="13" spans="8:8">
      <c r="B13" s="118" t="str">
        <f>'Raw FS'!B15</f>
        <v>Advance from Customers</v>
      </c>
      <c r="C13" s="118"/>
      <c r="D13" s="118"/>
      <c r="E13" s="119">
        <f>'Raw FS'!J15</f>
        <v>17963.0</v>
      </c>
      <c r="F13" s="119">
        <f>'Raw FS'!K15</f>
        <v>20425.0</v>
      </c>
      <c r="G13" s="119">
        <f>'Raw FS'!L15</f>
        <v>26875.0</v>
      </c>
      <c r="H13" s="119">
        <f>'Raw FS'!M15</f>
        <v>29087.0</v>
      </c>
      <c r="I13" s="119">
        <f>'Raw FS'!N15</f>
        <v>39586.0</v>
      </c>
    </row>
    <row r="14" spans="8:8">
      <c r="B14" s="118" t="str">
        <f>'Raw FS'!B16</f>
        <v>Other liability items</v>
      </c>
      <c r="C14" s="118"/>
      <c r="D14" s="118"/>
      <c r="E14" s="119">
        <f>'Raw FS'!J16</f>
        <v>28817.0</v>
      </c>
      <c r="F14" s="119">
        <f>'Raw FS'!K16</f>
        <v>35297.0</v>
      </c>
      <c r="G14" s="119">
        <f>'Raw FS'!L16</f>
        <v>40562.0</v>
      </c>
      <c r="H14" s="119">
        <f>'Raw FS'!M16</f>
        <v>49755.0</v>
      </c>
      <c r="I14" s="119">
        <f>'Raw FS'!N16</f>
        <v>89312.0</v>
      </c>
    </row>
    <row r="15" spans="8:8">
      <c r="B15" s="121" t="s">
        <v>185</v>
      </c>
      <c r="C15" s="77"/>
      <c r="D15" s="77"/>
      <c r="E15" s="122">
        <f>SUM(E12:E14)</f>
        <v>98146.0</v>
      </c>
      <c r="F15" s="122">
        <f>SUM(F12:F14)</f>
        <v>105506.0</v>
      </c>
      <c r="G15" s="122">
        <f>SUM(G12:G14)</f>
        <v>120730.0</v>
      </c>
      <c r="H15" s="122">
        <f>SUM(H12:H14)</f>
        <v>131301.0</v>
      </c>
      <c r="I15" s="122">
        <f>SUM(I12:I14)</f>
        <v>198354.0</v>
      </c>
    </row>
    <row r="16" spans="8:8">
      <c r="E16" s="120"/>
      <c r="F16" s="120"/>
      <c r="G16" s="120"/>
      <c r="H16" s="120"/>
      <c r="I16" s="120"/>
    </row>
    <row r="17" spans="8:8" ht="15.75">
      <c r="A17" t="s">
        <v>68</v>
      </c>
      <c r="B17" s="123" t="s">
        <v>186</v>
      </c>
      <c r="C17" s="123"/>
      <c r="D17" s="123"/>
      <c r="E17" s="124">
        <f>E9-E15</f>
        <v>118339.0</v>
      </c>
      <c r="F17" s="124">
        <f t="shared" si="1" ref="F17:I17">F9-F15</f>
        <v>111192.0</v>
      </c>
      <c r="G17" s="124">
        <f t="shared" si="1"/>
        <v>111857.0</v>
      </c>
      <c r="H17" s="124">
        <f t="shared" si="1"/>
        <v>123399.0</v>
      </c>
      <c r="I17" s="124">
        <f t="shared" si="1"/>
        <v>130626.0</v>
      </c>
    </row>
    <row r="18" spans="8:8">
      <c r="E18" s="120"/>
      <c r="F18" s="120"/>
      <c r="G18" s="120"/>
      <c r="H18" s="120"/>
      <c r="I18" s="120"/>
    </row>
    <row r="19" spans="8:8">
      <c r="B19" s="47" t="s">
        <v>187</v>
      </c>
      <c r="E19" s="120"/>
      <c r="F19" s="120"/>
      <c r="G19" s="120"/>
      <c r="H19" s="120"/>
      <c r="I19" s="120"/>
    </row>
    <row r="20" spans="8:8">
      <c r="B20" s="118" t="str">
        <f>'Raw FS'!B20</f>
        <v>Land</v>
      </c>
      <c r="C20" s="118"/>
      <c r="D20" s="118"/>
      <c r="E20" s="119">
        <f>'Raw FS'!J20</f>
        <v>1347.0</v>
      </c>
      <c r="F20" s="119">
        <f>'Raw FS'!K20</f>
        <v>1436.0</v>
      </c>
      <c r="G20" s="119">
        <f>'Raw FS'!L20</f>
        <v>1000.0</v>
      </c>
      <c r="H20" s="119">
        <f>'Raw FS'!M20</f>
        <v>1703.0</v>
      </c>
      <c r="I20" s="119">
        <f>'Raw FS'!N20</f>
        <v>1803.0</v>
      </c>
    </row>
    <row r="21" spans="8:8">
      <c r="B21" s="118" t="str">
        <f>'Raw FS'!B21</f>
        <v>Building</v>
      </c>
      <c r="C21" s="118"/>
      <c r="D21" s="118"/>
      <c r="E21" s="119">
        <f>'Raw FS'!J21</f>
        <v>6745.0</v>
      </c>
      <c r="F21" s="119">
        <f>'Raw FS'!K21</f>
        <v>6998.0</v>
      </c>
      <c r="G21" s="119">
        <f>'Raw FS'!L21</f>
        <v>6680.0</v>
      </c>
      <c r="H21" s="119">
        <f>'Raw FS'!M21</f>
        <v>9951.0</v>
      </c>
      <c r="I21" s="119">
        <f>'Raw FS'!N21</f>
        <v>11326.0</v>
      </c>
    </row>
    <row r="22" spans="8:8">
      <c r="B22" s="118" t="str">
        <f>'Raw FS'!B22</f>
        <v>Plant Machinery</v>
      </c>
      <c r="C22" s="118"/>
      <c r="D22" s="118"/>
      <c r="E22" s="119">
        <f>'Raw FS'!J22</f>
        <v>9298.0</v>
      </c>
      <c r="F22" s="119">
        <f>'Raw FS'!K22</f>
        <v>10859.0</v>
      </c>
      <c r="G22" s="119">
        <f>'Raw FS'!L22</f>
        <v>12570.0</v>
      </c>
      <c r="H22" s="119">
        <f>'Raw FS'!M22</f>
        <v>14870.0</v>
      </c>
      <c r="I22" s="119">
        <f>'Raw FS'!N22</f>
        <v>15800.0</v>
      </c>
    </row>
    <row r="23" spans="8:8">
      <c r="B23" s="118" t="str">
        <f>'Raw FS'!B23</f>
        <v>Ships Vessels</v>
      </c>
      <c r="C23" s="118"/>
      <c r="D23" s="118"/>
      <c r="E23" s="119">
        <f>'Raw FS'!J23</f>
        <v>947.0</v>
      </c>
      <c r="F23" s="119">
        <f>'Raw FS'!K23</f>
        <v>969.0</v>
      </c>
      <c r="G23" s="119">
        <f>'Raw FS'!L23</f>
        <v>1007.0</v>
      </c>
      <c r="H23" s="119">
        <f>'Raw FS'!M23</f>
        <v>1025.0</v>
      </c>
      <c r="I23" s="119">
        <f>'Raw FS'!N23</f>
        <v>1696.0</v>
      </c>
    </row>
    <row r="24" spans="8:8">
      <c r="B24" s="118" t="str">
        <f>'Raw FS'!B24</f>
        <v>Equipments</v>
      </c>
      <c r="C24" s="118"/>
      <c r="D24" s="118"/>
      <c r="E24" s="119">
        <f>'Raw FS'!J24</f>
        <v>630.0</v>
      </c>
      <c r="F24" s="119">
        <f>'Raw FS'!K24</f>
        <v>716.0</v>
      </c>
      <c r="G24" s="119">
        <f>'Raw FS'!L24</f>
        <v>762.0</v>
      </c>
      <c r="H24" s="119">
        <f>'Raw FS'!M24</f>
        <v>871.0</v>
      </c>
      <c r="I24" s="119">
        <f>'Raw FS'!N24</f>
        <v>1060.0</v>
      </c>
    </row>
    <row r="25" spans="8:8">
      <c r="B25" s="118" t="str">
        <f>'Raw FS'!B25</f>
        <v>Computers</v>
      </c>
      <c r="C25" s="118"/>
      <c r="D25" s="118"/>
      <c r="E25" s="119">
        <f>'Raw FS'!J25</f>
        <v>2067.0</v>
      </c>
      <c r="F25" s="119">
        <f>'Raw FS'!K25</f>
        <v>2448.0</v>
      </c>
      <c r="G25" s="119">
        <f>'Raw FS'!L25</f>
        <v>2572.0</v>
      </c>
      <c r="H25" s="119">
        <f>'Raw FS'!M25</f>
        <v>2803.0</v>
      </c>
      <c r="I25" s="119">
        <f>'Raw FS'!N25</f>
        <v>3152.0</v>
      </c>
    </row>
    <row r="26" spans="8:8">
      <c r="B26" s="118" t="str">
        <f>'Raw FS'!B26</f>
        <v>Furniture n fittings</v>
      </c>
      <c r="C26" s="118"/>
      <c r="D26" s="118"/>
      <c r="E26" s="119">
        <f>'Raw FS'!J26</f>
        <v>499.0</v>
      </c>
      <c r="F26" s="119">
        <f>'Raw FS'!K26</f>
        <v>508.0</v>
      </c>
      <c r="G26" s="119">
        <f>'Raw FS'!L26</f>
        <v>633.0</v>
      </c>
      <c r="H26" s="119">
        <f>'Raw FS'!M26</f>
        <v>672.0</v>
      </c>
      <c r="I26" s="119">
        <f>'Raw FS'!N26</f>
        <v>754.0</v>
      </c>
    </row>
    <row r="27" spans="8:8">
      <c r="B27" s="118" t="str">
        <f>'Raw FS'!B27</f>
        <v>Railway sidings</v>
      </c>
      <c r="C27" s="118"/>
      <c r="D27" s="118"/>
      <c r="E27" s="119">
        <f>'Raw FS'!J27</f>
        <v>0.0</v>
      </c>
      <c r="F27" s="119">
        <f>'Raw FS'!K27</f>
        <v>0.0</v>
      </c>
      <c r="G27" s="119">
        <f>'Raw FS'!L27</f>
        <v>0.0</v>
      </c>
      <c r="H27" s="119">
        <f>'Raw FS'!M27</f>
        <v>0.0</v>
      </c>
      <c r="I27" s="119">
        <f>'Raw FS'!N27</f>
        <v>0.0</v>
      </c>
    </row>
    <row r="28" spans="8:8">
      <c r="B28" s="118" t="str">
        <f>'Raw FS'!B28</f>
        <v>Vehicles</v>
      </c>
      <c r="C28" s="118"/>
      <c r="D28" s="118"/>
      <c r="E28" s="119">
        <f>'Raw FS'!J28</f>
        <v>650.0</v>
      </c>
      <c r="F28" s="119">
        <f>'Raw FS'!K28</f>
        <v>652.0</v>
      </c>
      <c r="G28" s="119">
        <f>'Raw FS'!L28</f>
        <v>657.0</v>
      </c>
      <c r="H28" s="119">
        <f>'Raw FS'!M28</f>
        <v>768.0</v>
      </c>
      <c r="I28" s="119">
        <f>'Raw FS'!N28</f>
        <v>1380.0</v>
      </c>
    </row>
    <row r="29" spans="8:8">
      <c r="B29" s="118" t="str">
        <f>'Raw FS'!B29</f>
        <v>Intangible Assets</v>
      </c>
      <c r="C29" s="118"/>
      <c r="D29" s="118"/>
      <c r="E29" s="119">
        <f>'Raw FS'!J29</f>
        <v>24950.0</v>
      </c>
      <c r="F29" s="119">
        <f>'Raw FS'!K29</f>
        <v>25099.0</v>
      </c>
      <c r="G29" s="119">
        <f>'Raw FS'!L29</f>
        <v>24837.0</v>
      </c>
      <c r="H29" s="119">
        <f>'Raw FS'!M29</f>
        <v>25860.0</v>
      </c>
      <c r="I29" s="119">
        <f>'Raw FS'!N29</f>
        <v>9432.0</v>
      </c>
    </row>
    <row r="30" spans="8:8">
      <c r="B30" s="118" t="str">
        <f>'Raw FS'!B30</f>
        <v>Other fixed assets</v>
      </c>
      <c r="C30" s="118"/>
      <c r="D30" s="118"/>
      <c r="E30" s="119">
        <f>'Raw FS'!J30</f>
        <v>9361.0</v>
      </c>
      <c r="F30" s="119">
        <f>'Raw FS'!K30</f>
        <v>9071.0</v>
      </c>
      <c r="G30" s="119">
        <f>'Raw FS'!L30</f>
        <v>10408.0</v>
      </c>
      <c r="H30" s="119">
        <f>'Raw FS'!M30</f>
        <v>7867.0</v>
      </c>
      <c r="I30" s="119">
        <f>'Raw FS'!N30</f>
        <v>7487.0</v>
      </c>
    </row>
    <row r="31" spans="8:8" ht="5.25" customHeight="1">
      <c r="B31" s="118"/>
      <c r="C31" s="118"/>
      <c r="D31" s="118"/>
      <c r="E31" s="119"/>
      <c r="F31" s="119"/>
      <c r="G31" s="119"/>
      <c r="H31" s="119"/>
      <c r="I31" s="119"/>
    </row>
    <row r="32" spans="8:8">
      <c r="B32" s="121" t="s">
        <v>173</v>
      </c>
      <c r="C32" s="77"/>
      <c r="D32" s="77"/>
      <c r="E32" s="122">
        <f>SUM(E20:E31)</f>
        <v>56494.0</v>
      </c>
      <c r="F32" s="122">
        <f>SUM(F20:F31)</f>
        <v>58756.0</v>
      </c>
      <c r="G32" s="122">
        <f t="shared" si="2" ref="G32:I32">SUM(G20:G31)</f>
        <v>61126.0</v>
      </c>
      <c r="H32" s="122">
        <f t="shared" si="2"/>
        <v>66390.0</v>
      </c>
      <c r="I32" s="122">
        <f t="shared" si="2"/>
        <v>53890.0</v>
      </c>
    </row>
    <row r="33" spans="8:8">
      <c r="B33" t="str">
        <f>'Raw FS'!B32</f>
        <v>Accumulated Depreciation</v>
      </c>
      <c r="E33" s="120">
        <f>-('Raw FS'!J32)</f>
        <v>-13550.0</v>
      </c>
      <c r="F33" s="120">
        <f>-('Raw FS'!K32)</f>
        <v>-16115.0</v>
      </c>
      <c r="G33" s="120">
        <f>-('Raw FS'!L32)</f>
        <v>-18161.0</v>
      </c>
      <c r="H33" s="120">
        <f>-('Raw FS'!M32)</f>
        <v>-22334.0</v>
      </c>
      <c r="I33" s="120">
        <f>-('Raw FS'!N32)</f>
        <v>-23023.0</v>
      </c>
      <c r="J33" s="120"/>
    </row>
    <row r="34" spans="8:8" ht="15.75">
      <c r="A34" t="s">
        <v>68</v>
      </c>
      <c r="B34" s="123" t="s">
        <v>188</v>
      </c>
      <c r="C34" s="123"/>
      <c r="D34" s="123"/>
      <c r="E34" s="124">
        <f>SUM(E32:E33)</f>
        <v>42944.0</v>
      </c>
      <c r="F34" s="124">
        <f t="shared" si="3" ref="F34:I34">SUM(F32:F33)</f>
        <v>42641.0</v>
      </c>
      <c r="G34" s="124">
        <f t="shared" si="3"/>
        <v>42965.0</v>
      </c>
      <c r="H34" s="124">
        <f t="shared" si="3"/>
        <v>44056.0</v>
      </c>
      <c r="I34" s="124">
        <f t="shared" si="3"/>
        <v>30867.0</v>
      </c>
    </row>
    <row r="35" spans="8:8">
      <c r="E35" s="120"/>
      <c r="F35" s="120"/>
      <c r="G35" s="120"/>
      <c r="H35" s="120"/>
      <c r="I35" s="120"/>
    </row>
    <row r="36" spans="8:8">
      <c r="A36" t="s">
        <v>68</v>
      </c>
      <c r="B36" s="47" t="s">
        <v>189</v>
      </c>
      <c r="C36" s="47"/>
      <c r="D36" s="47"/>
      <c r="E36" s="125">
        <f>E34+E17</f>
        <v>161283.0</v>
      </c>
      <c r="F36" s="125">
        <f t="shared" si="4" ref="F36:I36">F34+F17</f>
        <v>153833.0</v>
      </c>
      <c r="G36" s="125">
        <f t="shared" si="4"/>
        <v>154822.0</v>
      </c>
      <c r="H36" s="125">
        <f t="shared" si="4"/>
        <v>167455.0</v>
      </c>
      <c r="I36" s="125">
        <f t="shared" si="4"/>
        <v>161493.0</v>
      </c>
    </row>
    <row r="37" spans="8:8">
      <c r="B37" s="47" t="s">
        <v>190</v>
      </c>
      <c r="C37" s="47"/>
      <c r="D37" s="47"/>
      <c r="E37" s="125">
        <f>(HistoricalFS!H27+HistoricalFS!H21)</f>
        <v>21365.94</v>
      </c>
      <c r="F37" s="125">
        <f>(HistoricalFS!I27+HistoricalFS!I21)</f>
        <v>23663.770000000004</v>
      </c>
      <c r="G37" s="125">
        <f>(HistoricalFS!J27+HistoricalFS!J21)</f>
        <v>25075.789999999994</v>
      </c>
      <c r="H37" s="125">
        <f>(HistoricalFS!K27+HistoricalFS!K21)</f>
        <v>30305.72</v>
      </c>
      <c r="I37" s="125">
        <f>(HistoricalFS!L27+HistoricalFS!L21)</f>
        <v>31045.949999999997</v>
      </c>
    </row>
    <row r="39" spans="8:8" ht="15.75">
      <c r="A39" t="s">
        <v>68</v>
      </c>
      <c r="B39" s="123" t="s">
        <v>181</v>
      </c>
      <c r="C39" s="126"/>
      <c r="D39" s="126"/>
      <c r="E39" s="127">
        <f>E37/E36</f>
        <v>0.13247484235784304</v>
      </c>
      <c r="F39" s="127">
        <f>F37/F36</f>
        <v>0.15382765726469616</v>
      </c>
      <c r="G39" s="127">
        <f t="shared" si="5" ref="G39:I39">G37/G36</f>
        <v>0.16196528917078964</v>
      </c>
      <c r="H39" s="127">
        <f t="shared" si="5"/>
        <v>0.18097829267564422</v>
      </c>
      <c r="I39" s="127">
        <f t="shared" si="5"/>
        <v>0.1922433170477977</v>
      </c>
    </row>
    <row r="42" spans="8:8">
      <c r="A42" t="s">
        <v>68</v>
      </c>
      <c r="B42" s="1" t="s">
        <v>191</v>
      </c>
      <c r="C42" s="50"/>
      <c r="D42" s="50"/>
      <c r="E42" s="128">
        <f>'Raw FS'!J$2</f>
        <v>44621.0</v>
      </c>
      <c r="F42" s="128">
        <f>'Raw FS'!K$2</f>
        <v>44986.0</v>
      </c>
      <c r="G42" s="128">
        <f>'Raw FS'!L$2</f>
        <v>45352.0</v>
      </c>
      <c r="H42" s="128">
        <f>'Raw FS'!M$2</f>
        <v>45717.0</v>
      </c>
      <c r="I42" s="128">
        <f>'Raw FS'!N$2</f>
        <v>46082.0</v>
      </c>
    </row>
    <row r="44" spans="8:8">
      <c r="B44" s="118" t="s">
        <v>192</v>
      </c>
      <c r="C44" s="118"/>
      <c r="D44" s="118"/>
      <c r="E44" s="119">
        <f>-SUM(CFS!I12:I13)</f>
        <v>3040.0</v>
      </c>
      <c r="F44" s="119">
        <f>-SUM(CFS!J12:J13)</f>
        <v>3794.0</v>
      </c>
      <c r="G44" s="119">
        <f>-SUM(CFS!K12:K13)</f>
        <v>4211.0</v>
      </c>
      <c r="H44" s="119">
        <f>-SUM(CFS!L12:L13)</f>
        <v>3541.0</v>
      </c>
      <c r="I44" s="119">
        <f>-SUM(CFS!M12:M13)</f>
        <v>4468.0</v>
      </c>
    </row>
    <row r="45" spans="8:8">
      <c r="B45" s="118" t="s">
        <v>212</v>
      </c>
      <c r="C45" s="118"/>
      <c r="D45" s="118"/>
      <c r="E45" s="119"/>
      <c r="F45" s="119">
        <f>F17-E17</f>
        <v>-7147.0</v>
      </c>
      <c r="G45" s="119">
        <f t="shared" si="6" ref="G45:I45">G17-F17</f>
        <v>665.0</v>
      </c>
      <c r="H45" s="119">
        <f t="shared" si="6"/>
        <v>11542.0</v>
      </c>
      <c r="I45" s="119">
        <f t="shared" si="6"/>
        <v>7227.0</v>
      </c>
    </row>
    <row r="46" spans="8:8">
      <c r="B46" s="118"/>
      <c r="C46" s="118"/>
      <c r="D46" s="118"/>
      <c r="E46" s="119"/>
      <c r="F46" s="119"/>
      <c r="G46" s="119"/>
      <c r="H46" s="119"/>
      <c r="I46" s="119"/>
    </row>
    <row r="47" spans="8:8">
      <c r="B47" s="118" t="s">
        <v>190</v>
      </c>
      <c r="C47" s="118"/>
      <c r="D47" s="118"/>
      <c r="E47" s="119">
        <f>E37</f>
        <v>21365.94</v>
      </c>
      <c r="F47" s="119">
        <f t="shared" si="7" ref="F47:I47">F37</f>
        <v>23663.770000000004</v>
      </c>
      <c r="G47" s="119">
        <f t="shared" si="7"/>
        <v>25075.789999999994</v>
      </c>
      <c r="H47" s="119">
        <f t="shared" si="7"/>
        <v>30305.72</v>
      </c>
      <c r="I47" s="119">
        <f t="shared" si="7"/>
        <v>31045.949999999997</v>
      </c>
      <c r="K47" s="69"/>
    </row>
    <row r="48" spans="8:8">
      <c r="B48" s="118" t="s">
        <v>213</v>
      </c>
      <c r="C48" s="118"/>
      <c r="D48" s="118"/>
      <c r="E48" s="129">
        <f>'Data Sheet'!G32</f>
        <v>0.29002612630450425</v>
      </c>
      <c r="F48" s="129">
        <f>'Data Sheet'!H32</f>
        <v>0.26209317535827575</v>
      </c>
      <c r="G48" s="129">
        <f>'Data Sheet'!I32</f>
        <v>0.24113483819114875</v>
      </c>
      <c r="H48" s="129">
        <f>'Data Sheet'!J32</f>
        <v>0.2498601497362672</v>
      </c>
      <c r="I48" s="129">
        <f>'Data Sheet'!K32</f>
        <v>0.2624137611108181</v>
      </c>
    </row>
    <row r="49" spans="8:8">
      <c r="B49" s="118" t="s">
        <v>215</v>
      </c>
      <c r="C49" s="118"/>
      <c r="D49" s="118"/>
      <c r="E49" s="130">
        <f>E47*(1-E48)</f>
        <v>15169.25918694554</v>
      </c>
      <c r="F49" s="130">
        <f t="shared" si="8" ref="F49:I49">F47*(1-F48)</f>
        <v>17461.657379752098</v>
      </c>
      <c r="G49" s="130">
        <f t="shared" si="8"/>
        <v>19029.14343583477</v>
      </c>
      <c r="H49" s="130">
        <f t="shared" si="8"/>
        <v>22733.528262934615</v>
      </c>
      <c r="I49" s="130">
        <f t="shared" si="8"/>
        <v>22899.065493241593</v>
      </c>
    </row>
    <row r="50" spans="8:8">
      <c r="B50" s="118"/>
      <c r="C50" s="118"/>
      <c r="D50" s="118"/>
      <c r="E50" s="119"/>
      <c r="F50" s="119"/>
      <c r="G50" s="119"/>
      <c r="H50" s="119"/>
      <c r="I50" s="119"/>
      <c r="J50" s="120"/>
    </row>
    <row r="51" spans="8:8">
      <c r="B51" s="118" t="s">
        <v>214</v>
      </c>
      <c r="C51" s="118"/>
      <c r="D51" s="118"/>
      <c r="E51" s="119"/>
      <c r="F51" s="119">
        <f>SUM(F44:F45)</f>
        <v>-3353.0</v>
      </c>
      <c r="G51" s="119">
        <f t="shared" si="9" ref="G51:I51">SUM(G44:G45)</f>
        <v>4876.0</v>
      </c>
      <c r="H51" s="119">
        <f t="shared" si="9"/>
        <v>15083.0</v>
      </c>
      <c r="I51" s="119">
        <f t="shared" si="9"/>
        <v>11695.0</v>
      </c>
    </row>
    <row r="52" spans="8:8" ht="3.75" customHeight="1">
      <c r="F52" s="131"/>
      <c r="G52" s="131"/>
      <c r="H52" s="131"/>
      <c r="I52" s="131"/>
    </row>
    <row r="53" spans="8:8" ht="15.75">
      <c r="B53" s="123" t="s">
        <v>216</v>
      </c>
      <c r="C53" s="123"/>
      <c r="D53" s="123"/>
      <c r="E53" s="123"/>
      <c r="F53" s="127">
        <f>F51/F49</f>
        <v>-0.1920207187141363</v>
      </c>
      <c r="G53" s="127">
        <f t="shared" si="10" ref="G53:I53">G51/G49</f>
        <v>0.2562385436024278</v>
      </c>
      <c r="H53" s="127">
        <f t="shared" si="10"/>
        <v>0.6634693843186562</v>
      </c>
      <c r="I53" s="127">
        <f t="shared" si="10"/>
        <v>0.5107195314783326</v>
      </c>
    </row>
    <row r="54" spans="8:8">
      <c r="F54" s="104"/>
      <c r="G54" s="104"/>
      <c r="H54" s="104"/>
      <c r="I54" s="104"/>
    </row>
    <row r="55" spans="8:8">
      <c r="H55" s="132" t="s">
        <v>217</v>
      </c>
      <c r="I55" s="133">
        <f>AVERAGE(F53:I53)</f>
        <v>0.3096016851713201</v>
      </c>
    </row>
    <row r="56" spans="8:8">
      <c r="H56" s="132" t="s">
        <v>218</v>
      </c>
      <c r="I56" s="133">
        <f>MEDIAN(F53:I53)</f>
        <v>0.3834790375403802</v>
      </c>
    </row>
    <row r="58" spans="8:8">
      <c r="A58" t="s">
        <v>68</v>
      </c>
      <c r="B58" s="1" t="s">
        <v>219</v>
      </c>
      <c r="C58" s="50"/>
      <c r="D58" s="50"/>
      <c r="E58" s="128">
        <f>'Raw FS'!J$2</f>
        <v>44621.0</v>
      </c>
      <c r="F58" s="128">
        <f>'Raw FS'!K$2</f>
        <v>44986.0</v>
      </c>
      <c r="G58" s="128">
        <f>'Raw FS'!L$2</f>
        <v>45352.0</v>
      </c>
      <c r="H58" s="128">
        <f>'Raw FS'!M$2</f>
        <v>45717.0</v>
      </c>
      <c r="I58" s="128">
        <f>'Raw FS'!N$2</f>
        <v>46082.0</v>
      </c>
    </row>
    <row r="60" spans="8:8">
      <c r="B60" s="118" t="s">
        <v>216</v>
      </c>
      <c r="C60" s="118"/>
      <c r="D60" s="118"/>
      <c r="E60" s="118"/>
      <c r="F60" s="134">
        <f>F53</f>
        <v>-0.1920207187141363</v>
      </c>
      <c r="G60" s="134">
        <f t="shared" si="11" ref="G60:I60">G53</f>
        <v>0.2562385436024278</v>
      </c>
      <c r="H60" s="134">
        <f t="shared" si="11"/>
        <v>0.6634693843186562</v>
      </c>
      <c r="I60" s="134">
        <f t="shared" si="11"/>
        <v>0.5107195314783326</v>
      </c>
    </row>
    <row r="61" spans="8:8">
      <c r="B61" s="118" t="s">
        <v>181</v>
      </c>
      <c r="C61" s="118"/>
      <c r="D61" s="118"/>
      <c r="E61" s="118"/>
      <c r="F61" s="134">
        <f>F39</f>
        <v>0.15382765726469616</v>
      </c>
      <c r="G61" s="134">
        <f t="shared" si="12" ref="G61:I61">G39</f>
        <v>0.16196528917078964</v>
      </c>
      <c r="H61" s="134">
        <f t="shared" si="12"/>
        <v>0.18097829267564422</v>
      </c>
      <c r="I61" s="134">
        <f t="shared" si="12"/>
        <v>0.1922433170477977</v>
      </c>
    </row>
    <row r="62" spans="8:8" ht="4.5" customHeight="1"/>
    <row r="63" spans="8:8" ht="15.75">
      <c r="B63" s="123" t="s">
        <v>220</v>
      </c>
      <c r="C63" s="123"/>
      <c r="D63" s="123"/>
      <c r="E63" s="123"/>
      <c r="F63" s="135">
        <f>F60*F61</f>
        <v>-0.02953809730607879</v>
      </c>
      <c r="G63" s="135">
        <f t="shared" si="13" ref="G63:I63">G60*G61</f>
        <v>0.04150174981126921</v>
      </c>
      <c r="H63" s="135">
        <f>H60*H61</f>
        <v>0.12007355641655124</v>
      </c>
      <c r="I63" s="135">
        <f t="shared" si="13"/>
        <v>0.09818241681249179</v>
      </c>
      <c r="K63" s="136"/>
    </row>
    <row r="65" spans="8:8">
      <c r="H65" s="132" t="s">
        <v>217</v>
      </c>
      <c r="I65" s="133">
        <f>AVERAGE(F63:I63)</f>
        <v>0.05755490643355836</v>
      </c>
    </row>
    <row r="66" spans="8:8">
      <c r="H66" s="132" t="s">
        <v>218</v>
      </c>
      <c r="I66" s="133">
        <f>MEDIAN(F63:I63)</f>
        <v>0.06984208331188049</v>
      </c>
    </row>
  </sheetData>
  <pageMargins left="0.25" right="0.25" top="0.29" bottom="0.13" header="0.3" footer="0.3"/>
  <pageSetup paperSize="9" scale="84"/>
  <ignoredErrors>
    <ignoredError sqref="E44:I44" formulaRange="1"/>
  </ignoredErrors>
</worksheet>
</file>

<file path=xl/worksheets/sheet8.xml><?xml version="1.0" encoding="utf-8"?>
<worksheet xmlns:r="http://schemas.openxmlformats.org/officeDocument/2006/relationships" xmlns="http://schemas.openxmlformats.org/spreadsheetml/2006/main">
  <dimension ref="B1:U112"/>
  <sheetViews>
    <sheetView workbookViewId="0" showGridLines="0" zoomScale="89">
      <selection activeCell="L15" sqref="L15"/>
    </sheetView>
  </sheetViews>
  <sheetFormatPr defaultRowHeight="15.0" defaultColWidth="10"/>
  <cols>
    <col min="1" max="1" customWidth="1" width="1.8554688" style="0"/>
    <col min="2" max="2" customWidth="1" bestFit="1" width="31.710938" style="0"/>
    <col min="3" max="3" customWidth="1" bestFit="1" width="12.285156" style="0"/>
    <col min="4" max="4" customWidth="1" width="11.285156" style="0"/>
    <col min="6" max="6" customWidth="1" bestFit="1" width="13.5703125" style="0"/>
    <col min="9" max="9" customWidth="1" width="18.140625" style="0"/>
    <col min="10" max="10" customWidth="1" bestFit="1" width="12.0" style="0"/>
    <col min="12" max="12" customWidth="1" bestFit="1" width="18.0" style="0"/>
    <col min="13" max="13" customWidth="1" bestFit="1" width="14.140625" style="0"/>
    <col min="14" max="14" customWidth="1" bestFit="1" width="14.5703125" style="0"/>
    <col min="15" max="15" customWidth="1" bestFit="1" width="14.140625" style="0"/>
    <col min="16" max="17" customWidth="1" bestFit="1" width="13.425781" style="0"/>
    <col min="18" max="18" customWidth="1" bestFit="1" width="14.140625" style="0"/>
    <col min="19" max="19" customWidth="1" bestFit="1" width="13.425781" style="0"/>
    <col min="20" max="20" customWidth="1" bestFit="1" width="14.140625" style="0"/>
  </cols>
  <sheetData>
    <row r="2" spans="8:8">
      <c r="E2" s="137" t="s">
        <v>288</v>
      </c>
    </row>
    <row r="3" spans="8:8">
      <c r="B3" s="47" t="s">
        <v>290</v>
      </c>
    </row>
    <row r="5" spans="8:8">
      <c r="B5" s="138" t="str">
        <f>'Data Sheet'!B1&amp;" - "&amp;"Weekly Returns"</f>
        <v>LARSEN &amp; TOUBRO LTD - Weekly Returns</v>
      </c>
      <c r="C5" s="138"/>
      <c r="D5" s="138"/>
      <c r="F5" s="138" t="s">
        <v>48</v>
      </c>
      <c r="G5" s="138"/>
      <c r="I5" s="138" t="s">
        <v>52</v>
      </c>
      <c r="J5" s="138"/>
      <c r="L5" t="s">
        <v>49</v>
      </c>
      <c r="M5" s="5">
        <f>SLOPE(D8:D66,G8:G66)</f>
        <v>1.216460946688104</v>
      </c>
    </row>
    <row r="6" spans="8:8">
      <c r="B6" s="139" t="s">
        <v>40</v>
      </c>
      <c r="C6" s="140" t="s">
        <v>46</v>
      </c>
      <c r="D6" s="140" t="s">
        <v>47</v>
      </c>
      <c r="F6" s="140" t="s">
        <v>46</v>
      </c>
      <c r="G6" s="140" t="s">
        <v>47</v>
      </c>
      <c r="L6" t="s">
        <v>50</v>
      </c>
      <c r="M6" s="5">
        <f>_xlfn.COVARIANCE.S(D7:D66,G7:G66)/VAR(G7:G66)</f>
        <v>1.2164609466880925</v>
      </c>
    </row>
    <row r="7" spans="8:8">
      <c r="B7" s="7">
        <v>46029.0</v>
      </c>
      <c r="C7" s="141">
        <v>3937.7</v>
      </c>
      <c r="F7" s="142">
        <v>23979.6</v>
      </c>
      <c r="I7" s="143" t="s">
        <v>53</v>
      </c>
      <c r="J7" s="5">
        <f>M5</f>
        <v>1.216460946688104</v>
      </c>
    </row>
    <row r="8" spans="8:8">
      <c r="B8" s="7">
        <v>46028.0</v>
      </c>
      <c r="C8" s="141">
        <v>4143.4</v>
      </c>
      <c r="D8" s="104">
        <f>C8/C7-1</f>
        <v>0.05223861645123007</v>
      </c>
      <c r="F8" s="142">
        <v>23865.75</v>
      </c>
      <c r="G8" s="104">
        <f>F8/F7-1</f>
        <v>-0.004747785617775002</v>
      </c>
      <c r="I8" t="s">
        <v>54</v>
      </c>
      <c r="J8" s="104">
        <v>0.75</v>
      </c>
      <c r="M8" s="5"/>
    </row>
    <row r="9" spans="8:8">
      <c r="B9" s="7">
        <v>46027.0</v>
      </c>
      <c r="C9" s="141">
        <v>4076.5</v>
      </c>
      <c r="D9" s="104">
        <f t="shared" si="0" ref="D9:D66">C9/C8-1</f>
        <v>-0.01614616015832404</v>
      </c>
      <c r="F9" s="142">
        <v>23547.75</v>
      </c>
      <c r="G9" s="104">
        <f t="shared" si="1" ref="G9:G66">F9/F8-1</f>
        <v>-0.013324534112692965</v>
      </c>
      <c r="J9" s="5"/>
    </row>
    <row r="10" spans="8:8">
      <c r="B10" s="7">
        <v>46026.0</v>
      </c>
      <c r="C10" s="141">
        <v>4014.0</v>
      </c>
      <c r="D10" s="104">
        <f t="shared" si="0"/>
        <v>-0.015331779712989047</v>
      </c>
      <c r="F10" s="142">
        <v>23997.55</v>
      </c>
      <c r="G10" s="104">
        <f t="shared" si="1"/>
        <v>0.01910161268062005</v>
      </c>
      <c r="I10" t="s">
        <v>56</v>
      </c>
      <c r="J10" s="5">
        <v>1.0</v>
      </c>
    </row>
    <row r="11" spans="8:8">
      <c r="B11" s="7">
        <v>46025.0</v>
      </c>
      <c r="C11" s="141">
        <v>3504.1</v>
      </c>
      <c r="D11" s="104">
        <f t="shared" si="0"/>
        <v>-0.12703039362232205</v>
      </c>
      <c r="F11" s="142">
        <v>22331.4</v>
      </c>
      <c r="G11" s="104">
        <f t="shared" si="1"/>
        <v>-0.06943000431294</v>
      </c>
      <c r="I11" t="s">
        <v>55</v>
      </c>
      <c r="J11" s="104">
        <v>0.25</v>
      </c>
    </row>
    <row r="12" spans="8:8">
      <c r="B12" s="7">
        <v>46024.0</v>
      </c>
      <c r="C12" s="141">
        <v>4278.3</v>
      </c>
      <c r="D12" s="104">
        <f t="shared" si="0"/>
        <v>0.22094118318541</v>
      </c>
      <c r="F12" s="142">
        <v>25178.65</v>
      </c>
      <c r="G12" s="104">
        <f t="shared" si="1"/>
        <v>0.12749984327001007</v>
      </c>
    </row>
    <row r="13" spans="8:8">
      <c r="B13" s="7">
        <v>46023.0</v>
      </c>
      <c r="C13" s="141">
        <v>3932.3</v>
      </c>
      <c r="D13" s="104">
        <f t="shared" si="0"/>
        <v>-0.08087324404553198</v>
      </c>
      <c r="F13" s="142">
        <v>25320.65</v>
      </c>
      <c r="G13" s="104">
        <f t="shared" si="1"/>
        <v>0.005639698713000074</v>
      </c>
      <c r="I13" s="64" t="s">
        <v>57</v>
      </c>
      <c r="J13" s="144">
        <f>(J7*J8)+(J10*J11)</f>
        <v>1.1623457100160781</v>
      </c>
    </row>
    <row r="14" spans="8:8">
      <c r="B14" s="7">
        <v>45669.0</v>
      </c>
      <c r="C14" s="141">
        <v>4083.5</v>
      </c>
      <c r="D14" s="104">
        <f t="shared" si="0"/>
        <v>0.0384507794420601</v>
      </c>
      <c r="F14" s="142">
        <v>26129.6</v>
      </c>
      <c r="G14" s="104">
        <f t="shared" si="1"/>
        <v>0.03194823197666996</v>
      </c>
    </row>
    <row r="15" spans="8:8">
      <c r="B15" s="7">
        <v>45668.0</v>
      </c>
      <c r="C15" s="141">
        <v>4069.6</v>
      </c>
      <c r="D15" s="104">
        <f t="shared" si="0"/>
        <v>-0.0034039426962160224</v>
      </c>
      <c r="F15" s="142">
        <v>26202.95</v>
      </c>
      <c r="G15" s="104">
        <f t="shared" si="1"/>
        <v>0.002807161227110111</v>
      </c>
      <c r="K15" s="145"/>
      <c r="L15" s="145"/>
    </row>
    <row r="16" spans="8:8">
      <c r="B16" s="7">
        <v>45667.0</v>
      </c>
      <c r="C16" s="141">
        <v>4030.9</v>
      </c>
      <c r="D16" s="104">
        <f t="shared" si="0"/>
        <v>-0.00950953410654598</v>
      </c>
      <c r="F16" s="142">
        <v>25722.1</v>
      </c>
      <c r="G16" s="104">
        <f t="shared" si="1"/>
        <v>-0.018350987198005986</v>
      </c>
    </row>
    <row r="17" spans="8:8">
      <c r="B17" s="7">
        <v>45666.0</v>
      </c>
      <c r="C17" s="141">
        <v>3659.0</v>
      </c>
      <c r="D17" s="104">
        <f t="shared" si="0"/>
        <v>-0.092262273933861</v>
      </c>
      <c r="F17" s="142">
        <v>24611.1</v>
      </c>
      <c r="G17" s="104">
        <f t="shared" si="1"/>
        <v>-0.043192429856037995</v>
      </c>
    </row>
    <row r="18" spans="8:8">
      <c r="B18" s="7">
        <v>45665.0</v>
      </c>
      <c r="C18" s="141">
        <v>3601.0</v>
      </c>
      <c r="D18" s="104">
        <f t="shared" si="0"/>
        <v>-0.015851325498769997</v>
      </c>
      <c r="F18" s="142">
        <v>24426.85</v>
      </c>
      <c r="G18" s="104">
        <f t="shared" si="1"/>
        <v>-0.007486459361833009</v>
      </c>
      <c r="K18" s="145"/>
      <c r="L18" s="145"/>
      <c r="M18" s="145"/>
    </row>
    <row r="19" spans="8:8">
      <c r="B19" s="7">
        <v>45664.0</v>
      </c>
      <c r="C19" s="141">
        <v>3636.5</v>
      </c>
      <c r="D19" s="104">
        <f t="shared" si="0"/>
        <v>0.00985837267426004</v>
      </c>
      <c r="F19" s="142">
        <v>24768.35</v>
      </c>
      <c r="G19" s="104">
        <f t="shared" si="1"/>
        <v>0.013980517340550058</v>
      </c>
    </row>
    <row r="20" spans="8:8">
      <c r="B20" s="7">
        <v>45663.0</v>
      </c>
      <c r="C20" s="141">
        <v>3669.8</v>
      </c>
      <c r="D20" s="104">
        <f t="shared" si="0"/>
        <v>0.009157156606629968</v>
      </c>
      <c r="F20" s="142">
        <v>25517.05</v>
      </c>
      <c r="G20" s="104">
        <f t="shared" si="1"/>
        <v>0.030228093514510057</v>
      </c>
      <c r="I20" s="71"/>
    </row>
    <row r="21" spans="8:8">
      <c r="B21" s="7">
        <v>45662.0</v>
      </c>
      <c r="C21" s="141">
        <v>3675.1</v>
      </c>
      <c r="D21" s="104">
        <f t="shared" si="0"/>
        <v>0.0014442203934799114</v>
      </c>
      <c r="F21" s="142">
        <v>24750.7</v>
      </c>
      <c r="G21" s="104">
        <f t="shared" si="1"/>
        <v>-0.030032860381588034</v>
      </c>
    </row>
    <row r="22" spans="8:8">
      <c r="B22" s="7">
        <v>45661.0</v>
      </c>
      <c r="C22" s="141">
        <v>3341.0</v>
      </c>
      <c r="D22" s="104">
        <f t="shared" si="0"/>
        <v>-0.09090909090909105</v>
      </c>
      <c r="F22" s="142">
        <v>24334.2</v>
      </c>
      <c r="G22" s="104">
        <f t="shared" si="1"/>
        <v>-0.01682780689031005</v>
      </c>
    </row>
    <row r="23" spans="8:8">
      <c r="B23" s="7">
        <v>45660.0</v>
      </c>
      <c r="C23" s="141">
        <v>3492.3</v>
      </c>
      <c r="D23" s="104">
        <f t="shared" si="0"/>
        <v>0.0452858425621101</v>
      </c>
      <c r="F23" s="142">
        <v>23519.35</v>
      </c>
      <c r="G23" s="104">
        <f t="shared" si="1"/>
        <v>-0.03348579365666404</v>
      </c>
    </row>
    <row r="24" spans="8:8">
      <c r="B24" s="7">
        <v>45659.0</v>
      </c>
      <c r="C24" s="141">
        <v>3163.85</v>
      </c>
      <c r="D24" s="104">
        <f t="shared" si="0"/>
        <v>-0.09404976662944198</v>
      </c>
      <c r="F24" s="142">
        <v>22124.7</v>
      </c>
      <c r="G24" s="104">
        <f t="shared" si="1"/>
        <v>-0.059297982299680974</v>
      </c>
    </row>
    <row r="25" spans="8:8">
      <c r="B25" s="7">
        <v>45658.0</v>
      </c>
      <c r="C25" s="141">
        <v>3567.4</v>
      </c>
      <c r="D25" s="104">
        <f t="shared" si="0"/>
        <v>0.12755029473584</v>
      </c>
      <c r="F25" s="142">
        <v>23508.4</v>
      </c>
      <c r="G25" s="104">
        <f t="shared" si="1"/>
        <v>0.06254096100737994</v>
      </c>
    </row>
    <row r="26" spans="8:8">
      <c r="B26" s="7">
        <v>45303.0</v>
      </c>
      <c r="C26" s="141">
        <v>3607.65</v>
      </c>
      <c r="D26" s="104">
        <f t="shared" si="0"/>
        <v>0.011282726915960106</v>
      </c>
      <c r="F26" s="142">
        <v>23644.8</v>
      </c>
      <c r="G26" s="104">
        <f t="shared" si="1"/>
        <v>0.005802181347940083</v>
      </c>
      <c r="K26" s="146"/>
      <c r="L26" s="146"/>
      <c r="M26" s="146"/>
      <c r="N26" s="146"/>
      <c r="O26" s="146"/>
      <c r="P26" s="146"/>
      <c r="Q26" s="146"/>
    </row>
    <row r="27" spans="8:8">
      <c r="B27" s="7">
        <v>45302.0</v>
      </c>
      <c r="C27" s="141">
        <v>3724.8</v>
      </c>
      <c r="D27" s="104">
        <f t="shared" si="0"/>
        <v>0.032472662259370066</v>
      </c>
      <c r="F27" s="142">
        <v>24131.1</v>
      </c>
      <c r="G27" s="104">
        <f t="shared" si="1"/>
        <v>0.02056688997158007</v>
      </c>
    </row>
    <row r="28" spans="8:8">
      <c r="B28" s="7">
        <v>45301.0</v>
      </c>
      <c r="C28" s="141">
        <v>3622.3</v>
      </c>
      <c r="D28" s="104">
        <f t="shared" si="0"/>
        <v>-0.027518256013746023</v>
      </c>
      <c r="F28" s="142">
        <v>24205.35</v>
      </c>
      <c r="G28" s="104">
        <f t="shared" si="1"/>
        <v>0.003076942203209976</v>
      </c>
    </row>
    <row r="29" spans="8:8">
      <c r="B29" s="7">
        <v>45300.0</v>
      </c>
      <c r="C29" s="141">
        <v>3675.55</v>
      </c>
      <c r="D29" s="104">
        <f t="shared" si="0"/>
        <v>0.014700604588250066</v>
      </c>
      <c r="F29" s="142">
        <v>25810.85</v>
      </c>
      <c r="G29" s="104">
        <f t="shared" si="1"/>
        <v>0.0663283117162099</v>
      </c>
    </row>
    <row r="30" spans="8:8">
      <c r="B30" s="7">
        <v>45299.0</v>
      </c>
      <c r="C30" s="141">
        <v>3704.65</v>
      </c>
      <c r="D30" s="104">
        <f t="shared" si="0"/>
        <v>0.007917182462489958</v>
      </c>
      <c r="F30" s="142">
        <v>25235.9</v>
      </c>
      <c r="G30" s="104">
        <f t="shared" si="1"/>
        <v>-0.022275515916756028</v>
      </c>
    </row>
    <row r="31" spans="8:8">
      <c r="B31" s="7">
        <v>45298.0</v>
      </c>
      <c r="C31" s="141">
        <v>3815.0</v>
      </c>
      <c r="D31" s="104">
        <f t="shared" si="0"/>
        <v>0.029786889449749943</v>
      </c>
      <c r="F31" s="142">
        <v>24951.15</v>
      </c>
      <c r="G31" s="104">
        <f t="shared" si="1"/>
        <v>-0.011283528623905026</v>
      </c>
      <c r="K31" s="146"/>
      <c r="L31" s="146"/>
      <c r="M31" s="146"/>
      <c r="N31" s="146"/>
      <c r="O31" s="146"/>
      <c r="P31" s="146"/>
      <c r="Q31" s="146"/>
      <c r="R31" s="146"/>
      <c r="S31" s="146"/>
      <c r="T31" s="146"/>
    </row>
    <row r="32" spans="8:8">
      <c r="B32" s="7">
        <v>45297.0</v>
      </c>
      <c r="C32" s="141">
        <v>3548.45</v>
      </c>
      <c r="D32" s="104">
        <f t="shared" si="0"/>
        <v>-0.06986893840104902</v>
      </c>
      <c r="F32" s="142">
        <v>24010.6</v>
      </c>
      <c r="G32" s="104">
        <f t="shared" si="1"/>
        <v>-0.03769565731439195</v>
      </c>
    </row>
    <row r="33" spans="8:8">
      <c r="B33" s="7">
        <v>45296.0</v>
      </c>
      <c r="C33" s="141">
        <v>3669.3</v>
      </c>
      <c r="D33" s="104">
        <f t="shared" si="0"/>
        <v>0.034057123532809985</v>
      </c>
      <c r="F33" s="142">
        <v>22530.7</v>
      </c>
      <c r="G33" s="104">
        <f t="shared" si="1"/>
        <v>-0.06163527775232602</v>
      </c>
    </row>
    <row r="34" spans="8:8">
      <c r="B34" s="7">
        <v>45295.0</v>
      </c>
      <c r="C34" s="141">
        <v>3594.3</v>
      </c>
      <c r="D34" s="104">
        <f t="shared" si="0"/>
        <v>-0.020439865914478994</v>
      </c>
      <c r="F34" s="142">
        <v>22604.85</v>
      </c>
      <c r="G34" s="104">
        <f t="shared" si="1"/>
        <v>0.0032910650800899166</v>
      </c>
    </row>
    <row r="35" spans="8:8">
      <c r="B35" s="7">
        <v>45294.0</v>
      </c>
      <c r="C35" s="141">
        <v>3763.9</v>
      </c>
      <c r="D35" s="104">
        <f t="shared" si="0"/>
        <v>0.047185821995940014</v>
      </c>
      <c r="F35" s="142">
        <v>22326.9</v>
      </c>
      <c r="G35" s="104">
        <f t="shared" si="1"/>
        <v>-0.01229603381575195</v>
      </c>
    </row>
    <row r="36" spans="8:8">
      <c r="B36" s="7">
        <v>45293.0</v>
      </c>
      <c r="C36" s="141">
        <v>3477.55</v>
      </c>
      <c r="D36" s="104">
        <f t="shared" si="0"/>
        <v>-0.076078004197774</v>
      </c>
      <c r="F36" s="142">
        <v>21982.8</v>
      </c>
      <c r="G36" s="104">
        <f t="shared" si="1"/>
        <v>-0.015411902234524044</v>
      </c>
    </row>
    <row r="37" spans="8:8">
      <c r="B37" s="7">
        <v>45292.0</v>
      </c>
      <c r="C37" s="141">
        <v>3479.75</v>
      </c>
      <c r="D37" s="104">
        <f t="shared" si="0"/>
        <v>6.326292936100764E-4</v>
      </c>
      <c r="F37" s="142">
        <v>21725.7</v>
      </c>
      <c r="G37" s="104">
        <f t="shared" si="1"/>
        <v>-0.011695507396692006</v>
      </c>
    </row>
    <row r="38" spans="8:8">
      <c r="B38" s="7">
        <v>44938.0</v>
      </c>
      <c r="C38" s="141">
        <v>3526.0</v>
      </c>
      <c r="D38" s="104">
        <f t="shared" si="0"/>
        <v>0.013291184711549997</v>
      </c>
      <c r="F38" s="142">
        <v>21731.4</v>
      </c>
      <c r="G38" s="104">
        <f t="shared" si="1"/>
        <v>2.623620872999055E-4</v>
      </c>
    </row>
    <row r="39" spans="8:8">
      <c r="B39" s="7">
        <v>44937.0</v>
      </c>
      <c r="C39" s="141">
        <v>3109.2</v>
      </c>
      <c r="D39" s="104">
        <f t="shared" si="0"/>
        <v>-0.11820760068065805</v>
      </c>
      <c r="F39" s="142">
        <v>20133.15</v>
      </c>
      <c r="G39" s="104">
        <f t="shared" si="1"/>
        <v>-0.07354565283414805</v>
      </c>
    </row>
    <row r="40" spans="8:8">
      <c r="B40" s="7">
        <v>44936.0</v>
      </c>
      <c r="C40" s="141">
        <v>2929.05</v>
      </c>
      <c r="D40" s="104">
        <f t="shared" si="0"/>
        <v>-0.05794094944036998</v>
      </c>
      <c r="F40" s="142">
        <v>19079.6</v>
      </c>
      <c r="G40" s="104">
        <f t="shared" si="1"/>
        <v>-0.05232911889098302</v>
      </c>
    </row>
    <row r="41" spans="8:8">
      <c r="B41" s="7">
        <v>44935.0</v>
      </c>
      <c r="C41" s="141">
        <v>3023.55</v>
      </c>
      <c r="D41" s="104">
        <f t="shared" si="0"/>
        <v>0.03226302043324991</v>
      </c>
      <c r="F41" s="142">
        <v>19638.3</v>
      </c>
      <c r="G41" s="104">
        <f t="shared" si="1"/>
        <v>0.029282584540559986</v>
      </c>
    </row>
    <row r="42" spans="8:8">
      <c r="B42" s="7">
        <v>44934.0</v>
      </c>
      <c r="C42" s="141">
        <v>2702.7</v>
      </c>
      <c r="D42" s="104">
        <f t="shared" si="0"/>
        <v>-0.10611698169370398</v>
      </c>
      <c r="F42" s="142">
        <v>19253.8</v>
      </c>
      <c r="G42" s="104">
        <f t="shared" si="1"/>
        <v>-0.01957908780291595</v>
      </c>
    </row>
    <row r="43" spans="8:8">
      <c r="B43" s="7">
        <v>44933.0</v>
      </c>
      <c r="C43" s="141">
        <v>2675.32</v>
      </c>
      <c r="D43" s="104">
        <f t="shared" si="0"/>
        <v>-0.010130610130610007</v>
      </c>
      <c r="F43" s="142">
        <v>19753.8</v>
      </c>
      <c r="G43" s="104">
        <f t="shared" si="1"/>
        <v>0.025968899645780086</v>
      </c>
    </row>
    <row r="44" spans="8:8">
      <c r="B44" s="7">
        <v>44932.0</v>
      </c>
      <c r="C44" s="141">
        <v>2469.98</v>
      </c>
      <c r="D44" s="104">
        <f t="shared" si="0"/>
        <v>-0.07675343510308996</v>
      </c>
      <c r="F44" s="142">
        <v>19189.05</v>
      </c>
      <c r="G44" s="104">
        <f t="shared" si="1"/>
        <v>-0.028589435956625997</v>
      </c>
    </row>
    <row r="45" spans="8:8">
      <c r="B45" s="7">
        <v>44931.0</v>
      </c>
      <c r="C45" s="141">
        <v>2200.69</v>
      </c>
      <c r="D45" s="104">
        <f t="shared" si="0"/>
        <v>-0.10902517429290903</v>
      </c>
      <c r="F45" s="142">
        <v>18534.4</v>
      </c>
      <c r="G45" s="104">
        <f t="shared" si="1"/>
        <v>-0.03411581084003601</v>
      </c>
    </row>
    <row r="46" spans="8:8">
      <c r="B46" s="7">
        <v>44930.0</v>
      </c>
      <c r="C46" s="141">
        <v>2359.08</v>
      </c>
      <c r="D46" s="104">
        <f t="shared" si="0"/>
        <v>0.07197288123270007</v>
      </c>
      <c r="F46" s="142">
        <v>18065.0</v>
      </c>
      <c r="G46" s="104">
        <f t="shared" si="1"/>
        <v>-0.025325880524861955</v>
      </c>
    </row>
    <row r="47" spans="8:8">
      <c r="B47" s="7">
        <v>44929.0</v>
      </c>
      <c r="C47" s="141">
        <v>2159.33</v>
      </c>
      <c r="D47" s="104">
        <f t="shared" si="0"/>
        <v>-0.08467283856418595</v>
      </c>
      <c r="F47" s="142">
        <v>17359.75</v>
      </c>
      <c r="G47" s="104">
        <f t="shared" si="1"/>
        <v>-0.039039579296982985</v>
      </c>
    </row>
    <row r="48" spans="8:8">
      <c r="B48" s="7">
        <v>44928.0</v>
      </c>
      <c r="C48" s="141">
        <v>2104.4</v>
      </c>
      <c r="D48" s="104">
        <f t="shared" si="0"/>
        <v>-0.02543844618469604</v>
      </c>
      <c r="F48" s="142">
        <v>17303.95</v>
      </c>
      <c r="G48" s="104">
        <f t="shared" si="1"/>
        <v>-0.0032143320036289724</v>
      </c>
    </row>
    <row r="49" spans="8:8">
      <c r="B49" s="7">
        <v>44927.0</v>
      </c>
      <c r="C49" s="141">
        <v>2119.62</v>
      </c>
      <c r="D49" s="104">
        <f t="shared" si="0"/>
        <v>0.007232465310780034</v>
      </c>
      <c r="F49" s="142">
        <v>17662.15</v>
      </c>
      <c r="G49" s="104">
        <f t="shared" si="1"/>
        <v>0.020700475902899917</v>
      </c>
    </row>
    <row r="50" spans="8:8">
      <c r="B50" s="7">
        <v>44573.0</v>
      </c>
      <c r="C50" s="141">
        <v>2081.11</v>
      </c>
      <c r="D50" s="104">
        <f t="shared" si="0"/>
        <v>-0.018168350930827026</v>
      </c>
      <c r="F50" s="142">
        <v>18105.3</v>
      </c>
      <c r="G50" s="104">
        <f t="shared" si="1"/>
        <v>0.02509037687936999</v>
      </c>
    </row>
    <row r="51" spans="8:8">
      <c r="B51" s="7">
        <v>44572.0</v>
      </c>
      <c r="C51" s="141">
        <v>2070.18</v>
      </c>
      <c r="D51" s="104">
        <f t="shared" si="0"/>
        <v>-0.005252004939672039</v>
      </c>
      <c r="F51" s="142">
        <v>18758.35</v>
      </c>
      <c r="G51" s="104">
        <f t="shared" si="1"/>
        <v>0.0360695486956899</v>
      </c>
    </row>
    <row r="52" spans="8:8">
      <c r="B52" s="7">
        <v>44571.0</v>
      </c>
      <c r="C52" s="141">
        <v>2018.55</v>
      </c>
      <c r="D52" s="104">
        <f t="shared" si="0"/>
        <v>-0.024939860302003014</v>
      </c>
      <c r="F52" s="142">
        <v>18012.2</v>
      </c>
      <c r="G52" s="104">
        <f t="shared" si="1"/>
        <v>-0.039776952663747034</v>
      </c>
    </row>
    <row r="53" spans="8:8">
      <c r="B53" s="7">
        <v>44570.0</v>
      </c>
      <c r="C53" s="141">
        <v>1843.54</v>
      </c>
      <c r="D53" s="104">
        <f t="shared" si="0"/>
        <v>-0.08670084961977598</v>
      </c>
      <c r="F53" s="142">
        <v>17094.35</v>
      </c>
      <c r="G53" s="104">
        <f t="shared" si="1"/>
        <v>-0.05095712905697303</v>
      </c>
    </row>
    <row r="54" spans="8:8">
      <c r="B54" s="7">
        <v>44569.0</v>
      </c>
      <c r="C54" s="141">
        <v>1918.17</v>
      </c>
      <c r="D54" s="104">
        <f t="shared" si="0"/>
        <v>0.04048189895526999</v>
      </c>
      <c r="F54" s="142">
        <v>17759.3</v>
      </c>
      <c r="G54" s="104">
        <f t="shared" si="1"/>
        <v>0.03889881744553003</v>
      </c>
    </row>
    <row r="55" spans="8:8">
      <c r="B55" s="7">
        <v>44568.0</v>
      </c>
      <c r="C55" s="141">
        <v>1803.98</v>
      </c>
      <c r="D55" s="104">
        <f t="shared" si="0"/>
        <v>-0.05953069853036996</v>
      </c>
      <c r="F55" s="142">
        <v>17158.25</v>
      </c>
      <c r="G55" s="104">
        <f t="shared" si="1"/>
        <v>-0.033844239356281</v>
      </c>
    </row>
    <row r="56" spans="8:8">
      <c r="B56" s="7">
        <v>44567.0</v>
      </c>
      <c r="C56" s="141">
        <v>1554.74</v>
      </c>
      <c r="D56" s="104">
        <f t="shared" si="0"/>
        <v>-0.13816117695318098</v>
      </c>
      <c r="F56" s="142">
        <v>15780.25</v>
      </c>
      <c r="G56" s="104">
        <f t="shared" si="1"/>
        <v>-0.08031122054988105</v>
      </c>
    </row>
    <row r="57" spans="8:8">
      <c r="B57" s="7">
        <v>44566.0</v>
      </c>
      <c r="C57" s="141">
        <v>1650.78</v>
      </c>
      <c r="D57" s="104">
        <f t="shared" si="0"/>
        <v>0.061772386379719935</v>
      </c>
      <c r="F57" s="142">
        <v>16584.55</v>
      </c>
      <c r="G57" s="104">
        <f t="shared" si="1"/>
        <v>0.05096877425895996</v>
      </c>
    </row>
    <row r="58" spans="8:8">
      <c r="B58" s="7">
        <v>44565.0</v>
      </c>
      <c r="C58" s="141">
        <v>1690.54</v>
      </c>
      <c r="D58" s="104">
        <f t="shared" si="0"/>
        <v>0.024085583784640097</v>
      </c>
      <c r="F58" s="142">
        <v>17102.55</v>
      </c>
      <c r="G58" s="104">
        <f t="shared" si="1"/>
        <v>0.031233889372940027</v>
      </c>
    </row>
    <row r="59" spans="8:8">
      <c r="B59" s="7">
        <v>44564.0</v>
      </c>
      <c r="C59" s="141">
        <v>1763.67</v>
      </c>
      <c r="D59" s="104">
        <f t="shared" si="0"/>
        <v>0.04325836714895992</v>
      </c>
      <c r="F59" s="142">
        <v>17464.75</v>
      </c>
      <c r="G59" s="104">
        <f t="shared" si="1"/>
        <v>0.021178128407749908</v>
      </c>
    </row>
    <row r="60" spans="8:8">
      <c r="B60" s="7">
        <v>44563.0</v>
      </c>
      <c r="C60" s="141">
        <v>1812.66</v>
      </c>
      <c r="D60" s="104">
        <f t="shared" si="0"/>
        <v>0.027777305278199993</v>
      </c>
      <c r="F60" s="142">
        <v>16793.9</v>
      </c>
      <c r="G60" s="104">
        <f t="shared" si="1"/>
        <v>-0.03841165776778899</v>
      </c>
    </row>
    <row r="61" spans="8:8">
      <c r="B61" s="7">
        <v>44562.0</v>
      </c>
      <c r="C61" s="141">
        <v>1904.9</v>
      </c>
      <c r="D61" s="104">
        <f t="shared" si="0"/>
        <v>0.05088654242936008</v>
      </c>
      <c r="F61" s="142">
        <v>17339.85</v>
      </c>
      <c r="G61" s="104">
        <f t="shared" si="1"/>
        <v>0.032508827610030044</v>
      </c>
    </row>
    <row r="62" spans="8:8">
      <c r="B62" s="7">
        <v>44208.0</v>
      </c>
      <c r="C62" s="141">
        <v>1891.63</v>
      </c>
      <c r="D62" s="104">
        <f t="shared" si="0"/>
        <v>-0.006966244947240963</v>
      </c>
      <c r="F62" s="142">
        <v>17354.05</v>
      </c>
      <c r="G62" s="104">
        <f t="shared" si="1"/>
        <v>8.189228857200526E-4</v>
      </c>
    </row>
    <row r="63" spans="8:8">
      <c r="B63" s="7">
        <v>44207.0</v>
      </c>
      <c r="C63" s="141">
        <v>1760.78</v>
      </c>
      <c r="D63" s="104">
        <f t="shared" si="0"/>
        <v>-0.06917314696848698</v>
      </c>
      <c r="F63" s="142">
        <v>16983.2</v>
      </c>
      <c r="G63" s="104">
        <f t="shared" si="1"/>
        <v>-0.02136965146464398</v>
      </c>
    </row>
    <row r="64" spans="8:8">
      <c r="B64" s="7">
        <v>44206.0</v>
      </c>
      <c r="C64" s="141">
        <v>1762.68</v>
      </c>
      <c r="D64" s="104">
        <f t="shared" si="0"/>
        <v>0.001079067231569919</v>
      </c>
      <c r="F64" s="142">
        <v>17671.65</v>
      </c>
      <c r="G64" s="104">
        <f t="shared" si="1"/>
        <v>0.0405371190352799</v>
      </c>
    </row>
    <row r="65" spans="8:8">
      <c r="B65" s="7">
        <v>44205.0</v>
      </c>
      <c r="C65" s="141">
        <v>1699.12</v>
      </c>
      <c r="D65" s="104">
        <f t="shared" si="0"/>
        <v>-0.036058728753943003</v>
      </c>
      <c r="F65" s="142">
        <v>17618.15</v>
      </c>
      <c r="G65" s="104">
        <f t="shared" si="1"/>
        <v>-0.0030274479179930314</v>
      </c>
    </row>
    <row r="66" spans="8:8">
      <c r="B66" s="7">
        <v>44204.0</v>
      </c>
      <c r="C66" s="141">
        <v>1668.44</v>
      </c>
      <c r="D66" s="104">
        <f t="shared" si="0"/>
        <v>-0.018056405668817055</v>
      </c>
      <c r="F66" s="142">
        <v>17132.2</v>
      </c>
      <c r="G66" s="104">
        <f t="shared" si="1"/>
        <v>-0.02758235115491703</v>
      </c>
    </row>
    <row r="67" spans="8:8">
      <c r="B67" s="7"/>
      <c r="C67" s="141"/>
      <c r="D67" s="104"/>
      <c r="F67" s="142"/>
      <c r="G67" s="104"/>
    </row>
    <row r="68" spans="8:8">
      <c r="B68" s="7"/>
      <c r="C68" s="141"/>
      <c r="D68" s="104"/>
      <c r="F68" s="142"/>
      <c r="G68" s="104"/>
    </row>
    <row r="69" spans="8:8">
      <c r="B69" s="7"/>
      <c r="C69" s="141"/>
      <c r="D69" s="104"/>
      <c r="F69" s="142"/>
      <c r="G69" s="104"/>
    </row>
    <row r="70" spans="8:8">
      <c r="B70" s="7"/>
      <c r="C70" s="141"/>
      <c r="D70" s="104"/>
      <c r="F70" s="142"/>
      <c r="G70" s="104"/>
    </row>
    <row r="71" spans="8:8">
      <c r="B71" s="7"/>
      <c r="C71" s="141"/>
      <c r="D71" s="104"/>
      <c r="F71" s="142"/>
      <c r="G71" s="104"/>
    </row>
    <row r="72" spans="8:8">
      <c r="B72" s="7"/>
      <c r="C72" s="141"/>
      <c r="D72" s="104"/>
      <c r="F72" s="142"/>
      <c r="G72" s="104"/>
    </row>
    <row r="73" spans="8:8">
      <c r="B73" s="7"/>
      <c r="C73" s="141"/>
      <c r="D73" s="104"/>
      <c r="F73" s="142"/>
      <c r="G73" s="104"/>
    </row>
    <row r="74" spans="8:8">
      <c r="B74" s="7"/>
      <c r="C74" s="141"/>
      <c r="D74" s="104"/>
      <c r="F74" s="142"/>
      <c r="G74" s="104"/>
    </row>
    <row r="75" spans="8:8">
      <c r="B75" s="7"/>
      <c r="C75" s="141"/>
      <c r="D75" s="104"/>
      <c r="F75" s="142"/>
      <c r="G75" s="104"/>
    </row>
    <row r="76" spans="8:8">
      <c r="B76" s="7"/>
      <c r="C76" s="141"/>
      <c r="D76" s="104"/>
      <c r="F76" s="142"/>
      <c r="G76" s="104"/>
    </row>
    <row r="77" spans="8:8">
      <c r="B77" s="7"/>
      <c r="C77" s="141"/>
      <c r="D77" s="104"/>
      <c r="F77" s="142"/>
      <c r="G77" s="104"/>
    </row>
    <row r="78" spans="8:8">
      <c r="B78" s="7"/>
      <c r="C78" s="141"/>
      <c r="D78" s="104"/>
      <c r="F78" s="142"/>
      <c r="G78" s="104"/>
    </row>
    <row r="79" spans="8:8">
      <c r="B79" s="7"/>
      <c r="C79" s="141"/>
      <c r="D79" s="104"/>
      <c r="F79" s="142"/>
      <c r="G79" s="104"/>
    </row>
    <row r="80" spans="8:8">
      <c r="B80" s="7"/>
      <c r="C80" s="141"/>
      <c r="D80" s="104"/>
      <c r="F80" s="142"/>
      <c r="G80" s="104"/>
    </row>
    <row r="81" spans="8:8">
      <c r="B81" s="7"/>
      <c r="C81" s="141"/>
      <c r="D81" s="104"/>
      <c r="F81" s="142"/>
      <c r="G81" s="104"/>
    </row>
    <row r="82" spans="8:8">
      <c r="B82" s="7"/>
      <c r="C82" s="141"/>
      <c r="D82" s="104"/>
      <c r="F82" s="142"/>
      <c r="G82" s="104"/>
    </row>
    <row r="83" spans="8:8">
      <c r="B83" s="7"/>
      <c r="C83" s="141"/>
      <c r="D83" s="104"/>
      <c r="F83" s="142"/>
      <c r="G83" s="104"/>
    </row>
    <row r="84" spans="8:8">
      <c r="B84" s="7"/>
      <c r="C84" s="141"/>
      <c r="D84" s="104"/>
      <c r="F84" s="142"/>
      <c r="G84" s="104"/>
    </row>
    <row r="85" spans="8:8">
      <c r="B85" s="7"/>
      <c r="C85" s="141"/>
      <c r="D85" s="104"/>
      <c r="F85" s="142"/>
      <c r="G85" s="104"/>
    </row>
    <row r="86" spans="8:8">
      <c r="B86" s="7"/>
      <c r="C86" s="141"/>
      <c r="D86" s="104"/>
      <c r="F86" s="142"/>
      <c r="G86" s="104"/>
    </row>
    <row r="87" spans="8:8">
      <c r="B87" s="7"/>
      <c r="C87" s="141"/>
      <c r="D87" s="104"/>
      <c r="F87" s="142"/>
      <c r="G87" s="104"/>
    </row>
    <row r="88" spans="8:8">
      <c r="B88" s="7"/>
      <c r="C88" s="141"/>
      <c r="D88" s="104"/>
      <c r="F88" s="142"/>
      <c r="G88" s="104"/>
    </row>
    <row r="89" spans="8:8">
      <c r="B89" s="7"/>
      <c r="C89" s="141"/>
      <c r="D89" s="104"/>
      <c r="F89" s="142"/>
      <c r="G89" s="104"/>
    </row>
    <row r="90" spans="8:8">
      <c r="B90" s="7"/>
      <c r="C90" s="141"/>
      <c r="D90" s="104"/>
      <c r="F90" s="142"/>
      <c r="G90" s="104"/>
    </row>
    <row r="91" spans="8:8">
      <c r="B91" s="7"/>
      <c r="C91" s="141"/>
      <c r="D91" s="104"/>
      <c r="F91" s="142"/>
      <c r="G91" s="104"/>
    </row>
    <row r="92" spans="8:8">
      <c r="B92" s="7"/>
      <c r="C92" s="141"/>
      <c r="D92" s="104"/>
      <c r="F92" s="142"/>
      <c r="G92" s="104"/>
    </row>
    <row r="93" spans="8:8">
      <c r="B93" s="7"/>
      <c r="C93" s="141"/>
      <c r="D93" s="104"/>
      <c r="F93" s="142"/>
      <c r="G93" s="104"/>
    </row>
    <row r="94" spans="8:8">
      <c r="B94" s="7"/>
      <c r="C94" s="141"/>
      <c r="D94" s="104"/>
      <c r="F94" s="142"/>
      <c r="G94" s="104"/>
    </row>
    <row r="95" spans="8:8">
      <c r="B95" s="7"/>
      <c r="C95" s="141"/>
      <c r="D95" s="104"/>
      <c r="F95" s="142"/>
      <c r="G95" s="104"/>
    </row>
    <row r="96" spans="8:8">
      <c r="B96" s="7"/>
      <c r="C96" s="141"/>
      <c r="D96" s="104"/>
      <c r="F96" s="142"/>
      <c r="G96" s="104"/>
    </row>
    <row r="97" spans="8:8">
      <c r="B97" s="7"/>
      <c r="C97" s="141"/>
      <c r="D97" s="104"/>
      <c r="F97" s="142"/>
      <c r="G97" s="104"/>
    </row>
    <row r="98" spans="8:8">
      <c r="B98" s="7"/>
      <c r="C98" s="141"/>
      <c r="D98" s="104"/>
      <c r="F98" s="142"/>
      <c r="G98" s="104"/>
    </row>
    <row r="99" spans="8:8">
      <c r="B99" s="7"/>
      <c r="C99" s="141"/>
      <c r="D99" s="104"/>
      <c r="F99" s="142"/>
      <c r="G99" s="104"/>
    </row>
    <row r="100" spans="8:8">
      <c r="B100" s="7"/>
      <c r="C100" s="141"/>
      <c r="D100" s="104"/>
      <c r="F100" s="142"/>
      <c r="G100" s="104"/>
    </row>
    <row r="101" spans="8:8">
      <c r="B101" s="7"/>
      <c r="C101" s="141"/>
      <c r="D101" s="104"/>
      <c r="F101" s="142"/>
      <c r="G101" s="104"/>
    </row>
    <row r="102" spans="8:8">
      <c r="B102" s="7"/>
      <c r="C102" s="141"/>
      <c r="D102" s="104"/>
      <c r="F102" s="142"/>
      <c r="G102" s="104"/>
    </row>
    <row r="103" spans="8:8">
      <c r="B103" s="7"/>
      <c r="C103" s="141"/>
      <c r="D103" s="104"/>
      <c r="F103" s="142"/>
      <c r="G103" s="104"/>
    </row>
    <row r="104" spans="8:8">
      <c r="B104" s="7"/>
      <c r="C104" s="141"/>
      <c r="D104" s="104"/>
      <c r="F104" s="142"/>
      <c r="G104" s="104"/>
    </row>
    <row r="105" spans="8:8">
      <c r="B105" s="7"/>
      <c r="C105" s="141"/>
      <c r="D105" s="104"/>
      <c r="F105" s="142"/>
      <c r="G105" s="104"/>
    </row>
    <row r="106" spans="8:8">
      <c r="B106" s="7"/>
      <c r="C106" s="141"/>
      <c r="D106" s="104"/>
      <c r="F106" s="142"/>
      <c r="G106" s="104"/>
    </row>
    <row r="107" spans="8:8">
      <c r="B107" s="7"/>
      <c r="C107" s="141"/>
      <c r="D107" s="104"/>
      <c r="F107" s="142"/>
      <c r="G107" s="104"/>
    </row>
    <row r="108" spans="8:8">
      <c r="B108" s="7"/>
      <c r="C108" s="141"/>
      <c r="D108" s="104"/>
      <c r="F108" s="142"/>
      <c r="G108" s="104"/>
    </row>
    <row r="109" spans="8:8">
      <c r="B109" s="7"/>
      <c r="C109" s="141"/>
      <c r="D109" s="104"/>
      <c r="F109" s="142"/>
      <c r="G109" s="104"/>
    </row>
    <row r="110" spans="8:8">
      <c r="B110" s="7"/>
      <c r="C110" s="141"/>
      <c r="D110" s="104"/>
      <c r="F110" s="142"/>
      <c r="G110" s="104"/>
    </row>
    <row r="111" spans="8:8">
      <c r="B111" s="7"/>
      <c r="C111" s="141"/>
      <c r="D111" s="104"/>
      <c r="F111" s="142"/>
      <c r="G111" s="104"/>
    </row>
    <row r="112" spans="8:8">
      <c r="D112" s="104"/>
      <c r="F112" s="141"/>
      <c r="G112" s="104"/>
    </row>
  </sheetData>
  <mergeCells count="3">
    <mergeCell ref="B5:D5"/>
    <mergeCell ref="F5:G5"/>
    <mergeCell ref="I5:J5"/>
  </mergeCells>
  <pageMargins left="0.7" right="0.7" top="0.75" bottom="0.75" header="0.3" footer="0.3"/>
</worksheet>
</file>

<file path=xl/worksheets/sheet9.xml><?xml version="1.0" encoding="utf-8"?>
<worksheet xmlns:r="http://schemas.openxmlformats.org/officeDocument/2006/relationships" xmlns="http://schemas.openxmlformats.org/spreadsheetml/2006/main">
  <dimension ref="B2:R32"/>
  <sheetViews>
    <sheetView workbookViewId="0" showGridLines="0" zoomScale="82">
      <selection activeCell="B10" sqref="B10"/>
    </sheetView>
  </sheetViews>
  <sheetFormatPr defaultRowHeight="15.0" defaultColWidth="10"/>
  <cols>
    <col min="1" max="1" customWidth="1" width="1.8554688" style="0"/>
    <col min="2" max="2" customWidth="1" bestFit="1" width="38.285156" style="0"/>
    <col min="5" max="5" customWidth="1" width="12.7109375" style="0"/>
    <col min="6" max="6" customWidth="1" bestFit="1" width="12.140625" style="0"/>
    <col min="8" max="8" customWidth="1" bestFit="1" width="10.7109375" style="0"/>
    <col min="11" max="11" customWidth="1" bestFit="1" width="9.7109375" style="0"/>
  </cols>
  <sheetData>
    <row r="3" spans="8:8">
      <c r="B3" s="147" t="s">
        <v>252</v>
      </c>
    </row>
    <row r="4" spans="8:8">
      <c r="B4" s="148" t="s">
        <v>253</v>
      </c>
      <c r="C4" s="149"/>
      <c r="E4" s="149"/>
      <c r="F4" s="149"/>
      <c r="G4" s="149"/>
      <c r="H4" s="149"/>
      <c r="I4" s="149"/>
      <c r="J4" s="149"/>
      <c r="K4" s="149"/>
    </row>
    <row r="6" spans="8:8">
      <c r="B6" s="150"/>
      <c r="C6" s="150"/>
      <c r="D6" s="151" t="s">
        <v>254</v>
      </c>
      <c r="E6" s="151"/>
      <c r="F6" s="151"/>
      <c r="G6" s="151"/>
      <c r="H6" s="151"/>
      <c r="I6" s="150"/>
      <c r="J6" s="150"/>
      <c r="K6" s="151" t="s">
        <v>255</v>
      </c>
      <c r="L6" s="151"/>
      <c r="M6" s="151"/>
      <c r="N6" s="150"/>
      <c r="O6" s="151" t="s">
        <v>256</v>
      </c>
      <c r="P6" s="151"/>
      <c r="Q6" s="151"/>
    </row>
    <row r="7" spans="8:8" ht="30.0">
      <c r="B7" s="150" t="s">
        <v>257</v>
      </c>
      <c r="C7" s="150" t="s">
        <v>258</v>
      </c>
      <c r="D7" s="152" t="s">
        <v>259</v>
      </c>
      <c r="E7" s="152" t="s">
        <v>260</v>
      </c>
      <c r="F7" s="150" t="s">
        <v>261</v>
      </c>
      <c r="G7" s="150" t="s">
        <v>262</v>
      </c>
      <c r="H7" s="152" t="s">
        <v>263</v>
      </c>
      <c r="I7" s="150"/>
      <c r="J7" s="150"/>
      <c r="K7" s="150" t="s">
        <v>264</v>
      </c>
      <c r="L7" s="150" t="s">
        <v>79</v>
      </c>
      <c r="M7" s="150" t="s">
        <v>265</v>
      </c>
      <c r="N7" s="150"/>
      <c r="O7" s="150" t="s">
        <v>266</v>
      </c>
      <c r="P7" s="150" t="s">
        <v>267</v>
      </c>
      <c r="Q7" s="150" t="s">
        <v>268</v>
      </c>
    </row>
    <row r="8" spans="8:8">
      <c r="B8" s="153"/>
      <c r="C8" s="153"/>
      <c r="D8" s="154"/>
      <c r="E8" s="154"/>
      <c r="F8" s="153"/>
      <c r="G8" s="153"/>
      <c r="H8" s="154"/>
      <c r="I8" s="153"/>
      <c r="J8" s="153"/>
      <c r="K8" s="153"/>
      <c r="L8" s="153"/>
      <c r="M8" s="153"/>
      <c r="N8" s="153"/>
      <c r="O8" s="153"/>
      <c r="P8" s="153"/>
      <c r="Q8" s="153"/>
    </row>
    <row r="9" spans="8:8">
      <c r="B9" s="155" t="str">
        <f>'Beta - Comps'!C4</f>
        <v>Larsen &amp; Tourbo</v>
      </c>
      <c r="C9" s="155"/>
      <c r="D9" s="156">
        <f>'Relative Data'!D3</f>
        <v>3785.6</v>
      </c>
      <c r="E9" s="157">
        <f>'Relative Data'!E3</f>
        <v>137.5293982459848</v>
      </c>
      <c r="F9" s="156">
        <f>E9*D9</f>
        <v>520631.29000000004</v>
      </c>
      <c r="G9" s="156">
        <f>'Relative Data'!I3</f>
        <v>81484.33</v>
      </c>
      <c r="H9" s="156">
        <f>G9+F9</f>
        <v>602115.62</v>
      </c>
      <c r="I9" s="156"/>
      <c r="J9" s="156"/>
      <c r="K9" s="156">
        <f>'Data Sheet'!K17</f>
        <v>285874.36</v>
      </c>
      <c r="L9" s="156">
        <f>'Relative Data'!L3</f>
        <v>37321.09</v>
      </c>
      <c r="M9" s="156">
        <f>'Relative Data'!M3</f>
        <v>16083.99</v>
      </c>
      <c r="N9" s="158"/>
      <c r="O9" s="159">
        <f>'Relative Data'!J3/'Relative Data'!K3</f>
        <v>2.106224636585107</v>
      </c>
      <c r="P9" s="159">
        <f>'Relative Data'!$J3/'Relative valuation'!L9</f>
        <v>16.13338785121228</v>
      </c>
      <c r="Q9" s="159">
        <f>'Relative Data'!O3</f>
        <v>32.369535793046374</v>
      </c>
    </row>
    <row r="10" spans="8:8">
      <c r="B10" s="118" t="str">
        <f>'Beta - Comps'!C5</f>
        <v>Rail Vikas</v>
      </c>
      <c r="C10" s="118"/>
      <c r="D10" s="160">
        <f>'Beta - Comps'!D5</f>
        <v>226.2</v>
      </c>
      <c r="E10" s="161">
        <f>'Relative Data'!E4</f>
        <v>208.50194518125554</v>
      </c>
      <c r="F10" s="160">
        <f>E10*D10</f>
        <v>47163.14</v>
      </c>
      <c r="G10" s="162">
        <f>'Relative Data'!I4</f>
        <v>3850.24</v>
      </c>
      <c r="H10" s="160">
        <f t="shared" si="0" ref="H10:H13">G10+F10</f>
        <v>51013.38</v>
      </c>
      <c r="I10" s="160"/>
      <c r="J10" s="160"/>
      <c r="K10" s="160">
        <f>'Relative Data'!K4</f>
        <v>20412.12</v>
      </c>
      <c r="L10" s="160">
        <f>'Relative Data'!L4</f>
        <v>1636.6179018286812</v>
      </c>
      <c r="M10" s="160">
        <f>'Relative Data'!M4</f>
        <v>875.0118738404453</v>
      </c>
      <c r="N10" s="118"/>
      <c r="O10" s="160">
        <f>'Relative Data'!$J4/'Relative valuation'!K10</f>
        <v>2.499171080710872</v>
      </c>
      <c r="P10" s="160">
        <f>'Relative Data'!$J4/'Relative valuation'!L10</f>
        <v>31.17</v>
      </c>
      <c r="Q10" s="160">
        <f>'Relative Data'!O4</f>
        <v>53.9</v>
      </c>
    </row>
    <row r="11" spans="8:8">
      <c r="B11" s="118" t="str">
        <f>'Beta - Comps'!C6</f>
        <v>NBCC</v>
      </c>
      <c r="C11" s="118"/>
      <c r="D11" s="160">
        <f>'Beta - Comps'!D6</f>
        <v>95.25</v>
      </c>
      <c r="E11" s="161">
        <f>'Relative Data'!E5</f>
        <v>270.0</v>
      </c>
      <c r="F11" s="160">
        <f t="shared" si="1" ref="F11:F13">E11*D11</f>
        <v>25717.5</v>
      </c>
      <c r="G11" s="162">
        <f>'Relative Data'!I5</f>
        <v>-6515.36</v>
      </c>
      <c r="H11" s="160">
        <f t="shared" si="0"/>
        <v>19202.14</v>
      </c>
      <c r="I11" s="160"/>
      <c r="J11" s="160"/>
      <c r="K11" s="160">
        <f>'Relative Data'!K5</f>
        <v>12888.61</v>
      </c>
      <c r="L11" s="160">
        <f>'Relative Data'!L5</f>
        <v>924.0683349374398</v>
      </c>
      <c r="M11" s="160">
        <f>'Relative Data'!M5</f>
        <v>661.969111969112</v>
      </c>
      <c r="N11" s="118"/>
      <c r="O11" s="160">
        <f>'Relative Data'!$J5/'Relative valuation'!K11</f>
        <v>1.4898534442426297</v>
      </c>
      <c r="P11" s="160">
        <f>'Relative Data'!$J5/'Relative valuation'!L11</f>
        <v>20.78</v>
      </c>
      <c r="Q11" s="160">
        <f>'Relative Data'!O5</f>
        <v>38.85</v>
      </c>
    </row>
    <row r="12" spans="8:8">
      <c r="B12" s="118" t="str">
        <f>'Beta - Comps'!C7</f>
        <v>IRB Infra.Devl.</v>
      </c>
      <c r="C12" s="118"/>
      <c r="D12" s="160">
        <f>'Beta - Comps'!D7</f>
        <v>19.67</v>
      </c>
      <c r="E12" s="161">
        <f>'Relative Data'!E6</f>
        <v>1207.7996949669546</v>
      </c>
      <c r="F12" s="160">
        <f t="shared" si="1"/>
        <v>23757.42</v>
      </c>
      <c r="G12" s="162">
        <f>'Relative Data'!I6</f>
        <v>18116.09999999999</v>
      </c>
      <c r="H12" s="160">
        <f t="shared" si="0"/>
        <v>41873.52</v>
      </c>
      <c r="I12" s="160"/>
      <c r="J12" s="160"/>
      <c r="K12" s="160">
        <f>'Relative Data'!K6</f>
        <v>7648.15</v>
      </c>
      <c r="L12" s="160">
        <f>'Relative Data'!L6</f>
        <v>2476.2578356002364</v>
      </c>
      <c r="M12" s="160">
        <f>'Relative Data'!M6</f>
        <v>879.2531458179126</v>
      </c>
      <c r="N12" s="118"/>
      <c r="O12" s="160">
        <f>'Relative Data'!$J6/'Relative valuation'!K12</f>
        <v>5.474986761504416</v>
      </c>
      <c r="P12" s="160">
        <f>'Relative Data'!$J6/'Relative valuation'!L12</f>
        <v>16.91</v>
      </c>
      <c r="Q12" s="160">
        <f>'Relative Data'!O6</f>
        <v>27.02</v>
      </c>
    </row>
    <row r="13" spans="8:8">
      <c r="B13" s="118" t="str">
        <f>'Beta - Comps'!C8</f>
        <v>Cemindia Project</v>
      </c>
      <c r="C13" s="118"/>
      <c r="D13" s="160">
        <f>'Beta - Comps'!D8</f>
        <v>1369.1</v>
      </c>
      <c r="E13" s="161">
        <f>'Relative Data'!E7</f>
        <v>17.178745161054707</v>
      </c>
      <c r="F13" s="160">
        <f t="shared" si="1"/>
        <v>23519.42</v>
      </c>
      <c r="G13" s="162">
        <f>'Relative Data'!I7</f>
        <v>52.37999999999806</v>
      </c>
      <c r="H13" s="160">
        <f t="shared" si="0"/>
        <v>23571.799999999996</v>
      </c>
      <c r="I13" s="160"/>
      <c r="J13" s="160"/>
      <c r="K13" s="160">
        <f>'Relative Data'!K7</f>
        <v>10060.58</v>
      </c>
      <c r="L13" s="160">
        <f>'Relative Data'!L7</f>
        <v>1393.9562389118864</v>
      </c>
      <c r="M13" s="160">
        <f>'Relative Data'!M7</f>
        <v>588.4268201150863</v>
      </c>
      <c r="N13" s="118"/>
      <c r="O13" s="160">
        <f>'Relative Data'!$J7/'Relative valuation'!K13</f>
        <v>2.3429861896630215</v>
      </c>
      <c r="P13" s="160">
        <f>'Relative Data'!$J7/'Relative valuation'!L13</f>
        <v>16.91</v>
      </c>
      <c r="Q13" s="160">
        <f>'Relative Data'!O7</f>
        <v>39.97</v>
      </c>
    </row>
    <row r="15" spans="8:8">
      <c r="B15" s="155" t="s">
        <v>251</v>
      </c>
      <c r="C15" s="155"/>
      <c r="D15" s="155"/>
      <c r="E15" s="155"/>
      <c r="F15" s="155"/>
      <c r="G15" s="155"/>
      <c r="H15" s="155"/>
      <c r="I15" s="155"/>
      <c r="J15" s="155"/>
      <c r="K15" s="155"/>
      <c r="L15" s="155"/>
      <c r="M15" s="155"/>
      <c r="N15" s="155"/>
      <c r="O15" s="159">
        <f>MAX(O9:O13)</f>
        <v>5.474986761504416</v>
      </c>
      <c r="P15" s="159">
        <f>MAX(P9:P13)</f>
        <v>31.17</v>
      </c>
      <c r="Q15" s="159">
        <f>MAX(Q9:Q13)</f>
        <v>53.9</v>
      </c>
    </row>
    <row r="16" spans="8:8">
      <c r="B16" s="155" t="s">
        <v>269</v>
      </c>
      <c r="C16" s="155"/>
      <c r="D16" s="155"/>
      <c r="E16" s="155"/>
      <c r="F16" s="155"/>
      <c r="G16" s="155"/>
      <c r="H16" s="155"/>
      <c r="I16" s="155"/>
      <c r="J16" s="155"/>
      <c r="K16" s="155"/>
      <c r="L16" s="155"/>
      <c r="M16" s="155"/>
      <c r="N16" s="155"/>
      <c r="O16" s="159">
        <f>QUARTILE(O9:O13,3)</f>
        <v>2.499171080710872</v>
      </c>
      <c r="P16" s="159">
        <f>QUARTILE(P9:P13,3)</f>
        <v>20.78</v>
      </c>
      <c r="Q16" s="159">
        <f>QUARTILE(Q9:Q13,3)</f>
        <v>39.97</v>
      </c>
    </row>
    <row r="17" spans="8:8">
      <c r="B17" s="163" t="s">
        <v>7</v>
      </c>
      <c r="C17" s="163"/>
      <c r="D17" s="163"/>
      <c r="E17" s="163"/>
      <c r="F17" s="163"/>
      <c r="G17" s="163"/>
      <c r="H17" s="163"/>
      <c r="I17" s="163"/>
      <c r="J17" s="163"/>
      <c r="K17" s="163"/>
      <c r="L17" s="163"/>
      <c r="M17" s="163"/>
      <c r="N17" s="163"/>
      <c r="O17" s="164">
        <f>AVERAGE(O9:O13)</f>
        <v>2.7826444225412095</v>
      </c>
      <c r="P17" s="164">
        <f>AVERAGE(P9:P13)</f>
        <v>20.380677570242455</v>
      </c>
      <c r="Q17" s="164">
        <f>AVERAGE(Q9:Q13)</f>
        <v>38.42190715860927</v>
      </c>
    </row>
    <row r="18" spans="8:8">
      <c r="B18" s="163" t="s">
        <v>17</v>
      </c>
      <c r="C18" s="163"/>
      <c r="D18" s="163"/>
      <c r="E18" s="163"/>
      <c r="F18" s="163"/>
      <c r="G18" s="163"/>
      <c r="H18" s="163"/>
      <c r="I18" s="163"/>
      <c r="J18" s="163"/>
      <c r="K18" s="163"/>
      <c r="L18" s="163"/>
      <c r="M18" s="163"/>
      <c r="N18" s="163"/>
      <c r="O18" s="164">
        <f>MEDIAN(O9:O13)</f>
        <v>2.3429861896630215</v>
      </c>
      <c r="P18" s="164">
        <f>MEDIAN(P9:P13)</f>
        <v>16.91</v>
      </c>
      <c r="Q18" s="164">
        <f>MEDIAN(Q9:Q13)</f>
        <v>38.85</v>
      </c>
    </row>
    <row r="19" spans="8:8">
      <c r="B19" s="155" t="s">
        <v>270</v>
      </c>
      <c r="C19" s="155"/>
      <c r="D19" s="155"/>
      <c r="E19" s="155"/>
      <c r="F19" s="155"/>
      <c r="G19" s="155"/>
      <c r="H19" s="155"/>
      <c r="I19" s="155"/>
      <c r="J19" s="155"/>
      <c r="K19" s="155"/>
      <c r="L19" s="155"/>
      <c r="M19" s="155"/>
      <c r="N19" s="155"/>
      <c r="O19" s="165">
        <f>QUARTILE(O9:O13,1)</f>
        <v>2.106224636585107</v>
      </c>
      <c r="P19" s="165">
        <f>QUARTILE(P9:P13,1)</f>
        <v>16.91</v>
      </c>
      <c r="Q19" s="165">
        <f>QUARTILE(Q9:Q13,1)</f>
        <v>32.369535793046374</v>
      </c>
    </row>
    <row r="20" spans="8:8">
      <c r="B20" s="155" t="s">
        <v>250</v>
      </c>
      <c r="C20" s="155"/>
      <c r="D20" s="155"/>
      <c r="E20" s="155"/>
      <c r="F20" s="155"/>
      <c r="G20" s="155"/>
      <c r="H20" s="155"/>
      <c r="I20" s="155"/>
      <c r="J20" s="155"/>
      <c r="K20" s="155"/>
      <c r="L20" s="155"/>
      <c r="M20" s="155"/>
      <c r="N20" s="155"/>
      <c r="O20" s="159">
        <f>MIN(O9:O13)</f>
        <v>1.4898534442426297</v>
      </c>
      <c r="P20" s="159">
        <f>MIN(P9:P13)</f>
        <v>16.13338785121228</v>
      </c>
      <c r="Q20" s="159">
        <f>MIN(Q9:Q13)</f>
        <v>27.02</v>
      </c>
    </row>
    <row r="22" spans="8:8">
      <c r="B22" s="166" t="s">
        <v>253</v>
      </c>
      <c r="C22" s="167"/>
      <c r="D22" s="167"/>
      <c r="E22" s="167"/>
      <c r="F22" s="167"/>
      <c r="G22" s="167"/>
      <c r="H22" s="167"/>
      <c r="I22" s="167"/>
      <c r="J22" s="167"/>
      <c r="K22" s="167"/>
      <c r="L22" s="150"/>
      <c r="M22" s="150"/>
      <c r="N22" s="150"/>
      <c r="O22" s="150" t="s">
        <v>266</v>
      </c>
      <c r="P22" s="150" t="s">
        <v>267</v>
      </c>
      <c r="Q22" s="150" t="s">
        <v>268</v>
      </c>
    </row>
    <row r="24" spans="8:8">
      <c r="B24" s="118" t="s">
        <v>271</v>
      </c>
      <c r="C24" s="118"/>
      <c r="D24" s="118"/>
      <c r="E24" s="118"/>
      <c r="F24" s="118"/>
      <c r="G24" s="118"/>
      <c r="H24" s="118"/>
      <c r="I24" s="118"/>
      <c r="J24" s="118"/>
      <c r="K24" s="118"/>
      <c r="L24" s="118"/>
      <c r="M24" s="118"/>
      <c r="N24" s="118"/>
      <c r="O24" s="168">
        <f>O18*K9</f>
        <v>669799.6774587549</v>
      </c>
      <c r="P24" s="168">
        <f>P18*L9</f>
        <v>631099.6318999999</v>
      </c>
      <c r="Q24" s="168">
        <f>Q26+Q25</f>
        <v>706347.3415</v>
      </c>
    </row>
    <row r="25" spans="8:8">
      <c r="B25" s="118" t="s">
        <v>262</v>
      </c>
      <c r="C25" s="118"/>
      <c r="D25" s="118"/>
      <c r="E25" s="118"/>
      <c r="F25" s="118"/>
      <c r="G25" s="118"/>
      <c r="H25" s="118"/>
      <c r="I25" s="118"/>
      <c r="J25" s="118"/>
      <c r="K25" s="118"/>
      <c r="L25" s="118"/>
      <c r="M25" s="118"/>
      <c r="N25" s="118"/>
      <c r="O25" s="168">
        <f>$G$9</f>
        <v>81484.33</v>
      </c>
      <c r="P25" s="168">
        <f t="shared" si="2" ref="P25:Q25">$G$9</f>
        <v>81484.33</v>
      </c>
      <c r="Q25" s="168">
        <f t="shared" si="2"/>
        <v>81484.33</v>
      </c>
    </row>
    <row r="26" spans="8:8">
      <c r="B26" s="118" t="s">
        <v>294</v>
      </c>
      <c r="C26" s="118"/>
      <c r="D26" s="118"/>
      <c r="E26" s="118"/>
      <c r="F26" s="118"/>
      <c r="G26" s="118"/>
      <c r="H26" s="118"/>
      <c r="I26" s="118"/>
      <c r="J26" s="118"/>
      <c r="K26" s="118"/>
      <c r="L26" s="118"/>
      <c r="M26" s="118"/>
      <c r="N26" s="118"/>
      <c r="O26" s="168">
        <f>O24-O25</f>
        <v>588315.347458755</v>
      </c>
      <c r="P26" s="168">
        <f t="shared" si="3" ref="P26">P24-P25</f>
        <v>549615.3019000001</v>
      </c>
      <c r="Q26" s="168">
        <f>Q18*M9</f>
        <v>624863.0115</v>
      </c>
    </row>
    <row r="27" spans="8:8">
      <c r="B27" s="118" t="s">
        <v>260</v>
      </c>
      <c r="C27" s="118"/>
      <c r="D27" s="118"/>
      <c r="E27" s="118"/>
      <c r="F27" s="118"/>
      <c r="G27" s="118"/>
      <c r="H27" s="118"/>
      <c r="I27" s="118"/>
      <c r="J27" s="118"/>
      <c r="K27" s="118"/>
      <c r="L27" s="118"/>
      <c r="M27" s="118"/>
      <c r="N27" s="118"/>
      <c r="O27" s="161">
        <f>$E$9</f>
        <v>137.5293982459848</v>
      </c>
      <c r="P27" s="161">
        <f t="shared" si="4" ref="P27:Q27">$E$9</f>
        <v>137.5293982459848</v>
      </c>
      <c r="Q27" s="161">
        <f t="shared" si="4"/>
        <v>137.5293982459848</v>
      </c>
    </row>
    <row r="28" spans="8:8">
      <c r="O28" s="44"/>
      <c r="P28" s="44"/>
      <c r="Q28" s="44"/>
    </row>
    <row r="29" spans="8:8">
      <c r="B29" s="169" t="s">
        <v>272</v>
      </c>
      <c r="C29" s="170"/>
      <c r="D29" s="170"/>
      <c r="E29" s="170"/>
      <c r="F29" s="170"/>
      <c r="G29" s="170"/>
      <c r="H29" s="170"/>
      <c r="I29" s="170"/>
      <c r="J29" s="170"/>
      <c r="K29" s="170"/>
      <c r="L29" s="170"/>
      <c r="M29" s="170"/>
      <c r="N29" s="170"/>
      <c r="O29" s="171">
        <f>O26/O27</f>
        <v>4277.742467879452</v>
      </c>
      <c r="P29" s="171">
        <f>P26/P27</f>
        <v>3996.347754804826</v>
      </c>
      <c r="Q29" s="171">
        <f>Q26/Q27</f>
        <v>4543.486843317465</v>
      </c>
    </row>
    <row r="30" spans="8:8">
      <c r="B30" s="172"/>
      <c r="O30" s="173"/>
      <c r="P30" s="173"/>
      <c r="Q30" s="173"/>
    </row>
    <row r="31" spans="8:8">
      <c r="B31" s="174" t="s">
        <v>273</v>
      </c>
    </row>
    <row r="32" spans="8:8">
      <c r="O32" t="str">
        <f>IF(O29&gt;$D$8,"Undervalued","Overvalued")</f>
        <v>Undervalued</v>
      </c>
      <c r="P32" t="str">
        <f t="shared" si="5" ref="P32:Q32">IF(P29&gt;$D$8,"Undervalued","Overvalued")</f>
        <v>Undervalued</v>
      </c>
      <c r="Q32" t="str">
        <f t="shared" si="5"/>
        <v>Undervalued</v>
      </c>
    </row>
  </sheetData>
  <mergeCells count="3">
    <mergeCell ref="D6:H6"/>
    <mergeCell ref="K6:M6"/>
    <mergeCell ref="O6:Q6"/>
  </mergeCells>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B2:P22"/>
  <sheetViews>
    <sheetView workbookViewId="0" showGridLines="0">
      <selection activeCell="G22" sqref="G22"/>
    </sheetView>
  </sheetViews>
  <sheetFormatPr defaultRowHeight="15.0" defaultColWidth="10"/>
  <cols>
    <col min="1" max="1" customWidth="1" width="1.8554688" style="0"/>
    <col min="2" max="2" customWidth="1" width="12.7109375" style="143"/>
    <col min="3" max="4" customWidth="1" width="12.7109375" style="0"/>
    <col min="5" max="5" customWidth="1" bestFit="1" width="17.710938" style="0"/>
    <col min="6" max="15" customWidth="1" width="12.7109375" style="0"/>
    <col min="18" max="18" customWidth="1" bestFit="1" width="16.140625" style="0"/>
    <col min="19" max="19" customWidth="1" bestFit="1" width="8.285156" style="0"/>
    <col min="20" max="20" customWidth="1" bestFit="1" width="14.425781" style="0"/>
  </cols>
  <sheetData>
    <row r="3" spans="8:8">
      <c r="B3" s="175" t="s">
        <v>41</v>
      </c>
      <c r="C3" s="50" t="s">
        <v>3</v>
      </c>
      <c r="D3" s="50" t="s">
        <v>42</v>
      </c>
      <c r="E3" s="50" t="s">
        <v>44</v>
      </c>
      <c r="F3" s="50" t="s">
        <v>43</v>
      </c>
      <c r="G3" s="50" t="s">
        <v>45</v>
      </c>
    </row>
    <row r="4" spans="8:8">
      <c r="B4" s="143">
        <v>1.0</v>
      </c>
      <c r="C4" t="str">
        <f>'Relative Data'!C3</f>
        <v>Larsen &amp; Tourbo</v>
      </c>
      <c r="D4">
        <f>'Relative Data'!D3</f>
        <v>3785.6</v>
      </c>
      <c r="E4">
        <f>'Relative Data'!F3</f>
        <v>520631.29</v>
      </c>
      <c r="F4">
        <f>'Relative Data'!G3</f>
        <v>102332.0</v>
      </c>
      <c r="G4" s="71">
        <f>'Beta - Comps'!F4/'Beta - Comps'!E4</f>
        <v>0.19655368773551818</v>
      </c>
    </row>
    <row r="5" spans="8:8">
      <c r="B5" s="143">
        <v>2.0</v>
      </c>
      <c r="C5" t="str">
        <f>'Relative Data'!C4</f>
        <v>Rail Vikas</v>
      </c>
      <c r="D5">
        <f>'Relative Data'!D4</f>
        <v>226.2</v>
      </c>
      <c r="E5">
        <f>'Relative Data'!F4</f>
        <v>47163.14</v>
      </c>
      <c r="F5">
        <f>'Relative Data'!G4</f>
        <v>4818.49</v>
      </c>
      <c r="G5" s="71">
        <f>'Beta - Comps'!F5/'Beta - Comps'!E5</f>
        <v>0.10216643760360315</v>
      </c>
    </row>
    <row r="6" spans="8:8">
      <c r="B6" s="143">
        <v>3.0</v>
      </c>
      <c r="C6" t="str">
        <f>'Relative Data'!C5</f>
        <v>NBCC</v>
      </c>
      <c r="D6">
        <f>'Relative Data'!D5</f>
        <v>95.25</v>
      </c>
      <c r="E6">
        <f>'Relative Data'!F5</f>
        <v>25717.5</v>
      </c>
      <c r="F6">
        <f>'Relative Data'!G5</f>
        <v>0.26</v>
      </c>
      <c r="G6" s="71">
        <f>'Beta - Comps'!F6/'Beta - Comps'!E6</f>
        <v>1.0109847380188588E-5</v>
      </c>
    </row>
    <row r="7" spans="8:8">
      <c r="B7" s="143">
        <v>4.0</v>
      </c>
      <c r="C7" t="str">
        <f>'Relative Data'!C6</f>
        <v>IRB Infra.Devl.</v>
      </c>
      <c r="D7">
        <f>'Relative Data'!D6</f>
        <v>19.67</v>
      </c>
      <c r="E7">
        <f>'Relative Data'!F6</f>
        <v>23757.42</v>
      </c>
      <c r="F7">
        <f>'Relative Data'!G6</f>
        <v>20027.06</v>
      </c>
      <c r="G7" s="71">
        <f>'Beta - Comps'!F7/'Beta - Comps'!E7</f>
        <v>0.8429812664843237</v>
      </c>
    </row>
    <row r="8" spans="8:8">
      <c r="B8" s="143">
        <v>5.0</v>
      </c>
      <c r="C8" t="str">
        <f>'Relative Data'!C7</f>
        <v>Cemindia Project</v>
      </c>
      <c r="D8">
        <f>'Relative Data'!D7</f>
        <v>1369.1</v>
      </c>
      <c r="E8">
        <f>'Relative Data'!F7</f>
        <v>23519.42</v>
      </c>
      <c r="F8">
        <f>'Relative Data'!G7</f>
        <v>1001.23</v>
      </c>
      <c r="G8" s="71">
        <f>'Beta - Comps'!F8/'Beta - Comps'!E8</f>
        <v>0.04257035250018921</v>
      </c>
    </row>
    <row r="14" spans="8:8">
      <c r="D14" s="176"/>
      <c r="E14" s="177"/>
      <c r="F14" s="178"/>
      <c r="G14" s="178"/>
      <c r="H14" s="178"/>
      <c r="I14" s="178"/>
      <c r="J14" s="178"/>
      <c r="K14" s="178"/>
      <c r="L14" s="178"/>
      <c r="M14" s="178"/>
      <c r="N14" s="178"/>
      <c r="O14" s="178"/>
    </row>
    <row r="15" spans="8:8">
      <c r="D15" s="179"/>
      <c r="E15" s="180"/>
      <c r="F15" s="181"/>
      <c r="G15" s="181"/>
      <c r="H15" s="181"/>
      <c r="I15" s="181"/>
      <c r="J15" s="181"/>
      <c r="K15" s="181"/>
      <c r="L15" s="181"/>
      <c r="M15" s="181"/>
      <c r="N15" s="181"/>
      <c r="O15" s="181"/>
    </row>
    <row r="16" spans="8:8">
      <c r="D16" s="182"/>
      <c r="E16" s="180"/>
      <c r="F16" s="183"/>
      <c r="G16" s="183"/>
      <c r="H16" s="183"/>
      <c r="I16" s="183"/>
      <c r="J16" s="183"/>
      <c r="K16" s="183"/>
      <c r="L16" s="183"/>
      <c r="M16" s="183"/>
      <c r="N16" s="183"/>
      <c r="O16" s="183"/>
    </row>
    <row r="17" spans="8:8">
      <c r="D17" s="182"/>
      <c r="E17" s="180"/>
      <c r="F17" s="183"/>
      <c r="G17" s="183"/>
      <c r="H17" s="183"/>
      <c r="I17" s="183"/>
      <c r="J17" s="183"/>
      <c r="K17" s="183"/>
      <c r="L17" s="183"/>
      <c r="M17" s="183"/>
      <c r="N17" s="183"/>
      <c r="O17" s="183"/>
    </row>
    <row r="18" spans="8:8">
      <c r="D18" s="182"/>
      <c r="E18" s="180"/>
      <c r="F18" s="183"/>
      <c r="G18" s="183"/>
      <c r="H18" s="183"/>
      <c r="I18" s="183"/>
      <c r="J18" s="183"/>
      <c r="K18" s="183"/>
      <c r="L18" s="183"/>
      <c r="M18" s="183"/>
      <c r="N18" s="183"/>
      <c r="O18" s="183"/>
    </row>
    <row r="19" spans="8:8">
      <c r="D19" s="182"/>
      <c r="E19" s="180"/>
      <c r="F19" s="183"/>
      <c r="G19" s="183"/>
      <c r="H19" s="183"/>
      <c r="I19" s="183"/>
      <c r="J19" s="183"/>
      <c r="K19" s="183"/>
      <c r="L19" s="183"/>
      <c r="M19" s="183"/>
      <c r="N19" s="183"/>
      <c r="O19" s="183"/>
    </row>
    <row r="20" spans="8:8">
      <c r="D20" s="182"/>
      <c r="E20" s="180"/>
      <c r="F20" s="183"/>
      <c r="G20" s="183"/>
      <c r="H20" s="183"/>
      <c r="I20" s="183"/>
      <c r="J20" s="183"/>
      <c r="K20" s="183"/>
      <c r="L20" s="183"/>
      <c r="M20" s="183"/>
      <c r="N20" s="183"/>
      <c r="O20" s="183"/>
    </row>
    <row r="21" spans="8:8">
      <c r="D21" s="182"/>
      <c r="E21" s="180"/>
      <c r="F21" s="183"/>
      <c r="G21" s="183"/>
      <c r="H21" s="183"/>
      <c r="I21" s="183"/>
      <c r="J21" s="183"/>
      <c r="K21" s="183"/>
      <c r="L21" s="183"/>
      <c r="M21" s="183"/>
      <c r="N21" s="183"/>
      <c r="O21" s="183"/>
    </row>
    <row r="22" spans="8:8">
      <c r="D22" s="184"/>
      <c r="E22" s="185"/>
      <c r="F22" s="181"/>
      <c r="G22" s="181"/>
      <c r="H22" s="181"/>
      <c r="I22" s="181"/>
      <c r="J22" s="181"/>
      <c r="K22" s="181"/>
      <c r="L22" s="181"/>
      <c r="M22" s="181"/>
      <c r="N22" s="181"/>
      <c r="O22" s="181"/>
    </row>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B1:L23"/>
  <sheetViews>
    <sheetView workbookViewId="0" showGridLines="0" zoomScale="88">
      <selection activeCell="M16" sqref="M16"/>
    </sheetView>
  </sheetViews>
  <sheetFormatPr defaultRowHeight="15.0" defaultColWidth="10"/>
  <cols>
    <col min="1" max="1" customWidth="1" width="1.8554688" style="0"/>
    <col min="8" max="8" customWidth="1" bestFit="1" width="8.425781" style="0"/>
  </cols>
  <sheetData>
    <row r="1" spans="8:8">
      <c r="B1" s="2"/>
      <c r="C1" s="2"/>
      <c r="D1" s="2"/>
      <c r="E1" s="2"/>
      <c r="F1" s="2"/>
      <c r="G1" s="2"/>
      <c r="H1" s="2"/>
      <c r="I1" s="2"/>
      <c r="J1" s="2"/>
      <c r="K1" s="2"/>
    </row>
    <row r="2" spans="8:8">
      <c r="B2" s="2"/>
      <c r="C2" s="2"/>
      <c r="D2" s="2"/>
      <c r="E2" s="2"/>
      <c r="F2" s="2"/>
      <c r="G2" s="2"/>
      <c r="H2" s="2"/>
      <c r="I2" s="2"/>
      <c r="J2" s="2"/>
      <c r="K2" s="2"/>
    </row>
    <row r="3" spans="8:8">
      <c r="B3" s="2"/>
      <c r="C3" s="2"/>
      <c r="D3" s="2"/>
      <c r="E3" s="2"/>
      <c r="F3" s="2"/>
      <c r="G3" s="2"/>
      <c r="H3" s="2"/>
      <c r="I3" s="2"/>
      <c r="J3" s="2"/>
      <c r="K3" s="2"/>
    </row>
    <row r="4" spans="8:8">
      <c r="B4" s="2"/>
      <c r="C4" s="2"/>
      <c r="D4" s="2"/>
      <c r="E4" s="2"/>
      <c r="F4" s="2"/>
      <c r="G4" s="2"/>
      <c r="H4" s="2"/>
      <c r="I4" s="2"/>
      <c r="J4" s="2"/>
      <c r="K4" s="2"/>
    </row>
    <row r="6" spans="8:8">
      <c r="B6" s="1" t="s">
        <v>274</v>
      </c>
      <c r="C6" s="50"/>
      <c r="D6" s="50"/>
      <c r="E6" s="50"/>
      <c r="F6" s="50"/>
      <c r="G6" s="50"/>
    </row>
    <row r="8" spans="8:8">
      <c r="B8" s="22" t="s">
        <v>58</v>
      </c>
      <c r="C8" s="186" t="s">
        <v>59</v>
      </c>
    </row>
    <row r="9" spans="8:8">
      <c r="B9" s="143">
        <v>2011.0</v>
      </c>
      <c r="C9" s="187">
        <v>-0.2462</v>
      </c>
      <c r="E9" t="s">
        <v>60</v>
      </c>
      <c r="G9" s="71">
        <f>AVERAGE(C9:C23)</f>
        <v>0.11059999999999999</v>
      </c>
      <c r="H9" s="71"/>
    </row>
    <row r="10" spans="8:8">
      <c r="B10" s="143">
        <v>2012.0</v>
      </c>
      <c r="C10" s="187">
        <v>0.27699999999999997</v>
      </c>
      <c r="E10" t="s">
        <v>61</v>
      </c>
      <c r="G10" s="96">
        <v>0.0139</v>
      </c>
    </row>
    <row r="11" spans="8:8">
      <c r="B11" s="143">
        <v>2013.0</v>
      </c>
      <c r="C11" s="187">
        <v>0.0676</v>
      </c>
      <c r="E11" s="188" t="s">
        <v>62</v>
      </c>
      <c r="F11" s="188"/>
      <c r="G11" s="189">
        <f>SUM(G10,G9)</f>
        <v>0.12449999999999999</v>
      </c>
      <c r="H11" s="71"/>
    </row>
    <row r="12" spans="8:8">
      <c r="B12" s="143">
        <v>2014.0</v>
      </c>
      <c r="C12" s="187">
        <v>0.3139</v>
      </c>
      <c r="G12" s="71"/>
    </row>
    <row r="13" spans="8:8">
      <c r="B13" s="143">
        <v>2015.0</v>
      </c>
      <c r="C13" s="187">
        <v>-0.0406</v>
      </c>
    </row>
    <row r="14" spans="8:8">
      <c r="B14" s="143">
        <v>2016.0</v>
      </c>
      <c r="C14" s="187">
        <v>0.0301</v>
      </c>
    </row>
    <row r="15" spans="8:8">
      <c r="B15" s="143">
        <v>2017.0</v>
      </c>
      <c r="C15" s="187">
        <v>0.2865</v>
      </c>
    </row>
    <row r="16" spans="8:8">
      <c r="B16" s="143">
        <v>2018.0</v>
      </c>
      <c r="C16" s="187">
        <v>0.0315</v>
      </c>
    </row>
    <row r="17" spans="8:8">
      <c r="B17" s="143">
        <v>2019.0</v>
      </c>
      <c r="C17" s="187">
        <v>0.1202</v>
      </c>
      <c r="H17" s="71"/>
    </row>
    <row r="18" spans="8:8">
      <c r="B18" s="143">
        <v>2020.0</v>
      </c>
      <c r="C18" s="187">
        <v>0.1417</v>
      </c>
    </row>
    <row r="19" spans="8:8">
      <c r="B19" s="143">
        <v>2021.0</v>
      </c>
      <c r="C19" s="187">
        <v>0.2412</v>
      </c>
      <c r="E19" s="71"/>
    </row>
    <row r="20" spans="8:8">
      <c r="B20" s="143">
        <v>2022.0</v>
      </c>
      <c r="C20" s="187">
        <v>0.0432</v>
      </c>
    </row>
    <row r="21" spans="8:8">
      <c r="B21" s="143">
        <v>2023.0</v>
      </c>
      <c r="C21" s="187">
        <v>0.2003</v>
      </c>
    </row>
    <row r="22" spans="8:8">
      <c r="B22" s="143">
        <v>2024.0</v>
      </c>
      <c r="C22" s="187">
        <v>0.0876</v>
      </c>
    </row>
    <row r="23" spans="8:8">
      <c r="B23" s="143">
        <v>2025.0</v>
      </c>
      <c r="C23" s="187">
        <v>0.105</v>
      </c>
    </row>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B1:M130"/>
  <sheetViews>
    <sheetView workbookViewId="0" showGridLines="0" zoomScale="75">
      <selection activeCell="P63" sqref="P63"/>
    </sheetView>
  </sheetViews>
  <sheetFormatPr defaultRowHeight="15.0" defaultColWidth="10"/>
  <cols>
    <col min="1" max="1" customWidth="1" width="1.8554688" style="0"/>
    <col min="2" max="2" customWidth="1" width="35.710938" style="0"/>
    <col min="3" max="9" customWidth="1" width="12.7109375" style="0"/>
  </cols>
  <sheetData>
    <row r="1" spans="8:8">
      <c r="B1" s="190"/>
      <c r="C1" s="190"/>
      <c r="D1" s="190"/>
      <c r="E1" s="190"/>
      <c r="F1" s="190"/>
      <c r="G1" s="190"/>
      <c r="H1" s="190"/>
      <c r="I1" s="190"/>
      <c r="J1" s="190"/>
    </row>
    <row r="2" spans="8:8" ht="7.5" customHeight="1"/>
    <row r="3" spans="8:8" ht="36.0" customHeight="1">
      <c r="B3" s="191" t="str">
        <f>'Data Sheet'!B1</f>
        <v>LARSEN &amp; TOUBRO LTD</v>
      </c>
    </row>
    <row r="4" spans="8:8">
      <c r="B4" t="str">
        <f>CONCATENATE("(",_xlfn.XLOOKUP(B3,'List Of Stocks'!B2:B5442,'List Of Stocks'!D2:D5442)," | ","BSE Code: ",_xlfn.XLOOKUP(Analysis!B3,'List Of Stocks'!B2:B5442,'List Of Stocks'!C2:C5442, ,0)," ) ")</f>
        <v>(LT | BSE Code: 500510 ) </v>
      </c>
    </row>
    <row r="5" spans="8:8" ht="18.75">
      <c r="B5" s="192" t="str">
        <f>CONCATENATE("INR"," ",'Data Sheet'!B8)</f>
        <v>INR 3785.6</v>
      </c>
    </row>
    <row r="6" spans="8:8">
      <c r="B6" t="str">
        <f>"52 Week"&amp;"  "&amp;"("&amp;"High -"&amp;" INR "&amp;'Football Field Analysis'!Q10&amp;"  "&amp;"LOW - "&amp;" INR "&amp;'Football Field Analysis'!N10&amp;")"</f>
        <v>52 Week  (High - INR 4440  LOW -  INR 3288)</v>
      </c>
    </row>
    <row r="7" spans="8:8" ht="31.5" customHeight="1"/>
    <row r="8" spans="8:8" ht="30.75" customHeight="1">
      <c r="B8" s="193" t="s">
        <v>8539</v>
      </c>
      <c r="C8" s="194"/>
      <c r="D8" s="194"/>
      <c r="E8" s="194"/>
      <c r="F8" s="194"/>
      <c r="G8" s="194"/>
      <c r="H8" s="194"/>
      <c r="I8" s="194"/>
    </row>
    <row r="9" spans="8:8" ht="15.75" customHeight="1">
      <c r="B9" s="36" t="s">
        <v>8573</v>
      </c>
      <c r="C9" s="37"/>
      <c r="D9" s="37"/>
      <c r="E9" s="37"/>
      <c r="F9" s="37"/>
      <c r="G9" s="37"/>
      <c r="H9" s="37"/>
      <c r="I9" s="37"/>
    </row>
    <row r="10" spans="8:8" ht="15.0" customHeight="1">
      <c r="B10" s="37"/>
      <c r="C10" s="37"/>
      <c r="D10" s="37"/>
      <c r="E10" s="37"/>
      <c r="F10" s="37"/>
      <c r="G10" s="37"/>
      <c r="H10" s="37"/>
      <c r="I10" s="37"/>
    </row>
    <row r="11" spans="8:8" ht="15.0" customHeight="1">
      <c r="B11" s="37"/>
      <c r="C11" s="37"/>
      <c r="D11" s="37"/>
      <c r="E11" s="37"/>
      <c r="F11" s="37"/>
      <c r="G11" s="37"/>
      <c r="H11" s="37"/>
      <c r="I11" s="37"/>
    </row>
    <row r="12" spans="8:8">
      <c r="B12" s="37"/>
      <c r="C12" s="37"/>
      <c r="D12" s="37"/>
      <c r="E12" s="37"/>
      <c r="F12" s="37"/>
      <c r="G12" s="37"/>
      <c r="H12" s="37"/>
      <c r="I12" s="37"/>
    </row>
    <row r="13" spans="8:8">
      <c r="B13" s="37"/>
      <c r="C13" s="37"/>
      <c r="D13" s="37"/>
      <c r="E13" s="37"/>
      <c r="F13" s="37"/>
      <c r="G13" s="37"/>
      <c r="H13" s="37"/>
      <c r="I13" s="37"/>
    </row>
    <row r="14" spans="8:8">
      <c r="B14" s="37"/>
      <c r="C14" s="37"/>
      <c r="D14" s="37"/>
      <c r="E14" s="37"/>
      <c r="F14" s="37"/>
      <c r="G14" s="37"/>
      <c r="H14" s="37"/>
      <c r="I14" s="37"/>
    </row>
    <row r="15" spans="8:8" ht="24.75" customHeight="1">
      <c r="B15" s="37"/>
      <c r="C15" s="37"/>
      <c r="D15" s="37"/>
      <c r="E15" s="37"/>
      <c r="F15" s="37"/>
      <c r="G15" s="37"/>
      <c r="H15" s="37"/>
      <c r="I15" s="37"/>
    </row>
    <row r="16" spans="8:8" ht="6.0" customHeight="1">
      <c r="B16" s="37"/>
      <c r="C16" s="37"/>
      <c r="D16" s="37"/>
      <c r="E16" s="37"/>
      <c r="F16" s="37"/>
      <c r="G16" s="37"/>
      <c r="H16" s="37"/>
      <c r="I16" s="37"/>
    </row>
    <row r="17" spans="8:8" ht="21.75" customHeight="1">
      <c r="B17" s="192" t="s">
        <v>8551</v>
      </c>
    </row>
    <row r="18" spans="8:8" ht="10.5" customHeight="1">
      <c r="B18" s="38"/>
    </row>
    <row r="19" spans="8:8" ht="18.75">
      <c r="B19" s="38"/>
    </row>
    <row r="20" spans="8:8">
      <c r="B20" s="47"/>
    </row>
    <row r="62" spans="8:8" ht="19.5" customHeight="1"/>
    <row r="63" spans="8:8">
      <c r="B63" s="190"/>
      <c r="C63" s="190"/>
      <c r="D63" s="190"/>
      <c r="E63" s="190"/>
      <c r="F63" s="190"/>
      <c r="G63" s="190"/>
      <c r="H63" s="190"/>
      <c r="I63" s="190"/>
      <c r="J63" s="190"/>
    </row>
    <row r="64" spans="8:8" ht="0.75" customHeight="1"/>
    <row r="65" spans="8:8">
      <c r="B65" s="190"/>
      <c r="C65" s="190"/>
      <c r="D65" s="190"/>
      <c r="E65" s="190"/>
      <c r="F65" s="190"/>
      <c r="G65" s="190"/>
      <c r="H65" s="190"/>
      <c r="I65" s="190"/>
      <c r="J65" s="190"/>
    </row>
    <row r="68" spans="8:8">
      <c r="B68" s="195" t="s">
        <v>8541</v>
      </c>
      <c r="C68" s="195"/>
      <c r="D68" s="195"/>
      <c r="E68" s="195"/>
      <c r="F68" s="195"/>
      <c r="G68" s="195"/>
      <c r="H68" s="195"/>
      <c r="I68" s="195"/>
    </row>
    <row r="69" spans="8:8">
      <c r="C69" s="43">
        <f>HistoricalFS!F3</f>
        <v>43921.0</v>
      </c>
      <c r="D69" s="43">
        <f>HistoricalFS!G3</f>
        <v>44286.0</v>
      </c>
      <c r="E69" s="43">
        <f>HistoricalFS!H3</f>
        <v>44651.0</v>
      </c>
      <c r="F69" s="43">
        <f>HistoricalFS!I3</f>
        <v>45016.0</v>
      </c>
      <c r="G69" s="43">
        <f>HistoricalFS!J3</f>
        <v>45382.0</v>
      </c>
      <c r="H69" s="43">
        <f>HistoricalFS!K3</f>
        <v>45747.0</v>
      </c>
      <c r="I69" s="43">
        <f>HistoricalFS!L3</f>
        <v>46112.0</v>
      </c>
    </row>
    <row r="70" spans="8:8">
      <c r="B70" t="s">
        <v>89</v>
      </c>
      <c r="C70" s="44">
        <f>_xlfn.IFERROR('Data Sheet'!E30,0)</f>
        <v>9549.03</v>
      </c>
      <c r="D70" s="44">
        <f>_xlfn.IFERROR('Data Sheet'!F30,0)</f>
        <v>11582.93</v>
      </c>
      <c r="E70" s="44">
        <f>_xlfn.IFERROR('Data Sheet'!G30,0)</f>
        <v>8669.33</v>
      </c>
      <c r="F70" s="44">
        <f>_xlfn.IFERROR('Data Sheet'!H30,0)</f>
        <v>10470.72</v>
      </c>
      <c r="G70" s="44">
        <f>_xlfn.IFERROR('Data Sheet'!I30,0)</f>
        <v>13059.11</v>
      </c>
      <c r="H70" s="44">
        <f>_xlfn.IFERROR('Data Sheet'!J30,0)</f>
        <v>15037.11</v>
      </c>
      <c r="I70" s="44">
        <f>_xlfn.IFERROR('Data Sheet'!K30,0)</f>
        <v>16083.99</v>
      </c>
    </row>
    <row r="71" spans="8:8">
      <c r="B71" t="s">
        <v>8542</v>
      </c>
      <c r="C71" s="44">
        <f>_xlfn.IFERROR((('Data Sheet'!E57+'Data Sheet'!E58)+('Data Sheet'!D58+'Data Sheet'!D57))/2,0)</f>
        <v>64549.01</v>
      </c>
      <c r="D71" s="44">
        <f>_xlfn.IFERROR((('Data Sheet'!F57+'Data Sheet'!F58)+('Data Sheet'!E58+'Data Sheet'!E57))/2,0)</f>
        <v>71295.875</v>
      </c>
      <c r="E71" s="44">
        <f>_xlfn.IFERROR((('Data Sheet'!G57+'Data Sheet'!G58)+('Data Sheet'!F58+'Data Sheet'!F57))/2,0)</f>
        <v>79138.095</v>
      </c>
      <c r="F71" s="44">
        <f>_xlfn.IFERROR((('Data Sheet'!H57+'Data Sheet'!H58)+('Data Sheet'!G58+'Data Sheet'!G57))/2,0)</f>
        <v>85866.805</v>
      </c>
      <c r="G71" s="44">
        <f>_xlfn.IFERROR((('Data Sheet'!I57+'Data Sheet'!I58)+('Data Sheet'!H58+'Data Sheet'!H57))/2,0)</f>
        <v>87842.595</v>
      </c>
      <c r="H71" s="44">
        <f>_xlfn.IFERROR((('Data Sheet'!J57+'Data Sheet'!J58)+('Data Sheet'!I58+'Data Sheet'!I57))/2,0)</f>
        <v>92007.41999999998</v>
      </c>
      <c r="I71" s="44">
        <f>_xlfn.IFERROR((('Data Sheet'!K57+'Data Sheet'!K58)+('Data Sheet'!J58+'Data Sheet'!J57))/2,0)</f>
        <v>103472.7</v>
      </c>
    </row>
    <row r="72" spans="8:8">
      <c r="B72" s="196" t="s">
        <v>8540</v>
      </c>
      <c r="C72" s="197">
        <f t="shared" si="0" ref="C72:H72">C70/C71</f>
        <v>0.14793456940702887</v>
      </c>
      <c r="D72" s="197">
        <f t="shared" si="0"/>
        <v>0.16246283533233866</v>
      </c>
      <c r="E72" s="197">
        <f t="shared" si="0"/>
        <v>0.10954686235497582</v>
      </c>
      <c r="F72" s="197">
        <f t="shared" si="0"/>
        <v>0.12194141845617756</v>
      </c>
      <c r="G72" s="197">
        <f t="shared" si="0"/>
        <v>0.14866489315348666</v>
      </c>
      <c r="H72" s="197">
        <f t="shared" si="0"/>
        <v>0.16343366654558952</v>
      </c>
      <c r="I72" s="197">
        <f>I70/I71</f>
        <v>0.15544187017445182</v>
      </c>
    </row>
    <row r="74" spans="8:8">
      <c r="B74" s="195" t="s">
        <v>8552</v>
      </c>
      <c r="C74" s="195"/>
      <c r="D74" s="195"/>
      <c r="E74" s="195"/>
      <c r="F74" s="195"/>
      <c r="G74" s="195"/>
      <c r="H74" s="195"/>
      <c r="I74" s="195"/>
    </row>
    <row r="75" spans="8:8">
      <c r="C75" s="43">
        <f t="shared" si="1" ref="C75:H75">C69</f>
        <v>43921.0</v>
      </c>
      <c r="D75" s="43">
        <f t="shared" si="1"/>
        <v>44286.0</v>
      </c>
      <c r="E75" s="43">
        <f t="shared" si="1"/>
        <v>44651.0</v>
      </c>
      <c r="F75" s="43">
        <f t="shared" si="1"/>
        <v>45016.0</v>
      </c>
      <c r="G75" s="43">
        <f t="shared" si="1"/>
        <v>45382.0</v>
      </c>
      <c r="H75" s="43">
        <f t="shared" si="1"/>
        <v>45747.0</v>
      </c>
      <c r="I75" s="43">
        <f>I69</f>
        <v>46112.0</v>
      </c>
    </row>
    <row r="76" spans="8:8">
      <c r="B76" t="str">
        <f>B70</f>
        <v>Net Profit</v>
      </c>
      <c r="C76" s="44">
        <f t="shared" si="2" ref="C76:I76">C70</f>
        <v>9549.03</v>
      </c>
      <c r="D76" s="44">
        <f t="shared" si="2"/>
        <v>11582.93</v>
      </c>
      <c r="E76" s="44">
        <f t="shared" si="2"/>
        <v>8669.33</v>
      </c>
      <c r="F76" s="44">
        <f t="shared" si="2"/>
        <v>10470.72</v>
      </c>
      <c r="G76" s="44">
        <f t="shared" si="2"/>
        <v>13059.11</v>
      </c>
      <c r="H76" s="44">
        <f t="shared" si="2"/>
        <v>15037.11</v>
      </c>
      <c r="I76" s="44">
        <f t="shared" si="2"/>
        <v>16083.99</v>
      </c>
    </row>
    <row r="77" spans="8:8">
      <c r="B77" t="s">
        <v>264</v>
      </c>
      <c r="C77" s="44">
        <f>_xlfn.IFERROR('Data Sheet'!E17,0)</f>
        <v>145452.36</v>
      </c>
      <c r="D77" s="44">
        <f>_xlfn.IFERROR('Data Sheet'!F17,0)</f>
        <v>135979.03</v>
      </c>
      <c r="E77" s="44">
        <f>_xlfn.IFERROR('Data Sheet'!G17,0)</f>
        <v>156521.23</v>
      </c>
      <c r="F77" s="44">
        <f>_xlfn.IFERROR('Data Sheet'!H17,0)</f>
        <v>183340.7</v>
      </c>
      <c r="G77" s="44">
        <f>_xlfn.IFERROR('Data Sheet'!I17,0)</f>
        <v>221112.91</v>
      </c>
      <c r="H77" s="44">
        <f>_xlfn.IFERROR('Data Sheet'!J17,0)</f>
        <v>255734.45</v>
      </c>
      <c r="I77" s="44">
        <f>_xlfn.IFERROR('Data Sheet'!K17,0)</f>
        <v>285874.36</v>
      </c>
      <c r="J77" s="44"/>
      <c r="K77" s="44"/>
      <c r="L77" s="44"/>
    </row>
    <row r="78" spans="8:8">
      <c r="B78" s="196" t="s">
        <v>8543</v>
      </c>
      <c r="C78" s="197">
        <f t="shared" si="3" ref="C78:H78">C76/C77</f>
        <v>0.06565056764977895</v>
      </c>
      <c r="D78" s="197">
        <f t="shared" si="3"/>
        <v>0.08518173721345122</v>
      </c>
      <c r="E78" s="197">
        <f t="shared" si="3"/>
        <v>0.05538756627455585</v>
      </c>
      <c r="F78" s="197">
        <f t="shared" si="3"/>
        <v>0.057110723369115525</v>
      </c>
      <c r="G78" s="197">
        <f t="shared" si="3"/>
        <v>0.05906082100769241</v>
      </c>
      <c r="H78" s="197">
        <f t="shared" si="3"/>
        <v>0.058799704146234505</v>
      </c>
      <c r="I78" s="197">
        <f>I76/I77</f>
        <v>0.05626244340345878</v>
      </c>
    </row>
    <row r="80" spans="8:8">
      <c r="C80" s="43">
        <f t="shared" si="4" ref="C80:H80">C75</f>
        <v>43921.0</v>
      </c>
      <c r="D80" s="43">
        <f t="shared" si="4"/>
        <v>44286.0</v>
      </c>
      <c r="E80" s="43">
        <f t="shared" si="4"/>
        <v>44651.0</v>
      </c>
      <c r="F80" s="43">
        <f t="shared" si="4"/>
        <v>45016.0</v>
      </c>
      <c r="G80" s="43">
        <f t="shared" si="4"/>
        <v>45382.0</v>
      </c>
      <c r="H80" s="43">
        <f t="shared" si="4"/>
        <v>45747.0</v>
      </c>
      <c r="I80" s="43">
        <f>I75</f>
        <v>46112.0</v>
      </c>
    </row>
    <row r="81" spans="8:8">
      <c r="B81" t="s">
        <v>264</v>
      </c>
      <c r="C81" s="44">
        <f>C77</f>
        <v>145452.36</v>
      </c>
      <c r="D81" s="44">
        <f t="shared" si="5" ref="D81:I81">D77</f>
        <v>135979.03</v>
      </c>
      <c r="E81" s="44">
        <f t="shared" si="5"/>
        <v>156521.23</v>
      </c>
      <c r="F81" s="44">
        <f t="shared" si="5"/>
        <v>183340.7</v>
      </c>
      <c r="G81" s="44">
        <f t="shared" si="5"/>
        <v>221112.91</v>
      </c>
      <c r="H81" s="44">
        <f t="shared" si="5"/>
        <v>255734.45</v>
      </c>
      <c r="I81" s="44">
        <f t="shared" si="5"/>
        <v>285874.36</v>
      </c>
    </row>
    <row r="82" spans="8:8">
      <c r="B82" t="s">
        <v>8544</v>
      </c>
      <c r="C82" s="44">
        <f>_xlfn.IFERROR(('Data Sheet'!E66+'Data Sheet'!D66)/2,0)</f>
        <v>292361.66000000003</v>
      </c>
      <c r="D82" s="44">
        <f>_xlfn.IFERROR(('Data Sheet'!F66+'Data Sheet'!E66)/2,0)</f>
        <v>308391.07</v>
      </c>
      <c r="E82" s="44">
        <f>_xlfn.IFERROR(('Data Sheet'!G66+'Data Sheet'!F66)/2,0)</f>
        <v>314561.48</v>
      </c>
      <c r="F82" s="44">
        <f>_xlfn.IFERROR(('Data Sheet'!H66+'Data Sheet'!G66)/2,0)</f>
        <v>324374.895</v>
      </c>
      <c r="G82" s="44">
        <f>_xlfn.IFERROR(('Data Sheet'!I66+'Data Sheet'!H66)/2,0)</f>
        <v>334662.11</v>
      </c>
      <c r="H82" s="44">
        <f>_xlfn.IFERROR(('Data Sheet'!J66+'Data Sheet'!I66)/2,0)</f>
        <v>359358.215</v>
      </c>
      <c r="I82" s="44">
        <f>_xlfn.IFERROR(('Data Sheet'!K66+'Data Sheet'!J66)/2,0)</f>
        <v>415748.43000000005</v>
      </c>
    </row>
    <row r="83" spans="8:8">
      <c r="B83" s="196" t="s">
        <v>8545</v>
      </c>
      <c r="C83" s="198">
        <f t="shared" si="6" ref="C83:H83">C81/C82</f>
        <v>0.49750832581809795</v>
      </c>
      <c r="D83" s="198">
        <f t="shared" si="6"/>
        <v>0.4409305042457941</v>
      </c>
      <c r="E83" s="198">
        <f t="shared" si="6"/>
        <v>0.49758549584647177</v>
      </c>
      <c r="F83" s="198">
        <f t="shared" si="6"/>
        <v>0.5652123602228835</v>
      </c>
      <c r="G83" s="198">
        <f t="shared" si="6"/>
        <v>0.660704942068285</v>
      </c>
      <c r="H83" s="198">
        <f t="shared" si="6"/>
        <v>0.7116421423676094</v>
      </c>
      <c r="I83" s="198">
        <f>I81/I82</f>
        <v>0.6876138053004793</v>
      </c>
    </row>
    <row r="85" spans="8:8">
      <c r="C85" s="43">
        <f t="shared" si="7" ref="C85:I85">C80</f>
        <v>43921.0</v>
      </c>
      <c r="D85" s="43">
        <f t="shared" si="7"/>
        <v>44286.0</v>
      </c>
      <c r="E85" s="43">
        <f t="shared" si="7"/>
        <v>44651.0</v>
      </c>
      <c r="F85" s="43">
        <f t="shared" si="7"/>
        <v>45016.0</v>
      </c>
      <c r="G85" s="43">
        <f t="shared" si="7"/>
        <v>45382.0</v>
      </c>
      <c r="H85" s="43">
        <f t="shared" si="7"/>
        <v>45747.0</v>
      </c>
      <c r="I85" s="43">
        <f t="shared" si="7"/>
        <v>46112.0</v>
      </c>
    </row>
    <row r="86" spans="8:8">
      <c r="B86" t="s">
        <v>8544</v>
      </c>
      <c r="C86" s="44">
        <f>_xlfn.IFERROR(('Data Sheet'!E66+'Data Sheet'!D66)/2,0)</f>
        <v>292361.66000000003</v>
      </c>
      <c r="D86" s="44">
        <f>_xlfn.IFERROR(('Data Sheet'!F66+'Data Sheet'!E66)/2,0)</f>
        <v>308391.07</v>
      </c>
      <c r="E86" s="44">
        <f>_xlfn.IFERROR(('Data Sheet'!G66+'Data Sheet'!F66)/2,0)</f>
        <v>314561.48</v>
      </c>
      <c r="F86" s="44">
        <f>_xlfn.IFERROR(('Data Sheet'!H66+'Data Sheet'!G66)/2,0)</f>
        <v>324374.895</v>
      </c>
      <c r="G86" s="44">
        <f>_xlfn.IFERROR(('Data Sheet'!I66+'Data Sheet'!H66)/2,0)</f>
        <v>334662.11</v>
      </c>
      <c r="H86" s="44">
        <f>_xlfn.IFERROR(('Data Sheet'!J66+'Data Sheet'!I66)/2,0)</f>
        <v>359358.215</v>
      </c>
      <c r="I86" s="44">
        <f>_xlfn.IFERROR(('Data Sheet'!K66+'Data Sheet'!J66)/2,0)</f>
        <v>415748.43000000005</v>
      </c>
    </row>
    <row r="87" spans="8:8">
      <c r="B87" t="s">
        <v>8542</v>
      </c>
      <c r="C87" s="44">
        <f>_xlfn.IFERROR((('Data Sheet'!E57+'Data Sheet'!E58)+('Data Sheet'!D58+'Data Sheet'!D57))/2,0)</f>
        <v>64549.01</v>
      </c>
      <c r="D87" s="44">
        <f>_xlfn.IFERROR((('Data Sheet'!F57+'Data Sheet'!F58)+('Data Sheet'!E58+'Data Sheet'!E57))/2,0)</f>
        <v>71295.875</v>
      </c>
      <c r="E87" s="44">
        <f>_xlfn.IFERROR((('Data Sheet'!G57+'Data Sheet'!G58)+('Data Sheet'!F58+'Data Sheet'!F57))/2,0)</f>
        <v>79138.095</v>
      </c>
      <c r="F87" s="44">
        <f>_xlfn.IFERROR((('Data Sheet'!H57+'Data Sheet'!H58)+('Data Sheet'!G58+'Data Sheet'!G57))/2,0)</f>
        <v>85866.805</v>
      </c>
      <c r="G87" s="44">
        <f>_xlfn.IFERROR((('Data Sheet'!I57+'Data Sheet'!I58)+('Data Sheet'!H58+'Data Sheet'!H57))/2,0)</f>
        <v>87842.595</v>
      </c>
      <c r="H87" s="44">
        <f>_xlfn.IFERROR((('Data Sheet'!J57+'Data Sheet'!J58)+('Data Sheet'!I58+'Data Sheet'!I57))/2,0)</f>
        <v>92007.41999999998</v>
      </c>
      <c r="I87" s="44">
        <f>_xlfn.IFERROR((('Data Sheet'!K57+'Data Sheet'!K58)+('Data Sheet'!J58+'Data Sheet'!J57))/2,0)</f>
        <v>103472.7</v>
      </c>
    </row>
    <row r="88" spans="8:8">
      <c r="B88" s="196" t="s">
        <v>8546</v>
      </c>
      <c r="C88" s="198">
        <f t="shared" si="8" ref="C88">C86/C87</f>
        <v>4.529297350958598</v>
      </c>
      <c r="D88" s="198">
        <f t="shared" si="9" ref="D88">D86/D87</f>
        <v>4.325510697498277</v>
      </c>
      <c r="E88" s="198">
        <f t="shared" si="10" ref="E88">E86/E87</f>
        <v>3.974842710075343</v>
      </c>
      <c r="F88" s="198">
        <f t="shared" si="11" ref="F88">F86/F87</f>
        <v>3.7776518527736074</v>
      </c>
      <c r="G88" s="198">
        <f t="shared" si="12" ref="G88">G86/G87</f>
        <v>3.8097930736221985</v>
      </c>
      <c r="H88" s="198">
        <f t="shared" si="13" ref="H88">H86/H87</f>
        <v>3.905752546914152</v>
      </c>
      <c r="I88" s="198">
        <f>I86/I87</f>
        <v>4.017952851331801</v>
      </c>
    </row>
    <row r="90" spans="8:8">
      <c r="B90" s="196" t="s">
        <v>8547</v>
      </c>
      <c r="C90" s="197">
        <f>C88*C83*C78</f>
        <v>0.1479345694070289</v>
      </c>
      <c r="D90" s="197">
        <f t="shared" si="14" ref="D90:H90">D88*D83*D78</f>
        <v>0.16246283533233863</v>
      </c>
      <c r="E90" s="197">
        <f t="shared" si="14"/>
        <v>0.10954686235497581</v>
      </c>
      <c r="F90" s="197">
        <f t="shared" si="14"/>
        <v>0.12194141845617758</v>
      </c>
      <c r="G90" s="197">
        <f t="shared" si="14"/>
        <v>0.14866489315348666</v>
      </c>
      <c r="H90" s="197">
        <f t="shared" si="14"/>
        <v>0.16343366654558952</v>
      </c>
      <c r="I90" s="197">
        <f>I88*I83*I78</f>
        <v>0.1554418701744518</v>
      </c>
    </row>
    <row r="92" spans="8:8">
      <c r="B92" s="196" t="s">
        <v>8548</v>
      </c>
      <c r="C92" s="196"/>
      <c r="D92" s="196"/>
      <c r="E92" s="196"/>
      <c r="F92" s="196"/>
      <c r="G92" s="196"/>
      <c r="H92" s="196"/>
      <c r="I92" s="196"/>
    </row>
    <row r="93" spans="8:8">
      <c r="C93" s="43">
        <f t="shared" si="15" ref="C93:H93">C85</f>
        <v>43921.0</v>
      </c>
      <c r="D93" s="43">
        <f t="shared" si="15"/>
        <v>44286.0</v>
      </c>
      <c r="E93" s="43">
        <f t="shared" si="15"/>
        <v>44651.0</v>
      </c>
      <c r="F93" s="43">
        <f t="shared" si="15"/>
        <v>45016.0</v>
      </c>
      <c r="G93" s="43">
        <f t="shared" si="15"/>
        <v>45382.0</v>
      </c>
      <c r="H93" s="43">
        <f t="shared" si="15"/>
        <v>45747.0</v>
      </c>
      <c r="I93" s="43">
        <f>I85</f>
        <v>46112.0</v>
      </c>
    </row>
    <row r="94" spans="8:8">
      <c r="B94" t="s">
        <v>89</v>
      </c>
      <c r="C94" s="44">
        <f>C76</f>
        <v>9549.03</v>
      </c>
      <c r="D94" s="44">
        <f t="shared" si="16" ref="D94:I94">D76</f>
        <v>11582.93</v>
      </c>
      <c r="E94" s="44">
        <f t="shared" si="16"/>
        <v>8669.33</v>
      </c>
      <c r="F94" s="44">
        <f t="shared" si="16"/>
        <v>10470.72</v>
      </c>
      <c r="G94" s="44">
        <f t="shared" si="16"/>
        <v>13059.11</v>
      </c>
      <c r="H94" s="44">
        <f t="shared" si="16"/>
        <v>15037.11</v>
      </c>
      <c r="I94" s="44">
        <f t="shared" si="16"/>
        <v>16083.99</v>
      </c>
    </row>
    <row r="95" spans="8:8">
      <c r="B95" t="str">
        <f>B86</f>
        <v>Average Total Assets</v>
      </c>
      <c r="C95" s="44">
        <f t="shared" si="17" ref="C95:I95">C86</f>
        <v>292361.66000000003</v>
      </c>
      <c r="D95" s="44">
        <f t="shared" si="17"/>
        <v>308391.07</v>
      </c>
      <c r="E95" s="44">
        <f t="shared" si="17"/>
        <v>314561.48</v>
      </c>
      <c r="F95" s="44">
        <f t="shared" si="17"/>
        <v>324374.895</v>
      </c>
      <c r="G95" s="44">
        <f t="shared" si="17"/>
        <v>334662.11</v>
      </c>
      <c r="H95" s="44">
        <f t="shared" si="17"/>
        <v>359358.215</v>
      </c>
      <c r="I95" s="44">
        <f t="shared" si="17"/>
        <v>415748.43000000005</v>
      </c>
    </row>
    <row r="96" spans="8:8">
      <c r="B96" s="196" t="s">
        <v>8549</v>
      </c>
      <c r="C96" s="197">
        <f t="shared" si="18" ref="C96:I96">C94/C95</f>
        <v>0.03266170400044931</v>
      </c>
      <c r="D96" s="197">
        <f t="shared" si="18"/>
        <v>0.03755922634205978</v>
      </c>
      <c r="E96" s="197">
        <f t="shared" si="18"/>
        <v>0.02756004962845419</v>
      </c>
      <c r="F96" s="197">
        <f t="shared" si="18"/>
        <v>0.032279686749493976</v>
      </c>
      <c r="G96" s="197">
        <f t="shared" si="18"/>
        <v>0.03902177632239276</v>
      </c>
      <c r="H96" s="197">
        <f t="shared" si="18"/>
        <v>0.04184434742920793</v>
      </c>
      <c r="I96" s="197">
        <f t="shared" si="18"/>
        <v>0.03868683280415514</v>
      </c>
    </row>
    <row r="98" spans="8:8">
      <c r="B98" s="195" t="s">
        <v>8553</v>
      </c>
      <c r="C98" s="195"/>
      <c r="D98" s="195"/>
      <c r="E98" s="195"/>
      <c r="F98" s="195"/>
      <c r="G98" s="195"/>
      <c r="H98" s="195"/>
      <c r="I98" s="195"/>
    </row>
    <row r="99" spans="8:8">
      <c r="C99" s="43">
        <f t="shared" si="19" ref="C99:H99">C93</f>
        <v>43921.0</v>
      </c>
      <c r="D99" s="43">
        <f t="shared" si="19"/>
        <v>44286.0</v>
      </c>
      <c r="E99" s="43">
        <f t="shared" si="19"/>
        <v>44651.0</v>
      </c>
      <c r="F99" s="43">
        <f t="shared" si="19"/>
        <v>45016.0</v>
      </c>
      <c r="G99" s="43">
        <f t="shared" si="19"/>
        <v>45382.0</v>
      </c>
      <c r="H99" s="43">
        <f t="shared" si="19"/>
        <v>45747.0</v>
      </c>
      <c r="I99" s="43">
        <f>I93</f>
        <v>46112.0</v>
      </c>
    </row>
    <row r="100" spans="8:8">
      <c r="B100" t="s">
        <v>89</v>
      </c>
      <c r="C100" s="44">
        <f>C94</f>
        <v>9549.03</v>
      </c>
      <c r="D100" s="44">
        <f t="shared" si="20" ref="D100:I100">D94</f>
        <v>11582.93</v>
      </c>
      <c r="E100" s="44">
        <f t="shared" si="20"/>
        <v>8669.33</v>
      </c>
      <c r="F100" s="44">
        <f t="shared" si="20"/>
        <v>10470.72</v>
      </c>
      <c r="G100" s="44">
        <f t="shared" si="20"/>
        <v>13059.11</v>
      </c>
      <c r="H100" s="44">
        <f t="shared" si="20"/>
        <v>15037.11</v>
      </c>
      <c r="I100" s="44">
        <f t="shared" si="20"/>
        <v>16083.99</v>
      </c>
    </row>
    <row r="101" spans="8:8">
      <c r="B101" t="s">
        <v>264</v>
      </c>
      <c r="C101" s="44">
        <f>C81</f>
        <v>145452.36</v>
      </c>
      <c r="D101" s="44">
        <f t="shared" si="21" ref="D101:I101">D81</f>
        <v>135979.03</v>
      </c>
      <c r="E101" s="44">
        <f t="shared" si="21"/>
        <v>156521.23</v>
      </c>
      <c r="F101" s="44">
        <f t="shared" si="21"/>
        <v>183340.7</v>
      </c>
      <c r="G101" s="44">
        <f t="shared" si="21"/>
        <v>221112.91</v>
      </c>
      <c r="H101" s="44">
        <f t="shared" si="21"/>
        <v>255734.45</v>
      </c>
      <c r="I101" s="44">
        <f t="shared" si="21"/>
        <v>285874.36</v>
      </c>
    </row>
    <row r="102" spans="8:8">
      <c r="B102" s="196" t="s">
        <v>8543</v>
      </c>
      <c r="C102" s="197">
        <f>C100/C101</f>
        <v>0.06565056764977895</v>
      </c>
      <c r="D102" s="197">
        <f t="shared" si="22" ref="D102:H102">D100/D101</f>
        <v>0.08518173721345122</v>
      </c>
      <c r="E102" s="197">
        <f t="shared" si="22"/>
        <v>0.05538756627455585</v>
      </c>
      <c r="F102" s="197">
        <f t="shared" si="22"/>
        <v>0.057110723369115525</v>
      </c>
      <c r="G102" s="197">
        <f t="shared" si="22"/>
        <v>0.05906082100769241</v>
      </c>
      <c r="H102" s="197">
        <f t="shared" si="22"/>
        <v>0.058799704146234505</v>
      </c>
      <c r="I102" s="197">
        <f>I100/I101</f>
        <v>0.05626244340345878</v>
      </c>
    </row>
    <row r="104" spans="8:8">
      <c r="C104" s="43">
        <f t="shared" si="23" ref="C104:H104">C99</f>
        <v>43921.0</v>
      </c>
      <c r="D104" s="43">
        <f t="shared" si="23"/>
        <v>44286.0</v>
      </c>
      <c r="E104" s="43">
        <f t="shared" si="23"/>
        <v>44651.0</v>
      </c>
      <c r="F104" s="43">
        <f t="shared" si="23"/>
        <v>45016.0</v>
      </c>
      <c r="G104" s="43">
        <f t="shared" si="23"/>
        <v>45382.0</v>
      </c>
      <c r="H104" s="43">
        <f t="shared" si="23"/>
        <v>45747.0</v>
      </c>
      <c r="I104" s="43">
        <f>I99</f>
        <v>46112.0</v>
      </c>
    </row>
    <row r="105" spans="8:8">
      <c r="B105" t="s">
        <v>264</v>
      </c>
      <c r="C105" s="44">
        <f>C101</f>
        <v>145452.36</v>
      </c>
      <c r="D105" s="44">
        <f t="shared" si="24" ref="D105:I105">D101</f>
        <v>135979.03</v>
      </c>
      <c r="E105" s="44">
        <f t="shared" si="24"/>
        <v>156521.23</v>
      </c>
      <c r="F105" s="44">
        <f t="shared" si="24"/>
        <v>183340.7</v>
      </c>
      <c r="G105" s="44">
        <f t="shared" si="24"/>
        <v>221112.91</v>
      </c>
      <c r="H105" s="44">
        <f t="shared" si="24"/>
        <v>255734.45</v>
      </c>
      <c r="I105" s="44">
        <f t="shared" si="24"/>
        <v>285874.36</v>
      </c>
    </row>
    <row r="106" spans="8:8">
      <c r="B106" t="s">
        <v>8544</v>
      </c>
      <c r="C106" s="44">
        <f>C86</f>
        <v>292361.66000000003</v>
      </c>
      <c r="D106" s="44">
        <f t="shared" si="25" ref="D106:I106">D86</f>
        <v>308391.07</v>
      </c>
      <c r="E106" s="44">
        <f t="shared" si="25"/>
        <v>314561.48</v>
      </c>
      <c r="F106" s="44">
        <f t="shared" si="25"/>
        <v>324374.895</v>
      </c>
      <c r="G106" s="44">
        <f t="shared" si="25"/>
        <v>334662.11</v>
      </c>
      <c r="H106" s="44">
        <f t="shared" si="25"/>
        <v>359358.215</v>
      </c>
      <c r="I106" s="44">
        <f t="shared" si="25"/>
        <v>415748.43000000005</v>
      </c>
    </row>
    <row r="107" spans="8:8">
      <c r="B107" s="196" t="s">
        <v>8545</v>
      </c>
      <c r="C107" s="198">
        <f t="shared" si="26" ref="C107:H107">C105/C106</f>
        <v>0.49750832581809795</v>
      </c>
      <c r="D107" s="198">
        <f t="shared" si="26"/>
        <v>0.4409305042457941</v>
      </c>
      <c r="E107" s="198">
        <f t="shared" si="26"/>
        <v>0.49758549584647177</v>
      </c>
      <c r="F107" s="198">
        <f t="shared" si="26"/>
        <v>0.5652123602228835</v>
      </c>
      <c r="G107" s="198">
        <f t="shared" si="26"/>
        <v>0.660704942068285</v>
      </c>
      <c r="H107" s="198">
        <f t="shared" si="26"/>
        <v>0.7116421423676094</v>
      </c>
      <c r="I107" s="198">
        <f>I105/I106</f>
        <v>0.6876138053004793</v>
      </c>
    </row>
    <row r="109" spans="8:8">
      <c r="B109" s="196" t="s">
        <v>8550</v>
      </c>
      <c r="C109" s="197">
        <f>C107*C102</f>
        <v>0.03266170400044931</v>
      </c>
      <c r="D109" s="197">
        <f t="shared" si="27" ref="D109:I109">D107*D102</f>
        <v>0.03755922634205977</v>
      </c>
      <c r="E109" s="197">
        <f t="shared" si="27"/>
        <v>0.02756004962845419</v>
      </c>
      <c r="F109" s="197">
        <f t="shared" si="27"/>
        <v>0.032279686749493976</v>
      </c>
      <c r="G109" s="197">
        <f t="shared" si="27"/>
        <v>0.039021776322392766</v>
      </c>
      <c r="H109" s="197">
        <f t="shared" si="27"/>
        <v>0.04184434742920792</v>
      </c>
      <c r="I109" s="197">
        <f t="shared" si="27"/>
        <v>0.03868683280415514</v>
      </c>
    </row>
    <row r="130" spans="8:8">
      <c r="B130" s="2"/>
      <c r="C130" s="2"/>
      <c r="D130" s="2"/>
      <c r="E130" s="2"/>
      <c r="F130" s="2"/>
      <c r="G130" s="2"/>
      <c r="H130" s="2"/>
      <c r="I130" s="2"/>
      <c r="J130" s="2"/>
    </row>
  </sheetData>
  <mergeCells count="4">
    <mergeCell ref="B68:I68"/>
    <mergeCell ref="B74:I74"/>
    <mergeCell ref="B98:I98"/>
    <mergeCell ref="B9:I16"/>
  </mergeCells>
  <pageMargins left="0.25" right="0.0" top="0.5" bottom="0.6" header="0.0" footer="0.0"/>
  <pageSetup paperSize="9" scale="73"/>
  <headerFooter>
    <oddFooter>&amp;RPage &amp;P</oddFooter>
  </headerFooter>
  <ignoredErrors>
    <ignoredError sqref="C77:I77" formula="1"/>
  </ignoredErrors>
  <drawing r:id="rId1"/>
</worksheet>
</file>

<file path=xl/worksheets/sheet13.xml><?xml version="1.0" encoding="utf-8"?>
<worksheet xmlns:r="http://schemas.openxmlformats.org/officeDocument/2006/relationships" xmlns="http://schemas.openxmlformats.org/spreadsheetml/2006/main">
  <sheetPr>
    <pageSetUpPr fitToPage="1"/>
  </sheetPr>
  <dimension ref="A1:Q76"/>
  <sheetViews>
    <sheetView workbookViewId="0" showGridLines="0" zoomScale="84">
      <pane ySplit="3" topLeftCell="A4" state="frozen" activePane="bottomLeft"/>
      <selection pane="bottomLeft" activeCell="C21" sqref="C21"/>
    </sheetView>
  </sheetViews>
  <sheetFormatPr defaultRowHeight="15.0" defaultColWidth="10" outlineLevelRow="1"/>
  <cols>
    <col min="1" max="1" customWidth="1" width="1.8554688" style="0"/>
    <col min="2" max="2" customWidth="1" bestFit="1" width="28.425781" style="0"/>
    <col min="3" max="13" customWidth="1" width="13.0" style="0"/>
  </cols>
  <sheetData>
    <row r="2" spans="8:8">
      <c r="B2" s="138" t="str">
        <f>"Historical Financial Statement - "&amp;'Data Sheet'!B1</f>
        <v>Historical Financial Statement - LARSEN &amp; TOUBRO LTD</v>
      </c>
      <c r="C2" s="138"/>
      <c r="D2" s="138"/>
      <c r="E2" s="138"/>
      <c r="F2" s="138"/>
      <c r="G2" s="138"/>
      <c r="H2" s="138"/>
      <c r="I2" s="138"/>
      <c r="J2" s="138"/>
      <c r="K2" s="138"/>
      <c r="L2" s="138"/>
      <c r="M2" s="138"/>
    </row>
    <row r="3" spans="8:8">
      <c r="B3" s="199" t="s">
        <v>66</v>
      </c>
      <c r="C3" s="200">
        <f>'Data Sheet'!B16</f>
        <v>42825.0</v>
      </c>
      <c r="D3" s="200">
        <f>'Data Sheet'!C16</f>
        <v>43190.0</v>
      </c>
      <c r="E3" s="200">
        <f>'Data Sheet'!D16</f>
        <v>43555.0</v>
      </c>
      <c r="F3" s="200">
        <f>'Data Sheet'!E16</f>
        <v>43921.0</v>
      </c>
      <c r="G3" s="200">
        <f>'Data Sheet'!F16</f>
        <v>44286.0</v>
      </c>
      <c r="H3" s="200">
        <f>'Data Sheet'!G16</f>
        <v>44651.0</v>
      </c>
      <c r="I3" s="200">
        <f>'Data Sheet'!H16</f>
        <v>45016.0</v>
      </c>
      <c r="J3" s="200">
        <f>'Data Sheet'!I16</f>
        <v>45382.0</v>
      </c>
      <c r="K3" s="200">
        <f>'Data Sheet'!J16</f>
        <v>45747.0</v>
      </c>
      <c r="L3" s="200">
        <f>'Data Sheet'!K16</f>
        <v>46112.0</v>
      </c>
      <c r="M3" s="201" t="s">
        <v>67</v>
      </c>
    </row>
    <row r="4" spans="8:8">
      <c r="B4" s="11"/>
      <c r="C4" s="202"/>
      <c r="D4" s="202"/>
      <c r="E4" s="202"/>
      <c r="F4" s="202"/>
      <c r="G4" s="202"/>
      <c r="H4" s="202"/>
      <c r="I4" s="202"/>
      <c r="J4" s="202"/>
      <c r="K4" s="202"/>
      <c r="L4" s="202"/>
      <c r="M4" s="203"/>
    </row>
    <row r="5" spans="8:8">
      <c r="A5" t="s">
        <v>68</v>
      </c>
      <c r="B5" s="204" t="s">
        <v>69</v>
      </c>
      <c r="C5" s="75"/>
      <c r="D5" s="75"/>
      <c r="E5" s="75"/>
      <c r="F5" s="75"/>
      <c r="G5" s="75"/>
      <c r="H5" s="75"/>
      <c r="I5" s="75"/>
      <c r="J5" s="75"/>
      <c r="K5" s="75"/>
      <c r="L5" s="75"/>
      <c r="M5" s="75"/>
    </row>
    <row r="6" spans="8:8" ht="15.0" outlineLevel="1">
      <c r="B6" t="s">
        <v>70</v>
      </c>
      <c r="C6" s="205">
        <f>_xlfn.IFERROR('Data Sheet'!B17,0)</f>
        <v>109311.81</v>
      </c>
      <c r="D6" s="205">
        <f>_xlfn.IFERROR('Data Sheet'!C17,0)</f>
        <v>119683.16</v>
      </c>
      <c r="E6" s="205">
        <f>_xlfn.IFERROR('Data Sheet'!D17,0)</f>
        <v>135220.29</v>
      </c>
      <c r="F6" s="205">
        <f>_xlfn.IFERROR('Data Sheet'!E17,0)</f>
        <v>145452.36</v>
      </c>
      <c r="G6" s="205">
        <f>_xlfn.IFERROR('Data Sheet'!F17,0)</f>
        <v>135979.03</v>
      </c>
      <c r="H6" s="205">
        <f>_xlfn.IFERROR('Data Sheet'!G17,0)</f>
        <v>156521.23</v>
      </c>
      <c r="I6" s="205">
        <f>_xlfn.IFERROR('Data Sheet'!H17,0)</f>
        <v>183340.7</v>
      </c>
      <c r="J6" s="205">
        <f>_xlfn.IFERROR('Data Sheet'!I17,0)</f>
        <v>221112.91</v>
      </c>
      <c r="K6" s="205">
        <f>_xlfn.IFERROR('Data Sheet'!J17,0)</f>
        <v>255734.45</v>
      </c>
      <c r="L6" s="205">
        <f>_xlfn.IFERROR('Data Sheet'!K17,0)</f>
        <v>285874.36</v>
      </c>
      <c r="M6" s="205">
        <f>_xlfn.IFERROR(SUM('Data Sheet'!H42:K42),0)</f>
        <v>285874.31000000006</v>
      </c>
      <c r="O6" s="206"/>
      <c r="P6" s="207"/>
    </row>
    <row r="7" spans="8:8" ht="15.0" outlineLevel="1">
      <c r="B7" s="208" t="s">
        <v>71</v>
      </c>
      <c r="C7" s="209" t="s">
        <v>72</v>
      </c>
      <c r="D7" s="210">
        <f>D6/C6-1</f>
        <v>0.0948785863119499</v>
      </c>
      <c r="E7" s="210">
        <f t="shared" si="0" ref="E7:M7">E6/D6-1</f>
        <v>0.1298188483659699</v>
      </c>
      <c r="F7" s="210">
        <f t="shared" si="0"/>
        <v>0.07566963508212998</v>
      </c>
      <c r="G7" s="210">
        <f t="shared" si="0"/>
        <v>-0.06513012233008797</v>
      </c>
      <c r="H7" s="210">
        <f t="shared" si="0"/>
        <v>0.1510688817239001</v>
      </c>
      <c r="I7" s="210">
        <f t="shared" si="0"/>
        <v>0.17134717124316</v>
      </c>
      <c r="J7" s="210">
        <f t="shared" si="0"/>
        <v>0.20602195802677992</v>
      </c>
      <c r="K7" s="210">
        <f t="shared" si="0"/>
        <v>0.15657855527295994</v>
      </c>
      <c r="L7" s="210">
        <f t="shared" si="0"/>
        <v>0.11785627630536011</v>
      </c>
      <c r="M7" s="210">
        <f t="shared" si="0"/>
        <v>-1.7490200898695463E-7</v>
      </c>
      <c r="O7" s="206"/>
      <c r="P7" s="211"/>
    </row>
    <row r="8" spans="8:8" ht="15.0" outlineLevel="1">
      <c r="O8" s="206"/>
      <c r="P8" s="211"/>
    </row>
    <row r="9" spans="8:8" ht="15.0" outlineLevel="1">
      <c r="B9" t="s">
        <v>73</v>
      </c>
      <c r="C9" s="205">
        <f>_xlfn.IFERROR(SUM('Data Sheet'!B18,'Data Sheet'!B20:B22)-1*'Data Sheet'!B19,0)</f>
        <v>84990.29000000001</v>
      </c>
      <c r="D9" s="205">
        <f>_xlfn.IFERROR(SUM('Data Sheet'!C18,'Data Sheet'!C20:C22)-1*'Data Sheet'!C19,0)</f>
        <v>91701.74</v>
      </c>
      <c r="E9" s="205">
        <f>_xlfn.IFERROR(SUM('Data Sheet'!D18,'Data Sheet'!D20:D22)-1*'Data Sheet'!D19,0)</f>
        <v>104612.44000000002</v>
      </c>
      <c r="F9" s="205">
        <f>_xlfn.IFERROR(SUM('Data Sheet'!E18,'Data Sheet'!E20:E22)-1*'Data Sheet'!E19,0)</f>
        <v>111501.59</v>
      </c>
      <c r="G9" s="205">
        <f>_xlfn.IFERROR(SUM('Data Sheet'!F18,'Data Sheet'!F20:F22)-1*'Data Sheet'!F19,0)</f>
        <v>103742.90999999999</v>
      </c>
      <c r="H9" s="205">
        <f>_xlfn.IFERROR(SUM('Data Sheet'!G18,'Data Sheet'!G20:G22)-1*'Data Sheet'!G19,0)</f>
        <v>123562.16999999998</v>
      </c>
      <c r="I9" s="205">
        <f>_xlfn.IFERROR(SUM('Data Sheet'!H18,'Data Sheet'!H20:H22)-1*'Data Sheet'!H19,0)</f>
        <v>147655.93999999997</v>
      </c>
      <c r="J9" s="205">
        <f>_xlfn.IFERROR(SUM('Data Sheet'!I18,'Data Sheet'!I20:I22)-1*'Data Sheet'!I19,0)</f>
        <v>181664.96000000002</v>
      </c>
      <c r="K9" s="205">
        <f>_xlfn.IFERROR(SUM('Data Sheet'!J18,'Data Sheet'!J20:J22)-1*'Data Sheet'!J19,0)</f>
        <v>211311.56</v>
      </c>
      <c r="L9" s="205">
        <f>_xlfn.IFERROR(SUM('Data Sheet'!K18,'Data Sheet'!K20:K22)-1*'Data Sheet'!K19,0)</f>
        <v>237751.87000000002</v>
      </c>
      <c r="M9" s="205">
        <f>_xlfn.IFERROR(SUM('Data Sheet'!H43:K43),0)</f>
        <v>249727.83000000002</v>
      </c>
      <c r="O9" s="206"/>
      <c r="P9" s="207"/>
    </row>
    <row r="10" spans="8:8" ht="15.0" outlineLevel="1">
      <c r="B10" s="208" t="s">
        <v>74</v>
      </c>
      <c r="C10" s="210">
        <f>C9/C6</f>
        <v>0.7775032725192275</v>
      </c>
      <c r="D10" s="210">
        <f t="shared" si="1" ref="D10:M10">D9/D6</f>
        <v>0.7662042011591271</v>
      </c>
      <c r="E10" s="210">
        <f t="shared" si="1"/>
        <v>0.7736445469832968</v>
      </c>
      <c r="F10" s="210">
        <f t="shared" si="1"/>
        <v>0.7665849491888617</v>
      </c>
      <c r="G10" s="210">
        <f t="shared" si="1"/>
        <v>0.7629331522661986</v>
      </c>
      <c r="H10" s="210">
        <f t="shared" si="1"/>
        <v>0.7894275428323684</v>
      </c>
      <c r="I10" s="210">
        <f t="shared" si="1"/>
        <v>0.8053636753868615</v>
      </c>
      <c r="J10" s="210">
        <f t="shared" si="1"/>
        <v>0.8215936373864376</v>
      </c>
      <c r="K10" s="210">
        <f t="shared" si="1"/>
        <v>0.8262928987471183</v>
      </c>
      <c r="L10" s="210">
        <f t="shared" si="1"/>
        <v>0.8316655960331666</v>
      </c>
      <c r="M10" s="210">
        <f t="shared" si="1"/>
        <v>0.8735581381901717</v>
      </c>
      <c r="O10" s="206"/>
      <c r="P10" s="207"/>
    </row>
    <row r="11" spans="8:8" ht="15.0" outlineLevel="1">
      <c r="O11" s="206"/>
      <c r="P11" s="207"/>
    </row>
    <row r="12" spans="8:8" ht="15.0" outlineLevel="1">
      <c r="B12" s="212" t="s">
        <v>75</v>
      </c>
      <c r="C12" s="213">
        <f>C6-C9</f>
        <v>24321.520000000004</v>
      </c>
      <c r="D12" s="213">
        <f t="shared" si="2" ref="D12:M12">D6-D9</f>
        <v>27981.42</v>
      </c>
      <c r="E12" s="213">
        <f t="shared" si="2"/>
        <v>30607.850000000006</v>
      </c>
      <c r="F12" s="213">
        <f t="shared" si="2"/>
        <v>33950.76999999999</v>
      </c>
      <c r="G12" s="213">
        <f t="shared" si="2"/>
        <v>32236.119999999995</v>
      </c>
      <c r="H12" s="213">
        <f t="shared" si="2"/>
        <v>32959.06000000001</v>
      </c>
      <c r="I12" s="213">
        <f t="shared" si="2"/>
        <v>35684.76000000001</v>
      </c>
      <c r="J12" s="213">
        <f t="shared" si="2"/>
        <v>39447.95000000001</v>
      </c>
      <c r="K12" s="213">
        <f t="shared" si="2"/>
        <v>44422.890000000014</v>
      </c>
      <c r="L12" s="213">
        <f t="shared" si="2"/>
        <v>48122.48999999999</v>
      </c>
      <c r="M12" s="213">
        <f t="shared" si="2"/>
        <v>36146.48000000001</v>
      </c>
      <c r="O12" s="206"/>
      <c r="P12" s="207"/>
    </row>
    <row r="13" spans="8:8" ht="15.0" outlineLevel="1">
      <c r="B13" s="208" t="s">
        <v>76</v>
      </c>
      <c r="C13" s="210">
        <f>C12/C6</f>
        <v>0.2224967274807727</v>
      </c>
      <c r="D13" s="210">
        <f t="shared" si="3" ref="D13:M13">D12/D6</f>
        <v>0.23379579884087284</v>
      </c>
      <c r="E13" s="210">
        <f t="shared" si="3"/>
        <v>0.22635545301670337</v>
      </c>
      <c r="F13" s="210">
        <f t="shared" si="3"/>
        <v>0.2334150508111384</v>
      </c>
      <c r="G13" s="210">
        <f t="shared" si="3"/>
        <v>0.23706684773380127</v>
      </c>
      <c r="H13" s="210">
        <f t="shared" si="3"/>
        <v>0.21057245716763157</v>
      </c>
      <c r="I13" s="210">
        <f t="shared" si="3"/>
        <v>0.19463632461313832</v>
      </c>
      <c r="J13" s="210">
        <f t="shared" si="3"/>
        <v>0.17840636261356252</v>
      </c>
      <c r="K13" s="210">
        <f t="shared" si="3"/>
        <v>0.1737071012528817</v>
      </c>
      <c r="L13" s="210">
        <f t="shared" si="3"/>
        <v>0.16833440396683352</v>
      </c>
      <c r="M13" s="210">
        <f t="shared" si="3"/>
        <v>0.12644186180982825</v>
      </c>
      <c r="O13" s="206"/>
      <c r="P13" s="207"/>
    </row>
    <row r="14" spans="8:8" ht="15.0" outlineLevel="1">
      <c r="O14" s="206"/>
      <c r="P14" s="207"/>
    </row>
    <row r="15" spans="8:8" ht="15.0" outlineLevel="1">
      <c r="B15" t="s">
        <v>77</v>
      </c>
      <c r="C15" s="214">
        <f>_xlfn.IFERROR(SUM('Data Sheet'!B23:B24),0)</f>
        <v>7701.11</v>
      </c>
      <c r="D15" s="214">
        <f>_xlfn.IFERROR(SUM('Data Sheet'!C23:C24),0)</f>
        <v>7870.08</v>
      </c>
      <c r="E15" s="214">
        <f>_xlfn.IFERROR(SUM('Data Sheet'!D23:D24),0)</f>
        <v>7742.030000000001</v>
      </c>
      <c r="F15" s="214">
        <f>_xlfn.IFERROR(SUM('Data Sheet'!E23:E24),0)</f>
        <v>9397.67</v>
      </c>
      <c r="G15" s="214">
        <f>_xlfn.IFERROR(SUM('Data Sheet'!F23:F24),0)</f>
        <v>8775.88</v>
      </c>
      <c r="H15" s="214">
        <f>_xlfn.IFERROR(SUM('Data Sheet'!G23:G24),0)</f>
        <v>8645.17</v>
      </c>
      <c r="I15" s="214">
        <f>_xlfn.IFERROR(SUM('Data Sheet'!H23:H24),0)</f>
        <v>8518.74</v>
      </c>
      <c r="J15" s="214">
        <f>_xlfn.IFERROR(SUM('Data Sheet'!I23:I24),0)</f>
        <v>10689.83</v>
      </c>
      <c r="K15" s="214">
        <f>_xlfn.IFERROR(SUM('Data Sheet'!J23:J24),0)</f>
        <v>9995.990000000002</v>
      </c>
      <c r="L15" s="214">
        <f>_xlfn.IFERROR(SUM('Data Sheet'!K23:K24),0)</f>
        <v>12711.79</v>
      </c>
      <c r="M15" s="214"/>
      <c r="O15" s="206"/>
      <c r="P15" s="207"/>
    </row>
    <row r="16" spans="8:8" ht="15.0" outlineLevel="1">
      <c r="B16" s="208" t="s">
        <v>78</v>
      </c>
      <c r="C16" s="210">
        <f>C15/C6</f>
        <v>0.07045085064459183</v>
      </c>
      <c r="D16" s="210">
        <f t="shared" si="4" ref="D16:M16">D15/D6</f>
        <v>0.06575762204139664</v>
      </c>
      <c r="E16" s="210">
        <f t="shared" si="4"/>
        <v>0.057254943026671515</v>
      </c>
      <c r="F16" s="210">
        <f t="shared" si="4"/>
        <v>0.06460995201452903</v>
      </c>
      <c r="G16" s="210">
        <f t="shared" si="4"/>
        <v>0.06453848067602776</v>
      </c>
      <c r="H16" s="210">
        <f t="shared" si="4"/>
        <v>0.05523321021691434</v>
      </c>
      <c r="I16" s="210">
        <f t="shared" si="4"/>
        <v>0.04646398753795529</v>
      </c>
      <c r="J16" s="210">
        <f t="shared" si="4"/>
        <v>0.0483455715000992</v>
      </c>
      <c r="K16" s="210">
        <f t="shared" si="4"/>
        <v>0.03908738146151213</v>
      </c>
      <c r="L16" s="210">
        <f t="shared" si="4"/>
        <v>0.04446635228147079</v>
      </c>
      <c r="M16" s="210">
        <f t="shared" si="4"/>
        <v>0.0</v>
      </c>
      <c r="O16" s="206"/>
      <c r="P16" s="211"/>
    </row>
    <row r="17" spans="8:8" ht="15.0" outlineLevel="1">
      <c r="O17" s="206"/>
      <c r="P17" s="207"/>
    </row>
    <row r="18" spans="8:8" ht="15.0" outlineLevel="1">
      <c r="B18" s="212" t="s">
        <v>79</v>
      </c>
      <c r="C18" s="213">
        <f t="shared" si="5" ref="C18:L18">C12-C15</f>
        <v>16620.41</v>
      </c>
      <c r="D18" s="213">
        <f t="shared" si="5"/>
        <v>20111.339999999997</v>
      </c>
      <c r="E18" s="213">
        <f t="shared" si="5"/>
        <v>22865.82</v>
      </c>
      <c r="F18" s="213">
        <f t="shared" si="5"/>
        <v>24553.1</v>
      </c>
      <c r="G18" s="213">
        <f t="shared" si="5"/>
        <v>23460.239999999998</v>
      </c>
      <c r="H18" s="213">
        <f t="shared" si="5"/>
        <v>24313.89</v>
      </c>
      <c r="I18" s="213">
        <f t="shared" si="5"/>
        <v>27166.020000000004</v>
      </c>
      <c r="J18" s="213">
        <f t="shared" si="5"/>
        <v>28758.119999999995</v>
      </c>
      <c r="K18" s="213">
        <f t="shared" si="5"/>
        <v>34426.9</v>
      </c>
      <c r="L18" s="213">
        <f t="shared" si="5"/>
        <v>35410.7</v>
      </c>
      <c r="M18" s="213">
        <f>_xlfn.IFERROR(SUM('Data Sheet'!H51:K51),0)</f>
        <v>37109.3</v>
      </c>
      <c r="O18" s="206"/>
      <c r="P18" s="207"/>
    </row>
    <row r="19" spans="8:8" ht="15.0" outlineLevel="1">
      <c r="B19" s="208" t="s">
        <v>80</v>
      </c>
      <c r="C19" s="210">
        <f>C18/C6</f>
        <v>0.15204587683618084</v>
      </c>
      <c r="D19" s="210">
        <f t="shared" si="6" ref="D19:M19">D18/D6</f>
        <v>0.1680381767994762</v>
      </c>
      <c r="E19" s="210">
        <f t="shared" si="6"/>
        <v>0.16910050999003182</v>
      </c>
      <c r="F19" s="210">
        <f t="shared" si="6"/>
        <v>0.16880509879660943</v>
      </c>
      <c r="G19" s="210">
        <f t="shared" si="6"/>
        <v>0.17252836705777352</v>
      </c>
      <c r="H19" s="210">
        <f t="shared" si="6"/>
        <v>0.15533924695071716</v>
      </c>
      <c r="I19" s="210">
        <f t="shared" si="6"/>
        <v>0.14817233707518299</v>
      </c>
      <c r="J19" s="210">
        <f t="shared" si="6"/>
        <v>0.13006079111346322</v>
      </c>
      <c r="K19" s="210">
        <f t="shared" si="6"/>
        <v>0.13461971979136952</v>
      </c>
      <c r="L19" s="210">
        <f t="shared" si="6"/>
        <v>0.12386805168536276</v>
      </c>
      <c r="M19" s="210">
        <f t="shared" si="6"/>
        <v>0.1298098454527096</v>
      </c>
      <c r="O19" s="206"/>
      <c r="P19" s="207"/>
    </row>
    <row r="20" spans="8:8" ht="15.0" outlineLevel="1">
      <c r="O20" s="206"/>
      <c r="P20" s="207"/>
    </row>
    <row r="21" spans="8:8" ht="15.0" outlineLevel="1">
      <c r="B21" t="s">
        <v>81</v>
      </c>
      <c r="C21" s="214">
        <f>_xlfn.IFERROR('Data Sheet'!B27,0)</f>
        <v>6828.66</v>
      </c>
      <c r="D21" s="214">
        <f>_xlfn.IFERROR('Data Sheet'!C27,0)</f>
        <v>7713.63</v>
      </c>
      <c r="E21" s="214">
        <f>_xlfn.IFERROR('Data Sheet'!D27,0)</f>
        <v>9338.73</v>
      </c>
      <c r="F21" s="214">
        <f>_xlfn.IFERROR('Data Sheet'!E27,0)</f>
        <v>11020.78</v>
      </c>
      <c r="G21" s="214">
        <f>_xlfn.IFERROR('Data Sheet'!F27,0)</f>
        <v>11749.58</v>
      </c>
      <c r="H21" s="214">
        <f>_xlfn.IFERROR('Data Sheet'!G27,0)</f>
        <v>9234.98</v>
      </c>
      <c r="I21" s="214">
        <f>_xlfn.IFERROR('Data Sheet'!H27,0)</f>
        <v>9445.44</v>
      </c>
      <c r="J21" s="214">
        <f>_xlfn.IFERROR('Data Sheet'!I27,0)</f>
        <v>9512.17</v>
      </c>
      <c r="K21" s="214">
        <f>_xlfn.IFERROR('Data Sheet'!J27,0)</f>
        <v>9924.78</v>
      </c>
      <c r="L21" s="214">
        <f>_xlfn.IFERROR('Data Sheet'!K27,0)</f>
        <v>10055.94</v>
      </c>
      <c r="M21" s="214">
        <f>_xlfn.IFERROR(SUM('Data Sheet'!H46:K46),0)</f>
        <v>9844.160000000002</v>
      </c>
      <c r="O21" s="206"/>
      <c r="P21" s="215"/>
    </row>
    <row r="22" spans="8:8" ht="15.0" outlineLevel="1">
      <c r="B22" s="208" t="s">
        <v>82</v>
      </c>
      <c r="C22" s="210">
        <f>C21/C6</f>
        <v>0.06246955383869318</v>
      </c>
      <c r="D22" s="210">
        <f t="shared" si="7" ref="D22:M22">D21/D6</f>
        <v>0.06445042059384128</v>
      </c>
      <c r="E22" s="210">
        <f t="shared" si="7"/>
        <v>0.06906308217501973</v>
      </c>
      <c r="F22" s="210">
        <f t="shared" si="7"/>
        <v>0.07576900092923898</v>
      </c>
      <c r="G22" s="210">
        <f t="shared" si="7"/>
        <v>0.08640729383052666</v>
      </c>
      <c r="H22" s="210">
        <f t="shared" si="7"/>
        <v>0.059001453029726376</v>
      </c>
      <c r="I22" s="210">
        <f t="shared" si="7"/>
        <v>0.05151851171071126</v>
      </c>
      <c r="J22" s="210">
        <f t="shared" si="7"/>
        <v>0.04301951432867488</v>
      </c>
      <c r="K22" s="210">
        <f t="shared" si="7"/>
        <v>0.0388089285585106</v>
      </c>
      <c r="L22" s="210">
        <f t="shared" si="7"/>
        <v>0.03517608224815965</v>
      </c>
      <c r="M22" s="210">
        <f t="shared" si="7"/>
        <v>0.034435273319942596</v>
      </c>
      <c r="O22" s="206"/>
      <c r="P22" s="206"/>
    </row>
    <row r="23" spans="8:8" ht="15.0" outlineLevel="1">
      <c r="O23" s="206"/>
      <c r="P23" s="206"/>
    </row>
    <row r="24" spans="8:8" ht="15.0" outlineLevel="1">
      <c r="B24" t="s">
        <v>83</v>
      </c>
      <c r="C24" s="214">
        <f>_xlfn.IFERROR('Data Sheet'!B26,0)</f>
        <v>2369.93</v>
      </c>
      <c r="D24" s="214">
        <f>_xlfn.IFERROR('Data Sheet'!C26,0)</f>
        <v>2223.48</v>
      </c>
      <c r="E24" s="214">
        <f>_xlfn.IFERROR('Data Sheet'!D26,0)</f>
        <v>1923.03</v>
      </c>
      <c r="F24" s="214">
        <f>_xlfn.IFERROR('Data Sheet'!E26,0)</f>
        <v>2462.27</v>
      </c>
      <c r="G24" s="214">
        <f>_xlfn.IFERROR('Data Sheet'!F26,0)</f>
        <v>2904.21</v>
      </c>
      <c r="H24" s="214">
        <f>_xlfn.IFERROR('Data Sheet'!G26,0)</f>
        <v>2947.95</v>
      </c>
      <c r="I24" s="214">
        <f>_xlfn.IFERROR('Data Sheet'!H26,0)</f>
        <v>3502.25</v>
      </c>
      <c r="J24" s="214">
        <f>_xlfn.IFERROR('Data Sheet'!I26,0)</f>
        <v>3682.33</v>
      </c>
      <c r="K24" s="214">
        <f>_xlfn.IFERROR('Data Sheet'!J26,0)</f>
        <v>4121.18</v>
      </c>
      <c r="L24" s="214">
        <f>_xlfn.IFERROR('Data Sheet'!K26,0)</f>
        <v>4364.75</v>
      </c>
      <c r="M24" s="214">
        <f>_xlfn.IFERROR(SUM('Data Sheet'!H45:K45),0)</f>
        <v>4364.759999999999</v>
      </c>
      <c r="N24" s="216"/>
    </row>
    <row r="25" spans="8:8" ht="15.0" outlineLevel="1">
      <c r="B25" s="208" t="s">
        <v>84</v>
      </c>
      <c r="C25" s="210">
        <f>C24/C6</f>
        <v>0.021680457033874015</v>
      </c>
      <c r="D25" s="210">
        <f t="shared" si="8" ref="D25:M25">D24/D6</f>
        <v>0.018578052250625737</v>
      </c>
      <c r="E25" s="210">
        <f t="shared" si="8"/>
        <v>0.014221460403612505</v>
      </c>
      <c r="F25" s="210">
        <f t="shared" si="8"/>
        <v>0.016928360598617995</v>
      </c>
      <c r="G25" s="210">
        <f t="shared" si="8"/>
        <v>0.021357778475107524</v>
      </c>
      <c r="H25" s="210">
        <f t="shared" si="8"/>
        <v>0.018834186263422537</v>
      </c>
      <c r="I25" s="210">
        <f t="shared" si="8"/>
        <v>0.01910241424844565</v>
      </c>
      <c r="J25" s="210">
        <f t="shared" si="8"/>
        <v>0.01665361828036183</v>
      </c>
      <c r="K25" s="210">
        <f t="shared" si="8"/>
        <v>0.016115075618478466</v>
      </c>
      <c r="L25" s="210">
        <f t="shared" si="8"/>
        <v>0.015268070910591633</v>
      </c>
      <c r="M25" s="210">
        <f t="shared" si="8"/>
        <v>0.015268108561416374</v>
      </c>
    </row>
    <row r="26" spans="8:8" ht="15.0" outlineLevel="1"/>
    <row r="27" spans="8:8" ht="15.0" outlineLevel="1">
      <c r="B27" s="212" t="s">
        <v>85</v>
      </c>
      <c r="C27" s="213">
        <f>_xlfn.IFERROR(C18-SUM(C24,C21),0)</f>
        <v>7421.82</v>
      </c>
      <c r="D27" s="213">
        <f t="shared" si="9" ref="D27:M27">_xlfn.IFERROR(D18-SUM(D24,D21),0)</f>
        <v>10174.229999999996</v>
      </c>
      <c r="E27" s="213">
        <f t="shared" si="9"/>
        <v>11604.06</v>
      </c>
      <c r="F27" s="213">
        <f t="shared" si="9"/>
        <v>11070.049999999997</v>
      </c>
      <c r="G27" s="213">
        <f t="shared" si="9"/>
        <v>8806.449999999997</v>
      </c>
      <c r="H27" s="213">
        <f t="shared" si="9"/>
        <v>12130.96</v>
      </c>
      <c r="I27" s="217">
        <f t="shared" si="9"/>
        <v>14218.330000000004</v>
      </c>
      <c r="J27" s="217">
        <f t="shared" si="9"/>
        <v>15563.619999999995</v>
      </c>
      <c r="K27" s="217">
        <f t="shared" si="9"/>
        <v>20380.940000000002</v>
      </c>
      <c r="L27" s="217">
        <f t="shared" si="9"/>
        <v>20990.009999999995</v>
      </c>
      <c r="M27" s="217">
        <f t="shared" si="9"/>
        <v>22900.38</v>
      </c>
    </row>
    <row r="28" spans="8:8" ht="15.0" outlineLevel="1">
      <c r="B28" s="208" t="s">
        <v>86</v>
      </c>
      <c r="C28" s="210">
        <f>C27/C6</f>
        <v>0.06789586596361363</v>
      </c>
      <c r="D28" s="210">
        <f t="shared" si="10" ref="D28:M28">D27/D6</f>
        <v>0.08500970395500917</v>
      </c>
      <c r="E28" s="210">
        <f t="shared" si="10"/>
        <v>0.08581596741139957</v>
      </c>
      <c r="F28" s="210">
        <f t="shared" si="10"/>
        <v>0.07610773726875246</v>
      </c>
      <c r="G28" s="210">
        <f t="shared" si="10"/>
        <v>0.06476329475213934</v>
      </c>
      <c r="H28" s="210">
        <f t="shared" si="10"/>
        <v>0.07750360765756822</v>
      </c>
      <c r="I28" s="210">
        <f t="shared" si="10"/>
        <v>0.07755141111602608</v>
      </c>
      <c r="J28" s="210">
        <f t="shared" si="10"/>
        <v>0.07038765850442652</v>
      </c>
      <c r="K28" s="210">
        <f t="shared" si="10"/>
        <v>0.07969571561438046</v>
      </c>
      <c r="L28" s="210">
        <f t="shared" si="10"/>
        <v>0.07342389852661146</v>
      </c>
      <c r="M28" s="210">
        <f t="shared" si="10"/>
        <v>0.08010646357135062</v>
      </c>
    </row>
    <row r="29" spans="8:8" ht="15.0" outlineLevel="1">
      <c r="H29" s="214"/>
      <c r="I29" s="214"/>
    </row>
    <row r="30" spans="8:8" ht="15.0" outlineLevel="1">
      <c r="B30" t="s">
        <v>87</v>
      </c>
      <c r="C30" s="205">
        <f>_xlfn.IFERROR('Data Sheet'!B29,0)</f>
        <v>2006.59</v>
      </c>
      <c r="D30" s="205">
        <f>_xlfn.IFERROR('Data Sheet'!C29,0)</f>
        <v>3198.87</v>
      </c>
      <c r="E30" s="205">
        <f>_xlfn.IFERROR('Data Sheet'!D29,0)</f>
        <v>4067.09</v>
      </c>
      <c r="F30" s="205">
        <f>_xlfn.IFERROR('Data Sheet'!E29,0)</f>
        <v>3263.2</v>
      </c>
      <c r="G30" s="205">
        <f>_xlfn.IFERROR('Data Sheet'!F29,0)</f>
        <v>4010.82</v>
      </c>
      <c r="H30" s="205">
        <f>_xlfn.IFERROR('Data Sheet'!G29,0)</f>
        <v>4203.92</v>
      </c>
      <c r="I30" s="205">
        <f>_xlfn.IFERROR('Data Sheet'!H29,0)</f>
        <v>4484.16</v>
      </c>
      <c r="J30" s="205">
        <f>_xlfn.IFERROR('Data Sheet'!I29,0)</f>
        <v>4947.39</v>
      </c>
      <c r="K30" s="205">
        <f>_xlfn.IFERROR('Data Sheet'!J29,0)</f>
        <v>5891.4</v>
      </c>
      <c r="L30" s="205">
        <f>_xlfn.IFERROR('Data Sheet'!K29,0)</f>
        <v>6816.41</v>
      </c>
      <c r="M30" s="205">
        <f>_xlfn.IFERROR(SUM('Data Sheet'!H48:K48),0)</f>
        <v>6816.39</v>
      </c>
    </row>
    <row r="31" spans="8:8" ht="15.0" outlineLevel="1">
      <c r="B31" s="208" t="s">
        <v>88</v>
      </c>
      <c r="C31" s="210">
        <f>C30/C27</f>
        <v>0.27036360353659883</v>
      </c>
      <c r="D31" s="210">
        <f t="shared" si="11" ref="D31:M31">D30/D27</f>
        <v>0.31440905110263884</v>
      </c>
      <c r="E31" s="210">
        <f t="shared" si="11"/>
        <v>0.3504885359089836</v>
      </c>
      <c r="F31" s="210">
        <f t="shared" si="11"/>
        <v>0.2947773496958009</v>
      </c>
      <c r="G31" s="210">
        <f t="shared" si="11"/>
        <v>0.455441182315235</v>
      </c>
      <c r="H31" s="210">
        <f t="shared" si="11"/>
        <v>0.34654470874522714</v>
      </c>
      <c r="I31" s="210">
        <f t="shared" si="11"/>
        <v>0.3153788103103528</v>
      </c>
      <c r="J31" s="210">
        <f t="shared" si="11"/>
        <v>0.31788170104384467</v>
      </c>
      <c r="K31" s="210">
        <f t="shared" si="11"/>
        <v>0.28906419429133295</v>
      </c>
      <c r="L31" s="210">
        <f t="shared" si="11"/>
        <v>0.3247454384252319</v>
      </c>
      <c r="M31" s="210">
        <f t="shared" si="11"/>
        <v>0.29765401272817305</v>
      </c>
    </row>
    <row r="32" spans="8:8" ht="15.0" outlineLevel="1"/>
    <row r="33" spans="8:8" ht="15.0" outlineLevel="1">
      <c r="B33" s="212" t="s">
        <v>89</v>
      </c>
      <c r="C33" s="217">
        <f>_xlfn.IFERROR(C27-C30,0)</f>
        <v>5415.23</v>
      </c>
      <c r="D33" s="217">
        <f t="shared" si="12" ref="D33:M33">_xlfn.IFERROR(D27-D30,0)</f>
        <v>6975.359999999996</v>
      </c>
      <c r="E33" s="217">
        <f t="shared" si="12"/>
        <v>7536.969999999999</v>
      </c>
      <c r="F33" s="217">
        <f t="shared" si="12"/>
        <v>7806.849999999998</v>
      </c>
      <c r="G33" s="217">
        <f t="shared" si="12"/>
        <v>4795.629999999997</v>
      </c>
      <c r="H33" s="217">
        <f t="shared" si="12"/>
        <v>7927.039999999999</v>
      </c>
      <c r="I33" s="217">
        <f t="shared" si="12"/>
        <v>9734.170000000004</v>
      </c>
      <c r="J33" s="217">
        <f t="shared" si="12"/>
        <v>10616.229999999996</v>
      </c>
      <c r="K33" s="217">
        <f t="shared" si="12"/>
        <v>14489.540000000003</v>
      </c>
      <c r="L33" s="217">
        <f t="shared" si="12"/>
        <v>14173.599999999995</v>
      </c>
      <c r="M33" s="217">
        <f t="shared" si="12"/>
        <v>16083.990000000002</v>
      </c>
    </row>
    <row r="34" spans="8:8" ht="15.0" outlineLevel="1">
      <c r="B34" s="208" t="s">
        <v>90</v>
      </c>
      <c r="C34" s="210">
        <f>C33/C6</f>
        <v>0.04953929497645314</v>
      </c>
      <c r="D34" s="210">
        <f t="shared" si="13" ref="D34:M34">D33/D6</f>
        <v>0.058281883599998495</v>
      </c>
      <c r="E34" s="210">
        <f t="shared" si="13"/>
        <v>0.055738454635765086</v>
      </c>
      <c r="F34" s="210">
        <f t="shared" si="13"/>
        <v>0.05367290018532527</v>
      </c>
      <c r="G34" s="210">
        <f t="shared" si="13"/>
        <v>0.035267423219594946</v>
      </c>
      <c r="H34" s="210">
        <f t="shared" si="13"/>
        <v>0.050645142515171895</v>
      </c>
      <c r="I34" s="210">
        <f t="shared" si="13"/>
        <v>0.053093339340364705</v>
      </c>
      <c r="J34" s="210">
        <f t="shared" si="13"/>
        <v>0.04801270988654618</v>
      </c>
      <c r="K34" s="210">
        <f t="shared" si="13"/>
        <v>0.056658537791838375</v>
      </c>
      <c r="L34" s="210">
        <f t="shared" si="13"/>
        <v>0.04957982240869729</v>
      </c>
      <c r="M34" s="210">
        <f t="shared" si="13"/>
        <v>0.056262453243874896</v>
      </c>
    </row>
    <row r="35" spans="8:8" ht="15.0" outlineLevel="1"/>
    <row r="36" spans="8:8" ht="15.0" outlineLevel="1">
      <c r="B36" t="s">
        <v>91</v>
      </c>
      <c r="C36">
        <f>_xlfn.IFERROR('Data Sheet'!B93,0)</f>
        <v>139.94</v>
      </c>
      <c r="D36">
        <f>_xlfn.IFERROR('Data Sheet'!C93,0)</f>
        <v>140.14</v>
      </c>
      <c r="E36">
        <f>_xlfn.IFERROR('Data Sheet'!D93,0)</f>
        <v>140.27</v>
      </c>
      <c r="F36">
        <f>_xlfn.IFERROR('Data Sheet'!E93,0)</f>
        <v>140.39</v>
      </c>
      <c r="G36">
        <f>_xlfn.IFERROR('Data Sheet'!F93,0)</f>
        <v>140.46</v>
      </c>
      <c r="H36">
        <f>_xlfn.IFERROR('Data Sheet'!G93,0)</f>
        <v>140.5</v>
      </c>
      <c r="I36">
        <f>_xlfn.IFERROR('Data Sheet'!H93,0)</f>
        <v>140.55</v>
      </c>
      <c r="J36">
        <f>_xlfn.IFERROR('Data Sheet'!I93,0)</f>
        <v>137.47</v>
      </c>
      <c r="K36">
        <f>_xlfn.IFERROR('Data Sheet'!J93,0)</f>
        <v>137.52</v>
      </c>
      <c r="L36">
        <f>_xlfn.IFERROR('Data Sheet'!K93,0)</f>
        <v>137.56</v>
      </c>
      <c r="M36">
        <f>L36</f>
        <v>137.56</v>
      </c>
    </row>
    <row r="37" spans="8:8" ht="15.0" outlineLevel="1">
      <c r="C37" s="214"/>
      <c r="D37" s="214"/>
      <c r="E37" s="214"/>
      <c r="F37" s="214"/>
      <c r="G37" s="214"/>
      <c r="H37" s="214"/>
      <c r="I37" s="214"/>
      <c r="J37" s="214"/>
      <c r="K37" s="214"/>
      <c r="L37" s="214"/>
      <c r="M37" s="214"/>
    </row>
    <row r="38" spans="8:8" ht="15.0" outlineLevel="1">
      <c r="B38" t="s">
        <v>92</v>
      </c>
      <c r="C38" s="214">
        <f>_xlfn.IFERROR(C33/C36,0)</f>
        <v>38.69679862798342</v>
      </c>
      <c r="D38" s="214">
        <f t="shared" si="14" ref="D38:M38">_xlfn.IFERROR(D33/D36,0)</f>
        <v>49.77422577422575</v>
      </c>
      <c r="E38" s="214">
        <f t="shared" si="14"/>
        <v>53.73187424253225</v>
      </c>
      <c r="F38" s="214">
        <f t="shared" si="14"/>
        <v>55.60830543486002</v>
      </c>
      <c r="G38" s="214">
        <f t="shared" si="14"/>
        <v>34.14231809767903</v>
      </c>
      <c r="H38" s="214">
        <f t="shared" si="14"/>
        <v>56.420213523131665</v>
      </c>
      <c r="I38" s="214">
        <f t="shared" si="14"/>
        <v>69.25770188545003</v>
      </c>
      <c r="J38" s="214">
        <f t="shared" si="14"/>
        <v>77.22579471884772</v>
      </c>
      <c r="K38" s="214">
        <f t="shared" si="14"/>
        <v>105.36314717859221</v>
      </c>
      <c r="L38" s="214">
        <f t="shared" si="14"/>
        <v>103.03576621110784</v>
      </c>
      <c r="M38" s="214">
        <f t="shared" si="14"/>
        <v>116.92345158476303</v>
      </c>
    </row>
    <row r="39" spans="8:8" ht="15.0" outlineLevel="1">
      <c r="B39" s="208" t="s">
        <v>93</v>
      </c>
      <c r="C39" s="210"/>
      <c r="D39" s="210">
        <f>_xlfn.IFERROR(D38/C38-1,0)</f>
        <v>0.2862621079520449</v>
      </c>
      <c r="E39" s="210">
        <f t="shared" si="15" ref="E39:M39">_xlfn.IFERROR(E38/D38-1,0)</f>
        <v>0.07951200459165886</v>
      </c>
      <c r="F39" s="210">
        <f t="shared" si="15"/>
        <v>0.03492212432155317</v>
      </c>
      <c r="G39" s="210">
        <f t="shared" si="15"/>
        <v>-0.38602124573507113</v>
      </c>
      <c r="H39" s="210">
        <f t="shared" si="15"/>
        <v>0.6525009626387104</v>
      </c>
      <c r="I39" s="210">
        <f t="shared" si="15"/>
        <v>0.22753349483612184</v>
      </c>
      <c r="J39" s="210">
        <f t="shared" si="15"/>
        <v>0.11504991670928755</v>
      </c>
      <c r="K39" s="210">
        <f t="shared" si="15"/>
        <v>0.36435173716480107</v>
      </c>
      <c r="L39" s="210">
        <f t="shared" si="15"/>
        <v>-0.022089136759928296</v>
      </c>
      <c r="M39" s="210">
        <f t="shared" si="15"/>
        <v>0.13478509341310674</v>
      </c>
    </row>
    <row r="40" spans="8:8" ht="15.0" outlineLevel="1"/>
    <row r="41" spans="8:8" ht="15.0" outlineLevel="1">
      <c r="B41" t="s">
        <v>94</v>
      </c>
      <c r="C41" s="218">
        <f>_xlfn.IFERROR('Data Sheet'!B31/HistoricalFS!C36,0)</f>
        <v>9.333500071459198</v>
      </c>
      <c r="D41" s="218">
        <f>_xlfn.IFERROR('Data Sheet'!C31/HistoricalFS!D36,0)</f>
        <v>15.999429142286285</v>
      </c>
      <c r="E41" s="205">
        <f>_xlfn.IFERROR('Data Sheet'!D31/HistoricalFS!E36,0)</f>
        <v>18.00064161973337</v>
      </c>
      <c r="F41" s="205">
        <f>_xlfn.IFERROR('Data Sheet'!E31/HistoricalFS!F36,0)</f>
        <v>18.0</v>
      </c>
      <c r="G41" s="205">
        <f>_xlfn.IFERROR('Data Sheet'!F31/HistoricalFS!G36,0)</f>
        <v>35.99871849636907</v>
      </c>
      <c r="H41" s="205">
        <f>_xlfn.IFERROR('Data Sheet'!G31/HistoricalFS!H36,0)</f>
        <v>22.00078291814947</v>
      </c>
      <c r="I41" s="205">
        <f>_xlfn.IFERROR('Data Sheet'!H31/HistoricalFS!I36,0)</f>
        <v>23.999999999999996</v>
      </c>
      <c r="J41" s="205">
        <f>_xlfn.IFERROR('Data Sheet'!I31/HistoricalFS!J36,0)</f>
        <v>33.99876336655271</v>
      </c>
      <c r="K41" s="205">
        <f>_xlfn.IFERROR('Data Sheet'!J31/HistoricalFS!K36,0)</f>
        <v>34.0</v>
      </c>
      <c r="L41" s="205">
        <f>_xlfn.IFERROR('Data Sheet'!K31/HistoricalFS!L36,0)</f>
        <v>38.001381215469614</v>
      </c>
      <c r="M41" s="205">
        <f>_xlfn.IFERROR('Data Sheet'!L31/HistoricalFS!M36,0)</f>
        <v>0.0</v>
      </c>
    </row>
    <row r="42" spans="8:8" ht="15.0" outlineLevel="1">
      <c r="B42" s="208" t="s">
        <v>95</v>
      </c>
      <c r="C42" s="210">
        <f>_xlfn.IFERROR(C41/C38,0)</f>
        <v>0.24119566481940755</v>
      </c>
      <c r="D42" s="210">
        <f t="shared" si="16" ref="D42:M42">_xlfn.IFERROR(D41/D38,0)</f>
        <v>0.32144004037067636</v>
      </c>
      <c r="E42" s="210">
        <f t="shared" si="16"/>
        <v>0.335008630789296</v>
      </c>
      <c r="F42" s="210">
        <f t="shared" si="16"/>
        <v>0.32369265452775453</v>
      </c>
      <c r="G42" s="210">
        <f t="shared" si="16"/>
        <v>1.0543724182224241</v>
      </c>
      <c r="H42" s="210">
        <f t="shared" si="16"/>
        <v>0.38994504884547077</v>
      </c>
      <c r="I42" s="210">
        <f t="shared" si="16"/>
        <v>0.3465318563370065</v>
      </c>
      <c r="J42" s="210">
        <f t="shared" si="16"/>
        <v>0.4402513886756412</v>
      </c>
      <c r="K42" s="210">
        <f t="shared" si="16"/>
        <v>0.322693474050936</v>
      </c>
      <c r="L42" s="210">
        <f t="shared" si="16"/>
        <v>0.3688173787887341</v>
      </c>
      <c r="M42" s="210">
        <f t="shared" si="16"/>
        <v>0.0</v>
      </c>
    </row>
    <row r="43" spans="8:8" ht="15.0" outlineLevel="1"/>
    <row r="44" spans="8:8" ht="15.0" outlineLevel="1">
      <c r="B44" t="s">
        <v>96</v>
      </c>
      <c r="C44" s="104">
        <f>_xlfn.IFERROR(IF(C38&gt;C41,1-C42,0),0)</f>
        <v>0.7588043351805924</v>
      </c>
      <c r="D44" s="104">
        <f t="shared" si="17" ref="D44:M44">_xlfn.IFERROR(IF(D38&gt;D41,1-D42,0),0)</f>
        <v>0.6785599596293237</v>
      </c>
      <c r="E44" s="104">
        <f t="shared" si="17"/>
        <v>0.664991369210704</v>
      </c>
      <c r="F44" s="104">
        <f t="shared" si="17"/>
        <v>0.6763073454722455</v>
      </c>
      <c r="G44" s="104">
        <f t="shared" si="17"/>
        <v>0.0</v>
      </c>
      <c r="H44" s="104">
        <f t="shared" si="17"/>
        <v>0.6100549511545292</v>
      </c>
      <c r="I44" s="104">
        <f t="shared" si="17"/>
        <v>0.6534681436629934</v>
      </c>
      <c r="J44" s="104">
        <f t="shared" si="17"/>
        <v>0.5597486113243588</v>
      </c>
      <c r="K44" s="104">
        <f t="shared" si="17"/>
        <v>0.677306525949064</v>
      </c>
      <c r="L44" s="104">
        <f t="shared" si="17"/>
        <v>0.6311826212112659</v>
      </c>
      <c r="M44" s="104">
        <f t="shared" si="17"/>
        <v>1.0</v>
      </c>
    </row>
    <row r="46" spans="8:8">
      <c r="A46" t="s">
        <v>68</v>
      </c>
      <c r="B46" s="204" t="s">
        <v>97</v>
      </c>
      <c r="C46" s="75"/>
      <c r="D46" s="75"/>
      <c r="E46" s="75"/>
      <c r="F46" s="75"/>
      <c r="G46" s="75"/>
      <c r="H46" s="75"/>
      <c r="I46" s="75"/>
      <c r="J46" s="75"/>
      <c r="K46" s="75"/>
      <c r="L46" s="75"/>
      <c r="M46" s="75"/>
    </row>
    <row r="47" spans="8:8" ht="15.0" outlineLevel="1">
      <c r="B47" t="s">
        <v>98</v>
      </c>
      <c r="C47" s="205">
        <f>_xlfn.IFERROR('Data Sheet'!B57,0)</f>
        <v>186.59</v>
      </c>
      <c r="D47" s="205">
        <f>_xlfn.IFERROR('Data Sheet'!C57,0)</f>
        <v>280.27</v>
      </c>
      <c r="E47" s="205">
        <f>_xlfn.IFERROR('Data Sheet'!D57,0)</f>
        <v>280.55</v>
      </c>
      <c r="F47" s="205">
        <f>_xlfn.IFERROR('Data Sheet'!E57,0)</f>
        <v>280.78</v>
      </c>
      <c r="G47" s="205">
        <f>_xlfn.IFERROR('Data Sheet'!F57,0)</f>
        <v>280.91</v>
      </c>
      <c r="H47" s="205">
        <f>_xlfn.IFERROR('Data Sheet'!G57,0)</f>
        <v>281.01</v>
      </c>
      <c r="I47" s="205">
        <f>_xlfn.IFERROR('Data Sheet'!H57,0)</f>
        <v>281.1</v>
      </c>
      <c r="J47" s="205">
        <f>_xlfn.IFERROR('Data Sheet'!I57,0)</f>
        <v>274.93</v>
      </c>
      <c r="K47" s="205">
        <f>_xlfn.IFERROR('Data Sheet'!J57,0)</f>
        <v>275.04</v>
      </c>
      <c r="L47" s="205">
        <f>_xlfn.IFERROR('Data Sheet'!K57,0)</f>
        <v>275.13</v>
      </c>
    </row>
    <row r="48" spans="8:8" ht="15.0" outlineLevel="1">
      <c r="B48" t="s">
        <v>99</v>
      </c>
      <c r="C48" s="205">
        <f>_xlfn.IFERROR('Data Sheet'!B58,0)</f>
        <v>50029.93</v>
      </c>
      <c r="D48" s="205">
        <f>_xlfn.IFERROR('Data Sheet'!C58,0)</f>
        <v>54623.23</v>
      </c>
      <c r="E48" s="205">
        <f>_xlfn.IFERROR('Data Sheet'!D58,0)</f>
        <v>62094.25</v>
      </c>
      <c r="F48" s="205">
        <f>_xlfn.IFERROR('Data Sheet'!E58,0)</f>
        <v>66442.44</v>
      </c>
      <c r="G48" s="205">
        <f>_xlfn.IFERROR('Data Sheet'!F58,0)</f>
        <v>75587.62</v>
      </c>
      <c r="H48" s="205">
        <f>_xlfn.IFERROR('Data Sheet'!G58,0)</f>
        <v>82126.65</v>
      </c>
      <c r="I48" s="205">
        <f>_xlfn.IFERROR('Data Sheet'!H58,0)</f>
        <v>89044.85</v>
      </c>
      <c r="J48" s="205">
        <f>_xlfn.IFERROR('Data Sheet'!I58,0)</f>
        <v>86084.31</v>
      </c>
      <c r="K48" s="205">
        <f>_xlfn.IFERROR('Data Sheet'!J58,0)</f>
        <v>97380.56</v>
      </c>
      <c r="L48" s="205">
        <f>_xlfn.IFERROR('Data Sheet'!K58,0)</f>
        <v>109014.67</v>
      </c>
    </row>
    <row r="49" spans="8:8" ht="15.0" outlineLevel="1">
      <c r="B49" t="s">
        <v>100</v>
      </c>
      <c r="C49" s="205">
        <f>_xlfn.IFERROR('Data Sheet'!B59,0)</f>
        <v>93953.95</v>
      </c>
      <c r="D49" s="205">
        <f>_xlfn.IFERROR('Data Sheet'!C59,0)</f>
        <v>107524.08</v>
      </c>
      <c r="E49" s="205">
        <f>_xlfn.IFERROR('Data Sheet'!D59,0)</f>
        <v>125555.17</v>
      </c>
      <c r="F49" s="205">
        <f>_xlfn.IFERROR('Data Sheet'!E59,0)</f>
        <v>143173.67</v>
      </c>
      <c r="G49" s="205">
        <f>_xlfn.IFERROR('Data Sheet'!F59,0)</f>
        <v>134629.08</v>
      </c>
      <c r="H49" s="205">
        <f>_xlfn.IFERROR('Data Sheet'!G59,0)</f>
        <v>125508.08</v>
      </c>
      <c r="I49" s="205">
        <f>_xlfn.IFERROR('Data Sheet'!H59,0)</f>
        <v>120650.44</v>
      </c>
      <c r="J49" s="205">
        <f>_xlfn.IFERROR('Data Sheet'!I59,0)</f>
        <v>116322.22</v>
      </c>
      <c r="K49" s="205">
        <f>_xlfn.IFERROR('Data Sheet'!J59,0)</f>
        <v>132408.92</v>
      </c>
      <c r="L49" s="205">
        <f>_xlfn.IFERROR('Data Sheet'!K59,0)</f>
        <v>125496.59</v>
      </c>
    </row>
    <row r="50" spans="8:8" ht="15.0" outlineLevel="1">
      <c r="B50" t="s">
        <v>101</v>
      </c>
      <c r="C50" s="205">
        <f>_xlfn.IFERROR('Data Sheet'!B60,0)</f>
        <v>67400.18</v>
      </c>
      <c r="D50" s="205">
        <f>_xlfn.IFERROR('Data Sheet'!C60,0)</f>
        <v>80811.95</v>
      </c>
      <c r="E50" s="205">
        <f>_xlfn.IFERROR('Data Sheet'!D60,0)</f>
        <v>90106.26</v>
      </c>
      <c r="F50" s="205">
        <f>_xlfn.IFERROR('Data Sheet'!E60,0)</f>
        <v>96790.2</v>
      </c>
      <c r="G50" s="205">
        <f>_xlfn.IFERROR('Data Sheet'!F60,0)</f>
        <v>99597.44</v>
      </c>
      <c r="H50" s="205">
        <f>_xlfn.IFERROR('Data Sheet'!G60,0)</f>
        <v>111112.17</v>
      </c>
      <c r="I50" s="205">
        <f>_xlfn.IFERROR('Data Sheet'!H60,0)</f>
        <v>119745.49</v>
      </c>
      <c r="J50" s="205">
        <f>_xlfn.IFERROR('Data Sheet'!I60,0)</f>
        <v>136920.88</v>
      </c>
      <c r="K50" s="205">
        <f>_xlfn.IFERROR('Data Sheet'!J60,0)</f>
        <v>149049.57</v>
      </c>
      <c r="L50" s="205">
        <f>_xlfn.IFERROR('Data Sheet'!K60,0)</f>
        <v>217596.38</v>
      </c>
    </row>
    <row r="51" spans="8:8" ht="15.0" outlineLevel="1">
      <c r="B51" s="212" t="s">
        <v>102</v>
      </c>
      <c r="C51" s="217">
        <f>_xlfn.IFERROR('Data Sheet'!B61,0)</f>
        <v>211570.65</v>
      </c>
      <c r="D51" s="217">
        <f>_xlfn.IFERROR('Data Sheet'!C61,0)</f>
        <v>243239.53</v>
      </c>
      <c r="E51" s="217">
        <f>_xlfn.IFERROR('Data Sheet'!D61,0)</f>
        <v>278036.23</v>
      </c>
      <c r="F51" s="217">
        <f>_xlfn.IFERROR('Data Sheet'!E61,0)</f>
        <v>306687.09</v>
      </c>
      <c r="G51" s="217">
        <f>_xlfn.IFERROR('Data Sheet'!F61,0)</f>
        <v>310095.05</v>
      </c>
      <c r="H51" s="217">
        <f>_xlfn.IFERROR('Data Sheet'!G61,0)</f>
        <v>319027.91</v>
      </c>
      <c r="I51" s="217">
        <f>_xlfn.IFERROR('Data Sheet'!H61,0)</f>
        <v>329721.88</v>
      </c>
      <c r="J51" s="217">
        <f>_xlfn.IFERROR('Data Sheet'!I61,0)</f>
        <v>339602.34</v>
      </c>
      <c r="K51" s="217">
        <f>_xlfn.IFERROR('Data Sheet'!J61,0)</f>
        <v>379114.09</v>
      </c>
      <c r="L51" s="217">
        <f>_xlfn.IFERROR('Data Sheet'!K61,0)</f>
        <v>452382.77</v>
      </c>
      <c r="M51" s="47"/>
    </row>
    <row r="52" spans="8:8" ht="15.0" outlineLevel="1"/>
    <row r="53" spans="8:8" ht="15.0" outlineLevel="1">
      <c r="B53" t="s">
        <v>103</v>
      </c>
      <c r="C53" s="205">
        <f>_xlfn.IFERROR('Data Sheet'!B62,0)</f>
        <v>16677.11</v>
      </c>
      <c r="D53" s="205">
        <f>_xlfn.IFERROR('Data Sheet'!C62,0)</f>
        <v>18580.19</v>
      </c>
      <c r="E53" s="205">
        <f>_xlfn.IFERROR('Data Sheet'!D62,0)</f>
        <v>21193.94</v>
      </c>
      <c r="F53" s="205">
        <f>_xlfn.IFERROR('Data Sheet'!E62,0)</f>
        <v>43653.38</v>
      </c>
      <c r="G53" s="205">
        <f>_xlfn.IFERROR('Data Sheet'!F62,0)</f>
        <v>44319.32</v>
      </c>
      <c r="H53" s="205">
        <f>_xlfn.IFERROR('Data Sheet'!G62,0)</f>
        <v>42945.01</v>
      </c>
      <c r="I53" s="205">
        <f>_xlfn.IFERROR('Data Sheet'!H62,0)</f>
        <v>42641.0</v>
      </c>
      <c r="J53" s="205">
        <f>_xlfn.IFERROR('Data Sheet'!I62,0)</f>
        <v>42963.82</v>
      </c>
      <c r="K53" s="205">
        <f>_xlfn.IFERROR('Data Sheet'!J62,0)</f>
        <v>44055.45</v>
      </c>
      <c r="L53" s="205">
        <f>_xlfn.IFERROR('Data Sheet'!K62,0)</f>
        <v>30866.91</v>
      </c>
    </row>
    <row r="54" spans="8:8" ht="15.0" outlineLevel="1">
      <c r="B54" t="s">
        <v>104</v>
      </c>
      <c r="C54" s="205">
        <f>_xlfn.IFERROR('Data Sheet'!B63,0)</f>
        <v>13297.94</v>
      </c>
      <c r="D54" s="205">
        <f>_xlfn.IFERROR('Data Sheet'!C63,0)</f>
        <v>13443.43</v>
      </c>
      <c r="E54" s="205">
        <f>_xlfn.IFERROR('Data Sheet'!D63,0)</f>
        <v>13919.49</v>
      </c>
      <c r="F54" s="205">
        <f>_xlfn.IFERROR('Data Sheet'!E63,0)</f>
        <v>3311.09</v>
      </c>
      <c r="G54" s="205">
        <f>_xlfn.IFERROR('Data Sheet'!F63,0)</f>
        <v>500.39</v>
      </c>
      <c r="H54" s="205">
        <f>_xlfn.IFERROR('Data Sheet'!G63,0)</f>
        <v>1249.55</v>
      </c>
      <c r="I54" s="205">
        <f>_xlfn.IFERROR('Data Sheet'!H63,0)</f>
        <v>3065.57</v>
      </c>
      <c r="J54" s="205">
        <f>_xlfn.IFERROR('Data Sheet'!I63,0)</f>
        <v>3045.01</v>
      </c>
      <c r="K54" s="205">
        <f>_xlfn.IFERROR('Data Sheet'!J63,0)</f>
        <v>2588.68</v>
      </c>
      <c r="L54" s="205">
        <f>_xlfn.IFERROR('Data Sheet'!K63,0)</f>
        <v>3310.95</v>
      </c>
    </row>
    <row r="55" spans="8:8" ht="15.0" outlineLevel="1">
      <c r="B55" t="s">
        <v>105</v>
      </c>
      <c r="C55" s="205">
        <f>_xlfn.IFERROR('Data Sheet'!B64,0)</f>
        <v>19753.02</v>
      </c>
      <c r="D55" s="205">
        <f>_xlfn.IFERROR('Data Sheet'!C64,0)</f>
        <v>15311.31</v>
      </c>
      <c r="E55" s="205">
        <f>_xlfn.IFERROR('Data Sheet'!D64,0)</f>
        <v>20907.1</v>
      </c>
      <c r="F55" s="205">
        <f>_xlfn.IFERROR('Data Sheet'!E64,0)</f>
        <v>20047.48</v>
      </c>
      <c r="G55" s="205">
        <f>_xlfn.IFERROR('Data Sheet'!F64,0)</f>
        <v>39626.63</v>
      </c>
      <c r="H55" s="205">
        <f>_xlfn.IFERROR('Data Sheet'!G64,0)</f>
        <v>39395.18</v>
      </c>
      <c r="I55" s="205">
        <f>_xlfn.IFERROR('Data Sheet'!H64,0)</f>
        <v>44798.31</v>
      </c>
      <c r="J55" s="205">
        <f>_xlfn.IFERROR('Data Sheet'!I64,0)</f>
        <v>45647.82</v>
      </c>
      <c r="K55" s="205">
        <f>_xlfn.IFERROR('Data Sheet'!J64,0)</f>
        <v>54805.27</v>
      </c>
      <c r="L55" s="205">
        <f>_xlfn.IFERROR('Data Sheet'!K64,0)</f>
        <v>68376.79</v>
      </c>
    </row>
    <row r="56" spans="8:8" ht="15.0" outlineLevel="1">
      <c r="B56" t="s">
        <v>106</v>
      </c>
      <c r="C56" s="205">
        <f>_xlfn.IFERROR('Data Sheet'!B65-SUM('Data Sheet'!B67:B69),0)</f>
        <v>123707.90999999999</v>
      </c>
      <c r="D56" s="205">
        <f>_xlfn.IFERROR('Data Sheet'!C65-SUM('Data Sheet'!C67:C69),0)</f>
        <v>149907.09</v>
      </c>
      <c r="E56" s="205">
        <f>_xlfn.IFERROR('Data Sheet'!D65-SUM('Data Sheet'!D67:D69),0)</f>
        <v>167029.66</v>
      </c>
      <c r="F56" s="205">
        <f>_xlfn.IFERROR('Data Sheet'!E65-SUM('Data Sheet'!E67:E69),0)</f>
        <v>178079.19</v>
      </c>
      <c r="G56" s="205">
        <f>_xlfn.IFERROR('Data Sheet'!F65-SUM('Data Sheet'!F67:F69),0)</f>
        <v>161356.88999999998</v>
      </c>
      <c r="H56" s="205">
        <f>_xlfn.IFERROR('Data Sheet'!G65-SUM('Data Sheet'!G67:G69),0)</f>
        <v>164402.36000000002</v>
      </c>
      <c r="I56" s="205">
        <f>_xlfn.IFERROR('Data Sheet'!H65-SUM('Data Sheet'!H67:H69),0)</f>
        <v>165137.09</v>
      </c>
      <c r="J56" s="205">
        <f>_xlfn.IFERROR('Data Sheet'!I65-SUM('Data Sheet'!I67:I69),0)</f>
        <v>177196.16</v>
      </c>
      <c r="K56" s="205">
        <f>_xlfn.IFERROR('Data Sheet'!J65-SUM('Data Sheet'!J67:J69),0)</f>
        <v>193315.12</v>
      </c>
      <c r="L56" s="205">
        <f>_xlfn.IFERROR('Data Sheet'!K65-SUM('Data Sheet'!K67:K69),0)</f>
        <v>258988.26</v>
      </c>
    </row>
    <row r="57" spans="8:8" ht="15.0" outlineLevel="1">
      <c r="B57" s="212" t="s">
        <v>107</v>
      </c>
      <c r="C57" s="217">
        <f>SUM(C53:C56)</f>
        <v>173435.97999999998</v>
      </c>
      <c r="D57" s="217">
        <f t="shared" si="18" ref="D57:L57">SUM(D53:D56)</f>
        <v>197242.02</v>
      </c>
      <c r="E57" s="217">
        <f t="shared" si="18"/>
        <v>223050.19</v>
      </c>
      <c r="F57" s="217">
        <f t="shared" si="18"/>
        <v>245091.14</v>
      </c>
      <c r="G57" s="217">
        <f t="shared" si="18"/>
        <v>245803.22999999998</v>
      </c>
      <c r="H57" s="217">
        <f t="shared" si="18"/>
        <v>247992.10000000003</v>
      </c>
      <c r="I57" s="217">
        <f t="shared" si="18"/>
        <v>255641.97</v>
      </c>
      <c r="J57" s="217">
        <f t="shared" si="18"/>
        <v>268852.81</v>
      </c>
      <c r="K57" s="217">
        <f t="shared" si="18"/>
        <v>294764.52</v>
      </c>
      <c r="L57" s="217">
        <f t="shared" si="18"/>
        <v>361542.91000000003</v>
      </c>
    </row>
    <row r="58" spans="8:8" ht="15.0" outlineLevel="1">
      <c r="B58" s="47"/>
    </row>
    <row r="59" spans="8:8" ht="15.0" outlineLevel="1">
      <c r="B59" t="s">
        <v>108</v>
      </c>
      <c r="C59" s="205">
        <f>_xlfn.IFERROR('Data Sheet'!B67,0)</f>
        <v>28688.97</v>
      </c>
      <c r="D59" s="205">
        <f>_xlfn.IFERROR('Data Sheet'!C67,0)</f>
        <v>33116.98</v>
      </c>
      <c r="E59" s="205">
        <f>_xlfn.IFERROR('Data Sheet'!D67,0)</f>
        <v>36845.87</v>
      </c>
      <c r="F59" s="205">
        <f>_xlfn.IFERROR('Data Sheet'!E67,0)</f>
        <v>40731.52</v>
      </c>
      <c r="G59" s="205">
        <f>_xlfn.IFERROR('Data Sheet'!F67,0)</f>
        <v>42229.78</v>
      </c>
      <c r="H59" s="205">
        <f>_xlfn.IFERROR('Data Sheet'!G67,0)</f>
        <v>46139.32</v>
      </c>
      <c r="I59" s="205">
        <f>_xlfn.IFERROR('Data Sheet'!H67,0)</f>
        <v>44731.53</v>
      </c>
      <c r="J59" s="205">
        <f>_xlfn.IFERROR('Data Sheet'!I67,0)</f>
        <v>48770.95</v>
      </c>
      <c r="K59" s="205">
        <f>_xlfn.IFERROR('Data Sheet'!J67,0)</f>
        <v>53713.68</v>
      </c>
      <c r="L59" s="205">
        <f>_xlfn.IFERROR('Data Sheet'!K67,0)</f>
        <v>60461.26</v>
      </c>
    </row>
    <row r="60" spans="8:8" ht="15.0" outlineLevel="1">
      <c r="B60" t="s">
        <v>109</v>
      </c>
      <c r="C60" s="205">
        <f>_xlfn.IFERROR('Data Sheet'!B68,0)</f>
        <v>4139.74</v>
      </c>
      <c r="D60" s="205">
        <f>_xlfn.IFERROR('Data Sheet'!C68,0)</f>
        <v>4847.8</v>
      </c>
      <c r="E60" s="205">
        <f>_xlfn.IFERROR('Data Sheet'!D68,0)</f>
        <v>6413.93</v>
      </c>
      <c r="F60" s="205">
        <f>_xlfn.IFERROR('Data Sheet'!E68,0)</f>
        <v>5746.65</v>
      </c>
      <c r="G60" s="205">
        <f>_xlfn.IFERROR('Data Sheet'!F68,0)</f>
        <v>5820.54</v>
      </c>
      <c r="H60" s="205">
        <f>_xlfn.IFERROR('Data Sheet'!G68,0)</f>
        <v>5943.32</v>
      </c>
      <c r="I60" s="205">
        <f>_xlfn.IFERROR('Data Sheet'!H68,0)</f>
        <v>6828.78</v>
      </c>
      <c r="J60" s="205">
        <f>_xlfn.IFERROR('Data Sheet'!I68,0)</f>
        <v>6620.19</v>
      </c>
      <c r="K60" s="205">
        <f>_xlfn.IFERROR('Data Sheet'!J68,0)</f>
        <v>7670.55</v>
      </c>
      <c r="L60" s="205">
        <f>_xlfn.IFERROR('Data Sheet'!K68,0)</f>
        <v>9530.93</v>
      </c>
    </row>
    <row r="61" spans="8:8" ht="15.0" outlineLevel="1">
      <c r="B61" t="s">
        <v>110</v>
      </c>
      <c r="C61" s="205">
        <f>_xlfn.IFERROR('Data Sheet'!B69,0)</f>
        <v>5305.96</v>
      </c>
      <c r="D61" s="205">
        <f>_xlfn.IFERROR('Data Sheet'!C69,0)</f>
        <v>8032.73</v>
      </c>
      <c r="E61" s="205">
        <f>_xlfn.IFERROR('Data Sheet'!D69,0)</f>
        <v>11726.24</v>
      </c>
      <c r="F61" s="205">
        <f>_xlfn.IFERROR('Data Sheet'!E69,0)</f>
        <v>15117.78</v>
      </c>
      <c r="G61" s="205">
        <f>_xlfn.IFERROR('Data Sheet'!F69,0)</f>
        <v>16241.5</v>
      </c>
      <c r="H61" s="205">
        <f>_xlfn.IFERROR('Data Sheet'!G69,0)</f>
        <v>18953.17</v>
      </c>
      <c r="I61" s="205">
        <f>_xlfn.IFERROR('Data Sheet'!H69,0)</f>
        <v>22519.6</v>
      </c>
      <c r="J61" s="205">
        <f>_xlfn.IFERROR('Data Sheet'!I69,0)</f>
        <v>15358.39</v>
      </c>
      <c r="K61" s="205">
        <f>_xlfn.IFERROR('Data Sheet'!J69,0)</f>
        <v>22965.34</v>
      </c>
      <c r="L61" s="205">
        <f>_xlfn.IFERROR('Data Sheet'!K69,0)</f>
        <v>20847.67</v>
      </c>
    </row>
    <row r="62" spans="8:8" ht="15.0" outlineLevel="1">
      <c r="B62" s="212" t="s">
        <v>111</v>
      </c>
      <c r="C62" s="217">
        <f>_xlfn.IFERROR(SUM(C59:C61),0)</f>
        <v>38134.67</v>
      </c>
      <c r="D62" s="217">
        <f t="shared" si="19" ref="D62:L62">_xlfn.IFERROR(SUM(D59:D61),0)</f>
        <v>45997.51000000001</v>
      </c>
      <c r="E62" s="217">
        <f t="shared" si="19"/>
        <v>54986.04</v>
      </c>
      <c r="F62" s="217">
        <f t="shared" si="19"/>
        <v>61595.95</v>
      </c>
      <c r="G62" s="217">
        <f t="shared" si="19"/>
        <v>64291.82</v>
      </c>
      <c r="H62" s="217">
        <f t="shared" si="19"/>
        <v>71035.81</v>
      </c>
      <c r="I62" s="217">
        <f t="shared" si="19"/>
        <v>74079.91</v>
      </c>
      <c r="J62" s="217">
        <f t="shared" si="19"/>
        <v>70749.53</v>
      </c>
      <c r="K62" s="217">
        <f t="shared" si="19"/>
        <v>84349.57</v>
      </c>
      <c r="L62" s="217">
        <f t="shared" si="19"/>
        <v>90839.86</v>
      </c>
    </row>
    <row r="63" spans="8:8" ht="15.0" outlineLevel="1"/>
    <row r="64" spans="8:8" ht="15.0" outlineLevel="1">
      <c r="B64" s="212" t="s">
        <v>112</v>
      </c>
      <c r="C64" s="217">
        <f>_xlfn.IFERROR(C62+C57,0)</f>
        <v>211570.64999999997</v>
      </c>
      <c r="D64" s="217">
        <f t="shared" si="20" ref="D64:L64">_xlfn.IFERROR(D62+D57,0)</f>
        <v>243239.53</v>
      </c>
      <c r="E64" s="217">
        <f t="shared" si="20"/>
        <v>278036.23</v>
      </c>
      <c r="F64" s="217">
        <f t="shared" si="20"/>
        <v>306687.09</v>
      </c>
      <c r="G64" s="217">
        <f t="shared" si="20"/>
        <v>310095.05</v>
      </c>
      <c r="H64" s="217">
        <f t="shared" si="20"/>
        <v>319027.91000000003</v>
      </c>
      <c r="I64" s="217">
        <f t="shared" si="20"/>
        <v>329721.88</v>
      </c>
      <c r="J64" s="217">
        <f t="shared" si="20"/>
        <v>339602.33999999997</v>
      </c>
      <c r="K64" s="217">
        <f t="shared" si="20"/>
        <v>379114.09</v>
      </c>
      <c r="L64" s="217">
        <f t="shared" si="20"/>
        <v>452382.77</v>
      </c>
    </row>
    <row r="65" spans="8:8" ht="15.0" outlineLevel="1"/>
    <row r="66" spans="8:8">
      <c r="B66" s="219" t="s">
        <v>113</v>
      </c>
      <c r="C66" s="219" t="b">
        <f>C64=C51</f>
        <v>1</v>
      </c>
      <c r="D66" s="219" t="b">
        <f t="shared" si="21" ref="D66:L66">D64=D51</f>
        <v>1</v>
      </c>
      <c r="E66" s="219" t="b">
        <f t="shared" si="21"/>
        <v>1</v>
      </c>
      <c r="F66" s="219" t="b">
        <f t="shared" si="21"/>
        <v>1</v>
      </c>
      <c r="G66" s="219" t="b">
        <f t="shared" si="21"/>
        <v>1</v>
      </c>
      <c r="H66" s="219" t="b">
        <f t="shared" si="21"/>
        <v>1</v>
      </c>
      <c r="I66" s="219" t="b">
        <f t="shared" si="21"/>
        <v>1</v>
      </c>
      <c r="J66" s="219" t="b">
        <f t="shared" si="21"/>
        <v>1</v>
      </c>
      <c r="K66" s="219" t="b">
        <f t="shared" si="21"/>
        <v>1</v>
      </c>
      <c r="L66" s="219" t="b">
        <f t="shared" si="21"/>
        <v>1</v>
      </c>
    </row>
    <row r="68" spans="8:8">
      <c r="A68" t="s">
        <v>68</v>
      </c>
      <c r="B68" s="204" t="s">
        <v>114</v>
      </c>
      <c r="C68" s="75"/>
      <c r="D68" s="75"/>
      <c r="E68" s="75"/>
      <c r="F68" s="75"/>
      <c r="G68" s="75"/>
      <c r="H68" s="75"/>
      <c r="I68" s="75"/>
      <c r="J68" s="75"/>
      <c r="K68" s="75"/>
      <c r="L68" s="75"/>
      <c r="M68" s="75"/>
    </row>
    <row r="69" spans="8:8" ht="15.0" outlineLevel="1">
      <c r="B69" s="47"/>
    </row>
    <row r="70" spans="8:8" ht="15.0" outlineLevel="1">
      <c r="B70" t="s">
        <v>115</v>
      </c>
      <c r="C70" s="205">
        <f>'Data Sheet'!B82</f>
        <v>6655.26</v>
      </c>
      <c r="D70" s="205">
        <f>'Data Sheet'!C82</f>
        <v>-10031.02</v>
      </c>
      <c r="E70" s="205">
        <f>'Data Sheet'!D82</f>
        <v>-4755.83</v>
      </c>
      <c r="F70" s="205">
        <f>'Data Sheet'!E82</f>
        <v>6693.88</v>
      </c>
      <c r="G70" s="205">
        <f>'Data Sheet'!F82</f>
        <v>23073.82</v>
      </c>
      <c r="H70" s="205">
        <f>'Data Sheet'!G82</f>
        <v>19163.58</v>
      </c>
      <c r="I70" s="205">
        <f>'Data Sheet'!H82</f>
        <v>22776.96</v>
      </c>
      <c r="J70" s="205">
        <f>'Data Sheet'!I82</f>
        <v>18266.28</v>
      </c>
      <c r="K70" s="205">
        <f>'Data Sheet'!J82</f>
        <v>9151.35</v>
      </c>
      <c r="L70" s="205">
        <f>'Data Sheet'!K82</f>
        <v>16740.97</v>
      </c>
    </row>
    <row r="71" spans="8:8" ht="15.0" outlineLevel="1"/>
    <row r="72" spans="8:8" ht="15.0" outlineLevel="1">
      <c r="B72" t="s">
        <v>116</v>
      </c>
      <c r="C72" s="205">
        <f>'Data Sheet'!B83</f>
        <v>-9795.94</v>
      </c>
      <c r="D72" s="205">
        <f>'Data Sheet'!C83</f>
        <v>3914.5</v>
      </c>
      <c r="E72" s="205">
        <f>'Data Sheet'!D83</f>
        <v>-11022.8</v>
      </c>
      <c r="F72" s="205">
        <f>'Data Sheet'!E83</f>
        <v>-8407.71</v>
      </c>
      <c r="G72" s="205">
        <f>'Data Sheet'!F83</f>
        <v>-5750.49</v>
      </c>
      <c r="H72" s="205">
        <f>'Data Sheet'!G83</f>
        <v>-3585.38</v>
      </c>
      <c r="I72" s="205">
        <f>'Data Sheet'!H83</f>
        <v>-8048.02</v>
      </c>
      <c r="J72" s="205">
        <f>'Data Sheet'!I83</f>
        <v>2178.89</v>
      </c>
      <c r="K72" s="205">
        <f>'Data Sheet'!J83</f>
        <v>-15479.47</v>
      </c>
      <c r="L72" s="205">
        <f>'Data Sheet'!K83</f>
        <v>-11380.3</v>
      </c>
    </row>
    <row r="73" spans="8:8" ht="15.0" outlineLevel="1"/>
    <row r="74" spans="8:8" ht="15.0" outlineLevel="1">
      <c r="B74" t="s">
        <v>117</v>
      </c>
      <c r="C74" s="205">
        <f>'Data Sheet'!B84</f>
        <v>2895.93</v>
      </c>
      <c r="D74" s="205">
        <f>'Data Sheet'!C84</f>
        <v>9370.46</v>
      </c>
      <c r="E74" s="205">
        <f>'Data Sheet'!D84</f>
        <v>15440.17</v>
      </c>
      <c r="F74" s="205">
        <f>'Data Sheet'!E84</f>
        <v>6371.55</v>
      </c>
      <c r="G74" s="205">
        <f>'Data Sheet'!F84</f>
        <v>-15274.38</v>
      </c>
      <c r="H74" s="205">
        <f>'Data Sheet'!G84</f>
        <v>-15181.48</v>
      </c>
      <c r="I74" s="205">
        <f>'Data Sheet'!H84</f>
        <v>-11572.49</v>
      </c>
      <c r="J74" s="205">
        <f>'Data Sheet'!I84</f>
        <v>-25413.36</v>
      </c>
      <c r="K74" s="205">
        <f>'Data Sheet'!J84</f>
        <v>6556.62</v>
      </c>
      <c r="L74" s="205">
        <f>'Data Sheet'!K84</f>
        <v>-2156.43</v>
      </c>
    </row>
    <row r="75" spans="8:8" ht="15.0" outlineLevel="1"/>
    <row r="76" spans="8:8">
      <c r="B76" s="47" t="s">
        <v>118</v>
      </c>
      <c r="C76" s="220">
        <f t="shared" si="22" ref="C76:L76">_xlfn.IFERROR(C70+C72+C74,0)</f>
        <v>-244.75000000000045</v>
      </c>
      <c r="D76" s="220">
        <f t="shared" si="22"/>
        <v>3253.9399999999987</v>
      </c>
      <c r="E76" s="220">
        <f t="shared" si="22"/>
        <v>-338.4599999999991</v>
      </c>
      <c r="F76" s="220">
        <f t="shared" si="22"/>
        <v>4657.720000000001</v>
      </c>
      <c r="G76" s="220">
        <f t="shared" si="22"/>
        <v>2048.9500000000025</v>
      </c>
      <c r="H76" s="220">
        <f t="shared" si="22"/>
        <v>396.72000000000116</v>
      </c>
      <c r="I76" s="220">
        <f t="shared" si="22"/>
        <v>3156.449999999999</v>
      </c>
      <c r="J76" s="220">
        <f t="shared" si="22"/>
        <v>-4968.190000000002</v>
      </c>
      <c r="K76" s="220">
        <f t="shared" si="22"/>
        <v>228.5000000000009</v>
      </c>
      <c r="L76" s="220">
        <f t="shared" si="22"/>
        <v>3204.240000000002</v>
      </c>
    </row>
  </sheetData>
  <mergeCells count="1">
    <mergeCell ref="B2:M2"/>
  </mergeCells>
  <pageMargins left="0.7" right="0.7" top="0.75" bottom="0.75" header="0.3" footer="0.3"/>
  <pageSetup paperSize="9" scale="52"/>
  <ignoredErrors>
    <ignoredError sqref="C15:L15 M21 M6 M24 M30" formulaRange="1"/>
  </ignoredErrors>
</worksheet>
</file>

<file path=xl/worksheets/sheet14.xml><?xml version="1.0" encoding="utf-8"?>
<worksheet xmlns:r="http://schemas.openxmlformats.org/officeDocument/2006/relationships" xmlns="http://schemas.openxmlformats.org/spreadsheetml/2006/main">
  <dimension ref="B1:P112"/>
  <sheetViews>
    <sheetView workbookViewId="0" topLeftCell="A2" showGridLines="0" zoomScale="84">
      <pane ySplit="1" topLeftCell="A3" state="frozen" activePane="bottomLeft"/>
      <selection pane="bottomLeft" activeCell="L51" sqref="L51"/>
    </sheetView>
  </sheetViews>
  <sheetFormatPr defaultRowHeight="15.0" defaultColWidth="10" outlineLevelRow="1"/>
  <cols>
    <col min="1" max="1" customWidth="1" width="1.8554688" style="0"/>
    <col min="2" max="2" customWidth="1" bestFit="1" width="35.42578" style="0"/>
    <col min="3" max="14" customWidth="1" width="12.7109375" style="0"/>
  </cols>
  <sheetData>
    <row r="2" spans="8:8" ht="24.95" customHeight="1">
      <c r="B2" s="115" t="s">
        <v>180</v>
      </c>
      <c r="C2" s="117">
        <f>_xlfn.IFERROR('Data Sheet 2'!C2,0)</f>
        <v>42064.0</v>
      </c>
      <c r="D2" s="117">
        <f>_xlfn.IFERROR('Data Sheet 2'!D2,0)</f>
        <v>42430.0</v>
      </c>
      <c r="E2" s="117">
        <f>_xlfn.IFERROR('Data Sheet 2'!E2,0)</f>
        <v>42795.0</v>
      </c>
      <c r="F2" s="117">
        <f>_xlfn.IFERROR('Data Sheet 2'!F2,0)</f>
        <v>43160.0</v>
      </c>
      <c r="G2" s="117">
        <f>_xlfn.IFERROR('Data Sheet 2'!G2,0)</f>
        <v>43525.0</v>
      </c>
      <c r="H2" s="117">
        <f>_xlfn.IFERROR('Data Sheet 2'!H2,0)</f>
        <v>43891.0</v>
      </c>
      <c r="I2" s="117">
        <f>_xlfn.IFERROR('Data Sheet 2'!I2,0)</f>
        <v>44256.0</v>
      </c>
      <c r="J2" s="117">
        <f>_xlfn.IFERROR('Data Sheet 2'!J2,0)</f>
        <v>44621.0</v>
      </c>
      <c r="K2" s="117">
        <f>_xlfn.IFERROR('Data Sheet 2'!K2,0)</f>
        <v>44986.0</v>
      </c>
      <c r="L2" s="117">
        <f>_xlfn.IFERROR('Data Sheet 2'!L2,0)</f>
        <v>45352.0</v>
      </c>
      <c r="M2" s="117">
        <f>_xlfn.IFERROR('Data Sheet 2'!M2,0)</f>
        <v>45717.0</v>
      </c>
      <c r="N2" s="117">
        <f>_xlfn.IFERROR('Data Sheet 2'!N2,0)</f>
        <v>46082.0</v>
      </c>
    </row>
    <row r="3" spans="8:8">
      <c r="B3" s="11"/>
      <c r="C3" s="202"/>
      <c r="D3" s="202"/>
      <c r="E3" s="202"/>
      <c r="F3" s="202"/>
      <c r="G3" s="202"/>
      <c r="H3" s="202"/>
      <c r="I3" s="202"/>
      <c r="J3" s="202"/>
      <c r="K3" s="202"/>
      <c r="L3" s="202"/>
      <c r="M3" s="202"/>
      <c r="N3" s="202"/>
    </row>
    <row r="4" spans="8:8" ht="15.0" outlineLevel="1">
      <c r="B4" s="47" t="str">
        <f>_xlfn.IFERROR('Data Sheet 2'!B3,0)</f>
        <v>Equity Capital</v>
      </c>
      <c r="C4" s="119">
        <f>_xlfn.IFERROR('Data Sheet 2'!C3,0)</f>
        <v>186.0</v>
      </c>
      <c r="D4" s="119">
        <f>_xlfn.IFERROR('Data Sheet 2'!D3,0)</f>
        <v>186.0</v>
      </c>
      <c r="E4" s="119">
        <f>_xlfn.IFERROR('Data Sheet 2'!E3,0)</f>
        <v>187.0</v>
      </c>
      <c r="F4" s="119">
        <f>_xlfn.IFERROR('Data Sheet 2'!F3,0)</f>
        <v>280.0</v>
      </c>
      <c r="G4" s="119">
        <f>_xlfn.IFERROR('Data Sheet 2'!G3,0)</f>
        <v>281.0</v>
      </c>
      <c r="H4" s="119">
        <f>_xlfn.IFERROR('Data Sheet 2'!H3,0)</f>
        <v>281.0</v>
      </c>
      <c r="I4" s="119">
        <f>_xlfn.IFERROR('Data Sheet 2'!I3,0)</f>
        <v>281.0</v>
      </c>
      <c r="J4" s="119">
        <f>_xlfn.IFERROR('Data Sheet 2'!J3,0)</f>
        <v>281.0</v>
      </c>
      <c r="K4" s="119">
        <f>_xlfn.IFERROR('Data Sheet 2'!K3,0)</f>
        <v>281.0</v>
      </c>
      <c r="L4" s="119">
        <f>_xlfn.IFERROR('Data Sheet 2'!L3,0)</f>
        <v>275.0</v>
      </c>
      <c r="M4" s="119">
        <f>_xlfn.IFERROR('Data Sheet 2'!M3,0)</f>
        <v>275.0</v>
      </c>
      <c r="N4" s="119">
        <f>_xlfn.IFERROR('Data Sheet 2'!N3,0)</f>
        <v>275.0</v>
      </c>
    </row>
    <row r="5" spans="8:8" ht="15.0" outlineLevel="1">
      <c r="B5" s="47" t="str">
        <f>_xlfn.IFERROR('Data Sheet 2'!B4,0)</f>
        <v>Reserves</v>
      </c>
      <c r="C5" s="119">
        <f>_xlfn.IFERROR('Data Sheet 2'!C4,0)</f>
        <v>40723.0</v>
      </c>
      <c r="D5" s="119">
        <f>_xlfn.IFERROR('Data Sheet 2'!D4,0)</f>
        <v>43994.0</v>
      </c>
      <c r="E5" s="119">
        <f>_xlfn.IFERROR('Data Sheet 2'!E4,0)</f>
        <v>50030.0</v>
      </c>
      <c r="F5" s="119">
        <f>_xlfn.IFERROR('Data Sheet 2'!F4,0)</f>
        <v>54623.0</v>
      </c>
      <c r="G5" s="119">
        <f>_xlfn.IFERROR('Data Sheet 2'!G4,0)</f>
        <v>62094.0</v>
      </c>
      <c r="H5" s="119">
        <f>_xlfn.IFERROR('Data Sheet 2'!H4,0)</f>
        <v>66442.0</v>
      </c>
      <c r="I5" s="119">
        <f>_xlfn.IFERROR('Data Sheet 2'!I4,0)</f>
        <v>75588.0</v>
      </c>
      <c r="J5" s="119">
        <f>_xlfn.IFERROR('Data Sheet 2'!J4,0)</f>
        <v>82127.0</v>
      </c>
      <c r="K5" s="119">
        <f>_xlfn.IFERROR('Data Sheet 2'!K4,0)</f>
        <v>89045.0</v>
      </c>
      <c r="L5" s="119">
        <f>_xlfn.IFERROR('Data Sheet 2'!L4,0)</f>
        <v>86084.0</v>
      </c>
      <c r="M5" s="119">
        <f>_xlfn.IFERROR('Data Sheet 2'!M4,0)</f>
        <v>97381.0</v>
      </c>
      <c r="N5" s="119">
        <f>_xlfn.IFERROR('Data Sheet 2'!N4,0)</f>
        <v>109015.0</v>
      </c>
      <c r="O5" s="120"/>
    </row>
    <row r="6" spans="8:8" ht="15.0" outlineLevel="1">
      <c r="B6" s="47" t="str">
        <f>_xlfn.IFERROR('Data Sheet 2'!B5,0)</f>
        <v>Borrowings -</v>
      </c>
      <c r="C6" s="119"/>
      <c r="D6" s="119"/>
      <c r="E6" s="119"/>
      <c r="F6" s="119"/>
      <c r="G6" s="119"/>
      <c r="H6" s="119"/>
      <c r="I6" s="119"/>
      <c r="J6" s="119"/>
      <c r="K6" s="119"/>
      <c r="L6" s="119"/>
      <c r="M6" s="119"/>
      <c r="N6" s="119"/>
    </row>
    <row r="7" spans="8:8" ht="15.0" outlineLevel="1">
      <c r="B7" t="str">
        <f>_xlfn.IFERROR('Data Sheet 2'!B6,0)</f>
        <v>Long term Borrowings</v>
      </c>
      <c r="C7" s="119">
        <f>_xlfn.IFERROR('Data Sheet 2'!C6,0)</f>
        <v>68469.0</v>
      </c>
      <c r="D7" s="119">
        <f>_xlfn.IFERROR('Data Sheet 2'!D6,0)</f>
        <v>61224.0</v>
      </c>
      <c r="E7" s="119">
        <f>_xlfn.IFERROR('Data Sheet 2'!E6,0)</f>
        <v>67341.0</v>
      </c>
      <c r="F7" s="119">
        <f>_xlfn.IFERROR('Data Sheet 2'!F6,0)</f>
        <v>72915.0</v>
      </c>
      <c r="G7" s="119">
        <f>_xlfn.IFERROR('Data Sheet 2'!G6,0)</f>
        <v>74121.0</v>
      </c>
      <c r="H7" s="119">
        <f>_xlfn.IFERROR('Data Sheet 2'!H6,0)</f>
        <v>82331.0</v>
      </c>
      <c r="I7" s="119">
        <f>_xlfn.IFERROR('Data Sheet 2'!I6,0)</f>
        <v>82120.0</v>
      </c>
      <c r="J7" s="119">
        <f>_xlfn.IFERROR('Data Sheet 2'!J6,0)</f>
        <v>61618.0</v>
      </c>
      <c r="K7" s="119">
        <f>_xlfn.IFERROR('Data Sheet 2'!K6,0)</f>
        <v>61218.0</v>
      </c>
      <c r="L7" s="119">
        <f>_xlfn.IFERROR('Data Sheet 2'!L6,0)</f>
        <v>56507.0</v>
      </c>
      <c r="M7" s="119">
        <f>_xlfn.IFERROR('Data Sheet 2'!M6,0)</f>
        <v>57503.0</v>
      </c>
      <c r="N7" s="119">
        <f>_xlfn.IFERROR('Data Sheet 2'!N6,0)</f>
        <v>63739.0</v>
      </c>
    </row>
    <row r="8" spans="8:8" ht="15.0" outlineLevel="1">
      <c r="B8" t="str">
        <f>_xlfn.IFERROR('Data Sheet 2'!B7,0)</f>
        <v>Short term Borrowings</v>
      </c>
      <c r="C8" s="119">
        <f>_xlfn.IFERROR('Data Sheet 2'!C7,0)</f>
        <v>16729.0</v>
      </c>
      <c r="D8" s="119">
        <f>_xlfn.IFERROR('Data Sheet 2'!D7,0)</f>
        <v>14897.0</v>
      </c>
      <c r="E8" s="119">
        <f>_xlfn.IFERROR('Data Sheet 2'!E7,0)</f>
        <v>16534.0</v>
      </c>
      <c r="F8" s="119">
        <f>_xlfn.IFERROR('Data Sheet 2'!F7,0)</f>
        <v>19332.0</v>
      </c>
      <c r="G8" s="119">
        <f>_xlfn.IFERROR('Data Sheet 2'!G7,0)</f>
        <v>29224.0</v>
      </c>
      <c r="H8" s="119">
        <f>_xlfn.IFERROR('Data Sheet 2'!H7,0)</f>
        <v>35021.0</v>
      </c>
      <c r="I8" s="119">
        <f>_xlfn.IFERROR('Data Sheet 2'!I7,0)</f>
        <v>27766.0</v>
      </c>
      <c r="J8" s="119">
        <f>_xlfn.IFERROR('Data Sheet 2'!J7,0)</f>
        <v>30477.0</v>
      </c>
      <c r="K8" s="119">
        <f>_xlfn.IFERROR('Data Sheet 2'!K7,0)</f>
        <v>30896.0</v>
      </c>
      <c r="L8" s="119">
        <f>_xlfn.IFERROR('Data Sheet 2'!L7,0)</f>
        <v>27834.0</v>
      </c>
      <c r="M8" s="119">
        <f>_xlfn.IFERROR('Data Sheet 2'!M7,0)</f>
        <v>35861.0</v>
      </c>
      <c r="N8" s="119">
        <f>_xlfn.IFERROR('Data Sheet 2'!N7,0)</f>
        <v>34779.0</v>
      </c>
    </row>
    <row r="9" spans="8:8" ht="15.0" outlineLevel="1">
      <c r="B9" t="str">
        <f>_xlfn.IFERROR('Data Sheet 2'!B8,0)</f>
        <v>Lease Liabilities</v>
      </c>
      <c r="C9" s="119">
        <f>_xlfn.IFERROR('Data Sheet 2'!C8,0)</f>
        <v>0.0</v>
      </c>
      <c r="D9" s="119">
        <f>_xlfn.IFERROR('Data Sheet 2'!D8,0)</f>
        <v>0.0</v>
      </c>
      <c r="E9" s="119">
        <f>_xlfn.IFERROR('Data Sheet 2'!E8,0)</f>
        <v>0.0</v>
      </c>
      <c r="F9" s="119">
        <f>_xlfn.IFERROR('Data Sheet 2'!F8,0)</f>
        <v>0.0</v>
      </c>
      <c r="G9" s="119">
        <f>_xlfn.IFERROR('Data Sheet 2'!G8,0)</f>
        <v>0.0</v>
      </c>
      <c r="H9" s="119">
        <f>_xlfn.IFERROR('Data Sheet 2'!H8,0)</f>
        <v>2167.0</v>
      </c>
      <c r="I9" s="119">
        <f>_xlfn.IFERROR('Data Sheet 2'!I8,0)</f>
        <v>2024.0</v>
      </c>
      <c r="J9" s="119">
        <f>_xlfn.IFERROR('Data Sheet 2'!J8,0)</f>
        <v>2040.0</v>
      </c>
      <c r="K9" s="119">
        <f>_xlfn.IFERROR('Data Sheet 2'!K8,0)</f>
        <v>2137.0</v>
      </c>
      <c r="L9" s="119">
        <f>_xlfn.IFERROR('Data Sheet 2'!L8,0)</f>
        <v>2282.0</v>
      </c>
      <c r="M9" s="119">
        <f>_xlfn.IFERROR('Data Sheet 2'!M8,0)</f>
        <v>2850.0</v>
      </c>
      <c r="N9" s="119">
        <f>_xlfn.IFERROR('Data Sheet 2'!N8,0)</f>
        <v>3814.0</v>
      </c>
    </row>
    <row r="10" spans="8:8" ht="15.0" outlineLevel="1">
      <c r="B10" t="str">
        <f>_xlfn.IFERROR('Data Sheet 2'!B9,0)</f>
        <v>Preference Capital</v>
      </c>
      <c r="C10" s="119">
        <f>_xlfn.IFERROR('Data Sheet 2'!C9,0)</f>
        <v>0.0</v>
      </c>
      <c r="D10" s="119">
        <f>_xlfn.IFERROR('Data Sheet 2'!D9,0)</f>
        <v>1313.0</v>
      </c>
      <c r="E10" s="119">
        <f>_xlfn.IFERROR('Data Sheet 2'!E9,0)</f>
        <v>1147.0</v>
      </c>
      <c r="F10" s="119">
        <f>_xlfn.IFERROR('Data Sheet 2'!F9,0)</f>
        <v>905.0</v>
      </c>
      <c r="G10" s="119">
        <f>_xlfn.IFERROR('Data Sheet 2'!G9,0)</f>
        <v>976.0</v>
      </c>
      <c r="H10" s="119">
        <f>_xlfn.IFERROR('Data Sheet 2'!H9,0)</f>
        <v>1404.0</v>
      </c>
      <c r="I10" s="119">
        <f>_xlfn.IFERROR('Data Sheet 2'!I9,0)</f>
        <v>1124.0</v>
      </c>
      <c r="J10" s="119">
        <f>_xlfn.IFERROR('Data Sheet 2'!J9,0)</f>
        <v>216.0</v>
      </c>
      <c r="K10" s="119">
        <f>_xlfn.IFERROR('Data Sheet 2'!K9,0)</f>
        <v>0.0</v>
      </c>
      <c r="L10" s="119">
        <f>_xlfn.IFERROR('Data Sheet 2'!L9,0)</f>
        <v>0.0</v>
      </c>
      <c r="M10" s="119">
        <f>_xlfn.IFERROR('Data Sheet 2'!M9,0)</f>
        <v>0.0</v>
      </c>
      <c r="N10" s="119">
        <f>_xlfn.IFERROR('Data Sheet 2'!N9,0)</f>
        <v>0.0</v>
      </c>
    </row>
    <row r="11" spans="8:8" ht="15.0" outlineLevel="1">
      <c r="B11" t="str">
        <f>_xlfn.IFERROR('Data Sheet 2'!B10,0)</f>
        <v>Other Borrowings</v>
      </c>
      <c r="C11" s="119">
        <f>_xlfn.IFERROR('Data Sheet 2'!C10,0)</f>
        <v>8431.0</v>
      </c>
      <c r="D11" s="119">
        <f>_xlfn.IFERROR('Data Sheet 2'!D10,0)</f>
        <v>10702.0</v>
      </c>
      <c r="E11" s="119">
        <f>_xlfn.IFERROR('Data Sheet 2'!E10,0)</f>
        <v>8932.0</v>
      </c>
      <c r="F11" s="119">
        <f>_xlfn.IFERROR('Data Sheet 2'!F10,0)</f>
        <v>14372.0</v>
      </c>
      <c r="G11" s="119">
        <f>_xlfn.IFERROR('Data Sheet 2'!G10,0)</f>
        <v>21234.0</v>
      </c>
      <c r="H11" s="119">
        <f>_xlfn.IFERROR('Data Sheet 2'!H10,0)</f>
        <v>22251.0</v>
      </c>
      <c r="I11" s="119">
        <f>_xlfn.IFERROR('Data Sheet 2'!I10,0)</f>
        <v>21596.0</v>
      </c>
      <c r="J11" s="119">
        <f>_xlfn.IFERROR('Data Sheet 2'!J10,0)</f>
        <v>31157.0</v>
      </c>
      <c r="K11" s="119">
        <f>_xlfn.IFERROR('Data Sheet 2'!K10,0)</f>
        <v>26399.0</v>
      </c>
      <c r="L11" s="119">
        <f>_xlfn.IFERROR('Data Sheet 2'!L10,0)</f>
        <v>29699.0</v>
      </c>
      <c r="M11" s="119">
        <f>_xlfn.IFERROR('Data Sheet 2'!M10,0)</f>
        <v>36195.0</v>
      </c>
      <c r="N11" s="119">
        <f>_xlfn.IFERROR('Data Sheet 2'!N10,0)</f>
        <v>23166.0</v>
      </c>
    </row>
    <row r="12" spans="8:8" ht="15.0" outlineLevel="1">
      <c r="B12" s="47" t="str">
        <f>_xlfn.IFERROR('Data Sheet 2'!B11,0)</f>
        <v>Other Liabilities -</v>
      </c>
      <c r="C12" s="119"/>
      <c r="D12" s="119"/>
      <c r="E12" s="119"/>
      <c r="F12" s="119"/>
      <c r="G12" s="119"/>
      <c r="H12" s="119"/>
      <c r="I12" s="119"/>
      <c r="J12" s="119"/>
      <c r="K12" s="119"/>
      <c r="L12" s="119"/>
      <c r="M12" s="119"/>
      <c r="N12" s="119"/>
    </row>
    <row r="13" spans="8:8" ht="15.0" outlineLevel="1">
      <c r="B13" t="str">
        <f>_xlfn.IFERROR('Data Sheet 2'!B12,0)</f>
        <v>Non controlling int</v>
      </c>
      <c r="C13" s="119">
        <f>_xlfn.IFERROR('Data Sheet 2'!C12,0)</f>
        <v>4999.0</v>
      </c>
      <c r="D13" s="119">
        <f>_xlfn.IFERROR('Data Sheet 2'!D12,0)</f>
        <v>2893.0</v>
      </c>
      <c r="E13" s="119">
        <f>_xlfn.IFERROR('Data Sheet 2'!E12,0)</f>
        <v>3564.0</v>
      </c>
      <c r="F13" s="119">
        <f>_xlfn.IFERROR('Data Sheet 2'!F12,0)</f>
        <v>5201.0</v>
      </c>
      <c r="G13" s="119">
        <f>_xlfn.IFERROR('Data Sheet 2'!G12,0)</f>
        <v>6826.0</v>
      </c>
      <c r="H13" s="119">
        <f>_xlfn.IFERROR('Data Sheet 2'!H12,0)</f>
        <v>9521.0</v>
      </c>
      <c r="I13" s="119">
        <f>_xlfn.IFERROR('Data Sheet 2'!I12,0)</f>
        <v>12052.0</v>
      </c>
      <c r="J13" s="119">
        <f>_xlfn.IFERROR('Data Sheet 2'!J12,0)</f>
        <v>12966.0</v>
      </c>
      <c r="K13" s="119">
        <f>_xlfn.IFERROR('Data Sheet 2'!K12,0)</f>
        <v>14241.0</v>
      </c>
      <c r="L13" s="119">
        <f>_xlfn.IFERROR('Data Sheet 2'!L12,0)</f>
        <v>16190.0</v>
      </c>
      <c r="M13" s="119">
        <f>_xlfn.IFERROR('Data Sheet 2'!M12,0)</f>
        <v>17748.0</v>
      </c>
      <c r="N13" s="119">
        <f>_xlfn.IFERROR('Data Sheet 2'!N12,0)</f>
        <v>19241.0</v>
      </c>
    </row>
    <row r="14" spans="8:8" ht="15.0" outlineLevel="1">
      <c r="B14" t="str">
        <f>_xlfn.IFERROR('Data Sheet 2'!B13,0)</f>
        <v>Trade Payables</v>
      </c>
      <c r="C14" s="119">
        <f>_xlfn.IFERROR('Data Sheet 2'!C13,0)</f>
        <v>24650.0</v>
      </c>
      <c r="D14" s="119">
        <f>_xlfn.IFERROR('Data Sheet 2'!D13,0)</f>
        <v>27004.0</v>
      </c>
      <c r="E14" s="119">
        <f>_xlfn.IFERROR('Data Sheet 2'!E13,0)</f>
        <v>30295.0</v>
      </c>
      <c r="F14" s="119">
        <f>_xlfn.IFERROR('Data Sheet 2'!F13,0)</f>
        <v>37797.0</v>
      </c>
      <c r="G14" s="119">
        <f>_xlfn.IFERROR('Data Sheet 2'!G13,0)</f>
        <v>42995.0</v>
      </c>
      <c r="H14" s="119">
        <f>_xlfn.IFERROR('Data Sheet 2'!H13,0)</f>
        <v>43644.0</v>
      </c>
      <c r="I14" s="119">
        <f>_xlfn.IFERROR('Data Sheet 2'!I13,0)</f>
        <v>45745.0</v>
      </c>
      <c r="J14" s="119">
        <f>_xlfn.IFERROR('Data Sheet 2'!J13,0)</f>
        <v>51366.0</v>
      </c>
      <c r="K14" s="119">
        <f>_xlfn.IFERROR('Data Sheet 2'!K13,0)</f>
        <v>49784.0</v>
      </c>
      <c r="L14" s="119">
        <f>_xlfn.IFERROR('Data Sheet 2'!L13,0)</f>
        <v>53293.0</v>
      </c>
      <c r="M14" s="119">
        <f>_xlfn.IFERROR('Data Sheet 2'!M13,0)</f>
        <v>52459.0</v>
      </c>
      <c r="N14" s="119">
        <f>_xlfn.IFERROR('Data Sheet 2'!N13,0)</f>
        <v>69456.0</v>
      </c>
    </row>
    <row r="15" spans="8:8" ht="15.0" outlineLevel="1">
      <c r="B15" t="str">
        <f>_xlfn.IFERROR('Data Sheet 2'!B14,0)</f>
        <v>Advance from Customers</v>
      </c>
      <c r="C15" s="119">
        <f>_xlfn.IFERROR('Data Sheet 2'!C14,0)</f>
        <v>18502.0</v>
      </c>
      <c r="D15" s="119">
        <f>_xlfn.IFERROR('Data Sheet 2'!D14,0)</f>
        <v>21376.0</v>
      </c>
      <c r="E15" s="119">
        <f>_xlfn.IFERROR('Data Sheet 2'!E14,0)</f>
        <v>13956.0</v>
      </c>
      <c r="F15" s="119">
        <f>_xlfn.IFERROR('Data Sheet 2'!F14,0)</f>
        <v>14860.0</v>
      </c>
      <c r="G15" s="119">
        <f>_xlfn.IFERROR('Data Sheet 2'!G14,0)</f>
        <v>17271.0</v>
      </c>
      <c r="H15" s="119">
        <f>_xlfn.IFERROR('Data Sheet 2'!H14,0)</f>
        <v>16353.0</v>
      </c>
      <c r="I15" s="119">
        <f>_xlfn.IFERROR('Data Sheet 2'!I14,0)</f>
        <v>15876.0</v>
      </c>
      <c r="J15" s="119">
        <f>_xlfn.IFERROR('Data Sheet 2'!J14,0)</f>
        <v>17963.0</v>
      </c>
      <c r="K15" s="119">
        <f>_xlfn.IFERROR('Data Sheet 2'!K14,0)</f>
        <v>20425.0</v>
      </c>
      <c r="L15" s="119">
        <f>_xlfn.IFERROR('Data Sheet 2'!L14,0)</f>
        <v>26875.0</v>
      </c>
      <c r="M15" s="119">
        <f>_xlfn.IFERROR('Data Sheet 2'!M14,0)</f>
        <v>29087.0</v>
      </c>
      <c r="N15" s="119">
        <f>_xlfn.IFERROR('Data Sheet 2'!N14,0)</f>
        <v>39586.0</v>
      </c>
    </row>
    <row r="16" spans="8:8" ht="15.0" outlineLevel="1">
      <c r="B16" t="str">
        <f>_xlfn.IFERROR('Data Sheet 2'!B15,0)</f>
        <v>Other liability items</v>
      </c>
      <c r="C16" s="221">
        <f>_xlfn.IFERROR('Data Sheet 2'!C15,0)</f>
        <v>10816.0</v>
      </c>
      <c r="D16" s="221">
        <f>_xlfn.IFERROR('Data Sheet 2'!D15,0)</f>
        <v>10500.0</v>
      </c>
      <c r="E16" s="221">
        <f>_xlfn.IFERROR('Data Sheet 2'!E15,0)</f>
        <v>19585.0</v>
      </c>
      <c r="F16" s="221">
        <f>_xlfn.IFERROR('Data Sheet 2'!F15,0)</f>
        <v>22954.0</v>
      </c>
      <c r="G16" s="221">
        <f>_xlfn.IFERROR('Data Sheet 2'!G15,0)</f>
        <v>23014.0</v>
      </c>
      <c r="H16" s="221">
        <f>_xlfn.IFERROR('Data Sheet 2'!H15,0)</f>
        <v>27272.0</v>
      </c>
      <c r="I16" s="221">
        <f>_xlfn.IFERROR('Data Sheet 2'!I15,0)</f>
        <v>25924.0</v>
      </c>
      <c r="J16" s="221">
        <f>_xlfn.IFERROR('Data Sheet 2'!J15,0)</f>
        <v>28817.0</v>
      </c>
      <c r="K16" s="221">
        <f>_xlfn.IFERROR('Data Sheet 2'!K15,0)</f>
        <v>35297.0</v>
      </c>
      <c r="L16" s="221">
        <f>_xlfn.IFERROR('Data Sheet 2'!L15,0)</f>
        <v>40562.0</v>
      </c>
      <c r="M16" s="221">
        <f>_xlfn.IFERROR('Data Sheet 2'!M15,0)</f>
        <v>49755.0</v>
      </c>
      <c r="N16" s="221">
        <f>_xlfn.IFERROR('Data Sheet 2'!N15,0)</f>
        <v>89312.0</v>
      </c>
    </row>
    <row r="17" spans="8:8" ht="15.0" outlineLevel="1">
      <c r="B17" s="222" t="str">
        <f>_xlfn.IFERROR('Data Sheet 2'!B16,0)</f>
        <v>Total Liabilities</v>
      </c>
      <c r="C17" s="223">
        <f>SUM(C4:C16)</f>
        <v>193505.0</v>
      </c>
      <c r="D17" s="223">
        <f t="shared" si="0" ref="D17:N17">SUM(D4:D16)</f>
        <v>194089.0</v>
      </c>
      <c r="E17" s="223">
        <f t="shared" si="0"/>
        <v>211571.0</v>
      </c>
      <c r="F17" s="223">
        <f t="shared" si="0"/>
        <v>243239.0</v>
      </c>
      <c r="G17" s="223">
        <f t="shared" si="0"/>
        <v>278036.0</v>
      </c>
      <c r="H17" s="223">
        <f t="shared" si="0"/>
        <v>306687.0</v>
      </c>
      <c r="I17" s="223">
        <f t="shared" si="0"/>
        <v>310096.0</v>
      </c>
      <c r="J17" s="223">
        <f t="shared" si="0"/>
        <v>319028.0</v>
      </c>
      <c r="K17" s="223">
        <f t="shared" si="0"/>
        <v>329723.0</v>
      </c>
      <c r="L17" s="223">
        <f t="shared" si="0"/>
        <v>339601.0</v>
      </c>
      <c r="M17" s="223">
        <f t="shared" si="0"/>
        <v>379114.0</v>
      </c>
      <c r="N17" s="223">
        <f t="shared" si="0"/>
        <v>452383.0</v>
      </c>
    </row>
    <row r="18" spans="8:8">
      <c r="C18" s="131"/>
      <c r="D18" s="131"/>
      <c r="E18" s="131"/>
      <c r="F18" s="131"/>
      <c r="G18" s="131"/>
      <c r="H18" s="131"/>
      <c r="I18" s="131"/>
      <c r="J18" s="131"/>
      <c r="K18" s="131"/>
      <c r="L18" s="131"/>
      <c r="M18" s="131"/>
      <c r="N18" s="131"/>
    </row>
    <row r="19" spans="8:8" ht="15.0" outlineLevel="1">
      <c r="B19" s="47" t="str">
        <f>_xlfn.IFERROR('Data Sheet 2'!B17,0)</f>
        <v>Fixed Assets -</v>
      </c>
      <c r="C19" s="131"/>
      <c r="D19" s="131"/>
      <c r="E19" s="131"/>
      <c r="F19" s="131"/>
      <c r="G19" s="131"/>
      <c r="H19" s="131"/>
      <c r="I19" s="131"/>
      <c r="J19" s="131"/>
      <c r="K19" s="131"/>
      <c r="L19" s="131"/>
      <c r="M19" s="131"/>
      <c r="N19" s="131"/>
    </row>
    <row r="20" spans="8:8" ht="15.0" outlineLevel="1">
      <c r="B20" t="str">
        <f>_xlfn.IFERROR('Data Sheet 2'!B18,0)</f>
        <v>Land</v>
      </c>
      <c r="C20" s="119">
        <f>_xlfn.IFERROR('Data Sheet 2'!C18,0)</f>
        <v>1822.0</v>
      </c>
      <c r="D20" s="119">
        <f>_xlfn.IFERROR('Data Sheet 2'!D18,0)</f>
        <v>1071.0</v>
      </c>
      <c r="E20" s="119">
        <f>_xlfn.IFERROR('Data Sheet 2'!E18,0)</f>
        <v>1038.0</v>
      </c>
      <c r="F20" s="119">
        <f>_xlfn.IFERROR('Data Sheet 2'!F18,0)</f>
        <v>1025.0</v>
      </c>
      <c r="G20" s="119">
        <f>_xlfn.IFERROR('Data Sheet 2'!G18,0)</f>
        <v>1362.0</v>
      </c>
      <c r="H20" s="119">
        <f>_xlfn.IFERROR('Data Sheet 2'!H18,0)</f>
        <v>1571.0</v>
      </c>
      <c r="I20" s="119">
        <f>_xlfn.IFERROR('Data Sheet 2'!I18,0)</f>
        <v>1548.0</v>
      </c>
      <c r="J20" s="119">
        <f>_xlfn.IFERROR('Data Sheet 2'!J18,0)</f>
        <v>1347.0</v>
      </c>
      <c r="K20" s="119">
        <f>_xlfn.IFERROR('Data Sheet 2'!K18,0)</f>
        <v>1436.0</v>
      </c>
      <c r="L20" s="119">
        <f>_xlfn.IFERROR('Data Sheet 2'!L18,0)</f>
        <v>1000.0</v>
      </c>
      <c r="M20" s="119">
        <f>_xlfn.IFERROR('Data Sheet 2'!M18,0)</f>
        <v>1703.0</v>
      </c>
      <c r="N20" s="119">
        <f>_xlfn.IFERROR('Data Sheet 2'!N18,0)</f>
        <v>1803.0</v>
      </c>
    </row>
    <row r="21" spans="8:8" ht="15.0" outlineLevel="1">
      <c r="B21" t="str">
        <f>_xlfn.IFERROR('Data Sheet 2'!B19,0)</f>
        <v>Building</v>
      </c>
      <c r="C21" s="119">
        <f>_xlfn.IFERROR('Data Sheet 2'!C19,0)</f>
        <v>5942.0</v>
      </c>
      <c r="D21" s="119">
        <f>_xlfn.IFERROR('Data Sheet 2'!D19,0)</f>
        <v>3705.0</v>
      </c>
      <c r="E21" s="119">
        <f>_xlfn.IFERROR('Data Sheet 2'!E19,0)</f>
        <v>3832.0</v>
      </c>
      <c r="F21" s="119">
        <f>_xlfn.IFERROR('Data Sheet 2'!F19,0)</f>
        <v>11166.0</v>
      </c>
      <c r="G21" s="119">
        <f>_xlfn.IFERROR('Data Sheet 2'!G19,0)</f>
        <v>12014.0</v>
      </c>
      <c r="H21" s="119">
        <f>_xlfn.IFERROR('Data Sheet 2'!H19,0)</f>
        <v>6261.0</v>
      </c>
      <c r="I21" s="119">
        <f>_xlfn.IFERROR('Data Sheet 2'!I19,0)</f>
        <v>6678.0</v>
      </c>
      <c r="J21" s="119">
        <f>_xlfn.IFERROR('Data Sheet 2'!J19,0)</f>
        <v>6745.0</v>
      </c>
      <c r="K21" s="119">
        <f>_xlfn.IFERROR('Data Sheet 2'!K19,0)</f>
        <v>6998.0</v>
      </c>
      <c r="L21" s="119">
        <f>_xlfn.IFERROR('Data Sheet 2'!L19,0)</f>
        <v>6680.0</v>
      </c>
      <c r="M21" s="119">
        <f>_xlfn.IFERROR('Data Sheet 2'!M19,0)</f>
        <v>9951.0</v>
      </c>
      <c r="N21" s="119">
        <f>_xlfn.IFERROR('Data Sheet 2'!N19,0)</f>
        <v>11326.0</v>
      </c>
    </row>
    <row r="22" spans="8:8" ht="15.0" outlineLevel="1">
      <c r="B22" t="str">
        <f>_xlfn.IFERROR('Data Sheet 2'!B20,0)</f>
        <v>Plant Machinery</v>
      </c>
      <c r="C22" s="119">
        <f>_xlfn.IFERROR('Data Sheet 2'!C20,0)</f>
        <v>15771.0</v>
      </c>
      <c r="D22" s="119">
        <f>_xlfn.IFERROR('Data Sheet 2'!D20,0)</f>
        <v>6376.0</v>
      </c>
      <c r="E22" s="119">
        <f>_xlfn.IFERROR('Data Sheet 2'!E20,0)</f>
        <v>6796.0</v>
      </c>
      <c r="F22" s="119">
        <f>_xlfn.IFERROR('Data Sheet 2'!F20,0)</f>
        <v>637.0</v>
      </c>
      <c r="G22" s="119">
        <f>_xlfn.IFERROR('Data Sheet 2'!G20,0)</f>
        <v>0.0</v>
      </c>
      <c r="H22" s="119">
        <f>_xlfn.IFERROR('Data Sheet 2'!H20,0)</f>
        <v>7899.0</v>
      </c>
      <c r="I22" s="119">
        <f>_xlfn.IFERROR('Data Sheet 2'!I20,0)</f>
        <v>10077.0</v>
      </c>
      <c r="J22" s="119">
        <f>_xlfn.IFERROR('Data Sheet 2'!J20,0)</f>
        <v>9298.0</v>
      </c>
      <c r="K22" s="119">
        <f>_xlfn.IFERROR('Data Sheet 2'!K20,0)</f>
        <v>10859.0</v>
      </c>
      <c r="L22" s="119">
        <f>_xlfn.IFERROR('Data Sheet 2'!L20,0)</f>
        <v>12570.0</v>
      </c>
      <c r="M22" s="119">
        <f>_xlfn.IFERROR('Data Sheet 2'!M20,0)</f>
        <v>14870.0</v>
      </c>
      <c r="N22" s="119">
        <f>_xlfn.IFERROR('Data Sheet 2'!N20,0)</f>
        <v>15800.0</v>
      </c>
    </row>
    <row r="23" spans="8:8" ht="15.0" outlineLevel="1">
      <c r="B23" t="str">
        <f>_xlfn.IFERROR('Data Sheet 2'!B21,0)</f>
        <v>Ships Vessels</v>
      </c>
      <c r="C23" s="119">
        <f>_xlfn.IFERROR('Data Sheet 2'!C21,0)</f>
        <v>787.0</v>
      </c>
      <c r="D23" s="119">
        <f>_xlfn.IFERROR('Data Sheet 2'!D21,0)</f>
        <v>38.0</v>
      </c>
      <c r="E23" s="119">
        <f>_xlfn.IFERROR('Data Sheet 2'!E21,0)</f>
        <v>37.0</v>
      </c>
      <c r="F23" s="119">
        <f>_xlfn.IFERROR('Data Sheet 2'!F21,0)</f>
        <v>37.0</v>
      </c>
      <c r="G23" s="119">
        <f>_xlfn.IFERROR('Data Sheet 2'!G21,0)</f>
        <v>130.0</v>
      </c>
      <c r="H23" s="119">
        <f>_xlfn.IFERROR('Data Sheet 2'!H21,0)</f>
        <v>882.0</v>
      </c>
      <c r="I23" s="119">
        <f>_xlfn.IFERROR('Data Sheet 2'!I21,0)</f>
        <v>947.0</v>
      </c>
      <c r="J23" s="119">
        <f>_xlfn.IFERROR('Data Sheet 2'!J21,0)</f>
        <v>947.0</v>
      </c>
      <c r="K23" s="119">
        <f>_xlfn.IFERROR('Data Sheet 2'!K21,0)</f>
        <v>969.0</v>
      </c>
      <c r="L23" s="119">
        <f>_xlfn.IFERROR('Data Sheet 2'!L21,0)</f>
        <v>1007.0</v>
      </c>
      <c r="M23" s="119">
        <f>_xlfn.IFERROR('Data Sheet 2'!M21,0)</f>
        <v>1025.0</v>
      </c>
      <c r="N23" s="119">
        <f>_xlfn.IFERROR('Data Sheet 2'!N21,0)</f>
        <v>1696.0</v>
      </c>
    </row>
    <row r="24" spans="8:8" ht="15.0" outlineLevel="1">
      <c r="B24" t="str">
        <f>_xlfn.IFERROR('Data Sheet 2'!B22,0)</f>
        <v>Equipments</v>
      </c>
      <c r="C24" s="119">
        <f>_xlfn.IFERROR('Data Sheet 2'!C22,0)</f>
        <v>512.0</v>
      </c>
      <c r="D24" s="119">
        <f>_xlfn.IFERROR('Data Sheet 2'!D22,0)</f>
        <v>222.0</v>
      </c>
      <c r="E24" s="119">
        <f>_xlfn.IFERROR('Data Sheet 2'!E22,0)</f>
        <v>264.0</v>
      </c>
      <c r="F24" s="119">
        <f>_xlfn.IFERROR('Data Sheet 2'!F22,0)</f>
        <v>321.0</v>
      </c>
      <c r="G24" s="119">
        <f>_xlfn.IFERROR('Data Sheet 2'!G22,0)</f>
        <v>376.0</v>
      </c>
      <c r="H24" s="119">
        <f>_xlfn.IFERROR('Data Sheet 2'!H22,0)</f>
        <v>543.0</v>
      </c>
      <c r="I24" s="119">
        <f>_xlfn.IFERROR('Data Sheet 2'!I22,0)</f>
        <v>590.0</v>
      </c>
      <c r="J24" s="119">
        <f>_xlfn.IFERROR('Data Sheet 2'!J22,0)</f>
        <v>630.0</v>
      </c>
      <c r="K24" s="119">
        <f>_xlfn.IFERROR('Data Sheet 2'!K22,0)</f>
        <v>716.0</v>
      </c>
      <c r="L24" s="119">
        <f>_xlfn.IFERROR('Data Sheet 2'!L22,0)</f>
        <v>762.0</v>
      </c>
      <c r="M24" s="119">
        <f>_xlfn.IFERROR('Data Sheet 2'!M22,0)</f>
        <v>871.0</v>
      </c>
      <c r="N24" s="119">
        <f>_xlfn.IFERROR('Data Sheet 2'!N22,0)</f>
        <v>1060.0</v>
      </c>
    </row>
    <row r="25" spans="8:8" ht="15.0" outlineLevel="1">
      <c r="B25" t="str">
        <f>_xlfn.IFERROR('Data Sheet 2'!B23,0)</f>
        <v>Computers</v>
      </c>
      <c r="C25" s="119">
        <f>_xlfn.IFERROR('Data Sheet 2'!C23,0)</f>
        <v>1111.0</v>
      </c>
      <c r="D25" s="119">
        <f>_xlfn.IFERROR('Data Sheet 2'!D23,0)</f>
        <v>457.0</v>
      </c>
      <c r="E25" s="119">
        <f>_xlfn.IFERROR('Data Sheet 2'!E23,0)</f>
        <v>540.0</v>
      </c>
      <c r="F25" s="119">
        <f>_xlfn.IFERROR('Data Sheet 2'!F23,0)</f>
        <v>0.0</v>
      </c>
      <c r="G25" s="119">
        <f>_xlfn.IFERROR('Data Sheet 2'!G23,0)</f>
        <v>849.0</v>
      </c>
      <c r="H25" s="119">
        <f>_xlfn.IFERROR('Data Sheet 2'!H23,0)</f>
        <v>1425.0</v>
      </c>
      <c r="I25" s="119">
        <f>_xlfn.IFERROR('Data Sheet 2'!I23,0)</f>
        <v>1615.0</v>
      </c>
      <c r="J25" s="119">
        <f>_xlfn.IFERROR('Data Sheet 2'!J23,0)</f>
        <v>2067.0</v>
      </c>
      <c r="K25" s="119">
        <f>_xlfn.IFERROR('Data Sheet 2'!K23,0)</f>
        <v>2448.0</v>
      </c>
      <c r="L25" s="119">
        <f>_xlfn.IFERROR('Data Sheet 2'!L23,0)</f>
        <v>2572.0</v>
      </c>
      <c r="M25" s="119">
        <f>_xlfn.IFERROR('Data Sheet 2'!M23,0)</f>
        <v>2803.0</v>
      </c>
      <c r="N25" s="119">
        <f>_xlfn.IFERROR('Data Sheet 2'!N23,0)</f>
        <v>3152.0</v>
      </c>
    </row>
    <row r="26" spans="8:8" ht="15.0" outlineLevel="1">
      <c r="B26" t="str">
        <f>_xlfn.IFERROR('Data Sheet 2'!B24,0)</f>
        <v>Furniture n fittings</v>
      </c>
      <c r="C26" s="119">
        <f>_xlfn.IFERROR('Data Sheet 2'!C24,0)</f>
        <v>650.0</v>
      </c>
      <c r="D26" s="119">
        <f>_xlfn.IFERROR('Data Sheet 2'!D24,0)</f>
        <v>293.0</v>
      </c>
      <c r="E26" s="119">
        <f>_xlfn.IFERROR('Data Sheet 2'!E24,0)</f>
        <v>317.0</v>
      </c>
      <c r="F26" s="119">
        <f>_xlfn.IFERROR('Data Sheet 2'!F24,0)</f>
        <v>393.0</v>
      </c>
      <c r="G26" s="119">
        <f>_xlfn.IFERROR('Data Sheet 2'!G24,0)</f>
        <v>413.0</v>
      </c>
      <c r="H26" s="119">
        <f>_xlfn.IFERROR('Data Sheet 2'!H24,0)</f>
        <v>475.0</v>
      </c>
      <c r="I26" s="119">
        <f>_xlfn.IFERROR('Data Sheet 2'!I24,0)</f>
        <v>485.0</v>
      </c>
      <c r="J26" s="119">
        <f>_xlfn.IFERROR('Data Sheet 2'!J24,0)</f>
        <v>499.0</v>
      </c>
      <c r="K26" s="119">
        <f>_xlfn.IFERROR('Data Sheet 2'!K24,0)</f>
        <v>508.0</v>
      </c>
      <c r="L26" s="119">
        <f>_xlfn.IFERROR('Data Sheet 2'!L24,0)</f>
        <v>633.0</v>
      </c>
      <c r="M26" s="119">
        <f>_xlfn.IFERROR('Data Sheet 2'!M24,0)</f>
        <v>672.0</v>
      </c>
      <c r="N26" s="119">
        <f>_xlfn.IFERROR('Data Sheet 2'!N24,0)</f>
        <v>754.0</v>
      </c>
    </row>
    <row r="27" spans="8:8" ht="15.0" outlineLevel="1">
      <c r="B27" t="str">
        <f>_xlfn.IFERROR('Data Sheet 2'!B25,0)</f>
        <v>Railway sidings</v>
      </c>
      <c r="C27" s="119">
        <f>_xlfn.IFERROR('Data Sheet 2'!C25,0)</f>
        <v>0.0</v>
      </c>
      <c r="D27" s="119">
        <f>_xlfn.IFERROR('Data Sheet 2'!D25,0)</f>
        <v>0.0</v>
      </c>
      <c r="E27" s="119">
        <f>_xlfn.IFERROR('Data Sheet 2'!E25,0)</f>
        <v>0.0</v>
      </c>
      <c r="F27" s="119">
        <f>_xlfn.IFERROR('Data Sheet 2'!F25,0)</f>
        <v>0.0</v>
      </c>
      <c r="G27" s="119">
        <f>_xlfn.IFERROR('Data Sheet 2'!G25,0)</f>
        <v>0.0</v>
      </c>
      <c r="H27" s="119">
        <f>_xlfn.IFERROR('Data Sheet 2'!H25,0)</f>
        <v>0.0</v>
      </c>
      <c r="I27" s="119">
        <f>_xlfn.IFERROR('Data Sheet 2'!I25,0)</f>
        <v>0.0</v>
      </c>
      <c r="J27" s="119">
        <f>_xlfn.IFERROR('Data Sheet 2'!J25,0)</f>
        <v>0.0</v>
      </c>
      <c r="K27" s="119">
        <f>_xlfn.IFERROR('Data Sheet 2'!K25,0)</f>
        <v>0.0</v>
      </c>
      <c r="L27" s="119">
        <f>_xlfn.IFERROR('Data Sheet 2'!L25,0)</f>
        <v>0.0</v>
      </c>
      <c r="M27" s="119">
        <f>_xlfn.IFERROR('Data Sheet 2'!M25,0)</f>
        <v>0.0</v>
      </c>
      <c r="N27" s="119">
        <f>_xlfn.IFERROR('Data Sheet 2'!N25,0)</f>
        <v>0.0</v>
      </c>
    </row>
    <row r="28" spans="8:8" ht="15.0" outlineLevel="1">
      <c r="B28" t="str">
        <f>_xlfn.IFERROR('Data Sheet 2'!B26,0)</f>
        <v>Vehicles</v>
      </c>
      <c r="C28" s="119">
        <f>_xlfn.IFERROR('Data Sheet 2'!C26,0)</f>
        <v>851.0</v>
      </c>
      <c r="D28" s="119">
        <f>_xlfn.IFERROR('Data Sheet 2'!D26,0)</f>
        <v>487.0</v>
      </c>
      <c r="E28" s="119">
        <f>_xlfn.IFERROR('Data Sheet 2'!E26,0)</f>
        <v>450.0</v>
      </c>
      <c r="F28" s="119">
        <f>_xlfn.IFERROR('Data Sheet 2'!F26,0)</f>
        <v>658.0</v>
      </c>
      <c r="G28" s="119">
        <f>_xlfn.IFERROR('Data Sheet 2'!G26,0)</f>
        <v>682.0</v>
      </c>
      <c r="H28" s="119">
        <f>_xlfn.IFERROR('Data Sheet 2'!H26,0)</f>
        <v>681.0</v>
      </c>
      <c r="I28" s="119">
        <f>_xlfn.IFERROR('Data Sheet 2'!I26,0)</f>
        <v>658.0</v>
      </c>
      <c r="J28" s="119">
        <f>_xlfn.IFERROR('Data Sheet 2'!J26,0)</f>
        <v>650.0</v>
      </c>
      <c r="K28" s="119">
        <f>_xlfn.IFERROR('Data Sheet 2'!K26,0)</f>
        <v>652.0</v>
      </c>
      <c r="L28" s="119">
        <f>_xlfn.IFERROR('Data Sheet 2'!L26,0)</f>
        <v>657.0</v>
      </c>
      <c r="M28" s="119">
        <f>_xlfn.IFERROR('Data Sheet 2'!M26,0)</f>
        <v>768.0</v>
      </c>
      <c r="N28" s="119">
        <f>_xlfn.IFERROR('Data Sheet 2'!N26,0)</f>
        <v>1380.0</v>
      </c>
    </row>
    <row r="29" spans="8:8" ht="15.0" outlineLevel="1">
      <c r="B29" t="str">
        <f>_xlfn.IFERROR('Data Sheet 2'!B27,0)</f>
        <v>Intangible Assets</v>
      </c>
      <c r="C29" s="119">
        <f>_xlfn.IFERROR('Data Sheet 2'!C27,0)</f>
        <v>2478.0</v>
      </c>
      <c r="D29" s="119">
        <f>_xlfn.IFERROR('Data Sheet 2'!D27,0)</f>
        <v>1658.0</v>
      </c>
      <c r="E29" s="119">
        <f>_xlfn.IFERROR('Data Sheet 2'!E27,0)</f>
        <v>1512.0</v>
      </c>
      <c r="F29" s="119">
        <f>_xlfn.IFERROR('Data Sheet 2'!F27,0)</f>
        <v>1736.0</v>
      </c>
      <c r="G29" s="119">
        <f>_xlfn.IFERROR('Data Sheet 2'!G27,0)</f>
        <v>5729.0</v>
      </c>
      <c r="H29" s="119">
        <f>_xlfn.IFERROR('Data Sheet 2'!H27,0)</f>
        <v>24817.0</v>
      </c>
      <c r="I29" s="119">
        <f>_xlfn.IFERROR('Data Sheet 2'!I27,0)</f>
        <v>25195.0</v>
      </c>
      <c r="J29" s="119">
        <f>_xlfn.IFERROR('Data Sheet 2'!J27,0)</f>
        <v>24950.0</v>
      </c>
      <c r="K29" s="119">
        <f>_xlfn.IFERROR('Data Sheet 2'!K27,0)</f>
        <v>25099.0</v>
      </c>
      <c r="L29" s="119">
        <f>_xlfn.IFERROR('Data Sheet 2'!L27,0)</f>
        <v>24837.0</v>
      </c>
      <c r="M29" s="119">
        <f>_xlfn.IFERROR('Data Sheet 2'!M27,0)</f>
        <v>25860.0</v>
      </c>
      <c r="N29" s="119">
        <f>_xlfn.IFERROR('Data Sheet 2'!N27,0)</f>
        <v>9432.0</v>
      </c>
    </row>
    <row r="30" spans="8:8" ht="15.0" outlineLevel="1">
      <c r="B30" t="str">
        <f>_xlfn.IFERROR('Data Sheet 2'!B28,0)</f>
        <v>Other fixed assets</v>
      </c>
      <c r="C30" s="119">
        <f>_xlfn.IFERROR('Data Sheet 2'!C28,0)</f>
        <v>15861.0</v>
      </c>
      <c r="D30" s="119">
        <f>_xlfn.IFERROR('Data Sheet 2'!D28,0)</f>
        <v>2216.0</v>
      </c>
      <c r="E30" s="119">
        <f>_xlfn.IFERROR('Data Sheet 2'!E28,0)</f>
        <v>5921.0</v>
      </c>
      <c r="F30" s="119">
        <f>_xlfn.IFERROR('Data Sheet 2'!F28,0)</f>
        <v>8448.0</v>
      </c>
      <c r="G30" s="119">
        <f>_xlfn.IFERROR('Data Sheet 2'!G28,0)</f>
        <v>7091.0</v>
      </c>
      <c r="H30" s="119">
        <f>_xlfn.IFERROR('Data Sheet 2'!H28,0)</f>
        <v>8568.0</v>
      </c>
      <c r="I30" s="119">
        <f>_xlfn.IFERROR('Data Sheet 2'!I28,0)</f>
        <v>8784.0</v>
      </c>
      <c r="J30" s="119">
        <f>_xlfn.IFERROR('Data Sheet 2'!J28,0)</f>
        <v>9361.0</v>
      </c>
      <c r="K30" s="119">
        <f>_xlfn.IFERROR('Data Sheet 2'!K28,0)</f>
        <v>9071.0</v>
      </c>
      <c r="L30" s="119">
        <f>_xlfn.IFERROR('Data Sheet 2'!L28,0)</f>
        <v>10408.0</v>
      </c>
      <c r="M30" s="119">
        <f>_xlfn.IFERROR('Data Sheet 2'!M28,0)</f>
        <v>7867.0</v>
      </c>
      <c r="N30" s="119">
        <f>_xlfn.IFERROR('Data Sheet 2'!N28,0)</f>
        <v>7487.0</v>
      </c>
    </row>
    <row r="31" spans="8:8" ht="15.0" outlineLevel="1">
      <c r="B31" s="47" t="str">
        <f>_xlfn.IFERROR('Data Sheet 2'!B29,0)</f>
        <v>Gross Block</v>
      </c>
      <c r="C31" s="224">
        <f>_xlfn.IFERROR('Data Sheet 2'!C29,0)</f>
        <v>45783.0</v>
      </c>
      <c r="D31" s="224">
        <f>_xlfn.IFERROR('Data Sheet 2'!D29,0)</f>
        <v>16522.0</v>
      </c>
      <c r="E31" s="224">
        <f>_xlfn.IFERROR('Data Sheet 2'!E29,0)</f>
        <v>20706.0</v>
      </c>
      <c r="F31" s="224">
        <f>_xlfn.IFERROR('Data Sheet 2'!F29,0)</f>
        <v>24422.0</v>
      </c>
      <c r="G31" s="224">
        <f>_xlfn.IFERROR('Data Sheet 2'!G29,0)</f>
        <v>28644.0</v>
      </c>
      <c r="H31" s="224">
        <f>_xlfn.IFERROR('Data Sheet 2'!H29,0)</f>
        <v>53121.0</v>
      </c>
      <c r="I31" s="224">
        <f>_xlfn.IFERROR('Data Sheet 2'!I29,0)</f>
        <v>56577.0</v>
      </c>
      <c r="J31" s="224">
        <f>_xlfn.IFERROR('Data Sheet 2'!J29,0)</f>
        <v>56495.0</v>
      </c>
      <c r="K31" s="224">
        <f>_xlfn.IFERROR('Data Sheet 2'!K29,0)</f>
        <v>58756.0</v>
      </c>
      <c r="L31" s="224">
        <f>_xlfn.IFERROR('Data Sheet 2'!L29,0)</f>
        <v>61124.0</v>
      </c>
      <c r="M31" s="224">
        <f>_xlfn.IFERROR('Data Sheet 2'!M29,0)</f>
        <v>66389.0</v>
      </c>
      <c r="N31" s="224">
        <f>_xlfn.IFERROR('Data Sheet 2'!N29,0)</f>
        <v>53890.0</v>
      </c>
    </row>
    <row r="32" spans="8:8" ht="15.0" outlineLevel="1">
      <c r="B32" s="47" t="str">
        <f>_xlfn.IFERROR('Data Sheet 2'!B30,0)</f>
        <v>Accumulated Depreciation</v>
      </c>
      <c r="C32" s="119">
        <f>_xlfn.IFERROR('Data Sheet 2'!C30,0)</f>
        <v>10806.0</v>
      </c>
      <c r="D32" s="119">
        <f>_xlfn.IFERROR('Data Sheet 2'!D30,0)</f>
        <v>2347.0</v>
      </c>
      <c r="E32" s="119">
        <f>_xlfn.IFERROR('Data Sheet 2'!E30,0)</f>
        <v>4029.0</v>
      </c>
      <c r="F32" s="119">
        <f>_xlfn.IFERROR('Data Sheet 2'!F30,0)</f>
        <v>5842.0</v>
      </c>
      <c r="G32" s="119">
        <f>_xlfn.IFERROR('Data Sheet 2'!G30,0)</f>
        <v>7450.0</v>
      </c>
      <c r="H32" s="119">
        <f>_xlfn.IFERROR('Data Sheet 2'!H30,0)</f>
        <v>9468.0</v>
      </c>
      <c r="I32" s="119">
        <f>_xlfn.IFERROR('Data Sheet 2'!I30,0)</f>
        <v>12258.0</v>
      </c>
      <c r="J32" s="119">
        <f>_xlfn.IFERROR('Data Sheet 2'!J30,0)</f>
        <v>13550.0</v>
      </c>
      <c r="K32" s="119">
        <f>_xlfn.IFERROR('Data Sheet 2'!K30,0)</f>
        <v>16115.0</v>
      </c>
      <c r="L32" s="119">
        <f>_xlfn.IFERROR('Data Sheet 2'!L30,0)</f>
        <v>18161.0</v>
      </c>
      <c r="M32" s="119">
        <f>_xlfn.IFERROR('Data Sheet 2'!M30,0)</f>
        <v>22334.0</v>
      </c>
      <c r="N32" s="119">
        <f>_xlfn.IFERROR('Data Sheet 2'!N30,0)</f>
        <v>23023.0</v>
      </c>
    </row>
    <row r="33" spans="8:8" ht="15.0" outlineLevel="1">
      <c r="B33" s="121" t="s">
        <v>145</v>
      </c>
      <c r="C33" s="225">
        <f>C31-C32</f>
        <v>34977.0</v>
      </c>
      <c r="D33" s="225">
        <f t="shared" si="1" ref="D33:N33">D31-D32</f>
        <v>14175.0</v>
      </c>
      <c r="E33" s="225">
        <f t="shared" si="1"/>
        <v>16677.0</v>
      </c>
      <c r="F33" s="225">
        <f t="shared" si="1"/>
        <v>18580.0</v>
      </c>
      <c r="G33" s="225">
        <f t="shared" si="1"/>
        <v>21194.0</v>
      </c>
      <c r="H33" s="225">
        <f t="shared" si="1"/>
        <v>43653.0</v>
      </c>
      <c r="I33" s="225">
        <f t="shared" si="1"/>
        <v>44319.0</v>
      </c>
      <c r="J33" s="225">
        <f t="shared" si="1"/>
        <v>42945.0</v>
      </c>
      <c r="K33" s="225">
        <f t="shared" si="1"/>
        <v>42641.0</v>
      </c>
      <c r="L33" s="225">
        <f t="shared" si="1"/>
        <v>42963.0</v>
      </c>
      <c r="M33" s="225">
        <f t="shared" si="1"/>
        <v>44055.0</v>
      </c>
      <c r="N33" s="225">
        <f t="shared" si="1"/>
        <v>30867.0</v>
      </c>
    </row>
    <row r="34" spans="8:8" ht="15.0" outlineLevel="1">
      <c r="B34" s="47"/>
      <c r="C34" s="120"/>
      <c r="D34" s="120"/>
      <c r="E34" s="120"/>
      <c r="F34" s="120"/>
      <c r="G34" s="120"/>
      <c r="H34" s="120"/>
      <c r="I34" s="120"/>
      <c r="J34" s="120"/>
      <c r="K34" s="120"/>
      <c r="L34" s="120"/>
      <c r="M34" s="120"/>
      <c r="N34" s="120"/>
    </row>
    <row r="35" spans="8:8" ht="15.0" outlineLevel="1">
      <c r="B35" s="47" t="str">
        <f>_xlfn.IFERROR('Data Sheet 2'!B31,0)</f>
        <v>CWIP</v>
      </c>
      <c r="C35" s="224">
        <f>_xlfn.IFERROR('Data Sheet 2'!C31,0)</f>
        <v>14993.0</v>
      </c>
      <c r="D35" s="224">
        <f>_xlfn.IFERROR('Data Sheet 2'!D31,0)</f>
        <v>10974.0</v>
      </c>
      <c r="E35" s="224">
        <f>_xlfn.IFERROR('Data Sheet 2'!E31,0)</f>
        <v>13298.0</v>
      </c>
      <c r="F35" s="224">
        <f>_xlfn.IFERROR('Data Sheet 2'!F31,0)</f>
        <v>13443.0</v>
      </c>
      <c r="G35" s="224">
        <f>_xlfn.IFERROR('Data Sheet 2'!G31,0)</f>
        <v>13919.0</v>
      </c>
      <c r="H35" s="224">
        <f>_xlfn.IFERROR('Data Sheet 2'!H31,0)</f>
        <v>3311.0</v>
      </c>
      <c r="I35" s="224">
        <f>_xlfn.IFERROR('Data Sheet 2'!I31,0)</f>
        <v>500.0</v>
      </c>
      <c r="J35" s="224">
        <f>_xlfn.IFERROR('Data Sheet 2'!J31,0)</f>
        <v>1250.0</v>
      </c>
      <c r="K35" s="224">
        <f>_xlfn.IFERROR('Data Sheet 2'!K31,0)</f>
        <v>3066.0</v>
      </c>
      <c r="L35" s="224">
        <f>_xlfn.IFERROR('Data Sheet 2'!L31,0)</f>
        <v>3045.0</v>
      </c>
      <c r="M35" s="224">
        <f>_xlfn.IFERROR('Data Sheet 2'!M31,0)</f>
        <v>2589.0</v>
      </c>
      <c r="N35" s="224">
        <f>_xlfn.IFERROR('Data Sheet 2'!N31,0)</f>
        <v>3311.0</v>
      </c>
      <c r="O35" s="47"/>
    </row>
    <row r="36" spans="8:8" ht="15.0" outlineLevel="1">
      <c r="B36" s="47" t="str">
        <f>_xlfn.IFERROR('Data Sheet 2'!B32,0)</f>
        <v>Investments</v>
      </c>
      <c r="C36" s="224">
        <f>_xlfn.IFERROR('Data Sheet 2'!C32,0)</f>
        <v>9612.0</v>
      </c>
      <c r="D36" s="224">
        <f>_xlfn.IFERROR('Data Sheet 2'!D32,0)</f>
        <v>15465.0</v>
      </c>
      <c r="E36" s="224">
        <f>_xlfn.IFERROR('Data Sheet 2'!E32,0)</f>
        <v>19753.0</v>
      </c>
      <c r="F36" s="224">
        <f>_xlfn.IFERROR('Data Sheet 2'!F32,0)</f>
        <v>15311.0</v>
      </c>
      <c r="G36" s="224">
        <f>_xlfn.IFERROR('Data Sheet 2'!G32,0)</f>
        <v>20907.0</v>
      </c>
      <c r="H36" s="224">
        <f>_xlfn.IFERROR('Data Sheet 2'!H32,0)</f>
        <v>20047.0</v>
      </c>
      <c r="I36" s="224">
        <f>_xlfn.IFERROR('Data Sheet 2'!I32,0)</f>
        <v>39627.0</v>
      </c>
      <c r="J36" s="224">
        <f>_xlfn.IFERROR('Data Sheet 2'!J32,0)</f>
        <v>39395.0</v>
      </c>
      <c r="K36" s="224">
        <f>_xlfn.IFERROR('Data Sheet 2'!K32,0)</f>
        <v>44798.0</v>
      </c>
      <c r="L36" s="224">
        <f>_xlfn.IFERROR('Data Sheet 2'!L32,0)</f>
        <v>45648.0</v>
      </c>
      <c r="M36" s="224">
        <f>_xlfn.IFERROR('Data Sheet 2'!M32,0)</f>
        <v>54805.0</v>
      </c>
      <c r="N36" s="224">
        <f>_xlfn.IFERROR('Data Sheet 2'!N32,0)</f>
        <v>68377.0</v>
      </c>
      <c r="O36" s="47"/>
    </row>
    <row r="37" spans="8:8" ht="15.0" outlineLevel="1">
      <c r="B37" s="47"/>
      <c r="C37" s="120"/>
      <c r="D37" s="120"/>
      <c r="E37" s="120"/>
      <c r="F37" s="120"/>
      <c r="G37" s="120"/>
      <c r="H37" s="120"/>
      <c r="I37" s="120"/>
      <c r="J37" s="120"/>
      <c r="K37" s="120"/>
      <c r="L37" s="120"/>
      <c r="M37" s="120"/>
      <c r="N37" s="120"/>
    </row>
    <row r="38" spans="8:8" ht="15.0" outlineLevel="1">
      <c r="B38" s="47" t="str">
        <f>_xlfn.IFERROR('Data Sheet 2'!B33,0)</f>
        <v>Other Assets -</v>
      </c>
      <c r="C38" s="120"/>
      <c r="D38" s="120"/>
      <c r="E38" s="120"/>
      <c r="F38" s="120"/>
      <c r="G38" s="120"/>
      <c r="H38" s="120"/>
      <c r="I38" s="120"/>
      <c r="J38" s="120"/>
      <c r="K38" s="120"/>
      <c r="L38" s="120"/>
      <c r="M38" s="120"/>
      <c r="N38" s="120"/>
    </row>
    <row r="39" spans="8:8" ht="15.0" outlineLevel="1">
      <c r="B39" t="str">
        <f>_xlfn.IFERROR('Data Sheet 2'!B34,0)</f>
        <v>Inventories</v>
      </c>
      <c r="C39" s="119">
        <f>_xlfn.IFERROR('Data Sheet 2'!C34,0)</f>
        <v>6508.0</v>
      </c>
      <c r="D39" s="119">
        <f>_xlfn.IFERROR('Data Sheet 2'!D34,0)</f>
        <v>4854.0</v>
      </c>
      <c r="E39" s="119">
        <f>_xlfn.IFERROR('Data Sheet 2'!E34,0)</f>
        <v>4140.0</v>
      </c>
      <c r="F39" s="119">
        <f>_xlfn.IFERROR('Data Sheet 2'!F34,0)</f>
        <v>4848.0</v>
      </c>
      <c r="G39" s="119">
        <f>_xlfn.IFERROR('Data Sheet 2'!G34,0)</f>
        <v>6414.0</v>
      </c>
      <c r="H39" s="119">
        <f>_xlfn.IFERROR('Data Sheet 2'!H34,0)</f>
        <v>5747.0</v>
      </c>
      <c r="I39" s="119">
        <f>_xlfn.IFERROR('Data Sheet 2'!I34,0)</f>
        <v>5821.0</v>
      </c>
      <c r="J39" s="119">
        <f>_xlfn.IFERROR('Data Sheet 2'!J34,0)</f>
        <v>5943.0</v>
      </c>
      <c r="K39" s="119">
        <f>_xlfn.IFERROR('Data Sheet 2'!K34,0)</f>
        <v>6829.0</v>
      </c>
      <c r="L39" s="119">
        <f>_xlfn.IFERROR('Data Sheet 2'!L34,0)</f>
        <v>6620.0</v>
      </c>
      <c r="M39" s="119">
        <f>_xlfn.IFERROR('Data Sheet 2'!M34,0)</f>
        <v>7671.0</v>
      </c>
      <c r="N39" s="119">
        <f>_xlfn.IFERROR('Data Sheet 2'!N34,0)</f>
        <v>9531.0</v>
      </c>
    </row>
    <row r="40" spans="8:8" ht="15.0" outlineLevel="1">
      <c r="B40" t="str">
        <f>_xlfn.IFERROR('Data Sheet 2'!B35,0)</f>
        <v>Trade receivables +</v>
      </c>
      <c r="C40" s="119">
        <f>_xlfn.IFERROR('Data Sheet 2'!C35,0)</f>
        <v>30089.0</v>
      </c>
      <c r="D40" s="119">
        <f>_xlfn.IFERROR('Data Sheet 2'!D35,0)</f>
        <v>26025.0</v>
      </c>
      <c r="E40" s="119">
        <f>_xlfn.IFERROR('Data Sheet 2'!E35,0)</f>
        <v>28689.0</v>
      </c>
      <c r="F40" s="119">
        <f>_xlfn.IFERROR('Data Sheet 2'!F35,0)</f>
        <v>33117.0</v>
      </c>
      <c r="G40" s="119">
        <f>_xlfn.IFERROR('Data Sheet 2'!G35,0)</f>
        <v>36846.0</v>
      </c>
      <c r="H40" s="119">
        <f>_xlfn.IFERROR('Data Sheet 2'!H35,0)</f>
        <v>40732.0</v>
      </c>
      <c r="I40" s="119">
        <f>_xlfn.IFERROR('Data Sheet 2'!I35,0)</f>
        <v>42230.0</v>
      </c>
      <c r="J40" s="119">
        <f>_xlfn.IFERROR('Data Sheet 2'!J35,0)</f>
        <v>46139.0</v>
      </c>
      <c r="K40" s="119">
        <f>_xlfn.IFERROR('Data Sheet 2'!K35,0)</f>
        <v>44732.0</v>
      </c>
      <c r="L40" s="119">
        <f>_xlfn.IFERROR('Data Sheet 2'!L35,0)</f>
        <v>48771.0</v>
      </c>
      <c r="M40" s="119">
        <f>_xlfn.IFERROR('Data Sheet 2'!M35,0)</f>
        <v>53714.0</v>
      </c>
      <c r="N40" s="119">
        <f>_xlfn.IFERROR('Data Sheet 2'!N35,0)</f>
        <v>60461.0</v>
      </c>
    </row>
    <row r="41" spans="8:8" ht="15.0" outlineLevel="1">
      <c r="B41" t="str">
        <f>_xlfn.IFERROR('Data Sheet 2'!B36,0)</f>
        <v>Cash Equivalents</v>
      </c>
      <c r="C41" s="119">
        <f>_xlfn.IFERROR('Data Sheet 2'!C36,0)</f>
        <v>5756.0</v>
      </c>
      <c r="D41" s="119">
        <f>_xlfn.IFERROR('Data Sheet 2'!D36,0)</f>
        <v>5390.0</v>
      </c>
      <c r="E41" s="119">
        <f>_xlfn.IFERROR('Data Sheet 2'!E36,0)</f>
        <v>5306.0</v>
      </c>
      <c r="F41" s="119">
        <f>_xlfn.IFERROR('Data Sheet 2'!F36,0)</f>
        <v>8033.0</v>
      </c>
      <c r="G41" s="119">
        <f>_xlfn.IFERROR('Data Sheet 2'!G36,0)</f>
        <v>11726.0</v>
      </c>
      <c r="H41" s="119">
        <f>_xlfn.IFERROR('Data Sheet 2'!H36,0)</f>
        <v>15118.0</v>
      </c>
      <c r="I41" s="119">
        <f>_xlfn.IFERROR('Data Sheet 2'!I36,0)</f>
        <v>16242.0</v>
      </c>
      <c r="J41" s="119">
        <f>_xlfn.IFERROR('Data Sheet 2'!J36,0)</f>
        <v>18953.0</v>
      </c>
      <c r="K41" s="119">
        <f>_xlfn.IFERROR('Data Sheet 2'!K36,0)</f>
        <v>22520.0</v>
      </c>
      <c r="L41" s="119">
        <f>_xlfn.IFERROR('Data Sheet 2'!L36,0)</f>
        <v>15358.0</v>
      </c>
      <c r="M41" s="119">
        <f>_xlfn.IFERROR('Data Sheet 2'!M36,0)</f>
        <v>22965.0</v>
      </c>
      <c r="N41" s="119">
        <f>_xlfn.IFERROR('Data Sheet 2'!N36,0)</f>
        <v>20848.0</v>
      </c>
    </row>
    <row r="42" spans="8:8" ht="15.0" outlineLevel="1">
      <c r="B42" t="str">
        <f>_xlfn.IFERROR('Data Sheet 2'!B37,0)</f>
        <v>Loans n Advances</v>
      </c>
      <c r="C42" s="119">
        <f>_xlfn.IFERROR('Data Sheet 2'!C37,0)</f>
        <v>11219.0</v>
      </c>
      <c r="D42" s="119">
        <f>_xlfn.IFERROR('Data Sheet 2'!D37,0)</f>
        <v>18526.0</v>
      </c>
      <c r="E42" s="119">
        <f>_xlfn.IFERROR('Data Sheet 2'!E37,0)</f>
        <v>24733.0</v>
      </c>
      <c r="F42" s="119">
        <f>_xlfn.IFERROR('Data Sheet 2'!F37,0)</f>
        <v>31865.0</v>
      </c>
      <c r="G42" s="119">
        <f>_xlfn.IFERROR('Data Sheet 2'!G37,0)</f>
        <v>41938.0</v>
      </c>
      <c r="H42" s="119">
        <f>_xlfn.IFERROR('Data Sheet 2'!H37,0)</f>
        <v>40958.0</v>
      </c>
      <c r="I42" s="119">
        <f>_xlfn.IFERROR('Data Sheet 2'!I37,0)</f>
        <v>40786.0</v>
      </c>
      <c r="J42" s="119">
        <f>_xlfn.IFERROR('Data Sheet 2'!J37,0)</f>
        <v>41799.0</v>
      </c>
      <c r="K42" s="119">
        <f>_xlfn.IFERROR('Data Sheet 2'!K37,0)</f>
        <v>40356.0</v>
      </c>
      <c r="L42" s="119">
        <f>_xlfn.IFERROR('Data Sheet 2'!L37,0)</f>
        <v>34700.0</v>
      </c>
      <c r="M42" s="119">
        <f>_xlfn.IFERROR('Data Sheet 2'!M37,0)</f>
        <v>34244.0</v>
      </c>
      <c r="N42" s="119">
        <f>_xlfn.IFERROR('Data Sheet 2'!N37,0)</f>
        <v>40747.0</v>
      </c>
    </row>
    <row r="43" spans="8:8" ht="15.0" outlineLevel="1">
      <c r="B43" t="str">
        <f>_xlfn.IFERROR('Data Sheet 2'!B38,0)</f>
        <v>Other asset items</v>
      </c>
      <c r="C43" s="119">
        <f>_xlfn.IFERROR('Data Sheet 2'!C38,0)</f>
        <v>80351.0</v>
      </c>
      <c r="D43" s="119">
        <f>_xlfn.IFERROR('Data Sheet 2'!D38,0)</f>
        <v>98680.0</v>
      </c>
      <c r="E43" s="119">
        <f>_xlfn.IFERROR('Data Sheet 2'!E38,0)</f>
        <v>98975.0</v>
      </c>
      <c r="F43" s="119">
        <f>_xlfn.IFERROR('Data Sheet 2'!F38,0)</f>
        <v>118042.0</v>
      </c>
      <c r="G43" s="119">
        <f>_xlfn.IFERROR('Data Sheet 2'!G38,0)</f>
        <v>125092.0</v>
      </c>
      <c r="H43" s="119">
        <f>_xlfn.IFERROR('Data Sheet 2'!H38,0)</f>
        <v>137121.0</v>
      </c>
      <c r="I43" s="119">
        <f>_xlfn.IFERROR('Data Sheet 2'!I38,0)</f>
        <v>120571.0</v>
      </c>
      <c r="J43" s="119">
        <f>_xlfn.IFERROR('Data Sheet 2'!J38,0)</f>
        <v>122604.0</v>
      </c>
      <c r="K43" s="119">
        <f>_xlfn.IFERROR('Data Sheet 2'!K38,0)</f>
        <v>124781.0</v>
      </c>
      <c r="L43" s="119">
        <f>_xlfn.IFERROR('Data Sheet 2'!L38,0)</f>
        <v>142496.0</v>
      </c>
      <c r="M43" s="119">
        <f>_xlfn.IFERROR('Data Sheet 2'!M38,0)</f>
        <v>159071.0</v>
      </c>
      <c r="N43" s="119">
        <f>_xlfn.IFERROR('Data Sheet 2'!N38,0)</f>
        <v>218241.0</v>
      </c>
    </row>
    <row r="44" spans="8:8">
      <c r="B44" s="47" t="str">
        <f>_xlfn.IFERROR('Data Sheet 2'!B39,0)</f>
        <v>Total Assets</v>
      </c>
      <c r="C44" s="223">
        <f>SUM(C33:C43)</f>
        <v>193505.0</v>
      </c>
      <c r="D44" s="223">
        <f t="shared" si="2" ref="D44:N44">SUM(D33:D43)</f>
        <v>194089.0</v>
      </c>
      <c r="E44" s="223">
        <f t="shared" si="2"/>
        <v>211571.0</v>
      </c>
      <c r="F44" s="223">
        <f t="shared" si="2"/>
        <v>243239.0</v>
      </c>
      <c r="G44" s="223">
        <f t="shared" si="2"/>
        <v>278036.0</v>
      </c>
      <c r="H44" s="223">
        <f t="shared" si="2"/>
        <v>306687.0</v>
      </c>
      <c r="I44" s="223">
        <f t="shared" si="2"/>
        <v>310096.0</v>
      </c>
      <c r="J44" s="223">
        <f t="shared" si="2"/>
        <v>319028.0</v>
      </c>
      <c r="K44" s="223">
        <f t="shared" si="2"/>
        <v>329723.0</v>
      </c>
      <c r="L44" s="223">
        <f t="shared" si="2"/>
        <v>339601.0</v>
      </c>
      <c r="M44" s="223">
        <f t="shared" si="2"/>
        <v>379114.0</v>
      </c>
      <c r="N44" s="223">
        <f t="shared" si="2"/>
        <v>452383.0</v>
      </c>
    </row>
    <row r="46" spans="8:8">
      <c r="B46" t="s">
        <v>113</v>
      </c>
      <c r="C46" t="b">
        <f>C44=C17</f>
        <v>1</v>
      </c>
      <c r="D46" t="b">
        <f t="shared" si="3" ref="D46:N46">D44=D17</f>
        <v>1</v>
      </c>
      <c r="E46" t="b">
        <f t="shared" si="3"/>
        <v>1</v>
      </c>
      <c r="F46" t="b">
        <f t="shared" si="3"/>
        <v>1</v>
      </c>
      <c r="G46" t="b">
        <f t="shared" si="3"/>
        <v>1</v>
      </c>
      <c r="H46" t="b">
        <f t="shared" si="3"/>
        <v>1</v>
      </c>
      <c r="I46" t="b">
        <f t="shared" si="3"/>
        <v>1</v>
      </c>
      <c r="J46" t="b">
        <f t="shared" si="3"/>
        <v>1</v>
      </c>
      <c r="K46" t="b">
        <f t="shared" si="3"/>
        <v>1</v>
      </c>
      <c r="L46" t="b">
        <f t="shared" si="3"/>
        <v>1</v>
      </c>
      <c r="M46" t="b">
        <f t="shared" si="3"/>
        <v>1</v>
      </c>
      <c r="N46" t="b">
        <f t="shared" si="3"/>
        <v>1</v>
      </c>
    </row>
    <row r="47" spans="8:8">
      <c r="B47" s="207"/>
      <c r="C47" s="207"/>
      <c r="D47" s="207"/>
      <c r="E47" s="207"/>
      <c r="F47" s="207"/>
      <c r="G47" s="207"/>
      <c r="H47" s="207"/>
      <c r="I47" s="207"/>
      <c r="J47" s="207"/>
      <c r="K47" s="207"/>
    </row>
    <row r="48" spans="8:8">
      <c r="B48" s="226"/>
      <c r="C48" s="226"/>
      <c r="D48" s="226"/>
      <c r="E48" s="226"/>
      <c r="F48" s="226"/>
      <c r="G48" s="226"/>
      <c r="H48" s="226"/>
      <c r="I48" s="226"/>
      <c r="J48" s="226"/>
      <c r="K48" s="226"/>
      <c r="L48" s="226"/>
      <c r="M48" s="226"/>
      <c r="N48" s="227"/>
    </row>
    <row r="49" spans="8:8">
      <c r="B49" s="228"/>
      <c r="C49" s="229"/>
      <c r="D49" s="229"/>
      <c r="E49" s="229"/>
      <c r="F49" s="229"/>
      <c r="G49" s="229"/>
      <c r="H49" s="229"/>
      <c r="I49" s="229"/>
      <c r="J49" s="229"/>
      <c r="K49" s="229"/>
      <c r="L49" s="229"/>
      <c r="M49" s="229"/>
      <c r="N49" s="229"/>
    </row>
    <row r="50" spans="8:8">
      <c r="B50" s="230"/>
      <c r="D50" s="229"/>
      <c r="E50" s="229"/>
      <c r="F50" s="229"/>
      <c r="G50" s="229"/>
      <c r="H50" s="229"/>
      <c r="I50" s="229"/>
      <c r="J50" s="229"/>
      <c r="K50" s="229"/>
      <c r="L50" s="229"/>
      <c r="M50" s="229"/>
      <c r="N50" s="229"/>
    </row>
    <row r="51" spans="8:8">
      <c r="B51" s="231"/>
      <c r="C51" s="232"/>
      <c r="D51" s="232"/>
      <c r="E51" s="232"/>
      <c r="F51" s="232"/>
      <c r="G51" s="232"/>
      <c r="H51" s="232"/>
      <c r="I51" s="232"/>
      <c r="J51" s="232"/>
      <c r="K51" s="233"/>
      <c r="L51" s="232"/>
      <c r="M51" s="232"/>
      <c r="N51" s="233"/>
    </row>
    <row r="52" spans="8:8">
      <c r="B52" s="231"/>
      <c r="C52" s="232"/>
      <c r="D52" s="232"/>
      <c r="E52" s="232"/>
      <c r="F52" s="232"/>
      <c r="G52" s="232"/>
      <c r="H52" s="232"/>
      <c r="I52" s="232"/>
      <c r="J52" s="232"/>
      <c r="K52" s="233"/>
      <c r="L52" s="232"/>
      <c r="M52" s="232"/>
      <c r="N52" s="233"/>
    </row>
    <row r="53" spans="8:8">
      <c r="B53" s="231"/>
      <c r="C53" s="232"/>
      <c r="D53" s="232"/>
      <c r="E53" s="232"/>
      <c r="F53" s="232"/>
      <c r="G53" s="232"/>
      <c r="H53" s="232"/>
      <c r="I53" s="232"/>
      <c r="J53" s="233"/>
      <c r="K53" s="232"/>
      <c r="L53" s="232"/>
      <c r="M53" s="233"/>
      <c r="N53" s="232"/>
    </row>
    <row r="54" spans="8:8">
      <c r="B54" s="231"/>
      <c r="C54" s="232"/>
      <c r="D54" s="232"/>
      <c r="E54" s="232"/>
      <c r="F54" s="232"/>
      <c r="G54" s="232"/>
      <c r="H54" s="232"/>
      <c r="I54" s="232"/>
      <c r="J54" s="232"/>
      <c r="K54" s="232"/>
      <c r="L54" s="232"/>
      <c r="M54" s="232"/>
      <c r="N54" s="232"/>
    </row>
    <row r="55" spans="8:8">
      <c r="B55" s="230"/>
      <c r="C55" s="234"/>
      <c r="D55" s="234"/>
      <c r="E55" s="234"/>
      <c r="F55" s="234"/>
      <c r="G55" s="234"/>
      <c r="H55" s="234"/>
      <c r="I55" s="234"/>
      <c r="J55" s="234"/>
      <c r="K55" s="229"/>
      <c r="L55" s="234"/>
      <c r="M55" s="234"/>
      <c r="N55" s="229"/>
    </row>
    <row r="56" spans="8:8">
      <c r="B56" s="231"/>
      <c r="C56" s="232"/>
      <c r="D56" s="232"/>
      <c r="E56" s="232"/>
      <c r="F56" s="232"/>
      <c r="G56" s="233"/>
      <c r="H56" s="232"/>
      <c r="I56" s="233"/>
      <c r="J56" s="233"/>
      <c r="K56" s="233"/>
      <c r="L56" s="233"/>
      <c r="M56" s="233"/>
      <c r="N56" s="233"/>
    </row>
    <row r="57" spans="8:8">
      <c r="B57" s="231"/>
      <c r="C57" s="232"/>
      <c r="D57" s="232"/>
      <c r="E57" s="232"/>
      <c r="F57" s="232"/>
      <c r="G57" s="232"/>
      <c r="H57" s="232"/>
      <c r="I57" s="232"/>
      <c r="J57" s="232"/>
      <c r="K57" s="232"/>
      <c r="L57" s="232"/>
      <c r="M57" s="232"/>
      <c r="N57" s="232"/>
    </row>
    <row r="58" spans="8:8">
      <c r="B58" s="235"/>
      <c r="C58" s="234"/>
      <c r="D58" s="234"/>
      <c r="E58" s="234"/>
      <c r="F58" s="234"/>
      <c r="G58" s="234"/>
      <c r="H58" s="234"/>
      <c r="I58" s="234"/>
      <c r="J58" s="229"/>
      <c r="K58" s="234"/>
      <c r="L58" s="234"/>
      <c r="M58" s="234"/>
      <c r="N58" s="234"/>
    </row>
    <row r="59" spans="8:8">
      <c r="B59" s="231"/>
      <c r="C59" s="232"/>
      <c r="D59" s="232"/>
      <c r="E59" s="232"/>
      <c r="F59" s="232"/>
      <c r="G59" s="232"/>
      <c r="H59" s="232"/>
      <c r="I59" s="232"/>
      <c r="J59" s="233"/>
      <c r="K59" s="233"/>
      <c r="L59" s="232"/>
      <c r="M59" s="232"/>
      <c r="N59" s="232"/>
    </row>
    <row r="60" spans="8:8">
      <c r="B60" s="231"/>
      <c r="C60" s="232"/>
      <c r="D60" s="232"/>
      <c r="E60" s="232"/>
      <c r="F60" s="232"/>
      <c r="G60" s="232"/>
      <c r="H60" s="232"/>
      <c r="I60" s="232"/>
      <c r="J60" s="232"/>
      <c r="K60" s="232"/>
      <c r="L60" s="232"/>
      <c r="M60" s="232"/>
      <c r="N60" s="232"/>
    </row>
    <row r="61" spans="8:8">
      <c r="B61" s="231"/>
      <c r="C61" s="232"/>
      <c r="D61" s="232"/>
      <c r="E61" s="232"/>
      <c r="F61" s="232"/>
      <c r="G61" s="232"/>
      <c r="H61" s="232"/>
      <c r="I61" s="232"/>
      <c r="J61" s="232"/>
      <c r="K61" s="232"/>
      <c r="L61" s="232"/>
      <c r="M61" s="232"/>
      <c r="N61" s="232"/>
    </row>
    <row r="62" spans="8:8">
      <c r="B62" s="231"/>
      <c r="C62" s="232"/>
      <c r="D62" s="232"/>
      <c r="E62" s="232"/>
      <c r="F62" s="232"/>
      <c r="G62" s="232"/>
      <c r="H62" s="232"/>
      <c r="I62" s="232"/>
      <c r="J62" s="232"/>
      <c r="K62" s="232"/>
      <c r="L62" s="232"/>
      <c r="M62" s="232"/>
      <c r="N62" s="232"/>
    </row>
    <row r="63" spans="8:8">
      <c r="B63" s="231"/>
      <c r="C63" s="232"/>
      <c r="D63" s="232"/>
      <c r="E63" s="232"/>
      <c r="F63" s="232"/>
      <c r="G63" s="232"/>
      <c r="H63" s="232"/>
      <c r="I63" s="232"/>
      <c r="J63" s="232"/>
      <c r="K63" s="232"/>
      <c r="L63" s="232"/>
      <c r="M63" s="232"/>
      <c r="N63" s="232"/>
    </row>
    <row r="64" spans="8:8">
      <c r="B64" s="231"/>
      <c r="C64" s="232"/>
      <c r="D64" s="232"/>
      <c r="E64" s="232"/>
      <c r="F64" s="232"/>
      <c r="G64" s="232"/>
      <c r="H64" s="232"/>
      <c r="I64" s="232"/>
      <c r="J64" s="232"/>
      <c r="K64" s="232"/>
      <c r="L64" s="232"/>
      <c r="M64" s="232"/>
      <c r="N64" s="232"/>
    </row>
    <row r="68" spans="8:8">
      <c r="G68" s="131"/>
      <c r="H68" s="131"/>
      <c r="I68" s="131"/>
      <c r="K68" s="131"/>
      <c r="L68" s="131"/>
      <c r="M68" s="131"/>
      <c r="N68" s="131"/>
    </row>
    <row r="72" spans="8:8">
      <c r="G72" s="131"/>
      <c r="H72" s="131"/>
      <c r="I72" s="131"/>
      <c r="K72" s="131"/>
      <c r="L72" s="131"/>
      <c r="M72" s="131"/>
      <c r="N72" s="131"/>
    </row>
    <row r="75" spans="8:8">
      <c r="J75" s="131"/>
      <c r="K75" s="131"/>
    </row>
    <row r="79" spans="8:8">
      <c r="G79" s="131"/>
      <c r="L79" s="131"/>
      <c r="M79" s="131"/>
    </row>
    <row r="80" spans="8:8">
      <c r="G80" s="131"/>
      <c r="H80" s="131"/>
      <c r="L80" s="131"/>
      <c r="M80" s="131"/>
      <c r="N80" s="131"/>
    </row>
    <row r="82" spans="8:8">
      <c r="B82" s="236"/>
      <c r="C82" s="237"/>
      <c r="D82" s="237"/>
      <c r="E82" s="237"/>
      <c r="F82" s="237"/>
      <c r="G82" s="237"/>
      <c r="H82" s="237"/>
      <c r="I82" s="237"/>
      <c r="J82" s="237"/>
      <c r="K82" s="237"/>
      <c r="L82" s="237"/>
      <c r="M82" s="237"/>
      <c r="N82" s="237"/>
    </row>
    <row r="83" spans="8:8">
      <c r="B83" s="238"/>
      <c r="C83" s="239"/>
      <c r="D83" s="239"/>
      <c r="E83" s="239"/>
      <c r="F83" s="239"/>
      <c r="G83" s="239"/>
      <c r="H83" s="239"/>
      <c r="I83" s="239"/>
      <c r="J83" s="239"/>
      <c r="K83" s="239"/>
      <c r="L83" s="239"/>
      <c r="M83" s="239"/>
      <c r="N83" s="239"/>
    </row>
    <row r="84" spans="8:8">
      <c r="B84" s="240"/>
      <c r="C84" s="239"/>
      <c r="D84" s="239"/>
      <c r="E84" s="239"/>
      <c r="F84" s="239"/>
      <c r="G84" s="239"/>
      <c r="H84" s="239"/>
      <c r="I84" s="239"/>
      <c r="J84" s="239"/>
      <c r="K84" s="239"/>
      <c r="L84" s="239"/>
      <c r="M84" s="239"/>
      <c r="N84" s="239"/>
    </row>
    <row r="85" spans="8:8">
      <c r="B85" s="241"/>
      <c r="C85" s="242"/>
      <c r="D85" s="242"/>
      <c r="E85" s="242"/>
      <c r="F85" s="242"/>
      <c r="G85" s="242"/>
      <c r="H85" s="242"/>
      <c r="I85" s="242"/>
      <c r="J85" s="242"/>
      <c r="K85" s="242"/>
      <c r="L85" s="242"/>
      <c r="M85" s="242"/>
      <c r="N85" s="242"/>
    </row>
    <row r="86" spans="8:8">
      <c r="B86" s="241"/>
      <c r="C86" s="183"/>
      <c r="D86" s="183"/>
      <c r="E86" s="242"/>
      <c r="F86" s="183"/>
      <c r="G86" s="183"/>
      <c r="H86" s="183"/>
      <c r="I86" s="183"/>
      <c r="J86" s="183"/>
      <c r="K86" s="183"/>
      <c r="L86" s="183"/>
      <c r="M86" s="183"/>
      <c r="N86" s="242"/>
    </row>
    <row r="87" spans="8:8">
      <c r="B87" s="241"/>
      <c r="C87" s="242"/>
      <c r="D87" s="242"/>
      <c r="E87" s="242"/>
      <c r="F87" s="242"/>
      <c r="G87" s="242"/>
      <c r="H87" s="242"/>
      <c r="I87" s="242"/>
      <c r="J87" s="242"/>
      <c r="K87" s="242"/>
      <c r="L87" s="242"/>
      <c r="M87" s="242"/>
      <c r="N87" s="242"/>
    </row>
    <row r="88" spans="8:8">
      <c r="B88" s="241"/>
      <c r="C88" s="242"/>
      <c r="D88" s="242"/>
      <c r="E88" s="242"/>
      <c r="F88" s="242"/>
      <c r="G88" s="242"/>
      <c r="H88" s="183"/>
      <c r="I88" s="242"/>
      <c r="J88" s="242"/>
      <c r="K88" s="242"/>
      <c r="L88" s="242"/>
      <c r="M88" s="242"/>
      <c r="N88" s="242"/>
    </row>
    <row r="89" spans="8:8">
      <c r="B89" s="240"/>
      <c r="C89" s="239"/>
      <c r="D89" s="239"/>
      <c r="E89" s="239"/>
      <c r="F89" s="239"/>
      <c r="G89" s="239"/>
      <c r="H89" s="239"/>
      <c r="I89" s="239"/>
      <c r="J89" s="239"/>
      <c r="K89" s="239"/>
      <c r="L89" s="239"/>
      <c r="M89" s="239"/>
      <c r="N89" s="239"/>
    </row>
    <row r="90" spans="8:8">
      <c r="B90" s="241"/>
      <c r="C90" s="242"/>
      <c r="D90" s="242"/>
      <c r="E90" s="242"/>
      <c r="F90" s="242"/>
      <c r="G90" s="242"/>
      <c r="H90" s="242"/>
      <c r="I90" s="242"/>
      <c r="J90" s="242"/>
      <c r="K90" s="242"/>
      <c r="L90" s="242"/>
      <c r="M90" s="242"/>
      <c r="N90" s="242"/>
    </row>
    <row r="91" spans="8:8">
      <c r="B91" s="238"/>
      <c r="C91" s="239"/>
      <c r="D91" s="239"/>
      <c r="E91" s="239"/>
      <c r="F91" s="239"/>
      <c r="G91" s="239"/>
      <c r="H91" s="239"/>
      <c r="I91" s="239"/>
      <c r="J91" s="239"/>
      <c r="K91" s="239"/>
      <c r="L91" s="239"/>
      <c r="M91" s="239"/>
      <c r="N91" s="239"/>
    </row>
    <row r="92" spans="8:8">
      <c r="B92" s="241"/>
      <c r="C92" s="242"/>
      <c r="D92" s="242"/>
      <c r="E92" s="242"/>
      <c r="F92" s="242"/>
      <c r="G92" s="242"/>
      <c r="H92" s="242"/>
      <c r="I92" s="242"/>
      <c r="J92" s="242"/>
      <c r="K92" s="242"/>
      <c r="L92" s="242"/>
      <c r="M92" s="242"/>
      <c r="N92" s="242"/>
    </row>
    <row r="93" spans="8:8">
      <c r="B93" s="241"/>
      <c r="C93" s="183"/>
      <c r="D93" s="183"/>
      <c r="E93" s="183"/>
      <c r="F93" s="183"/>
      <c r="G93" s="183"/>
      <c r="H93" s="183"/>
      <c r="I93" s="183"/>
      <c r="J93" s="183"/>
      <c r="K93" s="183"/>
      <c r="L93" s="183"/>
      <c r="M93" s="183"/>
      <c r="N93" s="183"/>
    </row>
    <row r="94" spans="8:8">
      <c r="B94" s="241"/>
      <c r="C94" s="183"/>
      <c r="D94" s="183"/>
      <c r="E94" s="242"/>
      <c r="F94" s="242"/>
      <c r="G94" s="242"/>
      <c r="H94" s="242"/>
      <c r="I94" s="242"/>
      <c r="J94" s="242"/>
      <c r="K94" s="242"/>
      <c r="L94" s="242"/>
      <c r="M94" s="242"/>
      <c r="N94" s="242"/>
    </row>
    <row r="95" spans="8:8">
      <c r="B95" s="241"/>
      <c r="C95" s="183"/>
      <c r="D95" s="183"/>
      <c r="E95" s="183"/>
      <c r="F95" s="242"/>
      <c r="G95" s="183"/>
      <c r="H95" s="242"/>
      <c r="I95" s="183"/>
      <c r="J95" s="242"/>
      <c r="K95" s="183"/>
      <c r="L95" s="242"/>
      <c r="M95" s="242"/>
      <c r="N95" s="242"/>
    </row>
    <row r="96" spans="8:8">
      <c r="B96" s="241"/>
      <c r="C96" s="183"/>
      <c r="D96" s="183"/>
      <c r="E96" s="183"/>
      <c r="F96" s="183"/>
      <c r="G96" s="183"/>
      <c r="H96" s="183"/>
      <c r="I96" s="242"/>
      <c r="J96" s="183"/>
      <c r="K96" s="242"/>
      <c r="L96" s="242"/>
      <c r="M96" s="242"/>
      <c r="N96" s="242"/>
    </row>
    <row r="97" spans="8:8">
      <c r="B97" s="241"/>
      <c r="C97" s="183"/>
      <c r="D97" s="183"/>
      <c r="E97" s="183"/>
      <c r="F97" s="242"/>
      <c r="G97" s="183"/>
      <c r="H97" s="183"/>
      <c r="I97" s="183"/>
      <c r="J97" s="183"/>
      <c r="K97" s="183"/>
      <c r="L97" s="183"/>
      <c r="M97" s="183"/>
      <c r="N97" s="183"/>
    </row>
    <row r="98" spans="8:8">
      <c r="B98" s="241"/>
      <c r="C98" s="183"/>
      <c r="D98" s="183"/>
      <c r="E98" s="242"/>
      <c r="F98" s="183"/>
      <c r="G98" s="183"/>
      <c r="H98" s="183"/>
      <c r="I98" s="183"/>
      <c r="J98" s="183"/>
      <c r="K98" s="183"/>
      <c r="L98" s="183"/>
      <c r="M98" s="183"/>
      <c r="N98" s="183"/>
    </row>
    <row r="99" spans="8:8">
      <c r="B99" s="241"/>
      <c r="C99" s="242"/>
      <c r="D99" s="183"/>
      <c r="E99" s="242"/>
      <c r="F99" s="242"/>
      <c r="G99" s="183"/>
      <c r="H99" s="183"/>
      <c r="I99" s="183"/>
      <c r="J99" s="242"/>
      <c r="K99" s="242"/>
      <c r="L99" s="183"/>
      <c r="M99" s="242"/>
      <c r="N99" s="183"/>
    </row>
    <row r="100" spans="8:8">
      <c r="B100" s="241"/>
      <c r="C100" s="183"/>
      <c r="D100" s="183"/>
      <c r="E100" s="183"/>
      <c r="F100" s="183"/>
      <c r="G100" s="183"/>
      <c r="H100" s="242"/>
      <c r="I100" s="183"/>
      <c r="J100" s="183"/>
      <c r="K100" s="183"/>
      <c r="L100" s="183"/>
      <c r="M100" s="242"/>
      <c r="N100" s="183"/>
    </row>
    <row r="101" spans="8:8">
      <c r="B101" s="241"/>
      <c r="C101" s="183"/>
      <c r="D101" s="242"/>
      <c r="E101" s="183"/>
      <c r="F101" s="183"/>
      <c r="G101" s="242"/>
      <c r="H101" s="242"/>
      <c r="I101" s="242"/>
      <c r="J101" s="242"/>
      <c r="K101" s="183"/>
      <c r="L101" s="242"/>
      <c r="M101" s="242"/>
      <c r="N101" s="242"/>
    </row>
    <row r="102" spans="8:8">
      <c r="B102" s="238"/>
      <c r="C102" s="239"/>
      <c r="D102" s="239"/>
      <c r="E102" s="239"/>
      <c r="F102" s="239"/>
      <c r="G102" s="239"/>
      <c r="H102" s="239"/>
      <c r="I102" s="239"/>
      <c r="J102" s="239"/>
      <c r="K102" s="239"/>
      <c r="L102" s="239"/>
      <c r="M102" s="239"/>
      <c r="N102" s="239"/>
    </row>
    <row r="103" spans="8:8">
      <c r="B103" s="241"/>
      <c r="C103" s="183"/>
      <c r="D103" s="183"/>
      <c r="E103" s="183"/>
      <c r="F103" s="183"/>
      <c r="G103" s="183"/>
      <c r="H103" s="183"/>
      <c r="I103" s="183"/>
      <c r="J103" s="183"/>
      <c r="K103" s="183"/>
      <c r="L103" s="183"/>
      <c r="M103" s="183"/>
      <c r="N103" s="183"/>
    </row>
    <row r="104" spans="8:8">
      <c r="B104" s="241"/>
      <c r="C104" s="242"/>
      <c r="D104" s="242"/>
      <c r="E104" s="242"/>
      <c r="F104" s="242"/>
      <c r="G104" s="242"/>
      <c r="H104" s="242"/>
      <c r="I104" s="242"/>
      <c r="J104" s="242"/>
      <c r="K104" s="242"/>
      <c r="L104" s="242"/>
      <c r="M104" s="242"/>
      <c r="N104" s="242"/>
    </row>
    <row r="105" spans="8:8">
      <c r="B105" s="241"/>
      <c r="C105" s="242"/>
      <c r="D105" s="242"/>
      <c r="E105" s="242"/>
      <c r="F105" s="242"/>
      <c r="G105" s="242"/>
      <c r="H105" s="242"/>
      <c r="I105" s="242"/>
      <c r="J105" s="242"/>
      <c r="K105" s="242"/>
      <c r="L105" s="242"/>
      <c r="M105" s="242"/>
      <c r="N105" s="242"/>
    </row>
    <row r="106" spans="8:8">
      <c r="B106" s="241"/>
      <c r="C106" s="242"/>
      <c r="D106" s="242"/>
      <c r="E106" s="242"/>
      <c r="F106" s="242"/>
      <c r="G106" s="242"/>
      <c r="H106" s="242"/>
      <c r="I106" s="242"/>
      <c r="J106" s="242"/>
      <c r="K106" s="242"/>
      <c r="L106" s="242"/>
      <c r="M106" s="242"/>
      <c r="N106" s="242"/>
    </row>
    <row r="107" spans="8:8">
      <c r="B107" s="241"/>
      <c r="C107" s="242"/>
      <c r="D107" s="242"/>
      <c r="E107" s="242"/>
      <c r="F107" s="242"/>
      <c r="G107" s="242"/>
      <c r="H107" s="242"/>
      <c r="I107" s="242"/>
      <c r="J107" s="242"/>
      <c r="K107" s="242"/>
      <c r="L107" s="242"/>
      <c r="M107" s="242"/>
      <c r="N107" s="242"/>
    </row>
    <row r="108" spans="8:8">
      <c r="B108" s="241"/>
      <c r="C108" s="183"/>
      <c r="D108" s="183"/>
      <c r="E108" s="183"/>
      <c r="F108" s="183"/>
      <c r="G108" s="183"/>
      <c r="H108" s="183"/>
      <c r="I108" s="183"/>
      <c r="J108" s="183"/>
      <c r="K108" s="183"/>
      <c r="L108" s="183"/>
      <c r="M108" s="183"/>
      <c r="N108" s="183"/>
    </row>
    <row r="109" spans="8:8">
      <c r="B109" s="241"/>
      <c r="C109" s="242"/>
      <c r="D109" s="183"/>
      <c r="E109" s="242"/>
      <c r="F109" s="242"/>
      <c r="G109" s="242"/>
      <c r="H109" s="183"/>
      <c r="I109" s="183"/>
      <c r="J109" s="242"/>
      <c r="K109" s="183"/>
      <c r="L109" s="242"/>
      <c r="M109" s="242"/>
      <c r="N109" s="183"/>
    </row>
    <row r="110" spans="8:8">
      <c r="B110" s="238"/>
      <c r="C110" s="239"/>
      <c r="D110" s="243"/>
      <c r="E110" s="243"/>
      <c r="F110" s="239"/>
      <c r="G110" s="243"/>
      <c r="H110" s="239"/>
      <c r="I110" s="239"/>
      <c r="J110" s="243"/>
      <c r="K110" s="239"/>
      <c r="L110" s="239"/>
      <c r="M110" s="243"/>
      <c r="N110" s="239"/>
    </row>
    <row r="111" spans="8:8">
      <c r="B111" s="244"/>
      <c r="C111" s="245"/>
      <c r="D111" s="245"/>
      <c r="E111" s="245"/>
      <c r="F111" s="245"/>
      <c r="G111" s="245"/>
      <c r="H111" s="245"/>
      <c r="I111" s="245"/>
      <c r="J111" s="245"/>
      <c r="K111" s="245"/>
      <c r="L111" s="245"/>
      <c r="M111" s="245"/>
      <c r="N111" s="245"/>
    </row>
    <row r="112" spans="8:8">
      <c r="B112" s="244"/>
      <c r="C112" s="246"/>
      <c r="D112" s="246"/>
      <c r="E112" s="246"/>
      <c r="F112" s="246"/>
      <c r="G112" s="246"/>
      <c r="H112" s="246"/>
      <c r="I112" s="246"/>
      <c r="J112" s="246"/>
      <c r="K112" s="246"/>
      <c r="L112" s="246"/>
      <c r="M112" s="246"/>
      <c r="N112" s="246"/>
    </row>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M93"/>
  <sheetViews>
    <sheetView workbookViewId="0" zoomScale="93">
      <pane xSplit="1" ySplit="1" topLeftCell="B2" state="frozen" activePane="bottomRight"/>
      <selection pane="bottomRight" activeCell="B1" sqref="B1"/>
    </sheetView>
  </sheetViews>
  <sheetFormatPr defaultRowHeight="12.75" defaultColWidth="10"/>
  <cols>
    <col min="1" max="1" customWidth="1" bestFit="1" width="26.710938" style="206"/>
    <col min="2" max="11" customWidth="1" bestFit="1" width="11.425781" style="206"/>
    <col min="12" max="12" customWidth="1" bestFit="1" width="20.285156" style="206"/>
    <col min="13" max="16384" customWidth="0" width="10.425781" style="206"/>
  </cols>
  <sheetData>
    <row r="1" spans="8:8" s="247" customFormat="1">
      <c r="A1" s="247" t="s">
        <v>119</v>
      </c>
      <c r="B1" s="247" t="s">
        <v>120</v>
      </c>
      <c r="E1" s="248" t="str">
        <f>IF(B2&lt;&gt;B3,"A NEW VERSION OF THE WORKSHEET IS AVAILABLE","")</f>
        <v/>
      </c>
      <c r="F1" s="248"/>
      <c r="G1" s="248"/>
      <c r="H1" s="248"/>
      <c r="I1" s="248"/>
      <c r="J1" s="248"/>
      <c r="K1" s="248"/>
    </row>
    <row r="2" spans="8:8">
      <c r="A2" s="247" t="s">
        <v>121</v>
      </c>
      <c r="B2" s="206">
        <v>2.1</v>
      </c>
      <c r="E2" s="249" t="s">
        <v>122</v>
      </c>
      <c r="F2" s="249"/>
      <c r="G2" s="249"/>
      <c r="H2" s="249"/>
      <c r="I2" s="249"/>
      <c r="J2" s="249"/>
      <c r="K2" s="249"/>
    </row>
    <row r="3" spans="8:8">
      <c r="A3" s="247" t="s">
        <v>123</v>
      </c>
      <c r="B3" s="206">
        <v>2.1</v>
      </c>
    </row>
    <row r="4" spans="8:8">
      <c r="A4" s="247"/>
    </row>
    <row r="5" spans="8:8">
      <c r="A5" s="247" t="s">
        <v>124</v>
      </c>
    </row>
    <row r="6" spans="8:8">
      <c r="A6" s="206" t="s">
        <v>125</v>
      </c>
      <c r="B6" s="206">
        <f>IF(B9&gt;0,B9/B8,0)</f>
        <v>137.5293982459848</v>
      </c>
    </row>
    <row r="7" spans="8:8">
      <c r="A7" s="206" t="s">
        <v>126</v>
      </c>
      <c r="B7" s="207">
        <v>2.0</v>
      </c>
    </row>
    <row r="8" spans="8:8">
      <c r="A8" s="206" t="s">
        <v>127</v>
      </c>
      <c r="B8" s="207">
        <v>3785.6</v>
      </c>
    </row>
    <row r="9" spans="8:8">
      <c r="A9" s="206" t="s">
        <v>19</v>
      </c>
      <c r="B9" s="207">
        <v>520631.29</v>
      </c>
    </row>
    <row r="15" spans="8:8">
      <c r="A15" s="247" t="s">
        <v>128</v>
      </c>
      <c r="B15" s="206">
        <f>B26+B34</f>
        <v>19616.34</v>
      </c>
      <c r="K15" s="206">
        <f>K17-K18-K20-K21-K22-K23-K19</f>
        <v>38354.899999999994</v>
      </c>
    </row>
    <row r="16" spans="8:8" s="250" customFormat="1">
      <c r="A16" s="251" t="s">
        <v>129</v>
      </c>
      <c r="B16" s="252">
        <v>42825.0</v>
      </c>
      <c r="C16" s="252">
        <v>43190.0</v>
      </c>
      <c r="D16" s="252">
        <v>43555.0</v>
      </c>
      <c r="E16" s="252">
        <v>43921.0</v>
      </c>
      <c r="F16" s="252">
        <v>44286.0</v>
      </c>
      <c r="G16" s="252">
        <v>44651.0</v>
      </c>
      <c r="H16" s="252">
        <v>45016.0</v>
      </c>
      <c r="I16" s="252">
        <v>45382.0</v>
      </c>
      <c r="J16" s="252">
        <v>45747.0</v>
      </c>
      <c r="K16" s="252">
        <v>46112.0</v>
      </c>
    </row>
    <row r="17" spans="8:8">
      <c r="A17" s="206" t="s">
        <v>70</v>
      </c>
      <c r="B17" s="207">
        <v>109311.81</v>
      </c>
      <c r="C17" s="207">
        <v>119683.16</v>
      </c>
      <c r="D17" s="207">
        <v>135220.29</v>
      </c>
      <c r="E17" s="207">
        <v>145452.36</v>
      </c>
      <c r="F17" s="207">
        <v>135979.03</v>
      </c>
      <c r="G17" s="207">
        <v>156521.23</v>
      </c>
      <c r="H17" s="207">
        <v>183340.7</v>
      </c>
      <c r="I17" s="207">
        <v>221112.91</v>
      </c>
      <c r="J17" s="207">
        <v>255734.45</v>
      </c>
      <c r="K17" s="207">
        <v>285874.36</v>
      </c>
    </row>
    <row r="18" spans="8:8" ht="15.0">
      <c r="A18" s="206" t="s">
        <v>130</v>
      </c>
      <c r="B18" s="211">
        <v>36648.54</v>
      </c>
      <c r="C18" s="211">
        <v>40876.24</v>
      </c>
      <c r="D18" s="211">
        <v>46889.87</v>
      </c>
      <c r="E18" s="211">
        <v>46705.87</v>
      </c>
      <c r="F18" s="211">
        <v>41333.86</v>
      </c>
      <c r="G18" s="211">
        <v>51676.55</v>
      </c>
      <c r="H18" s="211">
        <v>63285.32</v>
      </c>
      <c r="I18" s="211">
        <v>75319.99</v>
      </c>
      <c r="J18" s="211">
        <v>92583.6</v>
      </c>
      <c r="K18" s="211">
        <v>97682.71</v>
      </c>
    </row>
    <row r="19" spans="8:8" ht="15.0">
      <c r="A19" s="206" t="s">
        <v>131</v>
      </c>
      <c r="B19" s="211">
        <v>-84.0</v>
      </c>
      <c r="C19" s="211">
        <v>1315.23</v>
      </c>
      <c r="D19" s="211">
        <v>731.11</v>
      </c>
      <c r="E19" s="211">
        <v>-647.7</v>
      </c>
      <c r="F19" s="211">
        <v>-343.37</v>
      </c>
      <c r="G19" s="211">
        <v>2076.6</v>
      </c>
      <c r="H19" s="211">
        <v>3156.64</v>
      </c>
      <c r="I19" s="211">
        <v>-1021.07</v>
      </c>
      <c r="J19" s="211">
        <v>410.79</v>
      </c>
      <c r="K19" s="211">
        <v>1963.12</v>
      </c>
    </row>
    <row r="20" spans="8:8">
      <c r="A20" s="206" t="s">
        <v>132</v>
      </c>
      <c r="B20" s="207">
        <v>1423.19</v>
      </c>
      <c r="C20" s="207">
        <v>1399.62</v>
      </c>
      <c r="D20" s="207">
        <v>2205.6</v>
      </c>
      <c r="E20" s="207">
        <v>2079.84</v>
      </c>
      <c r="F20" s="207">
        <v>1581.33</v>
      </c>
      <c r="G20" s="207">
        <v>2267.26</v>
      </c>
      <c r="H20" s="207">
        <v>2655.76</v>
      </c>
      <c r="I20" s="207">
        <v>2745.19</v>
      </c>
      <c r="J20" s="207">
        <v>2299.81</v>
      </c>
      <c r="K20" s="207">
        <v>2276.53</v>
      </c>
    </row>
    <row r="21" spans="8:8">
      <c r="A21" s="206" t="s">
        <v>133</v>
      </c>
      <c r="B21" s="207">
        <v>32976.99</v>
      </c>
      <c r="C21" s="207">
        <v>35464.04</v>
      </c>
      <c r="D21" s="207">
        <v>38772.73</v>
      </c>
      <c r="E21" s="207">
        <v>38942.54</v>
      </c>
      <c r="F21" s="207">
        <v>35725.84</v>
      </c>
      <c r="G21" s="207">
        <v>41993.25</v>
      </c>
      <c r="H21" s="207">
        <v>47648.63</v>
      </c>
      <c r="I21" s="207">
        <v>61400.51</v>
      </c>
      <c r="J21" s="207">
        <v>70064.42</v>
      </c>
      <c r="K21" s="207">
        <v>87563.9</v>
      </c>
    </row>
    <row r="22" spans="8:8">
      <c r="A22" s="206" t="s">
        <v>134</v>
      </c>
      <c r="B22" s="207">
        <v>13857.57</v>
      </c>
      <c r="C22" s="207">
        <v>15277.07</v>
      </c>
      <c r="D22" s="207">
        <v>17475.35</v>
      </c>
      <c r="E22" s="207">
        <v>23125.64</v>
      </c>
      <c r="F22" s="207">
        <v>24758.51</v>
      </c>
      <c r="G22" s="207">
        <v>29701.71</v>
      </c>
      <c r="H22" s="207">
        <v>37222.87</v>
      </c>
      <c r="I22" s="207">
        <v>41178.2</v>
      </c>
      <c r="J22" s="207">
        <v>46774.52</v>
      </c>
      <c r="K22" s="207">
        <v>52191.85</v>
      </c>
    </row>
    <row r="23" spans="8:8">
      <c r="A23" s="206" t="s">
        <v>135</v>
      </c>
      <c r="B23" s="207">
        <v>4273.19</v>
      </c>
      <c r="C23" s="207">
        <v>4576.99</v>
      </c>
      <c r="D23" s="207">
        <v>5074.72</v>
      </c>
      <c r="E23" s="207">
        <v>5255.1</v>
      </c>
      <c r="F23" s="207">
        <v>3039.18</v>
      </c>
      <c r="G23" s="207">
        <v>3575.28</v>
      </c>
      <c r="H23" s="207">
        <v>4650.22</v>
      </c>
      <c r="I23" s="207">
        <v>4908.12</v>
      </c>
      <c r="J23" s="207">
        <v>5598.1</v>
      </c>
      <c r="K23" s="207">
        <v>5841.35</v>
      </c>
    </row>
    <row r="24" spans="8:8">
      <c r="A24" s="206" t="s">
        <v>136</v>
      </c>
      <c r="B24" s="207">
        <v>3427.92</v>
      </c>
      <c r="C24" s="207">
        <v>3293.09</v>
      </c>
      <c r="D24" s="207">
        <v>2667.31</v>
      </c>
      <c r="E24" s="207">
        <v>4142.57</v>
      </c>
      <c r="F24" s="207">
        <v>5736.7</v>
      </c>
      <c r="G24" s="207">
        <v>5069.89</v>
      </c>
      <c r="H24" s="207">
        <v>3868.52</v>
      </c>
      <c r="I24" s="207">
        <v>5781.71</v>
      </c>
      <c r="J24" s="207">
        <v>4397.89</v>
      </c>
      <c r="K24" s="207">
        <v>6870.44</v>
      </c>
    </row>
    <row r="25" spans="8:8">
      <c r="A25" s="206" t="s">
        <v>137</v>
      </c>
      <c r="B25" s="207">
        <v>1465.54</v>
      </c>
      <c r="C25" s="207">
        <v>1464.93</v>
      </c>
      <c r="D25" s="207">
        <v>2700.61</v>
      </c>
      <c r="E25" s="207">
        <v>3015.47</v>
      </c>
      <c r="F25" s="207">
        <v>8111.25</v>
      </c>
      <c r="G25" s="207">
        <v>2364.01</v>
      </c>
      <c r="H25" s="207">
        <v>2890.7</v>
      </c>
      <c r="I25" s="207">
        <v>4953.49</v>
      </c>
      <c r="J25" s="207">
        <v>3197.85</v>
      </c>
      <c r="K25" s="207">
        <v>4985.8</v>
      </c>
    </row>
    <row r="26" spans="8:8">
      <c r="A26" s="206" t="s">
        <v>83</v>
      </c>
      <c r="B26" s="207">
        <v>2369.93</v>
      </c>
      <c r="C26" s="207">
        <v>2223.48</v>
      </c>
      <c r="D26" s="207">
        <v>1923.03</v>
      </c>
      <c r="E26" s="207">
        <v>2462.27</v>
      </c>
      <c r="F26" s="207">
        <v>2904.21</v>
      </c>
      <c r="G26" s="207">
        <v>2947.95</v>
      </c>
      <c r="H26" s="207">
        <v>3502.25</v>
      </c>
      <c r="I26" s="207">
        <v>3682.33</v>
      </c>
      <c r="J26" s="207">
        <v>4121.18</v>
      </c>
      <c r="K26" s="207">
        <v>4364.75</v>
      </c>
    </row>
    <row r="27" spans="8:8" ht="15.0">
      <c r="A27" s="206" t="s">
        <v>81</v>
      </c>
      <c r="B27" s="207">
        <v>6828.66</v>
      </c>
      <c r="C27" s="207">
        <v>7713.63</v>
      </c>
      <c r="D27" s="207">
        <v>9338.73</v>
      </c>
      <c r="E27" s="207">
        <v>11020.78</v>
      </c>
      <c r="F27" s="207">
        <v>11749.58</v>
      </c>
      <c r="G27" s="207">
        <v>9234.98</v>
      </c>
      <c r="H27" s="207">
        <v>9445.44</v>
      </c>
      <c r="I27" s="207">
        <v>9512.17</v>
      </c>
      <c r="J27" s="211">
        <v>9924.78</v>
      </c>
      <c r="K27" s="211">
        <v>10055.94</v>
      </c>
    </row>
    <row r="28" spans="8:8">
      <c r="A28" s="206" t="s">
        <v>138</v>
      </c>
      <c r="B28" s="207">
        <v>8887.36</v>
      </c>
      <c r="C28" s="207">
        <v>11639.16</v>
      </c>
      <c r="D28" s="207">
        <v>14304.67</v>
      </c>
      <c r="E28" s="207">
        <v>14085.52</v>
      </c>
      <c r="F28" s="207">
        <v>16917.7</v>
      </c>
      <c r="G28" s="207">
        <v>14494.97</v>
      </c>
      <c r="H28" s="207">
        <v>17109.03</v>
      </c>
      <c r="I28" s="207">
        <v>20517.11</v>
      </c>
      <c r="J28" s="207">
        <v>23578.79</v>
      </c>
      <c r="K28" s="207">
        <v>25975.81</v>
      </c>
    </row>
    <row r="29" spans="8:8">
      <c r="A29" s="206" t="s">
        <v>87</v>
      </c>
      <c r="B29" s="207">
        <v>2006.59</v>
      </c>
      <c r="C29" s="207">
        <v>3198.87</v>
      </c>
      <c r="D29" s="207">
        <v>4067.09</v>
      </c>
      <c r="E29" s="207">
        <v>3263.2</v>
      </c>
      <c r="F29" s="207">
        <v>4010.82</v>
      </c>
      <c r="G29" s="207">
        <v>4203.92</v>
      </c>
      <c r="H29" s="207">
        <v>4484.16</v>
      </c>
      <c r="I29" s="207">
        <v>4947.39</v>
      </c>
      <c r="J29" s="207">
        <v>5891.4</v>
      </c>
      <c r="K29" s="207">
        <v>6816.41</v>
      </c>
    </row>
    <row r="30" spans="8:8">
      <c r="A30" s="206" t="s">
        <v>139</v>
      </c>
      <c r="B30" s="207">
        <v>6041.23</v>
      </c>
      <c r="C30" s="207">
        <v>7369.86</v>
      </c>
      <c r="D30" s="207">
        <v>8905.13</v>
      </c>
      <c r="E30" s="207">
        <v>9549.03</v>
      </c>
      <c r="F30" s="207">
        <v>11582.93</v>
      </c>
      <c r="G30" s="207">
        <v>8669.33</v>
      </c>
      <c r="H30" s="207">
        <v>10470.72</v>
      </c>
      <c r="I30" s="207">
        <v>13059.11</v>
      </c>
      <c r="J30" s="207">
        <v>15037.11</v>
      </c>
      <c r="K30" s="207">
        <v>16083.99</v>
      </c>
    </row>
    <row r="31" spans="8:8">
      <c r="A31" s="206" t="s">
        <v>140</v>
      </c>
      <c r="B31" s="207">
        <v>1306.13</v>
      </c>
      <c r="C31" s="207">
        <v>2242.16</v>
      </c>
      <c r="D31" s="207">
        <v>2524.95</v>
      </c>
      <c r="E31" s="207">
        <v>2527.02</v>
      </c>
      <c r="F31" s="207">
        <v>5056.38</v>
      </c>
      <c r="G31" s="207">
        <v>3091.11</v>
      </c>
      <c r="H31" s="207">
        <v>3373.2</v>
      </c>
      <c r="I31" s="207">
        <v>4673.81</v>
      </c>
      <c r="J31" s="207">
        <v>4675.68</v>
      </c>
      <c r="K31" s="207">
        <v>5227.47</v>
      </c>
    </row>
    <row r="32" spans="8:8">
      <c r="A32" s="206" t="s">
        <v>88</v>
      </c>
      <c r="B32" s="215">
        <f>B29/B28</f>
        <v>0.22578020919598168</v>
      </c>
      <c r="C32" s="215">
        <f t="shared" si="0" ref="C32:K32">C29/C28</f>
        <v>0.27483684389595125</v>
      </c>
      <c r="D32" s="215">
        <f t="shared" si="0"/>
        <v>0.28431903706971223</v>
      </c>
      <c r="E32" s="215">
        <f t="shared" si="0"/>
        <v>0.23167053825488867</v>
      </c>
      <c r="F32" s="215">
        <f t="shared" si="0"/>
        <v>0.23707832625002218</v>
      </c>
      <c r="G32" s="215">
        <f t="shared" si="0"/>
        <v>0.29002612630450425</v>
      </c>
      <c r="H32" s="215">
        <f t="shared" si="0"/>
        <v>0.26209317535827575</v>
      </c>
      <c r="I32" s="215">
        <f t="shared" si="0"/>
        <v>0.24113483819114875</v>
      </c>
      <c r="J32" s="215">
        <f t="shared" si="0"/>
        <v>0.2498601497362672</v>
      </c>
      <c r="K32" s="215">
        <f t="shared" si="0"/>
        <v>0.2624137611108181</v>
      </c>
    </row>
    <row r="34" spans="8:8">
      <c r="A34" s="206" t="s">
        <v>79</v>
      </c>
      <c r="B34" s="206">
        <f>+B30+B29+B27+B26</f>
        <v>17246.41</v>
      </c>
      <c r="C34" s="206">
        <f t="shared" si="1" ref="C34:K34">+C30+C29+C27+C26</f>
        <v>20505.84</v>
      </c>
      <c r="D34" s="206">
        <f t="shared" si="1"/>
        <v>24233.98</v>
      </c>
      <c r="E34" s="206">
        <f t="shared" si="1"/>
        <v>26295.28</v>
      </c>
      <c r="F34" s="206">
        <f t="shared" si="1"/>
        <v>30247.54</v>
      </c>
      <c r="G34" s="206">
        <f t="shared" si="1"/>
        <v>25056.18</v>
      </c>
      <c r="H34" s="206">
        <f>+H30+H29+H27+H26</f>
        <v>27902.57</v>
      </c>
      <c r="I34" s="206">
        <f t="shared" si="1"/>
        <v>31201.0</v>
      </c>
      <c r="J34" s="206">
        <f>+J30+J29+J27+J26</f>
        <v>34974.47</v>
      </c>
      <c r="K34" s="206">
        <f t="shared" si="1"/>
        <v>37321.09</v>
      </c>
    </row>
    <row r="40" spans="8:8">
      <c r="A40" s="247" t="s">
        <v>141</v>
      </c>
    </row>
    <row r="41" spans="8:8" s="250" customFormat="1">
      <c r="A41" s="251" t="s">
        <v>129</v>
      </c>
      <c r="B41" s="252">
        <v>45291.0</v>
      </c>
      <c r="C41" s="252">
        <v>45382.0</v>
      </c>
      <c r="D41" s="252">
        <v>45473.0</v>
      </c>
      <c r="E41" s="252">
        <v>45565.0</v>
      </c>
      <c r="F41" s="252">
        <v>45657.0</v>
      </c>
      <c r="G41" s="252">
        <v>45747.0</v>
      </c>
      <c r="H41" s="252">
        <v>45838.0</v>
      </c>
      <c r="I41" s="252">
        <v>45930.0</v>
      </c>
      <c r="J41" s="252">
        <v>46022.0</v>
      </c>
      <c r="K41" s="252">
        <v>46112.0</v>
      </c>
    </row>
    <row r="42" spans="8:8">
      <c r="A42" s="206" t="s">
        <v>70</v>
      </c>
      <c r="B42" s="207">
        <v>55127.82</v>
      </c>
      <c r="C42" s="207">
        <v>67078.68</v>
      </c>
      <c r="D42" s="207">
        <v>55119.82</v>
      </c>
      <c r="E42" s="207">
        <v>61554.58</v>
      </c>
      <c r="F42" s="207">
        <v>64667.78</v>
      </c>
      <c r="G42" s="207">
        <v>74392.28</v>
      </c>
      <c r="H42" s="207">
        <v>63678.92</v>
      </c>
      <c r="I42" s="207">
        <v>67983.53</v>
      </c>
      <c r="J42" s="207">
        <v>71449.7</v>
      </c>
      <c r="K42" s="207">
        <v>82762.16</v>
      </c>
    </row>
    <row r="43" spans="8:8">
      <c r="A43" s="206" t="s">
        <v>142</v>
      </c>
      <c r="B43" s="207">
        <v>47929.17</v>
      </c>
      <c r="C43" s="207">
        <v>58425.64</v>
      </c>
      <c r="D43" s="207">
        <v>48074.0</v>
      </c>
      <c r="E43" s="207">
        <v>53637.53</v>
      </c>
      <c r="F43" s="207">
        <v>56769.62</v>
      </c>
      <c r="G43" s="207">
        <v>64516.34</v>
      </c>
      <c r="H43" s="207">
        <v>55654.91</v>
      </c>
      <c r="I43" s="207">
        <v>59470.29</v>
      </c>
      <c r="J43" s="207">
        <v>62259.49</v>
      </c>
      <c r="K43" s="207">
        <v>72343.14</v>
      </c>
    </row>
    <row r="44" spans="8:8">
      <c r="A44" s="206" t="s">
        <v>137</v>
      </c>
      <c r="B44" s="207">
        <v>837.75</v>
      </c>
      <c r="C44" s="207">
        <v>1135.35</v>
      </c>
      <c r="D44" s="207">
        <v>920.64</v>
      </c>
      <c r="E44" s="207">
        <v>1101.27</v>
      </c>
      <c r="F44" s="207">
        <v>967.87</v>
      </c>
      <c r="G44" s="207">
        <v>1609.83</v>
      </c>
      <c r="H44" s="207">
        <v>1356.78</v>
      </c>
      <c r="I44" s="207">
        <v>1384.28</v>
      </c>
      <c r="J44" s="207">
        <v>-350.05</v>
      </c>
      <c r="K44" s="207">
        <v>1647.24</v>
      </c>
    </row>
    <row r="45" spans="8:8">
      <c r="A45" s="206" t="s">
        <v>83</v>
      </c>
      <c r="B45" s="207">
        <v>920.75</v>
      </c>
      <c r="C45" s="207">
        <v>1021.2</v>
      </c>
      <c r="D45" s="207">
        <v>997.92</v>
      </c>
      <c r="E45" s="207">
        <v>1023.84</v>
      </c>
      <c r="F45" s="207">
        <v>1047.0</v>
      </c>
      <c r="G45" s="207">
        <v>1052.42</v>
      </c>
      <c r="H45" s="207">
        <v>1033.3</v>
      </c>
      <c r="I45" s="207">
        <v>1091.77</v>
      </c>
      <c r="J45" s="207">
        <v>1071.74</v>
      </c>
      <c r="K45" s="207">
        <v>1167.95</v>
      </c>
    </row>
    <row r="46" spans="8:8" ht="15.0">
      <c r="A46" s="206" t="s">
        <v>81</v>
      </c>
      <c r="B46" s="211">
        <v>2343.82</v>
      </c>
      <c r="C46" s="211">
        <v>2345.35</v>
      </c>
      <c r="D46" s="211">
        <v>2291.89</v>
      </c>
      <c r="E46" s="211">
        <v>2439.39</v>
      </c>
      <c r="F46" s="211">
        <v>2486.0</v>
      </c>
      <c r="G46" s="211">
        <v>2419.33</v>
      </c>
      <c r="H46" s="211">
        <v>2487.96</v>
      </c>
      <c r="I46" s="211">
        <v>2469.64</v>
      </c>
      <c r="J46" s="211">
        <v>2398.53</v>
      </c>
      <c r="K46" s="211">
        <v>2488.03</v>
      </c>
    </row>
    <row r="47" spans="8:8">
      <c r="A47" s="206" t="s">
        <v>138</v>
      </c>
      <c r="B47" s="207">
        <v>4771.83</v>
      </c>
      <c r="C47" s="207">
        <v>6421.84</v>
      </c>
      <c r="D47" s="207">
        <v>4676.65</v>
      </c>
      <c r="E47" s="207">
        <v>5555.09</v>
      </c>
      <c r="F47" s="207">
        <v>5333.03</v>
      </c>
      <c r="G47" s="207">
        <v>8014.02</v>
      </c>
      <c r="H47" s="207">
        <v>5859.53</v>
      </c>
      <c r="I47" s="207">
        <v>6336.11</v>
      </c>
      <c r="J47" s="207">
        <v>5369.89</v>
      </c>
      <c r="K47" s="207">
        <v>8410.28</v>
      </c>
    </row>
    <row r="48" spans="8:8">
      <c r="A48" s="206" t="s">
        <v>87</v>
      </c>
      <c r="B48" s="207">
        <v>1177.32</v>
      </c>
      <c r="C48" s="207">
        <v>1418.3</v>
      </c>
      <c r="D48" s="207">
        <v>1236.54</v>
      </c>
      <c r="E48" s="207">
        <v>1442.28</v>
      </c>
      <c r="F48" s="207">
        <v>1332.0</v>
      </c>
      <c r="G48" s="207">
        <v>1880.58</v>
      </c>
      <c r="H48" s="207">
        <v>1533.96</v>
      </c>
      <c r="I48" s="207">
        <v>1649.02</v>
      </c>
      <c r="J48" s="207">
        <v>1540.66</v>
      </c>
      <c r="K48" s="207">
        <v>2092.75</v>
      </c>
    </row>
    <row r="49" spans="8:8">
      <c r="A49" s="206" t="s">
        <v>139</v>
      </c>
      <c r="B49" s="207">
        <v>2947.36</v>
      </c>
      <c r="C49" s="207">
        <v>4396.12</v>
      </c>
      <c r="D49" s="207">
        <v>2785.72</v>
      </c>
      <c r="E49" s="207">
        <v>3395.29</v>
      </c>
      <c r="F49" s="207">
        <v>3358.84</v>
      </c>
      <c r="G49" s="207">
        <v>5497.26</v>
      </c>
      <c r="H49" s="207">
        <v>3617.19</v>
      </c>
      <c r="I49" s="207">
        <v>3926.09</v>
      </c>
      <c r="J49" s="207">
        <v>3215.11</v>
      </c>
      <c r="K49" s="207">
        <v>5325.6</v>
      </c>
    </row>
    <row r="50" spans="8:8">
      <c r="A50" s="206" t="s">
        <v>143</v>
      </c>
      <c r="B50" s="207">
        <v>7198.65</v>
      </c>
      <c r="C50" s="207">
        <v>8653.04</v>
      </c>
      <c r="D50" s="207">
        <v>7045.82</v>
      </c>
      <c r="E50" s="207">
        <v>7917.05</v>
      </c>
      <c r="F50" s="207">
        <v>7898.16</v>
      </c>
      <c r="G50" s="207">
        <v>9875.94</v>
      </c>
      <c r="H50" s="207">
        <v>8024.01</v>
      </c>
      <c r="I50" s="207">
        <v>8513.24</v>
      </c>
      <c r="J50" s="207">
        <v>9190.21</v>
      </c>
      <c r="K50" s="207">
        <v>10419.02</v>
      </c>
    </row>
    <row r="51" spans="8:8">
      <c r="A51" s="206" t="s">
        <v>79</v>
      </c>
      <c r="B51" s="206">
        <f>B49+B48+B46+B45</f>
        <v>7389.25</v>
      </c>
      <c r="C51" s="206">
        <f t="shared" si="2" ref="C51:K51">C49+C48+C46+C45</f>
        <v>9180.970000000001</v>
      </c>
      <c r="D51" s="206">
        <f t="shared" si="2"/>
        <v>7312.07</v>
      </c>
      <c r="E51" s="206">
        <f t="shared" si="2"/>
        <v>8300.8</v>
      </c>
      <c r="F51" s="206">
        <f t="shared" si="2"/>
        <v>8223.84</v>
      </c>
      <c r="G51" s="206">
        <f t="shared" si="2"/>
        <v>10849.59</v>
      </c>
      <c r="H51" s="206">
        <f t="shared" si="2"/>
        <v>8672.41</v>
      </c>
      <c r="I51" s="206">
        <f t="shared" si="2"/>
        <v>9136.52</v>
      </c>
      <c r="J51" s="206">
        <f t="shared" si="2"/>
        <v>8226.04</v>
      </c>
      <c r="K51" s="206">
        <f t="shared" si="2"/>
        <v>11074.33</v>
      </c>
    </row>
    <row r="55" spans="8:8">
      <c r="A55" s="247" t="s">
        <v>144</v>
      </c>
    </row>
    <row r="56" spans="8:8" s="250" customFormat="1">
      <c r="A56" s="251" t="s">
        <v>129</v>
      </c>
      <c r="B56" s="252">
        <v>42825.0</v>
      </c>
      <c r="C56" s="252">
        <v>43190.0</v>
      </c>
      <c r="D56" s="252">
        <v>43555.0</v>
      </c>
      <c r="E56" s="252">
        <v>43921.0</v>
      </c>
      <c r="F56" s="252">
        <v>44286.0</v>
      </c>
      <c r="G56" s="252">
        <v>44651.0</v>
      </c>
      <c r="H56" s="252">
        <v>45016.0</v>
      </c>
      <c r="I56" s="252">
        <v>45382.0</v>
      </c>
      <c r="J56" s="252">
        <v>45747.0</v>
      </c>
      <c r="K56" s="252">
        <v>46112.0</v>
      </c>
    </row>
    <row r="57" spans="8:8">
      <c r="A57" s="206" t="s">
        <v>98</v>
      </c>
      <c r="B57" s="207">
        <v>186.59</v>
      </c>
      <c r="C57" s="207">
        <v>280.27</v>
      </c>
      <c r="D57" s="207">
        <v>280.55</v>
      </c>
      <c r="E57" s="207">
        <v>280.78</v>
      </c>
      <c r="F57" s="207">
        <v>280.91</v>
      </c>
      <c r="G57" s="207">
        <v>281.01</v>
      </c>
      <c r="H57" s="207">
        <v>281.1</v>
      </c>
      <c r="I57" s="207">
        <v>274.93</v>
      </c>
      <c r="J57" s="207">
        <v>275.04</v>
      </c>
      <c r="K57" s="207">
        <v>275.13</v>
      </c>
    </row>
    <row r="58" spans="8:8">
      <c r="A58" s="206" t="s">
        <v>99</v>
      </c>
      <c r="B58" s="207">
        <v>50029.93</v>
      </c>
      <c r="C58" s="207">
        <v>54623.23</v>
      </c>
      <c r="D58" s="207">
        <v>62094.25</v>
      </c>
      <c r="E58" s="207">
        <v>66442.44</v>
      </c>
      <c r="F58" s="207">
        <v>75587.62</v>
      </c>
      <c r="G58" s="207">
        <v>82126.65</v>
      </c>
      <c r="H58" s="207">
        <v>89044.85</v>
      </c>
      <c r="I58" s="207">
        <v>86084.31</v>
      </c>
      <c r="J58" s="207">
        <v>97380.56</v>
      </c>
      <c r="K58" s="207">
        <v>109014.67</v>
      </c>
    </row>
    <row r="59" spans="8:8" ht="15.0">
      <c r="A59" s="206" t="s">
        <v>100</v>
      </c>
      <c r="B59" s="211">
        <v>93953.95</v>
      </c>
      <c r="C59" s="211">
        <v>107524.08</v>
      </c>
      <c r="D59" s="211">
        <v>125555.17</v>
      </c>
      <c r="E59" s="211">
        <v>143173.67</v>
      </c>
      <c r="F59" s="211">
        <v>134629.08</v>
      </c>
      <c r="G59" s="211">
        <v>125508.08</v>
      </c>
      <c r="H59" s="211">
        <v>120650.44</v>
      </c>
      <c r="I59" s="211">
        <v>116322.22</v>
      </c>
      <c r="J59" s="211">
        <v>132408.92</v>
      </c>
      <c r="K59" s="211">
        <v>125496.59</v>
      </c>
    </row>
    <row r="60" spans="8:8">
      <c r="A60" s="206" t="s">
        <v>101</v>
      </c>
      <c r="B60" s="207">
        <v>67400.18</v>
      </c>
      <c r="C60" s="207">
        <v>80811.95</v>
      </c>
      <c r="D60" s="207">
        <v>90106.26</v>
      </c>
      <c r="E60" s="207">
        <v>96790.2</v>
      </c>
      <c r="F60" s="207">
        <v>99597.44</v>
      </c>
      <c r="G60" s="207">
        <v>111112.17</v>
      </c>
      <c r="H60" s="207">
        <v>119745.49</v>
      </c>
      <c r="I60" s="207">
        <v>136920.88</v>
      </c>
      <c r="J60" s="207">
        <v>149049.57</v>
      </c>
      <c r="K60" s="207">
        <v>217596.38</v>
      </c>
    </row>
    <row r="61" spans="8:8" s="247" customFormat="1">
      <c r="A61" s="247" t="s">
        <v>51</v>
      </c>
      <c r="B61" s="207">
        <v>211570.65</v>
      </c>
      <c r="C61" s="207">
        <v>243239.53</v>
      </c>
      <c r="D61" s="207">
        <v>278036.23</v>
      </c>
      <c r="E61" s="207">
        <v>306687.09</v>
      </c>
      <c r="F61" s="207">
        <v>310095.05</v>
      </c>
      <c r="G61" s="207">
        <v>319027.91</v>
      </c>
      <c r="H61" s="207">
        <v>329721.88</v>
      </c>
      <c r="I61" s="207">
        <v>339602.34</v>
      </c>
      <c r="J61" s="207">
        <v>379114.09</v>
      </c>
      <c r="K61" s="207">
        <v>452382.77</v>
      </c>
    </row>
    <row r="62" spans="8:8">
      <c r="A62" s="206" t="s">
        <v>145</v>
      </c>
      <c r="B62" s="207">
        <v>16677.11</v>
      </c>
      <c r="C62" s="207">
        <v>18580.19</v>
      </c>
      <c r="D62" s="207">
        <v>21193.94</v>
      </c>
      <c r="E62" s="207">
        <v>43653.38</v>
      </c>
      <c r="F62" s="207">
        <v>44319.32</v>
      </c>
      <c r="G62" s="207">
        <v>42945.01</v>
      </c>
      <c r="H62" s="207">
        <v>42641.0</v>
      </c>
      <c r="I62" s="207">
        <v>42963.82</v>
      </c>
      <c r="J62" s="207">
        <v>44055.45</v>
      </c>
      <c r="K62" s="207">
        <v>30866.91</v>
      </c>
    </row>
    <row r="63" spans="8:8">
      <c r="A63" s="206" t="s">
        <v>104</v>
      </c>
      <c r="B63" s="207">
        <v>13297.94</v>
      </c>
      <c r="C63" s="207">
        <v>13443.43</v>
      </c>
      <c r="D63" s="207">
        <v>13919.49</v>
      </c>
      <c r="E63" s="207">
        <v>3311.09</v>
      </c>
      <c r="F63" s="207">
        <v>500.39</v>
      </c>
      <c r="G63" s="207">
        <v>1249.55</v>
      </c>
      <c r="H63" s="207">
        <v>3065.57</v>
      </c>
      <c r="I63" s="207">
        <v>3045.01</v>
      </c>
      <c r="J63" s="207">
        <v>2588.68</v>
      </c>
      <c r="K63" s="207">
        <v>3310.95</v>
      </c>
    </row>
    <row r="64" spans="8:8" ht="15.0">
      <c r="A64" s="206" t="s">
        <v>105</v>
      </c>
      <c r="B64" s="207">
        <v>19753.02</v>
      </c>
      <c r="C64" s="211">
        <v>15311.31</v>
      </c>
      <c r="D64" s="207">
        <v>20907.1</v>
      </c>
      <c r="E64" s="207">
        <v>20047.48</v>
      </c>
      <c r="F64" s="207">
        <v>39626.63</v>
      </c>
      <c r="G64" s="207">
        <v>39395.18</v>
      </c>
      <c r="H64" s="207">
        <v>44798.31</v>
      </c>
      <c r="I64" s="207">
        <v>45647.82</v>
      </c>
      <c r="J64" s="207">
        <v>54805.27</v>
      </c>
      <c r="K64" s="207">
        <v>68376.79</v>
      </c>
    </row>
    <row r="65" spans="8:8">
      <c r="A65" s="206" t="s">
        <v>106</v>
      </c>
      <c r="B65" s="207">
        <v>161842.58</v>
      </c>
      <c r="C65" s="207">
        <v>195904.6</v>
      </c>
      <c r="D65" s="207">
        <v>222015.7</v>
      </c>
      <c r="E65" s="207">
        <v>239675.14</v>
      </c>
      <c r="F65" s="207">
        <v>225648.71</v>
      </c>
      <c r="G65" s="207">
        <v>235438.17</v>
      </c>
      <c r="H65" s="207">
        <v>239217.0</v>
      </c>
      <c r="I65" s="207">
        <v>247945.69</v>
      </c>
      <c r="J65" s="207">
        <v>277664.69</v>
      </c>
      <c r="K65" s="207">
        <v>349828.12</v>
      </c>
    </row>
    <row r="66" spans="8:8" s="247" customFormat="1">
      <c r="A66" s="247" t="s">
        <v>51</v>
      </c>
      <c r="B66" s="207">
        <v>211570.65</v>
      </c>
      <c r="C66" s="207">
        <v>243239.53</v>
      </c>
      <c r="D66" s="207">
        <v>278036.23</v>
      </c>
      <c r="E66" s="207">
        <v>306687.09</v>
      </c>
      <c r="F66" s="207">
        <v>310095.05</v>
      </c>
      <c r="G66" s="207">
        <v>319027.91</v>
      </c>
      <c r="H66" s="207">
        <v>329721.88</v>
      </c>
      <c r="I66" s="207">
        <v>339602.34</v>
      </c>
      <c r="J66" s="207">
        <v>379114.09</v>
      </c>
      <c r="K66" s="207">
        <v>452382.77</v>
      </c>
    </row>
    <row r="67" spans="8:8">
      <c r="A67" s="206" t="s">
        <v>108</v>
      </c>
      <c r="B67" s="207">
        <v>28688.97</v>
      </c>
      <c r="C67" s="207">
        <v>33116.98</v>
      </c>
      <c r="D67" s="207">
        <v>36845.87</v>
      </c>
      <c r="E67" s="207">
        <v>40731.52</v>
      </c>
      <c r="F67" s="207">
        <v>42229.78</v>
      </c>
      <c r="G67" s="207">
        <v>46139.32</v>
      </c>
      <c r="H67" s="207">
        <v>44731.53</v>
      </c>
      <c r="I67" s="207">
        <v>48770.95</v>
      </c>
      <c r="J67" s="207">
        <v>53713.68</v>
      </c>
      <c r="K67" s="207">
        <v>60461.26</v>
      </c>
    </row>
    <row r="68" spans="8:8" ht="15.0">
      <c r="A68" s="206" t="s">
        <v>109</v>
      </c>
      <c r="B68" s="211">
        <v>4139.74</v>
      </c>
      <c r="C68" s="211">
        <v>4847.8</v>
      </c>
      <c r="D68" s="211">
        <v>6413.93</v>
      </c>
      <c r="E68" s="211">
        <v>5746.65</v>
      </c>
      <c r="F68" s="211">
        <v>5820.54</v>
      </c>
      <c r="G68" s="211">
        <v>5943.32</v>
      </c>
      <c r="H68" s="211">
        <v>6828.78</v>
      </c>
      <c r="I68" s="211">
        <v>6620.19</v>
      </c>
      <c r="J68" s="211">
        <v>7670.55</v>
      </c>
      <c r="K68" s="211">
        <v>9530.93</v>
      </c>
    </row>
    <row r="69" spans="8:8">
      <c r="A69" s="206" t="s">
        <v>110</v>
      </c>
      <c r="B69" s="207">
        <v>5305.96</v>
      </c>
      <c r="C69" s="207">
        <v>8032.73</v>
      </c>
      <c r="D69" s="207">
        <v>11726.24</v>
      </c>
      <c r="E69" s="207">
        <v>15117.78</v>
      </c>
      <c r="F69" s="207">
        <v>16241.5</v>
      </c>
      <c r="G69" s="207">
        <v>18953.17</v>
      </c>
      <c r="H69" s="207">
        <v>22519.6</v>
      </c>
      <c r="I69" s="207">
        <v>15358.39</v>
      </c>
      <c r="J69" s="207">
        <v>22965.34</v>
      </c>
      <c r="K69" s="207">
        <v>20847.67</v>
      </c>
    </row>
    <row r="70" spans="8:8">
      <c r="A70" s="206" t="s">
        <v>146</v>
      </c>
      <c r="B70" s="207">
        <v>9.32965803E8</v>
      </c>
      <c r="C70" s="207">
        <v>1.401369456E9</v>
      </c>
      <c r="D70" s="207">
        <v>1.402729385E9</v>
      </c>
      <c r="E70" s="207">
        <v>1.403892022E9</v>
      </c>
      <c r="F70" s="207">
        <v>1.404555297E9</v>
      </c>
      <c r="G70" s="207">
        <v>1.405029123E9</v>
      </c>
      <c r="H70" s="207">
        <v>1.40548219E9</v>
      </c>
      <c r="I70" s="207">
        <v>1.374668619E9</v>
      </c>
      <c r="J70" s="207">
        <v>1.375192165E9</v>
      </c>
      <c r="K70" s="207">
        <v>1.37563219E9</v>
      </c>
    </row>
    <row r="71" spans="8:8" ht="16.5">
      <c r="A71" s="206" t="s">
        <v>147</v>
      </c>
      <c r="B71" s="253"/>
      <c r="C71" s="253">
        <v>4.66764755E8</v>
      </c>
      <c r="G71" s="253"/>
      <c r="H71" s="253"/>
    </row>
    <row r="72" spans="8:8">
      <c r="A72" s="206" t="s">
        <v>148</v>
      </c>
      <c r="B72" s="207">
        <v>2.0</v>
      </c>
      <c r="C72" s="207">
        <v>2.0</v>
      </c>
      <c r="D72" s="207">
        <v>2.0</v>
      </c>
      <c r="E72" s="207">
        <v>2.0</v>
      </c>
      <c r="F72" s="207">
        <v>2.0</v>
      </c>
      <c r="G72" s="207">
        <v>2.0</v>
      </c>
      <c r="H72" s="207">
        <v>2.0</v>
      </c>
      <c r="I72" s="207">
        <v>2.0</v>
      </c>
      <c r="J72" s="207">
        <v>2.0</v>
      </c>
      <c r="K72" s="207">
        <v>2.0</v>
      </c>
    </row>
    <row r="73" spans="8:8">
      <c r="H73" s="206">
        <f>H62-G62+H45</f>
        <v>729.2899999999979</v>
      </c>
      <c r="I73" s="206">
        <f t="shared" si="3" ref="I73:K73">I62-H62+I45</f>
        <v>1414.59</v>
      </c>
      <c r="J73" s="206">
        <f t="shared" si="3"/>
        <v>2163.37</v>
      </c>
      <c r="K73" s="206">
        <f t="shared" si="3"/>
        <v>-12020.59</v>
      </c>
    </row>
    <row r="80" spans="8:8">
      <c r="A80" s="247" t="s">
        <v>149</v>
      </c>
    </row>
    <row r="81" spans="8:8" s="250" customFormat="1">
      <c r="A81" s="251" t="s">
        <v>129</v>
      </c>
      <c r="B81" s="252">
        <v>42825.0</v>
      </c>
      <c r="C81" s="252">
        <v>43190.0</v>
      </c>
      <c r="D81" s="252">
        <v>43555.0</v>
      </c>
      <c r="E81" s="252">
        <v>43921.0</v>
      </c>
      <c r="F81" s="252">
        <v>44286.0</v>
      </c>
      <c r="G81" s="252">
        <v>44651.0</v>
      </c>
      <c r="H81" s="252">
        <v>45016.0</v>
      </c>
      <c r="I81" s="252">
        <v>45382.0</v>
      </c>
      <c r="J81" s="252">
        <v>45747.0</v>
      </c>
      <c r="K81" s="252">
        <v>46112.0</v>
      </c>
      <c r="L81" s="252"/>
    </row>
    <row r="82" spans="8:8" s="247" customFormat="1">
      <c r="A82" s="206" t="s">
        <v>150</v>
      </c>
      <c r="B82" s="207">
        <v>6655.26</v>
      </c>
      <c r="C82" s="207">
        <v>-10031.02</v>
      </c>
      <c r="D82" s="207">
        <v>-4755.83</v>
      </c>
      <c r="E82" s="207">
        <v>6693.88</v>
      </c>
      <c r="F82" s="207">
        <v>23073.82</v>
      </c>
      <c r="G82" s="207">
        <v>19163.58</v>
      </c>
      <c r="H82" s="207">
        <v>22776.96</v>
      </c>
      <c r="I82" s="207">
        <v>18266.28</v>
      </c>
      <c r="J82" s="207">
        <v>9151.35</v>
      </c>
      <c r="K82" s="207">
        <v>16740.97</v>
      </c>
    </row>
    <row r="83" spans="8:8">
      <c r="A83" s="206" t="s">
        <v>151</v>
      </c>
      <c r="B83" s="207">
        <v>-9795.94</v>
      </c>
      <c r="C83" s="207">
        <v>3914.5</v>
      </c>
      <c r="D83" s="207">
        <v>-11022.8</v>
      </c>
      <c r="E83" s="207">
        <v>-8407.71</v>
      </c>
      <c r="F83" s="207">
        <v>-5750.49</v>
      </c>
      <c r="G83" s="207">
        <v>-3585.38</v>
      </c>
      <c r="H83" s="207">
        <v>-8048.02</v>
      </c>
      <c r="I83" s="207">
        <v>2178.89</v>
      </c>
      <c r="J83" s="207">
        <v>-15479.47</v>
      </c>
      <c r="K83" s="207">
        <v>-11380.3</v>
      </c>
    </row>
    <row r="84" spans="8:8">
      <c r="A84" s="206" t="s">
        <v>152</v>
      </c>
      <c r="B84" s="207">
        <v>2895.93</v>
      </c>
      <c r="C84" s="207">
        <v>9370.46</v>
      </c>
      <c r="D84" s="207">
        <v>15440.17</v>
      </c>
      <c r="E84" s="207">
        <v>6371.55</v>
      </c>
      <c r="F84" s="207">
        <v>-15274.38</v>
      </c>
      <c r="G84" s="207">
        <v>-15181.48</v>
      </c>
      <c r="H84" s="207">
        <v>-11572.49</v>
      </c>
      <c r="I84" s="207">
        <v>-25413.36</v>
      </c>
      <c r="J84" s="207">
        <v>6556.62</v>
      </c>
      <c r="K84" s="207">
        <v>-2156.43</v>
      </c>
    </row>
    <row r="85" spans="8:8" s="247" customFormat="1">
      <c r="A85" s="206" t="s">
        <v>118</v>
      </c>
      <c r="B85" s="207">
        <v>-244.75</v>
      </c>
      <c r="C85" s="207">
        <v>3253.94</v>
      </c>
      <c r="D85" s="207">
        <v>-338.46</v>
      </c>
      <c r="E85" s="207">
        <v>4657.72</v>
      </c>
      <c r="F85" s="207">
        <v>2048.95</v>
      </c>
      <c r="G85" s="207">
        <v>396.72</v>
      </c>
      <c r="H85" s="207">
        <v>3156.45</v>
      </c>
      <c r="I85" s="207">
        <v>-4968.19</v>
      </c>
      <c r="J85" s="207">
        <v>228.5</v>
      </c>
      <c r="K85" s="207">
        <v>3204.24</v>
      </c>
    </row>
    <row r="90" spans="8:8" s="247" customFormat="1">
      <c r="A90" s="247" t="s">
        <v>153</v>
      </c>
      <c r="B90" s="207">
        <v>1049.93</v>
      </c>
      <c r="C90" s="207">
        <v>1310.9</v>
      </c>
      <c r="D90" s="207">
        <v>1385.3</v>
      </c>
      <c r="E90" s="207">
        <v>808.5</v>
      </c>
      <c r="F90" s="207">
        <v>1418.9</v>
      </c>
      <c r="G90" s="207">
        <v>1767.65</v>
      </c>
      <c r="H90" s="207">
        <v>2164.2</v>
      </c>
      <c r="I90" s="207">
        <v>3763.9</v>
      </c>
      <c r="J90" s="207">
        <v>3492.3</v>
      </c>
      <c r="K90" s="207">
        <v>3504.1</v>
      </c>
    </row>
    <row r="92" spans="8:8" s="247" customFormat="1">
      <c r="A92" s="247" t="s">
        <v>154</v>
      </c>
    </row>
    <row r="93" spans="8:8">
      <c r="A93" s="206" t="s">
        <v>155</v>
      </c>
      <c r="B93" s="254">
        <v>139.94</v>
      </c>
      <c r="C93" s="254">
        <v>140.14</v>
      </c>
      <c r="D93" s="254">
        <v>140.27</v>
      </c>
      <c r="E93" s="254">
        <v>140.39</v>
      </c>
      <c r="F93" s="254">
        <v>140.46</v>
      </c>
      <c r="G93" s="254">
        <v>140.5</v>
      </c>
      <c r="H93" s="254">
        <v>140.55</v>
      </c>
      <c r="I93" s="254">
        <v>137.47</v>
      </c>
      <c r="J93" s="254">
        <v>137.52</v>
      </c>
      <c r="K93" s="254">
        <v>137.56</v>
      </c>
    </row>
  </sheetData>
  <mergeCells count="2">
    <mergeCell ref="E1:K1"/>
    <mergeCell ref="E2:K2"/>
  </mergeCells>
  <conditionalFormatting sqref="E1:K1">
    <cfRule type="cellIs" operator="notEqual" priority="1" dxfId="0">
      <formula>""</formula>
    </cfRule>
  </conditionalFormatting>
  <hyperlinks>
    <hyperlink ref="E1:K1" r:id="rId1"/>
  </hyperlinks>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N32"/>
  <sheetViews>
    <sheetView workbookViewId="0" zoomScale="85">
      <selection activeCell="K21" sqref="K21"/>
    </sheetView>
  </sheetViews>
  <sheetFormatPr defaultRowHeight="15.0" defaultColWidth="10"/>
  <cols>
    <col min="1" max="1" customWidth="1" bestFit="1" width="30.710938" style="0"/>
    <col min="2" max="2" customWidth="1" width="14.285156" style="0"/>
    <col min="3" max="14" customWidth="1" width="12.7109375" style="0"/>
  </cols>
  <sheetData>
    <row r="2" spans="8:8">
      <c r="B2" s="255">
        <v>42064.0</v>
      </c>
      <c r="C2" s="255">
        <v>42430.0</v>
      </c>
      <c r="D2" s="255">
        <v>42795.0</v>
      </c>
      <c r="E2" s="255">
        <v>43160.0</v>
      </c>
      <c r="F2" s="255">
        <v>43525.0</v>
      </c>
      <c r="G2" s="255">
        <v>43891.0</v>
      </c>
      <c r="H2" s="255">
        <v>44256.0</v>
      </c>
      <c r="I2" s="255">
        <v>44621.0</v>
      </c>
      <c r="J2" s="255">
        <v>44986.0</v>
      </c>
      <c r="K2" s="255">
        <v>45352.0</v>
      </c>
      <c r="L2" s="255">
        <v>45717.0</v>
      </c>
      <c r="M2" s="255">
        <v>46082.0</v>
      </c>
    </row>
    <row r="3" spans="8:8">
      <c r="A3" t="s">
        <v>8588</v>
      </c>
      <c r="B3" s="131">
        <v>-1365.0</v>
      </c>
      <c r="C3" s="131">
        <v>-3240.0</v>
      </c>
      <c r="D3" s="131">
        <v>6655.0</v>
      </c>
      <c r="E3" s="131">
        <v>-10031.0</v>
      </c>
      <c r="F3" s="131">
        <v>-4756.0</v>
      </c>
      <c r="G3" s="131">
        <v>6694.0</v>
      </c>
      <c r="H3" s="131">
        <v>23074.0</v>
      </c>
      <c r="I3" s="131">
        <v>19164.0</v>
      </c>
      <c r="J3" s="131">
        <v>22777.0</v>
      </c>
      <c r="K3" s="131">
        <v>18266.0</v>
      </c>
      <c r="L3" s="131">
        <v>9151.0</v>
      </c>
      <c r="M3" s="131">
        <v>16741.0</v>
      </c>
    </row>
    <row r="4" spans="8:8">
      <c r="A4" t="s">
        <v>193</v>
      </c>
      <c r="B4" s="131">
        <v>10198.0</v>
      </c>
      <c r="C4" s="131">
        <v>10485.0</v>
      </c>
      <c r="D4" s="131">
        <v>11255.0</v>
      </c>
      <c r="E4" s="131">
        <v>13248.0</v>
      </c>
      <c r="F4" s="131">
        <v>16073.0</v>
      </c>
      <c r="G4" s="131">
        <v>18524.0</v>
      </c>
      <c r="H4" s="131">
        <v>16347.0</v>
      </c>
      <c r="I4" s="131">
        <v>18946.0</v>
      </c>
      <c r="J4" s="131">
        <v>22525.0</v>
      </c>
      <c r="K4" s="131">
        <v>24931.0</v>
      </c>
      <c r="L4" s="131">
        <v>29981.0</v>
      </c>
      <c r="M4" s="131">
        <v>33230.0</v>
      </c>
    </row>
    <row r="5" spans="8:8">
      <c r="A5" t="s">
        <v>108</v>
      </c>
      <c r="B5" s="131">
        <v>-9737.0</v>
      </c>
      <c r="C5" s="131">
        <v>-9450.0</v>
      </c>
      <c r="D5" s="131">
        <v>-2471.0</v>
      </c>
      <c r="E5" s="131">
        <v>-14501.0</v>
      </c>
      <c r="F5" s="131">
        <v>-9241.0</v>
      </c>
      <c r="G5" s="131">
        <v>-11278.0</v>
      </c>
      <c r="H5" s="131">
        <v>3012.0</v>
      </c>
      <c r="I5" s="131">
        <v>-9852.0</v>
      </c>
      <c r="J5" s="131">
        <v>-4495.0</v>
      </c>
      <c r="K5" s="131">
        <v>-10643.0</v>
      </c>
      <c r="L5" s="131">
        <v>-10316.0</v>
      </c>
      <c r="M5" s="131">
        <v>-28151.0</v>
      </c>
    </row>
    <row r="6" spans="8:8">
      <c r="A6" t="s">
        <v>109</v>
      </c>
      <c r="B6">
        <v>-983.0</v>
      </c>
      <c r="C6">
        <v>217.0</v>
      </c>
      <c r="D6" s="131">
        <v>1510.0</v>
      </c>
      <c r="E6">
        <v>-642.0</v>
      </c>
      <c r="F6">
        <v>331.0</v>
      </c>
      <c r="G6">
        <v>353.0</v>
      </c>
      <c r="H6">
        <v>349.0</v>
      </c>
      <c r="I6">
        <v>-74.0</v>
      </c>
      <c r="J6">
        <v>-476.0</v>
      </c>
      <c r="K6">
        <v>245.0</v>
      </c>
      <c r="L6">
        <v>-540.0</v>
      </c>
      <c r="M6" s="131">
        <v>-2201.0</v>
      </c>
    </row>
    <row r="7" spans="8:8">
      <c r="A7" t="s">
        <v>194</v>
      </c>
      <c r="B7" s="131">
        <v>9120.0</v>
      </c>
      <c r="C7" s="131">
        <v>9308.0</v>
      </c>
      <c r="D7" s="131">
        <v>5307.0</v>
      </c>
      <c r="E7" s="131">
        <v>11727.0</v>
      </c>
      <c r="F7" s="131">
        <v>6819.0</v>
      </c>
      <c r="G7" s="131">
        <v>3134.0</v>
      </c>
      <c r="H7" s="131">
        <v>2220.0</v>
      </c>
      <c r="I7" s="131">
        <v>9678.0</v>
      </c>
      <c r="J7" s="131">
        <v>5413.0</v>
      </c>
      <c r="K7" s="131">
        <v>14601.0</v>
      </c>
      <c r="L7" s="131">
        <v>9835.0</v>
      </c>
      <c r="M7" s="131">
        <v>45128.0</v>
      </c>
    </row>
    <row r="8" spans="8:8">
      <c r="A8" t="s">
        <v>8572</v>
      </c>
      <c r="B8" s="131">
        <v>-6984.0</v>
      </c>
      <c r="C8" s="131">
        <v>-10585.0</v>
      </c>
      <c r="D8" s="131">
        <v>-5744.0</v>
      </c>
      <c r="E8" s="131">
        <v>-16459.0</v>
      </c>
      <c r="F8" s="131">
        <v>-13855.0</v>
      </c>
      <c r="G8">
        <v>7.0</v>
      </c>
      <c r="H8" s="131">
        <v>4618.0</v>
      </c>
      <c r="I8" s="131">
        <v>5005.0</v>
      </c>
      <c r="J8" s="131">
        <v>4937.0</v>
      </c>
      <c r="K8" s="131">
        <v>-5588.0</v>
      </c>
      <c r="L8" s="131">
        <v>-14208.0</v>
      </c>
      <c r="M8" s="131">
        <v>-25233.0</v>
      </c>
    </row>
    <row r="9" spans="8:8">
      <c r="A9" t="s">
        <v>195</v>
      </c>
      <c r="B9" s="131">
        <v>-8584.0</v>
      </c>
      <c r="C9" s="131">
        <v>-10510.0</v>
      </c>
      <c r="D9" s="131">
        <v>-1398.0</v>
      </c>
      <c r="E9" s="131">
        <v>-19876.0</v>
      </c>
      <c r="F9" s="131">
        <v>-15946.0</v>
      </c>
      <c r="G9" s="131">
        <v>-7784.0</v>
      </c>
      <c r="H9" s="131">
        <v>10198.0</v>
      </c>
      <c r="I9" s="131">
        <v>4757.0</v>
      </c>
      <c r="J9" s="131">
        <v>5379.0</v>
      </c>
      <c r="K9" s="131">
        <v>-1385.0</v>
      </c>
      <c r="L9" s="131">
        <v>-15229.0</v>
      </c>
      <c r="M9" s="131">
        <v>-10458.0</v>
      </c>
    </row>
    <row r="10" spans="8:8">
      <c r="A10" t="s">
        <v>196</v>
      </c>
      <c r="B10" s="131">
        <v>-2979.0</v>
      </c>
      <c r="C10" s="131">
        <v>-3215.0</v>
      </c>
      <c r="D10" s="131">
        <v>-3202.0</v>
      </c>
      <c r="E10" s="131">
        <v>-3403.0</v>
      </c>
      <c r="F10" s="131">
        <v>-4883.0</v>
      </c>
      <c r="G10" s="131">
        <v>-4046.0</v>
      </c>
      <c r="H10" s="131">
        <v>-3471.0</v>
      </c>
      <c r="I10" s="131">
        <v>-4539.0</v>
      </c>
      <c r="J10" s="131">
        <v>-5127.0</v>
      </c>
      <c r="K10" s="131">
        <v>-5280.0</v>
      </c>
      <c r="L10" s="131">
        <v>-5601.0</v>
      </c>
      <c r="M10" s="131">
        <v>-6031.0</v>
      </c>
    </row>
    <row r="11" spans="8:8">
      <c r="A11" t="s">
        <v>8589</v>
      </c>
      <c r="B11" s="131">
        <v>-4778.0</v>
      </c>
      <c r="C11" s="131">
        <v>-4627.0</v>
      </c>
      <c r="D11" s="131">
        <v>-9796.0</v>
      </c>
      <c r="E11" s="131">
        <v>3914.0</v>
      </c>
      <c r="F11" s="131">
        <v>-11023.0</v>
      </c>
      <c r="G11" s="131">
        <v>-8408.0</v>
      </c>
      <c r="H11" s="131">
        <v>-5750.0</v>
      </c>
      <c r="I11" s="131">
        <v>-3585.0</v>
      </c>
      <c r="J11" s="131">
        <v>-8048.0</v>
      </c>
      <c r="K11" s="131">
        <v>2179.0</v>
      </c>
      <c r="L11" s="131">
        <v>-15479.0</v>
      </c>
      <c r="M11" s="131">
        <v>-11380.0</v>
      </c>
    </row>
    <row r="12" spans="8:8">
      <c r="A12" t="s">
        <v>197</v>
      </c>
      <c r="B12" s="131">
        <v>-6252.0</v>
      </c>
      <c r="C12" s="131">
        <v>-4322.0</v>
      </c>
      <c r="D12" s="131">
        <v>-2977.0</v>
      </c>
      <c r="E12" s="131">
        <v>-2877.0</v>
      </c>
      <c r="F12" s="131">
        <v>-4307.0</v>
      </c>
      <c r="G12" s="131">
        <v>-3437.0</v>
      </c>
      <c r="H12" s="131">
        <v>-1808.0</v>
      </c>
      <c r="I12" s="131">
        <v>-3111.0</v>
      </c>
      <c r="J12" s="131">
        <v>-4144.0</v>
      </c>
      <c r="K12" s="131">
        <v>-4517.0</v>
      </c>
      <c r="L12" s="131">
        <v>-4419.0</v>
      </c>
      <c r="M12" s="131">
        <v>-4809.0</v>
      </c>
    </row>
    <row r="13" spans="8:8">
      <c r="A13" t="s">
        <v>198</v>
      </c>
      <c r="B13">
        <v>158.0</v>
      </c>
      <c r="C13">
        <v>198.0</v>
      </c>
      <c r="D13">
        <v>156.0</v>
      </c>
      <c r="E13">
        <v>862.0</v>
      </c>
      <c r="F13">
        <v>808.0</v>
      </c>
      <c r="G13">
        <v>137.0</v>
      </c>
      <c r="H13">
        <v>885.0</v>
      </c>
      <c r="I13">
        <v>71.0</v>
      </c>
      <c r="J13">
        <v>350.0</v>
      </c>
      <c r="K13">
        <v>306.0</v>
      </c>
      <c r="L13">
        <v>878.0</v>
      </c>
      <c r="M13">
        <v>341.0</v>
      </c>
    </row>
    <row r="14" spans="8:8">
      <c r="A14" t="s">
        <v>199</v>
      </c>
      <c r="B14">
        <v>-830.0</v>
      </c>
      <c r="C14">
        <v>-746.0</v>
      </c>
      <c r="D14" s="131">
        <v>-7882.0</v>
      </c>
      <c r="E14" s="131">
        <v>-1291.0</v>
      </c>
      <c r="F14" s="131">
        <v>-4917.0</v>
      </c>
      <c r="G14" s="131">
        <v>-1857.0</v>
      </c>
      <c r="H14" s="131">
        <v>-18715.0</v>
      </c>
      <c r="I14" s="131">
        <v>-2156.0</v>
      </c>
      <c r="J14" s="131">
        <v>-9120.0</v>
      </c>
      <c r="K14" s="131">
        <v>-4889.0</v>
      </c>
      <c r="L14" s="131">
        <v>-8235.0</v>
      </c>
      <c r="M14" s="131">
        <v>-12946.0</v>
      </c>
    </row>
    <row r="15" spans="8:8">
      <c r="A15" t="s">
        <v>200</v>
      </c>
      <c r="B15">
        <v>-136.0</v>
      </c>
      <c r="C15">
        <v>333.0</v>
      </c>
      <c r="D15">
        <v>67.0</v>
      </c>
      <c r="E15" s="131">
        <v>2980.0</v>
      </c>
      <c r="F15">
        <v>653.0</v>
      </c>
      <c r="G15" s="131">
        <v>4311.0</v>
      </c>
      <c r="H15">
        <v>240.0</v>
      </c>
      <c r="I15" s="131">
        <v>2463.0</v>
      </c>
      <c r="J15">
        <v>827.0</v>
      </c>
      <c r="K15" s="131">
        <v>4931.0</v>
      </c>
      <c r="L15" s="131">
        <v>1726.0</v>
      </c>
      <c r="M15" s="131">
        <v>1190.0</v>
      </c>
    </row>
    <row r="16" spans="8:8">
      <c r="A16" t="s">
        <v>201</v>
      </c>
      <c r="B16">
        <v>387.0</v>
      </c>
      <c r="C16">
        <v>402.0</v>
      </c>
      <c r="D16">
        <v>409.0</v>
      </c>
      <c r="E16">
        <v>529.0</v>
      </c>
      <c r="F16">
        <v>727.0</v>
      </c>
      <c r="G16">
        <v>838.0</v>
      </c>
      <c r="H16" s="131">
        <v>1273.0</v>
      </c>
      <c r="I16">
        <v>969.0</v>
      </c>
      <c r="J16" s="131">
        <v>1609.0</v>
      </c>
      <c r="K16" s="131">
        <v>2408.0</v>
      </c>
      <c r="L16" s="131">
        <v>2084.0</v>
      </c>
      <c r="M16" s="131">
        <v>2701.0</v>
      </c>
    </row>
    <row r="17" spans="8:8">
      <c r="A17" t="s">
        <v>202</v>
      </c>
      <c r="B17">
        <v>84.0</v>
      </c>
      <c r="C17">
        <v>213.0</v>
      </c>
      <c r="D17">
        <v>749.0</v>
      </c>
      <c r="E17" s="131">
        <v>2749.0</v>
      </c>
      <c r="F17">
        <v>256.0</v>
      </c>
      <c r="G17">
        <v>114.0</v>
      </c>
      <c r="H17">
        <v>203.0</v>
      </c>
      <c r="I17">
        <v>161.0</v>
      </c>
      <c r="J17">
        <v>157.0</v>
      </c>
      <c r="K17">
        <v>226.0</v>
      </c>
      <c r="L17">
        <v>144.0</v>
      </c>
      <c r="M17">
        <v>327.0</v>
      </c>
    </row>
    <row r="18" spans="8:8">
      <c r="A18" t="s">
        <v>8590</v>
      </c>
      <c r="B18">
        <v>0.0</v>
      </c>
      <c r="C18">
        <v>0.0</v>
      </c>
      <c r="D18" s="131">
        <v>-2010.0</v>
      </c>
      <c r="E18">
        <v>0.0</v>
      </c>
      <c r="F18">
        <v>0.0</v>
      </c>
      <c r="G18">
        <v>0.0</v>
      </c>
      <c r="H18">
        <v>0.0</v>
      </c>
      <c r="I18">
        <v>0.0</v>
      </c>
      <c r="J18">
        <v>0.0</v>
      </c>
      <c r="K18">
        <v>0.0</v>
      </c>
      <c r="L18">
        <v>0.0</v>
      </c>
      <c r="M18">
        <v>0.0</v>
      </c>
    </row>
    <row r="19" spans="8:8">
      <c r="A19" t="s">
        <v>203</v>
      </c>
      <c r="B19" s="131">
        <v>1350.0</v>
      </c>
      <c r="C19">
        <v>432.0</v>
      </c>
      <c r="D19" s="131">
        <v>2169.0</v>
      </c>
      <c r="E19" s="131">
        <v>1099.0</v>
      </c>
      <c r="F19">
        <v>100.0</v>
      </c>
      <c r="G19">
        <v>254.0</v>
      </c>
      <c r="H19">
        <v>303.0</v>
      </c>
      <c r="I19" s="131">
        <v>1016.0</v>
      </c>
      <c r="J19" s="131">
        <v>2894.0</v>
      </c>
      <c r="K19">
        <v>215.0</v>
      </c>
      <c r="L19" s="131">
        <v>1095.0</v>
      </c>
      <c r="M19">
        <v>124.0</v>
      </c>
    </row>
    <row r="20" spans="8:8">
      <c r="A20" t="s">
        <v>204</v>
      </c>
      <c r="B20">
        <v>-118.0</v>
      </c>
      <c r="C20">
        <v>-66.0</v>
      </c>
      <c r="D20">
        <v>-27.0</v>
      </c>
      <c r="E20">
        <v>-229.0</v>
      </c>
      <c r="F20">
        <v>-310.0</v>
      </c>
      <c r="G20" s="131">
        <v>-9944.0</v>
      </c>
      <c r="H20">
        <v>-122.0</v>
      </c>
      <c r="I20">
        <v>-88.0</v>
      </c>
      <c r="J20">
        <v>-146.0</v>
      </c>
      <c r="K20">
        <v>-18.0</v>
      </c>
      <c r="L20" s="131">
        <v>-2146.0</v>
      </c>
      <c r="M20">
        <v>-525.0</v>
      </c>
    </row>
    <row r="21" spans="8:8">
      <c r="A21" t="s">
        <v>205</v>
      </c>
      <c r="B21">
        <v>580.0</v>
      </c>
      <c r="C21" s="131">
        <v>-1072.0</v>
      </c>
      <c r="D21">
        <v>-450.0</v>
      </c>
      <c r="E21">
        <v>93.0</v>
      </c>
      <c r="F21" s="131">
        <v>-4033.0</v>
      </c>
      <c r="G21" s="131">
        <v>1177.0</v>
      </c>
      <c r="H21" s="131">
        <v>11989.0</v>
      </c>
      <c r="I21" s="131">
        <v>-2910.0</v>
      </c>
      <c r="J21">
        <v>-476.0</v>
      </c>
      <c r="K21" s="131">
        <v>3517.0</v>
      </c>
      <c r="L21" s="131">
        <v>-6607.0</v>
      </c>
      <c r="M21" s="131">
        <v>2217.0</v>
      </c>
    </row>
    <row r="22" spans="8:8">
      <c r="A22" t="s">
        <v>8591</v>
      </c>
      <c r="B22" s="131">
        <v>7903.0</v>
      </c>
      <c r="C22" s="131">
        <v>7253.0</v>
      </c>
      <c r="D22" s="131">
        <v>2896.0</v>
      </c>
      <c r="E22" s="131">
        <v>9370.0</v>
      </c>
      <c r="F22" s="131">
        <v>15440.0</v>
      </c>
      <c r="G22" s="131">
        <v>6372.0</v>
      </c>
      <c r="H22" s="131">
        <v>-15274.0</v>
      </c>
      <c r="I22" s="131">
        <v>-15181.0</v>
      </c>
      <c r="J22" s="131">
        <v>-11572.0</v>
      </c>
      <c r="K22" s="131">
        <v>-25413.0</v>
      </c>
      <c r="L22" s="131">
        <v>6557.0</v>
      </c>
      <c r="M22" s="131">
        <v>-2156.0</v>
      </c>
    </row>
    <row r="23" spans="8:8">
      <c r="A23" t="s">
        <v>8592</v>
      </c>
      <c r="B23">
        <v>99.0</v>
      </c>
      <c r="C23">
        <v>70.0</v>
      </c>
      <c r="D23">
        <v>53.0</v>
      </c>
      <c r="E23">
        <v>50.0</v>
      </c>
      <c r="F23">
        <v>11.0</v>
      </c>
      <c r="G23">
        <v>18.0</v>
      </c>
      <c r="H23">
        <v>16.0</v>
      </c>
      <c r="I23">
        <v>11.0</v>
      </c>
      <c r="J23">
        <v>10.0</v>
      </c>
      <c r="K23">
        <v>10.0</v>
      </c>
      <c r="L23">
        <v>9.0</v>
      </c>
      <c r="M23">
        <v>8.0</v>
      </c>
    </row>
    <row r="24" spans="8:8">
      <c r="A24" t="s">
        <v>206</v>
      </c>
      <c r="B24" s="131">
        <v>32298.0</v>
      </c>
      <c r="C24" s="131">
        <v>30225.0</v>
      </c>
      <c r="D24" s="131">
        <v>30523.0</v>
      </c>
      <c r="E24" s="131">
        <v>46903.0</v>
      </c>
      <c r="F24" s="131">
        <v>32256.0</v>
      </c>
      <c r="G24" s="131">
        <v>47811.0</v>
      </c>
      <c r="H24" s="131">
        <v>36325.0</v>
      </c>
      <c r="I24" s="131">
        <v>27537.0</v>
      </c>
      <c r="J24" s="131">
        <v>28386.0</v>
      </c>
      <c r="K24" s="131">
        <v>23175.0</v>
      </c>
      <c r="L24" s="131">
        <v>46547.0</v>
      </c>
      <c r="M24" s="131">
        <v>43731.0</v>
      </c>
    </row>
    <row r="25" spans="8:8">
      <c r="A25" t="s">
        <v>207</v>
      </c>
      <c r="B25" s="131">
        <v>-20836.0</v>
      </c>
      <c r="C25" s="131">
        <v>-19753.0</v>
      </c>
      <c r="D25" s="131">
        <v>-27286.0</v>
      </c>
      <c r="E25" s="131">
        <v>-36964.0</v>
      </c>
      <c r="F25" s="131">
        <v>-14081.0</v>
      </c>
      <c r="G25" s="131">
        <v>-33685.0</v>
      </c>
      <c r="H25" s="131">
        <v>-44991.0</v>
      </c>
      <c r="I25" s="131">
        <v>-35806.0</v>
      </c>
      <c r="J25" s="131">
        <v>-32795.0</v>
      </c>
      <c r="K25" s="131">
        <v>-27228.0</v>
      </c>
      <c r="L25" s="131">
        <v>-30782.0</v>
      </c>
      <c r="M25" s="131">
        <v>-36403.0</v>
      </c>
    </row>
    <row r="26" spans="8:8">
      <c r="A26" t="s">
        <v>208</v>
      </c>
      <c r="B26" s="131">
        <v>-3926.0</v>
      </c>
      <c r="C26" s="131">
        <v>-2462.0</v>
      </c>
      <c r="D26" s="131">
        <v>-2174.0</v>
      </c>
      <c r="E26" s="131">
        <v>-2471.0</v>
      </c>
      <c r="F26" s="131">
        <v>-2983.0</v>
      </c>
      <c r="G26" s="131">
        <v>-2902.0</v>
      </c>
      <c r="H26" s="131">
        <v>-3388.0</v>
      </c>
      <c r="I26" s="131">
        <v>-2968.0</v>
      </c>
      <c r="J26" s="131">
        <v>-3047.0</v>
      </c>
      <c r="K26" s="131">
        <v>-3605.0</v>
      </c>
      <c r="L26" s="131">
        <v>-3609.0</v>
      </c>
      <c r="M26" s="131">
        <v>-3182.0</v>
      </c>
    </row>
    <row r="27" spans="8:8">
      <c r="A27" t="s">
        <v>209</v>
      </c>
      <c r="B27" s="131">
        <v>-1323.0</v>
      </c>
      <c r="C27" s="131">
        <v>-1512.0</v>
      </c>
      <c r="D27" s="131">
        <v>-1702.0</v>
      </c>
      <c r="E27" s="131">
        <v>-1961.0</v>
      </c>
      <c r="F27" s="131">
        <v>-2243.0</v>
      </c>
      <c r="G27" s="131">
        <v>-3930.0</v>
      </c>
      <c r="H27" s="131">
        <v>-3651.0</v>
      </c>
      <c r="I27" s="131">
        <v>-2528.0</v>
      </c>
      <c r="J27" s="131">
        <v>-3091.0</v>
      </c>
      <c r="K27" s="131">
        <v>-4217.0</v>
      </c>
      <c r="L27" s="131">
        <v>-3850.0</v>
      </c>
      <c r="M27" s="131">
        <v>-4676.0</v>
      </c>
    </row>
    <row r="28" spans="8:8">
      <c r="A28" t="s">
        <v>210</v>
      </c>
      <c r="B28">
        <v>0.0</v>
      </c>
      <c r="C28">
        <v>0.0</v>
      </c>
      <c r="D28">
        <v>0.0</v>
      </c>
      <c r="E28">
        <v>0.0</v>
      </c>
      <c r="F28">
        <v>0.0</v>
      </c>
      <c r="G28">
        <v>-258.0</v>
      </c>
      <c r="H28">
        <v>-382.0</v>
      </c>
      <c r="I28">
        <v>-407.0</v>
      </c>
      <c r="J28">
        <v>-423.0</v>
      </c>
      <c r="K28">
        <v>-460.0</v>
      </c>
      <c r="L28">
        <v>-562.0</v>
      </c>
      <c r="M28">
        <v>-718.0</v>
      </c>
    </row>
    <row r="29" spans="8:8">
      <c r="A29" t="s">
        <v>211</v>
      </c>
      <c r="B29" s="131">
        <v>1591.0</v>
      </c>
      <c r="C29">
        <v>685.0</v>
      </c>
      <c r="D29" s="131">
        <v>3482.0</v>
      </c>
      <c r="E29" s="131">
        <v>3813.0</v>
      </c>
      <c r="F29" s="131">
        <v>2481.0</v>
      </c>
      <c r="G29">
        <v>-682.0</v>
      </c>
      <c r="H29">
        <v>796.0</v>
      </c>
      <c r="I29" s="131">
        <v>-1020.0</v>
      </c>
      <c r="J29">
        <v>-613.0</v>
      </c>
      <c r="K29" s="131">
        <v>-13088.0</v>
      </c>
      <c r="L29" s="131">
        <v>-1196.0</v>
      </c>
      <c r="M29">
        <v>-915.0</v>
      </c>
    </row>
    <row r="30" spans="8:8">
      <c r="A30" t="s">
        <v>118</v>
      </c>
      <c r="B30" s="131">
        <v>1759.0</v>
      </c>
      <c r="C30">
        <v>-613.0</v>
      </c>
      <c r="D30">
        <v>-245.0</v>
      </c>
      <c r="E30" s="131">
        <v>3254.0</v>
      </c>
      <c r="F30">
        <v>-338.0</v>
      </c>
      <c r="G30" s="131">
        <v>4658.0</v>
      </c>
      <c r="H30" s="131">
        <v>2049.0</v>
      </c>
      <c r="I30">
        <v>397.0</v>
      </c>
      <c r="J30" s="131">
        <v>3156.0</v>
      </c>
      <c r="K30" s="131">
        <v>-4968.0</v>
      </c>
      <c r="L30">
        <v>228.0</v>
      </c>
      <c r="M30" s="131">
        <v>3204.0</v>
      </c>
    </row>
    <row r="31" spans="8:8">
      <c r="A31" t="s">
        <v>8593</v>
      </c>
      <c r="B31" s="131">
        <v>-7460.0</v>
      </c>
      <c r="C31" s="131">
        <v>-7363.0</v>
      </c>
      <c r="D31" s="131">
        <v>3834.0</v>
      </c>
      <c r="E31" s="131">
        <v>-12046.0</v>
      </c>
      <c r="F31" s="131">
        <v>-8255.0</v>
      </c>
      <c r="G31" s="131">
        <v>3394.0</v>
      </c>
      <c r="H31" s="131">
        <v>22151.0</v>
      </c>
      <c r="I31" s="131">
        <v>16124.0</v>
      </c>
      <c r="J31" s="131">
        <v>18984.0</v>
      </c>
      <c r="K31" s="131">
        <v>14056.0</v>
      </c>
      <c r="L31" s="131">
        <v>5611.0</v>
      </c>
      <c r="M31" s="131">
        <v>12272.0</v>
      </c>
    </row>
    <row r="32" spans="8:8">
      <c r="A32" t="s">
        <v>8594</v>
      </c>
      <c r="B32" s="256">
        <v>0.1</v>
      </c>
      <c r="C32" s="256">
        <v>0.0</v>
      </c>
      <c r="D32" s="256">
        <v>0.59</v>
      </c>
      <c r="E32" s="256">
        <v>-0.33</v>
      </c>
      <c r="F32" s="256">
        <v>0.01</v>
      </c>
      <c r="G32" s="256">
        <v>0.44</v>
      </c>
      <c r="H32" s="256">
        <v>1.13</v>
      </c>
      <c r="I32" s="256">
        <v>0.97</v>
      </c>
      <c r="J32" s="256">
        <v>1.03</v>
      </c>
      <c r="K32" s="256">
        <v>0.82</v>
      </c>
      <c r="L32" s="256">
        <v>0.43</v>
      </c>
      <c r="M32" s="256">
        <v>0.64</v>
      </c>
    </row>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B1:AD40"/>
  <sheetViews>
    <sheetView workbookViewId="0">
      <selection activeCell="T14" sqref="T14"/>
    </sheetView>
  </sheetViews>
  <sheetFormatPr defaultRowHeight="15.0" defaultColWidth="10"/>
  <cols>
    <col min="1" max="2" customWidth="1" bestFit="1" width="24.855469" style="0"/>
    <col min="3" max="3" customWidth="1" bestFit="1" width="8.425781" style="0"/>
    <col min="17" max="17" customWidth="1" bestFit="1" width="26.0" style="0"/>
    <col min="18" max="29" customWidth="1" bestFit="1" width="11.7109375" style="0"/>
  </cols>
  <sheetData>
    <row r="1" spans="8:8">
      <c r="E1" s="249" t="s">
        <v>242</v>
      </c>
      <c r="F1" s="249"/>
      <c r="G1" s="249"/>
      <c r="H1" s="249"/>
      <c r="I1" s="249"/>
      <c r="J1" s="249"/>
      <c r="K1" s="249"/>
    </row>
    <row r="2" spans="8:8">
      <c r="C2" s="255">
        <v>42064.0</v>
      </c>
      <c r="D2" s="255">
        <v>42430.0</v>
      </c>
      <c r="E2" s="255">
        <v>42795.0</v>
      </c>
      <c r="F2" s="255">
        <v>43160.0</v>
      </c>
      <c r="G2" s="255">
        <v>43525.0</v>
      </c>
      <c r="H2" s="255">
        <v>43891.0</v>
      </c>
      <c r="I2" s="255">
        <v>44256.0</v>
      </c>
      <c r="J2" s="255">
        <v>44621.0</v>
      </c>
      <c r="K2" s="255">
        <v>44986.0</v>
      </c>
      <c r="L2" s="255">
        <v>45352.0</v>
      </c>
      <c r="M2" s="255">
        <v>45717.0</v>
      </c>
      <c r="N2" s="255">
        <v>46082.0</v>
      </c>
      <c r="O2" s="255"/>
    </row>
    <row r="3" spans="8:8">
      <c r="B3" t="s">
        <v>156</v>
      </c>
      <c r="C3">
        <v>186.0</v>
      </c>
      <c r="D3">
        <v>186.0</v>
      </c>
      <c r="E3">
        <v>187.0</v>
      </c>
      <c r="F3">
        <v>280.0</v>
      </c>
      <c r="G3">
        <v>281.0</v>
      </c>
      <c r="H3">
        <v>281.0</v>
      </c>
      <c r="I3">
        <v>281.0</v>
      </c>
      <c r="J3">
        <v>281.0</v>
      </c>
      <c r="K3">
        <v>281.0</v>
      </c>
      <c r="L3">
        <v>275.0</v>
      </c>
      <c r="M3">
        <v>275.0</v>
      </c>
      <c r="N3">
        <v>275.0</v>
      </c>
      <c r="R3" s="257"/>
      <c r="S3" s="257"/>
      <c r="T3" s="257"/>
      <c r="U3" s="257"/>
      <c r="V3" s="257"/>
      <c r="W3" s="257"/>
      <c r="X3" s="257"/>
      <c r="Y3" s="257"/>
      <c r="Z3" s="257"/>
      <c r="AA3" s="257"/>
      <c r="AB3" s="257"/>
      <c r="AC3" s="257"/>
    </row>
    <row r="4" spans="8:8">
      <c r="B4" t="s">
        <v>99</v>
      </c>
      <c r="C4" s="131">
        <v>40723.0</v>
      </c>
      <c r="D4" s="131">
        <v>43994.0</v>
      </c>
      <c r="E4" s="131">
        <v>50030.0</v>
      </c>
      <c r="F4" s="131">
        <v>54623.0</v>
      </c>
      <c r="G4" s="131">
        <v>62094.0</v>
      </c>
      <c r="H4" s="131">
        <v>66442.0</v>
      </c>
      <c r="I4" s="131">
        <v>75588.0</v>
      </c>
      <c r="J4" s="131">
        <v>82127.0</v>
      </c>
      <c r="K4" s="131">
        <v>89045.0</v>
      </c>
      <c r="L4" s="131">
        <v>86084.0</v>
      </c>
      <c r="M4" s="131">
        <v>97381.0</v>
      </c>
      <c r="N4" s="131">
        <v>109015.0</v>
      </c>
      <c r="O4" s="131"/>
      <c r="Q4" s="182"/>
      <c r="R4" s="183"/>
      <c r="S4" s="183"/>
      <c r="T4" s="183"/>
      <c r="U4" s="183"/>
      <c r="V4" s="183"/>
      <c r="W4" s="183"/>
      <c r="X4" s="183"/>
      <c r="Y4" s="183"/>
      <c r="Z4" s="183"/>
      <c r="AA4" s="183"/>
      <c r="AB4" s="183"/>
      <c r="AC4" s="183"/>
    </row>
    <row r="5" spans="8:8">
      <c r="B5" t="s">
        <v>8583</v>
      </c>
      <c r="C5">
        <v>93630.0</v>
      </c>
      <c r="D5">
        <v>88135.0</v>
      </c>
      <c r="E5">
        <v>93954.0</v>
      </c>
      <c r="F5">
        <v>107524.0</v>
      </c>
      <c r="G5">
        <v>125555.0</v>
      </c>
      <c r="H5" s="131">
        <v>143174.0</v>
      </c>
      <c r="I5" s="131">
        <v>134629.0</v>
      </c>
      <c r="J5" s="131">
        <v>125508.0</v>
      </c>
      <c r="K5" s="131">
        <v>120650.0</v>
      </c>
      <c r="L5" s="131">
        <v>116322.0</v>
      </c>
      <c r="M5" s="131">
        <v>132409.0</v>
      </c>
      <c r="N5" s="131">
        <v>125497.0</v>
      </c>
      <c r="O5" s="131"/>
      <c r="Q5" s="182"/>
      <c r="R5" s="242"/>
      <c r="S5" s="242"/>
      <c r="T5" s="242"/>
      <c r="U5" s="242"/>
      <c r="V5" s="242"/>
      <c r="W5" s="242"/>
      <c r="X5" s="242"/>
      <c r="Y5" s="242"/>
      <c r="Z5" s="242"/>
      <c r="AA5" s="242"/>
      <c r="AB5" s="242"/>
      <c r="AC5" s="242"/>
    </row>
    <row r="6" spans="8:8">
      <c r="B6" t="s">
        <v>157</v>
      </c>
      <c r="C6">
        <v>68469.0</v>
      </c>
      <c r="D6">
        <v>61224.0</v>
      </c>
      <c r="E6">
        <v>67341.0</v>
      </c>
      <c r="F6">
        <v>72915.0</v>
      </c>
      <c r="G6">
        <v>74121.0</v>
      </c>
      <c r="H6">
        <v>82331.0</v>
      </c>
      <c r="I6">
        <v>82120.0</v>
      </c>
      <c r="J6">
        <v>61618.0</v>
      </c>
      <c r="K6">
        <v>61218.0</v>
      </c>
      <c r="L6">
        <v>56507.0</v>
      </c>
      <c r="M6">
        <v>57503.0</v>
      </c>
      <c r="N6">
        <v>63739.0</v>
      </c>
      <c r="Q6" s="258"/>
      <c r="R6" s="259"/>
      <c r="S6" s="259"/>
      <c r="T6" s="259"/>
      <c r="U6" s="259"/>
      <c r="V6" s="259"/>
      <c r="W6" s="259"/>
      <c r="X6" s="259"/>
      <c r="Y6" s="259"/>
      <c r="Z6" s="259"/>
      <c r="AA6" s="259"/>
      <c r="AB6" s="259"/>
      <c r="AC6" s="259"/>
    </row>
    <row r="7" spans="8:8">
      <c r="B7" t="s">
        <v>158</v>
      </c>
      <c r="C7">
        <v>16729.0</v>
      </c>
      <c r="D7">
        <v>14897.0</v>
      </c>
      <c r="E7">
        <v>16534.0</v>
      </c>
      <c r="F7">
        <v>19332.0</v>
      </c>
      <c r="G7">
        <v>29224.0</v>
      </c>
      <c r="H7">
        <v>35021.0</v>
      </c>
      <c r="I7">
        <v>27766.0</v>
      </c>
      <c r="J7">
        <v>30477.0</v>
      </c>
      <c r="K7">
        <v>30896.0</v>
      </c>
      <c r="L7">
        <v>27834.0</v>
      </c>
      <c r="M7" s="131">
        <v>35861.0</v>
      </c>
      <c r="N7">
        <v>34779.0</v>
      </c>
      <c r="O7" s="131"/>
      <c r="Q7" s="241"/>
      <c r="R7" s="242"/>
      <c r="S7" s="242"/>
      <c r="T7" s="242"/>
      <c r="U7" s="242"/>
      <c r="V7" s="242"/>
      <c r="W7" s="242"/>
      <c r="X7" s="242"/>
      <c r="Y7" s="242"/>
      <c r="Z7" s="242"/>
      <c r="AA7" s="242"/>
      <c r="AB7" s="242"/>
      <c r="AC7" s="242"/>
    </row>
    <row r="8" spans="8:8">
      <c r="B8" t="s">
        <v>159</v>
      </c>
      <c r="C8">
        <v>0.0</v>
      </c>
      <c r="D8">
        <v>0.0</v>
      </c>
      <c r="E8">
        <v>0.0</v>
      </c>
      <c r="F8">
        <v>0.0</v>
      </c>
      <c r="G8">
        <v>0.0</v>
      </c>
      <c r="H8">
        <v>2167.0</v>
      </c>
      <c r="I8">
        <v>2024.0</v>
      </c>
      <c r="J8">
        <v>2040.0</v>
      </c>
      <c r="K8">
        <v>2137.0</v>
      </c>
      <c r="L8">
        <v>2282.0</v>
      </c>
      <c r="M8" s="131">
        <v>2850.0</v>
      </c>
      <c r="N8" s="131">
        <v>3814.0</v>
      </c>
      <c r="O8" s="131"/>
      <c r="Q8" s="241"/>
      <c r="R8" s="242"/>
      <c r="S8" s="242"/>
      <c r="T8" s="242"/>
      <c r="U8" s="242"/>
      <c r="V8" s="242"/>
      <c r="W8" s="242"/>
      <c r="X8" s="242"/>
      <c r="Y8" s="242"/>
      <c r="Z8" s="242"/>
      <c r="AA8" s="242"/>
      <c r="AB8" s="242"/>
      <c r="AC8" s="242"/>
    </row>
    <row r="9" spans="8:8">
      <c r="B9" t="s">
        <v>8579</v>
      </c>
      <c r="C9">
        <v>0.0</v>
      </c>
      <c r="D9">
        <v>1313.0</v>
      </c>
      <c r="E9">
        <v>1147.0</v>
      </c>
      <c r="F9">
        <v>905.0</v>
      </c>
      <c r="G9">
        <v>976.0</v>
      </c>
      <c r="H9">
        <v>1404.0</v>
      </c>
      <c r="I9">
        <v>1124.0</v>
      </c>
      <c r="J9">
        <v>216.0</v>
      </c>
      <c r="K9">
        <v>0.0</v>
      </c>
      <c r="L9">
        <v>0.0</v>
      </c>
      <c r="M9">
        <v>0.0</v>
      </c>
      <c r="N9">
        <v>0.0</v>
      </c>
      <c r="Q9" s="241"/>
      <c r="R9" s="183"/>
      <c r="S9" s="183"/>
      <c r="T9" s="183"/>
      <c r="U9" s="183"/>
      <c r="V9" s="183"/>
      <c r="W9" s="242"/>
      <c r="X9" s="242"/>
      <c r="Y9" s="242"/>
      <c r="Z9" s="242"/>
      <c r="AA9" s="242"/>
      <c r="AB9" s="242"/>
      <c r="AC9" s="242"/>
    </row>
    <row r="10" spans="8:8">
      <c r="B10" t="s">
        <v>160</v>
      </c>
      <c r="C10" s="131">
        <v>8431.0</v>
      </c>
      <c r="D10" s="131">
        <v>10702.0</v>
      </c>
      <c r="E10" s="131">
        <v>8932.0</v>
      </c>
      <c r="F10" s="131">
        <v>14372.0</v>
      </c>
      <c r="G10" s="131">
        <v>21234.0</v>
      </c>
      <c r="H10" s="131">
        <v>22251.0</v>
      </c>
      <c r="I10" s="131">
        <v>21596.0</v>
      </c>
      <c r="J10" s="131">
        <v>31157.0</v>
      </c>
      <c r="K10" s="131">
        <v>26399.0</v>
      </c>
      <c r="L10" s="131">
        <v>29699.0</v>
      </c>
      <c r="M10" s="131">
        <v>36195.0</v>
      </c>
      <c r="N10" s="131">
        <v>23166.0</v>
      </c>
      <c r="O10" s="131"/>
      <c r="Q10" s="241"/>
      <c r="R10" s="183"/>
      <c r="S10" s="242"/>
      <c r="T10" s="242"/>
      <c r="U10" s="183"/>
      <c r="V10" s="183"/>
      <c r="W10" s="242"/>
      <c r="X10" s="242"/>
      <c r="Y10" s="183"/>
      <c r="Z10" s="183"/>
      <c r="AA10" s="183"/>
      <c r="AB10" s="183"/>
      <c r="AC10" s="183"/>
    </row>
    <row r="11" spans="8:8">
      <c r="B11" t="s">
        <v>8584</v>
      </c>
      <c r="C11">
        <v>58727.0</v>
      </c>
      <c r="D11">
        <v>61775.0</v>
      </c>
      <c r="E11">
        <v>67400.0</v>
      </c>
      <c r="F11">
        <v>80812.0</v>
      </c>
      <c r="G11">
        <v>90106.0</v>
      </c>
      <c r="H11">
        <v>96790.0</v>
      </c>
      <c r="I11">
        <v>99597.0</v>
      </c>
      <c r="J11">
        <v>111112.0</v>
      </c>
      <c r="K11">
        <v>119745.0</v>
      </c>
      <c r="L11">
        <v>136921.0</v>
      </c>
      <c r="M11">
        <v>149050.0</v>
      </c>
      <c r="N11">
        <v>217596.0</v>
      </c>
      <c r="Q11" s="241"/>
      <c r="R11" s="242"/>
      <c r="S11" s="242"/>
      <c r="T11" s="242"/>
      <c r="U11" s="242"/>
      <c r="V11" s="242"/>
      <c r="W11" s="242"/>
      <c r="X11" s="242"/>
      <c r="Y11" s="242"/>
      <c r="Z11" s="242"/>
      <c r="AA11" s="242"/>
      <c r="AB11" s="242"/>
      <c r="AC11" s="242"/>
    </row>
    <row r="12" spans="8:8">
      <c r="B12" t="s">
        <v>161</v>
      </c>
      <c r="C12" s="131">
        <v>4999.0</v>
      </c>
      <c r="D12" s="131">
        <v>2893.0</v>
      </c>
      <c r="E12" s="131">
        <v>3564.0</v>
      </c>
      <c r="F12" s="131">
        <v>5201.0</v>
      </c>
      <c r="G12" s="131">
        <v>6826.0</v>
      </c>
      <c r="H12" s="131">
        <v>9521.0</v>
      </c>
      <c r="I12" s="131">
        <v>12052.0</v>
      </c>
      <c r="J12" s="131">
        <v>12966.0</v>
      </c>
      <c r="K12" s="131">
        <v>14241.0</v>
      </c>
      <c r="L12" s="131">
        <v>16190.0</v>
      </c>
      <c r="M12" s="131">
        <v>17748.0</v>
      </c>
      <c r="N12" s="131">
        <v>19241.0</v>
      </c>
      <c r="O12" s="131"/>
      <c r="Q12" s="258"/>
      <c r="R12" s="259"/>
      <c r="S12" s="259"/>
      <c r="T12" s="259"/>
      <c r="U12" s="259"/>
      <c r="V12" s="259"/>
      <c r="W12" s="259"/>
      <c r="X12" s="259"/>
      <c r="Y12" s="259"/>
      <c r="Z12" s="259"/>
      <c r="AA12" s="259"/>
      <c r="AB12" s="259"/>
      <c r="AC12" s="259"/>
    </row>
    <row r="13" spans="8:8">
      <c r="B13" t="s">
        <v>162</v>
      </c>
      <c r="C13">
        <v>24650.0</v>
      </c>
      <c r="D13">
        <v>27004.0</v>
      </c>
      <c r="E13">
        <v>30295.0</v>
      </c>
      <c r="F13">
        <v>37797.0</v>
      </c>
      <c r="G13">
        <v>42995.0</v>
      </c>
      <c r="H13">
        <v>43644.0</v>
      </c>
      <c r="I13">
        <v>45745.0</v>
      </c>
      <c r="J13">
        <v>51366.0</v>
      </c>
      <c r="K13">
        <v>49784.0</v>
      </c>
      <c r="L13">
        <v>53293.0</v>
      </c>
      <c r="M13">
        <v>52459.0</v>
      </c>
      <c r="N13">
        <v>69456.0</v>
      </c>
      <c r="Q13" s="241"/>
      <c r="R13" s="242"/>
      <c r="S13" s="242"/>
      <c r="T13" s="242"/>
      <c r="U13" s="242"/>
      <c r="V13" s="242"/>
      <c r="W13" s="242"/>
      <c r="X13" s="242"/>
      <c r="Y13" s="242"/>
      <c r="Z13" s="242"/>
      <c r="AA13" s="242"/>
      <c r="AB13" s="242"/>
      <c r="AC13" s="242"/>
    </row>
    <row r="14" spans="8:8">
      <c r="B14" t="s">
        <v>163</v>
      </c>
      <c r="C14" s="131">
        <v>18502.0</v>
      </c>
      <c r="D14" s="131">
        <v>21376.0</v>
      </c>
      <c r="E14" s="131">
        <v>13956.0</v>
      </c>
      <c r="F14" s="131">
        <v>14860.0</v>
      </c>
      <c r="G14" s="131">
        <v>17271.0</v>
      </c>
      <c r="H14" s="131">
        <v>16353.0</v>
      </c>
      <c r="I14" s="131">
        <v>15876.0</v>
      </c>
      <c r="J14" s="131">
        <v>17963.0</v>
      </c>
      <c r="K14" s="131">
        <v>20425.0</v>
      </c>
      <c r="L14" s="131">
        <v>26875.0</v>
      </c>
      <c r="M14" s="131">
        <v>29087.0</v>
      </c>
      <c r="N14" s="131">
        <v>39586.0</v>
      </c>
      <c r="O14" s="131"/>
      <c r="Q14" s="241"/>
      <c r="R14" s="242"/>
      <c r="S14" s="242"/>
      <c r="T14" s="242"/>
      <c r="U14" s="242"/>
      <c r="V14" s="242"/>
      <c r="W14" s="242"/>
      <c r="X14" s="242"/>
      <c r="Y14" s="242"/>
      <c r="Z14" s="242"/>
      <c r="AA14" s="242"/>
      <c r="AB14" s="242"/>
      <c r="AC14" s="242"/>
    </row>
    <row r="15" spans="8:8">
      <c r="B15" t="s">
        <v>164</v>
      </c>
      <c r="C15" s="131">
        <v>10816.0</v>
      </c>
      <c r="D15" s="131">
        <v>10500.0</v>
      </c>
      <c r="E15" s="131">
        <v>19585.0</v>
      </c>
      <c r="F15" s="131">
        <v>22954.0</v>
      </c>
      <c r="G15" s="131">
        <v>23014.0</v>
      </c>
      <c r="H15" s="131">
        <v>27272.0</v>
      </c>
      <c r="I15" s="131">
        <v>25924.0</v>
      </c>
      <c r="J15" s="131">
        <v>28817.0</v>
      </c>
      <c r="K15" s="131">
        <v>35297.0</v>
      </c>
      <c r="L15" s="131">
        <v>40562.0</v>
      </c>
      <c r="M15" s="131">
        <v>49755.0</v>
      </c>
      <c r="N15" s="131">
        <v>89312.0</v>
      </c>
      <c r="O15" s="131"/>
      <c r="Q15" s="241"/>
      <c r="R15" s="242"/>
      <c r="S15" s="242"/>
      <c r="T15" s="242"/>
      <c r="U15" s="242"/>
      <c r="V15" s="242"/>
      <c r="W15" s="242"/>
      <c r="X15" s="242"/>
      <c r="Y15" s="242"/>
      <c r="Z15" s="242"/>
      <c r="AA15" s="242"/>
      <c r="AB15" s="242"/>
      <c r="AC15" s="242"/>
    </row>
    <row r="16" spans="8:8">
      <c r="B16" t="s">
        <v>102</v>
      </c>
      <c r="C16" s="131">
        <v>193266.0</v>
      </c>
      <c r="D16" s="131">
        <v>194091.0</v>
      </c>
      <c r="E16" s="131">
        <v>211571.0</v>
      </c>
      <c r="F16" s="131">
        <v>243240.0</v>
      </c>
      <c r="G16" s="131">
        <v>278036.0</v>
      </c>
      <c r="H16" s="131">
        <v>306687.0</v>
      </c>
      <c r="I16" s="131">
        <v>310095.0</v>
      </c>
      <c r="J16" s="131">
        <v>319028.0</v>
      </c>
      <c r="K16" s="131">
        <v>329722.0</v>
      </c>
      <c r="L16" s="131">
        <v>339602.0</v>
      </c>
      <c r="M16" s="131">
        <v>379114.0</v>
      </c>
      <c r="N16" s="131">
        <v>452383.0</v>
      </c>
      <c r="O16" s="131"/>
      <c r="Q16" s="241"/>
      <c r="R16" s="242"/>
      <c r="S16" s="242"/>
      <c r="T16" s="242"/>
      <c r="U16" s="242"/>
      <c r="V16" s="242"/>
      <c r="W16" s="242"/>
      <c r="X16" s="242"/>
      <c r="Y16" s="242"/>
      <c r="Z16" s="242"/>
      <c r="AA16" s="242"/>
      <c r="AB16" s="242"/>
      <c r="AC16" s="242"/>
    </row>
    <row r="17" spans="8:8">
      <c r="B17" t="s">
        <v>8585</v>
      </c>
      <c r="C17">
        <v>34738.0</v>
      </c>
      <c r="D17">
        <v>14176.0</v>
      </c>
      <c r="E17">
        <v>16677.0</v>
      </c>
      <c r="F17">
        <v>18580.0</v>
      </c>
      <c r="G17">
        <v>21194.0</v>
      </c>
      <c r="H17">
        <v>43653.0</v>
      </c>
      <c r="I17">
        <v>44319.0</v>
      </c>
      <c r="J17">
        <v>42945.0</v>
      </c>
      <c r="K17">
        <v>42641.0</v>
      </c>
      <c r="L17">
        <v>42964.0</v>
      </c>
      <c r="M17" s="131">
        <v>44055.0</v>
      </c>
      <c r="N17" s="131">
        <v>30867.0</v>
      </c>
      <c r="Q17" s="258"/>
      <c r="R17" s="259"/>
      <c r="S17" s="259"/>
      <c r="T17" s="259"/>
      <c r="U17" s="259"/>
      <c r="V17" s="259"/>
      <c r="W17" s="259"/>
      <c r="X17" s="259"/>
      <c r="Y17" s="259"/>
      <c r="Z17" s="259"/>
      <c r="AA17" s="259"/>
      <c r="AB17" s="259"/>
      <c r="AC17" s="259"/>
    </row>
    <row r="18" spans="8:8">
      <c r="B18" t="s">
        <v>165</v>
      </c>
      <c r="C18">
        <v>1822.0</v>
      </c>
      <c r="D18">
        <v>1071.0</v>
      </c>
      <c r="E18">
        <v>1038.0</v>
      </c>
      <c r="F18">
        <v>1025.0</v>
      </c>
      <c r="G18">
        <v>1362.0</v>
      </c>
      <c r="H18" s="131">
        <v>1571.0</v>
      </c>
      <c r="I18" s="131">
        <v>1548.0</v>
      </c>
      <c r="J18" s="131">
        <v>1347.0</v>
      </c>
      <c r="K18" s="131">
        <v>1436.0</v>
      </c>
      <c r="L18" s="131">
        <v>1000.0</v>
      </c>
      <c r="M18" s="131">
        <v>1703.0</v>
      </c>
      <c r="N18" s="131">
        <v>1803.0</v>
      </c>
      <c r="Q18" s="258"/>
      <c r="R18" s="259"/>
      <c r="S18" s="259"/>
      <c r="T18" s="259"/>
      <c r="U18" s="259"/>
      <c r="V18" s="259"/>
      <c r="W18" s="259"/>
      <c r="X18" s="259"/>
      <c r="Y18" s="259"/>
      <c r="Z18" s="259"/>
      <c r="AA18" s="259"/>
      <c r="AB18" s="259"/>
      <c r="AC18" s="259"/>
    </row>
    <row r="19" spans="8:8">
      <c r="B19" t="s">
        <v>166</v>
      </c>
      <c r="C19" s="131">
        <v>5942.0</v>
      </c>
      <c r="D19" s="131">
        <v>3705.0</v>
      </c>
      <c r="E19" s="131">
        <v>3832.0</v>
      </c>
      <c r="F19" s="131">
        <v>11166.0</v>
      </c>
      <c r="G19" s="131">
        <v>12014.0</v>
      </c>
      <c r="H19" s="131">
        <v>6261.0</v>
      </c>
      <c r="I19" s="131">
        <v>6678.0</v>
      </c>
      <c r="J19" s="131">
        <v>6745.0</v>
      </c>
      <c r="K19" s="131">
        <v>6998.0</v>
      </c>
      <c r="L19" s="131">
        <v>6680.0</v>
      </c>
      <c r="M19" s="131">
        <v>9951.0</v>
      </c>
      <c r="N19" s="131">
        <v>11326.0</v>
      </c>
      <c r="Q19" s="241"/>
      <c r="R19" s="242"/>
      <c r="S19" s="242"/>
      <c r="T19" s="242"/>
      <c r="U19" s="242"/>
      <c r="V19" s="242"/>
      <c r="W19" s="242"/>
      <c r="X19" s="242"/>
      <c r="Y19" s="242"/>
      <c r="Z19" s="242"/>
      <c r="AA19" s="242"/>
      <c r="AB19" s="242"/>
      <c r="AC19" s="242"/>
    </row>
    <row r="20" spans="8:8">
      <c r="B20" t="s">
        <v>167</v>
      </c>
      <c r="C20">
        <v>15771.0</v>
      </c>
      <c r="D20">
        <v>6376.0</v>
      </c>
      <c r="E20">
        <v>6796.0</v>
      </c>
      <c r="F20">
        <v>637.0</v>
      </c>
      <c r="G20">
        <v>0.0</v>
      </c>
      <c r="H20">
        <v>7899.0</v>
      </c>
      <c r="I20">
        <v>10077.0</v>
      </c>
      <c r="J20">
        <v>9298.0</v>
      </c>
      <c r="K20">
        <v>10859.0</v>
      </c>
      <c r="L20">
        <v>12570.0</v>
      </c>
      <c r="M20">
        <v>14870.0</v>
      </c>
      <c r="N20">
        <v>15800.0</v>
      </c>
      <c r="Q20" s="241"/>
      <c r="R20" s="242"/>
      <c r="S20" s="242"/>
      <c r="T20" s="242"/>
      <c r="U20" s="242"/>
      <c r="V20" s="242"/>
      <c r="W20" s="242"/>
      <c r="X20" s="242"/>
      <c r="Y20" s="242"/>
      <c r="Z20" s="242"/>
      <c r="AA20" s="242"/>
      <c r="AB20" s="242"/>
      <c r="AC20" s="242"/>
    </row>
    <row r="21" spans="8:8">
      <c r="B21" t="s">
        <v>8580</v>
      </c>
      <c r="C21">
        <v>787.0</v>
      </c>
      <c r="D21">
        <v>38.0</v>
      </c>
      <c r="E21">
        <v>37.0</v>
      </c>
      <c r="F21">
        <v>37.0</v>
      </c>
      <c r="G21">
        <v>130.0</v>
      </c>
      <c r="H21">
        <v>882.0</v>
      </c>
      <c r="I21">
        <v>947.0</v>
      </c>
      <c r="J21">
        <v>947.0</v>
      </c>
      <c r="K21">
        <v>969.0</v>
      </c>
      <c r="L21">
        <v>1007.0</v>
      </c>
      <c r="M21">
        <v>1025.0</v>
      </c>
      <c r="N21">
        <v>1696.0</v>
      </c>
      <c r="Q21" s="241"/>
      <c r="R21" s="242"/>
      <c r="S21" s="242"/>
      <c r="T21" s="242"/>
      <c r="U21" s="183"/>
      <c r="V21" s="183"/>
      <c r="W21" s="242"/>
      <c r="X21" s="242"/>
      <c r="Y21" s="242"/>
      <c r="Z21" s="242"/>
      <c r="AA21" s="242"/>
      <c r="AB21" s="242"/>
      <c r="AC21" s="242"/>
    </row>
    <row r="22" spans="8:8">
      <c r="B22" t="s">
        <v>168</v>
      </c>
      <c r="C22">
        <v>512.0</v>
      </c>
      <c r="D22">
        <v>222.0</v>
      </c>
      <c r="E22">
        <v>264.0</v>
      </c>
      <c r="F22">
        <v>321.0</v>
      </c>
      <c r="G22">
        <v>376.0</v>
      </c>
      <c r="H22">
        <v>543.0</v>
      </c>
      <c r="I22">
        <v>590.0</v>
      </c>
      <c r="J22">
        <v>630.0</v>
      </c>
      <c r="K22">
        <v>716.0</v>
      </c>
      <c r="L22">
        <v>762.0</v>
      </c>
      <c r="M22">
        <v>871.0</v>
      </c>
      <c r="N22">
        <v>1060.0</v>
      </c>
      <c r="Q22" s="241"/>
      <c r="R22" s="183"/>
      <c r="S22" s="183"/>
      <c r="T22" s="183"/>
      <c r="U22" s="183"/>
      <c r="V22" s="183"/>
      <c r="W22" s="183"/>
      <c r="X22" s="183"/>
      <c r="Y22" s="183"/>
      <c r="Z22" s="183"/>
      <c r="AA22" s="242"/>
      <c r="AB22" s="242"/>
      <c r="AC22" s="242"/>
    </row>
    <row r="23" spans="8:8">
      <c r="B23" t="s">
        <v>8581</v>
      </c>
      <c r="C23">
        <v>1111.0</v>
      </c>
      <c r="D23">
        <v>457.0</v>
      </c>
      <c r="E23">
        <v>540.0</v>
      </c>
      <c r="F23">
        <v>0.0</v>
      </c>
      <c r="G23">
        <v>849.0</v>
      </c>
      <c r="H23">
        <v>1425.0</v>
      </c>
      <c r="I23">
        <v>1615.0</v>
      </c>
      <c r="J23">
        <v>2067.0</v>
      </c>
      <c r="K23">
        <v>2448.0</v>
      </c>
      <c r="L23">
        <v>2572.0</v>
      </c>
      <c r="M23">
        <v>2803.0</v>
      </c>
      <c r="N23">
        <v>3152.0</v>
      </c>
      <c r="Q23" s="241"/>
      <c r="R23" s="183"/>
      <c r="S23" s="183"/>
      <c r="T23" s="183"/>
      <c r="U23" s="183"/>
      <c r="V23" s="183"/>
      <c r="W23" s="183"/>
      <c r="X23" s="183"/>
      <c r="Y23" s="183"/>
      <c r="Z23" s="183"/>
      <c r="AA23" s="183"/>
      <c r="AB23" s="183"/>
      <c r="AC23" s="242"/>
    </row>
    <row r="24" spans="8:8">
      <c r="B24" t="s">
        <v>169</v>
      </c>
      <c r="C24">
        <v>650.0</v>
      </c>
      <c r="D24">
        <v>293.0</v>
      </c>
      <c r="E24">
        <v>317.0</v>
      </c>
      <c r="F24">
        <v>393.0</v>
      </c>
      <c r="G24">
        <v>413.0</v>
      </c>
      <c r="H24">
        <v>475.0</v>
      </c>
      <c r="I24">
        <v>485.0</v>
      </c>
      <c r="J24">
        <v>499.0</v>
      </c>
      <c r="K24">
        <v>508.0</v>
      </c>
      <c r="L24">
        <v>633.0</v>
      </c>
      <c r="M24">
        <v>672.0</v>
      </c>
      <c r="N24">
        <v>754.0</v>
      </c>
      <c r="Q24" s="241"/>
      <c r="R24" s="242"/>
      <c r="S24" s="183"/>
      <c r="T24" s="183"/>
      <c r="U24" s="183"/>
      <c r="V24" s="183"/>
      <c r="W24" s="242"/>
      <c r="X24" s="242"/>
      <c r="Y24" s="242"/>
      <c r="Z24" s="242"/>
      <c r="AA24" s="242"/>
      <c r="AB24" s="242"/>
      <c r="AC24" s="242"/>
    </row>
    <row r="25" spans="8:8">
      <c r="B25" t="s">
        <v>8582</v>
      </c>
      <c r="C25" s="131">
        <v>0.0</v>
      </c>
      <c r="D25" s="131">
        <v>0.0</v>
      </c>
      <c r="E25" s="131">
        <v>0.0</v>
      </c>
      <c r="F25" s="131">
        <v>0.0</v>
      </c>
      <c r="G25" s="131">
        <v>0.0</v>
      </c>
      <c r="H25" s="131">
        <v>0.0</v>
      </c>
      <c r="I25" s="131">
        <v>0.0</v>
      </c>
      <c r="J25" s="131">
        <v>0.0</v>
      </c>
      <c r="K25" s="131">
        <v>0.0</v>
      </c>
      <c r="L25" s="131">
        <v>0.0</v>
      </c>
      <c r="M25" s="131">
        <v>0.0</v>
      </c>
      <c r="N25" s="131">
        <v>0.0</v>
      </c>
      <c r="Q25" s="241"/>
      <c r="R25" s="183"/>
      <c r="S25" s="183"/>
      <c r="T25" s="183"/>
      <c r="U25" s="183"/>
      <c r="V25" s="183"/>
      <c r="W25" s="183"/>
      <c r="X25" s="183"/>
      <c r="Y25" s="183"/>
      <c r="Z25" s="183"/>
      <c r="AA25" s="183"/>
      <c r="AB25" s="183"/>
      <c r="AC25" s="183"/>
    </row>
    <row r="26" spans="8:8">
      <c r="B26" t="s">
        <v>170</v>
      </c>
      <c r="C26" s="131">
        <v>851.0</v>
      </c>
      <c r="D26" s="131">
        <v>487.0</v>
      </c>
      <c r="E26">
        <v>450.0</v>
      </c>
      <c r="F26">
        <v>658.0</v>
      </c>
      <c r="G26">
        <v>682.0</v>
      </c>
      <c r="H26" s="131">
        <v>681.0</v>
      </c>
      <c r="I26" s="131">
        <v>658.0</v>
      </c>
      <c r="J26" s="131">
        <v>650.0</v>
      </c>
      <c r="K26" s="131">
        <v>652.0</v>
      </c>
      <c r="L26" s="131">
        <v>657.0</v>
      </c>
      <c r="M26" s="131">
        <v>768.0</v>
      </c>
      <c r="N26" s="131">
        <v>1380.0</v>
      </c>
      <c r="Q26" s="241"/>
      <c r="R26" s="183"/>
      <c r="S26" s="183"/>
      <c r="T26" s="183"/>
      <c r="U26" s="183"/>
      <c r="V26" s="183"/>
      <c r="W26" s="183"/>
      <c r="X26" s="183"/>
      <c r="Y26" s="183"/>
      <c r="Z26" s="183"/>
      <c r="AA26" s="183"/>
      <c r="AB26" s="183"/>
      <c r="AC26" s="183"/>
    </row>
    <row r="27" spans="8:8">
      <c r="B27" t="s">
        <v>171</v>
      </c>
      <c r="C27">
        <v>2478.0</v>
      </c>
      <c r="D27">
        <v>1658.0</v>
      </c>
      <c r="E27">
        <v>1512.0</v>
      </c>
      <c r="F27">
        <v>1736.0</v>
      </c>
      <c r="G27" s="131">
        <v>5729.0</v>
      </c>
      <c r="H27">
        <v>24817.0</v>
      </c>
      <c r="I27">
        <v>25195.0</v>
      </c>
      <c r="J27">
        <v>24950.0</v>
      </c>
      <c r="K27">
        <v>25099.0</v>
      </c>
      <c r="L27" s="131">
        <v>24837.0</v>
      </c>
      <c r="M27" s="131">
        <v>25860.0</v>
      </c>
      <c r="N27" s="131">
        <v>9432.0</v>
      </c>
      <c r="O27" s="131"/>
      <c r="Q27" s="241"/>
      <c r="R27" s="183"/>
      <c r="S27" s="183"/>
      <c r="T27" s="183"/>
      <c r="U27" s="183"/>
      <c r="V27" s="183"/>
      <c r="W27" s="183"/>
      <c r="X27" s="183"/>
      <c r="Y27" s="183"/>
      <c r="Z27" s="183"/>
      <c r="AA27" s="183"/>
      <c r="AB27" s="183"/>
      <c r="AC27" s="242"/>
    </row>
    <row r="28" spans="8:8">
      <c r="B28" t="s">
        <v>172</v>
      </c>
      <c r="C28" s="131">
        <v>15861.0</v>
      </c>
      <c r="D28" s="131">
        <v>2216.0</v>
      </c>
      <c r="E28" s="131">
        <v>5921.0</v>
      </c>
      <c r="F28" s="131">
        <v>8448.0</v>
      </c>
      <c r="G28" s="131">
        <v>7091.0</v>
      </c>
      <c r="H28" s="131">
        <v>8568.0</v>
      </c>
      <c r="I28" s="131">
        <v>8784.0</v>
      </c>
      <c r="J28" s="131">
        <v>9361.0</v>
      </c>
      <c r="K28" s="131">
        <v>9071.0</v>
      </c>
      <c r="L28" s="131">
        <v>10408.0</v>
      </c>
      <c r="M28" s="131">
        <v>7867.0</v>
      </c>
      <c r="N28" s="131">
        <v>7487.0</v>
      </c>
      <c r="O28" s="131"/>
      <c r="Q28" s="241"/>
      <c r="R28" s="242"/>
      <c r="S28" s="242"/>
      <c r="T28" s="242"/>
      <c r="U28" s="242"/>
      <c r="V28" s="242"/>
      <c r="W28" s="242"/>
      <c r="X28" s="242"/>
      <c r="Y28" s="242"/>
      <c r="Z28" s="242"/>
      <c r="AA28" s="242"/>
      <c r="AB28" s="242"/>
      <c r="AC28" s="242"/>
    </row>
    <row r="29" spans="8:8">
      <c r="B29" t="s">
        <v>173</v>
      </c>
      <c r="C29" s="131">
        <v>45783.0</v>
      </c>
      <c r="D29" s="131">
        <v>16522.0</v>
      </c>
      <c r="E29" s="131">
        <v>20706.0</v>
      </c>
      <c r="F29" s="131">
        <v>24422.0</v>
      </c>
      <c r="G29" s="131">
        <v>28644.0</v>
      </c>
      <c r="H29" s="131">
        <v>53121.0</v>
      </c>
      <c r="I29" s="131">
        <v>56577.0</v>
      </c>
      <c r="J29" s="131">
        <v>56495.0</v>
      </c>
      <c r="K29" s="131">
        <v>58756.0</v>
      </c>
      <c r="L29" s="131">
        <v>61124.0</v>
      </c>
      <c r="M29" s="131">
        <v>66389.0</v>
      </c>
      <c r="N29" s="131">
        <v>53890.0</v>
      </c>
      <c r="O29" s="131"/>
      <c r="Q29" s="241"/>
      <c r="R29" s="242"/>
      <c r="S29" s="242"/>
      <c r="T29" s="242"/>
      <c r="U29" s="242"/>
      <c r="V29" s="242"/>
      <c r="W29" s="242"/>
      <c r="X29" s="242"/>
      <c r="Y29" s="242"/>
      <c r="Z29" s="242"/>
      <c r="AA29" s="242"/>
      <c r="AB29" s="242"/>
      <c r="AC29" s="242"/>
    </row>
    <row r="30" spans="8:8">
      <c r="B30" t="s">
        <v>174</v>
      </c>
      <c r="C30" s="131">
        <v>10806.0</v>
      </c>
      <c r="D30" s="131">
        <v>2347.0</v>
      </c>
      <c r="E30" s="131">
        <v>4029.0</v>
      </c>
      <c r="F30" s="131">
        <v>5842.0</v>
      </c>
      <c r="G30" s="131">
        <v>7450.0</v>
      </c>
      <c r="H30" s="131">
        <v>9468.0</v>
      </c>
      <c r="I30" s="131">
        <v>12258.0</v>
      </c>
      <c r="J30" s="131">
        <v>13550.0</v>
      </c>
      <c r="K30" s="131">
        <v>16115.0</v>
      </c>
      <c r="L30" s="131">
        <v>18161.0</v>
      </c>
      <c r="M30" s="131">
        <v>22334.0</v>
      </c>
      <c r="N30" s="131">
        <v>23023.0</v>
      </c>
      <c r="O30" s="131"/>
      <c r="Q30" s="260"/>
      <c r="R30" s="259"/>
      <c r="S30" s="259"/>
      <c r="T30" s="259"/>
      <c r="U30" s="259"/>
      <c r="V30" s="259"/>
      <c r="W30" s="259"/>
      <c r="X30" s="259"/>
      <c r="Y30" s="259"/>
      <c r="Z30" s="259"/>
      <c r="AA30" s="259"/>
      <c r="AB30" s="259"/>
      <c r="AC30" s="259"/>
    </row>
    <row r="31" spans="8:8">
      <c r="B31" t="s">
        <v>175</v>
      </c>
      <c r="C31" s="131">
        <v>14993.0</v>
      </c>
      <c r="D31" s="131">
        <v>10974.0</v>
      </c>
      <c r="E31" s="131">
        <v>13298.0</v>
      </c>
      <c r="F31" s="131">
        <v>13443.0</v>
      </c>
      <c r="G31" s="131">
        <v>13919.0</v>
      </c>
      <c r="H31" s="131">
        <v>3311.0</v>
      </c>
      <c r="I31" s="131">
        <v>500.0</v>
      </c>
      <c r="J31" s="131">
        <v>1250.0</v>
      </c>
      <c r="K31" s="131">
        <v>3066.0</v>
      </c>
      <c r="L31" s="131">
        <v>3045.0</v>
      </c>
      <c r="M31" s="131">
        <v>2589.0</v>
      </c>
      <c r="N31" s="131">
        <v>3311.0</v>
      </c>
      <c r="O31" s="131"/>
      <c r="Q31" s="241"/>
      <c r="R31" s="242"/>
      <c r="S31" s="242"/>
      <c r="T31" s="242"/>
      <c r="U31" s="242"/>
      <c r="V31" s="242"/>
      <c r="W31" s="242"/>
      <c r="X31" s="242"/>
      <c r="Y31" s="242"/>
      <c r="Z31" s="242"/>
      <c r="AA31" s="242"/>
      <c r="AB31" s="242"/>
      <c r="AC31" s="242"/>
    </row>
    <row r="32" spans="8:8">
      <c r="B32" t="s">
        <v>105</v>
      </c>
      <c r="C32">
        <v>9612.0</v>
      </c>
      <c r="D32">
        <v>15465.0</v>
      </c>
      <c r="E32">
        <v>19753.0</v>
      </c>
      <c r="F32">
        <v>15311.0</v>
      </c>
      <c r="G32">
        <v>20907.0</v>
      </c>
      <c r="H32">
        <v>20047.0</v>
      </c>
      <c r="I32">
        <v>39627.0</v>
      </c>
      <c r="J32">
        <v>39395.0</v>
      </c>
      <c r="K32">
        <v>44798.0</v>
      </c>
      <c r="L32">
        <v>45648.0</v>
      </c>
      <c r="M32" s="131">
        <v>54805.0</v>
      </c>
      <c r="N32">
        <v>68377.0</v>
      </c>
      <c r="O32" s="131"/>
      <c r="Q32" s="182"/>
      <c r="R32" s="242"/>
      <c r="S32" s="242"/>
      <c r="T32" s="242"/>
      <c r="U32" s="242"/>
      <c r="V32" s="242"/>
      <c r="W32" s="242"/>
      <c r="X32" s="183"/>
      <c r="Y32" s="242"/>
      <c r="Z32" s="242"/>
      <c r="AA32" s="242"/>
      <c r="AB32" s="242"/>
      <c r="AC32" s="242"/>
    </row>
    <row r="33" spans="8:8">
      <c r="B33" t="s">
        <v>8586</v>
      </c>
      <c r="C33">
        <v>133923.0</v>
      </c>
      <c r="D33">
        <v>153475.0</v>
      </c>
      <c r="E33">
        <v>161843.0</v>
      </c>
      <c r="F33">
        <v>195905.0</v>
      </c>
      <c r="G33">
        <v>222016.0</v>
      </c>
      <c r="H33">
        <v>239675.0</v>
      </c>
      <c r="I33">
        <v>225649.0</v>
      </c>
      <c r="J33">
        <v>235438.0</v>
      </c>
      <c r="K33">
        <v>239217.0</v>
      </c>
      <c r="L33">
        <v>247946.0</v>
      </c>
      <c r="M33">
        <v>277665.0</v>
      </c>
      <c r="N33">
        <v>349828.0</v>
      </c>
      <c r="O33" s="131"/>
      <c r="Q33" s="182"/>
      <c r="R33" s="242"/>
      <c r="S33" s="242"/>
      <c r="T33" s="242"/>
      <c r="U33" s="242"/>
      <c r="V33" s="242"/>
      <c r="W33" s="242"/>
      <c r="X33" s="242"/>
      <c r="Y33" s="242"/>
      <c r="Z33" s="242"/>
      <c r="AA33" s="242"/>
      <c r="AB33" s="242"/>
      <c r="AC33" s="242"/>
    </row>
    <row r="34" spans="8:8">
      <c r="B34" t="s">
        <v>176</v>
      </c>
      <c r="C34">
        <v>6508.0</v>
      </c>
      <c r="D34">
        <v>4854.0</v>
      </c>
      <c r="E34">
        <v>4140.0</v>
      </c>
      <c r="F34" s="131">
        <v>4848.0</v>
      </c>
      <c r="G34" s="131">
        <v>6414.0</v>
      </c>
      <c r="H34" s="131">
        <v>5747.0</v>
      </c>
      <c r="I34" s="131">
        <v>5821.0</v>
      </c>
      <c r="J34" s="131">
        <v>5943.0</v>
      </c>
      <c r="K34" s="131">
        <v>6829.0</v>
      </c>
      <c r="L34" s="131">
        <v>6620.0</v>
      </c>
      <c r="M34" s="131">
        <v>7671.0</v>
      </c>
      <c r="N34" s="131">
        <v>9531.0</v>
      </c>
      <c r="O34" s="131"/>
      <c r="Q34" s="258"/>
      <c r="R34" s="259"/>
      <c r="S34" s="259"/>
      <c r="T34" s="259"/>
      <c r="U34" s="259"/>
      <c r="V34" s="259"/>
      <c r="W34" s="259"/>
      <c r="X34" s="259"/>
      <c r="Y34" s="259"/>
      <c r="Z34" s="259"/>
      <c r="AA34" s="259"/>
      <c r="AB34" s="259"/>
      <c r="AC34" s="259"/>
    </row>
    <row r="35" spans="8:8">
      <c r="B35" t="s">
        <v>8587</v>
      </c>
      <c r="C35" s="131">
        <v>30089.0</v>
      </c>
      <c r="D35" s="131">
        <v>26025.0</v>
      </c>
      <c r="E35" s="131">
        <v>28689.0</v>
      </c>
      <c r="F35" s="131">
        <v>33117.0</v>
      </c>
      <c r="G35" s="131">
        <v>36846.0</v>
      </c>
      <c r="H35" s="131">
        <v>40732.0</v>
      </c>
      <c r="I35" s="131">
        <v>42230.0</v>
      </c>
      <c r="J35" s="131">
        <v>46139.0</v>
      </c>
      <c r="K35" s="131">
        <v>44732.0</v>
      </c>
      <c r="L35" s="131">
        <v>48771.0</v>
      </c>
      <c r="M35" s="131">
        <v>53714.0</v>
      </c>
      <c r="N35" s="131">
        <v>60461.0</v>
      </c>
      <c r="O35" s="131"/>
      <c r="Q35" s="241"/>
      <c r="R35" s="242"/>
      <c r="S35" s="242"/>
      <c r="T35" s="242"/>
      <c r="U35" s="242"/>
      <c r="V35" s="242"/>
      <c r="W35" s="242"/>
      <c r="X35" s="242"/>
      <c r="Y35" s="242"/>
      <c r="Z35" s="242"/>
      <c r="AA35" s="242"/>
      <c r="AB35" s="242"/>
      <c r="AC35" s="242"/>
    </row>
    <row r="36" spans="8:8">
      <c r="B36" t="s">
        <v>177</v>
      </c>
      <c r="C36">
        <v>5756.0</v>
      </c>
      <c r="D36">
        <v>5390.0</v>
      </c>
      <c r="E36">
        <v>5306.0</v>
      </c>
      <c r="F36">
        <v>8033.0</v>
      </c>
      <c r="G36">
        <v>11726.0</v>
      </c>
      <c r="H36">
        <v>15118.0</v>
      </c>
      <c r="I36">
        <v>16242.0</v>
      </c>
      <c r="J36">
        <v>18953.0</v>
      </c>
      <c r="K36">
        <v>22520.0</v>
      </c>
      <c r="L36">
        <v>15358.0</v>
      </c>
      <c r="M36">
        <v>22965.0</v>
      </c>
      <c r="N36">
        <v>20848.0</v>
      </c>
      <c r="Q36" s="241"/>
      <c r="R36" s="242"/>
      <c r="S36" s="242"/>
      <c r="T36" s="242"/>
      <c r="U36" s="242"/>
      <c r="V36" s="242"/>
      <c r="W36" s="242"/>
      <c r="X36" s="242"/>
      <c r="Y36" s="242"/>
      <c r="Z36" s="242"/>
      <c r="AA36" s="242"/>
      <c r="AB36" s="242"/>
      <c r="AC36" s="242"/>
    </row>
    <row r="37" spans="8:8">
      <c r="B37" t="s">
        <v>178</v>
      </c>
      <c r="C37">
        <v>11219.0</v>
      </c>
      <c r="D37">
        <v>18526.0</v>
      </c>
      <c r="E37">
        <v>24733.0</v>
      </c>
      <c r="F37">
        <v>31865.0</v>
      </c>
      <c r="G37">
        <v>41938.0</v>
      </c>
      <c r="H37">
        <v>40958.0</v>
      </c>
      <c r="I37">
        <v>40786.0</v>
      </c>
      <c r="J37">
        <v>41799.0</v>
      </c>
      <c r="K37">
        <v>40356.0</v>
      </c>
      <c r="L37">
        <v>34700.0</v>
      </c>
      <c r="M37">
        <v>34244.0</v>
      </c>
      <c r="N37">
        <v>40747.0</v>
      </c>
      <c r="Q37" s="241"/>
      <c r="R37" s="242"/>
      <c r="S37" s="242"/>
      <c r="T37" s="242"/>
      <c r="U37" s="242"/>
      <c r="V37" s="242"/>
      <c r="W37" s="242"/>
      <c r="X37" s="242"/>
      <c r="Y37" s="242"/>
      <c r="Z37" s="242"/>
      <c r="AA37" s="242"/>
      <c r="AB37" s="242"/>
      <c r="AC37" s="242"/>
    </row>
    <row r="38" spans="8:8">
      <c r="B38" t="s">
        <v>179</v>
      </c>
      <c r="C38">
        <v>80351.0</v>
      </c>
      <c r="D38">
        <v>98680.0</v>
      </c>
      <c r="E38">
        <v>98975.0</v>
      </c>
      <c r="F38">
        <v>118042.0</v>
      </c>
      <c r="G38">
        <v>125092.0</v>
      </c>
      <c r="H38">
        <v>137121.0</v>
      </c>
      <c r="I38">
        <v>120571.0</v>
      </c>
      <c r="J38">
        <v>122604.0</v>
      </c>
      <c r="K38">
        <v>124781.0</v>
      </c>
      <c r="L38">
        <v>142496.0</v>
      </c>
      <c r="M38">
        <v>159071.0</v>
      </c>
      <c r="N38">
        <v>218241.0</v>
      </c>
      <c r="Q38" s="241"/>
      <c r="R38" s="242"/>
      <c r="S38" s="242"/>
      <c r="T38" s="242"/>
      <c r="U38" s="242"/>
      <c r="V38" s="242"/>
      <c r="W38" s="242"/>
      <c r="X38" s="242"/>
      <c r="Y38" s="242"/>
      <c r="Z38" s="242"/>
      <c r="AA38" s="242"/>
      <c r="AB38" s="242"/>
      <c r="AC38" s="242"/>
    </row>
    <row r="39" spans="8:8">
      <c r="B39" t="s">
        <v>112</v>
      </c>
      <c r="C39">
        <v>193266.0</v>
      </c>
      <c r="D39">
        <v>194091.0</v>
      </c>
      <c r="E39">
        <v>211571.0</v>
      </c>
      <c r="F39">
        <v>243240.0</v>
      </c>
      <c r="G39">
        <v>278036.0</v>
      </c>
      <c r="H39">
        <v>306687.0</v>
      </c>
      <c r="I39">
        <v>310095.0</v>
      </c>
      <c r="J39">
        <v>319028.0</v>
      </c>
      <c r="K39">
        <v>329722.0</v>
      </c>
      <c r="L39">
        <v>339602.0</v>
      </c>
      <c r="M39">
        <v>379114.0</v>
      </c>
      <c r="N39">
        <v>452383.0</v>
      </c>
      <c r="Q39" s="241"/>
      <c r="R39" s="242"/>
      <c r="S39" s="242"/>
      <c r="T39" s="242"/>
      <c r="U39" s="242"/>
      <c r="V39" s="242"/>
      <c r="W39" s="242"/>
      <c r="X39" s="242"/>
      <c r="Y39" s="242"/>
      <c r="Z39" s="242"/>
      <c r="AA39" s="242"/>
      <c r="AB39" s="242"/>
      <c r="AC39" s="242"/>
    </row>
    <row r="40" spans="8:8">
      <c r="Q40" s="258"/>
      <c r="R40" s="259"/>
      <c r="S40" s="259"/>
      <c r="T40" s="259"/>
      <c r="U40" s="259"/>
      <c r="V40" s="259"/>
      <c r="W40" s="259"/>
      <c r="X40" s="259"/>
      <c r="Y40" s="259"/>
      <c r="Z40" s="259"/>
      <c r="AA40" s="259"/>
      <c r="AB40" s="259"/>
      <c r="AC40" s="259"/>
    </row>
  </sheetData>
  <mergeCells count="1">
    <mergeCell ref="E1:K1"/>
  </mergeCells>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B1:T21"/>
  <sheetViews>
    <sheetView workbookViewId="0" zoomScale="105">
      <selection activeCell="C4" sqref="C4"/>
    </sheetView>
  </sheetViews>
  <sheetFormatPr defaultRowHeight="15.0" defaultColWidth="10"/>
  <cols>
    <col min="2" max="2" customWidth="1" width="12.7109375" style="0"/>
    <col min="3" max="3" customWidth="1" bestFit="1" width="17.710938" style="0"/>
    <col min="4" max="14" customWidth="1" width="12.7109375" style="0"/>
  </cols>
  <sheetData>
    <row r="1" spans="8:8">
      <c r="E1" t="s">
        <v>287</v>
      </c>
      <c r="H1" t="s">
        <v>286</v>
      </c>
      <c r="L1" t="s">
        <v>285</v>
      </c>
      <c r="M1" t="s">
        <v>284</v>
      </c>
    </row>
    <row r="2" spans="8:8">
      <c r="B2" t="s">
        <v>41</v>
      </c>
      <c r="C2" t="s">
        <v>3</v>
      </c>
      <c r="D2" t="s">
        <v>42</v>
      </c>
      <c r="E2" t="s">
        <v>281</v>
      </c>
      <c r="F2" t="s">
        <v>275</v>
      </c>
      <c r="G2" t="s">
        <v>43</v>
      </c>
      <c r="H2" t="s">
        <v>282</v>
      </c>
      <c r="I2" t="s">
        <v>262</v>
      </c>
      <c r="J2" t="s">
        <v>278</v>
      </c>
      <c r="K2" t="s">
        <v>276</v>
      </c>
      <c r="L2" t="s">
        <v>79</v>
      </c>
      <c r="M2" t="s">
        <v>283</v>
      </c>
      <c r="O2" t="s">
        <v>268</v>
      </c>
      <c r="P2" t="s">
        <v>45</v>
      </c>
      <c r="Q2" t="s">
        <v>277</v>
      </c>
      <c r="R2" t="s">
        <v>279</v>
      </c>
      <c r="S2" t="s">
        <v>280</v>
      </c>
    </row>
    <row r="3" spans="8:8">
      <c r="B3">
        <v>1.0</v>
      </c>
      <c r="C3" t="s">
        <v>8578</v>
      </c>
      <c r="D3">
        <f>'Data Sheet'!B8</f>
        <v>3785.6</v>
      </c>
      <c r="E3" s="5">
        <f>'Data Sheet'!B6</f>
        <v>137.5293982459848</v>
      </c>
      <c r="F3">
        <f>'Data Sheet'!B9</f>
        <v>520631.29</v>
      </c>
      <c r="G3">
        <f>SUM('Raw FS'!N7:N9)</f>
        <v>102332.0</v>
      </c>
      <c r="H3">
        <f>'Data Sheet'!K69</f>
        <v>20847.67</v>
      </c>
      <c r="I3">
        <f>G3-H3</f>
        <v>81484.33</v>
      </c>
      <c r="J3">
        <f>F3+I3</f>
        <v>602115.62</v>
      </c>
      <c r="K3">
        <f>HistoricalFS!L6</f>
        <v>285874.36</v>
      </c>
      <c r="L3">
        <f>'Data Sheet'!K34</f>
        <v>37321.09</v>
      </c>
      <c r="M3">
        <f>'Data Sheet'!K30</f>
        <v>16083.99</v>
      </c>
      <c r="O3">
        <f>F3/M3</f>
        <v>32.369535793046374</v>
      </c>
      <c r="P3" s="71">
        <f>'Beta - Comps'!G4</f>
        <v>0.19655368773551818</v>
      </c>
      <c r="Q3">
        <f>(('Data Sheet'!K34-'Data Sheet'!K26)/'Data Sheet'!K17)*100</f>
        <v>11.528260176953259</v>
      </c>
      <c r="R3">
        <f>J3/L3</f>
        <v>16.13338785121228</v>
      </c>
      <c r="S3">
        <v>38.25</v>
      </c>
    </row>
    <row r="4" spans="8:8">
      <c r="B4">
        <v>2.0</v>
      </c>
      <c r="C4" t="s">
        <v>8574</v>
      </c>
      <c r="D4">
        <v>226.2</v>
      </c>
      <c r="E4" s="5">
        <f>F4/D4</f>
        <v>208.50194518125554</v>
      </c>
      <c r="F4">
        <v>47163.14</v>
      </c>
      <c r="G4">
        <v>4818.49</v>
      </c>
      <c r="H4">
        <f t="shared" si="0" ref="H4:H8">F4+G4-J4</f>
        <v>968.25</v>
      </c>
      <c r="I4">
        <f t="shared" si="1" ref="I4:I8">G4-H4</f>
        <v>3850.24</v>
      </c>
      <c r="J4">
        <v>51013.38</v>
      </c>
      <c r="K4">
        <v>20412.12</v>
      </c>
      <c r="L4">
        <f t="shared" si="2" ref="L4:L5">J4/R4</f>
        <v>1636.6179018286812</v>
      </c>
      <c r="M4">
        <f t="shared" si="3" ref="M4:M8">F4/O4</f>
        <v>875.0118738404453</v>
      </c>
      <c r="O4">
        <v>53.9</v>
      </c>
      <c r="P4">
        <v>0.49</v>
      </c>
      <c r="Q4">
        <v>3.76</v>
      </c>
      <c r="R4">
        <v>31.17</v>
      </c>
      <c r="S4">
        <v>16.91</v>
      </c>
    </row>
    <row r="5" spans="8:8">
      <c r="B5">
        <v>3.0</v>
      </c>
      <c r="C5" t="s">
        <v>4429</v>
      </c>
      <c r="D5">
        <v>95.25</v>
      </c>
      <c r="E5" s="5">
        <f>F5/D5</f>
        <v>270.0</v>
      </c>
      <c r="F5">
        <v>25717.5</v>
      </c>
      <c r="G5">
        <v>0.26</v>
      </c>
      <c r="H5">
        <f t="shared" si="0"/>
        <v>6515.619999999999</v>
      </c>
      <c r="I5">
        <f t="shared" si="1"/>
        <v>-6515.36</v>
      </c>
      <c r="J5">
        <v>19202.14</v>
      </c>
      <c r="K5">
        <v>12888.61</v>
      </c>
      <c r="L5">
        <f t="shared" si="2"/>
        <v>924.0683349374398</v>
      </c>
      <c r="M5">
        <f t="shared" si="3"/>
        <v>661.969111969112</v>
      </c>
      <c r="O5">
        <v>38.85</v>
      </c>
      <c r="P5">
        <v>0.0</v>
      </c>
      <c r="Q5">
        <v>4.79</v>
      </c>
      <c r="R5">
        <v>20.78</v>
      </c>
      <c r="S5">
        <v>16.91</v>
      </c>
    </row>
    <row r="6" spans="8:8">
      <c r="B6">
        <v>4.0</v>
      </c>
      <c r="C6" t="s">
        <v>8575</v>
      </c>
      <c r="D6">
        <v>19.67</v>
      </c>
      <c r="E6" s="5">
        <f t="shared" si="4" ref="E6:E8">F6/D6</f>
        <v>1207.7996949669546</v>
      </c>
      <c r="F6">
        <v>23757.42</v>
      </c>
      <c r="G6">
        <v>20027.06</v>
      </c>
      <c r="H6">
        <f t="shared" si="0"/>
        <v>1910.9600000000064</v>
      </c>
      <c r="I6">
        <f t="shared" si="1"/>
        <v>18116.09999999999</v>
      </c>
      <c r="J6">
        <v>41873.52</v>
      </c>
      <c r="K6">
        <v>7648.15</v>
      </c>
      <c r="L6">
        <f>J6/S6</f>
        <v>2476.2578356002364</v>
      </c>
      <c r="M6">
        <f t="shared" si="3"/>
        <v>879.2531458179126</v>
      </c>
      <c r="O6">
        <v>27.02</v>
      </c>
      <c r="P6">
        <v>0.96</v>
      </c>
      <c r="Q6">
        <v>52.06</v>
      </c>
      <c r="R6">
        <v>10.0</v>
      </c>
      <c r="S6">
        <v>16.91</v>
      </c>
    </row>
    <row r="7" spans="8:8">
      <c r="B7">
        <v>5.0</v>
      </c>
      <c r="C7" t="s">
        <v>8576</v>
      </c>
      <c r="D7">
        <v>1369.1</v>
      </c>
      <c r="E7" s="5">
        <f t="shared" si="4"/>
        <v>17.178745161054707</v>
      </c>
      <c r="F7">
        <v>23519.42</v>
      </c>
      <c r="G7">
        <v>1001.23</v>
      </c>
      <c r="H7">
        <f t="shared" si="0"/>
        <v>948.8500000000022</v>
      </c>
      <c r="I7">
        <f t="shared" si="1"/>
        <v>52.37999999999806</v>
      </c>
      <c r="J7">
        <v>23571.8</v>
      </c>
      <c r="K7">
        <v>10060.58</v>
      </c>
      <c r="L7">
        <f>J7/S7</f>
        <v>1393.9562389118864</v>
      </c>
      <c r="M7">
        <f t="shared" si="3"/>
        <v>588.4268201150863</v>
      </c>
      <c r="O7">
        <v>39.97</v>
      </c>
      <c r="P7">
        <v>0.42</v>
      </c>
      <c r="Q7">
        <v>10.1</v>
      </c>
      <c r="R7">
        <v>19.88</v>
      </c>
      <c r="S7">
        <v>16.91</v>
      </c>
    </row>
    <row r="8" spans="8:8">
      <c r="B8">
        <v>6.0</v>
      </c>
      <c r="C8" t="s">
        <v>8577</v>
      </c>
      <c r="D8">
        <v>1284.55</v>
      </c>
      <c r="E8" s="5">
        <f t="shared" si="4"/>
        <v>17.07724884200693</v>
      </c>
      <c r="F8">
        <v>21936.58</v>
      </c>
      <c r="G8">
        <v>3542.62</v>
      </c>
      <c r="H8">
        <f t="shared" si="0"/>
        <v>1842.1900000000023</v>
      </c>
      <c r="I8">
        <f t="shared" si="1"/>
        <v>1700.4299999999998</v>
      </c>
      <c r="J8">
        <v>23637.01</v>
      </c>
      <c r="K8">
        <v>27143.06</v>
      </c>
      <c r="L8">
        <f>J8/S8</f>
        <v>1397.8125369603783</v>
      </c>
      <c r="M8">
        <f t="shared" si="3"/>
        <v>977.565953654189</v>
      </c>
      <c r="O8">
        <v>22.44</v>
      </c>
      <c r="P8">
        <v>0.46</v>
      </c>
      <c r="Q8">
        <v>8.96</v>
      </c>
      <c r="R8">
        <v>9.35</v>
      </c>
      <c r="S8">
        <v>16.91</v>
      </c>
    </row>
    <row r="13" spans="8:8">
      <c r="B13" s="176"/>
      <c r="C13" s="177"/>
      <c r="D13" s="178"/>
      <c r="E13" s="178"/>
      <c r="F13" s="178"/>
      <c r="G13" s="178"/>
      <c r="H13" s="178"/>
      <c r="I13" s="178"/>
      <c r="J13" s="178"/>
      <c r="K13" s="178"/>
      <c r="L13" s="178"/>
      <c r="M13" s="178"/>
      <c r="N13" s="178"/>
      <c r="O13" s="178"/>
    </row>
    <row r="14" spans="8:8">
      <c r="B14" s="179"/>
      <c r="C14" s="180"/>
      <c r="D14" s="181"/>
      <c r="E14" s="181"/>
      <c r="F14" s="181"/>
      <c r="G14" s="181"/>
      <c r="H14" s="181"/>
      <c r="I14" s="181"/>
      <c r="J14" s="181"/>
      <c r="K14" s="181"/>
      <c r="L14" s="181"/>
      <c r="M14" s="181"/>
      <c r="N14" s="181"/>
      <c r="O14" s="181"/>
    </row>
    <row r="15" spans="8:8">
      <c r="B15" s="182"/>
      <c r="C15" s="180"/>
      <c r="D15" s="183"/>
      <c r="E15" s="183"/>
      <c r="F15" s="183"/>
      <c r="G15" s="183"/>
      <c r="H15" s="183"/>
      <c r="I15" s="183"/>
      <c r="J15" s="183"/>
      <c r="K15" s="183"/>
      <c r="L15" s="183"/>
      <c r="M15" s="183"/>
      <c r="N15" s="183"/>
      <c r="O15" s="183"/>
    </row>
    <row r="16" spans="8:8">
      <c r="B16" s="182"/>
      <c r="C16" s="180"/>
      <c r="D16" s="183"/>
      <c r="E16" s="183"/>
      <c r="F16" s="183"/>
      <c r="G16" s="183"/>
      <c r="H16" s="183"/>
      <c r="I16" s="183"/>
      <c r="J16" s="183"/>
      <c r="K16" s="183"/>
      <c r="L16" s="183"/>
      <c r="M16" s="183"/>
      <c r="N16" s="183"/>
      <c r="O16" s="183"/>
    </row>
    <row r="17" spans="8:8">
      <c r="B17" s="182"/>
      <c r="C17" s="180"/>
      <c r="D17" s="183"/>
      <c r="E17" s="183"/>
      <c r="F17" s="183"/>
      <c r="G17" s="183"/>
      <c r="H17" s="183"/>
      <c r="I17" s="183"/>
      <c r="J17" s="183"/>
      <c r="K17" s="183"/>
      <c r="L17" s="183"/>
      <c r="M17" s="183"/>
      <c r="N17" s="183"/>
      <c r="O17" s="183"/>
    </row>
    <row r="18" spans="8:8">
      <c r="B18" s="182"/>
      <c r="C18" s="180"/>
      <c r="D18" s="183"/>
      <c r="E18" s="183"/>
      <c r="F18" s="183"/>
      <c r="G18" s="183"/>
      <c r="H18" s="183"/>
      <c r="I18" s="183"/>
      <c r="J18" s="183"/>
      <c r="K18" s="183"/>
      <c r="L18" s="183"/>
      <c r="M18" s="183"/>
      <c r="N18" s="183"/>
      <c r="O18" s="183"/>
    </row>
    <row r="19" spans="8:8">
      <c r="B19" s="182"/>
      <c r="C19" s="180"/>
      <c r="D19" s="183"/>
      <c r="E19" s="183"/>
      <c r="F19" s="183"/>
      <c r="G19" s="183"/>
      <c r="H19" s="183"/>
      <c r="I19" s="183"/>
      <c r="J19" s="183"/>
      <c r="K19" s="183"/>
      <c r="L19" s="183"/>
      <c r="M19" s="183"/>
      <c r="N19" s="183"/>
      <c r="O19" s="183"/>
    </row>
    <row r="20" spans="8:8">
      <c r="B20" s="182"/>
      <c r="C20" s="180"/>
      <c r="D20" s="183"/>
      <c r="E20" s="183"/>
      <c r="F20" s="183"/>
      <c r="G20" s="183"/>
      <c r="H20" s="183"/>
      <c r="I20" s="183"/>
      <c r="J20" s="183"/>
      <c r="K20" s="183"/>
      <c r="L20" s="183"/>
      <c r="M20" s="183"/>
      <c r="N20" s="183"/>
      <c r="O20" s="183"/>
    </row>
    <row r="21" spans="8:8">
      <c r="B21" s="184"/>
      <c r="C21" s="185"/>
      <c r="D21" s="181"/>
      <c r="E21" s="181"/>
      <c r="F21" s="181"/>
      <c r="G21" s="181"/>
      <c r="H21" s="181"/>
      <c r="I21" s="181"/>
      <c r="J21" s="181"/>
      <c r="K21" s="181"/>
      <c r="L21" s="181"/>
      <c r="M21" s="181"/>
      <c r="N21" s="181"/>
      <c r="O21" s="181"/>
    </row>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5.0" defaultColWidth="10"/>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B1:F5442"/>
  <sheetViews>
    <sheetView workbookViewId="0" topLeftCell="A5418" zoomScale="96">
      <selection activeCell="B389" sqref="B389"/>
    </sheetView>
  </sheetViews>
  <sheetFormatPr defaultRowHeight="15.0" defaultColWidth="10"/>
  <cols>
    <col min="2" max="2" customWidth="1" width="58.570312" style="0"/>
    <col min="3" max="3" customWidth="1" bestFit="1" width="10.0" style="0"/>
    <col min="4" max="4" customWidth="1" bestFit="1" width="15.5703125" style="0"/>
    <col min="5" max="5" customWidth="1" bestFit="1" width="69.71094" style="0"/>
  </cols>
  <sheetData>
    <row r="2" spans="8:8">
      <c r="B2" t="s">
        <v>313</v>
      </c>
      <c r="C2" t="s">
        <v>314</v>
      </c>
      <c r="D2" t="s">
        <v>315</v>
      </c>
      <c r="E2" t="s">
        <v>316</v>
      </c>
    </row>
    <row r="3" spans="8:8">
      <c r="B3" t="s">
        <v>317</v>
      </c>
      <c r="C3">
        <v>533022.0</v>
      </c>
      <c r="D3" t="s">
        <v>318</v>
      </c>
      <c r="E3" t="s">
        <v>319</v>
      </c>
    </row>
    <row r="4" spans="8:8">
      <c r="B4" t="s">
        <v>320</v>
      </c>
      <c r="C4">
        <v>526921.0</v>
      </c>
      <c r="D4" t="s">
        <v>321</v>
      </c>
      <c r="E4" t="s">
        <v>322</v>
      </c>
    </row>
    <row r="5" spans="8:8">
      <c r="B5" t="s">
        <v>323</v>
      </c>
      <c r="C5">
        <v>532628.0</v>
      </c>
      <c r="D5" t="s">
        <v>324</v>
      </c>
      <c r="E5" t="s">
        <v>325</v>
      </c>
    </row>
    <row r="6" spans="8:8">
      <c r="B6" t="s">
        <v>326</v>
      </c>
      <c r="C6">
        <v>523395.0</v>
      </c>
      <c r="D6" t="s">
        <v>327</v>
      </c>
      <c r="E6" t="s">
        <v>328</v>
      </c>
    </row>
    <row r="7" spans="8:8">
      <c r="B7" t="s">
        <v>329</v>
      </c>
      <c r="C7">
        <v>523395.0</v>
      </c>
      <c r="D7" t="s">
        <v>330</v>
      </c>
      <c r="E7" t="s">
        <v>328</v>
      </c>
    </row>
    <row r="8" spans="8:8">
      <c r="B8" t="s">
        <v>331</v>
      </c>
      <c r="C8">
        <v>516092.0</v>
      </c>
      <c r="D8" t="s">
        <v>332</v>
      </c>
      <c r="E8" t="s">
        <v>333</v>
      </c>
    </row>
    <row r="9" spans="8:8">
      <c r="B9" t="s">
        <v>334</v>
      </c>
      <c r="C9">
        <v>540776.0</v>
      </c>
      <c r="D9" t="s">
        <v>335</v>
      </c>
      <c r="E9" t="s">
        <v>322</v>
      </c>
    </row>
    <row r="10" spans="8:8">
      <c r="B10" t="s">
        <v>336</v>
      </c>
      <c r="C10">
        <v>526881.0</v>
      </c>
      <c r="D10" t="s">
        <v>337</v>
      </c>
      <c r="E10" t="s">
        <v>325</v>
      </c>
    </row>
    <row r="11" spans="8:8">
      <c r="B11" t="s">
        <v>338</v>
      </c>
      <c r="C11">
        <v>540615.0</v>
      </c>
      <c r="D11" t="s">
        <v>339</v>
      </c>
      <c r="E11" t="s">
        <v>340</v>
      </c>
    </row>
    <row r="12" spans="8:8">
      <c r="B12" t="s">
        <v>341</v>
      </c>
      <c r="C12">
        <v>540874.0</v>
      </c>
      <c r="D12" t="s">
        <v>339</v>
      </c>
      <c r="E12" t="s">
        <v>342</v>
      </c>
    </row>
    <row r="13" spans="8:8">
      <c r="B13" t="s">
        <v>343</v>
      </c>
      <c r="C13">
        <v>512161.0</v>
      </c>
      <c r="D13" t="s">
        <v>344</v>
      </c>
      <c r="E13" t="s">
        <v>345</v>
      </c>
    </row>
    <row r="14" spans="8:8">
      <c r="B14" t="s">
        <v>346</v>
      </c>
      <c r="C14">
        <v>540697.0</v>
      </c>
      <c r="D14" t="s">
        <v>339</v>
      </c>
      <c r="E14" t="s">
        <v>347</v>
      </c>
    </row>
    <row r="15" spans="8:8">
      <c r="B15" t="s">
        <v>348</v>
      </c>
      <c r="C15" t="s">
        <v>339</v>
      </c>
      <c r="D15" t="s">
        <v>349</v>
      </c>
      <c r="E15" t="s">
        <v>350</v>
      </c>
    </row>
    <row r="16" spans="8:8">
      <c r="B16" t="s">
        <v>351</v>
      </c>
      <c r="C16">
        <v>539620.0</v>
      </c>
      <c r="D16" t="s">
        <v>339</v>
      </c>
      <c r="E16" t="s">
        <v>352</v>
      </c>
    </row>
    <row r="17" spans="8:8">
      <c r="B17" t="s">
        <v>353</v>
      </c>
      <c r="C17">
        <v>539300.0</v>
      </c>
      <c r="D17" t="s">
        <v>339</v>
      </c>
      <c r="E17" t="s">
        <v>354</v>
      </c>
    </row>
    <row r="18" spans="8:8">
      <c r="B18" t="s">
        <v>355</v>
      </c>
      <c r="C18">
        <v>530499.0</v>
      </c>
      <c r="D18" t="s">
        <v>339</v>
      </c>
      <c r="E18" t="s">
        <v>356</v>
      </c>
    </row>
    <row r="19" spans="8:8">
      <c r="B19" t="s">
        <v>357</v>
      </c>
      <c r="C19">
        <v>538351.0</v>
      </c>
      <c r="D19" t="s">
        <v>358</v>
      </c>
      <c r="E19" t="s">
        <v>359</v>
      </c>
    </row>
    <row r="20" spans="8:8">
      <c r="B20" t="s">
        <v>360</v>
      </c>
      <c r="C20">
        <v>542012.0</v>
      </c>
      <c r="D20" t="s">
        <v>339</v>
      </c>
      <c r="E20" t="s">
        <v>361</v>
      </c>
    </row>
    <row r="21" spans="8:8">
      <c r="B21" t="s">
        <v>362</v>
      </c>
      <c r="C21">
        <v>533292.0</v>
      </c>
      <c r="D21" t="s">
        <v>363</v>
      </c>
      <c r="E21" t="s">
        <v>364</v>
      </c>
    </row>
    <row r="22" spans="8:8">
      <c r="B22" t="s">
        <v>365</v>
      </c>
      <c r="C22">
        <v>531611.0</v>
      </c>
      <c r="D22" t="s">
        <v>339</v>
      </c>
      <c r="E22" t="s">
        <v>356</v>
      </c>
    </row>
    <row r="23" spans="8:8">
      <c r="B23" t="s">
        <v>366</v>
      </c>
      <c r="C23">
        <v>531611.0</v>
      </c>
      <c r="D23" t="s">
        <v>339</v>
      </c>
      <c r="E23" t="s">
        <v>356</v>
      </c>
    </row>
    <row r="24" spans="8:8">
      <c r="B24" t="s">
        <v>367</v>
      </c>
      <c r="C24" t="s">
        <v>339</v>
      </c>
      <c r="D24" t="s">
        <v>368</v>
      </c>
      <c r="E24" t="s">
        <v>350</v>
      </c>
    </row>
    <row r="25" spans="8:8">
      <c r="B25" t="s">
        <v>369</v>
      </c>
      <c r="C25">
        <v>539096.0</v>
      </c>
      <c r="D25" t="s">
        <v>339</v>
      </c>
      <c r="E25" t="s">
        <v>354</v>
      </c>
    </row>
    <row r="26" spans="8:8">
      <c r="B26" t="s">
        <v>370</v>
      </c>
      <c r="C26">
        <v>538812.0</v>
      </c>
      <c r="D26" t="s">
        <v>339</v>
      </c>
      <c r="E26" t="s">
        <v>371</v>
      </c>
    </row>
    <row r="27" spans="8:8">
      <c r="B27" t="s">
        <v>372</v>
      </c>
      <c r="C27">
        <v>539632.0</v>
      </c>
      <c r="D27" t="s">
        <v>339</v>
      </c>
      <c r="E27" t="s">
        <v>373</v>
      </c>
    </row>
    <row r="28" spans="8:8">
      <c r="B28" t="s">
        <v>374</v>
      </c>
      <c r="C28">
        <v>542377.0</v>
      </c>
      <c r="D28" t="s">
        <v>375</v>
      </c>
      <c r="E28" t="s">
        <v>356</v>
      </c>
    </row>
    <row r="29" spans="8:8">
      <c r="B29" t="s">
        <v>376</v>
      </c>
      <c r="C29">
        <v>524412.0</v>
      </c>
      <c r="D29" t="s">
        <v>339</v>
      </c>
      <c r="E29" t="s">
        <v>377</v>
      </c>
    </row>
    <row r="30" spans="8:8">
      <c r="B30" t="s">
        <v>378</v>
      </c>
      <c r="C30" t="s">
        <v>339</v>
      </c>
      <c r="D30" t="s">
        <v>379</v>
      </c>
      <c r="E30" t="s">
        <v>350</v>
      </c>
    </row>
    <row r="31" spans="8:8">
      <c r="B31" t="s">
        <v>380</v>
      </c>
      <c r="C31">
        <v>542580.0</v>
      </c>
      <c r="D31" t="s">
        <v>381</v>
      </c>
      <c r="E31" t="s">
        <v>382</v>
      </c>
    </row>
    <row r="32" spans="8:8">
      <c r="B32" t="s">
        <v>383</v>
      </c>
      <c r="C32">
        <v>524348.0</v>
      </c>
      <c r="D32" t="s">
        <v>384</v>
      </c>
      <c r="E32" t="s">
        <v>377</v>
      </c>
    </row>
    <row r="33" spans="8:8">
      <c r="B33" t="s">
        <v>385</v>
      </c>
      <c r="C33">
        <v>524208.0</v>
      </c>
      <c r="D33" t="s">
        <v>386</v>
      </c>
      <c r="E33" t="s">
        <v>387</v>
      </c>
    </row>
    <row r="34" spans="8:8">
      <c r="B34" t="s">
        <v>388</v>
      </c>
      <c r="C34">
        <v>526488.0</v>
      </c>
      <c r="D34" t="s">
        <v>339</v>
      </c>
      <c r="E34" t="s">
        <v>354</v>
      </c>
    </row>
    <row r="35" spans="8:8">
      <c r="B35" t="s">
        <v>389</v>
      </c>
      <c r="C35">
        <v>514274.0</v>
      </c>
      <c r="D35" t="s">
        <v>390</v>
      </c>
      <c r="E35" t="s">
        <v>354</v>
      </c>
    </row>
    <row r="36" spans="8:8">
      <c r="B36" t="s">
        <v>391</v>
      </c>
      <c r="C36" t="s">
        <v>339</v>
      </c>
      <c r="D36" t="s">
        <v>392</v>
      </c>
      <c r="E36" t="s">
        <v>350</v>
      </c>
    </row>
    <row r="37" spans="8:8">
      <c r="B37" t="s">
        <v>393</v>
      </c>
      <c r="C37">
        <v>519319.0</v>
      </c>
      <c r="D37" t="s">
        <v>339</v>
      </c>
      <c r="E37" t="s">
        <v>345</v>
      </c>
    </row>
    <row r="38" spans="8:8">
      <c r="B38" t="s">
        <v>394</v>
      </c>
      <c r="C38">
        <v>512038.0</v>
      </c>
      <c r="D38" t="s">
        <v>339</v>
      </c>
      <c r="E38" t="s">
        <v>361</v>
      </c>
    </row>
    <row r="39" spans="8:8">
      <c r="B39" t="s">
        <v>395</v>
      </c>
      <c r="C39">
        <v>541988.0</v>
      </c>
      <c r="D39" t="s">
        <v>396</v>
      </c>
      <c r="E39" t="s">
        <v>397</v>
      </c>
    </row>
    <row r="40" spans="8:8">
      <c r="B40" t="s">
        <v>398</v>
      </c>
      <c r="C40">
        <v>539528.0</v>
      </c>
      <c r="D40" t="s">
        <v>339</v>
      </c>
      <c r="E40" t="s">
        <v>399</v>
      </c>
    </row>
    <row r="41" spans="8:8">
      <c r="B41" t="s">
        <v>400</v>
      </c>
      <c r="C41">
        <v>523204.0</v>
      </c>
      <c r="D41" t="s">
        <v>401</v>
      </c>
      <c r="E41" t="s">
        <v>402</v>
      </c>
    </row>
    <row r="42" spans="8:8">
      <c r="B42" t="s">
        <v>403</v>
      </c>
      <c r="C42">
        <v>512165.0</v>
      </c>
      <c r="D42" t="s">
        <v>339</v>
      </c>
      <c r="E42" t="s">
        <v>361</v>
      </c>
    </row>
    <row r="43" spans="8:8">
      <c r="B43" t="s">
        <v>404</v>
      </c>
      <c r="C43">
        <v>500002.0</v>
      </c>
      <c r="D43" t="s">
        <v>405</v>
      </c>
      <c r="E43" t="s">
        <v>382</v>
      </c>
    </row>
    <row r="44" spans="8:8">
      <c r="B44" t="s">
        <v>406</v>
      </c>
      <c r="C44">
        <v>500488.0</v>
      </c>
      <c r="D44" t="s">
        <v>407</v>
      </c>
      <c r="E44" t="s">
        <v>377</v>
      </c>
    </row>
    <row r="45" spans="8:8">
      <c r="B45" t="s">
        <v>408</v>
      </c>
      <c r="C45">
        <v>500488.0</v>
      </c>
      <c r="D45" t="s">
        <v>409</v>
      </c>
      <c r="E45" t="s">
        <v>377</v>
      </c>
    </row>
    <row r="46" spans="8:8">
      <c r="B46" t="s">
        <v>410</v>
      </c>
      <c r="C46">
        <v>520123.0</v>
      </c>
      <c r="D46" t="s">
        <v>339</v>
      </c>
      <c r="E46" t="s">
        <v>411</v>
      </c>
    </row>
    <row r="47" spans="8:8">
      <c r="B47" t="s">
        <v>412</v>
      </c>
      <c r="C47">
        <v>513119.0</v>
      </c>
      <c r="D47" t="s">
        <v>339</v>
      </c>
      <c r="E47" t="s">
        <v>413</v>
      </c>
    </row>
    <row r="48" spans="8:8">
      <c r="B48" t="s">
        <v>414</v>
      </c>
      <c r="C48">
        <v>520123.0</v>
      </c>
      <c r="D48" t="s">
        <v>339</v>
      </c>
      <c r="E48" t="s">
        <v>411</v>
      </c>
    </row>
    <row r="49" spans="8:8">
      <c r="B49" t="s">
        <v>415</v>
      </c>
      <c r="C49">
        <v>532682.0</v>
      </c>
      <c r="D49" t="s">
        <v>416</v>
      </c>
      <c r="E49" t="s">
        <v>417</v>
      </c>
    </row>
    <row r="50" spans="8:8">
      <c r="B50" t="s">
        <v>418</v>
      </c>
      <c r="C50">
        <v>539560.0</v>
      </c>
      <c r="D50" t="s">
        <v>339</v>
      </c>
      <c r="E50" t="s">
        <v>419</v>
      </c>
    </row>
    <row r="51" spans="8:8">
      <c r="B51" t="s">
        <v>420</v>
      </c>
      <c r="C51">
        <v>532057.0</v>
      </c>
      <c r="D51" t="s">
        <v>339</v>
      </c>
      <c r="E51" t="s">
        <v>356</v>
      </c>
    </row>
    <row r="52" spans="8:8">
      <c r="B52" t="s">
        <v>421</v>
      </c>
      <c r="C52">
        <v>538952.0</v>
      </c>
      <c r="D52" t="s">
        <v>339</v>
      </c>
      <c r="E52" t="s">
        <v>356</v>
      </c>
    </row>
    <row r="53" spans="8:8">
      <c r="B53" t="s">
        <v>422</v>
      </c>
      <c r="C53">
        <v>538935.0</v>
      </c>
      <c r="D53" t="s">
        <v>339</v>
      </c>
      <c r="E53" t="s">
        <v>423</v>
      </c>
    </row>
    <row r="54" spans="8:8">
      <c r="B54" t="s">
        <v>424</v>
      </c>
      <c r="C54">
        <v>539544.0</v>
      </c>
      <c r="D54" t="s">
        <v>339</v>
      </c>
      <c r="E54" t="s">
        <v>425</v>
      </c>
    </row>
    <row r="55" spans="8:8">
      <c r="B55" t="s">
        <v>426</v>
      </c>
      <c r="C55">
        <v>511756.0</v>
      </c>
      <c r="D55" t="s">
        <v>339</v>
      </c>
      <c r="E55" t="s">
        <v>356</v>
      </c>
    </row>
    <row r="56" spans="8:8">
      <c r="B56" t="s">
        <v>427</v>
      </c>
      <c r="C56">
        <v>511756.0</v>
      </c>
      <c r="D56" t="s">
        <v>339</v>
      </c>
      <c r="E56" t="s">
        <v>356</v>
      </c>
    </row>
    <row r="57" spans="8:8">
      <c r="B57" t="s">
        <v>428</v>
      </c>
      <c r="C57" t="s">
        <v>339</v>
      </c>
      <c r="D57" t="s">
        <v>429</v>
      </c>
      <c r="E57" t="s">
        <v>430</v>
      </c>
    </row>
    <row r="58" spans="8:8">
      <c r="B58" t="s">
        <v>431</v>
      </c>
      <c r="C58">
        <v>531161.0</v>
      </c>
      <c r="D58" t="s">
        <v>339</v>
      </c>
      <c r="E58" t="s">
        <v>432</v>
      </c>
    </row>
    <row r="59" spans="8:8">
      <c r="B59" t="s">
        <v>433</v>
      </c>
      <c r="C59">
        <v>500410.0</v>
      </c>
      <c r="D59" t="s">
        <v>434</v>
      </c>
      <c r="E59" t="s">
        <v>352</v>
      </c>
    </row>
    <row r="60" spans="8:8">
      <c r="B60" t="s">
        <v>435</v>
      </c>
      <c r="C60">
        <v>517494.0</v>
      </c>
      <c r="D60" t="s">
        <v>339</v>
      </c>
      <c r="E60" t="s">
        <v>436</v>
      </c>
    </row>
    <row r="61" spans="8:8">
      <c r="B61" t="s">
        <v>437</v>
      </c>
      <c r="C61">
        <v>532268.0</v>
      </c>
      <c r="D61" t="s">
        <v>438</v>
      </c>
      <c r="E61" t="s">
        <v>325</v>
      </c>
    </row>
    <row r="62" spans="8:8">
      <c r="B62" t="s">
        <v>439</v>
      </c>
      <c r="C62" t="s">
        <v>339</v>
      </c>
      <c r="D62" t="s">
        <v>440</v>
      </c>
      <c r="E62" t="s">
        <v>350</v>
      </c>
    </row>
    <row r="63" spans="8:8">
      <c r="B63" t="s">
        <v>441</v>
      </c>
      <c r="C63" t="s">
        <v>339</v>
      </c>
      <c r="D63" t="s">
        <v>442</v>
      </c>
      <c r="E63" t="s">
        <v>350</v>
      </c>
    </row>
    <row r="64" spans="8:8">
      <c r="B64" t="s">
        <v>443</v>
      </c>
      <c r="C64">
        <v>530093.0</v>
      </c>
      <c r="D64" t="s">
        <v>339</v>
      </c>
      <c r="E64" t="s">
        <v>444</v>
      </c>
    </row>
    <row r="65" spans="8:8">
      <c r="B65" t="s">
        <v>445</v>
      </c>
      <c r="C65" t="s">
        <v>339</v>
      </c>
      <c r="D65" t="s">
        <v>446</v>
      </c>
      <c r="E65" t="s">
        <v>350</v>
      </c>
    </row>
    <row r="66" spans="8:8">
      <c r="B66" t="s">
        <v>447</v>
      </c>
      <c r="C66">
        <v>539661.0</v>
      </c>
      <c r="D66" t="s">
        <v>339</v>
      </c>
      <c r="E66" t="s">
        <v>373</v>
      </c>
    </row>
    <row r="67" spans="8:8">
      <c r="B67" t="s">
        <v>448</v>
      </c>
      <c r="C67">
        <v>531525.0</v>
      </c>
      <c r="D67" t="s">
        <v>339</v>
      </c>
      <c r="E67" t="s">
        <v>432</v>
      </c>
    </row>
    <row r="68" spans="8:8">
      <c r="B68" t="s">
        <v>449</v>
      </c>
      <c r="C68">
        <v>538570.0</v>
      </c>
      <c r="D68" t="s">
        <v>450</v>
      </c>
      <c r="E68" t="s">
        <v>322</v>
      </c>
    </row>
    <row r="69" spans="8:8">
      <c r="B69" t="s">
        <v>451</v>
      </c>
      <c r="C69">
        <v>517356.0</v>
      </c>
      <c r="D69" t="s">
        <v>339</v>
      </c>
      <c r="E69" t="s">
        <v>436</v>
      </c>
    </row>
    <row r="70" spans="8:8">
      <c r="B70" t="s">
        <v>452</v>
      </c>
      <c r="C70">
        <v>530043.0</v>
      </c>
      <c r="D70" t="s">
        <v>339</v>
      </c>
      <c r="E70" t="s">
        <v>453</v>
      </c>
    </row>
    <row r="71" spans="8:8">
      <c r="B71" t="s">
        <v>454</v>
      </c>
      <c r="C71">
        <v>539391.0</v>
      </c>
      <c r="D71" t="s">
        <v>339</v>
      </c>
      <c r="E71" t="s">
        <v>356</v>
      </c>
    </row>
    <row r="72" spans="8:8">
      <c r="B72" t="s">
        <v>455</v>
      </c>
      <c r="C72">
        <v>513149.0</v>
      </c>
      <c r="D72" t="s">
        <v>456</v>
      </c>
      <c r="E72" t="s">
        <v>457</v>
      </c>
    </row>
    <row r="73" spans="8:8">
      <c r="B73" t="s">
        <v>458</v>
      </c>
      <c r="C73">
        <v>524091.0</v>
      </c>
      <c r="D73" t="s">
        <v>339</v>
      </c>
      <c r="E73" t="s">
        <v>459</v>
      </c>
    </row>
    <row r="74" spans="8:8">
      <c r="B74" t="s">
        <v>460</v>
      </c>
      <c r="C74">
        <v>532762.0</v>
      </c>
      <c r="D74" t="s">
        <v>461</v>
      </c>
      <c r="E74" t="s">
        <v>462</v>
      </c>
    </row>
    <row r="75" spans="8:8">
      <c r="B75" t="s">
        <v>463</v>
      </c>
      <c r="C75">
        <v>511706.0</v>
      </c>
      <c r="D75" t="s">
        <v>339</v>
      </c>
      <c r="E75" t="s">
        <v>322</v>
      </c>
    </row>
    <row r="76" spans="8:8">
      <c r="B76" t="s">
        <v>464</v>
      </c>
      <c r="C76">
        <v>511706.0</v>
      </c>
      <c r="D76" t="s">
        <v>339</v>
      </c>
      <c r="E76" t="s">
        <v>322</v>
      </c>
    </row>
    <row r="77" spans="8:8">
      <c r="B77" t="s">
        <v>465</v>
      </c>
      <c r="C77">
        <v>541144.0</v>
      </c>
      <c r="D77" t="s">
        <v>339</v>
      </c>
      <c r="E77" t="s">
        <v>453</v>
      </c>
    </row>
    <row r="78" spans="8:8">
      <c r="B78" t="s">
        <v>466</v>
      </c>
      <c r="C78">
        <v>512599.0</v>
      </c>
      <c r="D78" t="s">
        <v>467</v>
      </c>
      <c r="E78" t="s">
        <v>361</v>
      </c>
    </row>
    <row r="79" spans="8:8">
      <c r="B79" t="s">
        <v>468</v>
      </c>
      <c r="C79">
        <v>542066.0</v>
      </c>
      <c r="D79" t="s">
        <v>469</v>
      </c>
      <c r="E79" t="s">
        <v>470</v>
      </c>
    </row>
    <row r="80" spans="8:8">
      <c r="B80" t="s">
        <v>471</v>
      </c>
      <c r="C80">
        <v>541450.0</v>
      </c>
      <c r="D80" t="s">
        <v>472</v>
      </c>
      <c r="E80" t="s">
        <v>382</v>
      </c>
    </row>
    <row r="81" spans="8:8">
      <c r="B81" t="s">
        <v>473</v>
      </c>
      <c r="C81">
        <v>532921.0</v>
      </c>
      <c r="D81" t="s">
        <v>474</v>
      </c>
      <c r="E81" t="s">
        <v>475</v>
      </c>
    </row>
    <row r="82" spans="8:8">
      <c r="B82" t="s">
        <v>476</v>
      </c>
      <c r="C82">
        <v>533096.0</v>
      </c>
      <c r="D82" t="s">
        <v>477</v>
      </c>
      <c r="E82" t="s">
        <v>478</v>
      </c>
    </row>
    <row r="83" spans="8:8">
      <c r="B83" t="s">
        <v>479</v>
      </c>
      <c r="C83">
        <v>539254.0</v>
      </c>
      <c r="D83" t="s">
        <v>480</v>
      </c>
      <c r="E83" t="s">
        <v>478</v>
      </c>
    </row>
    <row r="84" spans="8:8">
      <c r="B84" t="s">
        <v>481</v>
      </c>
      <c r="C84">
        <v>538563.0</v>
      </c>
      <c r="D84" t="s">
        <v>339</v>
      </c>
      <c r="E84" t="s">
        <v>361</v>
      </c>
    </row>
    <row r="85" spans="8:8">
      <c r="B85" t="s">
        <v>482</v>
      </c>
      <c r="C85">
        <v>526711.0</v>
      </c>
      <c r="D85" t="s">
        <v>339</v>
      </c>
      <c r="E85" t="s">
        <v>483</v>
      </c>
    </row>
    <row r="86" spans="8:8">
      <c r="B86" t="s">
        <v>484</v>
      </c>
      <c r="C86">
        <v>523411.0</v>
      </c>
      <c r="D86" t="s">
        <v>339</v>
      </c>
      <c r="E86" t="s">
        <v>485</v>
      </c>
    </row>
    <row r="87" spans="8:8">
      <c r="B87" t="s">
        <v>486</v>
      </c>
      <c r="C87">
        <v>539506.0</v>
      </c>
      <c r="D87" t="s">
        <v>339</v>
      </c>
      <c r="E87" t="s">
        <v>356</v>
      </c>
    </row>
    <row r="88" spans="8:8">
      <c r="B88" t="s">
        <v>487</v>
      </c>
      <c r="C88">
        <v>507852.0</v>
      </c>
      <c r="D88" t="s">
        <v>339</v>
      </c>
      <c r="E88" t="s">
        <v>453</v>
      </c>
    </row>
    <row r="89" spans="8:8">
      <c r="B89" t="s">
        <v>488</v>
      </c>
      <c r="C89">
        <v>541865.0</v>
      </c>
      <c r="D89" t="s">
        <v>339</v>
      </c>
      <c r="E89" t="s">
        <v>373</v>
      </c>
    </row>
    <row r="90" spans="8:8">
      <c r="B90" t="s">
        <v>489</v>
      </c>
      <c r="C90">
        <v>519183.0</v>
      </c>
      <c r="D90" t="s">
        <v>490</v>
      </c>
      <c r="E90" t="s">
        <v>399</v>
      </c>
    </row>
    <row r="91" spans="8:8">
      <c r="B91" t="s">
        <v>491</v>
      </c>
      <c r="C91">
        <v>539493.0</v>
      </c>
      <c r="D91" t="s">
        <v>339</v>
      </c>
      <c r="E91" t="s">
        <v>356</v>
      </c>
    </row>
    <row r="92" spans="8:8">
      <c r="B92" t="s">
        <v>492</v>
      </c>
      <c r="C92">
        <v>539189.0</v>
      </c>
      <c r="D92" t="s">
        <v>339</v>
      </c>
      <c r="E92" t="s">
        <v>425</v>
      </c>
    </row>
    <row r="93" spans="8:8">
      <c r="B93" t="s">
        <v>493</v>
      </c>
      <c r="C93">
        <v>780018.0</v>
      </c>
      <c r="D93" t="s">
        <v>339</v>
      </c>
      <c r="E93" t="s">
        <v>430</v>
      </c>
    </row>
    <row r="94" spans="8:8">
      <c r="B94" t="s">
        <v>494</v>
      </c>
      <c r="C94">
        <v>538365.0</v>
      </c>
      <c r="D94" t="s">
        <v>495</v>
      </c>
      <c r="E94" t="s">
        <v>371</v>
      </c>
    </row>
    <row r="95" spans="8:8">
      <c r="B95" t="s">
        <v>496</v>
      </c>
      <c r="C95">
        <v>532727.0</v>
      </c>
      <c r="D95" t="s">
        <v>497</v>
      </c>
      <c r="E95" t="s">
        <v>371</v>
      </c>
    </row>
    <row r="96" spans="8:8">
      <c r="B96" t="s">
        <v>498</v>
      </c>
      <c r="C96">
        <v>531592.0</v>
      </c>
      <c r="D96" t="s">
        <v>339</v>
      </c>
      <c r="E96" t="s">
        <v>499</v>
      </c>
    </row>
    <row r="97" spans="8:8">
      <c r="B97" t="s">
        <v>500</v>
      </c>
      <c r="C97">
        <v>532056.0</v>
      </c>
      <c r="D97" t="s">
        <v>339</v>
      </c>
      <c r="E97" t="s">
        <v>359</v>
      </c>
    </row>
    <row r="98" spans="8:8">
      <c r="B98" t="s">
        <v>501</v>
      </c>
      <c r="C98">
        <v>514113.0</v>
      </c>
      <c r="D98" t="s">
        <v>339</v>
      </c>
      <c r="E98" t="s">
        <v>354</v>
      </c>
    </row>
    <row r="99" spans="8:8">
      <c r="B99" t="s">
        <v>502</v>
      </c>
      <c r="C99">
        <v>534707.0</v>
      </c>
      <c r="D99" t="s">
        <v>339</v>
      </c>
      <c r="E99" t="s">
        <v>453</v>
      </c>
    </row>
    <row r="100" spans="8:8">
      <c r="B100" t="s">
        <v>503</v>
      </c>
      <c r="C100">
        <v>540691.0</v>
      </c>
      <c r="D100" t="s">
        <v>504</v>
      </c>
      <c r="E100" t="s">
        <v>505</v>
      </c>
    </row>
    <row r="101" spans="8:8">
      <c r="B101" t="s">
        <v>506</v>
      </c>
      <c r="C101">
        <v>535755.0</v>
      </c>
      <c r="D101" t="s">
        <v>507</v>
      </c>
      <c r="E101" t="s">
        <v>508</v>
      </c>
    </row>
    <row r="102" spans="8:8">
      <c r="B102" t="s">
        <v>509</v>
      </c>
      <c r="C102">
        <v>532974.0</v>
      </c>
      <c r="D102" t="s">
        <v>510</v>
      </c>
      <c r="E102" t="s">
        <v>322</v>
      </c>
    </row>
    <row r="103" spans="8:8">
      <c r="B103" t="s">
        <v>511</v>
      </c>
      <c r="C103">
        <v>540146.0</v>
      </c>
      <c r="D103" t="s">
        <v>339</v>
      </c>
      <c r="E103" t="s">
        <v>373</v>
      </c>
    </row>
    <row r="104" spans="8:8">
      <c r="B104" t="s">
        <v>512</v>
      </c>
      <c r="C104">
        <v>513513.0</v>
      </c>
      <c r="D104" t="s">
        <v>339</v>
      </c>
      <c r="E104" t="s">
        <v>371</v>
      </c>
    </row>
    <row r="105" spans="8:8">
      <c r="B105" t="s">
        <v>513</v>
      </c>
      <c r="C105">
        <v>521141.0</v>
      </c>
      <c r="D105" t="s">
        <v>339</v>
      </c>
      <c r="E105" t="s">
        <v>354</v>
      </c>
    </row>
    <row r="106" spans="8:8">
      <c r="B106" t="s">
        <v>514</v>
      </c>
      <c r="C106">
        <v>540205.0</v>
      </c>
      <c r="D106" t="s">
        <v>339</v>
      </c>
      <c r="E106" t="s">
        <v>361</v>
      </c>
    </row>
    <row r="107" spans="8:8">
      <c r="B107" t="s">
        <v>515</v>
      </c>
      <c r="C107">
        <v>539056.0</v>
      </c>
      <c r="D107" t="s">
        <v>516</v>
      </c>
      <c r="E107" t="s">
        <v>517</v>
      </c>
    </row>
    <row r="108" spans="8:8">
      <c r="B108" t="s">
        <v>518</v>
      </c>
      <c r="C108">
        <v>511359.0</v>
      </c>
      <c r="D108" t="s">
        <v>339</v>
      </c>
      <c r="E108" t="s">
        <v>356</v>
      </c>
    </row>
    <row r="109" spans="8:8">
      <c r="B109" t="s">
        <v>519</v>
      </c>
      <c r="C109">
        <v>530431.0</v>
      </c>
      <c r="D109" t="s">
        <v>339</v>
      </c>
      <c r="E109" t="s">
        <v>361</v>
      </c>
    </row>
    <row r="110" spans="8:8">
      <c r="B110" t="s">
        <v>520</v>
      </c>
      <c r="C110">
        <v>523120.0</v>
      </c>
      <c r="D110" t="s">
        <v>339</v>
      </c>
      <c r="E110" t="s">
        <v>521</v>
      </c>
    </row>
    <row r="111" spans="8:8">
      <c r="B111" t="s">
        <v>522</v>
      </c>
      <c r="C111">
        <v>517041.0</v>
      </c>
      <c r="D111" t="s">
        <v>523</v>
      </c>
      <c r="E111" t="s">
        <v>524</v>
      </c>
    </row>
    <row r="112" spans="8:8">
      <c r="B112" t="s">
        <v>525</v>
      </c>
      <c r="C112">
        <v>532172.0</v>
      </c>
      <c r="D112" t="s">
        <v>526</v>
      </c>
      <c r="E112" t="s">
        <v>325</v>
      </c>
    </row>
    <row r="113" spans="8:8">
      <c r="B113" t="s">
        <v>527</v>
      </c>
      <c r="C113">
        <v>523031.0</v>
      </c>
      <c r="D113" t="s">
        <v>339</v>
      </c>
      <c r="E113" t="s">
        <v>528</v>
      </c>
    </row>
    <row r="114" spans="8:8">
      <c r="B114" t="s">
        <v>529</v>
      </c>
      <c r="C114">
        <v>521048.0</v>
      </c>
      <c r="D114" t="s">
        <v>339</v>
      </c>
      <c r="E114" t="s">
        <v>354</v>
      </c>
    </row>
    <row r="115" spans="8:8">
      <c r="B115" t="s">
        <v>530</v>
      </c>
      <c r="C115">
        <v>534612.0</v>
      </c>
      <c r="D115" t="s">
        <v>339</v>
      </c>
      <c r="E115" t="s">
        <v>478</v>
      </c>
    </row>
    <row r="116" spans="8:8">
      <c r="B116" t="s">
        <v>531</v>
      </c>
      <c r="C116">
        <v>506947.0</v>
      </c>
      <c r="D116" t="s">
        <v>339</v>
      </c>
      <c r="E116" t="s">
        <v>387</v>
      </c>
    </row>
    <row r="117" spans="8:8">
      <c r="B117" t="s">
        <v>532</v>
      </c>
      <c r="C117">
        <v>531047.0</v>
      </c>
      <c r="D117" t="s">
        <v>339</v>
      </c>
      <c r="E117" t="s">
        <v>356</v>
      </c>
    </row>
    <row r="118" spans="8:8">
      <c r="B118" t="s">
        <v>533</v>
      </c>
      <c r="C118">
        <v>539982.0</v>
      </c>
      <c r="D118" t="s">
        <v>339</v>
      </c>
      <c r="E118" t="s">
        <v>534</v>
      </c>
    </row>
    <row r="119" spans="8:8">
      <c r="B119" t="s">
        <v>535</v>
      </c>
      <c r="C119">
        <v>540025.0</v>
      </c>
      <c r="D119" t="s">
        <v>536</v>
      </c>
      <c r="E119" t="s">
        <v>537</v>
      </c>
    </row>
    <row r="120" spans="8:8">
      <c r="B120" t="s">
        <v>538</v>
      </c>
      <c r="C120">
        <v>523269.0</v>
      </c>
      <c r="D120" t="s">
        <v>539</v>
      </c>
      <c r="E120" t="s">
        <v>540</v>
      </c>
    </row>
    <row r="121" spans="8:8">
      <c r="B121" t="s">
        <v>541</v>
      </c>
      <c r="C121">
        <v>523269.0</v>
      </c>
      <c r="D121" t="s">
        <v>539</v>
      </c>
      <c r="E121" t="s">
        <v>540</v>
      </c>
    </row>
    <row r="122" spans="8:8">
      <c r="B122" t="s">
        <v>542</v>
      </c>
      <c r="C122">
        <v>531429.0</v>
      </c>
      <c r="D122" t="s">
        <v>339</v>
      </c>
      <c r="E122" t="s">
        <v>432</v>
      </c>
    </row>
    <row r="123" spans="8:8">
      <c r="B123" t="s">
        <v>543</v>
      </c>
      <c r="C123">
        <v>539773.0</v>
      </c>
      <c r="D123" t="s">
        <v>339</v>
      </c>
      <c r="E123" t="s">
        <v>356</v>
      </c>
    </row>
    <row r="124" spans="8:8">
      <c r="B124" t="s">
        <v>544</v>
      </c>
      <c r="C124">
        <v>531686.0</v>
      </c>
      <c r="D124" t="s">
        <v>339</v>
      </c>
      <c r="E124" t="s">
        <v>377</v>
      </c>
    </row>
    <row r="125" spans="8:8">
      <c r="B125" t="s">
        <v>545</v>
      </c>
      <c r="C125">
        <v>541152.0</v>
      </c>
      <c r="D125" t="s">
        <v>339</v>
      </c>
      <c r="E125" t="s">
        <v>361</v>
      </c>
    </row>
    <row r="126" spans="8:8">
      <c r="B126" t="s">
        <v>546</v>
      </c>
      <c r="C126">
        <v>541152.0</v>
      </c>
      <c r="D126" t="s">
        <v>339</v>
      </c>
      <c r="E126" t="s">
        <v>361</v>
      </c>
    </row>
    <row r="127" spans="8:8">
      <c r="B127" t="s">
        <v>547</v>
      </c>
      <c r="C127">
        <v>500003.0</v>
      </c>
      <c r="D127" t="s">
        <v>548</v>
      </c>
      <c r="E127" t="s">
        <v>549</v>
      </c>
    </row>
    <row r="128" spans="8:8">
      <c r="B128" t="s">
        <v>550</v>
      </c>
      <c r="C128">
        <v>541402.0</v>
      </c>
      <c r="D128" t="s">
        <v>339</v>
      </c>
      <c r="E128" t="s">
        <v>347</v>
      </c>
    </row>
    <row r="129" spans="8:8">
      <c r="B129" t="s">
        <v>551</v>
      </c>
      <c r="C129">
        <v>531921.0</v>
      </c>
      <c r="D129" t="s">
        <v>552</v>
      </c>
      <c r="E129" t="s">
        <v>553</v>
      </c>
    </row>
    <row r="130" spans="8:8">
      <c r="B130" t="s">
        <v>554</v>
      </c>
      <c r="C130">
        <v>500463.0</v>
      </c>
      <c r="D130" t="s">
        <v>555</v>
      </c>
      <c r="E130" t="s">
        <v>325</v>
      </c>
    </row>
    <row r="131" spans="8:8">
      <c r="B131" t="s">
        <v>556</v>
      </c>
      <c r="C131">
        <v>539042.0</v>
      </c>
      <c r="D131" t="s">
        <v>339</v>
      </c>
      <c r="E131" t="s">
        <v>425</v>
      </c>
    </row>
    <row r="132" spans="8:8">
      <c r="B132" t="s">
        <v>557</v>
      </c>
      <c r="C132">
        <v>516020.0</v>
      </c>
      <c r="D132" t="s">
        <v>339</v>
      </c>
      <c r="E132" t="s">
        <v>333</v>
      </c>
    </row>
    <row r="133" spans="8:8">
      <c r="B133" t="s">
        <v>558</v>
      </c>
      <c r="C133">
        <v>537492.0</v>
      </c>
      <c r="D133" t="s">
        <v>339</v>
      </c>
      <c r="E133" t="s">
        <v>361</v>
      </c>
    </row>
    <row r="134" spans="8:8">
      <c r="B134" t="s">
        <v>559</v>
      </c>
      <c r="C134">
        <v>537292.0</v>
      </c>
      <c r="D134" t="s">
        <v>560</v>
      </c>
      <c r="E134" t="s">
        <v>537</v>
      </c>
    </row>
    <row r="135" spans="8:8">
      <c r="B135" t="s">
        <v>561</v>
      </c>
      <c r="C135">
        <v>537292.0</v>
      </c>
      <c r="D135" t="s">
        <v>560</v>
      </c>
      <c r="E135" t="s">
        <v>537</v>
      </c>
    </row>
    <row r="136" spans="8:8">
      <c r="B136" t="s">
        <v>562</v>
      </c>
      <c r="C136" t="s">
        <v>339</v>
      </c>
      <c r="D136" t="s">
        <v>563</v>
      </c>
      <c r="E136" t="s">
        <v>350</v>
      </c>
    </row>
    <row r="137" spans="8:8">
      <c r="B137" t="s">
        <v>564</v>
      </c>
      <c r="C137" t="s">
        <v>339</v>
      </c>
      <c r="D137" t="s">
        <v>563</v>
      </c>
      <c r="E137" t="s">
        <v>350</v>
      </c>
    </row>
    <row r="138" spans="8:8">
      <c r="B138" t="s">
        <v>565</v>
      </c>
      <c r="C138">
        <v>500215.0</v>
      </c>
      <c r="D138" t="s">
        <v>566</v>
      </c>
      <c r="E138" t="s">
        <v>537</v>
      </c>
    </row>
    <row r="139" spans="8:8">
      <c r="B139" t="s">
        <v>567</v>
      </c>
      <c r="C139" t="s">
        <v>339</v>
      </c>
      <c r="D139" t="s">
        <v>568</v>
      </c>
      <c r="E139" t="s">
        <v>350</v>
      </c>
    </row>
    <row r="140" spans="8:8">
      <c r="B140" t="s">
        <v>569</v>
      </c>
      <c r="C140" t="s">
        <v>339</v>
      </c>
      <c r="D140" t="s">
        <v>570</v>
      </c>
      <c r="E140" t="s">
        <v>350</v>
      </c>
    </row>
    <row r="141" spans="8:8">
      <c r="B141" t="s">
        <v>571</v>
      </c>
      <c r="C141">
        <v>532811.0</v>
      </c>
      <c r="D141" t="s">
        <v>572</v>
      </c>
      <c r="E141" t="s">
        <v>425</v>
      </c>
    </row>
    <row r="142" spans="8:8">
      <c r="B142" t="s">
        <v>573</v>
      </c>
      <c r="C142">
        <v>532811.0</v>
      </c>
      <c r="D142" t="s">
        <v>572</v>
      </c>
      <c r="E142" t="s">
        <v>425</v>
      </c>
    </row>
    <row r="143" spans="8:8">
      <c r="B143" t="s">
        <v>574</v>
      </c>
      <c r="C143">
        <v>522273.0</v>
      </c>
      <c r="D143" t="s">
        <v>339</v>
      </c>
      <c r="E143" t="s">
        <v>371</v>
      </c>
    </row>
    <row r="144" spans="8:8">
      <c r="B144" t="s">
        <v>575</v>
      </c>
      <c r="C144">
        <v>532806.0</v>
      </c>
      <c r="D144" t="s">
        <v>339</v>
      </c>
      <c r="E144" t="s">
        <v>576</v>
      </c>
    </row>
    <row r="145" spans="8:8">
      <c r="B145" t="s">
        <v>577</v>
      </c>
      <c r="C145">
        <v>532683.0</v>
      </c>
      <c r="D145" t="s">
        <v>578</v>
      </c>
      <c r="E145" t="s">
        <v>524</v>
      </c>
    </row>
    <row r="146" spans="8:8">
      <c r="B146" t="s">
        <v>579</v>
      </c>
      <c r="C146">
        <v>524288.0</v>
      </c>
      <c r="D146" t="s">
        <v>339</v>
      </c>
      <c r="E146" t="s">
        <v>483</v>
      </c>
    </row>
    <row r="147" spans="8:8">
      <c r="B147" t="s">
        <v>580</v>
      </c>
      <c r="C147" t="s">
        <v>339</v>
      </c>
      <c r="D147" t="s">
        <v>581</v>
      </c>
      <c r="E147" t="s">
        <v>350</v>
      </c>
    </row>
    <row r="148" spans="8:8">
      <c r="B148" t="s">
        <v>582</v>
      </c>
      <c r="C148" t="s">
        <v>339</v>
      </c>
      <c r="D148" t="s">
        <v>583</v>
      </c>
      <c r="E148" t="s">
        <v>350</v>
      </c>
    </row>
    <row r="149" spans="8:8">
      <c r="B149" t="s">
        <v>584</v>
      </c>
      <c r="C149">
        <v>532975.0</v>
      </c>
      <c r="D149" t="s">
        <v>339</v>
      </c>
      <c r="E149" t="s">
        <v>485</v>
      </c>
    </row>
    <row r="150" spans="8:8">
      <c r="B150" t="s">
        <v>585</v>
      </c>
      <c r="C150">
        <v>532331.0</v>
      </c>
      <c r="D150" t="s">
        <v>586</v>
      </c>
      <c r="E150" t="s">
        <v>377</v>
      </c>
    </row>
    <row r="151" spans="8:8">
      <c r="B151" t="s">
        <v>587</v>
      </c>
      <c r="C151">
        <v>519216.0</v>
      </c>
      <c r="D151" t="s">
        <v>339</v>
      </c>
      <c r="E151" t="s">
        <v>588</v>
      </c>
    </row>
    <row r="152" spans="8:8">
      <c r="B152" t="s">
        <v>589</v>
      </c>
      <c r="C152">
        <v>511692.0</v>
      </c>
      <c r="D152" t="s">
        <v>339</v>
      </c>
      <c r="E152" t="s">
        <v>322</v>
      </c>
    </row>
    <row r="153" spans="8:8">
      <c r="B153" t="s">
        <v>590</v>
      </c>
      <c r="C153">
        <v>530713.0</v>
      </c>
      <c r="D153" t="s">
        <v>339</v>
      </c>
      <c r="E153" t="s">
        <v>325</v>
      </c>
    </row>
    <row r="154" spans="8:8">
      <c r="B154" t="s">
        <v>591</v>
      </c>
      <c r="C154">
        <v>513349.0</v>
      </c>
      <c r="D154" t="s">
        <v>592</v>
      </c>
      <c r="E154" t="s">
        <v>425</v>
      </c>
    </row>
    <row r="155" spans="8:8">
      <c r="B155" t="s">
        <v>593</v>
      </c>
      <c r="C155">
        <v>513349.0</v>
      </c>
      <c r="D155" t="s">
        <v>592</v>
      </c>
      <c r="E155" t="s">
        <v>425</v>
      </c>
    </row>
    <row r="156" spans="8:8">
      <c r="B156" t="s">
        <v>594</v>
      </c>
      <c r="C156" t="s">
        <v>339</v>
      </c>
      <c r="D156" t="s">
        <v>595</v>
      </c>
      <c r="E156" t="s">
        <v>350</v>
      </c>
    </row>
    <row r="157" spans="8:8">
      <c r="B157" t="s">
        <v>596</v>
      </c>
      <c r="C157">
        <v>526628.0</v>
      </c>
      <c r="D157" t="s">
        <v>339</v>
      </c>
      <c r="E157" t="s">
        <v>517</v>
      </c>
    </row>
    <row r="158" spans="8:8">
      <c r="B158" t="s">
        <v>597</v>
      </c>
      <c r="C158">
        <v>530621.0</v>
      </c>
      <c r="D158" t="s">
        <v>339</v>
      </c>
      <c r="E158" t="s">
        <v>347</v>
      </c>
    </row>
    <row r="159" spans="8:8">
      <c r="B159" t="s">
        <v>598</v>
      </c>
      <c r="C159" t="s">
        <v>339</v>
      </c>
      <c r="D159" t="s">
        <v>599</v>
      </c>
      <c r="E159" t="s">
        <v>350</v>
      </c>
    </row>
    <row r="160" spans="8:8">
      <c r="B160" t="s">
        <v>600</v>
      </c>
      <c r="C160">
        <v>538778.0</v>
      </c>
      <c r="D160" t="s">
        <v>339</v>
      </c>
      <c r="E160" t="s">
        <v>356</v>
      </c>
    </row>
    <row r="161" spans="8:8">
      <c r="B161" t="s">
        <v>601</v>
      </c>
      <c r="C161" t="s">
        <v>339</v>
      </c>
      <c r="D161" t="s">
        <v>602</v>
      </c>
      <c r="E161" t="s">
        <v>350</v>
      </c>
    </row>
    <row r="162" spans="8:8">
      <c r="B162" t="s">
        <v>603</v>
      </c>
      <c r="C162">
        <v>542020.0</v>
      </c>
      <c r="D162" t="s">
        <v>339</v>
      </c>
      <c r="E162" t="s">
        <v>453</v>
      </c>
    </row>
    <row r="163" spans="8:8">
      <c r="B163" t="s">
        <v>604</v>
      </c>
      <c r="C163">
        <v>542020.0</v>
      </c>
      <c r="D163" t="s">
        <v>339</v>
      </c>
      <c r="E163" t="s">
        <v>453</v>
      </c>
    </row>
    <row r="164" spans="8:8">
      <c r="B164" t="s">
        <v>605</v>
      </c>
      <c r="C164">
        <v>540718.0</v>
      </c>
      <c r="D164" t="s">
        <v>339</v>
      </c>
      <c r="E164" t="s">
        <v>354</v>
      </c>
    </row>
    <row r="165" spans="8:8">
      <c r="B165" t="s">
        <v>606</v>
      </c>
      <c r="C165">
        <v>539017.0</v>
      </c>
      <c r="D165" t="s">
        <v>339</v>
      </c>
      <c r="E165" t="s">
        <v>397</v>
      </c>
    </row>
    <row r="166" spans="8:8">
      <c r="B166" t="s">
        <v>607</v>
      </c>
      <c r="C166">
        <v>532351.0</v>
      </c>
      <c r="D166" t="s">
        <v>608</v>
      </c>
      <c r="E166" t="s">
        <v>609</v>
      </c>
    </row>
    <row r="167" spans="8:8">
      <c r="B167" t="s">
        <v>610</v>
      </c>
      <c r="C167">
        <v>541303.0</v>
      </c>
      <c r="D167" t="s">
        <v>339</v>
      </c>
      <c r="E167" t="s">
        <v>354</v>
      </c>
    </row>
    <row r="168" spans="8:8">
      <c r="B168" t="s">
        <v>611</v>
      </c>
      <c r="C168">
        <v>524598.0</v>
      </c>
      <c r="D168" t="s">
        <v>612</v>
      </c>
      <c r="E168" t="s">
        <v>499</v>
      </c>
    </row>
    <row r="169" spans="8:8">
      <c r="B169" t="s">
        <v>613</v>
      </c>
      <c r="C169">
        <v>524598.0</v>
      </c>
      <c r="D169" t="s">
        <v>612</v>
      </c>
      <c r="E169" t="s">
        <v>499</v>
      </c>
    </row>
    <row r="170" spans="8:8">
      <c r="B170" t="s">
        <v>614</v>
      </c>
      <c r="C170">
        <v>500710.0</v>
      </c>
      <c r="D170" t="s">
        <v>615</v>
      </c>
      <c r="E170" t="s">
        <v>616</v>
      </c>
    </row>
    <row r="171" spans="8:8">
      <c r="B171" t="s">
        <v>617</v>
      </c>
      <c r="C171">
        <v>500710.0</v>
      </c>
      <c r="D171" t="s">
        <v>618</v>
      </c>
      <c r="E171" t="s">
        <v>616</v>
      </c>
    </row>
    <row r="172" spans="8:8">
      <c r="B172" t="s">
        <v>619</v>
      </c>
      <c r="C172">
        <v>535916.0</v>
      </c>
      <c r="D172" t="s">
        <v>339</v>
      </c>
      <c r="E172" t="s">
        <v>322</v>
      </c>
    </row>
    <row r="173" spans="8:8">
      <c r="B173" t="s">
        <v>620</v>
      </c>
      <c r="C173">
        <v>539115.0</v>
      </c>
      <c r="D173" t="s">
        <v>339</v>
      </c>
      <c r="E173" t="s">
        <v>342</v>
      </c>
    </row>
    <row r="174" spans="8:8">
      <c r="B174" t="s">
        <v>621</v>
      </c>
      <c r="C174">
        <v>531082.0</v>
      </c>
      <c r="D174" t="s">
        <v>622</v>
      </c>
      <c r="E174" t="s">
        <v>322</v>
      </c>
    </row>
    <row r="175" spans="8:8">
      <c r="B175" t="s">
        <v>623</v>
      </c>
      <c r="C175">
        <v>524075.0</v>
      </c>
      <c r="D175" t="s">
        <v>624</v>
      </c>
      <c r="E175" t="s">
        <v>377</v>
      </c>
    </row>
    <row r="176" spans="8:8">
      <c r="B176" t="s">
        <v>625</v>
      </c>
      <c r="C176">
        <v>531409.0</v>
      </c>
      <c r="D176" t="s">
        <v>339</v>
      </c>
      <c r="E176" t="s">
        <v>387</v>
      </c>
    </row>
    <row r="177" spans="8:8">
      <c r="B177" t="s">
        <v>626</v>
      </c>
      <c r="C177">
        <v>526707.0</v>
      </c>
      <c r="D177" t="s">
        <v>627</v>
      </c>
      <c r="E177" t="s">
        <v>361</v>
      </c>
    </row>
    <row r="178" spans="8:8">
      <c r="B178" t="s">
        <v>628</v>
      </c>
      <c r="C178">
        <v>532114.0</v>
      </c>
      <c r="D178" t="s">
        <v>339</v>
      </c>
      <c r="E178" t="s">
        <v>425</v>
      </c>
    </row>
    <row r="179" spans="8:8">
      <c r="B179" t="s">
        <v>629</v>
      </c>
      <c r="C179">
        <v>506235.0</v>
      </c>
      <c r="D179" t="s">
        <v>630</v>
      </c>
      <c r="E179" t="s">
        <v>377</v>
      </c>
    </row>
    <row r="180" spans="8:8">
      <c r="B180" t="s">
        <v>631</v>
      </c>
      <c r="C180">
        <v>533573.0</v>
      </c>
      <c r="D180" t="s">
        <v>632</v>
      </c>
      <c r="E180" t="s">
        <v>377</v>
      </c>
    </row>
    <row r="181" spans="8:8">
      <c r="B181" t="s">
        <v>633</v>
      </c>
      <c r="C181">
        <v>511463.0</v>
      </c>
      <c r="D181" t="s">
        <v>339</v>
      </c>
      <c r="E181" t="s">
        <v>328</v>
      </c>
    </row>
    <row r="182" spans="8:8">
      <c r="B182" t="s">
        <v>634</v>
      </c>
      <c r="C182">
        <v>530973.0</v>
      </c>
      <c r="D182" t="s">
        <v>339</v>
      </c>
      <c r="E182" t="s">
        <v>459</v>
      </c>
    </row>
    <row r="183" spans="8:8">
      <c r="B183" t="s">
        <v>635</v>
      </c>
      <c r="C183">
        <v>530973.0</v>
      </c>
      <c r="D183" t="s">
        <v>339</v>
      </c>
      <c r="E183" t="s">
        <v>459</v>
      </c>
    </row>
    <row r="184" spans="8:8">
      <c r="B184" t="s">
        <v>636</v>
      </c>
      <c r="C184">
        <v>517546.0</v>
      </c>
      <c r="D184" t="s">
        <v>339</v>
      </c>
      <c r="E184" t="s">
        <v>637</v>
      </c>
    </row>
    <row r="185" spans="8:8">
      <c r="B185" t="s">
        <v>638</v>
      </c>
      <c r="C185">
        <v>531156.0</v>
      </c>
      <c r="D185" t="s">
        <v>339</v>
      </c>
      <c r="E185" t="s">
        <v>356</v>
      </c>
    </row>
    <row r="186" spans="8:8">
      <c r="B186" t="s">
        <v>639</v>
      </c>
      <c r="C186">
        <v>531156.0</v>
      </c>
      <c r="D186" t="s">
        <v>339</v>
      </c>
      <c r="E186" t="s">
        <v>356</v>
      </c>
    </row>
    <row r="187" spans="8:8">
      <c r="B187" t="s">
        <v>640</v>
      </c>
      <c r="C187">
        <v>505216.0</v>
      </c>
      <c r="D187" t="s">
        <v>339</v>
      </c>
      <c r="E187" t="s">
        <v>356</v>
      </c>
    </row>
    <row r="188" spans="8:8">
      <c r="B188" t="s">
        <v>641</v>
      </c>
      <c r="C188">
        <v>505216.0</v>
      </c>
      <c r="D188" t="s">
        <v>339</v>
      </c>
      <c r="E188" t="s">
        <v>356</v>
      </c>
    </row>
    <row r="189" spans="8:8">
      <c r="B189" t="s">
        <v>642</v>
      </c>
      <c r="C189">
        <v>531147.0</v>
      </c>
      <c r="D189" t="s">
        <v>643</v>
      </c>
      <c r="E189" t="s">
        <v>644</v>
      </c>
    </row>
    <row r="190" spans="8:8">
      <c r="B190" t="s">
        <v>645</v>
      </c>
      <c r="C190">
        <v>530889.0</v>
      </c>
      <c r="D190" t="s">
        <v>339</v>
      </c>
      <c r="E190" t="s">
        <v>354</v>
      </c>
    </row>
    <row r="191" spans="8:8">
      <c r="B191" t="s">
        <v>646</v>
      </c>
      <c r="C191">
        <v>531581.0</v>
      </c>
      <c r="D191" t="s">
        <v>339</v>
      </c>
      <c r="E191" t="s">
        <v>453</v>
      </c>
    </row>
    <row r="192" spans="8:8">
      <c r="B192" t="s">
        <v>647</v>
      </c>
      <c r="C192">
        <v>530889.0</v>
      </c>
      <c r="D192" t="s">
        <v>339</v>
      </c>
      <c r="E192" t="s">
        <v>354</v>
      </c>
    </row>
    <row r="193" spans="8:8">
      <c r="B193" t="s">
        <v>648</v>
      </c>
      <c r="C193">
        <v>532166.0</v>
      </c>
      <c r="D193" t="s">
        <v>339</v>
      </c>
      <c r="E193" t="s">
        <v>356</v>
      </c>
    </row>
    <row r="194" spans="8:8">
      <c r="B194" t="s">
        <v>649</v>
      </c>
      <c r="C194">
        <v>533029.0</v>
      </c>
      <c r="D194" t="s">
        <v>650</v>
      </c>
      <c r="E194" t="s">
        <v>499</v>
      </c>
    </row>
    <row r="195" spans="8:8">
      <c r="B195" t="s">
        <v>651</v>
      </c>
      <c r="C195">
        <v>539523.0</v>
      </c>
      <c r="D195" t="s">
        <v>652</v>
      </c>
      <c r="E195" t="s">
        <v>377</v>
      </c>
    </row>
    <row r="196" spans="8:8">
      <c r="B196" t="s">
        <v>653</v>
      </c>
      <c r="C196">
        <v>506767.0</v>
      </c>
      <c r="D196" t="s">
        <v>654</v>
      </c>
      <c r="E196" t="s">
        <v>499</v>
      </c>
    </row>
    <row r="197" spans="8:8">
      <c r="B197" t="s">
        <v>655</v>
      </c>
      <c r="C197">
        <v>532480.0</v>
      </c>
      <c r="D197" t="s">
        <v>656</v>
      </c>
      <c r="E197" t="s">
        <v>657</v>
      </c>
    </row>
    <row r="198" spans="8:8">
      <c r="B198" t="s">
        <v>658</v>
      </c>
      <c r="C198">
        <v>532749.0</v>
      </c>
      <c r="D198" t="s">
        <v>659</v>
      </c>
      <c r="E198" t="s">
        <v>660</v>
      </c>
    </row>
    <row r="199" spans="8:8">
      <c r="B199" t="s">
        <v>661</v>
      </c>
      <c r="C199">
        <v>534064.0</v>
      </c>
      <c r="D199" t="s">
        <v>339</v>
      </c>
      <c r="E199" t="s">
        <v>662</v>
      </c>
    </row>
    <row r="200" spans="8:8">
      <c r="B200" t="s">
        <v>663</v>
      </c>
      <c r="C200">
        <v>532919.0</v>
      </c>
      <c r="D200" t="s">
        <v>339</v>
      </c>
      <c r="E200" t="s">
        <v>664</v>
      </c>
    </row>
    <row r="201" spans="8:8">
      <c r="B201" t="s">
        <v>665</v>
      </c>
      <c r="C201">
        <v>532875.0</v>
      </c>
      <c r="D201" t="s">
        <v>666</v>
      </c>
      <c r="E201" t="s">
        <v>325</v>
      </c>
    </row>
    <row r="202" spans="8:8">
      <c r="B202" t="s">
        <v>667</v>
      </c>
      <c r="C202">
        <v>532633.0</v>
      </c>
      <c r="D202" t="s">
        <v>668</v>
      </c>
      <c r="E202" t="s">
        <v>669</v>
      </c>
    </row>
    <row r="203" spans="8:8">
      <c r="B203" t="s">
        <v>670</v>
      </c>
      <c r="C203">
        <v>531400.0</v>
      </c>
      <c r="D203" t="s">
        <v>671</v>
      </c>
      <c r="E203" t="s">
        <v>322</v>
      </c>
    </row>
    <row r="204" spans="8:8">
      <c r="B204" t="s">
        <v>672</v>
      </c>
      <c r="C204">
        <v>506120.0</v>
      </c>
      <c r="D204" t="s">
        <v>339</v>
      </c>
      <c r="E204" t="s">
        <v>361</v>
      </c>
    </row>
    <row r="205" spans="8:8">
      <c r="B205" t="s">
        <v>673</v>
      </c>
      <c r="C205">
        <v>521070.0</v>
      </c>
      <c r="D205" t="s">
        <v>674</v>
      </c>
      <c r="E205" t="s">
        <v>354</v>
      </c>
    </row>
    <row r="206" spans="8:8">
      <c r="B206" t="s">
        <v>675</v>
      </c>
      <c r="C206">
        <v>532878.0</v>
      </c>
      <c r="D206" t="s">
        <v>676</v>
      </c>
      <c r="E206" t="s">
        <v>677</v>
      </c>
    </row>
    <row r="207" spans="8:8">
      <c r="B207" t="s">
        <v>678</v>
      </c>
      <c r="C207">
        <v>526397.0</v>
      </c>
      <c r="D207" t="s">
        <v>679</v>
      </c>
      <c r="E207" t="s">
        <v>680</v>
      </c>
    </row>
    <row r="208" spans="8:8">
      <c r="B208" t="s">
        <v>681</v>
      </c>
      <c r="C208">
        <v>526397.0</v>
      </c>
      <c r="D208" t="s">
        <v>679</v>
      </c>
      <c r="E208" t="s">
        <v>680</v>
      </c>
    </row>
    <row r="209" spans="8:8">
      <c r="B209" t="s">
        <v>682</v>
      </c>
      <c r="C209">
        <v>526519.0</v>
      </c>
      <c r="D209" t="s">
        <v>339</v>
      </c>
      <c r="E209" t="s">
        <v>425</v>
      </c>
    </row>
    <row r="210" spans="8:8">
      <c r="B210" t="s">
        <v>683</v>
      </c>
      <c r="C210">
        <v>530715.0</v>
      </c>
      <c r="D210" t="s">
        <v>684</v>
      </c>
      <c r="E210" t="s">
        <v>354</v>
      </c>
    </row>
    <row r="211" spans="8:8">
      <c r="B211" t="s">
        <v>685</v>
      </c>
      <c r="C211">
        <v>538423.0</v>
      </c>
      <c r="D211" t="s">
        <v>686</v>
      </c>
      <c r="E211" t="s">
        <v>322</v>
      </c>
    </row>
    <row r="212" spans="8:8">
      <c r="B212" t="s">
        <v>687</v>
      </c>
      <c r="C212">
        <v>539277.0</v>
      </c>
      <c r="D212" t="s">
        <v>339</v>
      </c>
      <c r="E212" t="s">
        <v>373</v>
      </c>
    </row>
    <row r="213" spans="8:8">
      <c r="B213" t="s">
        <v>688</v>
      </c>
      <c r="C213">
        <v>539277.0</v>
      </c>
      <c r="D213" t="s">
        <v>339</v>
      </c>
      <c r="E213" t="s">
        <v>373</v>
      </c>
    </row>
    <row r="214" spans="8:8">
      <c r="B214" t="s">
        <v>689</v>
      </c>
      <c r="C214">
        <v>524634.0</v>
      </c>
      <c r="D214" t="s">
        <v>339</v>
      </c>
      <c r="E214" t="s">
        <v>387</v>
      </c>
    </row>
    <row r="215" spans="8:8">
      <c r="B215" t="s">
        <v>690</v>
      </c>
      <c r="C215">
        <v>506597.0</v>
      </c>
      <c r="D215" t="s">
        <v>339</v>
      </c>
      <c r="E215" t="s">
        <v>499</v>
      </c>
    </row>
    <row r="216" spans="8:8">
      <c r="B216" t="s">
        <v>691</v>
      </c>
      <c r="C216">
        <v>512008.0</v>
      </c>
      <c r="D216" t="s">
        <v>339</v>
      </c>
      <c r="E216" t="s">
        <v>361</v>
      </c>
    </row>
    <row r="217" spans="8:8">
      <c r="B217" t="s">
        <v>692</v>
      </c>
      <c r="C217">
        <v>500008.0</v>
      </c>
      <c r="D217" t="s">
        <v>693</v>
      </c>
      <c r="E217" t="s">
        <v>694</v>
      </c>
    </row>
    <row r="218" spans="8:8">
      <c r="B218" t="s">
        <v>695</v>
      </c>
      <c r="C218">
        <v>521097.0</v>
      </c>
      <c r="D218" t="s">
        <v>339</v>
      </c>
      <c r="E218" t="s">
        <v>354</v>
      </c>
    </row>
    <row r="219" spans="8:8">
      <c r="B219" t="s">
        <v>696</v>
      </c>
      <c r="C219">
        <v>538465.0</v>
      </c>
      <c r="D219" t="s">
        <v>339</v>
      </c>
      <c r="E219" t="s">
        <v>356</v>
      </c>
    </row>
    <row r="220" spans="8:8">
      <c r="B220" t="s">
        <v>697</v>
      </c>
      <c r="C220">
        <v>531112.0</v>
      </c>
      <c r="D220" t="s">
        <v>339</v>
      </c>
      <c r="E220" t="s">
        <v>347</v>
      </c>
    </row>
    <row r="221" spans="8:8">
      <c r="B221" t="s">
        <v>698</v>
      </c>
      <c r="C221">
        <v>539196.0</v>
      </c>
      <c r="D221" t="s">
        <v>339</v>
      </c>
      <c r="E221" t="s">
        <v>637</v>
      </c>
    </row>
    <row r="222" spans="8:8">
      <c r="B222" t="s">
        <v>699</v>
      </c>
      <c r="C222">
        <v>500009.0</v>
      </c>
      <c r="D222" t="s">
        <v>339</v>
      </c>
      <c r="E222" t="s">
        <v>377</v>
      </c>
    </row>
    <row r="223" spans="8:8">
      <c r="B223" t="s">
        <v>700</v>
      </c>
      <c r="C223" t="s">
        <v>339</v>
      </c>
      <c r="D223" t="s">
        <v>701</v>
      </c>
      <c r="E223" t="s">
        <v>350</v>
      </c>
    </row>
    <row r="224" spans="8:8">
      <c r="B224" t="s">
        <v>702</v>
      </c>
      <c r="C224">
        <v>519471.0</v>
      </c>
      <c r="D224" t="s">
        <v>339</v>
      </c>
      <c r="E224" t="s">
        <v>588</v>
      </c>
    </row>
    <row r="225" spans="8:8">
      <c r="B225" t="s">
        <v>703</v>
      </c>
      <c r="C225">
        <v>542524.0</v>
      </c>
      <c r="D225" t="s">
        <v>704</v>
      </c>
      <c r="E225" t="s">
        <v>705</v>
      </c>
    </row>
    <row r="226" spans="8:8">
      <c r="B226" t="s">
        <v>706</v>
      </c>
      <c r="C226">
        <v>540902.0</v>
      </c>
      <c r="D226" t="s">
        <v>707</v>
      </c>
      <c r="E226" t="s">
        <v>708</v>
      </c>
    </row>
    <row r="227" spans="8:8">
      <c r="B227" t="s">
        <v>709</v>
      </c>
      <c r="C227">
        <v>540902.0</v>
      </c>
      <c r="D227" t="s">
        <v>707</v>
      </c>
      <c r="E227" t="s">
        <v>708</v>
      </c>
    </row>
    <row r="228" spans="8:8">
      <c r="B228" t="s">
        <v>710</v>
      </c>
      <c r="C228">
        <v>531978.0</v>
      </c>
      <c r="D228" t="s">
        <v>711</v>
      </c>
      <c r="E228" t="s">
        <v>354</v>
      </c>
    </row>
    <row r="229" spans="8:8">
      <c r="B229" t="s">
        <v>712</v>
      </c>
      <c r="C229">
        <v>539223.0</v>
      </c>
      <c r="D229" t="s">
        <v>339</v>
      </c>
      <c r="E229" t="s">
        <v>333</v>
      </c>
    </row>
    <row r="230" spans="8:8">
      <c r="B230" t="s">
        <v>713</v>
      </c>
      <c r="C230">
        <v>500425.0</v>
      </c>
      <c r="D230" t="s">
        <v>714</v>
      </c>
      <c r="E230" t="s">
        <v>352</v>
      </c>
    </row>
    <row r="231" spans="8:8">
      <c r="B231" t="s">
        <v>715</v>
      </c>
      <c r="C231">
        <v>530133.0</v>
      </c>
      <c r="D231" t="s">
        <v>339</v>
      </c>
      <c r="E231" t="s">
        <v>716</v>
      </c>
    </row>
    <row r="232" spans="8:8">
      <c r="B232" t="s">
        <v>717</v>
      </c>
      <c r="C232">
        <v>530133.0</v>
      </c>
      <c r="D232" t="s">
        <v>339</v>
      </c>
      <c r="E232" t="s">
        <v>716</v>
      </c>
    </row>
    <row r="233" spans="8:8">
      <c r="B233" t="s">
        <v>718</v>
      </c>
      <c r="C233">
        <v>532828.0</v>
      </c>
      <c r="D233" t="s">
        <v>719</v>
      </c>
      <c r="E233" t="s">
        <v>524</v>
      </c>
    </row>
    <row r="234" spans="8:8">
      <c r="B234" t="s">
        <v>720</v>
      </c>
      <c r="C234">
        <v>513117.0</v>
      </c>
      <c r="D234" t="s">
        <v>339</v>
      </c>
      <c r="E234" t="s">
        <v>694</v>
      </c>
    </row>
    <row r="235" spans="8:8">
      <c r="B235" t="s">
        <v>721</v>
      </c>
      <c r="C235">
        <v>541771.0</v>
      </c>
      <c r="D235" t="s">
        <v>339</v>
      </c>
      <c r="E235" t="s">
        <v>453</v>
      </c>
    </row>
    <row r="236" spans="8:8">
      <c r="B236" t="s">
        <v>722</v>
      </c>
      <c r="C236">
        <v>506248.0</v>
      </c>
      <c r="D236" t="s">
        <v>339</v>
      </c>
      <c r="E236" t="s">
        <v>387</v>
      </c>
    </row>
    <row r="237" spans="8:8">
      <c r="B237" t="s">
        <v>723</v>
      </c>
      <c r="C237">
        <v>531300.0</v>
      </c>
      <c r="D237" t="s">
        <v>339</v>
      </c>
      <c r="E237" t="s">
        <v>354</v>
      </c>
    </row>
    <row r="238" spans="8:8">
      <c r="B238" t="s">
        <v>724</v>
      </c>
      <c r="C238">
        <v>531557.0</v>
      </c>
      <c r="D238" t="s">
        <v>339</v>
      </c>
      <c r="E238" t="s">
        <v>356</v>
      </c>
    </row>
    <row r="239" spans="8:8">
      <c r="B239" t="s">
        <v>725</v>
      </c>
      <c r="C239">
        <v>500343.0</v>
      </c>
      <c r="D239" t="s">
        <v>726</v>
      </c>
      <c r="E239" t="s">
        <v>425</v>
      </c>
    </row>
    <row r="240" spans="8:8">
      <c r="B240" t="s">
        <v>727</v>
      </c>
      <c r="C240">
        <v>531681.0</v>
      </c>
      <c r="D240" t="s">
        <v>339</v>
      </c>
      <c r="E240" t="s">
        <v>459</v>
      </c>
    </row>
    <row r="241" spans="8:8">
      <c r="B241" t="s">
        <v>728</v>
      </c>
      <c r="C241">
        <v>536737.0</v>
      </c>
      <c r="D241" t="s">
        <v>339</v>
      </c>
      <c r="E241" t="s">
        <v>356</v>
      </c>
    </row>
    <row r="242" spans="8:8">
      <c r="B242" t="s">
        <v>729</v>
      </c>
      <c r="C242">
        <v>539265.0</v>
      </c>
      <c r="D242" t="s">
        <v>339</v>
      </c>
      <c r="E242" t="s">
        <v>356</v>
      </c>
    </row>
    <row r="243" spans="8:8">
      <c r="B243" t="s">
        <v>730</v>
      </c>
      <c r="C243">
        <v>526241.0</v>
      </c>
      <c r="D243" t="s">
        <v>339</v>
      </c>
      <c r="E243" t="s">
        <v>361</v>
      </c>
    </row>
    <row r="244" spans="8:8">
      <c r="B244" t="s">
        <v>731</v>
      </c>
      <c r="C244">
        <v>531991.0</v>
      </c>
      <c r="D244" t="s">
        <v>339</v>
      </c>
      <c r="E244" t="s">
        <v>354</v>
      </c>
    </row>
    <row r="245" spans="8:8">
      <c r="B245" t="s">
        <v>732</v>
      </c>
      <c r="C245">
        <v>507525.0</v>
      </c>
      <c r="D245" t="s">
        <v>339</v>
      </c>
      <c r="E245" t="s">
        <v>399</v>
      </c>
    </row>
    <row r="246" spans="8:8">
      <c r="B246" t="s">
        <v>733</v>
      </c>
      <c r="C246">
        <v>590006.0</v>
      </c>
      <c r="D246" t="s">
        <v>734</v>
      </c>
      <c r="E246" t="s">
        <v>377</v>
      </c>
    </row>
    <row r="247" spans="8:8">
      <c r="B247" t="s">
        <v>735</v>
      </c>
      <c r="C247">
        <v>538861.0</v>
      </c>
      <c r="D247" t="s">
        <v>339</v>
      </c>
      <c r="E247" t="s">
        <v>361</v>
      </c>
    </row>
    <row r="248" spans="8:8">
      <c r="B248" t="s">
        <v>736</v>
      </c>
      <c r="C248">
        <v>501630.0</v>
      </c>
      <c r="D248" t="s">
        <v>339</v>
      </c>
      <c r="E248" t="s">
        <v>737</v>
      </c>
    </row>
    <row r="249" spans="8:8">
      <c r="B249" t="s">
        <v>738</v>
      </c>
      <c r="C249">
        <v>515055.0</v>
      </c>
      <c r="D249" t="s">
        <v>739</v>
      </c>
      <c r="E249" t="s">
        <v>425</v>
      </c>
    </row>
    <row r="250" spans="8:8">
      <c r="B250" t="s">
        <v>740</v>
      </c>
      <c r="C250">
        <v>532418.0</v>
      </c>
      <c r="D250" t="s">
        <v>741</v>
      </c>
      <c r="E250" t="s">
        <v>657</v>
      </c>
    </row>
    <row r="251" spans="8:8">
      <c r="B251" t="s">
        <v>742</v>
      </c>
      <c r="C251">
        <v>532141.0</v>
      </c>
      <c r="D251" t="s">
        <v>743</v>
      </c>
      <c r="E251" t="s">
        <v>352</v>
      </c>
    </row>
    <row r="252" spans="8:8">
      <c r="B252" t="s">
        <v>744</v>
      </c>
      <c r="C252">
        <v>500012.0</v>
      </c>
      <c r="D252" t="s">
        <v>339</v>
      </c>
      <c r="E252" t="s">
        <v>387</v>
      </c>
    </row>
    <row r="253" spans="8:8">
      <c r="B253" t="s">
        <v>745</v>
      </c>
      <c r="C253">
        <v>526173.0</v>
      </c>
      <c r="D253" t="s">
        <v>339</v>
      </c>
      <c r="E253" t="s">
        <v>746</v>
      </c>
    </row>
    <row r="254" spans="8:8">
      <c r="B254" t="s">
        <v>747</v>
      </c>
      <c r="C254">
        <v>531252.0</v>
      </c>
      <c r="D254" t="s">
        <v>339</v>
      </c>
      <c r="E254" t="s">
        <v>356</v>
      </c>
    </row>
    <row r="255" spans="8:8">
      <c r="B255" t="s">
        <v>748</v>
      </c>
      <c r="C255">
        <v>530721.0</v>
      </c>
      <c r="D255" t="s">
        <v>749</v>
      </c>
      <c r="E255" t="s">
        <v>694</v>
      </c>
    </row>
    <row r="256" spans="8:8">
      <c r="B256" t="s">
        <v>750</v>
      </c>
      <c r="C256">
        <v>540694.0</v>
      </c>
      <c r="D256" t="s">
        <v>339</v>
      </c>
      <c r="E256" t="s">
        <v>528</v>
      </c>
    </row>
    <row r="257" spans="8:8">
      <c r="B257" t="s">
        <v>751</v>
      </c>
      <c r="C257">
        <v>540694.0</v>
      </c>
      <c r="D257" t="s">
        <v>339</v>
      </c>
      <c r="E257" t="s">
        <v>528</v>
      </c>
    </row>
    <row r="258" spans="8:8">
      <c r="B258" t="s">
        <v>752</v>
      </c>
      <c r="C258">
        <v>541006.0</v>
      </c>
      <c r="D258" t="s">
        <v>339</v>
      </c>
      <c r="E258" t="s">
        <v>354</v>
      </c>
    </row>
    <row r="259" spans="8:8">
      <c r="B259" t="s">
        <v>753</v>
      </c>
      <c r="C259" t="s">
        <v>339</v>
      </c>
      <c r="D259" t="s">
        <v>754</v>
      </c>
      <c r="E259" t="s">
        <v>350</v>
      </c>
    </row>
    <row r="260" spans="8:8">
      <c r="B260" t="s">
        <v>755</v>
      </c>
      <c r="C260">
        <v>519383.0</v>
      </c>
      <c r="D260" t="s">
        <v>756</v>
      </c>
      <c r="E260" t="s">
        <v>537</v>
      </c>
    </row>
    <row r="261" spans="8:8">
      <c r="B261" t="s">
        <v>757</v>
      </c>
      <c r="C261">
        <v>537785.0</v>
      </c>
      <c r="D261" t="s">
        <v>339</v>
      </c>
      <c r="E261" t="s">
        <v>373</v>
      </c>
    </row>
    <row r="262" spans="8:8">
      <c r="B262" t="s">
        <v>758</v>
      </c>
      <c r="C262">
        <v>531878.0</v>
      </c>
      <c r="D262" t="s">
        <v>339</v>
      </c>
      <c r="E262" t="s">
        <v>356</v>
      </c>
    </row>
    <row r="263" spans="8:8">
      <c r="B263" t="s">
        <v>759</v>
      </c>
      <c r="C263">
        <v>511153.0</v>
      </c>
      <c r="D263" t="s">
        <v>339</v>
      </c>
      <c r="E263" t="s">
        <v>760</v>
      </c>
    </row>
    <row r="264" spans="8:8">
      <c r="B264" t="s">
        <v>761</v>
      </c>
      <c r="C264">
        <v>518091.0</v>
      </c>
      <c r="D264" t="s">
        <v>762</v>
      </c>
      <c r="E264" t="s">
        <v>352</v>
      </c>
    </row>
    <row r="265" spans="8:8">
      <c r="B265" t="s">
        <v>763</v>
      </c>
      <c r="C265">
        <v>531223.0</v>
      </c>
      <c r="D265" t="s">
        <v>339</v>
      </c>
      <c r="E265" t="s">
        <v>354</v>
      </c>
    </row>
    <row r="266" spans="8:8">
      <c r="B266" t="s">
        <v>764</v>
      </c>
      <c r="C266">
        <v>531673.0</v>
      </c>
      <c r="D266" t="s">
        <v>339</v>
      </c>
      <c r="E266" t="s">
        <v>765</v>
      </c>
    </row>
    <row r="267" spans="8:8">
      <c r="B267" t="s">
        <v>766</v>
      </c>
      <c r="C267">
        <v>531673.0</v>
      </c>
      <c r="D267" t="s">
        <v>339</v>
      </c>
      <c r="E267" t="s">
        <v>765</v>
      </c>
    </row>
    <row r="268" spans="8:8">
      <c r="B268" t="s">
        <v>767</v>
      </c>
      <c r="C268">
        <v>532870.0</v>
      </c>
      <c r="D268" t="s">
        <v>768</v>
      </c>
      <c r="E268" t="s">
        <v>371</v>
      </c>
    </row>
    <row r="269" spans="8:8">
      <c r="B269" t="s">
        <v>769</v>
      </c>
      <c r="C269">
        <v>531519.0</v>
      </c>
      <c r="D269" t="s">
        <v>339</v>
      </c>
      <c r="E269" t="s">
        <v>322</v>
      </c>
    </row>
    <row r="270" spans="8:8">
      <c r="B270" t="s">
        <v>770</v>
      </c>
      <c r="C270">
        <v>542437.0</v>
      </c>
      <c r="D270" t="s">
        <v>771</v>
      </c>
      <c r="E270" t="s">
        <v>373</v>
      </c>
    </row>
    <row r="271" spans="8:8">
      <c r="B271" t="s">
        <v>772</v>
      </c>
      <c r="C271">
        <v>530799.0</v>
      </c>
      <c r="D271" t="s">
        <v>339</v>
      </c>
      <c r="E271" t="s">
        <v>356</v>
      </c>
    </row>
    <row r="272" spans="8:8">
      <c r="B272" t="s">
        <v>773</v>
      </c>
      <c r="C272">
        <v>531406.0</v>
      </c>
      <c r="D272" t="s">
        <v>339</v>
      </c>
      <c r="E272" t="s">
        <v>774</v>
      </c>
    </row>
    <row r="273" spans="8:8">
      <c r="B273" t="s">
        <v>775</v>
      </c>
      <c r="C273">
        <v>523007.0</v>
      </c>
      <c r="D273" t="s">
        <v>339</v>
      </c>
      <c r="E273" t="s">
        <v>425</v>
      </c>
    </row>
    <row r="274" spans="8:8">
      <c r="B274" t="s">
        <v>776</v>
      </c>
      <c r="C274">
        <v>507828.0</v>
      </c>
      <c r="D274" t="s">
        <v>777</v>
      </c>
      <c r="E274" t="s">
        <v>425</v>
      </c>
    </row>
    <row r="275" spans="8:8">
      <c r="B275" t="s">
        <v>778</v>
      </c>
      <c r="C275">
        <v>500013.0</v>
      </c>
      <c r="D275" t="s">
        <v>779</v>
      </c>
      <c r="E275" t="s">
        <v>425</v>
      </c>
    </row>
    <row r="276" spans="8:8">
      <c r="B276" t="s">
        <v>780</v>
      </c>
      <c r="C276">
        <v>512091.0</v>
      </c>
      <c r="D276" t="s">
        <v>339</v>
      </c>
      <c r="E276" t="s">
        <v>453</v>
      </c>
    </row>
    <row r="277" spans="8:8">
      <c r="B277" t="s">
        <v>781</v>
      </c>
      <c r="C277" t="s">
        <v>339</v>
      </c>
      <c r="D277" t="s">
        <v>782</v>
      </c>
      <c r="E277" t="s">
        <v>430</v>
      </c>
    </row>
    <row r="278" spans="8:8">
      <c r="B278" t="s">
        <v>783</v>
      </c>
      <c r="C278">
        <v>501270.0</v>
      </c>
      <c r="D278" t="s">
        <v>339</v>
      </c>
      <c r="E278" t="s">
        <v>425</v>
      </c>
    </row>
    <row r="279" spans="8:8">
      <c r="B279" t="s">
        <v>784</v>
      </c>
      <c r="C279">
        <v>539697.0</v>
      </c>
      <c r="D279" t="s">
        <v>339</v>
      </c>
      <c r="E279" t="s">
        <v>785</v>
      </c>
    </row>
    <row r="280" spans="8:8">
      <c r="B280" t="s">
        <v>786</v>
      </c>
      <c r="C280">
        <v>538833.0</v>
      </c>
      <c r="D280" t="s">
        <v>339</v>
      </c>
      <c r="E280" t="s">
        <v>737</v>
      </c>
    </row>
    <row r="281" spans="8:8">
      <c r="B281" t="s">
        <v>787</v>
      </c>
      <c r="C281">
        <v>506260.0</v>
      </c>
      <c r="D281" t="s">
        <v>339</v>
      </c>
      <c r="E281" t="s">
        <v>377</v>
      </c>
    </row>
    <row r="282" spans="8:8">
      <c r="B282" t="s">
        <v>788</v>
      </c>
      <c r="C282">
        <v>506087.0</v>
      </c>
      <c r="D282" t="s">
        <v>339</v>
      </c>
      <c r="E282" t="s">
        <v>662</v>
      </c>
    </row>
    <row r="283" spans="8:8">
      <c r="B283" t="s">
        <v>789</v>
      </c>
      <c r="C283">
        <v>530109.0</v>
      </c>
      <c r="D283" t="s">
        <v>339</v>
      </c>
      <c r="E283" t="s">
        <v>356</v>
      </c>
    </row>
    <row r="284" spans="8:8">
      <c r="B284" t="s">
        <v>790</v>
      </c>
      <c r="C284">
        <v>532259.0</v>
      </c>
      <c r="D284" t="s">
        <v>791</v>
      </c>
      <c r="E284" t="s">
        <v>637</v>
      </c>
    </row>
    <row r="285" spans="8:8">
      <c r="B285" t="s">
        <v>792</v>
      </c>
      <c r="C285">
        <v>523694.0</v>
      </c>
      <c r="D285" t="s">
        <v>793</v>
      </c>
      <c r="E285" t="s">
        <v>524</v>
      </c>
    </row>
    <row r="286" spans="8:8">
      <c r="B286" t="s">
        <v>794</v>
      </c>
      <c r="C286">
        <v>540692.0</v>
      </c>
      <c r="D286" t="s">
        <v>795</v>
      </c>
      <c r="E286" t="s">
        <v>399</v>
      </c>
    </row>
    <row r="287" spans="8:8">
      <c r="B287" t="s">
        <v>796</v>
      </c>
      <c r="C287">
        <v>541133.0</v>
      </c>
      <c r="D287" t="s">
        <v>339</v>
      </c>
      <c r="E287" t="s">
        <v>356</v>
      </c>
    </row>
    <row r="288" spans="8:8">
      <c r="B288" t="s">
        <v>797</v>
      </c>
      <c r="C288">
        <v>506166.0</v>
      </c>
      <c r="D288" t="s">
        <v>339</v>
      </c>
      <c r="E288" t="s">
        <v>419</v>
      </c>
    </row>
    <row r="289" spans="8:8">
      <c r="B289" t="s">
        <v>798</v>
      </c>
      <c r="C289">
        <v>506166.0</v>
      </c>
      <c r="D289" t="s">
        <v>339</v>
      </c>
      <c r="E289" t="s">
        <v>419</v>
      </c>
    </row>
    <row r="290" spans="8:8">
      <c r="B290" t="s">
        <v>799</v>
      </c>
      <c r="C290">
        <v>533758.0</v>
      </c>
      <c r="D290" t="s">
        <v>800</v>
      </c>
      <c r="E290" t="s">
        <v>662</v>
      </c>
    </row>
    <row r="291" spans="8:8">
      <c r="B291" t="s">
        <v>801</v>
      </c>
      <c r="C291">
        <v>517096.0</v>
      </c>
      <c r="D291" t="s">
        <v>339</v>
      </c>
      <c r="E291" t="s">
        <v>637</v>
      </c>
    </row>
    <row r="292" spans="8:8">
      <c r="B292" t="s">
        <v>802</v>
      </c>
      <c r="C292">
        <v>511064.0</v>
      </c>
      <c r="D292" t="s">
        <v>803</v>
      </c>
      <c r="E292" t="s">
        <v>705</v>
      </c>
    </row>
    <row r="293" spans="8:8">
      <c r="B293" t="s">
        <v>804</v>
      </c>
      <c r="C293">
        <v>523537.0</v>
      </c>
      <c r="D293" t="s">
        <v>339</v>
      </c>
      <c r="E293" t="s">
        <v>354</v>
      </c>
    </row>
    <row r="294" spans="8:8">
      <c r="B294" t="s">
        <v>805</v>
      </c>
      <c r="C294">
        <v>512437.0</v>
      </c>
      <c r="D294" t="s">
        <v>339</v>
      </c>
      <c r="E294" t="s">
        <v>322</v>
      </c>
    </row>
    <row r="295" spans="8:8">
      <c r="B295" t="s">
        <v>806</v>
      </c>
      <c r="C295">
        <v>512437.0</v>
      </c>
      <c r="D295" t="s">
        <v>339</v>
      </c>
      <c r="E295" t="s">
        <v>322</v>
      </c>
    </row>
    <row r="296" spans="8:8">
      <c r="B296" t="s">
        <v>807</v>
      </c>
      <c r="C296">
        <v>508869.0</v>
      </c>
      <c r="D296" t="s">
        <v>808</v>
      </c>
      <c r="E296" t="s">
        <v>809</v>
      </c>
    </row>
    <row r="297" spans="8:8">
      <c r="B297" t="s">
        <v>810</v>
      </c>
      <c r="C297">
        <v>540879.0</v>
      </c>
      <c r="D297" t="s">
        <v>811</v>
      </c>
      <c r="E297" t="s">
        <v>812</v>
      </c>
    </row>
    <row r="298" spans="8:8">
      <c r="B298" t="s">
        <v>813</v>
      </c>
      <c r="C298">
        <v>531761.0</v>
      </c>
      <c r="D298" t="s">
        <v>339</v>
      </c>
      <c r="E298" t="s">
        <v>459</v>
      </c>
    </row>
    <row r="299" spans="8:8">
      <c r="B299" t="s">
        <v>814</v>
      </c>
      <c r="C299" t="s">
        <v>339</v>
      </c>
      <c r="D299" t="s">
        <v>815</v>
      </c>
      <c r="E299" t="s">
        <v>430</v>
      </c>
    </row>
    <row r="300" spans="8:8">
      <c r="B300" t="s">
        <v>816</v>
      </c>
      <c r="C300">
        <v>538566.0</v>
      </c>
      <c r="D300" t="s">
        <v>339</v>
      </c>
      <c r="E300" t="s">
        <v>361</v>
      </c>
    </row>
    <row r="301" spans="8:8">
      <c r="B301" t="s">
        <v>817</v>
      </c>
      <c r="C301">
        <v>500877.0</v>
      </c>
      <c r="D301" t="s">
        <v>818</v>
      </c>
      <c r="E301" t="s">
        <v>819</v>
      </c>
    </row>
    <row r="302" spans="8:8">
      <c r="B302" t="s">
        <v>820</v>
      </c>
      <c r="C302">
        <v>539545.0</v>
      </c>
      <c r="D302" t="s">
        <v>339</v>
      </c>
      <c r="E302" t="s">
        <v>359</v>
      </c>
    </row>
    <row r="303" spans="8:8">
      <c r="B303" t="s">
        <v>821</v>
      </c>
      <c r="C303">
        <v>500014.0</v>
      </c>
      <c r="D303" t="s">
        <v>339</v>
      </c>
      <c r="E303" t="s">
        <v>356</v>
      </c>
    </row>
    <row r="304" spans="8:8">
      <c r="B304" t="s">
        <v>822</v>
      </c>
      <c r="C304">
        <v>532475.0</v>
      </c>
      <c r="D304" t="s">
        <v>823</v>
      </c>
      <c r="E304" t="s">
        <v>824</v>
      </c>
    </row>
    <row r="305" spans="8:8">
      <c r="B305" t="s">
        <v>825</v>
      </c>
      <c r="C305">
        <v>539469.0</v>
      </c>
      <c r="D305" t="s">
        <v>339</v>
      </c>
      <c r="E305" t="s">
        <v>361</v>
      </c>
    </row>
    <row r="306" spans="8:8">
      <c r="B306" t="s">
        <v>826</v>
      </c>
      <c r="C306">
        <v>531364.0</v>
      </c>
      <c r="D306" t="s">
        <v>339</v>
      </c>
      <c r="E306" t="s">
        <v>737</v>
      </c>
    </row>
    <row r="307" spans="8:8">
      <c r="B307" t="s">
        <v>827</v>
      </c>
      <c r="C307">
        <v>539403.0</v>
      </c>
      <c r="D307" t="s">
        <v>339</v>
      </c>
      <c r="E307" t="s">
        <v>828</v>
      </c>
    </row>
    <row r="308" spans="8:8">
      <c r="B308" t="s">
        <v>829</v>
      </c>
      <c r="C308">
        <v>540135.0</v>
      </c>
      <c r="D308" t="s">
        <v>339</v>
      </c>
      <c r="E308" t="s">
        <v>322</v>
      </c>
    </row>
    <row r="309" spans="8:8">
      <c r="B309" t="s">
        <v>830</v>
      </c>
      <c r="C309">
        <v>520121.0</v>
      </c>
      <c r="D309" t="s">
        <v>339</v>
      </c>
      <c r="E309" t="s">
        <v>459</v>
      </c>
    </row>
    <row r="310" spans="8:8">
      <c r="B310" t="s">
        <v>831</v>
      </c>
      <c r="C310">
        <v>530565.0</v>
      </c>
      <c r="D310" t="s">
        <v>339</v>
      </c>
      <c r="E310" t="s">
        <v>432</v>
      </c>
    </row>
    <row r="311" spans="8:8">
      <c r="B311" t="s">
        <v>832</v>
      </c>
      <c r="C311">
        <v>532994.0</v>
      </c>
      <c r="D311" t="s">
        <v>833</v>
      </c>
      <c r="E311" t="s">
        <v>834</v>
      </c>
    </row>
    <row r="312" spans="8:8">
      <c r="B312" t="s">
        <v>835</v>
      </c>
      <c r="C312">
        <v>532212.0</v>
      </c>
      <c r="D312" t="s">
        <v>836</v>
      </c>
      <c r="E312" t="s">
        <v>837</v>
      </c>
    </row>
    <row r="313" spans="8:8">
      <c r="B313" t="s">
        <v>838</v>
      </c>
      <c r="C313">
        <v>524640.0</v>
      </c>
      <c r="D313" t="s">
        <v>339</v>
      </c>
      <c r="E313" t="s">
        <v>387</v>
      </c>
    </row>
    <row r="314" spans="8:8">
      <c r="B314" t="s">
        <v>839</v>
      </c>
      <c r="C314">
        <v>532914.0</v>
      </c>
      <c r="D314" t="s">
        <v>840</v>
      </c>
      <c r="E314" t="s">
        <v>413</v>
      </c>
    </row>
    <row r="315" spans="8:8">
      <c r="B315" t="s">
        <v>841</v>
      </c>
      <c r="C315">
        <v>504370.0</v>
      </c>
      <c r="D315" t="s">
        <v>339</v>
      </c>
      <c r="E315" t="s">
        <v>760</v>
      </c>
    </row>
    <row r="316" spans="8:8">
      <c r="B316" t="s">
        <v>842</v>
      </c>
      <c r="C316">
        <v>526851.0</v>
      </c>
      <c r="D316" t="s">
        <v>339</v>
      </c>
      <c r="E316" t="s">
        <v>354</v>
      </c>
    </row>
    <row r="317" spans="8:8">
      <c r="B317" t="s">
        <v>843</v>
      </c>
      <c r="C317">
        <v>539151.0</v>
      </c>
      <c r="D317" t="s">
        <v>339</v>
      </c>
      <c r="E317" t="s">
        <v>644</v>
      </c>
    </row>
    <row r="318" spans="8:8">
      <c r="B318" t="s">
        <v>844</v>
      </c>
      <c r="C318">
        <v>539151.0</v>
      </c>
      <c r="D318" t="s">
        <v>339</v>
      </c>
      <c r="E318" t="s">
        <v>644</v>
      </c>
    </row>
    <row r="319" spans="8:8">
      <c r="B319" t="s">
        <v>845</v>
      </c>
      <c r="C319">
        <v>532935.0</v>
      </c>
      <c r="D319" t="s">
        <v>846</v>
      </c>
      <c r="E319" t="s">
        <v>847</v>
      </c>
    </row>
    <row r="320" spans="8:8">
      <c r="B320" t="s">
        <v>848</v>
      </c>
      <c r="C320">
        <v>511605.0</v>
      </c>
      <c r="D320" t="s">
        <v>339</v>
      </c>
      <c r="E320" t="s">
        <v>322</v>
      </c>
    </row>
    <row r="321" spans="8:8">
      <c r="B321" t="s">
        <v>849</v>
      </c>
      <c r="C321">
        <v>531381.0</v>
      </c>
      <c r="D321" t="s">
        <v>850</v>
      </c>
      <c r="E321" t="s">
        <v>425</v>
      </c>
    </row>
    <row r="322" spans="8:8">
      <c r="B322" t="s">
        <v>851</v>
      </c>
      <c r="C322">
        <v>541401.0</v>
      </c>
      <c r="D322" t="s">
        <v>339</v>
      </c>
      <c r="E322" t="s">
        <v>444</v>
      </c>
    </row>
    <row r="323" spans="8:8">
      <c r="B323" t="s">
        <v>852</v>
      </c>
      <c r="C323">
        <v>506194.0</v>
      </c>
      <c r="D323" t="s">
        <v>853</v>
      </c>
      <c r="E323" t="s">
        <v>425</v>
      </c>
    </row>
    <row r="324" spans="8:8">
      <c r="B324" t="s">
        <v>854</v>
      </c>
      <c r="C324">
        <v>526125.0</v>
      </c>
      <c r="D324" t="s">
        <v>339</v>
      </c>
      <c r="E324" t="s">
        <v>361</v>
      </c>
    </row>
    <row r="325" spans="8:8">
      <c r="B325" t="s">
        <v>855</v>
      </c>
      <c r="C325">
        <v>531017.0</v>
      </c>
      <c r="D325" t="s">
        <v>339</v>
      </c>
      <c r="E325" t="s">
        <v>760</v>
      </c>
    </row>
    <row r="326" spans="8:8">
      <c r="B326" t="s">
        <v>856</v>
      </c>
      <c r="C326">
        <v>531677.0</v>
      </c>
      <c r="D326" t="s">
        <v>339</v>
      </c>
      <c r="E326" t="s">
        <v>325</v>
      </c>
    </row>
    <row r="327" spans="8:8">
      <c r="B327" t="s">
        <v>857</v>
      </c>
      <c r="C327">
        <v>531179.0</v>
      </c>
      <c r="D327" t="s">
        <v>858</v>
      </c>
      <c r="E327" t="s">
        <v>356</v>
      </c>
    </row>
    <row r="328" spans="8:8">
      <c r="B328" t="s">
        <v>859</v>
      </c>
      <c r="C328">
        <v>538556.0</v>
      </c>
      <c r="D328" t="s">
        <v>860</v>
      </c>
      <c r="E328" t="s">
        <v>359</v>
      </c>
    </row>
    <row r="329" spans="8:8">
      <c r="B329" t="s">
        <v>861</v>
      </c>
      <c r="C329">
        <v>532397.0</v>
      </c>
      <c r="D329" t="s">
        <v>339</v>
      </c>
      <c r="E329" t="s">
        <v>333</v>
      </c>
    </row>
    <row r="330" spans="8:8">
      <c r="B330" t="s">
        <v>862</v>
      </c>
      <c r="C330">
        <v>531467.0</v>
      </c>
      <c r="D330" t="s">
        <v>339</v>
      </c>
      <c r="E330" t="s">
        <v>863</v>
      </c>
    </row>
    <row r="331" spans="8:8">
      <c r="B331" t="s">
        <v>864</v>
      </c>
      <c r="C331">
        <v>537069.0</v>
      </c>
      <c r="D331" t="s">
        <v>339</v>
      </c>
      <c r="E331" t="s">
        <v>356</v>
      </c>
    </row>
    <row r="332" spans="8:8">
      <c r="B332" t="s">
        <v>865</v>
      </c>
      <c r="C332">
        <v>513729.0</v>
      </c>
      <c r="D332" t="s">
        <v>866</v>
      </c>
      <c r="E332" t="s">
        <v>867</v>
      </c>
    </row>
    <row r="333" spans="8:8">
      <c r="B333" t="s">
        <v>868</v>
      </c>
      <c r="C333">
        <v>531560.0</v>
      </c>
      <c r="D333" t="s">
        <v>339</v>
      </c>
      <c r="E333" t="s">
        <v>760</v>
      </c>
    </row>
    <row r="334" spans="8:8">
      <c r="B334" t="s">
        <v>869</v>
      </c>
      <c r="C334">
        <v>531560.0</v>
      </c>
      <c r="D334" t="s">
        <v>339</v>
      </c>
      <c r="E334" t="s">
        <v>760</v>
      </c>
    </row>
    <row r="335" spans="8:8">
      <c r="B335" t="s">
        <v>870</v>
      </c>
      <c r="C335">
        <v>516064.0</v>
      </c>
      <c r="D335" t="s">
        <v>871</v>
      </c>
      <c r="E335" t="s">
        <v>459</v>
      </c>
    </row>
    <row r="336" spans="8:8">
      <c r="B336" t="s">
        <v>872</v>
      </c>
      <c r="C336">
        <v>533068.0</v>
      </c>
      <c r="D336" t="s">
        <v>873</v>
      </c>
      <c r="E336" t="s">
        <v>453</v>
      </c>
    </row>
    <row r="337" spans="8:8">
      <c r="B337" t="s">
        <v>874</v>
      </c>
      <c r="C337">
        <v>506074.0</v>
      </c>
      <c r="D337" t="s">
        <v>875</v>
      </c>
      <c r="E337" t="s">
        <v>660</v>
      </c>
    </row>
    <row r="338" spans="8:8">
      <c r="B338" t="s">
        <v>876</v>
      </c>
      <c r="C338">
        <v>533163.0</v>
      </c>
      <c r="D338" t="s">
        <v>877</v>
      </c>
      <c r="E338" t="s">
        <v>737</v>
      </c>
    </row>
    <row r="339" spans="8:8">
      <c r="B339" t="s">
        <v>878</v>
      </c>
      <c r="C339" t="s">
        <v>339</v>
      </c>
      <c r="D339" t="s">
        <v>879</v>
      </c>
      <c r="E339" t="s">
        <v>350</v>
      </c>
    </row>
    <row r="340" spans="8:8">
      <c r="B340" t="s">
        <v>880</v>
      </c>
      <c r="C340">
        <v>517481.0</v>
      </c>
      <c r="D340" t="s">
        <v>339</v>
      </c>
      <c r="E340" t="s">
        <v>881</v>
      </c>
    </row>
    <row r="341" spans="8:8">
      <c r="B341" t="s">
        <v>882</v>
      </c>
      <c r="C341">
        <v>531297.0</v>
      </c>
      <c r="D341" t="s">
        <v>339</v>
      </c>
      <c r="E341" t="s">
        <v>423</v>
      </c>
    </row>
    <row r="342" spans="8:8">
      <c r="B342" t="s">
        <v>883</v>
      </c>
      <c r="C342">
        <v>542670.0</v>
      </c>
      <c r="D342" t="s">
        <v>884</v>
      </c>
      <c r="E342" t="s">
        <v>885</v>
      </c>
    </row>
    <row r="343" spans="8:8">
      <c r="B343" t="s">
        <v>886</v>
      </c>
      <c r="C343">
        <v>540616.0</v>
      </c>
      <c r="D343" t="s">
        <v>887</v>
      </c>
      <c r="E343" t="s">
        <v>809</v>
      </c>
    </row>
    <row r="344" spans="8:8">
      <c r="B344" t="s">
        <v>888</v>
      </c>
      <c r="C344">
        <v>522134.0</v>
      </c>
      <c r="D344" t="s">
        <v>339</v>
      </c>
      <c r="E344" t="s">
        <v>347</v>
      </c>
    </row>
    <row r="345" spans="8:8">
      <c r="B345" t="s">
        <v>889</v>
      </c>
      <c r="C345">
        <v>500016.0</v>
      </c>
      <c r="D345" t="s">
        <v>339</v>
      </c>
      <c r="E345" t="s">
        <v>540</v>
      </c>
    </row>
    <row r="346" spans="8:8">
      <c r="B346" t="s">
        <v>890</v>
      </c>
      <c r="C346" t="s">
        <v>339</v>
      </c>
      <c r="D346" t="s">
        <v>891</v>
      </c>
      <c r="E346" t="s">
        <v>350</v>
      </c>
    </row>
    <row r="347" spans="8:8">
      <c r="B347" t="s">
        <v>892</v>
      </c>
      <c r="C347" t="s">
        <v>339</v>
      </c>
      <c r="D347" t="s">
        <v>891</v>
      </c>
      <c r="E347" t="s">
        <v>350</v>
      </c>
    </row>
    <row r="348" spans="8:8">
      <c r="B348" t="s">
        <v>893</v>
      </c>
      <c r="C348">
        <v>542484.0</v>
      </c>
      <c r="D348" t="s">
        <v>894</v>
      </c>
      <c r="E348" t="s">
        <v>895</v>
      </c>
    </row>
    <row r="349" spans="8:8">
      <c r="B349" t="s">
        <v>896</v>
      </c>
      <c r="C349">
        <v>500101.0</v>
      </c>
      <c r="D349" t="s">
        <v>897</v>
      </c>
      <c r="E349" t="s">
        <v>354</v>
      </c>
    </row>
    <row r="350" spans="8:8">
      <c r="B350" t="s">
        <v>898</v>
      </c>
      <c r="C350">
        <v>539301.0</v>
      </c>
      <c r="D350" t="s">
        <v>899</v>
      </c>
      <c r="E350" t="s">
        <v>425</v>
      </c>
    </row>
    <row r="351" spans="8:8">
      <c r="B351" t="s">
        <v>900</v>
      </c>
      <c r="C351">
        <v>538716.0</v>
      </c>
      <c r="D351" t="s">
        <v>339</v>
      </c>
      <c r="E351" t="s">
        <v>322</v>
      </c>
    </row>
    <row r="352" spans="8:8">
      <c r="B352" t="s">
        <v>901</v>
      </c>
      <c r="C352">
        <v>530245.0</v>
      </c>
      <c r="D352" t="s">
        <v>339</v>
      </c>
      <c r="E352" t="s">
        <v>356</v>
      </c>
    </row>
    <row r="353" spans="8:8">
      <c r="B353" t="s">
        <v>902</v>
      </c>
      <c r="C353">
        <v>542176.0</v>
      </c>
      <c r="D353" t="s">
        <v>903</v>
      </c>
      <c r="E353" t="s">
        <v>322</v>
      </c>
    </row>
    <row r="354" spans="8:8">
      <c r="B354" t="s">
        <v>904</v>
      </c>
      <c r="C354">
        <v>515030.0</v>
      </c>
      <c r="D354" t="s">
        <v>905</v>
      </c>
      <c r="E354" t="s">
        <v>694</v>
      </c>
    </row>
    <row r="355" spans="8:8">
      <c r="B355" t="s">
        <v>906</v>
      </c>
      <c r="C355">
        <v>514482.0</v>
      </c>
      <c r="D355" t="s">
        <v>339</v>
      </c>
      <c r="E355" t="s">
        <v>354</v>
      </c>
    </row>
    <row r="356" spans="8:8">
      <c r="B356" t="s">
        <v>907</v>
      </c>
      <c r="C356">
        <v>532853.0</v>
      </c>
      <c r="D356" t="s">
        <v>908</v>
      </c>
      <c r="E356" t="s">
        <v>499</v>
      </c>
    </row>
    <row r="357" spans="8:8">
      <c r="B357" t="s">
        <v>909</v>
      </c>
      <c r="C357">
        <v>535467.0</v>
      </c>
      <c r="D357" t="s">
        <v>910</v>
      </c>
      <c r="E357" t="s">
        <v>453</v>
      </c>
    </row>
    <row r="358" spans="8:8">
      <c r="B358" t="s">
        <v>911</v>
      </c>
      <c r="C358">
        <v>527001.0</v>
      </c>
      <c r="D358" t="s">
        <v>912</v>
      </c>
      <c r="E358" t="s">
        <v>319</v>
      </c>
    </row>
    <row r="359" spans="8:8">
      <c r="B359" t="s">
        <v>913</v>
      </c>
      <c r="C359">
        <v>542579.0</v>
      </c>
      <c r="D359" t="s">
        <v>914</v>
      </c>
      <c r="E359" t="s">
        <v>895</v>
      </c>
    </row>
    <row r="360" spans="8:8">
      <c r="B360" t="s">
        <v>915</v>
      </c>
      <c r="C360">
        <v>540024.0</v>
      </c>
      <c r="D360" t="s">
        <v>339</v>
      </c>
      <c r="E360" t="s">
        <v>322</v>
      </c>
    </row>
    <row r="361" spans="8:8">
      <c r="B361" t="s">
        <v>916</v>
      </c>
      <c r="C361">
        <v>519174.0</v>
      </c>
      <c r="D361" t="s">
        <v>339</v>
      </c>
      <c r="E361" t="s">
        <v>588</v>
      </c>
    </row>
    <row r="362" spans="8:8">
      <c r="B362" t="s">
        <v>917</v>
      </c>
      <c r="C362">
        <v>523716.0</v>
      </c>
      <c r="D362" t="s">
        <v>918</v>
      </c>
      <c r="E362" t="s">
        <v>425</v>
      </c>
    </row>
    <row r="363" spans="8:8">
      <c r="B363" t="s">
        <v>919</v>
      </c>
      <c r="C363">
        <v>513401.0</v>
      </c>
      <c r="D363" t="s">
        <v>339</v>
      </c>
      <c r="E363" t="s">
        <v>371</v>
      </c>
    </row>
    <row r="364" spans="8:8">
      <c r="B364" t="s">
        <v>920</v>
      </c>
      <c r="C364">
        <v>590122.0</v>
      </c>
      <c r="D364" t="s">
        <v>921</v>
      </c>
      <c r="E364" t="s">
        <v>356</v>
      </c>
    </row>
    <row r="365" spans="8:8">
      <c r="B365" t="s">
        <v>922</v>
      </c>
      <c r="C365">
        <v>514286.0</v>
      </c>
      <c r="D365" t="s">
        <v>923</v>
      </c>
      <c r="E365" t="s">
        <v>354</v>
      </c>
    </row>
    <row r="366" spans="8:8">
      <c r="B366" t="s">
        <v>924</v>
      </c>
      <c r="C366">
        <v>512247.0</v>
      </c>
      <c r="D366" t="s">
        <v>339</v>
      </c>
      <c r="E366" t="s">
        <v>322</v>
      </c>
    </row>
    <row r="367" spans="8:8">
      <c r="B367" t="s">
        <v>925</v>
      </c>
      <c r="C367">
        <v>526847.0</v>
      </c>
      <c r="D367" t="s">
        <v>339</v>
      </c>
      <c r="E367" t="s">
        <v>371</v>
      </c>
    </row>
    <row r="368" spans="8:8">
      <c r="B368" t="s">
        <v>926</v>
      </c>
      <c r="C368">
        <v>530429.0</v>
      </c>
      <c r="D368" t="s">
        <v>339</v>
      </c>
      <c r="E368" t="s">
        <v>459</v>
      </c>
    </row>
    <row r="369" spans="8:8">
      <c r="B369" t="s">
        <v>927</v>
      </c>
      <c r="C369">
        <v>541702.0</v>
      </c>
      <c r="D369" t="s">
        <v>339</v>
      </c>
      <c r="E369" t="s">
        <v>361</v>
      </c>
    </row>
    <row r="370" spans="8:8">
      <c r="B370" t="s">
        <v>928</v>
      </c>
      <c r="C370">
        <v>507872.0</v>
      </c>
      <c r="D370" t="s">
        <v>339</v>
      </c>
      <c r="E370" t="s">
        <v>354</v>
      </c>
    </row>
    <row r="371" spans="8:8">
      <c r="B371" t="s">
        <v>929</v>
      </c>
      <c r="C371">
        <v>524594.0</v>
      </c>
      <c r="D371" t="s">
        <v>339</v>
      </c>
      <c r="E371" t="s">
        <v>387</v>
      </c>
    </row>
    <row r="372" spans="8:8">
      <c r="B372" t="s">
        <v>930</v>
      </c>
      <c r="C372">
        <v>500477.0</v>
      </c>
      <c r="D372" t="s">
        <v>931</v>
      </c>
      <c r="E372" t="s">
        <v>417</v>
      </c>
    </row>
    <row r="373" spans="8:8">
      <c r="B373" t="s">
        <v>932</v>
      </c>
      <c r="C373">
        <v>533271.0</v>
      </c>
      <c r="D373" t="s">
        <v>933</v>
      </c>
      <c r="E373" t="s">
        <v>934</v>
      </c>
    </row>
    <row r="374" spans="8:8">
      <c r="B374" t="s">
        <v>935</v>
      </c>
      <c r="C374">
        <v>540923.0</v>
      </c>
      <c r="D374" t="s">
        <v>339</v>
      </c>
      <c r="E374" t="s">
        <v>737</v>
      </c>
    </row>
    <row r="375" spans="8:8">
      <c r="B375" t="s">
        <v>936</v>
      </c>
      <c r="C375">
        <v>526983.0</v>
      </c>
      <c r="D375" t="s">
        <v>339</v>
      </c>
      <c r="E375" t="s">
        <v>537</v>
      </c>
    </row>
    <row r="376" spans="8:8">
      <c r="B376" t="s">
        <v>937</v>
      </c>
      <c r="C376">
        <v>526187.0</v>
      </c>
      <c r="D376" t="s">
        <v>339</v>
      </c>
      <c r="E376" t="s">
        <v>528</v>
      </c>
    </row>
    <row r="377" spans="8:8">
      <c r="B377" t="s">
        <v>938</v>
      </c>
      <c r="C377">
        <v>531568.0</v>
      </c>
      <c r="D377" t="s">
        <v>339</v>
      </c>
      <c r="E377" t="s">
        <v>333</v>
      </c>
    </row>
    <row r="378" spans="8:8">
      <c r="B378" t="s">
        <v>939</v>
      </c>
      <c r="C378">
        <v>502015.0</v>
      </c>
      <c r="D378" t="s">
        <v>339</v>
      </c>
      <c r="E378" t="s">
        <v>319</v>
      </c>
    </row>
    <row r="379" spans="8:8">
      <c r="B379" t="s">
        <v>940</v>
      </c>
      <c r="C379">
        <v>538777.0</v>
      </c>
      <c r="D379" t="s">
        <v>339</v>
      </c>
      <c r="E379" t="s">
        <v>356</v>
      </c>
    </row>
    <row r="380" spans="8:8">
      <c r="B380" t="s">
        <v>941</v>
      </c>
      <c r="C380">
        <v>530899.0</v>
      </c>
      <c r="D380" t="s">
        <v>339</v>
      </c>
      <c r="E380" t="s">
        <v>354</v>
      </c>
    </row>
    <row r="381" spans="8:8">
      <c r="B381" t="s">
        <v>942</v>
      </c>
      <c r="C381">
        <v>531392.0</v>
      </c>
      <c r="D381" t="s">
        <v>339</v>
      </c>
      <c r="E381" t="s">
        <v>537</v>
      </c>
    </row>
    <row r="382" spans="8:8">
      <c r="B382" t="s">
        <v>943</v>
      </c>
      <c r="C382">
        <v>532888.0</v>
      </c>
      <c r="D382" t="s">
        <v>944</v>
      </c>
      <c r="E382" t="s">
        <v>616</v>
      </c>
    </row>
    <row r="383" spans="8:8">
      <c r="B383" t="s">
        <v>945</v>
      </c>
      <c r="C383">
        <v>532888.0</v>
      </c>
      <c r="D383" t="s">
        <v>944</v>
      </c>
      <c r="E383" t="s">
        <v>616</v>
      </c>
    </row>
    <row r="384" spans="8:8">
      <c r="B384" t="s">
        <v>946</v>
      </c>
      <c r="C384">
        <v>533227.0</v>
      </c>
      <c r="D384" t="s">
        <v>947</v>
      </c>
      <c r="E384" t="s">
        <v>540</v>
      </c>
    </row>
    <row r="385" spans="8:8">
      <c r="B385" t="s">
        <v>948</v>
      </c>
      <c r="C385">
        <v>500023.0</v>
      </c>
      <c r="D385" t="s">
        <v>949</v>
      </c>
      <c r="E385" t="s">
        <v>540</v>
      </c>
    </row>
    <row r="386" spans="8:8">
      <c r="B386" t="s">
        <v>950</v>
      </c>
      <c r="C386">
        <v>533221.0</v>
      </c>
      <c r="D386" t="s">
        <v>951</v>
      </c>
      <c r="E386" t="s">
        <v>540</v>
      </c>
    </row>
    <row r="387" spans="8:8">
      <c r="B387" t="s">
        <v>952</v>
      </c>
      <c r="C387">
        <v>530355.0</v>
      </c>
      <c r="D387" t="s">
        <v>339</v>
      </c>
      <c r="E387" t="s">
        <v>680</v>
      </c>
    </row>
    <row r="388" spans="8:8">
      <c r="B388" t="s">
        <v>10089</v>
      </c>
      <c r="C388">
        <v>500820.0</v>
      </c>
      <c r="D388" t="s">
        <v>953</v>
      </c>
      <c r="E388" t="s">
        <v>616</v>
      </c>
    </row>
    <row r="389" spans="8:8">
      <c r="B389" t="s">
        <v>954</v>
      </c>
      <c r="C389">
        <v>524434.0</v>
      </c>
      <c r="D389" t="s">
        <v>339</v>
      </c>
      <c r="E389" t="s">
        <v>387</v>
      </c>
    </row>
    <row r="390" spans="8:8">
      <c r="B390" t="s">
        <v>955</v>
      </c>
      <c r="C390">
        <v>531847.0</v>
      </c>
      <c r="D390" t="s">
        <v>339</v>
      </c>
      <c r="E390" t="s">
        <v>453</v>
      </c>
    </row>
    <row r="391" spans="8:8">
      <c r="B391" t="s">
        <v>956</v>
      </c>
      <c r="C391">
        <v>519532.0</v>
      </c>
      <c r="D391" t="s">
        <v>339</v>
      </c>
      <c r="E391" t="s">
        <v>361</v>
      </c>
    </row>
    <row r="392" spans="8:8">
      <c r="B392" t="s">
        <v>957</v>
      </c>
      <c r="C392">
        <v>506159.0</v>
      </c>
      <c r="D392" t="s">
        <v>958</v>
      </c>
      <c r="E392" t="s">
        <v>660</v>
      </c>
    </row>
    <row r="393" spans="8:8">
      <c r="B393" t="s">
        <v>959</v>
      </c>
      <c r="C393">
        <v>530723.0</v>
      </c>
      <c r="D393" t="s">
        <v>339</v>
      </c>
      <c r="E393" t="s">
        <v>322</v>
      </c>
    </row>
    <row r="394" spans="8:8">
      <c r="B394" t="s">
        <v>960</v>
      </c>
      <c r="C394" t="s">
        <v>339</v>
      </c>
      <c r="D394" t="s">
        <v>961</v>
      </c>
      <c r="E394" t="s">
        <v>350</v>
      </c>
    </row>
    <row r="395" spans="8:8">
      <c r="B395" t="s">
        <v>962</v>
      </c>
      <c r="C395">
        <v>526433.0</v>
      </c>
      <c r="D395" t="s">
        <v>339</v>
      </c>
      <c r="E395" t="s">
        <v>325</v>
      </c>
    </row>
    <row r="396" spans="8:8">
      <c r="B396" t="s">
        <v>963</v>
      </c>
      <c r="C396" t="s">
        <v>339</v>
      </c>
      <c r="D396" t="s">
        <v>964</v>
      </c>
      <c r="E396" t="s">
        <v>430</v>
      </c>
    </row>
    <row r="397" spans="8:8">
      <c r="B397" t="s">
        <v>965</v>
      </c>
      <c r="C397">
        <v>540788.0</v>
      </c>
      <c r="D397" t="s">
        <v>339</v>
      </c>
      <c r="E397" t="s">
        <v>528</v>
      </c>
    </row>
    <row r="398" spans="8:8">
      <c r="B398" t="s">
        <v>966</v>
      </c>
      <c r="C398">
        <v>500024.0</v>
      </c>
      <c r="D398" t="s">
        <v>967</v>
      </c>
      <c r="E398" t="s">
        <v>746</v>
      </c>
    </row>
    <row r="399" spans="8:8">
      <c r="B399" t="s">
        <v>968</v>
      </c>
      <c r="C399">
        <v>500024.0</v>
      </c>
      <c r="D399" t="s">
        <v>967</v>
      </c>
      <c r="E399" t="s">
        <v>746</v>
      </c>
    </row>
    <row r="400" spans="8:8">
      <c r="B400" t="s">
        <v>969</v>
      </c>
      <c r="C400">
        <v>507526.0</v>
      </c>
      <c r="D400" t="s">
        <v>339</v>
      </c>
      <c r="E400" t="s">
        <v>970</v>
      </c>
    </row>
    <row r="401" spans="8:8">
      <c r="B401" t="s">
        <v>971</v>
      </c>
      <c r="C401">
        <v>533138.0</v>
      </c>
      <c r="D401" t="s">
        <v>972</v>
      </c>
      <c r="E401" t="s">
        <v>483</v>
      </c>
    </row>
    <row r="402" spans="8:8">
      <c r="B402" t="s">
        <v>973</v>
      </c>
      <c r="C402">
        <v>540975.0</v>
      </c>
      <c r="D402" t="s">
        <v>974</v>
      </c>
      <c r="E402" t="s">
        <v>528</v>
      </c>
    </row>
    <row r="403" spans="8:8">
      <c r="B403" t="s">
        <v>975</v>
      </c>
      <c r="C403">
        <v>532493.0</v>
      </c>
      <c r="D403" t="s">
        <v>976</v>
      </c>
      <c r="E403" t="s">
        <v>812</v>
      </c>
    </row>
    <row r="404" spans="8:8">
      <c r="B404" t="s">
        <v>977</v>
      </c>
      <c r="C404">
        <v>532830.0</v>
      </c>
      <c r="D404" t="s">
        <v>978</v>
      </c>
      <c r="E404" t="s">
        <v>459</v>
      </c>
    </row>
    <row r="405" spans="8:8">
      <c r="B405" t="s">
        <v>979</v>
      </c>
      <c r="C405">
        <v>506820.0</v>
      </c>
      <c r="D405" t="s">
        <v>980</v>
      </c>
      <c r="E405" t="s">
        <v>377</v>
      </c>
    </row>
    <row r="406" spans="8:8">
      <c r="B406" t="s">
        <v>981</v>
      </c>
      <c r="C406">
        <v>506820.0</v>
      </c>
      <c r="D406" t="s">
        <v>980</v>
      </c>
      <c r="E406" t="s">
        <v>377</v>
      </c>
    </row>
    <row r="407" spans="8:8">
      <c r="B407" t="s">
        <v>982</v>
      </c>
      <c r="C407">
        <v>540824.0</v>
      </c>
      <c r="D407" t="s">
        <v>983</v>
      </c>
      <c r="E407" t="s">
        <v>333</v>
      </c>
    </row>
    <row r="408" spans="8:8">
      <c r="B408" t="s">
        <v>984</v>
      </c>
      <c r="C408">
        <v>512433.0</v>
      </c>
      <c r="D408" t="s">
        <v>339</v>
      </c>
      <c r="E408" t="s">
        <v>361</v>
      </c>
    </row>
    <row r="409" spans="8:8">
      <c r="B409" t="s">
        <v>985</v>
      </c>
      <c r="C409">
        <v>511144.0</v>
      </c>
      <c r="D409" t="s">
        <v>339</v>
      </c>
      <c r="E409" t="s">
        <v>325</v>
      </c>
    </row>
    <row r="410" spans="8:8">
      <c r="B410" t="s">
        <v>986</v>
      </c>
      <c r="C410">
        <v>530187.0</v>
      </c>
      <c r="D410" t="s">
        <v>339</v>
      </c>
      <c r="E410" t="s">
        <v>356</v>
      </c>
    </row>
    <row r="411" spans="8:8">
      <c r="B411" t="s">
        <v>987</v>
      </c>
      <c r="C411">
        <v>539099.0</v>
      </c>
      <c r="D411" t="s">
        <v>339</v>
      </c>
      <c r="E411" t="s">
        <v>425</v>
      </c>
    </row>
    <row r="412" spans="8:8">
      <c r="B412" t="s">
        <v>988</v>
      </c>
      <c r="C412">
        <v>517429.0</v>
      </c>
      <c r="D412" t="s">
        <v>989</v>
      </c>
      <c r="E412" t="s">
        <v>432</v>
      </c>
    </row>
    <row r="413" spans="8:8">
      <c r="B413" t="s">
        <v>990</v>
      </c>
      <c r="C413">
        <v>538713.0</v>
      </c>
      <c r="D413" t="s">
        <v>339</v>
      </c>
      <c r="E413" t="s">
        <v>432</v>
      </c>
    </row>
    <row r="414" spans="8:8">
      <c r="B414" t="s">
        <v>991</v>
      </c>
      <c r="C414">
        <v>526843.0</v>
      </c>
      <c r="D414" t="s">
        <v>339</v>
      </c>
      <c r="E414" t="s">
        <v>361</v>
      </c>
    </row>
    <row r="415" spans="8:8">
      <c r="B415" t="s">
        <v>992</v>
      </c>
      <c r="C415">
        <v>532759.0</v>
      </c>
      <c r="D415" t="s">
        <v>993</v>
      </c>
      <c r="E415" t="s">
        <v>737</v>
      </c>
    </row>
    <row r="416" spans="8:8">
      <c r="B416" t="s">
        <v>994</v>
      </c>
      <c r="C416">
        <v>505029.0</v>
      </c>
      <c r="D416" t="s">
        <v>995</v>
      </c>
      <c r="E416" t="s">
        <v>996</v>
      </c>
    </row>
    <row r="417" spans="8:8">
      <c r="B417" t="s">
        <v>997</v>
      </c>
      <c r="C417">
        <v>514394.0</v>
      </c>
      <c r="D417" t="s">
        <v>339</v>
      </c>
      <c r="E417" t="s">
        <v>453</v>
      </c>
    </row>
    <row r="418" spans="8:8">
      <c r="B418" t="s">
        <v>998</v>
      </c>
      <c r="C418">
        <v>514394.0</v>
      </c>
      <c r="D418" t="s">
        <v>339</v>
      </c>
      <c r="E418" t="s">
        <v>453</v>
      </c>
    </row>
    <row r="419" spans="8:8">
      <c r="B419" t="s">
        <v>999</v>
      </c>
      <c r="C419">
        <v>531795.0</v>
      </c>
      <c r="D419" t="s">
        <v>1000</v>
      </c>
      <c r="E419" t="s">
        <v>996</v>
      </c>
    </row>
    <row r="420" spans="8:8">
      <c r="B420" t="s">
        <v>1001</v>
      </c>
      <c r="C420">
        <v>500027.0</v>
      </c>
      <c r="D420" t="s">
        <v>1002</v>
      </c>
      <c r="E420" t="s">
        <v>483</v>
      </c>
    </row>
    <row r="421" spans="8:8">
      <c r="B421" t="s">
        <v>1003</v>
      </c>
      <c r="C421">
        <v>500028.0</v>
      </c>
      <c r="D421" t="s">
        <v>339</v>
      </c>
      <c r="E421" t="s">
        <v>737</v>
      </c>
    </row>
    <row r="422" spans="8:8">
      <c r="B422" t="s">
        <v>1004</v>
      </c>
      <c r="C422">
        <v>500028.0</v>
      </c>
      <c r="D422" t="s">
        <v>339</v>
      </c>
      <c r="E422" t="s">
        <v>737</v>
      </c>
    </row>
    <row r="423" spans="8:8">
      <c r="B423" t="s">
        <v>1005</v>
      </c>
      <c r="C423">
        <v>540611.0</v>
      </c>
      <c r="D423" t="s">
        <v>1006</v>
      </c>
      <c r="E423" t="s">
        <v>657</v>
      </c>
    </row>
    <row r="424" spans="8:8">
      <c r="B424" t="s">
        <v>1007</v>
      </c>
      <c r="C424">
        <v>532459.0</v>
      </c>
      <c r="D424" t="s">
        <v>339</v>
      </c>
      <c r="E424" t="s">
        <v>354</v>
      </c>
    </row>
    <row r="425" spans="8:8">
      <c r="B425" t="s">
        <v>1008</v>
      </c>
      <c r="C425" t="s">
        <v>339</v>
      </c>
      <c r="D425" t="s">
        <v>1009</v>
      </c>
      <c r="E425" t="s">
        <v>350</v>
      </c>
    </row>
    <row r="426" spans="8:8">
      <c r="B426" t="s">
        <v>1010</v>
      </c>
      <c r="C426">
        <v>532668.0</v>
      </c>
      <c r="D426" t="s">
        <v>1011</v>
      </c>
      <c r="E426" t="s">
        <v>432</v>
      </c>
    </row>
    <row r="427" spans="8:8">
      <c r="B427" t="s">
        <v>1012</v>
      </c>
      <c r="C427">
        <v>530233.0</v>
      </c>
      <c r="D427" t="s">
        <v>339</v>
      </c>
      <c r="E427" t="s">
        <v>377</v>
      </c>
    </row>
    <row r="428" spans="8:8">
      <c r="B428" t="s">
        <v>1013</v>
      </c>
      <c r="C428">
        <v>524804.0</v>
      </c>
      <c r="D428" t="s">
        <v>1014</v>
      </c>
      <c r="E428" t="s">
        <v>377</v>
      </c>
    </row>
    <row r="429" spans="8:8">
      <c r="B429" t="s">
        <v>1015</v>
      </c>
      <c r="C429">
        <v>531336.0</v>
      </c>
      <c r="D429" t="s">
        <v>339</v>
      </c>
      <c r="E429" t="s">
        <v>1016</v>
      </c>
    </row>
    <row r="430" spans="8:8">
      <c r="B430" t="s">
        <v>1017</v>
      </c>
      <c r="C430">
        <v>509009.0</v>
      </c>
      <c r="D430" t="s">
        <v>1018</v>
      </c>
      <c r="E430" t="s">
        <v>361</v>
      </c>
    </row>
    <row r="431" spans="8:8">
      <c r="B431" t="s">
        <v>1019</v>
      </c>
      <c r="C431">
        <v>522005.0</v>
      </c>
      <c r="D431" t="s">
        <v>339</v>
      </c>
      <c r="E431" t="s">
        <v>347</v>
      </c>
    </row>
    <row r="432" spans="8:8">
      <c r="B432" t="s">
        <v>1020</v>
      </c>
      <c r="C432">
        <v>539177.0</v>
      </c>
      <c r="D432" t="s">
        <v>339</v>
      </c>
      <c r="E432" t="s">
        <v>356</v>
      </c>
    </row>
    <row r="433" spans="8:8">
      <c r="B433" t="s">
        <v>1021</v>
      </c>
      <c r="C433">
        <v>531994.0</v>
      </c>
      <c r="D433" t="s">
        <v>339</v>
      </c>
      <c r="E433" t="s">
        <v>694</v>
      </c>
    </row>
    <row r="434" spans="8:8">
      <c r="B434" t="s">
        <v>1022</v>
      </c>
      <c r="C434">
        <v>531994.0</v>
      </c>
      <c r="D434" t="s">
        <v>339</v>
      </c>
      <c r="E434" t="s">
        <v>694</v>
      </c>
    </row>
    <row r="435" spans="8:8">
      <c r="B435" t="s">
        <v>1023</v>
      </c>
      <c r="C435">
        <v>532797.0</v>
      </c>
      <c r="D435" t="s">
        <v>1024</v>
      </c>
      <c r="E435" t="s">
        <v>694</v>
      </c>
    </row>
    <row r="436" spans="8:8">
      <c r="B436" t="s">
        <v>1025</v>
      </c>
      <c r="C436">
        <v>500029.0</v>
      </c>
      <c r="D436" t="s">
        <v>1026</v>
      </c>
      <c r="E436" t="s">
        <v>694</v>
      </c>
    </row>
    <row r="437" spans="8:8">
      <c r="B437" t="s">
        <v>1027</v>
      </c>
      <c r="C437">
        <v>500029.0</v>
      </c>
      <c r="D437" t="s">
        <v>1026</v>
      </c>
      <c r="E437" t="s">
        <v>694</v>
      </c>
    </row>
    <row r="438" spans="8:8">
      <c r="B438" t="s">
        <v>1028</v>
      </c>
      <c r="C438">
        <v>505036.0</v>
      </c>
      <c r="D438" t="s">
        <v>339</v>
      </c>
      <c r="E438" t="s">
        <v>694</v>
      </c>
    </row>
    <row r="439" spans="8:8">
      <c r="B439" t="s">
        <v>1029</v>
      </c>
      <c r="C439">
        <v>505010.0</v>
      </c>
      <c r="D439" t="s">
        <v>1030</v>
      </c>
      <c r="E439" t="s">
        <v>694</v>
      </c>
    </row>
    <row r="440" spans="8:8">
      <c r="B440" t="s">
        <v>1031</v>
      </c>
      <c r="C440">
        <v>520119.0</v>
      </c>
      <c r="D440" t="s">
        <v>1032</v>
      </c>
      <c r="E440" t="s">
        <v>694</v>
      </c>
    </row>
    <row r="441" spans="8:8">
      <c r="B441" t="s">
        <v>1033</v>
      </c>
      <c r="C441">
        <v>512277.0</v>
      </c>
      <c r="D441" t="s">
        <v>339</v>
      </c>
      <c r="E441" t="s">
        <v>660</v>
      </c>
    </row>
    <row r="442" spans="8:8">
      <c r="B442" t="s">
        <v>1034</v>
      </c>
      <c r="C442">
        <v>780004.0</v>
      </c>
      <c r="D442" t="s">
        <v>339</v>
      </c>
      <c r="E442" t="s">
        <v>430</v>
      </c>
    </row>
    <row r="443" spans="8:8">
      <c r="B443" t="s">
        <v>1035</v>
      </c>
      <c r="C443">
        <v>540649.0</v>
      </c>
      <c r="D443" t="s">
        <v>1036</v>
      </c>
      <c r="E443" t="s">
        <v>1037</v>
      </c>
    </row>
    <row r="444" spans="8:8">
      <c r="B444" t="s">
        <v>1038</v>
      </c>
      <c r="C444">
        <v>531310.0</v>
      </c>
      <c r="D444" t="s">
        <v>339</v>
      </c>
      <c r="E444" t="s">
        <v>322</v>
      </c>
    </row>
    <row r="445" spans="8:8">
      <c r="B445" t="s">
        <v>1039</v>
      </c>
      <c r="C445">
        <v>512149.0</v>
      </c>
      <c r="D445" t="s">
        <v>339</v>
      </c>
      <c r="E445" t="s">
        <v>432</v>
      </c>
    </row>
    <row r="446" spans="8:8">
      <c r="B446" t="s">
        <v>1040</v>
      </c>
      <c r="C446">
        <v>532406.0</v>
      </c>
      <c r="D446" t="s">
        <v>339</v>
      </c>
      <c r="E446" t="s">
        <v>485</v>
      </c>
    </row>
    <row r="447" spans="8:8">
      <c r="B447" t="s">
        <v>1041</v>
      </c>
      <c r="C447">
        <v>512573.0</v>
      </c>
      <c r="D447" t="s">
        <v>1042</v>
      </c>
      <c r="E447" t="s">
        <v>419</v>
      </c>
    </row>
    <row r="448" spans="8:8">
      <c r="B448" t="s">
        <v>1043</v>
      </c>
      <c r="C448">
        <v>540376.0</v>
      </c>
      <c r="D448" t="s">
        <v>1044</v>
      </c>
      <c r="E448" t="s">
        <v>508</v>
      </c>
    </row>
    <row r="449" spans="8:8">
      <c r="B449" t="s">
        <v>1045</v>
      </c>
      <c r="C449" t="s">
        <v>339</v>
      </c>
      <c r="D449" t="s">
        <v>1046</v>
      </c>
      <c r="E449" t="s">
        <v>350</v>
      </c>
    </row>
    <row r="450" spans="8:8">
      <c r="B450" t="s">
        <v>1047</v>
      </c>
      <c r="C450">
        <v>539288.0</v>
      </c>
      <c r="D450" t="s">
        <v>339</v>
      </c>
      <c r="E450" t="s">
        <v>499</v>
      </c>
    </row>
    <row r="451" spans="8:8">
      <c r="B451" t="s">
        <v>1048</v>
      </c>
      <c r="C451">
        <v>523896.0</v>
      </c>
      <c r="D451" t="s">
        <v>339</v>
      </c>
      <c r="E451" t="s">
        <v>361</v>
      </c>
    </row>
    <row r="452" spans="8:8">
      <c r="B452" t="s">
        <v>1049</v>
      </c>
      <c r="C452">
        <v>523896.0</v>
      </c>
      <c r="D452" t="s">
        <v>339</v>
      </c>
      <c r="E452" t="s">
        <v>361</v>
      </c>
    </row>
    <row r="453" spans="8:8">
      <c r="B453" t="s">
        <v>1050</v>
      </c>
      <c r="C453">
        <v>512109.0</v>
      </c>
      <c r="D453" t="s">
        <v>339</v>
      </c>
      <c r="E453" t="s">
        <v>361</v>
      </c>
    </row>
    <row r="454" spans="8:8">
      <c r="B454" t="s">
        <v>1051</v>
      </c>
      <c r="C454">
        <v>531541.0</v>
      </c>
      <c r="D454" t="s">
        <v>339</v>
      </c>
      <c r="E454" t="s">
        <v>387</v>
      </c>
    </row>
    <row r="455" spans="8:8">
      <c r="B455" t="s">
        <v>1052</v>
      </c>
      <c r="C455" t="s">
        <v>339</v>
      </c>
      <c r="D455" t="s">
        <v>1053</v>
      </c>
      <c r="E455" t="s">
        <v>350</v>
      </c>
    </row>
    <row r="456" spans="8:8">
      <c r="B456" t="s">
        <v>1054</v>
      </c>
      <c r="C456">
        <v>511589.0</v>
      </c>
      <c r="D456" t="s">
        <v>339</v>
      </c>
      <c r="E456" t="s">
        <v>356</v>
      </c>
    </row>
    <row r="457" spans="8:8">
      <c r="B457" t="s">
        <v>1055</v>
      </c>
      <c r="C457" t="s">
        <v>339</v>
      </c>
      <c r="D457" t="s">
        <v>1056</v>
      </c>
      <c r="E457" t="s">
        <v>350</v>
      </c>
    </row>
    <row r="458" spans="8:8">
      <c r="B458" t="s">
        <v>1057</v>
      </c>
      <c r="C458">
        <v>519105.0</v>
      </c>
      <c r="D458" t="s">
        <v>1058</v>
      </c>
      <c r="E458" t="s">
        <v>537</v>
      </c>
    </row>
    <row r="459" spans="8:8">
      <c r="B459" t="s">
        <v>1059</v>
      </c>
      <c r="C459">
        <v>504390.0</v>
      </c>
      <c r="D459" t="s">
        <v>339</v>
      </c>
      <c r="E459" t="s">
        <v>322</v>
      </c>
    </row>
    <row r="460" spans="8:8">
      <c r="B460" t="s">
        <v>1060</v>
      </c>
      <c r="C460">
        <v>513642.0</v>
      </c>
      <c r="D460" t="s">
        <v>339</v>
      </c>
      <c r="E460" t="s">
        <v>459</v>
      </c>
    </row>
    <row r="461" spans="8:8">
      <c r="B461" t="s">
        <v>1061</v>
      </c>
      <c r="C461">
        <v>532215.0</v>
      </c>
      <c r="D461" t="s">
        <v>1062</v>
      </c>
      <c r="E461" t="s">
        <v>657</v>
      </c>
    </row>
    <row r="462" spans="8:8">
      <c r="B462" t="s">
        <v>1063</v>
      </c>
      <c r="C462">
        <v>532395.0</v>
      </c>
      <c r="D462" t="s">
        <v>1064</v>
      </c>
      <c r="E462" t="s">
        <v>669</v>
      </c>
    </row>
    <row r="463" spans="8:8">
      <c r="B463" t="s">
        <v>1065</v>
      </c>
      <c r="C463">
        <v>542285.0</v>
      </c>
      <c r="D463" t="s">
        <v>1066</v>
      </c>
      <c r="E463" t="s">
        <v>354</v>
      </c>
    </row>
    <row r="464" spans="8:8">
      <c r="B464" t="s">
        <v>1067</v>
      </c>
      <c r="C464">
        <v>505506.0</v>
      </c>
      <c r="D464" t="s">
        <v>339</v>
      </c>
      <c r="E464" t="s">
        <v>432</v>
      </c>
    </row>
    <row r="465" spans="8:8">
      <c r="B465" t="s">
        <v>1068</v>
      </c>
      <c r="C465">
        <v>523850.0</v>
      </c>
      <c r="D465" t="s">
        <v>339</v>
      </c>
      <c r="E465" t="s">
        <v>347</v>
      </c>
    </row>
    <row r="466" spans="8:8">
      <c r="B466" t="s">
        <v>1069</v>
      </c>
      <c r="C466">
        <v>523168.0</v>
      </c>
      <c r="D466" t="s">
        <v>339</v>
      </c>
      <c r="E466" t="s">
        <v>553</v>
      </c>
    </row>
    <row r="467" spans="8:8">
      <c r="B467" t="s">
        <v>1070</v>
      </c>
      <c r="C467">
        <v>508933.0</v>
      </c>
      <c r="D467" t="s">
        <v>1071</v>
      </c>
      <c r="E467" t="s">
        <v>354</v>
      </c>
    </row>
    <row r="468" spans="8:8">
      <c r="B468" t="s">
        <v>1072</v>
      </c>
      <c r="C468">
        <v>512063.0</v>
      </c>
      <c r="D468" t="s">
        <v>339</v>
      </c>
      <c r="E468" t="s">
        <v>361</v>
      </c>
    </row>
    <row r="469" spans="8:8">
      <c r="B469" t="s">
        <v>1073</v>
      </c>
      <c r="C469">
        <v>536965.0</v>
      </c>
      <c r="D469" t="s">
        <v>339</v>
      </c>
      <c r="E469" t="s">
        <v>356</v>
      </c>
    </row>
    <row r="470" spans="8:8">
      <c r="B470" t="s">
        <v>1074</v>
      </c>
      <c r="C470">
        <v>508136.0</v>
      </c>
      <c r="D470" t="s">
        <v>339</v>
      </c>
      <c r="E470" t="s">
        <v>746</v>
      </c>
    </row>
    <row r="471" spans="8:8">
      <c r="B471" t="s">
        <v>1075</v>
      </c>
      <c r="C471">
        <v>532507.0</v>
      </c>
      <c r="D471" t="s">
        <v>1076</v>
      </c>
      <c r="E471" t="s">
        <v>1077</v>
      </c>
    </row>
    <row r="472" spans="8:8">
      <c r="B472" t="s">
        <v>1078</v>
      </c>
      <c r="C472">
        <v>537766.0</v>
      </c>
      <c r="D472" t="s">
        <v>339</v>
      </c>
      <c r="E472" t="s">
        <v>637</v>
      </c>
    </row>
    <row r="473" spans="8:8">
      <c r="B473" t="s">
        <v>1079</v>
      </c>
      <c r="C473">
        <v>532719.0</v>
      </c>
      <c r="D473" t="s">
        <v>1080</v>
      </c>
      <c r="E473" t="s">
        <v>425</v>
      </c>
    </row>
    <row r="474" spans="8:8">
      <c r="B474" t="s">
        <v>1081</v>
      </c>
      <c r="C474">
        <v>523019.0</v>
      </c>
      <c r="D474" t="s">
        <v>339</v>
      </c>
      <c r="E474" t="s">
        <v>322</v>
      </c>
    </row>
    <row r="475" spans="8:8">
      <c r="B475" t="s">
        <v>1082</v>
      </c>
      <c r="C475">
        <v>523186.0</v>
      </c>
      <c r="D475" t="s">
        <v>339</v>
      </c>
      <c r="E475" t="s">
        <v>333</v>
      </c>
    </row>
    <row r="476" spans="8:8">
      <c r="B476" t="s">
        <v>1083</v>
      </c>
      <c r="C476">
        <v>523186.0</v>
      </c>
      <c r="D476" t="s">
        <v>339</v>
      </c>
      <c r="E476" t="s">
        <v>333</v>
      </c>
    </row>
    <row r="477" spans="8:8">
      <c r="B477" t="s">
        <v>1084</v>
      </c>
      <c r="C477" t="s">
        <v>339</v>
      </c>
      <c r="D477" t="s">
        <v>1085</v>
      </c>
      <c r="E477" t="s">
        <v>350</v>
      </c>
    </row>
    <row r="478" spans="8:8">
      <c r="B478" t="s">
        <v>1086</v>
      </c>
      <c r="C478">
        <v>542206.0</v>
      </c>
      <c r="D478" t="s">
        <v>1087</v>
      </c>
      <c r="E478" t="s">
        <v>705</v>
      </c>
    </row>
    <row r="479" spans="8:8">
      <c r="B479" t="s">
        <v>1088</v>
      </c>
      <c r="C479">
        <v>531268.0</v>
      </c>
      <c r="D479" t="s">
        <v>339</v>
      </c>
      <c r="E479" t="s">
        <v>432</v>
      </c>
    </row>
    <row r="480" spans="8:8">
      <c r="B480" t="s">
        <v>1089</v>
      </c>
      <c r="C480">
        <v>532380.0</v>
      </c>
      <c r="D480" t="s">
        <v>339</v>
      </c>
      <c r="E480" t="s">
        <v>342</v>
      </c>
    </row>
    <row r="481" spans="8:8">
      <c r="B481" t="s">
        <v>1090</v>
      </c>
      <c r="C481">
        <v>524516.0</v>
      </c>
      <c r="D481" t="s">
        <v>339</v>
      </c>
      <c r="E481" t="s">
        <v>377</v>
      </c>
    </row>
    <row r="482" spans="8:8">
      <c r="B482" t="s">
        <v>1091</v>
      </c>
      <c r="C482">
        <v>532989.0</v>
      </c>
      <c r="D482" t="s">
        <v>1092</v>
      </c>
      <c r="E482" t="s">
        <v>377</v>
      </c>
    </row>
    <row r="483" spans="8:8">
      <c r="B483" t="s">
        <v>1093</v>
      </c>
      <c r="C483">
        <v>530197.0</v>
      </c>
      <c r="D483" t="s">
        <v>339</v>
      </c>
      <c r="E483" t="s">
        <v>499</v>
      </c>
    </row>
    <row r="484" spans="8:8">
      <c r="B484" t="s">
        <v>1094</v>
      </c>
      <c r="C484">
        <v>511724.0</v>
      </c>
      <c r="D484" t="s">
        <v>339</v>
      </c>
      <c r="E484" t="s">
        <v>356</v>
      </c>
    </row>
    <row r="485" spans="8:8">
      <c r="B485" t="s">
        <v>1095</v>
      </c>
      <c r="C485">
        <v>532977.0</v>
      </c>
      <c r="D485" t="s">
        <v>1096</v>
      </c>
      <c r="E485" t="s">
        <v>996</v>
      </c>
    </row>
    <row r="486" spans="8:8">
      <c r="B486" t="s">
        <v>1097</v>
      </c>
      <c r="C486" t="s">
        <v>339</v>
      </c>
      <c r="D486" t="s">
        <v>1098</v>
      </c>
      <c r="E486" t="s">
        <v>521</v>
      </c>
    </row>
    <row r="487" spans="8:8">
      <c r="B487" t="s">
        <v>1099</v>
      </c>
      <c r="C487">
        <v>533229.0</v>
      </c>
      <c r="D487" t="s">
        <v>1100</v>
      </c>
      <c r="E487" t="s">
        <v>521</v>
      </c>
    </row>
    <row r="488" spans="8:8">
      <c r="B488" t="s">
        <v>1101</v>
      </c>
      <c r="C488">
        <v>500031.0</v>
      </c>
      <c r="D488" t="s">
        <v>1102</v>
      </c>
      <c r="E488" t="s">
        <v>1103</v>
      </c>
    </row>
    <row r="489" spans="8:8">
      <c r="B489" t="s">
        <v>1104</v>
      </c>
      <c r="C489">
        <v>500034.0</v>
      </c>
      <c r="D489" t="s">
        <v>1105</v>
      </c>
      <c r="E489" t="s">
        <v>356</v>
      </c>
    </row>
    <row r="490" spans="8:8">
      <c r="B490" t="s">
        <v>1106</v>
      </c>
      <c r="C490">
        <v>532978.0</v>
      </c>
      <c r="D490" t="s">
        <v>1107</v>
      </c>
      <c r="E490" t="s">
        <v>505</v>
      </c>
    </row>
    <row r="491" spans="8:8">
      <c r="B491" t="s">
        <v>1108</v>
      </c>
      <c r="C491">
        <v>512261.0</v>
      </c>
      <c r="D491" t="s">
        <v>339</v>
      </c>
      <c r="E491" t="s">
        <v>361</v>
      </c>
    </row>
    <row r="492" spans="8:8">
      <c r="B492" t="s">
        <v>1109</v>
      </c>
      <c r="C492">
        <v>539872.0</v>
      </c>
      <c r="D492" t="s">
        <v>339</v>
      </c>
      <c r="E492" t="s">
        <v>377</v>
      </c>
    </row>
    <row r="493" spans="8:8">
      <c r="B493" t="s">
        <v>1110</v>
      </c>
      <c r="C493">
        <v>500032.0</v>
      </c>
      <c r="D493" t="s">
        <v>1111</v>
      </c>
      <c r="E493" t="s">
        <v>1037</v>
      </c>
    </row>
    <row r="494" spans="8:8">
      <c r="B494" t="s">
        <v>1112</v>
      </c>
      <c r="C494">
        <v>500490.0</v>
      </c>
      <c r="D494" t="s">
        <v>1113</v>
      </c>
      <c r="E494" t="s">
        <v>505</v>
      </c>
    </row>
    <row r="495" spans="8:8">
      <c r="B495" t="s">
        <v>1114</v>
      </c>
      <c r="C495">
        <v>507944.0</v>
      </c>
      <c r="D495" t="s">
        <v>339</v>
      </c>
      <c r="E495" t="s">
        <v>347</v>
      </c>
    </row>
    <row r="496" spans="8:8">
      <c r="B496" t="s">
        <v>1115</v>
      </c>
      <c r="C496">
        <v>511139.0</v>
      </c>
      <c r="D496" t="s">
        <v>339</v>
      </c>
      <c r="E496" t="s">
        <v>760</v>
      </c>
    </row>
    <row r="497" spans="8:8">
      <c r="B497" t="s">
        <v>1116</v>
      </c>
      <c r="C497">
        <v>524824.0</v>
      </c>
      <c r="D497" t="s">
        <v>1117</v>
      </c>
      <c r="E497" t="s">
        <v>377</v>
      </c>
    </row>
    <row r="498" spans="8:8">
      <c r="B498" t="s">
        <v>1118</v>
      </c>
      <c r="C498">
        <v>530999.0</v>
      </c>
      <c r="D498" t="s">
        <v>1119</v>
      </c>
      <c r="E498" t="s">
        <v>387</v>
      </c>
    </row>
    <row r="499" spans="8:8">
      <c r="B499" t="s">
        <v>1120</v>
      </c>
      <c r="C499">
        <v>532382.0</v>
      </c>
      <c r="D499" t="s">
        <v>1121</v>
      </c>
      <c r="E499" t="s">
        <v>1077</v>
      </c>
    </row>
    <row r="500" spans="8:8">
      <c r="B500" t="s">
        <v>1122</v>
      </c>
      <c r="C500">
        <v>513142.0</v>
      </c>
      <c r="D500" t="s">
        <v>339</v>
      </c>
      <c r="E500" t="s">
        <v>371</v>
      </c>
    </row>
    <row r="501" spans="8:8">
      <c r="B501" t="s">
        <v>1123</v>
      </c>
      <c r="C501" t="s">
        <v>339</v>
      </c>
      <c r="D501" t="s">
        <v>1124</v>
      </c>
      <c r="E501" t="s">
        <v>1125</v>
      </c>
    </row>
    <row r="502" spans="8:8">
      <c r="B502" t="s">
        <v>1126</v>
      </c>
      <c r="C502">
        <v>539834.0</v>
      </c>
      <c r="D502" t="s">
        <v>339</v>
      </c>
      <c r="E502" t="s">
        <v>361</v>
      </c>
    </row>
    <row r="503" spans="8:8">
      <c r="B503" t="s">
        <v>1127</v>
      </c>
      <c r="C503">
        <v>502355.0</v>
      </c>
      <c r="D503" t="s">
        <v>1128</v>
      </c>
      <c r="E503" t="s">
        <v>819</v>
      </c>
    </row>
    <row r="504" spans="8:8">
      <c r="B504" t="s">
        <v>1129</v>
      </c>
      <c r="C504">
        <v>539251.0</v>
      </c>
      <c r="D504" t="s">
        <v>1130</v>
      </c>
      <c r="E504" t="s">
        <v>534</v>
      </c>
    </row>
    <row r="505" spans="8:8">
      <c r="B505" t="s">
        <v>1131</v>
      </c>
      <c r="C505">
        <v>500102.0</v>
      </c>
      <c r="D505" t="s">
        <v>1132</v>
      </c>
      <c r="E505" t="s">
        <v>333</v>
      </c>
    </row>
    <row r="506" spans="8:8">
      <c r="B506" t="s">
        <v>1133</v>
      </c>
      <c r="C506">
        <v>523319.0</v>
      </c>
      <c r="D506" t="s">
        <v>1134</v>
      </c>
      <c r="E506" t="s">
        <v>328</v>
      </c>
    </row>
    <row r="507" spans="8:8">
      <c r="B507" t="s">
        <v>1135</v>
      </c>
      <c r="C507">
        <v>532485.0</v>
      </c>
      <c r="D507" t="s">
        <v>339</v>
      </c>
      <c r="E507" t="s">
        <v>356</v>
      </c>
    </row>
    <row r="508" spans="8:8">
      <c r="B508" t="s">
        <v>1136</v>
      </c>
      <c r="C508">
        <v>500038.0</v>
      </c>
      <c r="D508" t="s">
        <v>1137</v>
      </c>
      <c r="E508" t="s">
        <v>1037</v>
      </c>
    </row>
    <row r="509" spans="8:8">
      <c r="B509" t="s">
        <v>1138</v>
      </c>
      <c r="C509">
        <v>520127.0</v>
      </c>
      <c r="D509" t="s">
        <v>339</v>
      </c>
      <c r="E509" t="s">
        <v>411</v>
      </c>
    </row>
    <row r="510" spans="8:8">
      <c r="B510" t="s">
        <v>1139</v>
      </c>
      <c r="C510">
        <v>519295.0</v>
      </c>
      <c r="D510" t="s">
        <v>339</v>
      </c>
      <c r="E510" t="s">
        <v>399</v>
      </c>
    </row>
    <row r="511" spans="8:8">
      <c r="B511" t="s">
        <v>1140</v>
      </c>
      <c r="C511">
        <v>531591.0</v>
      </c>
      <c r="D511" t="s">
        <v>339</v>
      </c>
      <c r="E511" t="s">
        <v>356</v>
      </c>
    </row>
    <row r="512" spans="8:8">
      <c r="B512" t="s">
        <v>1141</v>
      </c>
      <c r="C512">
        <v>526849.0</v>
      </c>
      <c r="D512" t="s">
        <v>1142</v>
      </c>
      <c r="E512" t="s">
        <v>453</v>
      </c>
    </row>
    <row r="513" spans="8:8">
      <c r="B513" t="s">
        <v>1143</v>
      </c>
      <c r="C513">
        <v>509053.0</v>
      </c>
      <c r="D513" t="s">
        <v>339</v>
      </c>
      <c r="E513" t="s">
        <v>760</v>
      </c>
    </row>
    <row r="514" spans="8:8">
      <c r="B514" t="s">
        <v>1144</v>
      </c>
      <c r="C514">
        <v>500039.0</v>
      </c>
      <c r="D514" t="s">
        <v>1145</v>
      </c>
      <c r="E514" t="s">
        <v>694</v>
      </c>
    </row>
    <row r="515" spans="8:8">
      <c r="B515" t="s">
        <v>1146</v>
      </c>
      <c r="C515">
        <v>541153.0</v>
      </c>
      <c r="D515" t="s">
        <v>1147</v>
      </c>
      <c r="E515" t="s">
        <v>657</v>
      </c>
    </row>
    <row r="516" spans="8:8">
      <c r="B516" t="s">
        <v>1148</v>
      </c>
      <c r="C516">
        <v>532946.0</v>
      </c>
      <c r="D516" t="s">
        <v>1149</v>
      </c>
      <c r="E516" t="s">
        <v>453</v>
      </c>
    </row>
    <row r="517" spans="8:8">
      <c r="B517" t="s">
        <v>1150</v>
      </c>
      <c r="C517">
        <v>539120.0</v>
      </c>
      <c r="D517" t="s">
        <v>339</v>
      </c>
      <c r="E517" t="s">
        <v>576</v>
      </c>
    </row>
    <row r="518" spans="8:8">
      <c r="B518" t="s">
        <v>1151</v>
      </c>
      <c r="C518">
        <v>532134.0</v>
      </c>
      <c r="D518" t="s">
        <v>1152</v>
      </c>
      <c r="E518" t="s">
        <v>657</v>
      </c>
    </row>
    <row r="519" spans="8:8">
      <c r="B519" t="s">
        <v>1153</v>
      </c>
      <c r="C519">
        <v>532149.0</v>
      </c>
      <c r="D519" t="s">
        <v>1154</v>
      </c>
      <c r="E519" t="s">
        <v>657</v>
      </c>
    </row>
    <row r="520" spans="8:8">
      <c r="B520" t="s">
        <v>1155</v>
      </c>
      <c r="C520">
        <v>532525.0</v>
      </c>
      <c r="D520" t="s">
        <v>1156</v>
      </c>
      <c r="E520" t="s">
        <v>657</v>
      </c>
    </row>
    <row r="521" spans="8:8">
      <c r="B521" t="s">
        <v>1157</v>
      </c>
      <c r="C521" t="s">
        <v>339</v>
      </c>
      <c r="D521" t="s">
        <v>1158</v>
      </c>
      <c r="E521" t="s">
        <v>350</v>
      </c>
    </row>
    <row r="522" spans="8:8">
      <c r="B522" t="s">
        <v>1159</v>
      </c>
      <c r="C522">
        <v>532674.0</v>
      </c>
      <c r="D522" t="s">
        <v>1160</v>
      </c>
      <c r="E522" t="s">
        <v>354</v>
      </c>
    </row>
    <row r="523" spans="8:8">
      <c r="B523" t="s">
        <v>1161</v>
      </c>
      <c r="C523">
        <v>500041.0</v>
      </c>
      <c r="D523" t="s">
        <v>1162</v>
      </c>
      <c r="E523" t="s">
        <v>1037</v>
      </c>
    </row>
    <row r="524" spans="8:8">
      <c r="B524" t="s">
        <v>1163</v>
      </c>
      <c r="C524" t="s">
        <v>339</v>
      </c>
      <c r="D524" t="s">
        <v>1164</v>
      </c>
      <c r="E524" t="s">
        <v>350</v>
      </c>
    </row>
    <row r="525" spans="8:8">
      <c r="B525" t="s">
        <v>1165</v>
      </c>
      <c r="C525">
        <v>538546.0</v>
      </c>
      <c r="D525" t="s">
        <v>339</v>
      </c>
      <c r="E525" t="s">
        <v>662</v>
      </c>
    </row>
    <row r="526" spans="8:8">
      <c r="B526" t="s">
        <v>1166</v>
      </c>
      <c r="C526">
        <v>519353.0</v>
      </c>
      <c r="D526" t="s">
        <v>339</v>
      </c>
      <c r="E526" t="s">
        <v>746</v>
      </c>
    </row>
    <row r="527" spans="8:8">
      <c r="B527" t="s">
        <v>1167</v>
      </c>
      <c r="C527">
        <v>503722.0</v>
      </c>
      <c r="D527" t="s">
        <v>1168</v>
      </c>
      <c r="E527" t="s">
        <v>354</v>
      </c>
    </row>
    <row r="528" spans="8:8">
      <c r="B528" t="s">
        <v>1169</v>
      </c>
      <c r="C528">
        <v>532916.0</v>
      </c>
      <c r="D528" t="s">
        <v>1170</v>
      </c>
      <c r="E528" t="s">
        <v>352</v>
      </c>
    </row>
    <row r="529" spans="8:8">
      <c r="B529" t="s">
        <v>1171</v>
      </c>
      <c r="C529">
        <v>513502.0</v>
      </c>
      <c r="D529" t="s">
        <v>339</v>
      </c>
      <c r="E529" t="s">
        <v>413</v>
      </c>
    </row>
    <row r="530" spans="8:8">
      <c r="B530" t="s">
        <v>1172</v>
      </c>
      <c r="C530">
        <v>532336.0</v>
      </c>
      <c r="D530" t="s">
        <v>339</v>
      </c>
      <c r="E530" t="s">
        <v>432</v>
      </c>
    </row>
    <row r="531" spans="8:8">
      <c r="B531" t="s">
        <v>1173</v>
      </c>
      <c r="C531">
        <v>532694.0</v>
      </c>
      <c r="D531" t="s">
        <v>1174</v>
      </c>
      <c r="E531" t="s">
        <v>760</v>
      </c>
    </row>
    <row r="532" spans="8:8">
      <c r="B532" t="s">
        <v>1175</v>
      </c>
      <c r="C532">
        <v>532694.0</v>
      </c>
      <c r="D532" t="s">
        <v>1174</v>
      </c>
      <c r="E532" t="s">
        <v>760</v>
      </c>
    </row>
    <row r="533" spans="8:8">
      <c r="B533" t="s">
        <v>1176</v>
      </c>
      <c r="C533">
        <v>524687.0</v>
      </c>
      <c r="D533" t="s">
        <v>339</v>
      </c>
      <c r="E533" t="s">
        <v>847</v>
      </c>
    </row>
    <row r="534" spans="8:8">
      <c r="B534" t="s">
        <v>1177</v>
      </c>
      <c r="C534">
        <v>524687.0</v>
      </c>
      <c r="D534" t="s">
        <v>339</v>
      </c>
      <c r="E534" t="s">
        <v>847</v>
      </c>
    </row>
    <row r="535" spans="8:8">
      <c r="B535" t="s">
        <v>1178</v>
      </c>
      <c r="C535">
        <v>500042.0</v>
      </c>
      <c r="D535" t="s">
        <v>1179</v>
      </c>
      <c r="E535" t="s">
        <v>499</v>
      </c>
    </row>
    <row r="536" spans="8:8">
      <c r="B536" t="s">
        <v>1180</v>
      </c>
      <c r="C536">
        <v>500042.0</v>
      </c>
      <c r="D536" t="s">
        <v>1179</v>
      </c>
      <c r="E536" t="s">
        <v>499</v>
      </c>
    </row>
    <row r="537" spans="8:8">
      <c r="B537" t="s">
        <v>1181</v>
      </c>
      <c r="C537">
        <v>500043.0</v>
      </c>
      <c r="D537" t="s">
        <v>1182</v>
      </c>
      <c r="E537" t="s">
        <v>765</v>
      </c>
    </row>
    <row r="538" spans="8:8">
      <c r="B538" t="s">
        <v>1183</v>
      </c>
      <c r="C538">
        <v>500043.0</v>
      </c>
      <c r="D538" t="s">
        <v>1184</v>
      </c>
      <c r="E538" t="s">
        <v>765</v>
      </c>
    </row>
    <row r="539" spans="8:8">
      <c r="B539" t="s">
        <v>1185</v>
      </c>
      <c r="C539">
        <v>522004.0</v>
      </c>
      <c r="D539" t="s">
        <v>339</v>
      </c>
      <c r="E539" t="s">
        <v>347</v>
      </c>
    </row>
    <row r="540" spans="8:8">
      <c r="B540" t="s">
        <v>1186</v>
      </c>
      <c r="C540">
        <v>506285.0</v>
      </c>
      <c r="D540" t="s">
        <v>1187</v>
      </c>
      <c r="E540" t="s">
        <v>483</v>
      </c>
    </row>
    <row r="541" spans="8:8">
      <c r="B541" t="s">
        <v>1188</v>
      </c>
      <c r="C541">
        <v>539946.0</v>
      </c>
      <c r="D541" t="s">
        <v>339</v>
      </c>
      <c r="E541" t="s">
        <v>356</v>
      </c>
    </row>
    <row r="542" spans="8:8">
      <c r="B542" t="s">
        <v>1189</v>
      </c>
      <c r="C542">
        <v>517246.0</v>
      </c>
      <c r="D542" t="s">
        <v>339</v>
      </c>
      <c r="E542" t="s">
        <v>881</v>
      </c>
    </row>
    <row r="543" spans="8:8">
      <c r="B543" t="s">
        <v>1190</v>
      </c>
      <c r="C543">
        <v>517246.0</v>
      </c>
      <c r="D543" t="s">
        <v>339</v>
      </c>
      <c r="E543" t="s">
        <v>881</v>
      </c>
    </row>
    <row r="544" spans="8:8">
      <c r="B544" t="s">
        <v>1191</v>
      </c>
      <c r="C544">
        <v>539621.0</v>
      </c>
      <c r="D544" t="s">
        <v>339</v>
      </c>
      <c r="E544" t="s">
        <v>356</v>
      </c>
    </row>
    <row r="545" spans="8:8">
      <c r="B545" t="s">
        <v>1192</v>
      </c>
      <c r="C545">
        <v>524332.0</v>
      </c>
      <c r="D545" t="s">
        <v>339</v>
      </c>
      <c r="E545" t="s">
        <v>588</v>
      </c>
    </row>
    <row r="546" spans="8:8">
      <c r="B546" t="s">
        <v>1193</v>
      </c>
      <c r="C546">
        <v>542057.0</v>
      </c>
      <c r="D546" t="s">
        <v>339</v>
      </c>
      <c r="E546" t="s">
        <v>737</v>
      </c>
    </row>
    <row r="547" spans="8:8">
      <c r="B547" t="s">
        <v>1194</v>
      </c>
      <c r="C547">
        <v>524828.0</v>
      </c>
      <c r="D547" t="s">
        <v>339</v>
      </c>
      <c r="E547" t="s">
        <v>377</v>
      </c>
    </row>
    <row r="548" spans="8:8">
      <c r="B548" t="s">
        <v>1195</v>
      </c>
      <c r="C548">
        <v>539447.0</v>
      </c>
      <c r="D548" t="s">
        <v>1196</v>
      </c>
      <c r="E548" t="s">
        <v>534</v>
      </c>
    </row>
    <row r="549" spans="8:8">
      <c r="B549" t="s">
        <v>1197</v>
      </c>
      <c r="C549">
        <v>533270.0</v>
      </c>
      <c r="D549" t="s">
        <v>1198</v>
      </c>
      <c r="E549" t="s">
        <v>662</v>
      </c>
    </row>
    <row r="550" spans="8:8">
      <c r="B550" t="s">
        <v>1199</v>
      </c>
      <c r="C550">
        <v>539546.0</v>
      </c>
      <c r="D550" t="s">
        <v>339</v>
      </c>
      <c r="E550" t="s">
        <v>361</v>
      </c>
    </row>
    <row r="551" spans="8:8">
      <c r="B551" t="s">
        <v>1200</v>
      </c>
      <c r="C551">
        <v>539018.0</v>
      </c>
      <c r="D551" t="s">
        <v>339</v>
      </c>
      <c r="E551" t="s">
        <v>371</v>
      </c>
    </row>
    <row r="552" spans="8:8">
      <c r="B552" t="s">
        <v>1201</v>
      </c>
      <c r="C552">
        <v>532645.0</v>
      </c>
      <c r="D552" t="s">
        <v>339</v>
      </c>
      <c r="E552" t="s">
        <v>361</v>
      </c>
    </row>
    <row r="553" spans="8:8">
      <c r="B553" t="s">
        <v>1202</v>
      </c>
      <c r="C553">
        <v>539399.0</v>
      </c>
      <c r="D553" t="s">
        <v>339</v>
      </c>
      <c r="E553" t="s">
        <v>354</v>
      </c>
    </row>
    <row r="554" spans="8:8">
      <c r="B554" t="s">
        <v>1203</v>
      </c>
      <c r="C554">
        <v>522650.0</v>
      </c>
      <c r="D554" t="s">
        <v>339</v>
      </c>
      <c r="E554" t="s">
        <v>524</v>
      </c>
    </row>
    <row r="555" spans="8:8">
      <c r="B555" t="s">
        <v>1204</v>
      </c>
      <c r="C555">
        <v>500048.0</v>
      </c>
      <c r="D555" t="s">
        <v>1205</v>
      </c>
      <c r="E555" t="s">
        <v>417</v>
      </c>
    </row>
    <row r="556" spans="8:8">
      <c r="B556" t="s">
        <v>1206</v>
      </c>
      <c r="C556">
        <v>541178.0</v>
      </c>
      <c r="D556" t="s">
        <v>339</v>
      </c>
      <c r="E556" t="s">
        <v>524</v>
      </c>
    </row>
    <row r="557" spans="8:8">
      <c r="B557" t="s">
        <v>1207</v>
      </c>
      <c r="C557">
        <v>509438.0</v>
      </c>
      <c r="D557" t="s">
        <v>339</v>
      </c>
      <c r="E557" t="s">
        <v>540</v>
      </c>
    </row>
    <row r="558" spans="8:8">
      <c r="B558" t="s">
        <v>1208</v>
      </c>
      <c r="C558">
        <v>533095.0</v>
      </c>
      <c r="D558" t="s">
        <v>339</v>
      </c>
      <c r="E558" t="s">
        <v>356</v>
      </c>
    </row>
    <row r="559" spans="8:8">
      <c r="B559" t="s">
        <v>1209</v>
      </c>
      <c r="C559">
        <v>512404.0</v>
      </c>
      <c r="D559" t="s">
        <v>339</v>
      </c>
      <c r="E559" t="s">
        <v>371</v>
      </c>
    </row>
    <row r="560" spans="8:8">
      <c r="B560" t="s">
        <v>1210</v>
      </c>
      <c r="C560">
        <v>532230.0</v>
      </c>
      <c r="D560" t="s">
        <v>339</v>
      </c>
      <c r="E560" t="s">
        <v>354</v>
      </c>
    </row>
    <row r="561" spans="8:8">
      <c r="B561" t="s">
        <v>1211</v>
      </c>
      <c r="C561">
        <v>512195.0</v>
      </c>
      <c r="D561" t="s">
        <v>339</v>
      </c>
      <c r="E561" t="s">
        <v>760</v>
      </c>
    </row>
    <row r="562" spans="8:8">
      <c r="B562" t="s">
        <v>1212</v>
      </c>
      <c r="C562">
        <v>509480.0</v>
      </c>
      <c r="D562" t="s">
        <v>1213</v>
      </c>
      <c r="E562" t="s">
        <v>616</v>
      </c>
    </row>
    <row r="563" spans="8:8">
      <c r="B563" t="s">
        <v>1214</v>
      </c>
      <c r="C563">
        <v>531340.0</v>
      </c>
      <c r="D563" t="s">
        <v>339</v>
      </c>
      <c r="E563" t="s">
        <v>322</v>
      </c>
    </row>
    <row r="564" spans="8:8">
      <c r="B564" t="s">
        <v>1215</v>
      </c>
      <c r="C564">
        <v>524606.0</v>
      </c>
      <c r="D564" t="s">
        <v>339</v>
      </c>
      <c r="E564" t="s">
        <v>377</v>
      </c>
    </row>
    <row r="565" spans="8:8">
      <c r="B565" t="s">
        <v>1216</v>
      </c>
      <c r="C565">
        <v>531582.0</v>
      </c>
      <c r="D565" t="s">
        <v>339</v>
      </c>
      <c r="E565" t="s">
        <v>356</v>
      </c>
    </row>
    <row r="566" spans="8:8">
      <c r="B566" t="s">
        <v>1217</v>
      </c>
      <c r="C566">
        <v>508664.0</v>
      </c>
      <c r="D566" t="s">
        <v>339</v>
      </c>
      <c r="E566" t="s">
        <v>540</v>
      </c>
    </row>
    <row r="567" spans="8:8">
      <c r="B567" t="s">
        <v>1218</v>
      </c>
      <c r="C567" t="s">
        <v>339</v>
      </c>
      <c r="D567" t="s">
        <v>1219</v>
      </c>
      <c r="E567" t="s">
        <v>350</v>
      </c>
    </row>
    <row r="568" spans="8:8">
      <c r="B568" t="s">
        <v>1220</v>
      </c>
      <c r="C568">
        <v>512477.0</v>
      </c>
      <c r="D568" t="s">
        <v>339</v>
      </c>
      <c r="E568" t="s">
        <v>354</v>
      </c>
    </row>
    <row r="569" spans="8:8">
      <c r="B569" t="s">
        <v>1221</v>
      </c>
      <c r="C569">
        <v>512477.0</v>
      </c>
      <c r="D569" t="s">
        <v>339</v>
      </c>
      <c r="E569" t="s">
        <v>354</v>
      </c>
    </row>
    <row r="570" spans="8:8">
      <c r="B570" t="s">
        <v>1222</v>
      </c>
      <c r="C570">
        <v>533303.0</v>
      </c>
      <c r="D570" t="s">
        <v>1223</v>
      </c>
      <c r="E570" t="s">
        <v>505</v>
      </c>
    </row>
    <row r="571" spans="8:8">
      <c r="B571" t="s">
        <v>1224</v>
      </c>
      <c r="C571">
        <v>532430.0</v>
      </c>
      <c r="D571" t="s">
        <v>1225</v>
      </c>
      <c r="E571" t="s">
        <v>478</v>
      </c>
    </row>
    <row r="572" spans="8:8">
      <c r="B572" t="s">
        <v>1226</v>
      </c>
      <c r="C572">
        <v>539662.0</v>
      </c>
      <c r="D572" t="s">
        <v>339</v>
      </c>
      <c r="E572" t="s">
        <v>356</v>
      </c>
    </row>
    <row r="573" spans="8:8">
      <c r="B573" t="s">
        <v>1227</v>
      </c>
      <c r="C573">
        <v>511664.0</v>
      </c>
      <c r="D573" t="s">
        <v>339</v>
      </c>
      <c r="E573" t="s">
        <v>342</v>
      </c>
    </row>
    <row r="574" spans="8:8">
      <c r="B574" t="s">
        <v>1228</v>
      </c>
      <c r="C574">
        <v>532930.0</v>
      </c>
      <c r="D574" t="s">
        <v>1229</v>
      </c>
      <c r="E574" t="s">
        <v>382</v>
      </c>
    </row>
    <row r="575" spans="8:8">
      <c r="B575" t="s">
        <v>1230</v>
      </c>
      <c r="C575">
        <v>530803.0</v>
      </c>
      <c r="D575" t="s">
        <v>1231</v>
      </c>
      <c r="E575" t="s">
        <v>387</v>
      </c>
    </row>
    <row r="576" spans="8:8">
      <c r="B576" t="s">
        <v>1232</v>
      </c>
      <c r="C576">
        <v>531719.0</v>
      </c>
      <c r="D576" t="s">
        <v>339</v>
      </c>
      <c r="E576" t="s">
        <v>483</v>
      </c>
    </row>
    <row r="577" spans="8:8">
      <c r="B577" t="s">
        <v>1233</v>
      </c>
      <c r="C577">
        <v>504646.0</v>
      </c>
      <c r="D577" t="s">
        <v>339</v>
      </c>
      <c r="E577" t="s">
        <v>694</v>
      </c>
    </row>
    <row r="578" spans="8:8">
      <c r="B578" t="s">
        <v>1234</v>
      </c>
      <c r="C578">
        <v>509449.0</v>
      </c>
      <c r="D578" t="s">
        <v>339</v>
      </c>
      <c r="E578" t="s">
        <v>387</v>
      </c>
    </row>
    <row r="579" spans="8:8">
      <c r="B579" t="s">
        <v>1235</v>
      </c>
      <c r="C579">
        <v>512296.0</v>
      </c>
      <c r="D579" t="s">
        <v>1236</v>
      </c>
      <c r="E579" t="s">
        <v>413</v>
      </c>
    </row>
    <row r="580" spans="8:8">
      <c r="B580" t="s">
        <v>1237</v>
      </c>
      <c r="C580">
        <v>512296.0</v>
      </c>
      <c r="D580" t="s">
        <v>1236</v>
      </c>
      <c r="E580" t="s">
        <v>413</v>
      </c>
    </row>
    <row r="581" spans="8:8">
      <c r="B581" t="s">
        <v>1238</v>
      </c>
      <c r="C581">
        <v>540621.0</v>
      </c>
      <c r="D581" t="s">
        <v>1239</v>
      </c>
      <c r="E581" t="s">
        <v>425</v>
      </c>
    </row>
    <row r="582" spans="8:8">
      <c r="B582" t="s">
        <v>1240</v>
      </c>
      <c r="C582">
        <v>540545.0</v>
      </c>
      <c r="D582" t="s">
        <v>339</v>
      </c>
      <c r="E582" t="s">
        <v>453</v>
      </c>
    </row>
    <row r="583" spans="8:8">
      <c r="B583" t="s">
        <v>1241</v>
      </c>
      <c r="C583">
        <v>512608.0</v>
      </c>
      <c r="D583" t="s">
        <v>1242</v>
      </c>
      <c r="E583" t="s">
        <v>453</v>
      </c>
    </row>
    <row r="584" spans="8:8">
      <c r="B584" t="s">
        <v>1243</v>
      </c>
      <c r="C584">
        <v>538576.0</v>
      </c>
      <c r="D584" t="s">
        <v>339</v>
      </c>
      <c r="E584" t="s">
        <v>425</v>
      </c>
    </row>
    <row r="585" spans="8:8">
      <c r="B585" t="s">
        <v>1244</v>
      </c>
      <c r="C585">
        <v>500052.0</v>
      </c>
      <c r="D585" t="s">
        <v>1245</v>
      </c>
      <c r="E585" t="s">
        <v>499</v>
      </c>
    </row>
    <row r="586" spans="8:8">
      <c r="B586" t="s">
        <v>1246</v>
      </c>
      <c r="C586">
        <v>531862.0</v>
      </c>
      <c r="D586" t="s">
        <v>339</v>
      </c>
      <c r="E586" t="s">
        <v>847</v>
      </c>
    </row>
    <row r="587" spans="8:8">
      <c r="B587" t="s">
        <v>1247</v>
      </c>
      <c r="C587">
        <v>511501.0</v>
      </c>
      <c r="D587" t="s">
        <v>339</v>
      </c>
      <c r="E587" t="s">
        <v>322</v>
      </c>
    </row>
    <row r="588" spans="8:8">
      <c r="B588" t="s">
        <v>1248</v>
      </c>
      <c r="C588">
        <v>503960.0</v>
      </c>
      <c r="D588" t="s">
        <v>1249</v>
      </c>
      <c r="E588" t="s">
        <v>637</v>
      </c>
    </row>
    <row r="589" spans="8:8">
      <c r="B589" t="s">
        <v>1250</v>
      </c>
      <c r="C589">
        <v>541143.0</v>
      </c>
      <c r="D589" t="s">
        <v>1251</v>
      </c>
      <c r="E589" t="s">
        <v>812</v>
      </c>
    </row>
    <row r="590" spans="8:8">
      <c r="B590" t="s">
        <v>1252</v>
      </c>
      <c r="C590">
        <v>500049.0</v>
      </c>
      <c r="D590" t="s">
        <v>1253</v>
      </c>
      <c r="E590" t="s">
        <v>812</v>
      </c>
    </row>
    <row r="591" spans="8:8">
      <c r="B591" t="s">
        <v>1254</v>
      </c>
      <c r="C591">
        <v>533228.0</v>
      </c>
      <c r="D591" t="s">
        <v>1255</v>
      </c>
      <c r="E591" t="s">
        <v>356</v>
      </c>
    </row>
    <row r="592" spans="8:8">
      <c r="B592" t="s">
        <v>1256</v>
      </c>
      <c r="C592">
        <v>500493.0</v>
      </c>
      <c r="D592" t="s">
        <v>1257</v>
      </c>
      <c r="E592" t="s">
        <v>1258</v>
      </c>
    </row>
    <row r="593" spans="8:8">
      <c r="B593" t="s">
        <v>1259</v>
      </c>
      <c r="C593">
        <v>505688.0</v>
      </c>
      <c r="D593" t="s">
        <v>1260</v>
      </c>
      <c r="E593" t="s">
        <v>694</v>
      </c>
    </row>
    <row r="594" spans="8:8">
      <c r="B594" t="s">
        <v>1261</v>
      </c>
      <c r="C594">
        <v>500103.0</v>
      </c>
      <c r="D594" t="s">
        <v>1262</v>
      </c>
      <c r="E594" t="s">
        <v>382</v>
      </c>
    </row>
    <row r="595" spans="8:8">
      <c r="B595" t="s">
        <v>1263</v>
      </c>
      <c r="C595">
        <v>524663.0</v>
      </c>
      <c r="D595" t="s">
        <v>339</v>
      </c>
      <c r="E595" t="s">
        <v>377</v>
      </c>
    </row>
    <row r="596" spans="8:8">
      <c r="B596" t="s">
        <v>1264</v>
      </c>
      <c r="C596">
        <v>541096.0</v>
      </c>
      <c r="D596" t="s">
        <v>339</v>
      </c>
      <c r="E596" t="s">
        <v>377</v>
      </c>
    </row>
    <row r="597" spans="8:8">
      <c r="B597" t="s">
        <v>1265</v>
      </c>
      <c r="C597">
        <v>500547.0</v>
      </c>
      <c r="D597" t="s">
        <v>1266</v>
      </c>
      <c r="E597" t="s">
        <v>1267</v>
      </c>
    </row>
    <row r="598" spans="8:8">
      <c r="B598" t="s">
        <v>1268</v>
      </c>
      <c r="C598">
        <v>590021.0</v>
      </c>
      <c r="D598" t="s">
        <v>1269</v>
      </c>
      <c r="E598" t="s">
        <v>483</v>
      </c>
    </row>
    <row r="599" spans="8:8">
      <c r="B599" t="s">
        <v>1270</v>
      </c>
      <c r="C599">
        <v>540700.0</v>
      </c>
      <c r="D599" t="s">
        <v>1271</v>
      </c>
      <c r="E599" t="s">
        <v>934</v>
      </c>
    </row>
    <row r="600" spans="8:8">
      <c r="B600" t="s">
        <v>1272</v>
      </c>
      <c r="C600">
        <v>523229.0</v>
      </c>
      <c r="D600" t="s">
        <v>339</v>
      </c>
      <c r="E600" t="s">
        <v>694</v>
      </c>
    </row>
    <row r="601" spans="8:8">
      <c r="B601" t="s">
        <v>1273</v>
      </c>
      <c r="C601">
        <v>531029.0</v>
      </c>
      <c r="D601" t="s">
        <v>339</v>
      </c>
      <c r="E601" t="s">
        <v>361</v>
      </c>
    </row>
    <row r="602" spans="8:8">
      <c r="B602" t="s">
        <v>1274</v>
      </c>
      <c r="C602">
        <v>539799.0</v>
      </c>
      <c r="D602" t="s">
        <v>1275</v>
      </c>
      <c r="E602" t="s">
        <v>662</v>
      </c>
    </row>
    <row r="603" spans="8:8">
      <c r="B603" t="s">
        <v>1276</v>
      </c>
      <c r="C603">
        <v>532609.0</v>
      </c>
      <c r="D603" t="s">
        <v>1277</v>
      </c>
      <c r="E603" t="s">
        <v>417</v>
      </c>
    </row>
    <row r="604" spans="8:8">
      <c r="B604" t="s">
        <v>1278</v>
      </c>
      <c r="C604">
        <v>533499.0</v>
      </c>
      <c r="D604" t="s">
        <v>1279</v>
      </c>
      <c r="E604" t="s">
        <v>325</v>
      </c>
    </row>
    <row r="605" spans="8:8">
      <c r="B605" t="s">
        <v>1280</v>
      </c>
      <c r="C605">
        <v>532454.0</v>
      </c>
      <c r="D605" t="s">
        <v>1281</v>
      </c>
      <c r="E605" t="s">
        <v>1282</v>
      </c>
    </row>
    <row r="606" spans="8:8">
      <c r="B606" t="s">
        <v>1283</v>
      </c>
      <c r="C606">
        <v>534816.0</v>
      </c>
      <c r="D606" t="s">
        <v>1284</v>
      </c>
      <c r="E606" t="s">
        <v>1285</v>
      </c>
    </row>
    <row r="607" spans="8:8">
      <c r="B607" t="s">
        <v>1286</v>
      </c>
      <c r="C607">
        <v>526666.0</v>
      </c>
      <c r="D607" t="s">
        <v>1287</v>
      </c>
      <c r="E607" t="s">
        <v>453</v>
      </c>
    </row>
    <row r="608" spans="8:8">
      <c r="B608" t="s">
        <v>1288</v>
      </c>
      <c r="C608">
        <v>524534.0</v>
      </c>
      <c r="D608" t="s">
        <v>339</v>
      </c>
      <c r="E608" t="s">
        <v>483</v>
      </c>
    </row>
    <row r="609" spans="8:8">
      <c r="B609" t="s">
        <v>1289</v>
      </c>
      <c r="C609">
        <v>540956.0</v>
      </c>
      <c r="D609" t="s">
        <v>339</v>
      </c>
      <c r="E609" t="s">
        <v>340</v>
      </c>
    </row>
    <row r="610" spans="8:8">
      <c r="B610" t="s">
        <v>1290</v>
      </c>
      <c r="C610">
        <v>540956.0</v>
      </c>
      <c r="D610" t="s">
        <v>339</v>
      </c>
      <c r="E610" t="s">
        <v>340</v>
      </c>
    </row>
    <row r="611" spans="8:8">
      <c r="B611" t="s">
        <v>1291</v>
      </c>
      <c r="C611">
        <v>514272.0</v>
      </c>
      <c r="D611" t="s">
        <v>339</v>
      </c>
      <c r="E611" t="s">
        <v>354</v>
      </c>
    </row>
    <row r="612" spans="8:8">
      <c r="B612" t="s">
        <v>1292</v>
      </c>
      <c r="C612">
        <v>533108.0</v>
      </c>
      <c r="D612" t="s">
        <v>339</v>
      </c>
      <c r="E612" t="s">
        <v>354</v>
      </c>
    </row>
    <row r="613" spans="8:8">
      <c r="B613" t="s">
        <v>1293</v>
      </c>
      <c r="C613">
        <v>506027.0</v>
      </c>
      <c r="D613" t="s">
        <v>339</v>
      </c>
      <c r="E613" t="s">
        <v>644</v>
      </c>
    </row>
    <row r="614" spans="8:8">
      <c r="B614" t="s">
        <v>1294</v>
      </c>
      <c r="C614">
        <v>500055.0</v>
      </c>
      <c r="D614" t="s">
        <v>1295</v>
      </c>
      <c r="E614" t="s">
        <v>371</v>
      </c>
    </row>
    <row r="615" spans="8:8">
      <c r="B615" t="s">
        <v>1296</v>
      </c>
      <c r="C615">
        <v>540061.0</v>
      </c>
      <c r="D615" t="s">
        <v>1297</v>
      </c>
      <c r="E615" t="s">
        <v>352</v>
      </c>
    </row>
    <row r="616" spans="8:8">
      <c r="B616" t="s">
        <v>1298</v>
      </c>
      <c r="C616">
        <v>500058.0</v>
      </c>
      <c r="D616" t="s">
        <v>339</v>
      </c>
      <c r="E616" t="s">
        <v>371</v>
      </c>
    </row>
    <row r="617" spans="8:8">
      <c r="B617" t="s">
        <v>1299</v>
      </c>
      <c r="C617">
        <v>524723.0</v>
      </c>
      <c r="D617" t="s">
        <v>339</v>
      </c>
      <c r="E617" t="s">
        <v>361</v>
      </c>
    </row>
    <row r="618" spans="8:8">
      <c r="B618" t="s">
        <v>1300</v>
      </c>
      <c r="C618">
        <v>533321.0</v>
      </c>
      <c r="D618" t="s">
        <v>1301</v>
      </c>
      <c r="E618" t="s">
        <v>637</v>
      </c>
    </row>
    <row r="619" spans="8:8">
      <c r="B619" t="s">
        <v>1302</v>
      </c>
      <c r="C619">
        <v>526853.0</v>
      </c>
      <c r="D619" t="s">
        <v>339</v>
      </c>
      <c r="E619" t="s">
        <v>1303</v>
      </c>
    </row>
    <row r="620" spans="8:8">
      <c r="B620" t="s">
        <v>1304</v>
      </c>
      <c r="C620">
        <v>505681.0</v>
      </c>
      <c r="D620" t="s">
        <v>339</v>
      </c>
      <c r="E620" t="s">
        <v>694</v>
      </c>
    </row>
    <row r="621" spans="8:8">
      <c r="B621" t="s">
        <v>1305</v>
      </c>
      <c r="C621">
        <v>500059.0</v>
      </c>
      <c r="D621" t="s">
        <v>1306</v>
      </c>
      <c r="E621" t="s">
        <v>505</v>
      </c>
    </row>
    <row r="622" spans="8:8">
      <c r="B622" t="s">
        <v>1307</v>
      </c>
      <c r="C622">
        <v>523054.0</v>
      </c>
      <c r="D622" t="s">
        <v>339</v>
      </c>
      <c r="E622" t="s">
        <v>354</v>
      </c>
    </row>
    <row r="623" spans="8:8">
      <c r="B623" t="s">
        <v>1308</v>
      </c>
      <c r="C623">
        <v>540148.0</v>
      </c>
      <c r="D623" t="s">
        <v>339</v>
      </c>
      <c r="E623" t="s">
        <v>453</v>
      </c>
    </row>
    <row r="624" spans="8:8">
      <c r="B624" t="s">
        <v>1309</v>
      </c>
      <c r="C624">
        <v>514215.0</v>
      </c>
      <c r="D624" t="s">
        <v>339</v>
      </c>
      <c r="E624" t="s">
        <v>354</v>
      </c>
    </row>
    <row r="625" spans="8:8">
      <c r="B625" t="s">
        <v>1310</v>
      </c>
      <c r="C625">
        <v>535620.0</v>
      </c>
      <c r="D625" t="s">
        <v>339</v>
      </c>
      <c r="E625" t="s">
        <v>361</v>
      </c>
    </row>
    <row r="626" spans="8:8">
      <c r="B626" t="s">
        <v>1311</v>
      </c>
      <c r="C626">
        <v>534535.0</v>
      </c>
      <c r="D626" t="s">
        <v>339</v>
      </c>
      <c r="E626" t="s">
        <v>333</v>
      </c>
    </row>
    <row r="627" spans="8:8">
      <c r="B627" t="s">
        <v>1312</v>
      </c>
      <c r="C627">
        <v>532523.0</v>
      </c>
      <c r="D627" t="s">
        <v>1313</v>
      </c>
      <c r="E627" t="s">
        <v>677</v>
      </c>
    </row>
    <row r="628" spans="8:8">
      <c r="B628" t="s">
        <v>1314</v>
      </c>
      <c r="C628">
        <v>524396.0</v>
      </c>
      <c r="D628" t="s">
        <v>1315</v>
      </c>
      <c r="E628" t="s">
        <v>377</v>
      </c>
    </row>
    <row r="629" spans="8:8">
      <c r="B629" t="s">
        <v>1316</v>
      </c>
      <c r="C629">
        <v>532330.0</v>
      </c>
      <c r="D629" t="s">
        <v>339</v>
      </c>
      <c r="E629" t="s">
        <v>459</v>
      </c>
    </row>
    <row r="630" spans="8:8">
      <c r="B630" t="s">
        <v>1317</v>
      </c>
      <c r="C630">
        <v>538364.0</v>
      </c>
      <c r="D630" t="s">
        <v>339</v>
      </c>
      <c r="E630" t="s">
        <v>354</v>
      </c>
    </row>
    <row r="631" spans="8:8">
      <c r="B631" t="s">
        <v>1318</v>
      </c>
      <c r="C631">
        <v>500060.0</v>
      </c>
      <c r="D631" t="s">
        <v>1319</v>
      </c>
      <c r="E631" t="s">
        <v>637</v>
      </c>
    </row>
    <row r="632" spans="8:8">
      <c r="B632" t="s">
        <v>1320</v>
      </c>
      <c r="C632">
        <v>500335.0</v>
      </c>
      <c r="D632" t="s">
        <v>1321</v>
      </c>
      <c r="E632" t="s">
        <v>352</v>
      </c>
    </row>
    <row r="633" spans="8:8">
      <c r="B633" t="s">
        <v>1322</v>
      </c>
      <c r="C633">
        <v>533006.0</v>
      </c>
      <c r="D633" t="s">
        <v>339</v>
      </c>
      <c r="E633" t="s">
        <v>354</v>
      </c>
    </row>
    <row r="634" spans="8:8">
      <c r="B634" t="s">
        <v>1323</v>
      </c>
      <c r="C634">
        <v>533006.0</v>
      </c>
      <c r="D634" t="s">
        <v>339</v>
      </c>
      <c r="E634" t="s">
        <v>354</v>
      </c>
    </row>
    <row r="635" spans="8:8">
      <c r="B635" t="s">
        <v>1324</v>
      </c>
      <c r="C635">
        <v>522105.0</v>
      </c>
      <c r="D635" t="s">
        <v>339</v>
      </c>
      <c r="E635" t="s">
        <v>347</v>
      </c>
    </row>
    <row r="636" spans="8:8">
      <c r="B636" t="s">
        <v>1325</v>
      </c>
      <c r="C636">
        <v>533408.0</v>
      </c>
      <c r="D636" t="s">
        <v>1326</v>
      </c>
      <c r="E636" t="s">
        <v>322</v>
      </c>
    </row>
    <row r="637" spans="8:8">
      <c r="B637" t="s">
        <v>1327</v>
      </c>
      <c r="C637" t="s">
        <v>339</v>
      </c>
      <c r="D637" t="s">
        <v>1328</v>
      </c>
      <c r="E637" t="s">
        <v>325</v>
      </c>
    </row>
    <row r="638" spans="8:8">
      <c r="B638" t="s">
        <v>1329</v>
      </c>
      <c r="C638">
        <v>539043.0</v>
      </c>
      <c r="D638" t="s">
        <v>1330</v>
      </c>
      <c r="E638" t="s">
        <v>534</v>
      </c>
    </row>
    <row r="639" spans="8:8">
      <c r="B639" t="s">
        <v>1331</v>
      </c>
      <c r="C639">
        <v>514183.0</v>
      </c>
      <c r="D639" t="s">
        <v>339</v>
      </c>
      <c r="E639" t="s">
        <v>499</v>
      </c>
    </row>
    <row r="640" spans="8:8">
      <c r="B640" t="s">
        <v>1332</v>
      </c>
      <c r="C640">
        <v>532290.0</v>
      </c>
      <c r="D640" t="s">
        <v>1333</v>
      </c>
      <c r="E640" t="s">
        <v>322</v>
      </c>
    </row>
    <row r="641" spans="8:8">
      <c r="B641" t="s">
        <v>1334</v>
      </c>
      <c r="C641">
        <v>506197.0</v>
      </c>
      <c r="D641" t="s">
        <v>1335</v>
      </c>
      <c r="E641" t="s">
        <v>377</v>
      </c>
    </row>
    <row r="642" spans="8:8">
      <c r="B642" t="s">
        <v>1336</v>
      </c>
      <c r="C642">
        <v>526225.0</v>
      </c>
      <c r="D642" t="s">
        <v>339</v>
      </c>
      <c r="E642" t="s">
        <v>459</v>
      </c>
    </row>
    <row r="643" spans="8:8">
      <c r="B643" t="s">
        <v>1337</v>
      </c>
      <c r="C643">
        <v>513422.0</v>
      </c>
      <c r="D643" t="s">
        <v>339</v>
      </c>
      <c r="E643" t="s">
        <v>371</v>
      </c>
    </row>
    <row r="644" spans="8:8">
      <c r="B644" t="s">
        <v>1338</v>
      </c>
      <c r="C644">
        <v>531175.0</v>
      </c>
      <c r="D644" t="s">
        <v>339</v>
      </c>
      <c r="E644" t="s">
        <v>432</v>
      </c>
    </row>
    <row r="645" spans="8:8">
      <c r="B645" t="s">
        <v>1339</v>
      </c>
      <c r="C645">
        <v>540073.0</v>
      </c>
      <c r="D645" t="s">
        <v>1340</v>
      </c>
      <c r="E645" t="s">
        <v>1341</v>
      </c>
    </row>
    <row r="646" spans="8:8">
      <c r="B646" t="s">
        <v>1342</v>
      </c>
      <c r="C646">
        <v>502761.0</v>
      </c>
      <c r="D646" t="s">
        <v>339</v>
      </c>
      <c r="E646" t="s">
        <v>354</v>
      </c>
    </row>
    <row r="647" spans="8:8">
      <c r="B647" t="s">
        <v>1343</v>
      </c>
      <c r="C647" t="s">
        <v>339</v>
      </c>
      <c r="D647" t="s">
        <v>1344</v>
      </c>
      <c r="E647" t="s">
        <v>430</v>
      </c>
    </row>
    <row r="648" spans="8:8">
      <c r="B648" t="s">
        <v>1345</v>
      </c>
      <c r="C648">
        <v>502761.0</v>
      </c>
      <c r="D648" t="s">
        <v>339</v>
      </c>
      <c r="E648" t="s">
        <v>354</v>
      </c>
    </row>
    <row r="649" spans="8:8">
      <c r="B649" t="s">
        <v>1346</v>
      </c>
      <c r="C649">
        <v>506981.0</v>
      </c>
      <c r="D649" t="s">
        <v>339</v>
      </c>
      <c r="E649" t="s">
        <v>354</v>
      </c>
    </row>
    <row r="650" spans="8:8">
      <c r="B650" t="s">
        <v>1347</v>
      </c>
      <c r="C650">
        <v>508939.0</v>
      </c>
      <c r="D650" t="s">
        <v>339</v>
      </c>
      <c r="E650" t="s">
        <v>356</v>
      </c>
    </row>
    <row r="651" spans="8:8">
      <c r="B651" t="s">
        <v>1348</v>
      </c>
      <c r="C651">
        <v>539607.0</v>
      </c>
      <c r="D651" t="s">
        <v>339</v>
      </c>
      <c r="E651" t="s">
        <v>432</v>
      </c>
    </row>
    <row r="652" spans="8:8">
      <c r="B652" t="s">
        <v>1349</v>
      </c>
      <c r="C652">
        <v>531495.0</v>
      </c>
      <c r="D652" t="s">
        <v>1350</v>
      </c>
      <c r="E652" t="s">
        <v>540</v>
      </c>
    </row>
    <row r="653" spans="8:8">
      <c r="B653" t="s">
        <v>1351</v>
      </c>
      <c r="C653">
        <v>526612.0</v>
      </c>
      <c r="D653" t="s">
        <v>1352</v>
      </c>
      <c r="E653" t="s">
        <v>660</v>
      </c>
    </row>
    <row r="654" spans="8:8">
      <c r="B654" t="s">
        <v>1353</v>
      </c>
      <c r="C654">
        <v>514440.0</v>
      </c>
      <c r="D654" t="s">
        <v>339</v>
      </c>
      <c r="E654" t="s">
        <v>387</v>
      </c>
    </row>
    <row r="655" spans="8:8">
      <c r="B655" t="s">
        <v>1354</v>
      </c>
      <c r="C655">
        <v>500067.0</v>
      </c>
      <c r="D655" t="s">
        <v>1355</v>
      </c>
      <c r="E655" t="s">
        <v>708</v>
      </c>
    </row>
    <row r="656" spans="8:8">
      <c r="B656" t="s">
        <v>1356</v>
      </c>
      <c r="C656">
        <v>539637.0</v>
      </c>
      <c r="D656" t="s">
        <v>339</v>
      </c>
      <c r="E656" t="s">
        <v>322</v>
      </c>
    </row>
    <row r="657" spans="8:8">
      <c r="B657" t="s">
        <v>1357</v>
      </c>
      <c r="C657">
        <v>531713.0</v>
      </c>
      <c r="D657" t="s">
        <v>339</v>
      </c>
      <c r="E657" t="s">
        <v>760</v>
      </c>
    </row>
    <row r="658" spans="8:8">
      <c r="B658" t="s">
        <v>1358</v>
      </c>
      <c r="C658">
        <v>531420.0</v>
      </c>
      <c r="D658" t="s">
        <v>339</v>
      </c>
      <c r="E658" t="s">
        <v>342</v>
      </c>
    </row>
    <row r="659" spans="8:8">
      <c r="B659" t="s">
        <v>1359</v>
      </c>
      <c r="C659">
        <v>542669.0</v>
      </c>
      <c r="D659" t="s">
        <v>1360</v>
      </c>
      <c r="E659" t="s">
        <v>457</v>
      </c>
    </row>
    <row r="660" spans="8:8">
      <c r="B660" t="s">
        <v>1361</v>
      </c>
      <c r="C660">
        <v>500069.0</v>
      </c>
      <c r="D660" t="s">
        <v>339</v>
      </c>
      <c r="E660" t="s">
        <v>322</v>
      </c>
    </row>
    <row r="661" spans="8:8">
      <c r="B661" t="s">
        <v>1362</v>
      </c>
      <c r="C661">
        <v>530809.0</v>
      </c>
      <c r="D661" t="s">
        <v>339</v>
      </c>
      <c r="E661" t="s">
        <v>669</v>
      </c>
    </row>
    <row r="662" spans="8:8">
      <c r="B662" t="s">
        <v>1363</v>
      </c>
      <c r="C662">
        <v>524370.0</v>
      </c>
      <c r="D662" t="s">
        <v>1364</v>
      </c>
      <c r="E662" t="s">
        <v>499</v>
      </c>
    </row>
    <row r="663" spans="8:8">
      <c r="B663" t="s">
        <v>1365</v>
      </c>
      <c r="C663">
        <v>539122.0</v>
      </c>
      <c r="D663" t="s">
        <v>339</v>
      </c>
      <c r="E663" t="s">
        <v>325</v>
      </c>
    </row>
    <row r="664" spans="8:8">
      <c r="B664" t="s">
        <v>1366</v>
      </c>
      <c r="C664" t="s">
        <v>339</v>
      </c>
      <c r="D664" t="s">
        <v>1367</v>
      </c>
      <c r="E664" t="s">
        <v>350</v>
      </c>
    </row>
    <row r="665" spans="8:8">
      <c r="B665" t="s">
        <v>1368</v>
      </c>
      <c r="C665">
        <v>501425.0</v>
      </c>
      <c r="D665" t="s">
        <v>1369</v>
      </c>
      <c r="E665" t="s">
        <v>746</v>
      </c>
    </row>
    <row r="666" spans="8:8">
      <c r="B666" t="s">
        <v>1370</v>
      </c>
      <c r="C666">
        <v>501430.0</v>
      </c>
      <c r="D666" t="s">
        <v>339</v>
      </c>
      <c r="E666" t="s">
        <v>361</v>
      </c>
    </row>
    <row r="667" spans="8:8">
      <c r="B667" t="s">
        <v>1371</v>
      </c>
      <c r="C667">
        <v>500020.0</v>
      </c>
      <c r="D667" t="s">
        <v>1372</v>
      </c>
      <c r="E667" t="s">
        <v>354</v>
      </c>
    </row>
    <row r="668" spans="8:8">
      <c r="B668" t="s">
        <v>1373</v>
      </c>
      <c r="C668">
        <v>509470.0</v>
      </c>
      <c r="D668" t="s">
        <v>339</v>
      </c>
      <c r="E668" t="s">
        <v>1374</v>
      </c>
    </row>
    <row r="669" spans="8:8">
      <c r="B669" t="s">
        <v>1375</v>
      </c>
      <c r="C669">
        <v>502216.0</v>
      </c>
      <c r="D669" t="s">
        <v>339</v>
      </c>
      <c r="E669" t="s">
        <v>425</v>
      </c>
    </row>
    <row r="670" spans="8:8">
      <c r="B670" t="s">
        <v>1376</v>
      </c>
      <c r="C670">
        <v>532678.0</v>
      </c>
      <c r="D670" t="s">
        <v>1377</v>
      </c>
      <c r="E670" t="s">
        <v>354</v>
      </c>
    </row>
    <row r="671" spans="8:8">
      <c r="B671" t="s">
        <v>1378</v>
      </c>
      <c r="C671" t="s">
        <v>339</v>
      </c>
      <c r="D671" t="s">
        <v>1379</v>
      </c>
      <c r="E671" t="s">
        <v>350</v>
      </c>
    </row>
    <row r="672" spans="8:8">
      <c r="B672" t="s">
        <v>1380</v>
      </c>
      <c r="C672">
        <v>504648.0</v>
      </c>
      <c r="D672" t="s">
        <v>339</v>
      </c>
      <c r="E672" t="s">
        <v>662</v>
      </c>
    </row>
    <row r="673" spans="8:8">
      <c r="B673" t="s">
        <v>1381</v>
      </c>
      <c r="C673">
        <v>523133.0</v>
      </c>
      <c r="D673" t="s">
        <v>339</v>
      </c>
      <c r="E673" t="s">
        <v>354</v>
      </c>
    </row>
    <row r="674" spans="8:8">
      <c r="B674" t="s">
        <v>1382</v>
      </c>
      <c r="C674">
        <v>502219.0</v>
      </c>
      <c r="D674" t="s">
        <v>1383</v>
      </c>
      <c r="E674" t="s">
        <v>1384</v>
      </c>
    </row>
    <row r="675" spans="8:8">
      <c r="B675" t="s">
        <v>1385</v>
      </c>
      <c r="C675">
        <v>500530.0</v>
      </c>
      <c r="D675" t="s">
        <v>1386</v>
      </c>
      <c r="E675" t="s">
        <v>694</v>
      </c>
    </row>
    <row r="676" spans="8:8">
      <c r="B676" t="s">
        <v>1387</v>
      </c>
      <c r="C676">
        <v>536820.0</v>
      </c>
      <c r="D676" t="s">
        <v>339</v>
      </c>
      <c r="E676" t="s">
        <v>432</v>
      </c>
    </row>
    <row r="677" spans="8:8">
      <c r="B677" t="s">
        <v>1388</v>
      </c>
      <c r="C677">
        <v>536820.0</v>
      </c>
      <c r="D677" t="s">
        <v>339</v>
      </c>
      <c r="E677" t="s">
        <v>432</v>
      </c>
    </row>
    <row r="678" spans="8:8">
      <c r="B678" t="s">
        <v>1389</v>
      </c>
      <c r="C678">
        <v>535279.0</v>
      </c>
      <c r="D678" t="s">
        <v>339</v>
      </c>
      <c r="E678" t="s">
        <v>644</v>
      </c>
    </row>
    <row r="679" spans="8:8">
      <c r="B679" t="s">
        <v>1390</v>
      </c>
      <c r="C679">
        <v>500074.0</v>
      </c>
      <c r="D679" t="s">
        <v>1391</v>
      </c>
      <c r="E679" t="s">
        <v>708</v>
      </c>
    </row>
    <row r="680" spans="8:8">
      <c r="B680" t="s">
        <v>1392</v>
      </c>
      <c r="C680">
        <v>505690.0</v>
      </c>
      <c r="D680" t="s">
        <v>339</v>
      </c>
      <c r="E680" t="s">
        <v>417</v>
      </c>
    </row>
    <row r="681" spans="8:8">
      <c r="B681" t="s">
        <v>1393</v>
      </c>
      <c r="C681">
        <v>535693.0</v>
      </c>
      <c r="D681" t="s">
        <v>339</v>
      </c>
      <c r="E681" t="s">
        <v>737</v>
      </c>
    </row>
    <row r="682" spans="8:8">
      <c r="B682" t="s">
        <v>1394</v>
      </c>
      <c r="C682" t="s">
        <v>339</v>
      </c>
      <c r="D682" t="s">
        <v>1395</v>
      </c>
      <c r="E682" t="s">
        <v>350</v>
      </c>
    </row>
    <row r="683" spans="8:8">
      <c r="B683" t="s">
        <v>1396</v>
      </c>
      <c r="C683">
        <v>531203.0</v>
      </c>
      <c r="D683" t="s">
        <v>339</v>
      </c>
      <c r="E683" t="s">
        <v>423</v>
      </c>
    </row>
    <row r="684" spans="8:8">
      <c r="B684" t="s">
        <v>1397</v>
      </c>
      <c r="C684">
        <v>530207.0</v>
      </c>
      <c r="D684" t="s">
        <v>339</v>
      </c>
      <c r="E684" t="s">
        <v>377</v>
      </c>
    </row>
    <row r="685" spans="8:8">
      <c r="B685" t="s">
        <v>1398</v>
      </c>
      <c r="C685">
        <v>530249.0</v>
      </c>
      <c r="D685" t="s">
        <v>339</v>
      </c>
      <c r="E685" t="s">
        <v>322</v>
      </c>
    </row>
    <row r="686" spans="8:8">
      <c r="B686" t="s">
        <v>1399</v>
      </c>
      <c r="C686">
        <v>532929.0</v>
      </c>
      <c r="D686" t="s">
        <v>1400</v>
      </c>
      <c r="E686" t="s">
        <v>425</v>
      </c>
    </row>
    <row r="687" spans="8:8">
      <c r="B687" t="s">
        <v>1401</v>
      </c>
      <c r="C687">
        <v>526731.0</v>
      </c>
      <c r="D687" t="s">
        <v>339</v>
      </c>
      <c r="E687" t="s">
        <v>534</v>
      </c>
    </row>
    <row r="688" spans="8:8">
      <c r="B688" t="s">
        <v>1402</v>
      </c>
      <c r="C688" t="s">
        <v>339</v>
      </c>
      <c r="D688" t="s">
        <v>1403</v>
      </c>
      <c r="E688" t="s">
        <v>350</v>
      </c>
    </row>
    <row r="689" spans="8:8">
      <c r="B689" t="s">
        <v>1404</v>
      </c>
      <c r="C689">
        <v>532368.0</v>
      </c>
      <c r="D689" t="s">
        <v>1405</v>
      </c>
      <c r="E689" t="s">
        <v>432</v>
      </c>
    </row>
    <row r="690" spans="8:8">
      <c r="B690" t="s">
        <v>1406</v>
      </c>
      <c r="C690">
        <v>532113.0</v>
      </c>
      <c r="D690" t="s">
        <v>1407</v>
      </c>
      <c r="E690" t="s">
        <v>356</v>
      </c>
    </row>
    <row r="691" spans="8:8">
      <c r="B691" t="s">
        <v>1408</v>
      </c>
      <c r="C691">
        <v>539434.0</v>
      </c>
      <c r="D691" t="s">
        <v>339</v>
      </c>
      <c r="E691" t="s">
        <v>356</v>
      </c>
    </row>
    <row r="692" spans="8:8">
      <c r="B692" t="s">
        <v>1409</v>
      </c>
      <c r="C692">
        <v>500825.0</v>
      </c>
      <c r="D692" t="s">
        <v>1410</v>
      </c>
      <c r="E692" t="s">
        <v>399</v>
      </c>
    </row>
    <row r="693" spans="8:8">
      <c r="B693" t="s">
        <v>1411</v>
      </c>
      <c r="C693">
        <v>534731.0</v>
      </c>
      <c r="D693" t="s">
        <v>339</v>
      </c>
      <c r="E693" t="s">
        <v>737</v>
      </c>
    </row>
    <row r="694" spans="8:8">
      <c r="B694" t="s">
        <v>1412</v>
      </c>
      <c r="C694">
        <v>533543.0</v>
      </c>
      <c r="D694" t="s">
        <v>1413</v>
      </c>
      <c r="E694" t="s">
        <v>377</v>
      </c>
    </row>
    <row r="695" spans="8:8">
      <c r="B695" t="s">
        <v>1414</v>
      </c>
      <c r="C695" t="s">
        <v>339</v>
      </c>
      <c r="D695" t="s">
        <v>314</v>
      </c>
      <c r="E695" t="s">
        <v>430</v>
      </c>
    </row>
    <row r="696" spans="8:8">
      <c r="B696" t="s">
        <v>1415</v>
      </c>
      <c r="C696">
        <v>532123.0</v>
      </c>
      <c r="D696" t="s">
        <v>1416</v>
      </c>
      <c r="E696" t="s">
        <v>425</v>
      </c>
    </row>
    <row r="697" spans="8:8">
      <c r="B697" t="s">
        <v>1417</v>
      </c>
      <c r="C697">
        <v>514045.0</v>
      </c>
      <c r="D697" t="s">
        <v>1418</v>
      </c>
      <c r="E697" t="s">
        <v>354</v>
      </c>
    </row>
    <row r="698" spans="8:8">
      <c r="B698" t="s">
        <v>1419</v>
      </c>
      <c r="C698">
        <v>538789.0</v>
      </c>
      <c r="D698" t="s">
        <v>339</v>
      </c>
      <c r="E698" t="s">
        <v>576</v>
      </c>
    </row>
    <row r="699" spans="8:8">
      <c r="B699" t="s">
        <v>1420</v>
      </c>
      <c r="C699">
        <v>540006.0</v>
      </c>
      <c r="D699" t="s">
        <v>339</v>
      </c>
      <c r="E699" t="s">
        <v>322</v>
      </c>
    </row>
    <row r="700" spans="8:8">
      <c r="B700" t="s">
        <v>1421</v>
      </c>
      <c r="C700">
        <v>532931.0</v>
      </c>
      <c r="D700" t="s">
        <v>1422</v>
      </c>
      <c r="E700" t="s">
        <v>352</v>
      </c>
    </row>
    <row r="701" spans="8:8">
      <c r="B701" t="s">
        <v>1423</v>
      </c>
      <c r="C701">
        <v>517421.0</v>
      </c>
      <c r="D701" t="s">
        <v>1424</v>
      </c>
      <c r="E701" t="s">
        <v>1103</v>
      </c>
    </row>
    <row r="702" spans="8:8">
      <c r="B702" t="s">
        <v>1425</v>
      </c>
      <c r="C702">
        <v>504643.0</v>
      </c>
      <c r="D702" t="s">
        <v>339</v>
      </c>
      <c r="E702" t="s">
        <v>662</v>
      </c>
    </row>
    <row r="703" spans="8:8">
      <c r="B703" t="s">
        <v>1426</v>
      </c>
      <c r="C703">
        <v>532813.0</v>
      </c>
      <c r="D703" t="s">
        <v>1427</v>
      </c>
      <c r="E703" t="s">
        <v>737</v>
      </c>
    </row>
    <row r="704" spans="8:8">
      <c r="B704" t="s">
        <v>1428</v>
      </c>
      <c r="C704">
        <v>507515.0</v>
      </c>
      <c r="D704" t="s">
        <v>339</v>
      </c>
      <c r="E704" t="s">
        <v>499</v>
      </c>
    </row>
    <row r="705" spans="8:8">
      <c r="B705" t="s">
        <v>1429</v>
      </c>
      <c r="C705">
        <v>532321.0</v>
      </c>
      <c r="D705" t="s">
        <v>1430</v>
      </c>
      <c r="E705" t="s">
        <v>377</v>
      </c>
    </row>
    <row r="706" spans="8:8">
      <c r="B706" t="s">
        <v>1431</v>
      </c>
      <c r="C706" t="s">
        <v>339</v>
      </c>
      <c r="D706" t="s">
        <v>1432</v>
      </c>
      <c r="E706" t="s">
        <v>350</v>
      </c>
    </row>
    <row r="707" spans="8:8">
      <c r="B707" t="s">
        <v>1433</v>
      </c>
      <c r="C707" t="s">
        <v>339</v>
      </c>
      <c r="D707" t="s">
        <v>1432</v>
      </c>
      <c r="E707" t="s">
        <v>350</v>
      </c>
    </row>
    <row r="708" spans="8:8">
      <c r="B708" t="s">
        <v>1434</v>
      </c>
      <c r="C708">
        <v>517236.0</v>
      </c>
      <c r="D708" t="s">
        <v>339</v>
      </c>
      <c r="E708" t="s">
        <v>708</v>
      </c>
    </row>
    <row r="709" spans="8:8">
      <c r="B709" t="s">
        <v>1435</v>
      </c>
      <c r="C709">
        <v>532386.0</v>
      </c>
      <c r="D709" t="s">
        <v>1436</v>
      </c>
      <c r="E709" t="s">
        <v>432</v>
      </c>
    </row>
    <row r="710" spans="8:8">
      <c r="B710" t="s">
        <v>1437</v>
      </c>
      <c r="C710">
        <v>532801.0</v>
      </c>
      <c r="D710" t="s">
        <v>1438</v>
      </c>
      <c r="E710" t="s">
        <v>432</v>
      </c>
    </row>
    <row r="711" spans="8:8">
      <c r="B711" t="s">
        <v>1439</v>
      </c>
      <c r="C711">
        <v>524440.0</v>
      </c>
      <c r="D711" t="s">
        <v>339</v>
      </c>
      <c r="E711" t="s">
        <v>387</v>
      </c>
    </row>
    <row r="712" spans="8:8">
      <c r="B712" t="s">
        <v>1440</v>
      </c>
      <c r="C712">
        <v>532834.0</v>
      </c>
      <c r="D712" t="s">
        <v>1441</v>
      </c>
      <c r="E712" t="s">
        <v>499</v>
      </c>
    </row>
    <row r="713" spans="8:8">
      <c r="B713" t="s">
        <v>1442</v>
      </c>
      <c r="C713">
        <v>538858.0</v>
      </c>
      <c r="D713" t="s">
        <v>339</v>
      </c>
      <c r="E713" t="s">
        <v>677</v>
      </c>
    </row>
    <row r="714" spans="8:8">
      <c r="B714" t="s">
        <v>1443</v>
      </c>
      <c r="C714">
        <v>540071.0</v>
      </c>
      <c r="D714" t="s">
        <v>339</v>
      </c>
      <c r="E714" t="s">
        <v>537</v>
      </c>
    </row>
    <row r="715" spans="8:8">
      <c r="B715" t="s">
        <v>1444</v>
      </c>
      <c r="C715">
        <v>511196.0</v>
      </c>
      <c r="D715" t="s">
        <v>1445</v>
      </c>
      <c r="E715" t="s">
        <v>397</v>
      </c>
    </row>
    <row r="716" spans="8:8">
      <c r="B716" t="s">
        <v>1446</v>
      </c>
      <c r="C716">
        <v>532483.0</v>
      </c>
      <c r="D716" t="s">
        <v>1447</v>
      </c>
      <c r="E716" t="s">
        <v>657</v>
      </c>
    </row>
    <row r="717" spans="8:8">
      <c r="B717" t="s">
        <v>1448</v>
      </c>
      <c r="C717">
        <v>539304.0</v>
      </c>
      <c r="D717" t="s">
        <v>339</v>
      </c>
      <c r="E717" t="s">
        <v>322</v>
      </c>
    </row>
    <row r="718" spans="8:8">
      <c r="B718" t="s">
        <v>1449</v>
      </c>
      <c r="C718">
        <v>533267.0</v>
      </c>
      <c r="D718" t="s">
        <v>1450</v>
      </c>
      <c r="E718" t="s">
        <v>453</v>
      </c>
    </row>
    <row r="719" spans="8:8">
      <c r="B719" t="s">
        <v>1451</v>
      </c>
      <c r="C719">
        <v>533267.0</v>
      </c>
      <c r="D719" t="s">
        <v>1450</v>
      </c>
      <c r="E719" t="s">
        <v>453</v>
      </c>
    </row>
    <row r="720" spans="8:8">
      <c r="B720" t="s">
        <v>1452</v>
      </c>
      <c r="C720">
        <v>540710.0</v>
      </c>
      <c r="D720" t="s">
        <v>1453</v>
      </c>
      <c r="E720" t="s">
        <v>425</v>
      </c>
    </row>
    <row r="721" spans="8:8">
      <c r="B721" t="s">
        <v>1454</v>
      </c>
      <c r="C721">
        <v>539198.0</v>
      </c>
      <c r="D721" t="s">
        <v>339</v>
      </c>
      <c r="E721" t="s">
        <v>322</v>
      </c>
    </row>
    <row r="722" spans="8:8">
      <c r="B722" t="s">
        <v>1455</v>
      </c>
      <c r="C722">
        <v>539198.0</v>
      </c>
      <c r="D722" t="s">
        <v>339</v>
      </c>
      <c r="E722" t="s">
        <v>322</v>
      </c>
    </row>
    <row r="723" spans="8:8">
      <c r="B723" t="s">
        <v>1456</v>
      </c>
      <c r="C723">
        <v>532938.0</v>
      </c>
      <c r="D723" t="s">
        <v>1457</v>
      </c>
      <c r="E723" t="s">
        <v>322</v>
      </c>
    </row>
    <row r="724" spans="8:8">
      <c r="B724" t="s">
        <v>1458</v>
      </c>
      <c r="C724">
        <v>530879.0</v>
      </c>
      <c r="D724" t="s">
        <v>339</v>
      </c>
      <c r="E724" t="s">
        <v>322</v>
      </c>
    </row>
    <row r="725" spans="8:8">
      <c r="B725" t="s">
        <v>1459</v>
      </c>
      <c r="C725">
        <v>538476.0</v>
      </c>
      <c r="D725" t="s">
        <v>339</v>
      </c>
      <c r="E725" t="s">
        <v>356</v>
      </c>
    </row>
    <row r="726" spans="8:8">
      <c r="B726" t="s">
        <v>1460</v>
      </c>
      <c r="C726">
        <v>511505.0</v>
      </c>
      <c r="D726" t="s">
        <v>1461</v>
      </c>
      <c r="E726" t="s">
        <v>356</v>
      </c>
    </row>
    <row r="727" spans="8:8">
      <c r="B727" t="s">
        <v>1462</v>
      </c>
      <c r="C727">
        <v>524742.0</v>
      </c>
      <c r="D727" t="s">
        <v>1463</v>
      </c>
      <c r="E727" t="s">
        <v>377</v>
      </c>
    </row>
    <row r="728" spans="8:8">
      <c r="B728" t="s">
        <v>1464</v>
      </c>
      <c r="C728">
        <v>531595.0</v>
      </c>
      <c r="D728" t="s">
        <v>1465</v>
      </c>
      <c r="E728" t="s">
        <v>356</v>
      </c>
    </row>
    <row r="729" spans="8:8">
      <c r="B729" t="s">
        <v>1466</v>
      </c>
      <c r="C729">
        <v>512169.0</v>
      </c>
      <c r="D729" t="s">
        <v>339</v>
      </c>
      <c r="E729" t="s">
        <v>760</v>
      </c>
    </row>
    <row r="730" spans="8:8">
      <c r="B730" t="s">
        <v>1467</v>
      </c>
      <c r="C730">
        <v>509486.0</v>
      </c>
      <c r="D730" t="s">
        <v>339</v>
      </c>
      <c r="E730" t="s">
        <v>459</v>
      </c>
    </row>
    <row r="731" spans="8:8">
      <c r="B731" t="s">
        <v>1468</v>
      </c>
      <c r="C731">
        <v>509486.0</v>
      </c>
      <c r="D731" t="s">
        <v>339</v>
      </c>
      <c r="E731" t="s">
        <v>459</v>
      </c>
    </row>
    <row r="732" spans="8:8">
      <c r="B732" t="s">
        <v>1469</v>
      </c>
      <c r="C732">
        <v>507486.0</v>
      </c>
      <c r="D732" t="s">
        <v>339</v>
      </c>
      <c r="E732" t="s">
        <v>387</v>
      </c>
    </row>
    <row r="733" spans="8:8">
      <c r="B733" t="s">
        <v>1470</v>
      </c>
      <c r="C733">
        <v>538817.0</v>
      </c>
      <c r="D733" t="s">
        <v>339</v>
      </c>
      <c r="E733" t="s">
        <v>459</v>
      </c>
    </row>
    <row r="734" spans="8:8">
      <c r="B734" t="s">
        <v>1471</v>
      </c>
      <c r="C734">
        <v>536974.0</v>
      </c>
      <c r="D734" t="s">
        <v>339</v>
      </c>
      <c r="E734" t="s">
        <v>459</v>
      </c>
    </row>
    <row r="735" spans="8:8">
      <c r="B735" t="s">
        <v>1472</v>
      </c>
      <c r="C735">
        <v>540652.0</v>
      </c>
      <c r="D735" t="s">
        <v>339</v>
      </c>
      <c r="E735" t="s">
        <v>524</v>
      </c>
    </row>
    <row r="736" spans="8:8">
      <c r="B736" t="s">
        <v>1473</v>
      </c>
      <c r="C736">
        <v>513375.0</v>
      </c>
      <c r="D736" t="s">
        <v>1474</v>
      </c>
      <c r="E736" t="s">
        <v>1258</v>
      </c>
    </row>
    <row r="737" spans="8:8">
      <c r="B737" t="s">
        <v>1475</v>
      </c>
      <c r="C737">
        <v>534804.0</v>
      </c>
      <c r="D737" t="s">
        <v>1476</v>
      </c>
      <c r="E737" t="s">
        <v>322</v>
      </c>
    </row>
    <row r="738" spans="8:8">
      <c r="B738" t="s">
        <v>1477</v>
      </c>
      <c r="C738">
        <v>533260.0</v>
      </c>
      <c r="D738" t="s">
        <v>1478</v>
      </c>
      <c r="E738" t="s">
        <v>444</v>
      </c>
    </row>
    <row r="739" spans="8:8">
      <c r="B739" t="s">
        <v>1479</v>
      </c>
      <c r="C739">
        <v>530609.0</v>
      </c>
      <c r="D739" t="s">
        <v>339</v>
      </c>
      <c r="E739" t="s">
        <v>1258</v>
      </c>
    </row>
    <row r="740" spans="8:8">
      <c r="B740" t="s">
        <v>1480</v>
      </c>
      <c r="C740">
        <v>532282.0</v>
      </c>
      <c r="D740" t="s">
        <v>1481</v>
      </c>
      <c r="E740" t="s">
        <v>694</v>
      </c>
    </row>
    <row r="741" spans="8:8">
      <c r="B741" t="s">
        <v>1482</v>
      </c>
      <c r="C741">
        <v>500870.0</v>
      </c>
      <c r="D741" t="s">
        <v>1483</v>
      </c>
      <c r="E741" t="s">
        <v>549</v>
      </c>
    </row>
    <row r="742" spans="8:8">
      <c r="B742" t="s">
        <v>1484</v>
      </c>
      <c r="C742">
        <v>500870.0</v>
      </c>
      <c r="D742" t="s">
        <v>1483</v>
      </c>
      <c r="E742" t="s">
        <v>549</v>
      </c>
    </row>
    <row r="743" spans="8:8">
      <c r="B743" t="s">
        <v>1485</v>
      </c>
      <c r="C743">
        <v>531682.0</v>
      </c>
      <c r="D743" t="s">
        <v>339</v>
      </c>
      <c r="E743" t="s">
        <v>325</v>
      </c>
    </row>
    <row r="744" spans="8:8">
      <c r="B744" t="s">
        <v>1486</v>
      </c>
      <c r="C744">
        <v>531158.0</v>
      </c>
      <c r="D744" t="s">
        <v>339</v>
      </c>
      <c r="E744" t="s">
        <v>361</v>
      </c>
    </row>
    <row r="745" spans="8:8">
      <c r="B745" t="s">
        <v>1487</v>
      </c>
      <c r="C745">
        <v>531900.0</v>
      </c>
      <c r="D745" t="s">
        <v>339</v>
      </c>
      <c r="E745" t="s">
        <v>361</v>
      </c>
    </row>
    <row r="746" spans="8:8">
      <c r="B746" t="s">
        <v>1488</v>
      </c>
      <c r="C746">
        <v>519600.0</v>
      </c>
      <c r="D746" t="s">
        <v>1489</v>
      </c>
      <c r="E746" t="s">
        <v>746</v>
      </c>
    </row>
    <row r="747" spans="8:8">
      <c r="B747" t="s">
        <v>1490</v>
      </c>
      <c r="C747">
        <v>519600.0</v>
      </c>
      <c r="D747" t="s">
        <v>1489</v>
      </c>
      <c r="E747" t="s">
        <v>746</v>
      </c>
    </row>
    <row r="748" spans="8:8">
      <c r="B748" t="s">
        <v>1491</v>
      </c>
      <c r="C748">
        <v>500878.0</v>
      </c>
      <c r="D748" t="s">
        <v>1492</v>
      </c>
      <c r="E748" t="s">
        <v>819</v>
      </c>
    </row>
    <row r="749" spans="8:8">
      <c r="B749" t="s">
        <v>1493</v>
      </c>
      <c r="C749">
        <v>530789.0</v>
      </c>
      <c r="D749" t="s">
        <v>339</v>
      </c>
      <c r="E749" t="s">
        <v>459</v>
      </c>
    </row>
    <row r="750" spans="8:8">
      <c r="B750" t="s">
        <v>1494</v>
      </c>
      <c r="C750">
        <v>531119.0</v>
      </c>
      <c r="D750" t="s">
        <v>339</v>
      </c>
      <c r="E750" t="s">
        <v>453</v>
      </c>
    </row>
    <row r="751" spans="8:8">
      <c r="B751" t="s">
        <v>1495</v>
      </c>
      <c r="C751">
        <v>531119.0</v>
      </c>
      <c r="D751" t="s">
        <v>339</v>
      </c>
      <c r="E751" t="s">
        <v>453</v>
      </c>
    </row>
    <row r="752" spans="8:8">
      <c r="B752" t="s">
        <v>1496</v>
      </c>
      <c r="C752">
        <v>514171.0</v>
      </c>
      <c r="D752" t="s">
        <v>339</v>
      </c>
      <c r="E752" t="s">
        <v>867</v>
      </c>
    </row>
    <row r="753" spans="8:8">
      <c r="B753" t="s">
        <v>1497</v>
      </c>
      <c r="C753">
        <v>538734.0</v>
      </c>
      <c r="D753" t="s">
        <v>339</v>
      </c>
      <c r="E753" t="s">
        <v>325</v>
      </c>
    </row>
    <row r="754" spans="8:8">
      <c r="B754" t="s">
        <v>1498</v>
      </c>
      <c r="C754">
        <v>532695.0</v>
      </c>
      <c r="D754" t="s">
        <v>1499</v>
      </c>
      <c r="E754" t="s">
        <v>453</v>
      </c>
    </row>
    <row r="755" spans="8:8">
      <c r="B755" t="s">
        <v>1500</v>
      </c>
      <c r="C755">
        <v>532871.0</v>
      </c>
      <c r="D755" t="s">
        <v>1501</v>
      </c>
      <c r="E755" t="s">
        <v>677</v>
      </c>
    </row>
    <row r="756" spans="8:8">
      <c r="B756" t="s">
        <v>1502</v>
      </c>
      <c r="C756">
        <v>532701.0</v>
      </c>
      <c r="D756" t="s">
        <v>339</v>
      </c>
      <c r="E756" t="s">
        <v>333</v>
      </c>
    </row>
    <row r="757" spans="8:8">
      <c r="B757" t="s">
        <v>1503</v>
      </c>
      <c r="C757">
        <v>522251.0</v>
      </c>
      <c r="D757" t="s">
        <v>339</v>
      </c>
      <c r="E757" t="s">
        <v>347</v>
      </c>
    </row>
    <row r="758" spans="8:8">
      <c r="B758" t="s">
        <v>1504</v>
      </c>
      <c r="C758">
        <v>531380.0</v>
      </c>
      <c r="D758" t="s">
        <v>339</v>
      </c>
      <c r="E758" t="s">
        <v>1505</v>
      </c>
    </row>
    <row r="759" spans="8:8">
      <c r="B759" t="s">
        <v>1506</v>
      </c>
      <c r="C759">
        <v>532885.0</v>
      </c>
      <c r="D759" t="s">
        <v>1507</v>
      </c>
      <c r="E759" t="s">
        <v>657</v>
      </c>
    </row>
    <row r="760" spans="8:8">
      <c r="B760" t="s">
        <v>1508</v>
      </c>
      <c r="C760" t="s">
        <v>339</v>
      </c>
      <c r="D760" t="s">
        <v>1509</v>
      </c>
      <c r="E760" t="s">
        <v>430</v>
      </c>
    </row>
    <row r="761" spans="8:8">
      <c r="B761" t="s">
        <v>1510</v>
      </c>
      <c r="C761" t="s">
        <v>339</v>
      </c>
      <c r="D761" t="s">
        <v>1509</v>
      </c>
      <c r="E761" t="s">
        <v>430</v>
      </c>
    </row>
    <row r="762" spans="8:8">
      <c r="B762" t="s">
        <v>1511</v>
      </c>
      <c r="C762">
        <v>501827.0</v>
      </c>
      <c r="D762" t="s">
        <v>339</v>
      </c>
      <c r="E762" t="s">
        <v>411</v>
      </c>
    </row>
    <row r="763" spans="8:8">
      <c r="B763" t="s">
        <v>1512</v>
      </c>
      <c r="C763">
        <v>501150.0</v>
      </c>
      <c r="D763" t="s">
        <v>1513</v>
      </c>
      <c r="E763" t="s">
        <v>322</v>
      </c>
    </row>
    <row r="764" spans="8:8">
      <c r="B764" t="s">
        <v>1514</v>
      </c>
      <c r="C764">
        <v>517544.0</v>
      </c>
      <c r="D764" t="s">
        <v>1515</v>
      </c>
      <c r="E764" t="s">
        <v>760</v>
      </c>
    </row>
    <row r="765" spans="8:8">
      <c r="B765" t="s">
        <v>1516</v>
      </c>
      <c r="C765">
        <v>500280.0</v>
      </c>
      <c r="D765" t="s">
        <v>1517</v>
      </c>
      <c r="E765" t="s">
        <v>354</v>
      </c>
    </row>
    <row r="766" spans="8:8">
      <c r="B766" t="s">
        <v>1518</v>
      </c>
      <c r="C766">
        <v>500083.0</v>
      </c>
      <c r="D766" t="s">
        <v>1519</v>
      </c>
      <c r="E766" t="s">
        <v>644</v>
      </c>
    </row>
    <row r="767" spans="8:8">
      <c r="B767" t="s">
        <v>1520</v>
      </c>
      <c r="C767">
        <v>532548.0</v>
      </c>
      <c r="D767" t="s">
        <v>1521</v>
      </c>
      <c r="E767" t="s">
        <v>834</v>
      </c>
    </row>
    <row r="768" spans="8:8">
      <c r="B768" t="s">
        <v>1522</v>
      </c>
      <c r="C768">
        <v>532548.0</v>
      </c>
      <c r="D768" t="s">
        <v>1521</v>
      </c>
      <c r="E768" t="s">
        <v>834</v>
      </c>
    </row>
    <row r="769" spans="8:8">
      <c r="B769" t="s">
        <v>1523</v>
      </c>
      <c r="C769">
        <v>500040.0</v>
      </c>
      <c r="D769" t="s">
        <v>1524</v>
      </c>
      <c r="E769" t="s">
        <v>352</v>
      </c>
    </row>
    <row r="770" spans="8:8">
      <c r="B770" t="s">
        <v>1525</v>
      </c>
      <c r="C770">
        <v>530881.0</v>
      </c>
      <c r="D770" t="s">
        <v>339</v>
      </c>
      <c r="E770" t="s">
        <v>322</v>
      </c>
    </row>
    <row r="771" spans="8:8">
      <c r="B771" t="s">
        <v>1526</v>
      </c>
      <c r="C771">
        <v>532443.0</v>
      </c>
      <c r="D771" t="s">
        <v>1527</v>
      </c>
      <c r="E771" t="s">
        <v>616</v>
      </c>
    </row>
    <row r="772" spans="8:8">
      <c r="B772" t="s">
        <v>1528</v>
      </c>
      <c r="C772">
        <v>532413.0</v>
      </c>
      <c r="D772" t="s">
        <v>1529</v>
      </c>
      <c r="E772" t="s">
        <v>664</v>
      </c>
    </row>
    <row r="773" spans="8:8">
      <c r="B773" t="s">
        <v>1530</v>
      </c>
      <c r="C773">
        <v>512341.0</v>
      </c>
      <c r="D773" t="s">
        <v>339</v>
      </c>
      <c r="E773" t="s">
        <v>669</v>
      </c>
    </row>
    <row r="774" spans="8:8">
      <c r="B774" t="s">
        <v>1531</v>
      </c>
      <c r="C774">
        <v>500084.0</v>
      </c>
      <c r="D774" t="s">
        <v>1532</v>
      </c>
      <c r="E774" t="s">
        <v>478</v>
      </c>
    </row>
    <row r="775" spans="8:8">
      <c r="B775" t="s">
        <v>1533</v>
      </c>
      <c r="C775" t="s">
        <v>339</v>
      </c>
      <c r="D775" t="s">
        <v>1534</v>
      </c>
      <c r="E775" t="s">
        <v>1535</v>
      </c>
    </row>
    <row r="776" spans="8:8">
      <c r="B776" t="s">
        <v>1536</v>
      </c>
      <c r="C776">
        <v>542333.0</v>
      </c>
      <c r="D776" t="s">
        <v>1537</v>
      </c>
      <c r="E776" t="s">
        <v>1535</v>
      </c>
    </row>
    <row r="777" spans="8:8">
      <c r="B777" t="s">
        <v>1538</v>
      </c>
      <c r="C777">
        <v>500093.0</v>
      </c>
      <c r="D777" t="s">
        <v>1539</v>
      </c>
      <c r="E777" t="s">
        <v>382</v>
      </c>
    </row>
    <row r="778" spans="8:8">
      <c r="B778" t="s">
        <v>1540</v>
      </c>
      <c r="C778">
        <v>531489.0</v>
      </c>
      <c r="D778" t="s">
        <v>339</v>
      </c>
      <c r="E778" t="s">
        <v>432</v>
      </c>
    </row>
    <row r="779" spans="8:8">
      <c r="B779" t="s">
        <v>1541</v>
      </c>
      <c r="C779">
        <v>531946.0</v>
      </c>
      <c r="D779" t="s">
        <v>339</v>
      </c>
      <c r="E779" t="s">
        <v>333</v>
      </c>
    </row>
    <row r="780" spans="8:8">
      <c r="B780" t="s">
        <v>1542</v>
      </c>
      <c r="C780">
        <v>542399.0</v>
      </c>
      <c r="D780" t="s">
        <v>1543</v>
      </c>
      <c r="E780" t="s">
        <v>540</v>
      </c>
    </row>
    <row r="781" spans="8:8">
      <c r="B781" t="s">
        <v>1544</v>
      </c>
      <c r="C781">
        <v>539600.0</v>
      </c>
      <c r="D781" t="s">
        <v>339</v>
      </c>
      <c r="E781" t="s">
        <v>361</v>
      </c>
    </row>
    <row r="782" spans="8:8">
      <c r="B782" t="s">
        <v>1545</v>
      </c>
      <c r="C782">
        <v>530307.0</v>
      </c>
      <c r="D782" t="s">
        <v>339</v>
      </c>
      <c r="E782" t="s">
        <v>537</v>
      </c>
    </row>
    <row r="783" spans="8:8">
      <c r="B783" t="s">
        <v>1546</v>
      </c>
      <c r="C783">
        <v>512301.0</v>
      </c>
      <c r="D783" t="s">
        <v>339</v>
      </c>
      <c r="E783" t="s">
        <v>361</v>
      </c>
    </row>
    <row r="784" spans="8:8">
      <c r="B784" t="s">
        <v>1547</v>
      </c>
      <c r="C784">
        <v>500085.0</v>
      </c>
      <c r="D784" t="s">
        <v>1548</v>
      </c>
      <c r="E784" t="s">
        <v>847</v>
      </c>
    </row>
    <row r="785" spans="8:8">
      <c r="B785" t="s">
        <v>1549</v>
      </c>
      <c r="C785">
        <v>542627.0</v>
      </c>
      <c r="D785" t="s">
        <v>1550</v>
      </c>
      <c r="E785" t="s">
        <v>705</v>
      </c>
    </row>
    <row r="786" spans="8:8">
      <c r="B786" t="s">
        <v>1551</v>
      </c>
      <c r="C786">
        <v>522292.0</v>
      </c>
      <c r="D786" t="s">
        <v>339</v>
      </c>
      <c r="E786" t="s">
        <v>354</v>
      </c>
    </row>
    <row r="787" spans="8:8">
      <c r="B787" t="s">
        <v>1552</v>
      </c>
      <c r="C787">
        <v>530309.0</v>
      </c>
      <c r="D787" t="s">
        <v>339</v>
      </c>
      <c r="E787" t="s">
        <v>361</v>
      </c>
    </row>
    <row r="788" spans="8:8">
      <c r="B788" t="s">
        <v>1553</v>
      </c>
      <c r="C788">
        <v>540829.0</v>
      </c>
      <c r="D788" t="s">
        <v>339</v>
      </c>
      <c r="E788" t="s">
        <v>361</v>
      </c>
    </row>
    <row r="789" spans="8:8">
      <c r="B789" t="s">
        <v>1554</v>
      </c>
      <c r="C789">
        <v>535142.0</v>
      </c>
      <c r="D789" t="s">
        <v>339</v>
      </c>
      <c r="E789" t="s">
        <v>342</v>
      </c>
    </row>
    <row r="790" spans="8:8">
      <c r="B790" t="s">
        <v>1555</v>
      </c>
      <c r="C790">
        <v>531327.0</v>
      </c>
      <c r="D790" t="s">
        <v>339</v>
      </c>
      <c r="E790" t="s">
        <v>322</v>
      </c>
    </row>
    <row r="791" spans="8:8">
      <c r="B791" t="s">
        <v>1556</v>
      </c>
      <c r="C791">
        <v>511696.0</v>
      </c>
      <c r="D791" t="s">
        <v>339</v>
      </c>
      <c r="E791" t="s">
        <v>322</v>
      </c>
    </row>
    <row r="792" spans="8:8">
      <c r="B792" t="s">
        <v>1557</v>
      </c>
      <c r="C792">
        <v>531977.0</v>
      </c>
      <c r="D792" t="s">
        <v>339</v>
      </c>
      <c r="E792" t="s">
        <v>411</v>
      </c>
    </row>
    <row r="793" spans="8:8">
      <c r="B793" t="s">
        <v>1558</v>
      </c>
      <c r="C793">
        <v>504671.0</v>
      </c>
      <c r="D793" t="s">
        <v>339</v>
      </c>
      <c r="E793" t="s">
        <v>371</v>
      </c>
    </row>
    <row r="794" spans="8:8">
      <c r="B794" t="s">
        <v>1559</v>
      </c>
      <c r="C794">
        <v>539800.0</v>
      </c>
      <c r="D794" t="s">
        <v>339</v>
      </c>
      <c r="E794" t="s">
        <v>361</v>
      </c>
    </row>
    <row r="795" spans="8:8">
      <c r="B795" t="s">
        <v>1560</v>
      </c>
      <c r="C795">
        <v>526917.0</v>
      </c>
      <c r="D795" t="s">
        <v>339</v>
      </c>
      <c r="E795" t="s">
        <v>425</v>
      </c>
    </row>
    <row r="796" spans="8:8">
      <c r="B796" t="s">
        <v>1561</v>
      </c>
      <c r="C796">
        <v>530871.0</v>
      </c>
      <c r="D796" t="s">
        <v>339</v>
      </c>
      <c r="E796" t="s">
        <v>499</v>
      </c>
    </row>
    <row r="797" spans="8:8">
      <c r="B797" t="s">
        <v>1562</v>
      </c>
      <c r="C797">
        <v>540395.0</v>
      </c>
      <c r="D797" t="s">
        <v>339</v>
      </c>
      <c r="E797" t="s">
        <v>499</v>
      </c>
    </row>
    <row r="798" spans="8:8">
      <c r="B798" t="s">
        <v>1563</v>
      </c>
      <c r="C798">
        <v>541269.0</v>
      </c>
      <c r="D798" t="s">
        <v>1564</v>
      </c>
      <c r="E798" t="s">
        <v>387</v>
      </c>
    </row>
    <row r="799" spans="8:8">
      <c r="B799" t="s">
        <v>1565</v>
      </c>
      <c r="C799">
        <v>539230.0</v>
      </c>
      <c r="D799" t="s">
        <v>339</v>
      </c>
      <c r="E799" t="s">
        <v>499</v>
      </c>
    </row>
    <row r="800" spans="8:8">
      <c r="B800" t="s">
        <v>1566</v>
      </c>
      <c r="C800">
        <v>506365.0</v>
      </c>
      <c r="D800" t="s">
        <v>339</v>
      </c>
      <c r="E800" t="s">
        <v>377</v>
      </c>
    </row>
    <row r="801" spans="8:8">
      <c r="B801" t="s">
        <v>1567</v>
      </c>
      <c r="C801">
        <v>537326.0</v>
      </c>
      <c r="D801" t="s">
        <v>339</v>
      </c>
      <c r="E801" t="s">
        <v>347</v>
      </c>
    </row>
    <row r="802" spans="8:8">
      <c r="B802" t="s">
        <v>1568</v>
      </c>
      <c r="C802">
        <v>539011.0</v>
      </c>
      <c r="D802" t="s">
        <v>339</v>
      </c>
      <c r="E802" t="s">
        <v>371</v>
      </c>
    </row>
    <row r="803" spans="8:8">
      <c r="B803" t="s">
        <v>1569</v>
      </c>
      <c r="C803">
        <v>523489.0</v>
      </c>
      <c r="D803" t="s">
        <v>339</v>
      </c>
      <c r="E803" t="s">
        <v>528</v>
      </c>
    </row>
    <row r="804" spans="8:8">
      <c r="B804" t="s">
        <v>1570</v>
      </c>
      <c r="C804">
        <v>500110.0</v>
      </c>
      <c r="D804" t="s">
        <v>1571</v>
      </c>
      <c r="E804" t="s">
        <v>1267</v>
      </c>
    </row>
    <row r="805" spans="8:8">
      <c r="B805" t="s">
        <v>1572</v>
      </c>
      <c r="C805">
        <v>526817.0</v>
      </c>
      <c r="D805" t="s">
        <v>339</v>
      </c>
      <c r="E805" t="s">
        <v>576</v>
      </c>
    </row>
    <row r="806" spans="8:8">
      <c r="B806" t="s">
        <v>1573</v>
      </c>
      <c r="C806">
        <v>521244.0</v>
      </c>
      <c r="D806" t="s">
        <v>339</v>
      </c>
      <c r="E806" t="s">
        <v>354</v>
      </c>
    </row>
    <row r="807" spans="8:8">
      <c r="B807" t="s">
        <v>1574</v>
      </c>
      <c r="C807">
        <v>532992.0</v>
      </c>
      <c r="D807" t="s">
        <v>339</v>
      </c>
      <c r="E807" t="s">
        <v>540</v>
      </c>
    </row>
    <row r="808" spans="8:8">
      <c r="B808" t="s">
        <v>1575</v>
      </c>
      <c r="C808">
        <v>531358.0</v>
      </c>
      <c r="D808" t="s">
        <v>339</v>
      </c>
      <c r="E808" t="s">
        <v>356</v>
      </c>
    </row>
    <row r="809" spans="8:8">
      <c r="B809" t="s">
        <v>1576</v>
      </c>
      <c r="C809">
        <v>530427.0</v>
      </c>
      <c r="D809" t="s">
        <v>339</v>
      </c>
      <c r="E809" t="s">
        <v>1577</v>
      </c>
    </row>
    <row r="810" spans="8:8">
      <c r="B810" t="s">
        <v>1578</v>
      </c>
      <c r="C810">
        <v>526546.0</v>
      </c>
      <c r="D810" t="s">
        <v>339</v>
      </c>
      <c r="E810" t="s">
        <v>528</v>
      </c>
    </row>
    <row r="811" spans="8:8">
      <c r="B811" t="s">
        <v>1579</v>
      </c>
      <c r="C811">
        <v>511243.0</v>
      </c>
      <c r="D811" t="s">
        <v>1580</v>
      </c>
      <c r="E811" t="s">
        <v>356</v>
      </c>
    </row>
    <row r="812" spans="8:8">
      <c r="B812" t="s">
        <v>1581</v>
      </c>
      <c r="C812">
        <v>511243.0</v>
      </c>
      <c r="D812" t="s">
        <v>1582</v>
      </c>
      <c r="E812" t="s">
        <v>356</v>
      </c>
    </row>
    <row r="813" spans="8:8">
      <c r="B813" t="s">
        <v>1583</v>
      </c>
      <c r="C813">
        <v>519475.0</v>
      </c>
      <c r="D813" t="s">
        <v>339</v>
      </c>
      <c r="E813" t="s">
        <v>419</v>
      </c>
    </row>
    <row r="814" spans="8:8">
      <c r="B814" t="s">
        <v>1584</v>
      </c>
      <c r="C814">
        <v>540681.0</v>
      </c>
      <c r="D814" t="s">
        <v>339</v>
      </c>
      <c r="E814" t="s">
        <v>399</v>
      </c>
    </row>
    <row r="815" spans="8:8">
      <c r="B815" t="s">
        <v>1585</v>
      </c>
      <c r="C815">
        <v>501833.0</v>
      </c>
      <c r="D815" t="s">
        <v>339</v>
      </c>
      <c r="E815" t="s">
        <v>1586</v>
      </c>
    </row>
    <row r="816" spans="8:8">
      <c r="B816" t="s">
        <v>1587</v>
      </c>
      <c r="C816">
        <v>539335.0</v>
      </c>
      <c r="D816" t="s">
        <v>339</v>
      </c>
      <c r="E816" t="s">
        <v>361</v>
      </c>
    </row>
    <row r="817" spans="8:8">
      <c r="B817" t="s">
        <v>1588</v>
      </c>
      <c r="C817">
        <v>530191.0</v>
      </c>
      <c r="D817" t="s">
        <v>1589</v>
      </c>
      <c r="E817" t="s">
        <v>499</v>
      </c>
    </row>
    <row r="818" spans="8:8">
      <c r="B818" t="s">
        <v>1590</v>
      </c>
      <c r="C818">
        <v>530191.0</v>
      </c>
      <c r="D818" t="s">
        <v>1589</v>
      </c>
      <c r="E818" t="s">
        <v>499</v>
      </c>
    </row>
    <row r="819" spans="8:8">
      <c r="B819" t="s">
        <v>1591</v>
      </c>
      <c r="C819">
        <v>519477.0</v>
      </c>
      <c r="D819" t="s">
        <v>339</v>
      </c>
      <c r="E819" t="s">
        <v>588</v>
      </c>
    </row>
    <row r="820" spans="8:8">
      <c r="B820" t="s">
        <v>1592</v>
      </c>
      <c r="C820">
        <v>542678.0</v>
      </c>
      <c r="D820" t="s">
        <v>1593</v>
      </c>
      <c r="E820" t="s">
        <v>377</v>
      </c>
    </row>
    <row r="821" spans="8:8">
      <c r="B821" t="s">
        <v>1594</v>
      </c>
      <c r="C821">
        <v>534758.0</v>
      </c>
      <c r="D821" t="s">
        <v>1595</v>
      </c>
      <c r="E821" t="s">
        <v>325</v>
      </c>
    </row>
    <row r="822" spans="8:8">
      <c r="B822" t="s">
        <v>1596</v>
      </c>
      <c r="C822">
        <v>533407.0</v>
      </c>
      <c r="D822" t="s">
        <v>1597</v>
      </c>
      <c r="E822" t="s">
        <v>354</v>
      </c>
    </row>
    <row r="823" spans="8:8">
      <c r="B823" t="s">
        <v>1598</v>
      </c>
      <c r="C823">
        <v>530829.0</v>
      </c>
      <c r="D823" t="s">
        <v>339</v>
      </c>
      <c r="E823" t="s">
        <v>356</v>
      </c>
    </row>
    <row r="824" spans="8:8">
      <c r="B824" t="s">
        <v>1599</v>
      </c>
      <c r="C824">
        <v>505230.0</v>
      </c>
      <c r="D824" t="s">
        <v>1600</v>
      </c>
      <c r="E824" t="s">
        <v>328</v>
      </c>
    </row>
    <row r="825" spans="8:8">
      <c r="B825" t="s">
        <v>1601</v>
      </c>
      <c r="C825">
        <v>531283.0</v>
      </c>
      <c r="D825" t="s">
        <v>339</v>
      </c>
      <c r="E825" t="s">
        <v>356</v>
      </c>
    </row>
    <row r="826" spans="8:8">
      <c r="B826" t="s">
        <v>1602</v>
      </c>
      <c r="C826">
        <v>526373.0</v>
      </c>
      <c r="D826" t="s">
        <v>339</v>
      </c>
      <c r="E826" t="s">
        <v>540</v>
      </c>
    </row>
    <row r="827" spans="8:8">
      <c r="B827" t="s">
        <v>1603</v>
      </c>
      <c r="C827">
        <v>532807.0</v>
      </c>
      <c r="D827" t="s">
        <v>1604</v>
      </c>
      <c r="E827" t="s">
        <v>340</v>
      </c>
    </row>
    <row r="828" spans="8:8">
      <c r="B828" t="s">
        <v>1605</v>
      </c>
      <c r="C828">
        <v>532807.0</v>
      </c>
      <c r="D828" t="s">
        <v>1604</v>
      </c>
      <c r="E828" t="s">
        <v>340</v>
      </c>
    </row>
    <row r="829" spans="8:8">
      <c r="B829" t="s">
        <v>1606</v>
      </c>
      <c r="C829">
        <v>530457.0</v>
      </c>
      <c r="D829" t="s">
        <v>339</v>
      </c>
      <c r="E829" t="s">
        <v>342</v>
      </c>
    </row>
    <row r="830" spans="8:8">
      <c r="B830" t="s">
        <v>1607</v>
      </c>
      <c r="C830">
        <v>532324.0</v>
      </c>
      <c r="D830" t="s">
        <v>1608</v>
      </c>
      <c r="E830" t="s">
        <v>342</v>
      </c>
    </row>
    <row r="831" spans="8:8">
      <c r="B831" t="s">
        <v>1609</v>
      </c>
      <c r="C831">
        <v>500087.0</v>
      </c>
      <c r="D831" t="s">
        <v>1610</v>
      </c>
      <c r="E831" t="s">
        <v>377</v>
      </c>
    </row>
    <row r="832" spans="8:8">
      <c r="B832" t="s">
        <v>1611</v>
      </c>
      <c r="C832">
        <v>531775.0</v>
      </c>
      <c r="D832" t="s">
        <v>339</v>
      </c>
      <c r="E832" t="s">
        <v>361</v>
      </c>
    </row>
    <row r="833" spans="8:8">
      <c r="B833" t="s">
        <v>1612</v>
      </c>
      <c r="C833">
        <v>502445.0</v>
      </c>
      <c r="D833" t="s">
        <v>339</v>
      </c>
      <c r="E833" t="s">
        <v>425</v>
      </c>
    </row>
    <row r="834" spans="8:8">
      <c r="B834" t="s">
        <v>1613</v>
      </c>
      <c r="C834">
        <v>531235.0</v>
      </c>
      <c r="D834" t="s">
        <v>339</v>
      </c>
      <c r="E834" t="s">
        <v>356</v>
      </c>
    </row>
    <row r="835" spans="8:8">
      <c r="B835" t="s">
        <v>1614</v>
      </c>
      <c r="C835">
        <v>538786.0</v>
      </c>
      <c r="D835" t="s">
        <v>339</v>
      </c>
      <c r="E835" t="s">
        <v>863</v>
      </c>
    </row>
    <row r="836" spans="8:8">
      <c r="B836" t="s">
        <v>1615</v>
      </c>
      <c r="C836">
        <v>538674.0</v>
      </c>
      <c r="D836" t="s">
        <v>339</v>
      </c>
      <c r="E836" t="s">
        <v>1282</v>
      </c>
    </row>
    <row r="837" spans="8:8">
      <c r="B837" t="s">
        <v>1616</v>
      </c>
      <c r="C837">
        <v>532210.0</v>
      </c>
      <c r="D837" t="s">
        <v>1617</v>
      </c>
      <c r="E837" t="s">
        <v>657</v>
      </c>
    </row>
    <row r="838" spans="8:8">
      <c r="B838" t="s">
        <v>1618</v>
      </c>
      <c r="C838">
        <v>521210.0</v>
      </c>
      <c r="D838" t="s">
        <v>339</v>
      </c>
      <c r="E838" t="s">
        <v>453</v>
      </c>
    </row>
    <row r="839" spans="8:8">
      <c r="B839" t="s">
        <v>1619</v>
      </c>
      <c r="C839">
        <v>780013.0</v>
      </c>
      <c r="D839" t="s">
        <v>339</v>
      </c>
      <c r="E839" t="s">
        <v>430</v>
      </c>
    </row>
    <row r="840" spans="8:8">
      <c r="B840" t="s">
        <v>1620</v>
      </c>
      <c r="C840">
        <v>780013.0</v>
      </c>
      <c r="D840" t="s">
        <v>339</v>
      </c>
      <c r="E840" t="s">
        <v>430</v>
      </c>
    </row>
    <row r="841" spans="8:8">
      <c r="B841" t="s">
        <v>1621</v>
      </c>
      <c r="C841" t="s">
        <v>339</v>
      </c>
      <c r="D841" t="s">
        <v>1622</v>
      </c>
      <c r="E841" t="s">
        <v>350</v>
      </c>
    </row>
    <row r="842" spans="8:8">
      <c r="B842" t="s">
        <v>1623</v>
      </c>
      <c r="C842" t="s">
        <v>339</v>
      </c>
      <c r="D842" t="s">
        <v>1624</v>
      </c>
      <c r="E842" t="s">
        <v>350</v>
      </c>
    </row>
    <row r="843" spans="8:8">
      <c r="B843" t="s">
        <v>1625</v>
      </c>
      <c r="C843">
        <v>540403.0</v>
      </c>
      <c r="D843" t="s">
        <v>1626</v>
      </c>
      <c r="E843" t="s">
        <v>444</v>
      </c>
    </row>
    <row r="844" spans="8:8">
      <c r="B844" t="s">
        <v>1627</v>
      </c>
      <c r="C844">
        <v>506390.0</v>
      </c>
      <c r="D844" t="s">
        <v>1628</v>
      </c>
      <c r="E844" t="s">
        <v>499</v>
      </c>
    </row>
    <row r="845" spans="8:8">
      <c r="B845" t="s">
        <v>1629</v>
      </c>
      <c r="C845">
        <v>506390.0</v>
      </c>
      <c r="D845" t="s">
        <v>1630</v>
      </c>
      <c r="E845" t="s">
        <v>499</v>
      </c>
    </row>
    <row r="846" spans="8:8">
      <c r="B846" t="s">
        <v>1631</v>
      </c>
      <c r="C846">
        <v>512213.0</v>
      </c>
      <c r="D846" t="s">
        <v>339</v>
      </c>
      <c r="E846" t="s">
        <v>361</v>
      </c>
    </row>
    <row r="847" spans="8:8">
      <c r="B847" t="s">
        <v>1632</v>
      </c>
      <c r="C847">
        <v>540310.0</v>
      </c>
      <c r="D847" t="s">
        <v>339</v>
      </c>
      <c r="E847" t="s">
        <v>354</v>
      </c>
    </row>
    <row r="848" spans="8:8">
      <c r="B848" t="s">
        <v>1633</v>
      </c>
      <c r="C848">
        <v>538433.0</v>
      </c>
      <c r="D848" t="s">
        <v>339</v>
      </c>
      <c r="E848" t="s">
        <v>322</v>
      </c>
    </row>
    <row r="849" spans="8:8">
      <c r="B849" t="s">
        <v>1634</v>
      </c>
      <c r="C849">
        <v>540481.0</v>
      </c>
      <c r="D849" t="s">
        <v>339</v>
      </c>
      <c r="E849" t="s">
        <v>322</v>
      </c>
    </row>
    <row r="850" spans="8:8">
      <c r="B850" t="s">
        <v>1635</v>
      </c>
      <c r="C850">
        <v>530839.0</v>
      </c>
      <c r="D850" t="s">
        <v>339</v>
      </c>
      <c r="E850" t="s">
        <v>432</v>
      </c>
    </row>
    <row r="851" spans="8:8">
      <c r="B851" t="s">
        <v>1636</v>
      </c>
      <c r="C851">
        <v>500147.0</v>
      </c>
      <c r="D851" t="s">
        <v>339</v>
      </c>
      <c r="E851" t="s">
        <v>347</v>
      </c>
    </row>
    <row r="852" spans="8:8">
      <c r="B852" t="s">
        <v>1637</v>
      </c>
      <c r="C852">
        <v>517330.0</v>
      </c>
      <c r="D852" t="s">
        <v>1638</v>
      </c>
      <c r="E852" t="s">
        <v>637</v>
      </c>
    </row>
    <row r="853" spans="8:8">
      <c r="B853" t="s">
        <v>1639</v>
      </c>
      <c r="C853" t="s">
        <v>339</v>
      </c>
      <c r="D853" t="s">
        <v>1640</v>
      </c>
      <c r="E853" t="s">
        <v>350</v>
      </c>
    </row>
    <row r="854" spans="8:8">
      <c r="B854" t="s">
        <v>1641</v>
      </c>
      <c r="C854">
        <v>512018.0</v>
      </c>
      <c r="D854" t="s">
        <v>339</v>
      </c>
      <c r="E854" t="s">
        <v>345</v>
      </c>
    </row>
    <row r="855" spans="8:8">
      <c r="B855" t="s">
        <v>1642</v>
      </c>
      <c r="C855">
        <v>533278.0</v>
      </c>
      <c r="D855" t="s">
        <v>1643</v>
      </c>
      <c r="E855" t="s">
        <v>1016</v>
      </c>
    </row>
    <row r="856" spans="8:8">
      <c r="B856" t="s">
        <v>1644</v>
      </c>
      <c r="C856">
        <v>533278.0</v>
      </c>
      <c r="D856" t="s">
        <v>1645</v>
      </c>
      <c r="E856" t="s">
        <v>1016</v>
      </c>
    </row>
    <row r="857" spans="8:8">
      <c r="B857" t="s">
        <v>1646</v>
      </c>
      <c r="C857">
        <v>501831.0</v>
      </c>
      <c r="D857" t="s">
        <v>339</v>
      </c>
      <c r="E857" t="s">
        <v>399</v>
      </c>
    </row>
    <row r="858" spans="8:8">
      <c r="B858" t="s">
        <v>1647</v>
      </c>
      <c r="C858">
        <v>520131.0</v>
      </c>
      <c r="D858" t="s">
        <v>339</v>
      </c>
      <c r="E858" t="s">
        <v>411</v>
      </c>
    </row>
    <row r="859" spans="8:8">
      <c r="B859" t="s">
        <v>1648</v>
      </c>
      <c r="C859">
        <v>508571.0</v>
      </c>
      <c r="D859" t="s">
        <v>339</v>
      </c>
      <c r="E859" t="s">
        <v>819</v>
      </c>
    </row>
    <row r="860" spans="8:8">
      <c r="B860" t="s">
        <v>1649</v>
      </c>
      <c r="C860">
        <v>513353.0</v>
      </c>
      <c r="D860" t="s">
        <v>339</v>
      </c>
      <c r="E860" t="s">
        <v>499</v>
      </c>
    </row>
    <row r="861" spans="8:8">
      <c r="B861" t="s">
        <v>1650</v>
      </c>
      <c r="C861">
        <v>540678.0</v>
      </c>
      <c r="D861" t="s">
        <v>1651</v>
      </c>
      <c r="E861" t="s">
        <v>1586</v>
      </c>
    </row>
    <row r="862" spans="8:8">
      <c r="B862" t="s">
        <v>1652</v>
      </c>
      <c r="C862">
        <v>539436.0</v>
      </c>
      <c r="D862" t="s">
        <v>1653</v>
      </c>
      <c r="E862" t="s">
        <v>828</v>
      </c>
    </row>
    <row r="863" spans="8:8">
      <c r="B863" t="s">
        <v>1654</v>
      </c>
      <c r="C863">
        <v>500830.0</v>
      </c>
      <c r="D863" t="s">
        <v>1655</v>
      </c>
      <c r="E863" t="s">
        <v>521</v>
      </c>
    </row>
    <row r="864" spans="8:8">
      <c r="B864" t="s">
        <v>1656</v>
      </c>
      <c r="C864">
        <v>500830.0</v>
      </c>
      <c r="D864" t="s">
        <v>1655</v>
      </c>
      <c r="E864" t="s">
        <v>521</v>
      </c>
    </row>
    <row r="865" spans="8:8">
      <c r="B865" t="s">
        <v>1657</v>
      </c>
      <c r="C865">
        <v>531210.0</v>
      </c>
      <c r="D865" t="s">
        <v>339</v>
      </c>
      <c r="E865" t="s">
        <v>377</v>
      </c>
    </row>
    <row r="866" spans="8:8">
      <c r="B866" t="s">
        <v>1658</v>
      </c>
      <c r="C866">
        <v>540023.0</v>
      </c>
      <c r="D866" t="s">
        <v>339</v>
      </c>
      <c r="E866" t="s">
        <v>1077</v>
      </c>
    </row>
    <row r="867" spans="8:8">
      <c r="B867" t="s">
        <v>1659</v>
      </c>
      <c r="C867">
        <v>524752.0</v>
      </c>
      <c r="D867" t="s">
        <v>339</v>
      </c>
      <c r="E867" t="s">
        <v>377</v>
      </c>
    </row>
    <row r="868" spans="8:8">
      <c r="B868" t="s">
        <v>1660</v>
      </c>
      <c r="C868">
        <v>534691.0</v>
      </c>
      <c r="D868" t="s">
        <v>339</v>
      </c>
      <c r="E868" t="s">
        <v>322</v>
      </c>
    </row>
    <row r="869" spans="8:8">
      <c r="B869" t="s">
        <v>1661</v>
      </c>
      <c r="C869">
        <v>535267.0</v>
      </c>
      <c r="D869" t="s">
        <v>339</v>
      </c>
      <c r="E869" t="s">
        <v>356</v>
      </c>
    </row>
    <row r="870" spans="8:8">
      <c r="B870" t="s">
        <v>1662</v>
      </c>
      <c r="C870">
        <v>531216.0</v>
      </c>
      <c r="D870" t="s">
        <v>339</v>
      </c>
      <c r="E870" t="s">
        <v>356</v>
      </c>
    </row>
    <row r="871" spans="8:8">
      <c r="B871" t="s">
        <v>1663</v>
      </c>
      <c r="C871">
        <v>533272.0</v>
      </c>
      <c r="D871" t="s">
        <v>1664</v>
      </c>
      <c r="E871" t="s">
        <v>417</v>
      </c>
    </row>
    <row r="872" spans="8:8">
      <c r="B872" t="s">
        <v>1665</v>
      </c>
      <c r="C872">
        <v>539986.0</v>
      </c>
      <c r="D872" t="s">
        <v>339</v>
      </c>
      <c r="E872" t="s">
        <v>534</v>
      </c>
    </row>
    <row r="873" spans="8:8">
      <c r="B873" t="s">
        <v>1666</v>
      </c>
      <c r="C873">
        <v>532342.0</v>
      </c>
      <c r="D873" t="s">
        <v>339</v>
      </c>
      <c r="E873" t="s">
        <v>325</v>
      </c>
    </row>
    <row r="874" spans="8:8">
      <c r="B874" t="s">
        <v>1667</v>
      </c>
      <c r="C874">
        <v>531041.0</v>
      </c>
      <c r="D874" t="s">
        <v>339</v>
      </c>
      <c r="E874" t="s">
        <v>361</v>
      </c>
    </row>
    <row r="875" spans="8:8">
      <c r="B875" t="s">
        <v>1668</v>
      </c>
      <c r="C875">
        <v>532456.0</v>
      </c>
      <c r="D875" t="s">
        <v>1669</v>
      </c>
      <c r="E875" t="s">
        <v>436</v>
      </c>
    </row>
    <row r="876" spans="8:8">
      <c r="B876" t="s">
        <v>1670</v>
      </c>
      <c r="C876">
        <v>532339.0</v>
      </c>
      <c r="D876" t="s">
        <v>1671</v>
      </c>
      <c r="E876" t="s">
        <v>824</v>
      </c>
    </row>
    <row r="877" spans="8:8">
      <c r="B877" t="s">
        <v>1672</v>
      </c>
      <c r="C877">
        <v>507833.0</v>
      </c>
      <c r="D877" t="s">
        <v>339</v>
      </c>
      <c r="E877" t="s">
        <v>664</v>
      </c>
    </row>
    <row r="878" spans="8:8">
      <c r="B878" t="s">
        <v>1673</v>
      </c>
      <c r="C878">
        <v>522231.0</v>
      </c>
      <c r="D878" t="s">
        <v>339</v>
      </c>
      <c r="E878" t="s">
        <v>737</v>
      </c>
    </row>
    <row r="879" spans="8:8">
      <c r="B879" t="s">
        <v>1674</v>
      </c>
      <c r="C879">
        <v>538965.0</v>
      </c>
      <c r="D879" t="s">
        <v>339</v>
      </c>
      <c r="E879" t="s">
        <v>377</v>
      </c>
    </row>
    <row r="880" spans="8:8">
      <c r="B880" t="s">
        <v>1675</v>
      </c>
      <c r="C880">
        <v>539266.0</v>
      </c>
      <c r="D880" t="s">
        <v>339</v>
      </c>
      <c r="E880" t="s">
        <v>359</v>
      </c>
    </row>
    <row r="881" spans="8:8">
      <c r="B881" t="s">
        <v>1676</v>
      </c>
      <c r="C881">
        <v>504340.0</v>
      </c>
      <c r="D881" t="s">
        <v>339</v>
      </c>
      <c r="E881" t="s">
        <v>322</v>
      </c>
    </row>
    <row r="882" spans="8:8">
      <c r="B882" t="s">
        <v>1677</v>
      </c>
      <c r="C882">
        <v>539991.0</v>
      </c>
      <c r="D882" t="s">
        <v>1678</v>
      </c>
      <c r="E882" t="s">
        <v>705</v>
      </c>
    </row>
    <row r="883" spans="8:8">
      <c r="B883" t="s">
        <v>1679</v>
      </c>
      <c r="C883">
        <v>526829.0</v>
      </c>
      <c r="D883" t="s">
        <v>339</v>
      </c>
      <c r="E883" t="s">
        <v>549</v>
      </c>
    </row>
    <row r="884" spans="8:8">
      <c r="B884" t="s">
        <v>1680</v>
      </c>
      <c r="C884">
        <v>526829.0</v>
      </c>
      <c r="D884" t="s">
        <v>1681</v>
      </c>
      <c r="E884" t="s">
        <v>549</v>
      </c>
    </row>
    <row r="885" spans="8:8">
      <c r="B885" t="s">
        <v>1682</v>
      </c>
      <c r="C885">
        <v>526829.0</v>
      </c>
      <c r="D885" t="s">
        <v>339</v>
      </c>
      <c r="E885" t="s">
        <v>549</v>
      </c>
    </row>
    <row r="886" spans="8:8">
      <c r="B886" t="s">
        <v>1683</v>
      </c>
      <c r="C886">
        <v>539091.0</v>
      </c>
      <c r="D886" t="s">
        <v>339</v>
      </c>
      <c r="E886" t="s">
        <v>359</v>
      </c>
    </row>
    <row r="887" spans="8:8">
      <c r="B887" t="s">
        <v>1684</v>
      </c>
      <c r="C887">
        <v>532902.0</v>
      </c>
      <c r="D887" t="s">
        <v>1685</v>
      </c>
      <c r="E887" t="s">
        <v>425</v>
      </c>
    </row>
    <row r="888" spans="8:8">
      <c r="B888" t="s">
        <v>1686</v>
      </c>
      <c r="C888" t="s">
        <v>339</v>
      </c>
      <c r="D888" t="s">
        <v>1687</v>
      </c>
      <c r="E888" t="s">
        <v>430</v>
      </c>
    </row>
    <row r="889" spans="8:8">
      <c r="B889" t="s">
        <v>1688</v>
      </c>
      <c r="C889">
        <v>531344.0</v>
      </c>
      <c r="D889" t="s">
        <v>1689</v>
      </c>
      <c r="E889" t="s">
        <v>462</v>
      </c>
    </row>
    <row r="890" spans="8:8">
      <c r="B890" t="s">
        <v>1690</v>
      </c>
      <c r="C890">
        <v>531344.0</v>
      </c>
      <c r="D890" t="s">
        <v>1689</v>
      </c>
      <c r="E890" t="s">
        <v>462</v>
      </c>
    </row>
    <row r="891" spans="8:8">
      <c r="B891" t="s">
        <v>1691</v>
      </c>
      <c r="C891">
        <v>540597.0</v>
      </c>
      <c r="D891" t="s">
        <v>339</v>
      </c>
      <c r="E891" t="s">
        <v>660</v>
      </c>
    </row>
    <row r="892" spans="8:8">
      <c r="B892" t="s">
        <v>1692</v>
      </c>
      <c r="C892">
        <v>531067.0</v>
      </c>
      <c r="D892" t="s">
        <v>339</v>
      </c>
      <c r="E892" t="s">
        <v>356</v>
      </c>
    </row>
    <row r="893" spans="8:8">
      <c r="B893" t="s">
        <v>1693</v>
      </c>
      <c r="C893">
        <v>531067.0</v>
      </c>
      <c r="D893" t="s">
        <v>339</v>
      </c>
      <c r="E893" t="s">
        <v>356</v>
      </c>
    </row>
    <row r="894" spans="8:8">
      <c r="B894" t="s">
        <v>1694</v>
      </c>
      <c r="C894">
        <v>506935.0</v>
      </c>
      <c r="D894" t="s">
        <v>339</v>
      </c>
      <c r="E894" t="s">
        <v>432</v>
      </c>
    </row>
    <row r="895" spans="8:8">
      <c r="B895" t="s">
        <v>1695</v>
      </c>
      <c r="C895">
        <v>531460.0</v>
      </c>
      <c r="D895" t="s">
        <v>339</v>
      </c>
      <c r="E895" t="s">
        <v>637</v>
      </c>
    </row>
    <row r="896" spans="8:8">
      <c r="B896" t="s">
        <v>1696</v>
      </c>
      <c r="C896">
        <v>523232.0</v>
      </c>
      <c r="D896" t="s">
        <v>339</v>
      </c>
      <c r="E896" t="s">
        <v>549</v>
      </c>
    </row>
    <row r="897" spans="8:8">
      <c r="B897" t="s">
        <v>1697</v>
      </c>
      <c r="C897">
        <v>538868.0</v>
      </c>
      <c r="D897" t="s">
        <v>339</v>
      </c>
      <c r="E897" t="s">
        <v>356</v>
      </c>
    </row>
    <row r="898" spans="8:8">
      <c r="B898" t="s">
        <v>1698</v>
      </c>
      <c r="C898" t="s">
        <v>339</v>
      </c>
      <c r="D898" t="s">
        <v>1699</v>
      </c>
      <c r="E898" t="s">
        <v>350</v>
      </c>
    </row>
    <row r="899" spans="8:8">
      <c r="B899" t="s">
        <v>1700</v>
      </c>
      <c r="C899">
        <v>522295.0</v>
      </c>
      <c r="D899" t="s">
        <v>1701</v>
      </c>
      <c r="E899" t="s">
        <v>534</v>
      </c>
    </row>
    <row r="900" spans="8:8">
      <c r="B900" t="s">
        <v>1702</v>
      </c>
      <c r="C900">
        <v>531556.0</v>
      </c>
      <c r="D900" t="s">
        <v>1703</v>
      </c>
      <c r="E900" t="s">
        <v>397</v>
      </c>
    </row>
    <row r="901" spans="8:8">
      <c r="B901" t="s">
        <v>1704</v>
      </c>
      <c r="C901">
        <v>524506.0</v>
      </c>
      <c r="D901" t="s">
        <v>339</v>
      </c>
      <c r="E901" t="s">
        <v>377</v>
      </c>
    </row>
    <row r="902" spans="8:8">
      <c r="B902" t="s">
        <v>1705</v>
      </c>
      <c r="C902">
        <v>530755.0</v>
      </c>
      <c r="D902" t="s">
        <v>1706</v>
      </c>
      <c r="E902" t="s">
        <v>1707</v>
      </c>
    </row>
    <row r="903" spans="8:8">
      <c r="B903" t="s">
        <v>1708</v>
      </c>
      <c r="C903">
        <v>532941.0</v>
      </c>
      <c r="D903" t="s">
        <v>1709</v>
      </c>
      <c r="E903" t="s">
        <v>637</v>
      </c>
    </row>
    <row r="904" spans="8:8">
      <c r="B904" t="s">
        <v>1710</v>
      </c>
      <c r="C904">
        <v>507543.0</v>
      </c>
      <c r="D904" t="s">
        <v>339</v>
      </c>
      <c r="E904" t="s">
        <v>588</v>
      </c>
    </row>
    <row r="905" spans="8:8">
      <c r="B905" t="s">
        <v>1711</v>
      </c>
      <c r="C905">
        <v>533167.0</v>
      </c>
      <c r="D905" t="s">
        <v>339</v>
      </c>
      <c r="E905" t="s">
        <v>737</v>
      </c>
    </row>
    <row r="906" spans="8:8">
      <c r="B906" t="s">
        <v>1712</v>
      </c>
      <c r="C906">
        <v>506395.0</v>
      </c>
      <c r="D906" t="s">
        <v>1713</v>
      </c>
      <c r="E906" t="s">
        <v>847</v>
      </c>
    </row>
    <row r="907" spans="8:8">
      <c r="B907" t="s">
        <v>1714</v>
      </c>
      <c r="C907">
        <v>526737.0</v>
      </c>
      <c r="D907" t="s">
        <v>339</v>
      </c>
      <c r="E907" t="s">
        <v>660</v>
      </c>
    </row>
    <row r="908" spans="8:8">
      <c r="B908" t="s">
        <v>1715</v>
      </c>
      <c r="C908">
        <v>540199.0</v>
      </c>
      <c r="D908" t="s">
        <v>339</v>
      </c>
      <c r="E908" t="s">
        <v>322</v>
      </c>
    </row>
    <row r="909" spans="8:8">
      <c r="B909" t="s">
        <v>1716</v>
      </c>
      <c r="C909">
        <v>532179.0</v>
      </c>
      <c r="D909" t="s">
        <v>1717</v>
      </c>
      <c r="E909" t="s">
        <v>657</v>
      </c>
    </row>
    <row r="910" spans="8:8">
      <c r="B910" t="s">
        <v>1718</v>
      </c>
      <c r="C910">
        <v>530859.0</v>
      </c>
      <c r="D910" t="s">
        <v>339</v>
      </c>
      <c r="E910" t="s">
        <v>333</v>
      </c>
    </row>
    <row r="911" spans="8:8">
      <c r="B911" t="s">
        <v>1719</v>
      </c>
      <c r="C911">
        <v>530545.0</v>
      </c>
      <c r="D911" t="s">
        <v>339</v>
      </c>
      <c r="E911" t="s">
        <v>328</v>
      </c>
    </row>
    <row r="912" spans="8:8">
      <c r="B912" t="s">
        <v>1720</v>
      </c>
      <c r="C912">
        <v>530545.0</v>
      </c>
      <c r="D912" t="s">
        <v>339</v>
      </c>
      <c r="E912" t="s">
        <v>328</v>
      </c>
    </row>
    <row r="913" spans="8:8">
      <c r="B913" t="s">
        <v>1721</v>
      </c>
      <c r="C913">
        <v>523100.0</v>
      </c>
      <c r="D913" t="s">
        <v>339</v>
      </c>
      <c r="E913" t="s">
        <v>371</v>
      </c>
    </row>
    <row r="914" spans="8:8">
      <c r="B914" t="s">
        <v>1722</v>
      </c>
      <c r="C914">
        <v>508814.0</v>
      </c>
      <c r="D914" t="s">
        <v>1723</v>
      </c>
      <c r="E914" t="s">
        <v>387</v>
      </c>
    </row>
    <row r="915" spans="8:8">
      <c r="B915" t="s">
        <v>1724</v>
      </c>
      <c r="C915">
        <v>538922.0</v>
      </c>
      <c r="D915" t="s">
        <v>339</v>
      </c>
      <c r="E915" t="s">
        <v>432</v>
      </c>
    </row>
    <row r="916" spans="8:8">
      <c r="B916" t="s">
        <v>1725</v>
      </c>
      <c r="C916">
        <v>526550.0</v>
      </c>
      <c r="D916" t="s">
        <v>1726</v>
      </c>
      <c r="E916" t="s">
        <v>540</v>
      </c>
    </row>
    <row r="917" spans="8:8">
      <c r="B917" t="s">
        <v>1727</v>
      </c>
      <c r="C917">
        <v>531624.0</v>
      </c>
      <c r="D917" t="s">
        <v>1728</v>
      </c>
      <c r="E917" t="s">
        <v>425</v>
      </c>
    </row>
    <row r="918" spans="8:8">
      <c r="B918" t="s">
        <v>1729</v>
      </c>
      <c r="C918">
        <v>523415.0</v>
      </c>
      <c r="D918" t="s">
        <v>339</v>
      </c>
      <c r="E918" t="s">
        <v>371</v>
      </c>
    </row>
    <row r="919" spans="8:8">
      <c r="B919" t="s">
        <v>1730</v>
      </c>
      <c r="C919">
        <v>534920.0</v>
      </c>
      <c r="D919" t="s">
        <v>339</v>
      </c>
      <c r="E919" t="s">
        <v>325</v>
      </c>
    </row>
    <row r="920" spans="8:8">
      <c r="B920" t="s">
        <v>1731</v>
      </c>
      <c r="C920">
        <v>533144.0</v>
      </c>
      <c r="D920" t="s">
        <v>1732</v>
      </c>
      <c r="E920" t="s">
        <v>1341</v>
      </c>
    </row>
    <row r="921" spans="8:8">
      <c r="B921" t="s">
        <v>1733</v>
      </c>
      <c r="C921">
        <v>542641.0</v>
      </c>
      <c r="D921" t="s">
        <v>1734</v>
      </c>
      <c r="E921" t="s">
        <v>356</v>
      </c>
    </row>
    <row r="922" spans="8:8">
      <c r="B922" t="s">
        <v>1735</v>
      </c>
      <c r="C922">
        <v>538770.0</v>
      </c>
      <c r="D922" t="s">
        <v>339</v>
      </c>
      <c r="E922" t="s">
        <v>425</v>
      </c>
    </row>
    <row r="923" spans="8:8">
      <c r="B923" t="s">
        <v>1736</v>
      </c>
      <c r="C923">
        <v>512093.0</v>
      </c>
      <c r="D923" t="s">
        <v>339</v>
      </c>
      <c r="E923" t="s">
        <v>432</v>
      </c>
    </row>
    <row r="924" spans="8:8">
      <c r="B924" t="s">
        <v>1737</v>
      </c>
      <c r="C924">
        <v>522001.0</v>
      </c>
      <c r="D924" t="s">
        <v>339</v>
      </c>
      <c r="E924" t="s">
        <v>417</v>
      </c>
    </row>
    <row r="925" spans="8:8">
      <c r="B925" t="s">
        <v>1738</v>
      </c>
      <c r="C925">
        <v>509472.0</v>
      </c>
      <c r="D925" t="s">
        <v>339</v>
      </c>
      <c r="E925" t="s">
        <v>361</v>
      </c>
    </row>
    <row r="926" spans="8:8">
      <c r="B926" t="s">
        <v>1739</v>
      </c>
      <c r="C926">
        <v>524388.0</v>
      </c>
      <c r="D926" t="s">
        <v>339</v>
      </c>
      <c r="E926" t="s">
        <v>664</v>
      </c>
    </row>
    <row r="927" spans="8:8">
      <c r="B927" t="s">
        <v>1740</v>
      </c>
      <c r="C927">
        <v>539527.0</v>
      </c>
      <c r="D927" t="s">
        <v>339</v>
      </c>
      <c r="E927" t="s">
        <v>1258</v>
      </c>
    </row>
    <row r="928" spans="8:8">
      <c r="B928" t="s">
        <v>1741</v>
      </c>
      <c r="C928">
        <v>532392.0</v>
      </c>
      <c r="D928" t="s">
        <v>1742</v>
      </c>
      <c r="E928" t="s">
        <v>342</v>
      </c>
    </row>
    <row r="929" spans="8:8">
      <c r="B929" t="s">
        <v>1743</v>
      </c>
      <c r="C929" t="s">
        <v>339</v>
      </c>
      <c r="D929" t="s">
        <v>1744</v>
      </c>
      <c r="E929" t="s">
        <v>350</v>
      </c>
    </row>
    <row r="930" spans="8:8">
      <c r="B930" t="s">
        <v>1745</v>
      </c>
      <c r="C930">
        <v>541770.0</v>
      </c>
      <c r="D930" t="s">
        <v>1746</v>
      </c>
      <c r="E930" t="s">
        <v>356</v>
      </c>
    </row>
    <row r="931" spans="8:8">
      <c r="B931" t="s">
        <v>1747</v>
      </c>
      <c r="C931">
        <v>539131.0</v>
      </c>
      <c r="D931" t="s">
        <v>339</v>
      </c>
      <c r="E931" t="s">
        <v>359</v>
      </c>
    </row>
    <row r="932" spans="8:8">
      <c r="B932" t="s">
        <v>1748</v>
      </c>
      <c r="C932">
        <v>512379.0</v>
      </c>
      <c r="D932" t="s">
        <v>339</v>
      </c>
      <c r="E932" t="s">
        <v>432</v>
      </c>
    </row>
    <row r="933" spans="8:8">
      <c r="B933" t="s">
        <v>1749</v>
      </c>
      <c r="C933">
        <v>511413.0</v>
      </c>
      <c r="D933" t="s">
        <v>1750</v>
      </c>
      <c r="E933" t="s">
        <v>356</v>
      </c>
    </row>
    <row r="934" spans="8:8">
      <c r="B934" t="s">
        <v>1751</v>
      </c>
      <c r="C934">
        <v>526269.0</v>
      </c>
      <c r="D934" t="s">
        <v>339</v>
      </c>
      <c r="E934" t="s">
        <v>499</v>
      </c>
    </row>
    <row r="935" spans="8:8">
      <c r="B935" t="s">
        <v>1752</v>
      </c>
      <c r="C935">
        <v>526977.0</v>
      </c>
      <c r="D935" t="s">
        <v>339</v>
      </c>
      <c r="E935" t="s">
        <v>662</v>
      </c>
    </row>
    <row r="936" spans="8:8">
      <c r="B936" t="s">
        <v>1753</v>
      </c>
      <c r="C936">
        <v>500092.0</v>
      </c>
      <c r="D936" t="s">
        <v>1754</v>
      </c>
      <c r="E936" t="s">
        <v>322</v>
      </c>
    </row>
    <row r="937" spans="8:8">
      <c r="B937" t="s">
        <v>1755</v>
      </c>
      <c r="C937">
        <v>539876.0</v>
      </c>
      <c r="D937" t="s">
        <v>1756</v>
      </c>
      <c r="E937" t="s">
        <v>1103</v>
      </c>
    </row>
    <row r="938" spans="8:8">
      <c r="B938" t="s">
        <v>1757</v>
      </c>
      <c r="C938" t="s">
        <v>339</v>
      </c>
      <c r="D938" t="s">
        <v>1758</v>
      </c>
      <c r="E938" t="s">
        <v>350</v>
      </c>
    </row>
    <row r="939" spans="8:8">
      <c r="B939" t="s">
        <v>1759</v>
      </c>
      <c r="C939">
        <v>538521.0</v>
      </c>
      <c r="D939" t="s">
        <v>339</v>
      </c>
      <c r="E939" t="s">
        <v>1341</v>
      </c>
    </row>
    <row r="940" spans="8:8">
      <c r="B940" t="s">
        <v>1760</v>
      </c>
      <c r="C940">
        <v>540903.0</v>
      </c>
      <c r="D940" t="s">
        <v>339</v>
      </c>
      <c r="E940" t="s">
        <v>423</v>
      </c>
    </row>
    <row r="941" spans="8:8">
      <c r="B941" t="s">
        <v>1761</v>
      </c>
      <c r="C941">
        <v>530067.0</v>
      </c>
      <c r="D941" t="s">
        <v>339</v>
      </c>
      <c r="E941" t="s">
        <v>356</v>
      </c>
    </row>
    <row r="942" spans="8:8">
      <c r="B942" t="s">
        <v>1762</v>
      </c>
      <c r="C942">
        <v>526027.0</v>
      </c>
      <c r="D942" t="s">
        <v>1763</v>
      </c>
      <c r="E942" t="s">
        <v>413</v>
      </c>
    </row>
    <row r="943" spans="8:8">
      <c r="B943" t="s">
        <v>1764</v>
      </c>
      <c r="C943">
        <v>511710.0</v>
      </c>
      <c r="D943" t="s">
        <v>339</v>
      </c>
      <c r="E943" t="s">
        <v>356</v>
      </c>
    </row>
    <row r="944" spans="8:8">
      <c r="B944" t="s">
        <v>1765</v>
      </c>
      <c r="C944">
        <v>500480.0</v>
      </c>
      <c r="D944" t="s">
        <v>1766</v>
      </c>
      <c r="E944" t="s">
        <v>347</v>
      </c>
    </row>
    <row r="945" spans="8:8">
      <c r="B945" t="s">
        <v>1767</v>
      </c>
      <c r="C945">
        <v>500480.0</v>
      </c>
      <c r="D945" t="s">
        <v>1766</v>
      </c>
      <c r="E945" t="s">
        <v>347</v>
      </c>
    </row>
    <row r="946" spans="8:8">
      <c r="B946" t="s">
        <v>1768</v>
      </c>
      <c r="C946">
        <v>530843.0</v>
      </c>
      <c r="D946" t="s">
        <v>1769</v>
      </c>
      <c r="E946" t="s">
        <v>521</v>
      </c>
    </row>
    <row r="947" spans="8:8">
      <c r="B947" t="s">
        <v>1770</v>
      </c>
      <c r="C947">
        <v>532332.0</v>
      </c>
      <c r="D947" t="s">
        <v>1771</v>
      </c>
      <c r="E947" t="s">
        <v>432</v>
      </c>
    </row>
    <row r="948" spans="8:8">
      <c r="B948" t="s">
        <v>1772</v>
      </c>
      <c r="C948">
        <v>531472.0</v>
      </c>
      <c r="D948" t="s">
        <v>339</v>
      </c>
      <c r="E948" t="s">
        <v>637</v>
      </c>
    </row>
    <row r="949" spans="8:8">
      <c r="B949" t="s">
        <v>1773</v>
      </c>
      <c r="C949">
        <v>532640.0</v>
      </c>
      <c r="D949" t="s">
        <v>1774</v>
      </c>
      <c r="E949" t="s">
        <v>863</v>
      </c>
    </row>
    <row r="950" spans="8:8">
      <c r="B950" t="s">
        <v>1775</v>
      </c>
      <c r="C950">
        <v>532640.0</v>
      </c>
      <c r="D950" t="s">
        <v>1774</v>
      </c>
      <c r="E950" t="s">
        <v>863</v>
      </c>
    </row>
    <row r="951" spans="8:8">
      <c r="B951" t="s">
        <v>1776</v>
      </c>
      <c r="C951">
        <v>532271.0</v>
      </c>
      <c r="D951" t="s">
        <v>339</v>
      </c>
      <c r="E951" t="s">
        <v>432</v>
      </c>
    </row>
    <row r="952" spans="8:8">
      <c r="B952" t="s">
        <v>1777</v>
      </c>
      <c r="C952">
        <v>532173.0</v>
      </c>
      <c r="D952" t="s">
        <v>1778</v>
      </c>
      <c r="E952" t="s">
        <v>432</v>
      </c>
    </row>
    <row r="953" spans="8:8">
      <c r="B953" t="s">
        <v>1779</v>
      </c>
      <c r="C953">
        <v>532175.0</v>
      </c>
      <c r="D953" t="s">
        <v>1780</v>
      </c>
      <c r="E953" t="s">
        <v>325</v>
      </c>
    </row>
    <row r="954" spans="8:8">
      <c r="B954" t="s">
        <v>1781</v>
      </c>
      <c r="C954">
        <v>533151.0</v>
      </c>
      <c r="D954" t="s">
        <v>1782</v>
      </c>
      <c r="E954" t="s">
        <v>863</v>
      </c>
    </row>
    <row r="955" spans="8:8">
      <c r="B955" t="s">
        <v>1783</v>
      </c>
      <c r="C955">
        <v>533160.0</v>
      </c>
      <c r="D955" t="s">
        <v>1784</v>
      </c>
      <c r="E955" t="s">
        <v>425</v>
      </c>
    </row>
    <row r="956" spans="8:8">
      <c r="B956" t="s">
        <v>1785</v>
      </c>
      <c r="C956" t="s">
        <v>339</v>
      </c>
      <c r="D956" t="s">
        <v>1786</v>
      </c>
      <c r="E956" t="s">
        <v>350</v>
      </c>
    </row>
    <row r="957" spans="8:8">
      <c r="B957" t="s">
        <v>1787</v>
      </c>
      <c r="C957" t="s">
        <v>339</v>
      </c>
      <c r="D957" t="s">
        <v>1788</v>
      </c>
      <c r="E957" t="s">
        <v>350</v>
      </c>
    </row>
    <row r="958" spans="8:8">
      <c r="B958" t="s">
        <v>1789</v>
      </c>
      <c r="C958">
        <v>517514.0</v>
      </c>
      <c r="D958" t="s">
        <v>339</v>
      </c>
      <c r="E958" t="s">
        <v>524</v>
      </c>
    </row>
    <row r="959" spans="8:8">
      <c r="B959" t="s">
        <v>1790</v>
      </c>
      <c r="C959">
        <v>517514.0</v>
      </c>
      <c r="D959" t="s">
        <v>339</v>
      </c>
      <c r="E959" t="s">
        <v>524</v>
      </c>
    </row>
    <row r="960" spans="8:8">
      <c r="B960" t="s">
        <v>1791</v>
      </c>
      <c r="C960">
        <v>500096.0</v>
      </c>
      <c r="D960" t="s">
        <v>1792</v>
      </c>
      <c r="E960" t="s">
        <v>521</v>
      </c>
    </row>
    <row r="961" spans="8:8">
      <c r="B961" t="s">
        <v>1793</v>
      </c>
      <c r="C961">
        <v>500096.0</v>
      </c>
      <c r="D961" t="s">
        <v>1792</v>
      </c>
      <c r="E961" t="s">
        <v>521</v>
      </c>
    </row>
    <row r="962" spans="8:8">
      <c r="B962" t="s">
        <v>1794</v>
      </c>
      <c r="C962">
        <v>526821.0</v>
      </c>
      <c r="D962" t="s">
        <v>339</v>
      </c>
      <c r="E962" t="s">
        <v>499</v>
      </c>
    </row>
    <row r="963" spans="8:8">
      <c r="B963" t="s">
        <v>1795</v>
      </c>
      <c r="C963">
        <v>530825.0</v>
      </c>
      <c r="D963" t="s">
        <v>339</v>
      </c>
      <c r="E963" t="s">
        <v>499</v>
      </c>
    </row>
    <row r="964" spans="8:8">
      <c r="B964" t="s">
        <v>1796</v>
      </c>
      <c r="C964">
        <v>530825.0</v>
      </c>
      <c r="D964" t="s">
        <v>339</v>
      </c>
      <c r="E964" t="s">
        <v>499</v>
      </c>
    </row>
    <row r="965" spans="8:8">
      <c r="B965" t="s">
        <v>1797</v>
      </c>
      <c r="C965">
        <v>501148.0</v>
      </c>
      <c r="D965" t="s">
        <v>339</v>
      </c>
      <c r="E965" t="s">
        <v>359</v>
      </c>
    </row>
    <row r="966" spans="8:8">
      <c r="B966" t="s">
        <v>1798</v>
      </c>
      <c r="C966">
        <v>542216.0</v>
      </c>
      <c r="D966" t="s">
        <v>1799</v>
      </c>
      <c r="E966" t="s">
        <v>1800</v>
      </c>
    </row>
    <row r="967" spans="8:8">
      <c r="B967" t="s">
        <v>1801</v>
      </c>
      <c r="C967">
        <v>500097.0</v>
      </c>
      <c r="D967" t="s">
        <v>1802</v>
      </c>
      <c r="E967" t="s">
        <v>1037</v>
      </c>
    </row>
    <row r="968" spans="8:8">
      <c r="B968" t="s">
        <v>1803</v>
      </c>
      <c r="C968">
        <v>539900.0</v>
      </c>
      <c r="D968" t="s">
        <v>339</v>
      </c>
      <c r="E968" t="s">
        <v>361</v>
      </c>
    </row>
    <row r="969" spans="8:8">
      <c r="B969" t="s">
        <v>1804</v>
      </c>
      <c r="C969">
        <v>521220.0</v>
      </c>
      <c r="D969" t="s">
        <v>1805</v>
      </c>
      <c r="E969" t="s">
        <v>354</v>
      </c>
    </row>
    <row r="970" spans="8:8">
      <c r="B970" t="s">
        <v>1806</v>
      </c>
      <c r="C970" t="s">
        <v>339</v>
      </c>
      <c r="D970" t="s">
        <v>1807</v>
      </c>
      <c r="E970" t="s">
        <v>350</v>
      </c>
    </row>
    <row r="971" spans="8:8">
      <c r="B971" t="s">
        <v>1808</v>
      </c>
      <c r="C971">
        <v>532329.0</v>
      </c>
      <c r="D971" t="s">
        <v>339</v>
      </c>
      <c r="E971" t="s">
        <v>432</v>
      </c>
    </row>
    <row r="972" spans="8:8">
      <c r="B972" t="s">
        <v>1809</v>
      </c>
      <c r="C972">
        <v>532329.0</v>
      </c>
      <c r="D972" t="s">
        <v>339</v>
      </c>
      <c r="E972" t="s">
        <v>432</v>
      </c>
    </row>
    <row r="973" spans="8:8">
      <c r="B973" t="s">
        <v>1810</v>
      </c>
      <c r="C973">
        <v>540361.0</v>
      </c>
      <c r="D973" t="s">
        <v>339</v>
      </c>
      <c r="E973" t="s">
        <v>361</v>
      </c>
    </row>
    <row r="974" spans="8:8">
      <c r="B974" t="s">
        <v>1811</v>
      </c>
      <c r="C974">
        <v>539770.0</v>
      </c>
      <c r="D974" t="s">
        <v>339</v>
      </c>
      <c r="E974" t="s">
        <v>322</v>
      </c>
    </row>
    <row r="975" spans="8:8">
      <c r="B975" t="s">
        <v>1812</v>
      </c>
      <c r="C975">
        <v>539884.0</v>
      </c>
      <c r="D975" t="s">
        <v>339</v>
      </c>
      <c r="E975" t="s">
        <v>453</v>
      </c>
    </row>
    <row r="976" spans="8:8">
      <c r="B976" t="s">
        <v>1813</v>
      </c>
      <c r="C976">
        <v>532528.0</v>
      </c>
      <c r="D976" t="s">
        <v>1814</v>
      </c>
      <c r="E976" t="s">
        <v>432</v>
      </c>
    </row>
    <row r="977" spans="8:8">
      <c r="B977" t="s">
        <v>1815</v>
      </c>
      <c r="C977">
        <v>530171.0</v>
      </c>
      <c r="D977" t="s">
        <v>339</v>
      </c>
      <c r="E977" t="s">
        <v>322</v>
      </c>
    </row>
    <row r="978" spans="8:8">
      <c r="B978" t="s">
        <v>1816</v>
      </c>
      <c r="C978">
        <v>530393.0</v>
      </c>
      <c r="D978" t="s">
        <v>1817</v>
      </c>
      <c r="E978" t="s">
        <v>322</v>
      </c>
    </row>
    <row r="979" spans="8:8">
      <c r="B979" t="s">
        <v>1818</v>
      </c>
      <c r="C979">
        <v>532772.0</v>
      </c>
      <c r="D979" t="s">
        <v>1819</v>
      </c>
      <c r="E979" t="s">
        <v>657</v>
      </c>
    </row>
    <row r="980" spans="8:8">
      <c r="B980" t="s">
        <v>1820</v>
      </c>
      <c r="C980">
        <v>511611.0</v>
      </c>
      <c r="D980" t="s">
        <v>1821</v>
      </c>
      <c r="E980" t="s">
        <v>356</v>
      </c>
    </row>
    <row r="981" spans="8:8">
      <c r="B981" t="s">
        <v>1822</v>
      </c>
      <c r="C981">
        <v>502820.0</v>
      </c>
      <c r="D981" t="s">
        <v>1823</v>
      </c>
      <c r="E981" t="s">
        <v>354</v>
      </c>
    </row>
    <row r="982" spans="8:8">
      <c r="B982" t="s">
        <v>1824</v>
      </c>
      <c r="C982">
        <v>523369.0</v>
      </c>
      <c r="D982" t="s">
        <v>339</v>
      </c>
      <c r="E982" t="s">
        <v>1037</v>
      </c>
    </row>
    <row r="983" spans="8:8">
      <c r="B983" t="s">
        <v>1825</v>
      </c>
      <c r="C983">
        <v>523367.0</v>
      </c>
      <c r="D983" t="s">
        <v>1826</v>
      </c>
      <c r="E983" t="s">
        <v>328</v>
      </c>
    </row>
    <row r="984" spans="8:8">
      <c r="B984" t="s">
        <v>1827</v>
      </c>
      <c r="C984">
        <v>500117.0</v>
      </c>
      <c r="D984" t="s">
        <v>1828</v>
      </c>
      <c r="E984" t="s">
        <v>553</v>
      </c>
    </row>
    <row r="985" spans="8:8">
      <c r="B985" t="s">
        <v>1829</v>
      </c>
      <c r="C985">
        <v>590031.0</v>
      </c>
      <c r="D985" t="s">
        <v>1830</v>
      </c>
      <c r="E985" t="s">
        <v>524</v>
      </c>
    </row>
    <row r="986" spans="8:8">
      <c r="B986" t="s">
        <v>1831</v>
      </c>
      <c r="C986">
        <v>590031.0</v>
      </c>
      <c r="D986" t="s">
        <v>1830</v>
      </c>
      <c r="E986" t="s">
        <v>524</v>
      </c>
    </row>
    <row r="987" spans="8:8">
      <c r="B987" t="s">
        <v>1832</v>
      </c>
      <c r="C987" t="s">
        <v>339</v>
      </c>
      <c r="D987" t="s">
        <v>1833</v>
      </c>
      <c r="E987" t="s">
        <v>350</v>
      </c>
    </row>
    <row r="988" spans="8:8">
      <c r="B988" t="s">
        <v>1834</v>
      </c>
      <c r="C988">
        <v>505703.0</v>
      </c>
      <c r="D988" t="s">
        <v>339</v>
      </c>
      <c r="E988" t="s">
        <v>347</v>
      </c>
    </row>
    <row r="989" spans="8:8">
      <c r="B989" t="s">
        <v>1835</v>
      </c>
      <c r="C989">
        <v>502137.0</v>
      </c>
      <c r="D989" t="s">
        <v>1836</v>
      </c>
      <c r="E989" t="s">
        <v>352</v>
      </c>
    </row>
    <row r="990" spans="8:8">
      <c r="B990" t="s">
        <v>1837</v>
      </c>
      <c r="C990">
        <v>512068.0</v>
      </c>
      <c r="D990" t="s">
        <v>339</v>
      </c>
      <c r="E990" t="s">
        <v>319</v>
      </c>
    </row>
    <row r="991" spans="8:8">
      <c r="B991" t="s">
        <v>1838</v>
      </c>
      <c r="C991">
        <v>542248.0</v>
      </c>
      <c r="D991" t="s">
        <v>1839</v>
      </c>
      <c r="E991" t="s">
        <v>528</v>
      </c>
    </row>
    <row r="992" spans="8:8">
      <c r="B992" t="s">
        <v>1840</v>
      </c>
      <c r="C992">
        <v>531989.0</v>
      </c>
      <c r="D992" t="s">
        <v>339</v>
      </c>
      <c r="E992" t="s">
        <v>534</v>
      </c>
    </row>
    <row r="993" spans="8:8">
      <c r="B993" t="s">
        <v>1841</v>
      </c>
      <c r="C993">
        <v>539190.0</v>
      </c>
      <c r="D993" t="s">
        <v>339</v>
      </c>
      <c r="E993" t="s">
        <v>356</v>
      </c>
    </row>
    <row r="994" spans="8:8">
      <c r="B994" t="s">
        <v>1842</v>
      </c>
      <c r="C994">
        <v>531227.0</v>
      </c>
      <c r="D994" t="s">
        <v>339</v>
      </c>
      <c r="E994" t="s">
        <v>387</v>
      </c>
    </row>
    <row r="995" spans="8:8">
      <c r="B995" t="s">
        <v>1843</v>
      </c>
      <c r="C995">
        <v>539405.0</v>
      </c>
      <c r="D995" t="s">
        <v>339</v>
      </c>
      <c r="E995" t="s">
        <v>453</v>
      </c>
    </row>
    <row r="996" spans="8:8">
      <c r="B996" t="s">
        <v>1844</v>
      </c>
      <c r="C996">
        <v>539559.0</v>
      </c>
      <c r="D996" t="s">
        <v>339</v>
      </c>
      <c r="E996" t="s">
        <v>453</v>
      </c>
    </row>
    <row r="997" spans="8:8">
      <c r="B997" t="s">
        <v>1845</v>
      </c>
      <c r="C997">
        <v>539559.0</v>
      </c>
      <c r="D997" t="s">
        <v>339</v>
      </c>
      <c r="E997" t="s">
        <v>453</v>
      </c>
    </row>
    <row r="998" spans="8:8">
      <c r="B998" t="s">
        <v>1846</v>
      </c>
      <c r="C998">
        <v>532760.0</v>
      </c>
      <c r="D998" t="s">
        <v>1847</v>
      </c>
      <c r="E998" t="s">
        <v>470</v>
      </c>
    </row>
    <row r="999" spans="8:8">
      <c r="B999" t="s">
        <v>1848</v>
      </c>
      <c r="C999">
        <v>541778.0</v>
      </c>
      <c r="D999" t="s">
        <v>339</v>
      </c>
      <c r="E999" t="s">
        <v>499</v>
      </c>
    </row>
    <row r="1000" spans="8:8">
      <c r="B1000" t="s">
        <v>1849</v>
      </c>
      <c r="C1000">
        <v>500645.0</v>
      </c>
      <c r="D1000" t="s">
        <v>1850</v>
      </c>
      <c r="E1000" t="s">
        <v>387</v>
      </c>
    </row>
    <row r="1001" spans="8:8">
      <c r="B1001" t="s">
        <v>1851</v>
      </c>
      <c r="C1001">
        <v>506401.0</v>
      </c>
      <c r="D1001" t="s">
        <v>1852</v>
      </c>
      <c r="E1001" t="s">
        <v>387</v>
      </c>
    </row>
    <row r="1002" spans="8:8">
      <c r="B1002" t="s">
        <v>1853</v>
      </c>
      <c r="C1002">
        <v>514030.0</v>
      </c>
      <c r="D1002" t="s">
        <v>339</v>
      </c>
      <c r="E1002" t="s">
        <v>354</v>
      </c>
    </row>
    <row r="1003" spans="8:8">
      <c r="B1003" t="s">
        <v>1854</v>
      </c>
      <c r="C1003">
        <v>539455.0</v>
      </c>
      <c r="D1003" t="s">
        <v>339</v>
      </c>
      <c r="E1003" t="s">
        <v>371</v>
      </c>
    </row>
    <row r="1004" spans="8:8">
      <c r="B1004" t="s">
        <v>1855</v>
      </c>
      <c r="C1004">
        <v>780006.0</v>
      </c>
      <c r="D1004" t="s">
        <v>339</v>
      </c>
      <c r="E1004" t="s">
        <v>430</v>
      </c>
    </row>
    <row r="1005" spans="8:8">
      <c r="B1005" t="s">
        <v>1856</v>
      </c>
      <c r="C1005">
        <v>532848.0</v>
      </c>
      <c r="D1005" t="s">
        <v>1857</v>
      </c>
      <c r="E1005" t="s">
        <v>760</v>
      </c>
    </row>
    <row r="1006" spans="8:8">
      <c r="B1006" t="s">
        <v>1858</v>
      </c>
      <c r="C1006">
        <v>539596.0</v>
      </c>
      <c r="D1006" t="s">
        <v>339</v>
      </c>
      <c r="E1006" t="s">
        <v>322</v>
      </c>
    </row>
    <row r="1007" spans="8:8">
      <c r="B1007" t="s">
        <v>1859</v>
      </c>
      <c r="C1007">
        <v>504286.0</v>
      </c>
      <c r="D1007" t="s">
        <v>1860</v>
      </c>
      <c r="E1007" t="s">
        <v>637</v>
      </c>
    </row>
    <row r="1008" spans="8:8">
      <c r="B1008" t="s">
        <v>1861</v>
      </c>
      <c r="C1008">
        <v>504240.0</v>
      </c>
      <c r="D1008" t="s">
        <v>339</v>
      </c>
      <c r="E1008" t="s">
        <v>637</v>
      </c>
    </row>
    <row r="1009" spans="8:8">
      <c r="B1009" t="s">
        <v>1862</v>
      </c>
      <c r="C1009">
        <v>504256.0</v>
      </c>
      <c r="D1009" t="s">
        <v>339</v>
      </c>
      <c r="E1009" t="s">
        <v>881</v>
      </c>
    </row>
    <row r="1010" spans="8:8">
      <c r="B1010" t="s">
        <v>1863</v>
      </c>
      <c r="C1010">
        <v>533137.0</v>
      </c>
      <c r="D1010" t="s">
        <v>1864</v>
      </c>
      <c r="E1010" t="s">
        <v>1077</v>
      </c>
    </row>
    <row r="1011" spans="8:8">
      <c r="B1011" t="s">
        <v>1865</v>
      </c>
      <c r="C1011">
        <v>532121.0</v>
      </c>
      <c r="D1011" t="s">
        <v>1866</v>
      </c>
      <c r="E1011" t="s">
        <v>657</v>
      </c>
    </row>
    <row r="1012" spans="8:8">
      <c r="B1012" t="s">
        <v>1867</v>
      </c>
      <c r="C1012">
        <v>537536.0</v>
      </c>
      <c r="D1012" t="s">
        <v>339</v>
      </c>
      <c r="E1012" t="s">
        <v>377</v>
      </c>
    </row>
    <row r="1013" spans="8:8">
      <c r="B1013" t="s">
        <v>1868</v>
      </c>
      <c r="C1013">
        <v>531521.0</v>
      </c>
      <c r="D1013" t="s">
        <v>339</v>
      </c>
      <c r="E1013" t="s">
        <v>377</v>
      </c>
    </row>
    <row r="1014" spans="8:8">
      <c r="B1014" t="s">
        <v>1869</v>
      </c>
      <c r="C1014" t="s">
        <v>339</v>
      </c>
      <c r="D1014" t="s">
        <v>1870</v>
      </c>
      <c r="E1014" t="s">
        <v>350</v>
      </c>
    </row>
    <row r="1015" spans="8:8">
      <c r="B1015" t="s">
        <v>1871</v>
      </c>
      <c r="C1015">
        <v>539197.0</v>
      </c>
      <c r="D1015" t="s">
        <v>339</v>
      </c>
      <c r="E1015" t="s">
        <v>361</v>
      </c>
    </row>
    <row r="1016" spans="8:8">
      <c r="B1016" t="s">
        <v>1872</v>
      </c>
      <c r="C1016">
        <v>539197.0</v>
      </c>
      <c r="D1016" t="s">
        <v>339</v>
      </c>
      <c r="E1016" t="s">
        <v>361</v>
      </c>
    </row>
    <row r="1017" spans="8:8">
      <c r="B1017" t="s">
        <v>1873</v>
      </c>
      <c r="C1017">
        <v>531585.0</v>
      </c>
      <c r="D1017" t="s">
        <v>339</v>
      </c>
      <c r="E1017" t="s">
        <v>361</v>
      </c>
    </row>
    <row r="1018" spans="8:8">
      <c r="B1018" t="s">
        <v>1874</v>
      </c>
      <c r="C1018">
        <v>512445.0</v>
      </c>
      <c r="D1018" t="s">
        <v>339</v>
      </c>
      <c r="E1018" t="s">
        <v>322</v>
      </c>
    </row>
    <row r="1019" spans="8:8">
      <c r="B1019" t="s">
        <v>1875</v>
      </c>
      <c r="C1019">
        <v>530765.0</v>
      </c>
      <c r="D1019" t="s">
        <v>339</v>
      </c>
      <c r="E1019" t="s">
        <v>356</v>
      </c>
    </row>
    <row r="1020" spans="8:8">
      <c r="B1020" t="s">
        <v>1876</v>
      </c>
      <c r="C1020">
        <v>542002.0</v>
      </c>
      <c r="D1020" t="s">
        <v>339</v>
      </c>
      <c r="E1020" t="s">
        <v>425</v>
      </c>
    </row>
    <row r="1021" spans="8:8">
      <c r="B1021" t="s">
        <v>1877</v>
      </c>
      <c r="C1021">
        <v>511072.0</v>
      </c>
      <c r="D1021" t="s">
        <v>1878</v>
      </c>
      <c r="E1021" t="s">
        <v>397</v>
      </c>
    </row>
    <row r="1022" spans="8:8">
      <c r="B1022" t="s">
        <v>1879</v>
      </c>
      <c r="C1022">
        <v>519588.0</v>
      </c>
      <c r="D1022" t="s">
        <v>1880</v>
      </c>
      <c r="E1022" t="s">
        <v>399</v>
      </c>
    </row>
    <row r="1023" spans="8:8">
      <c r="B1023" t="s">
        <v>1881</v>
      </c>
      <c r="C1023">
        <v>538715.0</v>
      </c>
      <c r="D1023" t="s">
        <v>339</v>
      </c>
      <c r="E1023" t="s">
        <v>459</v>
      </c>
    </row>
    <row r="1024" spans="8:8">
      <c r="B1024" t="s">
        <v>1882</v>
      </c>
      <c r="C1024">
        <v>500119.0</v>
      </c>
      <c r="D1024" t="s">
        <v>1883</v>
      </c>
      <c r="E1024" t="s">
        <v>1037</v>
      </c>
    </row>
    <row r="1025" spans="8:8">
      <c r="B1025" t="s">
        <v>1884</v>
      </c>
      <c r="C1025">
        <v>531923.0</v>
      </c>
      <c r="D1025" t="s">
        <v>339</v>
      </c>
      <c r="E1025" t="s">
        <v>1037</v>
      </c>
    </row>
    <row r="1026" spans="8:8">
      <c r="B1026" t="s">
        <v>1885</v>
      </c>
      <c r="C1026">
        <v>531198.0</v>
      </c>
      <c r="D1026" t="s">
        <v>339</v>
      </c>
      <c r="E1026" t="s">
        <v>540</v>
      </c>
    </row>
    <row r="1027" spans="8:8">
      <c r="B1027" t="s">
        <v>1886</v>
      </c>
      <c r="C1027">
        <v>521216.0</v>
      </c>
      <c r="D1027" t="s">
        <v>339</v>
      </c>
      <c r="E1027" t="s">
        <v>354</v>
      </c>
    </row>
    <row r="1028" spans="8:8">
      <c r="B1028" t="s">
        <v>1887</v>
      </c>
      <c r="C1028">
        <v>542679.0</v>
      </c>
      <c r="D1028" t="s">
        <v>1888</v>
      </c>
      <c r="E1028" t="s">
        <v>637</v>
      </c>
    </row>
    <row r="1029" spans="8:8">
      <c r="B1029" t="s">
        <v>1889</v>
      </c>
      <c r="C1029">
        <v>532180.0</v>
      </c>
      <c r="D1029" t="s">
        <v>1890</v>
      </c>
      <c r="E1029" t="s">
        <v>657</v>
      </c>
    </row>
    <row r="1030" spans="8:8">
      <c r="B1030" t="s">
        <v>1891</v>
      </c>
      <c r="C1030">
        <v>512485.0</v>
      </c>
      <c r="D1030" t="s">
        <v>339</v>
      </c>
      <c r="E1030" t="s">
        <v>361</v>
      </c>
    </row>
    <row r="1031" spans="8:8">
      <c r="B1031" t="s">
        <v>1892</v>
      </c>
      <c r="C1031">
        <v>521151.0</v>
      </c>
      <c r="D1031" t="s">
        <v>339</v>
      </c>
      <c r="E1031" t="s">
        <v>354</v>
      </c>
    </row>
    <row r="1032" spans="8:8">
      <c r="B1032" t="s">
        <v>1893</v>
      </c>
      <c r="C1032">
        <v>503637.0</v>
      </c>
      <c r="D1032" t="s">
        <v>339</v>
      </c>
      <c r="E1032" t="s">
        <v>322</v>
      </c>
    </row>
    <row r="1033" spans="8:8">
      <c r="B1033" t="s">
        <v>1894</v>
      </c>
      <c r="C1033">
        <v>507717.0</v>
      </c>
      <c r="D1033" t="s">
        <v>1895</v>
      </c>
      <c r="E1033" t="s">
        <v>483</v>
      </c>
    </row>
    <row r="1034" spans="8:8">
      <c r="B1034" t="s">
        <v>1896</v>
      </c>
      <c r="C1034">
        <v>538446.0</v>
      </c>
      <c r="D1034" t="s">
        <v>339</v>
      </c>
      <c r="E1034" t="s">
        <v>322</v>
      </c>
    </row>
    <row r="1035" spans="8:8">
      <c r="B1035" t="s">
        <v>1897</v>
      </c>
      <c r="C1035" t="s">
        <v>339</v>
      </c>
      <c r="D1035" t="s">
        <v>1898</v>
      </c>
      <c r="E1035" t="s">
        <v>350</v>
      </c>
    </row>
    <row r="1036" spans="8:8">
      <c r="B1036" t="s">
        <v>1899</v>
      </c>
      <c r="C1036">
        <v>531043.0</v>
      </c>
      <c r="D1036" t="s">
        <v>339</v>
      </c>
      <c r="E1036" t="s">
        <v>528</v>
      </c>
    </row>
    <row r="1037" spans="8:8">
      <c r="B1037" t="s">
        <v>1900</v>
      </c>
      <c r="C1037">
        <v>540268.0</v>
      </c>
      <c r="D1037" t="s">
        <v>339</v>
      </c>
      <c r="E1037" t="s">
        <v>322</v>
      </c>
    </row>
    <row r="1038" spans="8:8">
      <c r="B1038" t="s">
        <v>1901</v>
      </c>
      <c r="C1038">
        <v>506405.0</v>
      </c>
      <c r="D1038" t="s">
        <v>339</v>
      </c>
      <c r="E1038" t="s">
        <v>499</v>
      </c>
    </row>
    <row r="1039" spans="8:8">
      <c r="B1039" t="s">
        <v>1902</v>
      </c>
      <c r="C1039">
        <v>511451.0</v>
      </c>
      <c r="D1039" t="s">
        <v>339</v>
      </c>
      <c r="E1039" t="s">
        <v>356</v>
      </c>
    </row>
    <row r="1040" spans="8:8">
      <c r="B1040" t="s">
        <v>1903</v>
      </c>
      <c r="C1040">
        <v>507442.0</v>
      </c>
      <c r="D1040" t="s">
        <v>1904</v>
      </c>
      <c r="E1040" t="s">
        <v>1037</v>
      </c>
    </row>
    <row r="1041" spans="8:8">
      <c r="B1041" t="s">
        <v>1905</v>
      </c>
      <c r="C1041">
        <v>501945.0</v>
      </c>
      <c r="D1041" t="s">
        <v>339</v>
      </c>
      <c r="E1041" t="s">
        <v>356</v>
      </c>
    </row>
    <row r="1042" spans="8:8">
      <c r="B1042" t="s">
        <v>1906</v>
      </c>
      <c r="C1042">
        <v>526971.0</v>
      </c>
      <c r="D1042" t="s">
        <v>339</v>
      </c>
      <c r="E1042" t="s">
        <v>361</v>
      </c>
    </row>
    <row r="1043" spans="8:8">
      <c r="B1043" t="s">
        <v>1907</v>
      </c>
      <c r="C1043">
        <v>531306.0</v>
      </c>
      <c r="D1043" t="s">
        <v>339</v>
      </c>
      <c r="E1043" t="s">
        <v>347</v>
      </c>
    </row>
    <row r="1044" spans="8:8">
      <c r="B1044" t="s">
        <v>1908</v>
      </c>
      <c r="C1044">
        <v>531306.0</v>
      </c>
      <c r="D1044" t="s">
        <v>339</v>
      </c>
      <c r="E1044" t="s">
        <v>347</v>
      </c>
    </row>
    <row r="1045" spans="8:8">
      <c r="B1045" t="s">
        <v>1909</v>
      </c>
      <c r="C1045">
        <v>541302.0</v>
      </c>
      <c r="D1045" t="s">
        <v>339</v>
      </c>
      <c r="E1045" t="s">
        <v>737</v>
      </c>
    </row>
    <row r="1046" spans="8:8">
      <c r="B1046" t="s">
        <v>1910</v>
      </c>
      <c r="C1046">
        <v>507886.0</v>
      </c>
      <c r="D1046" t="s">
        <v>339</v>
      </c>
      <c r="E1046" t="s">
        <v>425</v>
      </c>
    </row>
    <row r="1047" spans="8:8">
      <c r="B1047" t="s">
        <v>1911</v>
      </c>
      <c r="C1047">
        <v>540695.0</v>
      </c>
      <c r="D1047" t="s">
        <v>339</v>
      </c>
      <c r="E1047" t="s">
        <v>361</v>
      </c>
    </row>
    <row r="1048" spans="8:8">
      <c r="B1048" t="s">
        <v>1912</v>
      </c>
      <c r="C1048">
        <v>531237.0</v>
      </c>
      <c r="D1048" t="s">
        <v>339</v>
      </c>
      <c r="E1048" t="s">
        <v>356</v>
      </c>
    </row>
    <row r="1049" spans="8:8">
      <c r="B1049" t="s">
        <v>1913</v>
      </c>
      <c r="C1049">
        <v>533336.0</v>
      </c>
      <c r="D1049" t="s">
        <v>1914</v>
      </c>
      <c r="E1049" t="s">
        <v>359</v>
      </c>
    </row>
    <row r="1050" spans="8:8">
      <c r="B1050" t="s">
        <v>1915</v>
      </c>
      <c r="C1050">
        <v>523736.0</v>
      </c>
      <c r="D1050" t="s">
        <v>1916</v>
      </c>
      <c r="E1050" t="s">
        <v>716</v>
      </c>
    </row>
    <row r="1051" spans="8:8">
      <c r="B1051" t="s">
        <v>1917</v>
      </c>
      <c r="C1051">
        <v>538902.0</v>
      </c>
      <c r="D1051" t="s">
        <v>1918</v>
      </c>
      <c r="E1051" t="s">
        <v>746</v>
      </c>
    </row>
    <row r="1052" spans="8:8">
      <c r="B1052" t="s">
        <v>1919</v>
      </c>
      <c r="C1052" t="s">
        <v>339</v>
      </c>
      <c r="D1052" t="s">
        <v>1920</v>
      </c>
      <c r="E1052" t="s">
        <v>746</v>
      </c>
    </row>
    <row r="1053" spans="8:8">
      <c r="B1053" t="s">
        <v>1921</v>
      </c>
      <c r="C1053">
        <v>508860.0</v>
      </c>
      <c r="D1053" t="s">
        <v>339</v>
      </c>
      <c r="E1053" t="s">
        <v>737</v>
      </c>
    </row>
    <row r="1054" spans="8:8">
      <c r="B1054" t="s">
        <v>1922</v>
      </c>
      <c r="C1054">
        <v>500120.0</v>
      </c>
      <c r="D1054" t="s">
        <v>339</v>
      </c>
      <c r="E1054" t="s">
        <v>387</v>
      </c>
    </row>
    <row r="1055" spans="8:8">
      <c r="B1055" t="s">
        <v>1923</v>
      </c>
      <c r="C1055">
        <v>522163.0</v>
      </c>
      <c r="D1055" t="s">
        <v>1924</v>
      </c>
      <c r="E1055" t="s">
        <v>637</v>
      </c>
    </row>
    <row r="1056" spans="8:8">
      <c r="B1056" t="s">
        <v>1925</v>
      </c>
      <c r="C1056">
        <v>530959.0</v>
      </c>
      <c r="D1056" t="s">
        <v>339</v>
      </c>
      <c r="E1056" t="s">
        <v>746</v>
      </c>
    </row>
    <row r="1057" spans="8:8">
      <c r="B1057" t="s">
        <v>1926</v>
      </c>
      <c r="C1057">
        <v>500089.0</v>
      </c>
      <c r="D1057" t="s">
        <v>1927</v>
      </c>
      <c r="E1057" t="s">
        <v>499</v>
      </c>
    </row>
    <row r="1058" spans="8:8">
      <c r="B1058" t="s">
        <v>1928</v>
      </c>
      <c r="C1058">
        <v>500089.0</v>
      </c>
      <c r="D1058" t="s">
        <v>1927</v>
      </c>
      <c r="E1058" t="s">
        <v>499</v>
      </c>
    </row>
    <row r="1059" spans="8:8">
      <c r="B1059" t="s">
        <v>1929</v>
      </c>
      <c r="C1059">
        <v>540811.0</v>
      </c>
      <c r="D1059" t="s">
        <v>339</v>
      </c>
      <c r="E1059" t="s">
        <v>361</v>
      </c>
    </row>
    <row r="1060" spans="8:8">
      <c r="B1060" t="s">
        <v>1930</v>
      </c>
      <c r="C1060">
        <v>542685.0</v>
      </c>
      <c r="D1060" t="s">
        <v>1931</v>
      </c>
      <c r="E1060" t="s">
        <v>863</v>
      </c>
    </row>
    <row r="1061" spans="8:8">
      <c r="B1061" t="s">
        <v>1932</v>
      </c>
      <c r="C1061">
        <v>539979.0</v>
      </c>
      <c r="D1061" t="s">
        <v>1933</v>
      </c>
      <c r="E1061" t="s">
        <v>354</v>
      </c>
    </row>
    <row r="1062" spans="8:8">
      <c r="B1062" t="s">
        <v>1934</v>
      </c>
      <c r="C1062">
        <v>540151.0</v>
      </c>
      <c r="D1062" t="s">
        <v>339</v>
      </c>
      <c r="E1062" t="s">
        <v>342</v>
      </c>
    </row>
    <row r="1063" spans="8:8">
      <c r="B1063" t="s">
        <v>1935</v>
      </c>
      <c r="C1063">
        <v>542155.0</v>
      </c>
      <c r="D1063" t="s">
        <v>1936</v>
      </c>
      <c r="E1063" t="s">
        <v>705</v>
      </c>
    </row>
    <row r="1064" spans="8:8">
      <c r="B1064" t="s">
        <v>1937</v>
      </c>
      <c r="C1064">
        <v>506414.0</v>
      </c>
      <c r="D1064" t="s">
        <v>339</v>
      </c>
      <c r="E1064" t="s">
        <v>377</v>
      </c>
    </row>
    <row r="1065" spans="8:8">
      <c r="B1065" t="s">
        <v>1938</v>
      </c>
      <c r="C1065">
        <v>531153.0</v>
      </c>
      <c r="D1065" t="s">
        <v>339</v>
      </c>
      <c r="E1065" t="s">
        <v>588</v>
      </c>
    </row>
    <row r="1066" spans="8:8">
      <c r="B1066" t="s">
        <v>1939</v>
      </c>
      <c r="C1066">
        <v>540789.0</v>
      </c>
      <c r="D1066" t="s">
        <v>1940</v>
      </c>
      <c r="E1066" t="s">
        <v>1941</v>
      </c>
    </row>
    <row r="1067" spans="8:8">
      <c r="B1067" t="s">
        <v>1942</v>
      </c>
      <c r="C1067">
        <v>540047.0</v>
      </c>
      <c r="D1067" t="s">
        <v>1943</v>
      </c>
      <c r="E1067" t="s">
        <v>934</v>
      </c>
    </row>
    <row r="1068" spans="8:8">
      <c r="B1068" t="s">
        <v>1944</v>
      </c>
      <c r="C1068">
        <v>526927.0</v>
      </c>
      <c r="D1068" t="s">
        <v>339</v>
      </c>
      <c r="E1068" t="s">
        <v>432</v>
      </c>
    </row>
    <row r="1069" spans="8:8">
      <c r="B1069" t="s">
        <v>1945</v>
      </c>
      <c r="C1069">
        <v>500068.0</v>
      </c>
      <c r="D1069" t="s">
        <v>339</v>
      </c>
      <c r="E1069" t="s">
        <v>347</v>
      </c>
    </row>
    <row r="1070" spans="8:8">
      <c r="B1070" t="s">
        <v>1946</v>
      </c>
      <c r="C1070">
        <v>500068.0</v>
      </c>
      <c r="D1070" t="s">
        <v>339</v>
      </c>
      <c r="E1070" t="s">
        <v>347</v>
      </c>
    </row>
    <row r="1071" spans="8:8">
      <c r="B1071" t="s">
        <v>1947</v>
      </c>
      <c r="C1071">
        <v>532839.0</v>
      </c>
      <c r="D1071" t="s">
        <v>1948</v>
      </c>
      <c r="E1071" t="s">
        <v>1077</v>
      </c>
    </row>
    <row r="1072" spans="8:8">
      <c r="B1072" t="s">
        <v>1949</v>
      </c>
      <c r="C1072">
        <v>532839.0</v>
      </c>
      <c r="D1072" t="s">
        <v>1948</v>
      </c>
      <c r="E1072" t="s">
        <v>1077</v>
      </c>
    </row>
    <row r="1073" spans="8:8">
      <c r="B1073" t="s">
        <v>1950</v>
      </c>
      <c r="C1073">
        <v>531553.0</v>
      </c>
      <c r="D1073" t="s">
        <v>339</v>
      </c>
      <c r="E1073" t="s">
        <v>760</v>
      </c>
    </row>
    <row r="1074" spans="8:8">
      <c r="B1074" t="s">
        <v>1951</v>
      </c>
      <c r="C1074">
        <v>540701.0</v>
      </c>
      <c r="D1074" t="s">
        <v>1952</v>
      </c>
      <c r="E1074" t="s">
        <v>377</v>
      </c>
    </row>
    <row r="1075" spans="8:8">
      <c r="B1075" t="s">
        <v>1953</v>
      </c>
      <c r="C1075">
        <v>538432.0</v>
      </c>
      <c r="D1075" t="s">
        <v>339</v>
      </c>
      <c r="E1075" t="s">
        <v>361</v>
      </c>
    </row>
    <row r="1076" spans="8:8">
      <c r="B1076" t="s">
        <v>1954</v>
      </c>
      <c r="C1076">
        <v>532488.0</v>
      </c>
      <c r="D1076" t="s">
        <v>1955</v>
      </c>
      <c r="E1076" t="s">
        <v>377</v>
      </c>
    </row>
    <row r="1077" spans="8:8">
      <c r="B1077" t="s">
        <v>1956</v>
      </c>
      <c r="C1077">
        <v>526285.0</v>
      </c>
      <c r="D1077" t="s">
        <v>339</v>
      </c>
      <c r="E1077" t="s">
        <v>588</v>
      </c>
    </row>
    <row r="1078" spans="8:8">
      <c r="B1078" t="s">
        <v>1957</v>
      </c>
      <c r="C1078">
        <v>526315.0</v>
      </c>
      <c r="D1078" t="s">
        <v>339</v>
      </c>
      <c r="E1078" t="s">
        <v>867</v>
      </c>
    </row>
    <row r="1079" spans="8:8">
      <c r="B1079" t="s">
        <v>1958</v>
      </c>
      <c r="C1079">
        <v>540699.0</v>
      </c>
      <c r="D1079" t="s">
        <v>1959</v>
      </c>
      <c r="E1079" t="s">
        <v>708</v>
      </c>
    </row>
    <row r="1080" spans="8:8">
      <c r="B1080" t="s">
        <v>1960</v>
      </c>
      <c r="C1080">
        <v>540699.0</v>
      </c>
      <c r="D1080" t="s">
        <v>1959</v>
      </c>
      <c r="E1080" t="s">
        <v>708</v>
      </c>
    </row>
    <row r="1081" spans="8:8">
      <c r="B1081" t="s">
        <v>1961</v>
      </c>
      <c r="C1081">
        <v>532868.0</v>
      </c>
      <c r="D1081" t="s">
        <v>1962</v>
      </c>
      <c r="E1081" t="s">
        <v>425</v>
      </c>
    </row>
    <row r="1082" spans="8:8">
      <c r="B1082" t="s">
        <v>1963</v>
      </c>
      <c r="C1082">
        <v>533146.0</v>
      </c>
      <c r="D1082" t="s">
        <v>1964</v>
      </c>
      <c r="E1082" t="s">
        <v>1965</v>
      </c>
    </row>
    <row r="1083" spans="8:8">
      <c r="B1083" t="s">
        <v>1966</v>
      </c>
      <c r="C1083">
        <v>533146.0</v>
      </c>
      <c r="D1083" t="s">
        <v>1967</v>
      </c>
      <c r="E1083" t="s">
        <v>1965</v>
      </c>
    </row>
    <row r="1084" spans="8:8">
      <c r="B1084" t="s">
        <v>1968</v>
      </c>
      <c r="C1084">
        <v>505526.0</v>
      </c>
      <c r="D1084" t="s">
        <v>339</v>
      </c>
      <c r="E1084" t="s">
        <v>359</v>
      </c>
    </row>
    <row r="1085" spans="8:8">
      <c r="B1085" t="s">
        <v>1969</v>
      </c>
      <c r="C1085">
        <v>542013.0</v>
      </c>
      <c r="D1085" t="s">
        <v>339</v>
      </c>
      <c r="E1085" t="s">
        <v>819</v>
      </c>
    </row>
    <row r="1086" spans="8:8">
      <c r="B1086" t="s">
        <v>1970</v>
      </c>
      <c r="C1086">
        <v>541403.0</v>
      </c>
      <c r="D1086" t="s">
        <v>1971</v>
      </c>
      <c r="E1086" t="s">
        <v>453</v>
      </c>
    </row>
    <row r="1087" spans="8:8">
      <c r="B1087" t="s">
        <v>1972</v>
      </c>
      <c r="C1087">
        <v>526504.0</v>
      </c>
      <c r="D1087" t="s">
        <v>339</v>
      </c>
      <c r="E1087" t="s">
        <v>528</v>
      </c>
    </row>
    <row r="1088" spans="8:8">
      <c r="B1088" t="s">
        <v>1973</v>
      </c>
      <c r="C1088">
        <v>522261.0</v>
      </c>
      <c r="D1088" t="s">
        <v>1974</v>
      </c>
      <c r="E1088" t="s">
        <v>680</v>
      </c>
    </row>
    <row r="1089" spans="8:8">
      <c r="B1089" t="s">
        <v>1975</v>
      </c>
      <c r="C1089">
        <v>522261.0</v>
      </c>
      <c r="D1089" t="s">
        <v>1974</v>
      </c>
      <c r="E1089" t="s">
        <v>680</v>
      </c>
    </row>
    <row r="1090" spans="8:8">
      <c r="B1090" t="s">
        <v>1976</v>
      </c>
      <c r="C1090">
        <v>512519.0</v>
      </c>
      <c r="D1090" t="s">
        <v>1977</v>
      </c>
      <c r="E1090" t="s">
        <v>354</v>
      </c>
    </row>
    <row r="1091" spans="8:8">
      <c r="B1091" t="s">
        <v>1978</v>
      </c>
      <c r="C1091" t="s">
        <v>339</v>
      </c>
      <c r="D1091" t="s">
        <v>1979</v>
      </c>
      <c r="E1091" t="s">
        <v>430</v>
      </c>
    </row>
    <row r="1092" spans="8:8">
      <c r="B1092" t="s">
        <v>1980</v>
      </c>
      <c r="C1092">
        <v>533176.0</v>
      </c>
      <c r="D1092" t="s">
        <v>1981</v>
      </c>
      <c r="E1092" t="s">
        <v>342</v>
      </c>
    </row>
    <row r="1093" spans="8:8">
      <c r="B1093" t="s">
        <v>1982</v>
      </c>
      <c r="C1093">
        <v>526783.0</v>
      </c>
      <c r="D1093" t="s">
        <v>339</v>
      </c>
      <c r="E1093" t="s">
        <v>528</v>
      </c>
    </row>
    <row r="1094" spans="8:8">
      <c r="B1094" t="s">
        <v>1983</v>
      </c>
      <c r="C1094">
        <v>539267.0</v>
      </c>
      <c r="D1094" t="s">
        <v>339</v>
      </c>
      <c r="E1094" t="s">
        <v>361</v>
      </c>
    </row>
    <row r="1095" spans="8:8">
      <c r="B1095" t="s">
        <v>1984</v>
      </c>
      <c r="C1095">
        <v>539524.0</v>
      </c>
      <c r="D1095" t="s">
        <v>1985</v>
      </c>
      <c r="E1095" t="s">
        <v>528</v>
      </c>
    </row>
    <row r="1096" spans="8:8">
      <c r="B1096" t="s">
        <v>1986</v>
      </c>
      <c r="C1096">
        <v>541299.0</v>
      </c>
      <c r="D1096" t="s">
        <v>339</v>
      </c>
      <c r="E1096" t="s">
        <v>528</v>
      </c>
    </row>
    <row r="1097" spans="8:8">
      <c r="B1097" t="s">
        <v>1987</v>
      </c>
      <c r="C1097">
        <v>500124.0</v>
      </c>
      <c r="D1097" t="s">
        <v>1988</v>
      </c>
      <c r="E1097" t="s">
        <v>377</v>
      </c>
    </row>
    <row r="1098" spans="8:8">
      <c r="B1098" t="s">
        <v>1989</v>
      </c>
      <c r="C1098">
        <v>540144.0</v>
      </c>
      <c r="D1098" t="s">
        <v>339</v>
      </c>
      <c r="E1098" t="s">
        <v>423</v>
      </c>
    </row>
    <row r="1099" spans="8:8">
      <c r="B1099" t="s">
        <v>1990</v>
      </c>
      <c r="C1099">
        <v>523618.0</v>
      </c>
      <c r="D1099" t="s">
        <v>1991</v>
      </c>
      <c r="E1099" t="s">
        <v>1586</v>
      </c>
    </row>
    <row r="1100" spans="8:8">
      <c r="B1100" t="s">
        <v>1992</v>
      </c>
      <c r="C1100">
        <v>523618.0</v>
      </c>
      <c r="D1100" t="s">
        <v>1991</v>
      </c>
      <c r="E1100" t="s">
        <v>1586</v>
      </c>
    </row>
    <row r="1101" spans="8:8">
      <c r="B1101" t="s">
        <v>1993</v>
      </c>
      <c r="C1101">
        <v>534674.0</v>
      </c>
      <c r="D1101" t="s">
        <v>1994</v>
      </c>
      <c r="E1101" t="s">
        <v>361</v>
      </c>
    </row>
    <row r="1102" spans="8:8">
      <c r="B1102" t="s">
        <v>1995</v>
      </c>
      <c r="C1102">
        <v>511634.0</v>
      </c>
      <c r="D1102" t="s">
        <v>339</v>
      </c>
      <c r="E1102" t="s">
        <v>737</v>
      </c>
    </row>
    <row r="1103" spans="8:8">
      <c r="B1103" t="s">
        <v>1996</v>
      </c>
      <c r="C1103">
        <v>531471.0</v>
      </c>
      <c r="D1103" t="s">
        <v>339</v>
      </c>
      <c r="E1103" t="s">
        <v>680</v>
      </c>
    </row>
    <row r="1104" spans="8:8">
      <c r="B1104" t="s">
        <v>1997</v>
      </c>
      <c r="C1104">
        <v>504908.0</v>
      </c>
      <c r="D1104" t="s">
        <v>339</v>
      </c>
      <c r="E1104" t="s">
        <v>694</v>
      </c>
    </row>
    <row r="1105" spans="8:8">
      <c r="B1105" t="s">
        <v>1998</v>
      </c>
      <c r="C1105">
        <v>526355.0</v>
      </c>
      <c r="D1105" t="s">
        <v>339</v>
      </c>
      <c r="E1105" t="s">
        <v>459</v>
      </c>
    </row>
    <row r="1106" spans="8:8">
      <c r="B1106" t="s">
        <v>1999</v>
      </c>
      <c r="C1106">
        <v>517437.0</v>
      </c>
      <c r="D1106" t="s">
        <v>339</v>
      </c>
      <c r="E1106" t="s">
        <v>459</v>
      </c>
    </row>
    <row r="1107" spans="8:8">
      <c r="B1107" t="s">
        <v>2000</v>
      </c>
      <c r="C1107">
        <v>532610.0</v>
      </c>
      <c r="D1107" t="s">
        <v>2001</v>
      </c>
      <c r="E1107" t="s">
        <v>1037</v>
      </c>
    </row>
    <row r="1108" spans="8:8">
      <c r="B1108" t="s">
        <v>2002</v>
      </c>
      <c r="C1108">
        <v>538608.0</v>
      </c>
      <c r="D1108" t="s">
        <v>2003</v>
      </c>
      <c r="E1108" t="s">
        <v>705</v>
      </c>
    </row>
    <row r="1109" spans="8:8">
      <c r="B1109" t="s">
        <v>2004</v>
      </c>
      <c r="C1109">
        <v>532365.0</v>
      </c>
      <c r="D1109" t="s">
        <v>2005</v>
      </c>
      <c r="E1109" t="s">
        <v>325</v>
      </c>
    </row>
    <row r="1110" spans="8:8">
      <c r="B1110" t="s">
        <v>2006</v>
      </c>
      <c r="C1110">
        <v>505242.0</v>
      </c>
      <c r="D1110" t="s">
        <v>2007</v>
      </c>
      <c r="E1110" t="s">
        <v>347</v>
      </c>
    </row>
    <row r="1111" spans="8:8">
      <c r="B1111" t="s">
        <v>2008</v>
      </c>
      <c r="C1111">
        <v>539681.0</v>
      </c>
      <c r="D1111" t="s">
        <v>339</v>
      </c>
      <c r="E1111" t="s">
        <v>356</v>
      </c>
    </row>
    <row r="1112" spans="8:8">
      <c r="B1112" t="s">
        <v>2009</v>
      </c>
      <c r="C1112">
        <v>540795.0</v>
      </c>
      <c r="D1112" t="s">
        <v>339</v>
      </c>
      <c r="E1112" t="s">
        <v>637</v>
      </c>
    </row>
    <row r="1113" spans="8:8">
      <c r="B1113" t="s">
        <v>2010</v>
      </c>
      <c r="C1113">
        <v>524818.0</v>
      </c>
      <c r="D1113" t="s">
        <v>339</v>
      </c>
      <c r="E1113" t="s">
        <v>499</v>
      </c>
    </row>
    <row r="1114" spans="8:8">
      <c r="B1114" t="s">
        <v>2011</v>
      </c>
      <c r="C1114">
        <v>530779.0</v>
      </c>
      <c r="D1114" t="s">
        <v>339</v>
      </c>
      <c r="E1114" t="s">
        <v>356</v>
      </c>
    </row>
    <row r="1115" spans="8:8">
      <c r="B1115" t="s">
        <v>2012</v>
      </c>
      <c r="C1115">
        <v>517238.0</v>
      </c>
      <c r="D1115" t="s">
        <v>339</v>
      </c>
      <c r="E1115" t="s">
        <v>881</v>
      </c>
    </row>
    <row r="1116" spans="8:8">
      <c r="B1116" t="s">
        <v>2013</v>
      </c>
      <c r="C1116">
        <v>532707.0</v>
      </c>
      <c r="D1116" t="s">
        <v>2014</v>
      </c>
      <c r="E1116" t="s">
        <v>499</v>
      </c>
    </row>
    <row r="1117" spans="8:8">
      <c r="B1117" t="s">
        <v>2015</v>
      </c>
      <c r="C1117">
        <v>531533.0</v>
      </c>
      <c r="D1117" t="s">
        <v>339</v>
      </c>
      <c r="E1117" t="s">
        <v>325</v>
      </c>
    </row>
    <row r="1118" spans="8:8">
      <c r="B1118" t="s">
        <v>2016</v>
      </c>
      <c r="C1118" t="s">
        <v>339</v>
      </c>
      <c r="D1118" t="s">
        <v>2017</v>
      </c>
      <c r="E1118" t="s">
        <v>350</v>
      </c>
    </row>
    <row r="1119" spans="8:8">
      <c r="B1119" t="s">
        <v>2018</v>
      </c>
      <c r="C1119">
        <v>507917.0</v>
      </c>
      <c r="D1119" t="s">
        <v>339</v>
      </c>
      <c r="E1119" t="s">
        <v>425</v>
      </c>
    </row>
    <row r="1120" spans="8:8">
      <c r="B1120" t="s">
        <v>2019</v>
      </c>
      <c r="C1120">
        <v>520081.0</v>
      </c>
      <c r="D1120" t="s">
        <v>339</v>
      </c>
      <c r="E1120" t="s">
        <v>371</v>
      </c>
    </row>
    <row r="1121" spans="8:8">
      <c r="B1121" t="s">
        <v>2020</v>
      </c>
      <c r="C1121">
        <v>541053.0</v>
      </c>
      <c r="D1121" t="s">
        <v>339</v>
      </c>
      <c r="E1121" t="s">
        <v>322</v>
      </c>
    </row>
    <row r="1122" spans="8:8">
      <c r="B1122" t="s">
        <v>2021</v>
      </c>
      <c r="C1122">
        <v>590022.0</v>
      </c>
      <c r="D1122" t="s">
        <v>2022</v>
      </c>
      <c r="E1122" t="s">
        <v>354</v>
      </c>
    </row>
    <row r="1123" spans="8:8">
      <c r="B1123" t="s">
        <v>2023</v>
      </c>
      <c r="C1123">
        <v>531346.0</v>
      </c>
      <c r="D1123" t="s">
        <v>339</v>
      </c>
      <c r="E1123" t="s">
        <v>819</v>
      </c>
    </row>
    <row r="1124" spans="8:8">
      <c r="B1124" t="s">
        <v>2024</v>
      </c>
      <c r="C1124">
        <v>532751.0</v>
      </c>
      <c r="D1124" t="s">
        <v>2025</v>
      </c>
      <c r="E1124" t="s">
        <v>637</v>
      </c>
    </row>
    <row r="1125" spans="8:8">
      <c r="B1125" t="s">
        <v>2026</v>
      </c>
      <c r="C1125" t="s">
        <v>339</v>
      </c>
      <c r="D1125" t="s">
        <v>2027</v>
      </c>
      <c r="E1125" t="s">
        <v>430</v>
      </c>
    </row>
    <row r="1126" spans="8:8">
      <c r="B1126" t="s">
        <v>2028</v>
      </c>
      <c r="C1126">
        <v>532927.0</v>
      </c>
      <c r="D1126" t="s">
        <v>2029</v>
      </c>
      <c r="E1126" t="s">
        <v>669</v>
      </c>
    </row>
    <row r="1127" spans="8:8">
      <c r="B1127" t="s">
        <v>2030</v>
      </c>
      <c r="C1127">
        <v>534839.0</v>
      </c>
      <c r="D1127" t="s">
        <v>339</v>
      </c>
      <c r="E1127" t="s">
        <v>537</v>
      </c>
    </row>
    <row r="1128" spans="8:8">
      <c r="B1128" t="s">
        <v>2031</v>
      </c>
      <c r="C1128">
        <v>530643.0</v>
      </c>
      <c r="D1128" t="s">
        <v>339</v>
      </c>
      <c r="E1128" t="s">
        <v>881</v>
      </c>
    </row>
    <row r="1129" spans="8:8">
      <c r="B1129" t="s">
        <v>2032</v>
      </c>
      <c r="C1129">
        <v>523732.0</v>
      </c>
      <c r="D1129" t="s">
        <v>339</v>
      </c>
      <c r="E1129" t="s">
        <v>834</v>
      </c>
    </row>
    <row r="1130" spans="8:8">
      <c r="B1130" t="s">
        <v>2033</v>
      </c>
      <c r="C1130">
        <v>538708.0</v>
      </c>
      <c r="D1130" t="s">
        <v>339</v>
      </c>
      <c r="E1130" t="s">
        <v>356</v>
      </c>
    </row>
    <row r="1131" spans="8:8">
      <c r="B1131" t="s">
        <v>2034</v>
      </c>
      <c r="C1131">
        <v>538708.0</v>
      </c>
      <c r="D1131" t="s">
        <v>339</v>
      </c>
      <c r="E1131" t="s">
        <v>356</v>
      </c>
    </row>
    <row r="1132" spans="8:8">
      <c r="B1132" t="s">
        <v>2035</v>
      </c>
      <c r="C1132">
        <v>526703.0</v>
      </c>
      <c r="D1132" t="s">
        <v>339</v>
      </c>
      <c r="E1132" t="s">
        <v>459</v>
      </c>
    </row>
    <row r="1133" spans="8:8">
      <c r="B1133" t="s">
        <v>2036</v>
      </c>
      <c r="C1133">
        <v>540063.0</v>
      </c>
      <c r="D1133" t="s">
        <v>339</v>
      </c>
      <c r="E1133" t="s">
        <v>325</v>
      </c>
    </row>
    <row r="1134" spans="8:8">
      <c r="B1134" t="s">
        <v>2037</v>
      </c>
      <c r="C1134">
        <v>532922.0</v>
      </c>
      <c r="D1134" t="s">
        <v>2038</v>
      </c>
      <c r="E1134" t="s">
        <v>322</v>
      </c>
    </row>
    <row r="1135" spans="8:8">
      <c r="B1135" t="s">
        <v>2039</v>
      </c>
      <c r="C1135">
        <v>532696.0</v>
      </c>
      <c r="D1135" t="s">
        <v>2040</v>
      </c>
      <c r="E1135" t="s">
        <v>444</v>
      </c>
    </row>
    <row r="1136" spans="8:8">
      <c r="B1136" t="s">
        <v>2041</v>
      </c>
      <c r="C1136">
        <v>526483.0</v>
      </c>
      <c r="D1136" t="s">
        <v>339</v>
      </c>
      <c r="E1136" t="s">
        <v>1577</v>
      </c>
    </row>
    <row r="1137" spans="8:8">
      <c r="B1137" t="s">
        <v>2042</v>
      </c>
      <c r="C1137">
        <v>535694.0</v>
      </c>
      <c r="D1137" t="s">
        <v>339</v>
      </c>
      <c r="E1137" t="s">
        <v>361</v>
      </c>
    </row>
    <row r="1138" spans="8:8">
      <c r="B1138" t="s">
        <v>2043</v>
      </c>
      <c r="C1138">
        <v>505200.0</v>
      </c>
      <c r="D1138" t="s">
        <v>2044</v>
      </c>
      <c r="E1138" t="s">
        <v>996</v>
      </c>
    </row>
    <row r="1139" spans="8:8">
      <c r="B1139" t="s">
        <v>2045</v>
      </c>
      <c r="C1139">
        <v>500125.0</v>
      </c>
      <c r="D1139" t="s">
        <v>2046</v>
      </c>
      <c r="E1139" t="s">
        <v>1037</v>
      </c>
    </row>
    <row r="1140" spans="8:8">
      <c r="B1140" t="s">
        <v>2047</v>
      </c>
      <c r="C1140">
        <v>500125.0</v>
      </c>
      <c r="D1140" t="s">
        <v>2046</v>
      </c>
      <c r="E1140" t="s">
        <v>1037</v>
      </c>
    </row>
    <row r="1141" spans="8:8">
      <c r="B1141" t="s">
        <v>2048</v>
      </c>
      <c r="C1141">
        <v>523127.0</v>
      </c>
      <c r="D1141" t="s">
        <v>2049</v>
      </c>
      <c r="E1141" t="s">
        <v>540</v>
      </c>
    </row>
    <row r="1142" spans="8:8">
      <c r="B1142" t="s">
        <v>2050</v>
      </c>
      <c r="C1142">
        <v>500840.0</v>
      </c>
      <c r="D1142" t="s">
        <v>2051</v>
      </c>
      <c r="E1142" t="s">
        <v>540</v>
      </c>
    </row>
    <row r="1143" spans="8:8">
      <c r="B1143" t="s">
        <v>2052</v>
      </c>
      <c r="C1143">
        <v>523708.0</v>
      </c>
      <c r="D1143" t="s">
        <v>2053</v>
      </c>
      <c r="E1143" t="s">
        <v>347</v>
      </c>
    </row>
    <row r="1144" spans="8:8">
      <c r="B1144" t="s">
        <v>2054</v>
      </c>
      <c r="C1144">
        <v>523708.0</v>
      </c>
      <c r="D1144" t="s">
        <v>2053</v>
      </c>
      <c r="E1144" t="s">
        <v>347</v>
      </c>
    </row>
    <row r="1145" spans="8:8">
      <c r="B1145" t="s">
        <v>2055</v>
      </c>
      <c r="C1145">
        <v>538653.0</v>
      </c>
      <c r="D1145" t="s">
        <v>2056</v>
      </c>
      <c r="E1145" t="s">
        <v>705</v>
      </c>
    </row>
    <row r="1146" spans="8:8">
      <c r="B1146" t="s">
        <v>2057</v>
      </c>
      <c r="C1146">
        <v>530581.0</v>
      </c>
      <c r="D1146" t="s">
        <v>339</v>
      </c>
      <c r="E1146" t="s">
        <v>760</v>
      </c>
    </row>
    <row r="1147" spans="8:8">
      <c r="B1147" t="s">
        <v>2058</v>
      </c>
      <c r="C1147">
        <v>532820.0</v>
      </c>
      <c r="D1147" t="s">
        <v>2059</v>
      </c>
      <c r="E1147" t="s">
        <v>354</v>
      </c>
    </row>
    <row r="1148" spans="8:8">
      <c r="B1148" t="s">
        <v>2060</v>
      </c>
      <c r="C1148">
        <v>513452.0</v>
      </c>
      <c r="D1148" t="s">
        <v>339</v>
      </c>
      <c r="E1148" t="s">
        <v>371</v>
      </c>
    </row>
    <row r="1149" spans="8:8">
      <c r="B1149" t="s">
        <v>2061</v>
      </c>
      <c r="C1149">
        <v>500123.0</v>
      </c>
      <c r="D1149" t="s">
        <v>339</v>
      </c>
      <c r="E1149" t="s">
        <v>387</v>
      </c>
    </row>
    <row r="1150" spans="8:8">
      <c r="B1150" t="s">
        <v>2062</v>
      </c>
      <c r="C1150">
        <v>500123.0</v>
      </c>
      <c r="D1150" t="s">
        <v>339</v>
      </c>
      <c r="E1150" t="s">
        <v>387</v>
      </c>
    </row>
    <row r="1151" spans="8:8">
      <c r="B1151" t="s">
        <v>2063</v>
      </c>
      <c r="C1151">
        <v>503681.0</v>
      </c>
      <c r="D1151" t="s">
        <v>339</v>
      </c>
      <c r="E1151" t="s">
        <v>760</v>
      </c>
    </row>
    <row r="1152" spans="8:8">
      <c r="B1152" t="s">
        <v>2064</v>
      </c>
      <c r="C1152">
        <v>523329.0</v>
      </c>
      <c r="D1152" t="s">
        <v>339</v>
      </c>
      <c r="E1152" t="s">
        <v>425</v>
      </c>
    </row>
    <row r="1153" spans="8:8">
      <c r="B1153" t="s">
        <v>2065</v>
      </c>
      <c r="C1153">
        <v>505700.0</v>
      </c>
      <c r="D1153" t="s">
        <v>2066</v>
      </c>
      <c r="E1153" t="s">
        <v>347</v>
      </c>
    </row>
    <row r="1154" spans="8:8">
      <c r="B1154" t="s">
        <v>2067</v>
      </c>
      <c r="C1154">
        <v>500128.0</v>
      </c>
      <c r="D1154" t="s">
        <v>2068</v>
      </c>
      <c r="E1154" t="s">
        <v>737</v>
      </c>
    </row>
    <row r="1155" spans="8:8">
      <c r="B1155" t="s">
        <v>2069</v>
      </c>
      <c r="C1155">
        <v>533264.0</v>
      </c>
      <c r="D1155" t="s">
        <v>2070</v>
      </c>
      <c r="E1155" t="s">
        <v>737</v>
      </c>
    </row>
    <row r="1156" spans="8:8">
      <c r="B1156" t="s">
        <v>2071</v>
      </c>
      <c r="C1156">
        <v>526608.0</v>
      </c>
      <c r="D1156" t="s">
        <v>2072</v>
      </c>
      <c r="E1156" t="s">
        <v>662</v>
      </c>
    </row>
    <row r="1157" spans="8:8">
      <c r="B1157" t="s">
        <v>2073</v>
      </c>
      <c r="C1157">
        <v>526608.0</v>
      </c>
      <c r="D1157" t="s">
        <v>2072</v>
      </c>
      <c r="E1157" t="s">
        <v>662</v>
      </c>
    </row>
    <row r="1158" spans="8:8">
      <c r="B1158" t="s">
        <v>2074</v>
      </c>
      <c r="C1158">
        <v>526473.0</v>
      </c>
      <c r="D1158" t="s">
        <v>339</v>
      </c>
      <c r="E1158" t="s">
        <v>537</v>
      </c>
    </row>
    <row r="1159" spans="8:8">
      <c r="B1159" t="s">
        <v>2075</v>
      </c>
      <c r="C1159">
        <v>526473.0</v>
      </c>
      <c r="D1159" t="s">
        <v>339</v>
      </c>
      <c r="E1159" t="s">
        <v>537</v>
      </c>
    </row>
    <row r="1160" spans="8:8">
      <c r="B1160" t="s">
        <v>2076</v>
      </c>
      <c r="C1160">
        <v>526705.0</v>
      </c>
      <c r="D1160" t="s">
        <v>339</v>
      </c>
      <c r="E1160" t="s">
        <v>361</v>
      </c>
    </row>
    <row r="1161" spans="8:8">
      <c r="B1161" t="s">
        <v>2077</v>
      </c>
      <c r="C1161">
        <v>522074.0</v>
      </c>
      <c r="D1161" t="s">
        <v>2078</v>
      </c>
      <c r="E1161" t="s">
        <v>347</v>
      </c>
    </row>
    <row r="1162" spans="8:8">
      <c r="B1162" t="s">
        <v>2079</v>
      </c>
      <c r="C1162" t="s">
        <v>339</v>
      </c>
      <c r="D1162" t="s">
        <v>2080</v>
      </c>
      <c r="E1162" t="s">
        <v>430</v>
      </c>
    </row>
    <row r="1163" spans="8:8">
      <c r="B1163" t="s">
        <v>2081</v>
      </c>
      <c r="C1163">
        <v>531278.0</v>
      </c>
      <c r="D1163" t="s">
        <v>339</v>
      </c>
      <c r="E1163" t="s">
        <v>322</v>
      </c>
    </row>
    <row r="1164" spans="8:8">
      <c r="B1164" t="s">
        <v>2082</v>
      </c>
      <c r="C1164">
        <v>517477.0</v>
      </c>
      <c r="D1164" t="s">
        <v>339</v>
      </c>
      <c r="E1164" t="s">
        <v>432</v>
      </c>
    </row>
    <row r="1165" spans="8:8">
      <c r="B1165" t="s">
        <v>2083</v>
      </c>
      <c r="C1165">
        <v>504000.0</v>
      </c>
      <c r="D1165" t="s">
        <v>339</v>
      </c>
      <c r="E1165" t="s">
        <v>637</v>
      </c>
    </row>
    <row r="1166" spans="8:8">
      <c r="B1166" t="s">
        <v>2084</v>
      </c>
      <c r="C1166">
        <v>522027.0</v>
      </c>
      <c r="D1166" t="s">
        <v>339</v>
      </c>
      <c r="E1166" t="s">
        <v>347</v>
      </c>
    </row>
    <row r="1167" spans="8:8">
      <c r="B1167" t="s">
        <v>2085</v>
      </c>
      <c r="C1167">
        <v>522027.0</v>
      </c>
      <c r="D1167" t="s">
        <v>339</v>
      </c>
      <c r="E1167" t="s">
        <v>347</v>
      </c>
    </row>
    <row r="1168" spans="8:8">
      <c r="B1168" t="s">
        <v>2086</v>
      </c>
      <c r="C1168">
        <v>531162.0</v>
      </c>
      <c r="D1168" t="s">
        <v>2087</v>
      </c>
      <c r="E1168" t="s">
        <v>521</v>
      </c>
    </row>
    <row r="1169" spans="8:8">
      <c r="B1169" t="s">
        <v>2088</v>
      </c>
      <c r="C1169" t="s">
        <v>339</v>
      </c>
      <c r="D1169" t="s">
        <v>2089</v>
      </c>
      <c r="E1169" t="s">
        <v>521</v>
      </c>
    </row>
    <row r="1170" spans="8:8">
      <c r="B1170" t="s">
        <v>2090</v>
      </c>
      <c r="C1170">
        <v>533208.0</v>
      </c>
      <c r="D1170" t="s">
        <v>339</v>
      </c>
      <c r="E1170" t="s">
        <v>333</v>
      </c>
    </row>
    <row r="1171" spans="8:8">
      <c r="B1171" t="s">
        <v>2091</v>
      </c>
      <c r="C1171">
        <v>533218.0</v>
      </c>
      <c r="D1171" t="s">
        <v>2092</v>
      </c>
      <c r="E1171" t="s">
        <v>425</v>
      </c>
    </row>
    <row r="1172" spans="8:8">
      <c r="B1172" t="s">
        <v>2093</v>
      </c>
      <c r="C1172">
        <v>542602.0</v>
      </c>
      <c r="D1172" t="s">
        <v>2094</v>
      </c>
      <c r="E1172" t="s">
        <v>359</v>
      </c>
    </row>
    <row r="1173" spans="8:8">
      <c r="B1173" t="s">
        <v>2095</v>
      </c>
      <c r="C1173">
        <v>504008.0</v>
      </c>
      <c r="D1173" t="s">
        <v>2096</v>
      </c>
      <c r="E1173" t="s">
        <v>382</v>
      </c>
    </row>
    <row r="1174" spans="8:8">
      <c r="B1174" t="s">
        <v>2097</v>
      </c>
      <c r="C1174">
        <v>538882.0</v>
      </c>
      <c r="D1174" t="s">
        <v>339</v>
      </c>
      <c r="E1174" t="s">
        <v>322</v>
      </c>
    </row>
    <row r="1175" spans="8:8">
      <c r="B1175" t="s">
        <v>2098</v>
      </c>
      <c r="C1175">
        <v>507265.0</v>
      </c>
      <c r="D1175" t="s">
        <v>339</v>
      </c>
      <c r="E1175" t="s">
        <v>517</v>
      </c>
    </row>
    <row r="1176" spans="8:8">
      <c r="B1176" t="s">
        <v>2099</v>
      </c>
      <c r="C1176">
        <v>530333.0</v>
      </c>
      <c r="D1176" t="s">
        <v>339</v>
      </c>
      <c r="E1176" t="s">
        <v>637</v>
      </c>
    </row>
    <row r="1177" spans="8:8">
      <c r="B1177" t="s">
        <v>2100</v>
      </c>
      <c r="C1177">
        <v>532737.0</v>
      </c>
      <c r="D1177" t="s">
        <v>2101</v>
      </c>
      <c r="E1177" t="s">
        <v>322</v>
      </c>
    </row>
    <row r="1178" spans="8:8">
      <c r="B1178" t="s">
        <v>2102</v>
      </c>
      <c r="C1178" t="s">
        <v>339</v>
      </c>
      <c r="D1178" t="s">
        <v>2103</v>
      </c>
      <c r="E1178" t="s">
        <v>350</v>
      </c>
    </row>
    <row r="1179" spans="8:8">
      <c r="B1179" t="s">
        <v>2104</v>
      </c>
      <c r="C1179">
        <v>533161.0</v>
      </c>
      <c r="D1179" t="s">
        <v>2105</v>
      </c>
      <c r="E1179" t="s">
        <v>534</v>
      </c>
    </row>
    <row r="1180" spans="8:8">
      <c r="B1180" t="s">
        <v>2106</v>
      </c>
      <c r="C1180">
        <v>524768.0</v>
      </c>
      <c r="D1180" t="s">
        <v>339</v>
      </c>
      <c r="E1180" t="s">
        <v>387</v>
      </c>
    </row>
    <row r="1181" spans="8:8">
      <c r="B1181" t="s">
        <v>2107</v>
      </c>
      <c r="C1181">
        <v>532038.0</v>
      </c>
      <c r="D1181" t="s">
        <v>339</v>
      </c>
      <c r="E1181" t="s">
        <v>361</v>
      </c>
    </row>
    <row r="1182" spans="8:8">
      <c r="B1182" t="s">
        <v>2108</v>
      </c>
      <c r="C1182">
        <v>532920.0</v>
      </c>
      <c r="D1182" t="s">
        <v>2109</v>
      </c>
      <c r="E1182" t="s">
        <v>970</v>
      </c>
    </row>
    <row r="1183" spans="8:8">
      <c r="B1183" t="s">
        <v>2110</v>
      </c>
      <c r="C1183">
        <v>500132.0</v>
      </c>
      <c r="D1183" t="s">
        <v>339</v>
      </c>
      <c r="E1183" t="s">
        <v>1037</v>
      </c>
    </row>
    <row r="1184" spans="8:8">
      <c r="B1184" t="s">
        <v>2111</v>
      </c>
      <c r="C1184">
        <v>509525.0</v>
      </c>
      <c r="D1184" t="s">
        <v>339</v>
      </c>
      <c r="E1184" t="s">
        <v>328</v>
      </c>
    </row>
    <row r="1185" spans="8:8">
      <c r="B1185" t="s">
        <v>2112</v>
      </c>
      <c r="C1185">
        <v>504351.0</v>
      </c>
      <c r="D1185" t="s">
        <v>339</v>
      </c>
      <c r="E1185" t="s">
        <v>325</v>
      </c>
    </row>
    <row r="1186" spans="8:8">
      <c r="B1186" t="s">
        <v>2113</v>
      </c>
      <c r="C1186">
        <v>504351.0</v>
      </c>
      <c r="D1186" t="s">
        <v>339</v>
      </c>
      <c r="E1186" t="s">
        <v>325</v>
      </c>
    </row>
    <row r="1187" spans="8:8">
      <c r="B1187" t="s">
        <v>2114</v>
      </c>
      <c r="C1187">
        <v>512441.0</v>
      </c>
      <c r="D1187" t="s">
        <v>339</v>
      </c>
      <c r="E1187" t="s">
        <v>760</v>
      </c>
    </row>
    <row r="1188" spans="8:8">
      <c r="B1188" t="s">
        <v>2115</v>
      </c>
      <c r="C1188">
        <v>538684.0</v>
      </c>
      <c r="D1188" t="s">
        <v>339</v>
      </c>
      <c r="E1188" t="s">
        <v>342</v>
      </c>
    </row>
    <row r="1189" spans="8:8">
      <c r="B1189" t="s">
        <v>2116</v>
      </c>
      <c r="C1189">
        <v>540153.0</v>
      </c>
      <c r="D1189" t="s">
        <v>2117</v>
      </c>
      <c r="E1189" t="s">
        <v>996</v>
      </c>
    </row>
    <row r="1190" spans="8:8">
      <c r="B1190" t="s">
        <v>2118</v>
      </c>
      <c r="C1190">
        <v>532219.0</v>
      </c>
      <c r="D1190" t="s">
        <v>2119</v>
      </c>
      <c r="E1190" t="s">
        <v>478</v>
      </c>
    </row>
    <row r="1191" spans="8:8">
      <c r="B1191" t="s">
        <v>2120</v>
      </c>
      <c r="C1191">
        <v>532178.0</v>
      </c>
      <c r="D1191" t="s">
        <v>2121</v>
      </c>
      <c r="E1191" t="s">
        <v>423</v>
      </c>
    </row>
    <row r="1192" spans="8:8">
      <c r="B1192" t="s">
        <v>2122</v>
      </c>
      <c r="C1192">
        <v>532178.0</v>
      </c>
      <c r="D1192" t="s">
        <v>2121</v>
      </c>
      <c r="E1192" t="s">
        <v>423</v>
      </c>
    </row>
    <row r="1193" spans="8:8">
      <c r="B1193" t="s">
        <v>2123</v>
      </c>
      <c r="C1193">
        <v>533477.0</v>
      </c>
      <c r="D1193" t="s">
        <v>339</v>
      </c>
      <c r="E1193" t="s">
        <v>694</v>
      </c>
    </row>
    <row r="1194" spans="8:8">
      <c r="B1194" t="s">
        <v>2124</v>
      </c>
      <c r="C1194">
        <v>533477.0</v>
      </c>
      <c r="D1194" t="s">
        <v>339</v>
      </c>
      <c r="E1194" t="s">
        <v>694</v>
      </c>
    </row>
    <row r="1195" spans="8:8">
      <c r="B1195" t="s">
        <v>2125</v>
      </c>
      <c r="C1195">
        <v>526574.0</v>
      </c>
      <c r="D1195" t="s">
        <v>339</v>
      </c>
      <c r="E1195" t="s">
        <v>361</v>
      </c>
    </row>
    <row r="1196" spans="8:8">
      <c r="B1196" t="s">
        <v>2126</v>
      </c>
      <c r="C1196">
        <v>532700.0</v>
      </c>
      <c r="D1196" t="s">
        <v>2127</v>
      </c>
      <c r="E1196" t="s">
        <v>1077</v>
      </c>
    </row>
    <row r="1197" spans="8:8">
      <c r="B1197" t="s">
        <v>2128</v>
      </c>
      <c r="C1197">
        <v>532700.0</v>
      </c>
      <c r="D1197" t="s">
        <v>2127</v>
      </c>
      <c r="E1197" t="s">
        <v>1077</v>
      </c>
    </row>
    <row r="1198" spans="8:8">
      <c r="B1198" t="s">
        <v>2129</v>
      </c>
      <c r="C1198">
        <v>500246.0</v>
      </c>
      <c r="D1198" t="s">
        <v>339</v>
      </c>
      <c r="E1198" t="s">
        <v>347</v>
      </c>
    </row>
    <row r="1199" spans="8:8">
      <c r="B1199" t="s">
        <v>2130</v>
      </c>
      <c r="C1199">
        <v>532658.0</v>
      </c>
      <c r="D1199" t="s">
        <v>2131</v>
      </c>
      <c r="E1199" t="s">
        <v>637</v>
      </c>
    </row>
    <row r="1200" spans="8:8">
      <c r="B1200" t="s">
        <v>2132</v>
      </c>
      <c r="C1200">
        <v>523754.0</v>
      </c>
      <c r="D1200" t="s">
        <v>339</v>
      </c>
      <c r="E1200" t="s">
        <v>459</v>
      </c>
    </row>
    <row r="1201" spans="8:8">
      <c r="B1201" t="s">
        <v>2133</v>
      </c>
      <c r="C1201">
        <v>530407.0</v>
      </c>
      <c r="D1201" t="s">
        <v>339</v>
      </c>
      <c r="E1201" t="s">
        <v>356</v>
      </c>
    </row>
    <row r="1202" spans="8:8">
      <c r="B1202" t="s">
        <v>2134</v>
      </c>
      <c r="C1202">
        <v>531155.0</v>
      </c>
      <c r="D1202" t="s">
        <v>339</v>
      </c>
      <c r="E1202" t="s">
        <v>377</v>
      </c>
    </row>
    <row r="1203" spans="8:8">
      <c r="B1203" t="s">
        <v>2135</v>
      </c>
      <c r="C1203">
        <v>539844.0</v>
      </c>
      <c r="D1203" t="s">
        <v>2136</v>
      </c>
      <c r="E1203" t="s">
        <v>505</v>
      </c>
    </row>
    <row r="1204" spans="8:8">
      <c r="B1204" t="s">
        <v>2137</v>
      </c>
      <c r="C1204">
        <v>540596.0</v>
      </c>
      <c r="D1204" t="s">
        <v>2138</v>
      </c>
      <c r="E1204" t="s">
        <v>377</v>
      </c>
    </row>
    <row r="1205" spans="8:8">
      <c r="B1205" t="s">
        <v>2139</v>
      </c>
      <c r="C1205">
        <v>533261.0</v>
      </c>
      <c r="D1205" t="s">
        <v>2140</v>
      </c>
      <c r="E1205" t="s">
        <v>342</v>
      </c>
    </row>
    <row r="1206" spans="8:8">
      <c r="B1206" t="s">
        <v>2141</v>
      </c>
      <c r="C1206">
        <v>530909.0</v>
      </c>
      <c r="D1206" t="s">
        <v>339</v>
      </c>
      <c r="E1206" t="s">
        <v>760</v>
      </c>
    </row>
    <row r="1207" spans="8:8">
      <c r="B1207" t="s">
        <v>2142</v>
      </c>
      <c r="C1207">
        <v>531502.0</v>
      </c>
      <c r="D1207" t="s">
        <v>339</v>
      </c>
      <c r="E1207" t="s">
        <v>760</v>
      </c>
    </row>
    <row r="1208" spans="8:8">
      <c r="B1208" t="s">
        <v>2143</v>
      </c>
      <c r="C1208">
        <v>531502.0</v>
      </c>
      <c r="D1208" t="s">
        <v>339</v>
      </c>
      <c r="E1208" t="s">
        <v>760</v>
      </c>
    </row>
    <row r="1209" spans="8:8">
      <c r="B1209" t="s">
        <v>2144</v>
      </c>
      <c r="C1209">
        <v>500133.0</v>
      </c>
      <c r="D1209" t="s">
        <v>2145</v>
      </c>
      <c r="E1209" t="s">
        <v>524</v>
      </c>
    </row>
    <row r="1210" spans="8:8">
      <c r="B1210" t="s">
        <v>2146</v>
      </c>
      <c r="C1210">
        <v>500133.0</v>
      </c>
      <c r="D1210" t="s">
        <v>2147</v>
      </c>
      <c r="E1210" t="s">
        <v>524</v>
      </c>
    </row>
    <row r="1211" spans="8:8">
      <c r="B1211" t="s">
        <v>2148</v>
      </c>
      <c r="C1211">
        <v>540455.0</v>
      </c>
      <c r="D1211" t="s">
        <v>339</v>
      </c>
      <c r="E1211" t="s">
        <v>322</v>
      </c>
    </row>
    <row r="1212" spans="8:8">
      <c r="B1212" t="s">
        <v>2149</v>
      </c>
      <c r="C1212">
        <v>511716.0</v>
      </c>
      <c r="D1212" t="s">
        <v>339</v>
      </c>
      <c r="E1212" t="s">
        <v>356</v>
      </c>
    </row>
    <row r="1213" spans="8:8">
      <c r="B1213" t="s">
        <v>2150</v>
      </c>
      <c r="C1213">
        <v>500495.0</v>
      </c>
      <c r="D1213" t="s">
        <v>2151</v>
      </c>
      <c r="E1213" t="s">
        <v>417</v>
      </c>
    </row>
    <row r="1214" spans="8:8">
      <c r="B1214" t="s">
        <v>2152</v>
      </c>
      <c r="C1214">
        <v>531259.0</v>
      </c>
      <c r="D1214" t="s">
        <v>339</v>
      </c>
      <c r="E1214" t="s">
        <v>1941</v>
      </c>
    </row>
    <row r="1215" spans="8:8">
      <c r="B1215" t="s">
        <v>2153</v>
      </c>
      <c r="C1215">
        <v>514118.0</v>
      </c>
      <c r="D1215" t="s">
        <v>339</v>
      </c>
      <c r="E1215" t="s">
        <v>354</v>
      </c>
    </row>
    <row r="1216" spans="8:8">
      <c r="B1216" t="s">
        <v>2154</v>
      </c>
      <c r="C1216">
        <v>514118.0</v>
      </c>
      <c r="D1216" t="s">
        <v>339</v>
      </c>
      <c r="E1216" t="s">
        <v>354</v>
      </c>
    </row>
    <row r="1217" spans="8:8">
      <c r="B1217" t="s">
        <v>2155</v>
      </c>
      <c r="C1217">
        <v>532787.0</v>
      </c>
      <c r="D1217" t="s">
        <v>2156</v>
      </c>
      <c r="E1217" t="s">
        <v>2157</v>
      </c>
    </row>
    <row r="1218" spans="8:8">
      <c r="B1218" t="s">
        <v>2158</v>
      </c>
      <c r="C1218">
        <v>533149.0</v>
      </c>
      <c r="D1218" t="s">
        <v>339</v>
      </c>
      <c r="E1218" t="s">
        <v>322</v>
      </c>
    </row>
    <row r="1219" spans="8:8">
      <c r="B1219" t="s">
        <v>2159</v>
      </c>
      <c r="C1219">
        <v>533704.0</v>
      </c>
      <c r="D1219" t="s">
        <v>2160</v>
      </c>
      <c r="E1219" t="s">
        <v>1586</v>
      </c>
    </row>
    <row r="1220" spans="8:8">
      <c r="B1220" t="s">
        <v>2161</v>
      </c>
      <c r="C1220">
        <v>500135.0</v>
      </c>
      <c r="D1220" t="s">
        <v>2162</v>
      </c>
      <c r="E1220" t="s">
        <v>534</v>
      </c>
    </row>
    <row r="1221" spans="8:8">
      <c r="B1221" t="s">
        <v>2163</v>
      </c>
      <c r="C1221">
        <v>534927.0</v>
      </c>
      <c r="D1221" t="s">
        <v>339</v>
      </c>
      <c r="E1221" t="s">
        <v>537</v>
      </c>
    </row>
    <row r="1222" spans="8:8">
      <c r="B1222" t="s">
        <v>2164</v>
      </c>
      <c r="C1222">
        <v>500136.0</v>
      </c>
      <c r="D1222" t="s">
        <v>2165</v>
      </c>
      <c r="E1222" t="s">
        <v>387</v>
      </c>
    </row>
    <row r="1223" spans="8:8">
      <c r="B1223" t="s">
        <v>2166</v>
      </c>
      <c r="C1223">
        <v>537707.0</v>
      </c>
      <c r="D1223" t="s">
        <v>339</v>
      </c>
      <c r="E1223" t="s">
        <v>425</v>
      </c>
    </row>
    <row r="1224" spans="8:8">
      <c r="B1224" t="s">
        <v>2167</v>
      </c>
      <c r="C1224">
        <v>521137.0</v>
      </c>
      <c r="D1224" t="s">
        <v>339</v>
      </c>
      <c r="E1224" t="s">
        <v>354</v>
      </c>
    </row>
    <row r="1225" spans="8:8">
      <c r="B1225" t="s">
        <v>2168</v>
      </c>
      <c r="C1225">
        <v>530929.0</v>
      </c>
      <c r="D1225" t="s">
        <v>339</v>
      </c>
      <c r="E1225" t="s">
        <v>361</v>
      </c>
    </row>
    <row r="1226" spans="8:8">
      <c r="B1226" t="s">
        <v>2169</v>
      </c>
      <c r="C1226">
        <v>532823.0</v>
      </c>
      <c r="D1226" t="s">
        <v>2170</v>
      </c>
      <c r="E1226" t="s">
        <v>616</v>
      </c>
    </row>
    <row r="1227" spans="8:8">
      <c r="B1227" t="s">
        <v>2171</v>
      </c>
      <c r="C1227" t="s">
        <v>339</v>
      </c>
      <c r="D1227" t="s">
        <v>2172</v>
      </c>
      <c r="E1227" t="s">
        <v>350</v>
      </c>
    </row>
    <row r="1228" spans="8:8">
      <c r="B1228" t="s">
        <v>2173</v>
      </c>
      <c r="C1228">
        <v>533109.0</v>
      </c>
      <c r="D1228" t="s">
        <v>2174</v>
      </c>
      <c r="E1228" t="s">
        <v>436</v>
      </c>
    </row>
    <row r="1229" spans="8:8">
      <c r="B1229" t="s">
        <v>2175</v>
      </c>
      <c r="C1229">
        <v>521014.0</v>
      </c>
      <c r="D1229" t="s">
        <v>339</v>
      </c>
      <c r="E1229" t="s">
        <v>354</v>
      </c>
    </row>
    <row r="1230" spans="8:8">
      <c r="B1230" t="s">
        <v>2176</v>
      </c>
      <c r="C1230" t="s">
        <v>339</v>
      </c>
      <c r="D1230" t="s">
        <v>2177</v>
      </c>
      <c r="E1230" t="s">
        <v>354</v>
      </c>
    </row>
    <row r="1231" spans="8:8">
      <c r="B1231" t="s">
        <v>2178</v>
      </c>
      <c r="C1231">
        <v>542668.0</v>
      </c>
      <c r="D1231" t="s">
        <v>2179</v>
      </c>
      <c r="E1231" t="s">
        <v>760</v>
      </c>
    </row>
    <row r="1232" spans="8:8">
      <c r="B1232" t="s">
        <v>2180</v>
      </c>
      <c r="C1232">
        <v>531508.0</v>
      </c>
      <c r="D1232" t="s">
        <v>2181</v>
      </c>
      <c r="E1232" t="s">
        <v>885</v>
      </c>
    </row>
    <row r="1233" spans="8:8">
      <c r="B1233" t="s">
        <v>2182</v>
      </c>
      <c r="C1233">
        <v>531508.0</v>
      </c>
      <c r="D1233" t="s">
        <v>2181</v>
      </c>
      <c r="E1233" t="s">
        <v>885</v>
      </c>
    </row>
    <row r="1234" spans="8:8">
      <c r="B1234" t="s">
        <v>2183</v>
      </c>
      <c r="C1234">
        <v>508906.0</v>
      </c>
      <c r="D1234" t="s">
        <v>2184</v>
      </c>
      <c r="E1234" t="s">
        <v>352</v>
      </c>
    </row>
    <row r="1235" spans="8:8">
      <c r="B1235" t="s">
        <v>2185</v>
      </c>
      <c r="C1235">
        <v>532684.0</v>
      </c>
      <c r="D1235" t="s">
        <v>2186</v>
      </c>
      <c r="E1235" t="s">
        <v>1258</v>
      </c>
    </row>
    <row r="1236" spans="8:8">
      <c r="B1236" t="s">
        <v>2187</v>
      </c>
      <c r="C1236">
        <v>524790.0</v>
      </c>
      <c r="D1236" t="s">
        <v>339</v>
      </c>
      <c r="E1236" t="s">
        <v>377</v>
      </c>
    </row>
    <row r="1237" spans="8:8">
      <c r="B1237" t="s">
        <v>2188</v>
      </c>
      <c r="C1237">
        <v>514060.0</v>
      </c>
      <c r="D1237" t="s">
        <v>339</v>
      </c>
      <c r="E1237" t="s">
        <v>354</v>
      </c>
    </row>
    <row r="1238" spans="8:8">
      <c r="B1238" t="s">
        <v>2189</v>
      </c>
      <c r="C1238">
        <v>514358.0</v>
      </c>
      <c r="D1238" t="s">
        <v>339</v>
      </c>
      <c r="E1238" t="s">
        <v>354</v>
      </c>
    </row>
    <row r="1239" spans="8:8">
      <c r="B1239" t="s">
        <v>2190</v>
      </c>
      <c r="C1239">
        <v>532511.0</v>
      </c>
      <c r="D1239" t="s">
        <v>2191</v>
      </c>
      <c r="E1239" t="s">
        <v>483</v>
      </c>
    </row>
    <row r="1240" spans="8:8">
      <c r="B1240" t="s">
        <v>2192</v>
      </c>
      <c r="C1240">
        <v>500650.0</v>
      </c>
      <c r="D1240" t="s">
        <v>2193</v>
      </c>
      <c r="E1240" t="s">
        <v>499</v>
      </c>
    </row>
    <row r="1241" spans="8:8">
      <c r="B1241" t="s">
        <v>2194</v>
      </c>
      <c r="C1241">
        <v>533090.0</v>
      </c>
      <c r="D1241" t="s">
        <v>2195</v>
      </c>
      <c r="E1241" t="s">
        <v>669</v>
      </c>
    </row>
    <row r="1242" spans="8:8">
      <c r="B1242" t="s">
        <v>2196</v>
      </c>
      <c r="C1242">
        <v>500086.0</v>
      </c>
      <c r="D1242" t="s">
        <v>2197</v>
      </c>
      <c r="E1242" t="s">
        <v>694</v>
      </c>
    </row>
    <row r="1243" spans="8:8">
      <c r="B1243" t="s">
        <v>2198</v>
      </c>
      <c r="C1243" t="s">
        <v>339</v>
      </c>
      <c r="D1243" t="s">
        <v>2199</v>
      </c>
      <c r="E1243" t="s">
        <v>694</v>
      </c>
    </row>
    <row r="1244" spans="8:8">
      <c r="B1244" t="s">
        <v>2200</v>
      </c>
      <c r="C1244">
        <v>530571.0</v>
      </c>
      <c r="D1244" t="s">
        <v>339</v>
      </c>
      <c r="E1244" t="s">
        <v>760</v>
      </c>
    </row>
    <row r="1245" spans="8:8">
      <c r="B1245" t="s">
        <v>2201</v>
      </c>
      <c r="C1245">
        <v>526614.0</v>
      </c>
      <c r="D1245" t="s">
        <v>339</v>
      </c>
      <c r="E1245" t="s">
        <v>1258</v>
      </c>
    </row>
    <row r="1246" spans="8:8">
      <c r="B1246" t="s">
        <v>2202</v>
      </c>
      <c r="C1246">
        <v>539552.0</v>
      </c>
      <c r="D1246" t="s">
        <v>339</v>
      </c>
      <c r="E1246" t="s">
        <v>356</v>
      </c>
    </row>
    <row r="1247" spans="8:8">
      <c r="B1247" t="s">
        <v>2203</v>
      </c>
      <c r="C1247">
        <v>532656.0</v>
      </c>
      <c r="D1247" t="s">
        <v>339</v>
      </c>
      <c r="E1247" t="s">
        <v>371</v>
      </c>
    </row>
    <row r="1248" spans="8:8">
      <c r="B1248" t="s">
        <v>2204</v>
      </c>
      <c r="C1248">
        <v>514474.0</v>
      </c>
      <c r="D1248" t="s">
        <v>339</v>
      </c>
      <c r="E1248" t="s">
        <v>354</v>
      </c>
    </row>
    <row r="1249" spans="8:8">
      <c r="B1249" t="s">
        <v>2205</v>
      </c>
      <c r="C1249">
        <v>530117.0</v>
      </c>
      <c r="D1249" t="s">
        <v>2206</v>
      </c>
      <c r="E1249" t="s">
        <v>499</v>
      </c>
    </row>
    <row r="1250" spans="8:8">
      <c r="B1250" t="s">
        <v>2207</v>
      </c>
      <c r="C1250">
        <v>530079.0</v>
      </c>
      <c r="D1250" t="s">
        <v>339</v>
      </c>
      <c r="E1250" t="s">
        <v>354</v>
      </c>
    </row>
    <row r="1251" spans="8:8">
      <c r="B1251" t="s">
        <v>2208</v>
      </c>
      <c r="C1251">
        <v>532666.0</v>
      </c>
      <c r="D1251" t="s">
        <v>2209</v>
      </c>
      <c r="E1251" t="s">
        <v>325</v>
      </c>
    </row>
    <row r="1252" spans="8:8">
      <c r="B1252" t="s">
        <v>2210</v>
      </c>
      <c r="C1252">
        <v>531599.0</v>
      </c>
      <c r="D1252" t="s">
        <v>2211</v>
      </c>
      <c r="E1252" t="s">
        <v>377</v>
      </c>
    </row>
    <row r="1253" spans="8:8">
      <c r="B1253" t="s">
        <v>2212</v>
      </c>
      <c r="C1253">
        <v>505744.0</v>
      </c>
      <c r="D1253" t="s">
        <v>2213</v>
      </c>
      <c r="E1253" t="s">
        <v>694</v>
      </c>
    </row>
    <row r="1254" spans="8:8">
      <c r="B1254" t="s">
        <v>2214</v>
      </c>
      <c r="C1254">
        <v>505744.0</v>
      </c>
      <c r="D1254" t="s">
        <v>2213</v>
      </c>
      <c r="E1254" t="s">
        <v>694</v>
      </c>
    </row>
    <row r="1255" spans="8:8">
      <c r="B1255" t="s">
        <v>2215</v>
      </c>
      <c r="C1255" t="s">
        <v>339</v>
      </c>
      <c r="D1255" t="s">
        <v>2216</v>
      </c>
      <c r="E1255" t="s">
        <v>350</v>
      </c>
    </row>
    <row r="1256" spans="8:8">
      <c r="B1256" t="s">
        <v>2217</v>
      </c>
      <c r="C1256">
        <v>526689.0</v>
      </c>
      <c r="D1256" t="s">
        <v>339</v>
      </c>
      <c r="E1256" t="s">
        <v>459</v>
      </c>
    </row>
    <row r="1257" spans="8:8">
      <c r="B1257" t="s">
        <v>2218</v>
      </c>
      <c r="C1257">
        <v>500141.0</v>
      </c>
      <c r="D1257" t="s">
        <v>339</v>
      </c>
      <c r="E1257" t="s">
        <v>371</v>
      </c>
    </row>
    <row r="1258" spans="8:8">
      <c r="B1258" t="s">
        <v>2219</v>
      </c>
      <c r="C1258">
        <v>590024.0</v>
      </c>
      <c r="D1258" t="s">
        <v>2220</v>
      </c>
      <c r="E1258" t="s">
        <v>847</v>
      </c>
    </row>
    <row r="1259" spans="8:8">
      <c r="B1259" t="s">
        <v>2221</v>
      </c>
      <c r="C1259">
        <v>533896.0</v>
      </c>
      <c r="D1259" t="s">
        <v>339</v>
      </c>
      <c r="E1259" t="s">
        <v>377</v>
      </c>
    </row>
    <row r="1260" spans="8:8">
      <c r="B1260" t="s">
        <v>2222</v>
      </c>
      <c r="C1260">
        <v>500142.0</v>
      </c>
      <c r="D1260" t="s">
        <v>339</v>
      </c>
      <c r="E1260" t="s">
        <v>356</v>
      </c>
    </row>
    <row r="1261" spans="8:8">
      <c r="B1261" t="s">
        <v>2223</v>
      </c>
      <c r="C1261">
        <v>507910.0</v>
      </c>
      <c r="D1261" t="s">
        <v>339</v>
      </c>
      <c r="E1261" t="s">
        <v>459</v>
      </c>
    </row>
    <row r="1262" spans="8:8">
      <c r="B1262" t="s">
        <v>2224</v>
      </c>
      <c r="C1262">
        <v>507910.0</v>
      </c>
      <c r="D1262" t="s">
        <v>339</v>
      </c>
      <c r="E1262" t="s">
        <v>459</v>
      </c>
    </row>
    <row r="1263" spans="8:8">
      <c r="B1263" t="s">
        <v>2225</v>
      </c>
      <c r="C1263">
        <v>532768.0</v>
      </c>
      <c r="D1263" t="s">
        <v>2226</v>
      </c>
      <c r="E1263" t="s">
        <v>694</v>
      </c>
    </row>
    <row r="1264" spans="8:8">
      <c r="B1264" t="s">
        <v>2227</v>
      </c>
      <c r="C1264">
        <v>526227.0</v>
      </c>
      <c r="D1264" t="s">
        <v>2228</v>
      </c>
      <c r="E1264" t="s">
        <v>354</v>
      </c>
    </row>
    <row r="1265" spans="8:8">
      <c r="B1265" t="s">
        <v>2229</v>
      </c>
      <c r="C1265">
        <v>532022.0</v>
      </c>
      <c r="D1265" t="s">
        <v>339</v>
      </c>
      <c r="E1265" t="s">
        <v>354</v>
      </c>
    </row>
    <row r="1266" spans="8:8">
      <c r="B1266" t="s">
        <v>2230</v>
      </c>
      <c r="C1266">
        <v>526227.0</v>
      </c>
      <c r="D1266" t="s">
        <v>2228</v>
      </c>
      <c r="E1266" t="s">
        <v>354</v>
      </c>
    </row>
    <row r="1267" spans="8:8">
      <c r="B1267" t="s">
        <v>2231</v>
      </c>
      <c r="C1267">
        <v>539098.0</v>
      </c>
      <c r="D1267" t="s">
        <v>339</v>
      </c>
      <c r="E1267" t="s">
        <v>364</v>
      </c>
    </row>
    <row r="1268" spans="8:8">
      <c r="B1268" t="s">
        <v>2232</v>
      </c>
      <c r="C1268">
        <v>541557.0</v>
      </c>
      <c r="D1268" t="s">
        <v>2233</v>
      </c>
      <c r="E1268" t="s">
        <v>499</v>
      </c>
    </row>
    <row r="1269" spans="8:8">
      <c r="B1269" t="s">
        <v>2234</v>
      </c>
      <c r="C1269">
        <v>517264.0</v>
      </c>
      <c r="D1269" t="s">
        <v>2235</v>
      </c>
      <c r="E1269" t="s">
        <v>881</v>
      </c>
    </row>
    <row r="1270" spans="8:8">
      <c r="B1270" t="s">
        <v>2236</v>
      </c>
      <c r="C1270">
        <v>533333.0</v>
      </c>
      <c r="D1270" t="s">
        <v>2237</v>
      </c>
      <c r="E1270" t="s">
        <v>499</v>
      </c>
    </row>
    <row r="1271" spans="8:8">
      <c r="B1271" t="s">
        <v>2238</v>
      </c>
      <c r="C1271">
        <v>508954.0</v>
      </c>
      <c r="D1271" t="s">
        <v>339</v>
      </c>
      <c r="E1271" t="s">
        <v>356</v>
      </c>
    </row>
    <row r="1272" spans="8:8">
      <c r="B1272" t="s">
        <v>2239</v>
      </c>
      <c r="C1272">
        <v>500144.0</v>
      </c>
      <c r="D1272" t="s">
        <v>2240</v>
      </c>
      <c r="E1272" t="s">
        <v>637</v>
      </c>
    </row>
    <row r="1273" spans="8:8">
      <c r="B1273" t="s">
        <v>2241</v>
      </c>
      <c r="C1273">
        <v>500940.0</v>
      </c>
      <c r="D1273" t="s">
        <v>2242</v>
      </c>
      <c r="E1273" t="s">
        <v>459</v>
      </c>
    </row>
    <row r="1274" spans="8:8">
      <c r="B1274" t="s">
        <v>2243</v>
      </c>
      <c r="C1274">
        <v>511122.0</v>
      </c>
      <c r="D1274" t="s">
        <v>339</v>
      </c>
      <c r="E1274" t="s">
        <v>356</v>
      </c>
    </row>
    <row r="1275" spans="8:8">
      <c r="B1275" t="s">
        <v>2244</v>
      </c>
      <c r="C1275">
        <v>511122.0</v>
      </c>
      <c r="D1275" t="s">
        <v>339</v>
      </c>
      <c r="E1275" t="s">
        <v>356</v>
      </c>
    </row>
    <row r="1276" spans="8:8">
      <c r="B1276" t="s">
        <v>2245</v>
      </c>
      <c r="C1276">
        <v>532379.0</v>
      </c>
      <c r="D1276" t="s">
        <v>339</v>
      </c>
      <c r="E1276" t="s">
        <v>432</v>
      </c>
    </row>
    <row r="1277" spans="8:8">
      <c r="B1277" t="s">
        <v>2246</v>
      </c>
      <c r="C1277">
        <v>532809.0</v>
      </c>
      <c r="D1277" t="s">
        <v>2247</v>
      </c>
      <c r="E1277" t="s">
        <v>669</v>
      </c>
    </row>
    <row r="1278" spans="8:8">
      <c r="B1278" t="s">
        <v>2248</v>
      </c>
      <c r="C1278">
        <v>524743.0</v>
      </c>
      <c r="D1278" t="s">
        <v>339</v>
      </c>
      <c r="E1278" t="s">
        <v>387</v>
      </c>
    </row>
    <row r="1279" spans="8:8">
      <c r="B1279" t="s">
        <v>2249</v>
      </c>
      <c r="C1279" t="s">
        <v>339</v>
      </c>
      <c r="D1279" t="s">
        <v>2250</v>
      </c>
      <c r="E1279" t="s">
        <v>350</v>
      </c>
    </row>
    <row r="1280" spans="8:8">
      <c r="B1280" t="s">
        <v>2251</v>
      </c>
      <c r="C1280">
        <v>530885.0</v>
      </c>
      <c r="D1280" t="s">
        <v>339</v>
      </c>
      <c r="E1280" t="s">
        <v>325</v>
      </c>
    </row>
    <row r="1281" spans="8:8">
      <c r="B1281" t="s">
        <v>2252</v>
      </c>
      <c r="C1281">
        <v>536751.0</v>
      </c>
      <c r="D1281" t="s">
        <v>339</v>
      </c>
      <c r="E1281" t="s">
        <v>322</v>
      </c>
    </row>
    <row r="1282" spans="8:8">
      <c r="B1282" t="s">
        <v>2253</v>
      </c>
      <c r="C1282">
        <v>523672.0</v>
      </c>
      <c r="D1282" t="s">
        <v>339</v>
      </c>
      <c r="E1282" t="s">
        <v>537</v>
      </c>
    </row>
    <row r="1283" spans="8:8">
      <c r="B1283" t="s">
        <v>2254</v>
      </c>
      <c r="C1283">
        <v>533638.0</v>
      </c>
      <c r="D1283" t="s">
        <v>2255</v>
      </c>
      <c r="E1283" t="s">
        <v>459</v>
      </c>
    </row>
    <row r="1284" spans="8:8">
      <c r="B1284" t="s">
        <v>2256</v>
      </c>
      <c r="C1284">
        <v>540267.0</v>
      </c>
      <c r="D1284" t="s">
        <v>339</v>
      </c>
      <c r="E1284" t="s">
        <v>361</v>
      </c>
    </row>
    <row r="1285" spans="8:8">
      <c r="B1285" t="s">
        <v>2257</v>
      </c>
      <c r="C1285">
        <v>530705.0</v>
      </c>
      <c r="D1285" t="s">
        <v>339</v>
      </c>
      <c r="E1285" t="s">
        <v>354</v>
      </c>
    </row>
    <row r="1286" spans="8:8">
      <c r="B1286" t="s">
        <v>2258</v>
      </c>
      <c r="C1286">
        <v>532518.0</v>
      </c>
      <c r="D1286" t="s">
        <v>339</v>
      </c>
      <c r="E1286" t="s">
        <v>359</v>
      </c>
    </row>
    <row r="1287" spans="8:8">
      <c r="B1287" t="s">
        <v>2259</v>
      </c>
      <c r="C1287">
        <v>522017.0</v>
      </c>
      <c r="D1287" t="s">
        <v>339</v>
      </c>
      <c r="E1287" t="s">
        <v>637</v>
      </c>
    </row>
    <row r="1288" spans="8:8">
      <c r="B1288" t="s">
        <v>2260</v>
      </c>
      <c r="C1288">
        <v>534757.0</v>
      </c>
      <c r="D1288" t="s">
        <v>339</v>
      </c>
      <c r="E1288" t="s">
        <v>356</v>
      </c>
    </row>
    <row r="1289" spans="8:8">
      <c r="B1289" t="s">
        <v>2261</v>
      </c>
      <c r="C1289" t="s">
        <v>339</v>
      </c>
      <c r="D1289" t="s">
        <v>2262</v>
      </c>
      <c r="E1289" t="s">
        <v>350</v>
      </c>
    </row>
    <row r="1290" spans="8:8">
      <c r="B1290" t="s">
        <v>2263</v>
      </c>
      <c r="C1290">
        <v>540945.0</v>
      </c>
      <c r="D1290" t="s">
        <v>339</v>
      </c>
      <c r="E1290" t="s">
        <v>423</v>
      </c>
    </row>
    <row r="1291" spans="8:8">
      <c r="B1291" t="s">
        <v>2264</v>
      </c>
      <c r="C1291">
        <v>503831.0</v>
      </c>
      <c r="D1291" t="s">
        <v>339</v>
      </c>
      <c r="E1291" t="s">
        <v>540</v>
      </c>
    </row>
    <row r="1292" spans="8:8">
      <c r="B1292" t="s">
        <v>2265</v>
      </c>
      <c r="C1292">
        <v>507552.0</v>
      </c>
      <c r="D1292" t="s">
        <v>339</v>
      </c>
      <c r="E1292" t="s">
        <v>419</v>
      </c>
    </row>
    <row r="1293" spans="8:8">
      <c r="B1293" t="s">
        <v>2266</v>
      </c>
      <c r="C1293">
        <v>502865.0</v>
      </c>
      <c r="D1293" t="s">
        <v>339</v>
      </c>
      <c r="E1293" t="s">
        <v>347</v>
      </c>
    </row>
    <row r="1294" spans="8:8">
      <c r="B1294" t="s">
        <v>2267</v>
      </c>
      <c r="C1294">
        <v>500033.0</v>
      </c>
      <c r="D1294" t="s">
        <v>339</v>
      </c>
      <c r="E1294" t="s">
        <v>2268</v>
      </c>
    </row>
    <row r="1295" spans="8:8">
      <c r="B1295" t="s">
        <v>2269</v>
      </c>
      <c r="C1295">
        <v>532843.0</v>
      </c>
      <c r="D1295" t="s">
        <v>2270</v>
      </c>
      <c r="E1295" t="s">
        <v>809</v>
      </c>
    </row>
    <row r="1296" spans="8:8">
      <c r="B1296" t="s">
        <v>2271</v>
      </c>
      <c r="C1296">
        <v>523696.0</v>
      </c>
      <c r="D1296" t="s">
        <v>339</v>
      </c>
      <c r="E1296" t="s">
        <v>528</v>
      </c>
    </row>
    <row r="1297" spans="8:8">
      <c r="B1297" t="s">
        <v>2272</v>
      </c>
      <c r="C1297">
        <v>530213.0</v>
      </c>
      <c r="D1297" t="s">
        <v>339</v>
      </c>
      <c r="E1297" t="s">
        <v>361</v>
      </c>
    </row>
    <row r="1298" spans="8:8">
      <c r="B1298" t="s">
        <v>2273</v>
      </c>
      <c r="C1298">
        <v>500150.0</v>
      </c>
      <c r="D1298" t="s">
        <v>2274</v>
      </c>
      <c r="E1298" t="s">
        <v>387</v>
      </c>
    </row>
    <row r="1299" spans="8:8">
      <c r="B1299" t="s">
        <v>2275</v>
      </c>
      <c r="C1299">
        <v>500150.0</v>
      </c>
      <c r="D1299" t="s">
        <v>2274</v>
      </c>
      <c r="E1299" t="s">
        <v>387</v>
      </c>
    </row>
    <row r="1300" spans="8:8">
      <c r="B1300" t="s">
        <v>2276</v>
      </c>
      <c r="C1300">
        <v>513579.0</v>
      </c>
      <c r="D1300" t="s">
        <v>339</v>
      </c>
      <c r="E1300" t="s">
        <v>1016</v>
      </c>
    </row>
    <row r="1301" spans="8:8">
      <c r="B1301" t="s">
        <v>2277</v>
      </c>
      <c r="C1301" t="s">
        <v>339</v>
      </c>
      <c r="D1301" t="s">
        <v>2278</v>
      </c>
      <c r="E1301" t="s">
        <v>350</v>
      </c>
    </row>
    <row r="1302" spans="8:8">
      <c r="B1302" t="s">
        <v>2279</v>
      </c>
      <c r="C1302">
        <v>532403.0</v>
      </c>
      <c r="D1302" t="s">
        <v>339</v>
      </c>
      <c r="E1302" t="s">
        <v>432</v>
      </c>
    </row>
    <row r="1303" spans="8:8">
      <c r="B1303" t="s">
        <v>2280</v>
      </c>
      <c r="C1303">
        <v>540190.0</v>
      </c>
      <c r="D1303" t="s">
        <v>339</v>
      </c>
      <c r="E1303" t="s">
        <v>361</v>
      </c>
    </row>
    <row r="1304" spans="8:8">
      <c r="B1304" t="s">
        <v>2281</v>
      </c>
      <c r="C1304">
        <v>539839.0</v>
      </c>
      <c r="D1304" t="s">
        <v>339</v>
      </c>
      <c r="E1304" t="s">
        <v>356</v>
      </c>
    </row>
    <row r="1305" spans="8:8">
      <c r="B1305" t="s">
        <v>2282</v>
      </c>
      <c r="C1305">
        <v>539032.0</v>
      </c>
      <c r="D1305" t="s">
        <v>2283</v>
      </c>
      <c r="E1305" t="s">
        <v>705</v>
      </c>
    </row>
    <row r="1306" spans="8:8">
      <c r="B1306" t="s">
        <v>2284</v>
      </c>
      <c r="C1306">
        <v>539730.0</v>
      </c>
      <c r="D1306" t="s">
        <v>339</v>
      </c>
      <c r="E1306" t="s">
        <v>377</v>
      </c>
    </row>
    <row r="1307" spans="8:8">
      <c r="B1307" t="s">
        <v>2285</v>
      </c>
      <c r="C1307">
        <v>530077.0</v>
      </c>
      <c r="D1307" t="s">
        <v>339</v>
      </c>
      <c r="E1307" t="s">
        <v>537</v>
      </c>
    </row>
    <row r="1308" spans="8:8">
      <c r="B1308" t="s">
        <v>2286</v>
      </c>
      <c r="C1308">
        <v>508980.0</v>
      </c>
      <c r="D1308" t="s">
        <v>339</v>
      </c>
      <c r="E1308" t="s">
        <v>760</v>
      </c>
    </row>
    <row r="1309" spans="8:8">
      <c r="B1309" t="s">
        <v>2287</v>
      </c>
      <c r="C1309">
        <v>522195.0</v>
      </c>
      <c r="D1309" t="s">
        <v>339</v>
      </c>
      <c r="E1309" t="s">
        <v>694</v>
      </c>
    </row>
    <row r="1310" spans="8:8">
      <c r="B1310" t="s">
        <v>2288</v>
      </c>
      <c r="C1310">
        <v>521167.0</v>
      </c>
      <c r="D1310" t="s">
        <v>2289</v>
      </c>
      <c r="E1310" t="s">
        <v>895</v>
      </c>
    </row>
    <row r="1311" spans="8:8">
      <c r="B1311" t="s">
        <v>2290</v>
      </c>
      <c r="C1311">
        <v>532042.0</v>
      </c>
      <c r="D1311" t="s">
        <v>339</v>
      </c>
      <c r="E1311" t="s">
        <v>411</v>
      </c>
    </row>
    <row r="1312" spans="8:8">
      <c r="B1312" t="s">
        <v>2291</v>
      </c>
      <c r="C1312">
        <v>533213.0</v>
      </c>
      <c r="D1312" t="s">
        <v>339</v>
      </c>
      <c r="E1312" t="s">
        <v>322</v>
      </c>
    </row>
    <row r="1313" spans="8:8">
      <c r="B1313" t="s">
        <v>2292</v>
      </c>
      <c r="C1313">
        <v>538568.0</v>
      </c>
      <c r="D1313" t="s">
        <v>339</v>
      </c>
      <c r="E1313" t="s">
        <v>361</v>
      </c>
    </row>
    <row r="1314" spans="8:8">
      <c r="B1314" t="s">
        <v>2293</v>
      </c>
      <c r="C1314">
        <v>539169.0</v>
      </c>
      <c r="D1314" t="s">
        <v>339</v>
      </c>
      <c r="E1314" t="s">
        <v>325</v>
      </c>
    </row>
    <row r="1315" spans="8:8">
      <c r="B1315" t="s">
        <v>2294</v>
      </c>
      <c r="C1315">
        <v>533400.0</v>
      </c>
      <c r="D1315" t="s">
        <v>2295</v>
      </c>
      <c r="E1315" t="s">
        <v>399</v>
      </c>
    </row>
    <row r="1316" spans="8:8">
      <c r="B1316" t="s">
        <v>2296</v>
      </c>
      <c r="C1316">
        <v>523574.0</v>
      </c>
      <c r="D1316" t="s">
        <v>2297</v>
      </c>
      <c r="E1316" t="s">
        <v>508</v>
      </c>
    </row>
    <row r="1317" spans="8:8">
      <c r="B1317" t="s">
        <v>2296</v>
      </c>
      <c r="C1317">
        <v>570002.0</v>
      </c>
      <c r="D1317" t="s">
        <v>2298</v>
      </c>
      <c r="E1317" t="s">
        <v>508</v>
      </c>
    </row>
    <row r="1318" spans="8:8">
      <c r="B1318" t="s">
        <v>2299</v>
      </c>
      <c r="C1318">
        <v>536507.0</v>
      </c>
      <c r="D1318" t="s">
        <v>2300</v>
      </c>
      <c r="E1318" t="s">
        <v>508</v>
      </c>
    </row>
    <row r="1319" spans="8:8">
      <c r="B1319" t="s">
        <v>2301</v>
      </c>
      <c r="C1319">
        <v>533296.0</v>
      </c>
      <c r="D1319" t="s">
        <v>2302</v>
      </c>
      <c r="E1319" t="s">
        <v>508</v>
      </c>
    </row>
    <row r="1320" spans="8:8">
      <c r="B1320" t="s">
        <v>2303</v>
      </c>
      <c r="C1320">
        <v>540064.0</v>
      </c>
      <c r="D1320" t="s">
        <v>2304</v>
      </c>
      <c r="E1320" t="s">
        <v>508</v>
      </c>
    </row>
    <row r="1321" spans="8:8">
      <c r="B1321" t="s">
        <v>2305</v>
      </c>
      <c r="C1321">
        <v>540798.0</v>
      </c>
      <c r="D1321" t="s">
        <v>2306</v>
      </c>
      <c r="E1321" t="s">
        <v>660</v>
      </c>
    </row>
    <row r="1322" spans="8:8">
      <c r="B1322" t="s">
        <v>2307</v>
      </c>
      <c r="C1322">
        <v>523113.0</v>
      </c>
      <c r="D1322" t="s">
        <v>339</v>
      </c>
      <c r="E1322" t="s">
        <v>356</v>
      </c>
    </row>
    <row r="1323" spans="8:8">
      <c r="B1323" t="s">
        <v>2308</v>
      </c>
      <c r="C1323">
        <v>534063.0</v>
      </c>
      <c r="D1323" t="s">
        <v>339</v>
      </c>
      <c r="E1323" t="s">
        <v>322</v>
      </c>
    </row>
    <row r="1324" spans="8:8">
      <c r="B1324" t="s">
        <v>2309</v>
      </c>
      <c r="C1324">
        <v>504346.0</v>
      </c>
      <c r="D1324" t="s">
        <v>339</v>
      </c>
      <c r="E1324" t="s">
        <v>322</v>
      </c>
    </row>
    <row r="1325" spans="8:8">
      <c r="B1325" t="s">
        <v>2310</v>
      </c>
      <c r="C1325">
        <v>505250.0</v>
      </c>
      <c r="D1325" t="s">
        <v>339</v>
      </c>
      <c r="E1325" t="s">
        <v>347</v>
      </c>
    </row>
    <row r="1326" spans="8:8">
      <c r="B1326" t="s">
        <v>2311</v>
      </c>
      <c r="C1326">
        <v>540614.0</v>
      </c>
      <c r="D1326" t="s">
        <v>339</v>
      </c>
      <c r="E1326" t="s">
        <v>382</v>
      </c>
    </row>
    <row r="1327" spans="8:8">
      <c r="B1327" t="s">
        <v>2312</v>
      </c>
      <c r="C1327">
        <v>531758.0</v>
      </c>
      <c r="D1327" t="s">
        <v>339</v>
      </c>
      <c r="E1327" t="s">
        <v>356</v>
      </c>
    </row>
    <row r="1328" spans="8:8">
      <c r="B1328" t="s">
        <v>2313</v>
      </c>
      <c r="C1328">
        <v>513059.0</v>
      </c>
      <c r="D1328" t="s">
        <v>339</v>
      </c>
      <c r="E1328" t="s">
        <v>694</v>
      </c>
    </row>
    <row r="1329" spans="8:8">
      <c r="B1329" t="s">
        <v>2314</v>
      </c>
      <c r="C1329">
        <v>542666.0</v>
      </c>
      <c r="D1329" t="s">
        <v>2315</v>
      </c>
      <c r="E1329" t="s">
        <v>2316</v>
      </c>
    </row>
    <row r="1330" spans="8:8">
      <c r="B1330" t="s">
        <v>2317</v>
      </c>
      <c r="C1330">
        <v>505714.0</v>
      </c>
      <c r="D1330" t="s">
        <v>2318</v>
      </c>
      <c r="E1330" t="s">
        <v>694</v>
      </c>
    </row>
    <row r="1331" spans="8:8">
      <c r="B1331" t="s">
        <v>2319</v>
      </c>
      <c r="C1331">
        <v>505714.0</v>
      </c>
      <c r="D1331" t="s">
        <v>2318</v>
      </c>
      <c r="E1331" t="s">
        <v>694</v>
      </c>
    </row>
    <row r="1332" spans="8:8">
      <c r="B1332" t="s">
        <v>2320</v>
      </c>
      <c r="C1332">
        <v>524624.0</v>
      </c>
      <c r="D1332" t="s">
        <v>2321</v>
      </c>
      <c r="E1332" t="s">
        <v>2322</v>
      </c>
    </row>
    <row r="1333" spans="8:8">
      <c r="B1333" t="s">
        <v>2323</v>
      </c>
      <c r="C1333">
        <v>531196.0</v>
      </c>
      <c r="D1333" t="s">
        <v>339</v>
      </c>
      <c r="E1333" t="s">
        <v>361</v>
      </c>
    </row>
    <row r="1334" spans="8:8">
      <c r="B1334" t="s">
        <v>2324</v>
      </c>
      <c r="C1334">
        <v>531196.0</v>
      </c>
      <c r="D1334" t="s">
        <v>339</v>
      </c>
      <c r="E1334" t="s">
        <v>361</v>
      </c>
    </row>
    <row r="1335" spans="8:8">
      <c r="B1335" t="s">
        <v>2325</v>
      </c>
      <c r="C1335">
        <v>532155.0</v>
      </c>
      <c r="D1335" t="s">
        <v>2326</v>
      </c>
      <c r="E1335" t="s">
        <v>364</v>
      </c>
    </row>
    <row r="1336" spans="8:8">
      <c r="B1336" t="s">
        <v>2327</v>
      </c>
      <c r="C1336">
        <v>532155.0</v>
      </c>
      <c r="D1336" t="s">
        <v>2326</v>
      </c>
      <c r="E1336" t="s">
        <v>364</v>
      </c>
    </row>
    <row r="1337" spans="8:8">
      <c r="B1337" t="s">
        <v>2328</v>
      </c>
      <c r="C1337">
        <v>538609.0</v>
      </c>
      <c r="D1337" t="s">
        <v>339</v>
      </c>
      <c r="E1337" t="s">
        <v>322</v>
      </c>
    </row>
    <row r="1338" spans="8:8">
      <c r="B1338" t="s">
        <v>2329</v>
      </c>
      <c r="C1338">
        <v>505711.0</v>
      </c>
      <c r="D1338" t="s">
        <v>339</v>
      </c>
      <c r="E1338" t="s">
        <v>694</v>
      </c>
    </row>
    <row r="1339" spans="8:8">
      <c r="B1339" t="s">
        <v>2330</v>
      </c>
      <c r="C1339">
        <v>539228.0</v>
      </c>
      <c r="D1339" t="s">
        <v>339</v>
      </c>
      <c r="E1339" t="s">
        <v>2331</v>
      </c>
    </row>
    <row r="1340" spans="8:8">
      <c r="B1340" t="s">
        <v>2332</v>
      </c>
      <c r="C1340">
        <v>538881.0</v>
      </c>
      <c r="D1340" t="s">
        <v>339</v>
      </c>
      <c r="E1340" t="s">
        <v>356</v>
      </c>
    </row>
    <row r="1341" spans="8:8">
      <c r="B1341" t="s">
        <v>2333</v>
      </c>
      <c r="C1341">
        <v>504697.0</v>
      </c>
      <c r="D1341" t="s">
        <v>339</v>
      </c>
      <c r="E1341" t="s">
        <v>637</v>
      </c>
    </row>
    <row r="1342" spans="8:8">
      <c r="B1342" t="s">
        <v>2334</v>
      </c>
      <c r="C1342">
        <v>531911.0</v>
      </c>
      <c r="D1342" t="s">
        <v>339</v>
      </c>
      <c r="E1342" t="s">
        <v>347</v>
      </c>
    </row>
    <row r="1343" spans="8:8">
      <c r="B1343" t="s">
        <v>2335</v>
      </c>
      <c r="C1343">
        <v>526073.0</v>
      </c>
      <c r="D1343" t="s">
        <v>339</v>
      </c>
      <c r="E1343" t="s">
        <v>524</v>
      </c>
    </row>
    <row r="1344" spans="8:8">
      <c r="B1344" t="s">
        <v>2336</v>
      </c>
      <c r="C1344">
        <v>506186.0</v>
      </c>
      <c r="D1344" t="s">
        <v>339</v>
      </c>
      <c r="E1344" t="s">
        <v>342</v>
      </c>
    </row>
    <row r="1345" spans="8:8">
      <c r="B1345" t="s">
        <v>2337</v>
      </c>
      <c r="C1345">
        <v>540935.0</v>
      </c>
      <c r="D1345" t="s">
        <v>2338</v>
      </c>
      <c r="E1345" t="s">
        <v>499</v>
      </c>
    </row>
    <row r="1346" spans="8:8">
      <c r="B1346" t="s">
        <v>2339</v>
      </c>
      <c r="C1346">
        <v>533265.0</v>
      </c>
      <c r="D1346" t="s">
        <v>2340</v>
      </c>
      <c r="E1346" t="s">
        <v>371</v>
      </c>
    </row>
    <row r="1347" spans="8:8">
      <c r="B1347" t="s">
        <v>2341</v>
      </c>
      <c r="C1347">
        <v>532726.0</v>
      </c>
      <c r="D1347" t="s">
        <v>2342</v>
      </c>
      <c r="E1347" t="s">
        <v>371</v>
      </c>
    </row>
    <row r="1348" spans="8:8">
      <c r="B1348" t="s">
        <v>2343</v>
      </c>
      <c r="C1348">
        <v>531902.0</v>
      </c>
      <c r="D1348" t="s">
        <v>2344</v>
      </c>
      <c r="E1348" t="s">
        <v>425</v>
      </c>
    </row>
    <row r="1349" spans="8:8">
      <c r="B1349" t="s">
        <v>2345</v>
      </c>
      <c r="C1349">
        <v>532959.0</v>
      </c>
      <c r="D1349" t="s">
        <v>2346</v>
      </c>
      <c r="E1349" t="s">
        <v>737</v>
      </c>
    </row>
    <row r="1350" spans="8:8">
      <c r="B1350" t="s">
        <v>2347</v>
      </c>
      <c r="C1350">
        <v>513108.0</v>
      </c>
      <c r="D1350" t="s">
        <v>2348</v>
      </c>
      <c r="E1350" t="s">
        <v>662</v>
      </c>
    </row>
    <row r="1351" spans="8:8">
      <c r="B1351" t="s">
        <v>2349</v>
      </c>
      <c r="C1351">
        <v>500153.0</v>
      </c>
      <c r="D1351" t="s">
        <v>339</v>
      </c>
      <c r="E1351" t="s">
        <v>387</v>
      </c>
    </row>
    <row r="1352" spans="8:8">
      <c r="B1352" t="s">
        <v>2350</v>
      </c>
      <c r="C1352">
        <v>541703.0</v>
      </c>
      <c r="D1352" t="s">
        <v>339</v>
      </c>
      <c r="E1352" t="s">
        <v>340</v>
      </c>
    </row>
    <row r="1353" spans="8:8">
      <c r="B1353" t="s">
        <v>2351</v>
      </c>
      <c r="C1353">
        <v>541703.0</v>
      </c>
      <c r="D1353" t="s">
        <v>339</v>
      </c>
      <c r="E1353" t="s">
        <v>340</v>
      </c>
    </row>
    <row r="1354" spans="8:8">
      <c r="B1354" t="s">
        <v>2352</v>
      </c>
      <c r="C1354">
        <v>504397.0</v>
      </c>
      <c r="D1354" t="s">
        <v>339</v>
      </c>
      <c r="E1354" t="s">
        <v>760</v>
      </c>
    </row>
    <row r="1355" spans="8:8">
      <c r="B1355" t="s">
        <v>2353</v>
      </c>
      <c r="C1355">
        <v>526367.0</v>
      </c>
      <c r="D1355" t="s">
        <v>2354</v>
      </c>
      <c r="E1355" t="s">
        <v>425</v>
      </c>
    </row>
    <row r="1356" spans="8:8">
      <c r="B1356" t="s">
        <v>2355</v>
      </c>
      <c r="C1356">
        <v>514167.0</v>
      </c>
      <c r="D1356" t="s">
        <v>2356</v>
      </c>
      <c r="E1356" t="s">
        <v>760</v>
      </c>
    </row>
    <row r="1357" spans="8:8">
      <c r="B1357" t="s">
        <v>2357</v>
      </c>
      <c r="C1357" t="s">
        <v>339</v>
      </c>
      <c r="D1357" t="s">
        <v>2358</v>
      </c>
      <c r="E1357" t="s">
        <v>350</v>
      </c>
    </row>
    <row r="1358" spans="8:8">
      <c r="B1358" t="s">
        <v>2359</v>
      </c>
      <c r="C1358">
        <v>531813.0</v>
      </c>
      <c r="D1358" t="s">
        <v>339</v>
      </c>
      <c r="E1358" t="s">
        <v>333</v>
      </c>
    </row>
    <row r="1359" spans="8:8">
      <c r="B1359" t="s">
        <v>2360</v>
      </c>
      <c r="C1359">
        <v>531813.0</v>
      </c>
      <c r="D1359" t="s">
        <v>339</v>
      </c>
      <c r="E1359" t="s">
        <v>333</v>
      </c>
    </row>
    <row r="1360" spans="8:8">
      <c r="B1360" t="s">
        <v>2361</v>
      </c>
      <c r="C1360">
        <v>539680.0</v>
      </c>
      <c r="D1360" t="s">
        <v>339</v>
      </c>
      <c r="E1360" t="s">
        <v>377</v>
      </c>
    </row>
    <row r="1361" spans="8:8">
      <c r="B1361" t="s">
        <v>2362</v>
      </c>
      <c r="C1361">
        <v>540647.0</v>
      </c>
      <c r="D1361" t="s">
        <v>2363</v>
      </c>
      <c r="E1361" t="s">
        <v>359</v>
      </c>
    </row>
    <row r="1362" spans="8:8">
      <c r="B1362" t="s">
        <v>2364</v>
      </c>
      <c r="C1362">
        <v>521176.0</v>
      </c>
      <c r="D1362" t="s">
        <v>2365</v>
      </c>
      <c r="E1362" t="s">
        <v>354</v>
      </c>
    </row>
    <row r="1363" spans="8:8">
      <c r="B1363" t="s">
        <v>2366</v>
      </c>
      <c r="C1363">
        <v>512443.0</v>
      </c>
      <c r="D1363" t="s">
        <v>339</v>
      </c>
      <c r="E1363" t="s">
        <v>361</v>
      </c>
    </row>
    <row r="1364" spans="8:8">
      <c r="B1364" t="s">
        <v>2367</v>
      </c>
      <c r="C1364">
        <v>539492.0</v>
      </c>
      <c r="D1364" t="s">
        <v>339</v>
      </c>
      <c r="E1364" t="s">
        <v>356</v>
      </c>
    </row>
    <row r="1365" spans="8:8">
      <c r="B1365" t="s">
        <v>2368</v>
      </c>
      <c r="C1365">
        <v>542011.0</v>
      </c>
      <c r="D1365" t="s">
        <v>2369</v>
      </c>
      <c r="E1365" t="s">
        <v>417</v>
      </c>
    </row>
    <row r="1366" spans="8:8">
      <c r="B1366" t="s">
        <v>2370</v>
      </c>
      <c r="C1366">
        <v>500155.0</v>
      </c>
      <c r="D1366" t="s">
        <v>2371</v>
      </c>
      <c r="E1366" t="s">
        <v>354</v>
      </c>
    </row>
    <row r="1367" spans="8:8">
      <c r="B1367" t="s">
        <v>2372</v>
      </c>
      <c r="C1367">
        <v>530615.0</v>
      </c>
      <c r="D1367" t="s">
        <v>339</v>
      </c>
      <c r="E1367" t="s">
        <v>371</v>
      </c>
    </row>
    <row r="1368" spans="8:8">
      <c r="B1368" t="s">
        <v>2373</v>
      </c>
      <c r="C1368">
        <v>526727.0</v>
      </c>
      <c r="D1368" t="s">
        <v>339</v>
      </c>
      <c r="E1368" t="s">
        <v>737</v>
      </c>
    </row>
    <row r="1369" spans="8:8">
      <c r="B1369" t="s">
        <v>2374</v>
      </c>
      <c r="C1369">
        <v>512493.0</v>
      </c>
      <c r="D1369" t="s">
        <v>339</v>
      </c>
      <c r="E1369" t="s">
        <v>322</v>
      </c>
    </row>
    <row r="1370" spans="8:8">
      <c r="B1370" t="s">
        <v>2375</v>
      </c>
      <c r="C1370">
        <v>530161.0</v>
      </c>
      <c r="D1370" t="s">
        <v>339</v>
      </c>
      <c r="E1370" t="s">
        <v>361</v>
      </c>
    </row>
    <row r="1371" spans="8:8">
      <c r="B1371" t="s">
        <v>2376</v>
      </c>
      <c r="C1371">
        <v>541276.0</v>
      </c>
      <c r="D1371" t="s">
        <v>339</v>
      </c>
      <c r="E1371" t="s">
        <v>361</v>
      </c>
    </row>
    <row r="1372" spans="8:8">
      <c r="B1372" t="s">
        <v>2377</v>
      </c>
      <c r="C1372">
        <v>509563.0</v>
      </c>
      <c r="D1372" t="s">
        <v>339</v>
      </c>
      <c r="E1372" t="s">
        <v>354</v>
      </c>
    </row>
    <row r="1373" spans="8:8">
      <c r="B1373" t="s">
        <v>2378</v>
      </c>
      <c r="C1373">
        <v>500655.0</v>
      </c>
      <c r="D1373" t="s">
        <v>339</v>
      </c>
      <c r="E1373" t="s">
        <v>387</v>
      </c>
    </row>
    <row r="1374" spans="8:8">
      <c r="B1374" t="s">
        <v>2379</v>
      </c>
      <c r="C1374">
        <v>514400.0</v>
      </c>
      <c r="D1374" t="s">
        <v>339</v>
      </c>
      <c r="E1374" t="s">
        <v>361</v>
      </c>
    </row>
    <row r="1375" spans="8:8">
      <c r="B1375" t="s">
        <v>2380</v>
      </c>
      <c r="C1375">
        <v>509557.0</v>
      </c>
      <c r="D1375" t="s">
        <v>2381</v>
      </c>
      <c r="E1375" t="s">
        <v>354</v>
      </c>
    </row>
    <row r="1376" spans="8:8">
      <c r="B1376" t="s">
        <v>2382</v>
      </c>
      <c r="C1376">
        <v>532622.0</v>
      </c>
      <c r="D1376" t="s">
        <v>2383</v>
      </c>
      <c r="E1376" t="s">
        <v>660</v>
      </c>
    </row>
    <row r="1377" spans="8:8">
      <c r="B1377" t="s">
        <v>2384</v>
      </c>
      <c r="C1377">
        <v>532345.0</v>
      </c>
      <c r="D1377" t="s">
        <v>2385</v>
      </c>
      <c r="E1377" t="s">
        <v>660</v>
      </c>
    </row>
    <row r="1378" spans="8:8">
      <c r="B1378" t="s">
        <v>2386</v>
      </c>
      <c r="C1378">
        <v>539515.0</v>
      </c>
      <c r="D1378" t="s">
        <v>339</v>
      </c>
      <c r="E1378" t="s">
        <v>361</v>
      </c>
    </row>
    <row r="1379" spans="8:8">
      <c r="B1379" t="s">
        <v>2387</v>
      </c>
      <c r="C1379">
        <v>540613.0</v>
      </c>
      <c r="D1379" t="s">
        <v>339</v>
      </c>
      <c r="E1379" t="s">
        <v>361</v>
      </c>
    </row>
    <row r="1380" spans="8:8">
      <c r="B1380" t="s">
        <v>2388</v>
      </c>
      <c r="C1380">
        <v>540936.0</v>
      </c>
      <c r="D1380" t="s">
        <v>339</v>
      </c>
      <c r="E1380" t="s">
        <v>361</v>
      </c>
    </row>
    <row r="1381" spans="8:8">
      <c r="B1381" t="s">
        <v>2389</v>
      </c>
      <c r="C1381">
        <v>524564.0</v>
      </c>
      <c r="D1381" t="s">
        <v>339</v>
      </c>
      <c r="E1381" t="s">
        <v>387</v>
      </c>
    </row>
    <row r="1382" spans="8:8">
      <c r="B1382" t="s">
        <v>2390</v>
      </c>
      <c r="C1382">
        <v>541546.0</v>
      </c>
      <c r="D1382" t="s">
        <v>2391</v>
      </c>
      <c r="E1382" t="s">
        <v>737</v>
      </c>
    </row>
    <row r="1383" spans="8:8">
      <c r="B1383" t="s">
        <v>2392</v>
      </c>
      <c r="C1383">
        <v>532767.0</v>
      </c>
      <c r="D1383" t="s">
        <v>2393</v>
      </c>
      <c r="E1383" t="s">
        <v>737</v>
      </c>
    </row>
    <row r="1384" spans="8:8">
      <c r="B1384" t="s">
        <v>2394</v>
      </c>
      <c r="C1384">
        <v>532183.0</v>
      </c>
      <c r="D1384" t="s">
        <v>339</v>
      </c>
      <c r="E1384" t="s">
        <v>1037</v>
      </c>
    </row>
    <row r="1385" spans="8:8">
      <c r="B1385" t="s">
        <v>2395</v>
      </c>
      <c r="C1385">
        <v>539009.0</v>
      </c>
      <c r="D1385" t="s">
        <v>339</v>
      </c>
      <c r="E1385" t="s">
        <v>737</v>
      </c>
    </row>
    <row r="1386" spans="8:8">
      <c r="B1386" t="s">
        <v>2396</v>
      </c>
      <c r="C1386">
        <v>538319.0</v>
      </c>
      <c r="D1386" t="s">
        <v>339</v>
      </c>
      <c r="E1386" t="s">
        <v>322</v>
      </c>
    </row>
    <row r="1387" spans="8:8">
      <c r="B1387" t="s">
        <v>2397</v>
      </c>
      <c r="C1387">
        <v>535917.0</v>
      </c>
      <c r="D1387" t="s">
        <v>339</v>
      </c>
      <c r="E1387" t="s">
        <v>322</v>
      </c>
    </row>
    <row r="1388" spans="8:8">
      <c r="B1388" t="s">
        <v>2398</v>
      </c>
      <c r="C1388">
        <v>535431.0</v>
      </c>
      <c r="D1388" t="s">
        <v>339</v>
      </c>
      <c r="E1388" t="s">
        <v>322</v>
      </c>
    </row>
    <row r="1389" spans="8:8">
      <c r="B1389" t="s">
        <v>2399</v>
      </c>
      <c r="C1389">
        <v>530855.0</v>
      </c>
      <c r="D1389" t="s">
        <v>339</v>
      </c>
      <c r="E1389" t="s">
        <v>356</v>
      </c>
    </row>
    <row r="1390" spans="8:8">
      <c r="B1390" t="s">
        <v>2400</v>
      </c>
      <c r="C1390">
        <v>532309.0</v>
      </c>
      <c r="D1390" t="s">
        <v>2401</v>
      </c>
      <c r="E1390" t="s">
        <v>382</v>
      </c>
    </row>
    <row r="1391" spans="8:8">
      <c r="B1391" t="s">
        <v>2402</v>
      </c>
      <c r="C1391">
        <v>532309.0</v>
      </c>
      <c r="D1391" t="s">
        <v>2401</v>
      </c>
      <c r="E1391" t="s">
        <v>382</v>
      </c>
    </row>
    <row r="1392" spans="8:8">
      <c r="B1392" t="s">
        <v>2403</v>
      </c>
      <c r="C1392">
        <v>522275.0</v>
      </c>
      <c r="D1392" t="s">
        <v>2404</v>
      </c>
      <c r="E1392" t="s">
        <v>478</v>
      </c>
    </row>
    <row r="1393" spans="8:8">
      <c r="B1393" t="s">
        <v>2405</v>
      </c>
      <c r="C1393">
        <v>522275.0</v>
      </c>
      <c r="D1393" t="s">
        <v>2404</v>
      </c>
      <c r="E1393" t="s">
        <v>478</v>
      </c>
    </row>
    <row r="1394" spans="8:8">
      <c r="B1394" t="s">
        <v>2406</v>
      </c>
      <c r="C1394">
        <v>504028.0</v>
      </c>
      <c r="D1394" t="s">
        <v>339</v>
      </c>
      <c r="E1394" t="s">
        <v>524</v>
      </c>
    </row>
    <row r="1395" spans="8:8">
      <c r="B1395" t="s">
        <v>2407</v>
      </c>
      <c r="C1395">
        <v>532764.0</v>
      </c>
      <c r="D1395" t="s">
        <v>2408</v>
      </c>
      <c r="E1395" t="s">
        <v>425</v>
      </c>
    </row>
    <row r="1396" spans="8:8">
      <c r="B1396" t="s">
        <v>2409</v>
      </c>
      <c r="C1396">
        <v>530389.0</v>
      </c>
      <c r="D1396" t="s">
        <v>339</v>
      </c>
      <c r="E1396" t="s">
        <v>359</v>
      </c>
    </row>
    <row r="1397" spans="8:8">
      <c r="B1397" t="s">
        <v>2410</v>
      </c>
      <c r="C1397" t="s">
        <v>339</v>
      </c>
      <c r="D1397" t="s">
        <v>2411</v>
      </c>
      <c r="E1397" t="s">
        <v>350</v>
      </c>
    </row>
    <row r="1398" spans="8:8">
      <c r="B1398" t="s">
        <v>2412</v>
      </c>
      <c r="C1398">
        <v>539486.0</v>
      </c>
      <c r="D1398" t="s">
        <v>339</v>
      </c>
      <c r="E1398" t="s">
        <v>356</v>
      </c>
    </row>
    <row r="1399" spans="8:8">
      <c r="B1399" t="s">
        <v>2413</v>
      </c>
      <c r="C1399">
        <v>521133.0</v>
      </c>
      <c r="D1399" t="s">
        <v>339</v>
      </c>
      <c r="E1399" t="s">
        <v>354</v>
      </c>
    </row>
    <row r="1400" spans="8:8">
      <c r="B1400" t="s">
        <v>2414</v>
      </c>
      <c r="C1400">
        <v>521133.0</v>
      </c>
      <c r="D1400" t="s">
        <v>339</v>
      </c>
      <c r="E1400" t="s">
        <v>354</v>
      </c>
    </row>
    <row r="1401" spans="8:8">
      <c r="B1401" t="s">
        <v>2415</v>
      </c>
      <c r="C1401">
        <v>532318.0</v>
      </c>
      <c r="D1401" t="s">
        <v>2416</v>
      </c>
      <c r="E1401" t="s">
        <v>1965</v>
      </c>
    </row>
    <row r="1402" spans="8:8">
      <c r="B1402" t="s">
        <v>2417</v>
      </c>
      <c r="C1402">
        <v>531137.0</v>
      </c>
      <c r="D1402" t="s">
        <v>339</v>
      </c>
      <c r="E1402" t="s">
        <v>760</v>
      </c>
    </row>
    <row r="1403" spans="8:8">
      <c r="B1403" t="s">
        <v>2418</v>
      </c>
      <c r="C1403">
        <v>541999.0</v>
      </c>
      <c r="D1403" t="s">
        <v>339</v>
      </c>
      <c r="E1403" t="s">
        <v>537</v>
      </c>
    </row>
    <row r="1404" spans="8:8">
      <c r="B1404" t="s">
        <v>2419</v>
      </c>
      <c r="C1404">
        <v>540755.0</v>
      </c>
      <c r="D1404" t="s">
        <v>2420</v>
      </c>
      <c r="E1404" t="s">
        <v>2421</v>
      </c>
    </row>
    <row r="1405" spans="8:8">
      <c r="B1405" t="s">
        <v>2422</v>
      </c>
      <c r="C1405">
        <v>539407.0</v>
      </c>
      <c r="D1405" t="s">
        <v>339</v>
      </c>
      <c r="E1405" t="s">
        <v>737</v>
      </c>
    </row>
    <row r="1406" spans="8:8">
      <c r="B1406" t="s">
        <v>2423</v>
      </c>
      <c r="C1406">
        <v>514336.0</v>
      </c>
      <c r="D1406" t="s">
        <v>339</v>
      </c>
      <c r="E1406" t="s">
        <v>677</v>
      </c>
    </row>
    <row r="1407" spans="8:8">
      <c r="B1407" t="s">
        <v>2424</v>
      </c>
      <c r="C1407">
        <v>514336.0</v>
      </c>
      <c r="D1407" t="s">
        <v>339</v>
      </c>
      <c r="E1407" t="s">
        <v>677</v>
      </c>
    </row>
    <row r="1408" spans="8:8">
      <c r="B1408" t="s">
        <v>2425</v>
      </c>
      <c r="C1408">
        <v>506109.0</v>
      </c>
      <c r="D1408" t="s">
        <v>2426</v>
      </c>
      <c r="E1408" t="s">
        <v>432</v>
      </c>
    </row>
    <row r="1409" spans="8:8">
      <c r="B1409" t="s">
        <v>2427</v>
      </c>
      <c r="C1409">
        <v>531739.0</v>
      </c>
      <c r="D1409" t="s">
        <v>339</v>
      </c>
      <c r="E1409" t="s">
        <v>377</v>
      </c>
    </row>
    <row r="1410" spans="8:8">
      <c r="B1410" t="s">
        <v>2428</v>
      </c>
      <c r="C1410">
        <v>539206.0</v>
      </c>
      <c r="D1410" t="s">
        <v>339</v>
      </c>
      <c r="E1410" t="s">
        <v>677</v>
      </c>
    </row>
    <row r="1411" spans="8:8">
      <c r="B1411" t="s">
        <v>2429</v>
      </c>
      <c r="C1411">
        <v>538961.0</v>
      </c>
      <c r="D1411" t="s">
        <v>2430</v>
      </c>
      <c r="E1411" t="s">
        <v>333</v>
      </c>
    </row>
    <row r="1412" spans="8:8">
      <c r="B1412" t="s">
        <v>2431</v>
      </c>
      <c r="C1412">
        <v>530343.0</v>
      </c>
      <c r="D1412" t="s">
        <v>2432</v>
      </c>
      <c r="E1412" t="s">
        <v>637</v>
      </c>
    </row>
    <row r="1413" spans="8:8">
      <c r="B1413" t="s">
        <v>2433</v>
      </c>
      <c r="C1413">
        <v>532285.0</v>
      </c>
      <c r="D1413" t="s">
        <v>2434</v>
      </c>
      <c r="E1413" t="s">
        <v>322</v>
      </c>
    </row>
    <row r="1414" spans="8:8">
      <c r="B1414" t="s">
        <v>2435</v>
      </c>
      <c r="C1414">
        <v>500171.0</v>
      </c>
      <c r="D1414" t="s">
        <v>2436</v>
      </c>
      <c r="E1414" t="s">
        <v>387</v>
      </c>
    </row>
    <row r="1415" spans="8:8">
      <c r="B1415" t="s">
        <v>2437</v>
      </c>
      <c r="C1415">
        <v>533048.0</v>
      </c>
      <c r="D1415" t="s">
        <v>2438</v>
      </c>
      <c r="E1415" t="s">
        <v>737</v>
      </c>
    </row>
    <row r="1416" spans="8:8">
      <c r="B1416" t="s">
        <v>2439</v>
      </c>
      <c r="C1416">
        <v>511676.0</v>
      </c>
      <c r="D1416" t="s">
        <v>2440</v>
      </c>
      <c r="E1416" t="s">
        <v>397</v>
      </c>
    </row>
    <row r="1417" spans="8:8">
      <c r="B1417" t="s">
        <v>2441</v>
      </c>
      <c r="C1417">
        <v>538788.0</v>
      </c>
      <c r="D1417" t="s">
        <v>339</v>
      </c>
      <c r="E1417" t="s">
        <v>356</v>
      </c>
    </row>
    <row r="1418" spans="8:8">
      <c r="B1418" t="s">
        <v>2442</v>
      </c>
      <c r="C1418">
        <v>532716.0</v>
      </c>
      <c r="D1418" t="s">
        <v>2443</v>
      </c>
      <c r="E1418" t="s">
        <v>328</v>
      </c>
    </row>
    <row r="1419" spans="8:8">
      <c r="B1419" t="s">
        <v>2444</v>
      </c>
      <c r="C1419">
        <v>507815.0</v>
      </c>
      <c r="D1419" t="s">
        <v>2445</v>
      </c>
      <c r="E1419" t="s">
        <v>521</v>
      </c>
    </row>
    <row r="1420" spans="8:8">
      <c r="B1420" t="s">
        <v>2446</v>
      </c>
      <c r="C1420">
        <v>507815.0</v>
      </c>
      <c r="D1420" t="s">
        <v>2445</v>
      </c>
      <c r="E1420" t="s">
        <v>521</v>
      </c>
    </row>
    <row r="1421" spans="8:8">
      <c r="B1421" t="s">
        <v>2447</v>
      </c>
      <c r="C1421">
        <v>531744.0</v>
      </c>
      <c r="D1421" t="s">
        <v>339</v>
      </c>
      <c r="E1421" t="s">
        <v>361</v>
      </c>
    </row>
    <row r="1422" spans="8:8">
      <c r="B1422" t="s">
        <v>2448</v>
      </c>
      <c r="C1422">
        <v>590025.0</v>
      </c>
      <c r="D1422" t="s">
        <v>2449</v>
      </c>
      <c r="E1422" t="s">
        <v>354</v>
      </c>
    </row>
    <row r="1423" spans="8:8">
      <c r="B1423" t="s">
        <v>2450</v>
      </c>
      <c r="C1423">
        <v>507506.0</v>
      </c>
      <c r="D1423" t="s">
        <v>339</v>
      </c>
      <c r="E1423" t="s">
        <v>1037</v>
      </c>
    </row>
    <row r="1424" spans="8:8">
      <c r="B1424" t="s">
        <v>2451</v>
      </c>
      <c r="C1424" t="s">
        <v>339</v>
      </c>
      <c r="D1424" t="s">
        <v>2452</v>
      </c>
      <c r="E1424" t="s">
        <v>350</v>
      </c>
    </row>
    <row r="1425" spans="8:8">
      <c r="B1425" t="s">
        <v>2453</v>
      </c>
      <c r="C1425">
        <v>539013.0</v>
      </c>
      <c r="D1425" t="s">
        <v>339</v>
      </c>
      <c r="E1425" t="s">
        <v>478</v>
      </c>
    </row>
    <row r="1426" spans="8:8">
      <c r="B1426" t="s">
        <v>2454</v>
      </c>
      <c r="C1426">
        <v>533212.0</v>
      </c>
      <c r="D1426" t="s">
        <v>339</v>
      </c>
      <c r="E1426" t="s">
        <v>528</v>
      </c>
    </row>
    <row r="1427" spans="8:8">
      <c r="B1427" t="s">
        <v>2455</v>
      </c>
      <c r="C1427" t="s">
        <v>339</v>
      </c>
      <c r="D1427" t="s">
        <v>2456</v>
      </c>
      <c r="E1427" t="s">
        <v>430</v>
      </c>
    </row>
    <row r="1428" spans="8:8">
      <c r="B1428" t="s">
        <v>2457</v>
      </c>
      <c r="C1428">
        <v>531199.0</v>
      </c>
      <c r="D1428" t="s">
        <v>339</v>
      </c>
      <c r="E1428" t="s">
        <v>356</v>
      </c>
    </row>
    <row r="1429" spans="8:8">
      <c r="B1429" t="s">
        <v>2458</v>
      </c>
      <c r="C1429">
        <v>500676.0</v>
      </c>
      <c r="D1429" t="s">
        <v>2459</v>
      </c>
      <c r="E1429" t="s">
        <v>399</v>
      </c>
    </row>
    <row r="1430" spans="8:8">
      <c r="B1430" t="s">
        <v>2460</v>
      </c>
      <c r="C1430">
        <v>500660.0</v>
      </c>
      <c r="D1430" t="s">
        <v>2461</v>
      </c>
      <c r="E1430" t="s">
        <v>377</v>
      </c>
    </row>
    <row r="1431" spans="8:8">
      <c r="B1431" t="s">
        <v>2462</v>
      </c>
      <c r="C1431">
        <v>542477.0</v>
      </c>
      <c r="D1431" t="s">
        <v>2463</v>
      </c>
      <c r="E1431" t="s">
        <v>705</v>
      </c>
    </row>
    <row r="1432" spans="8:8">
      <c r="B1432" t="s">
        <v>2464</v>
      </c>
      <c r="C1432">
        <v>532296.0</v>
      </c>
      <c r="D1432" t="s">
        <v>2465</v>
      </c>
      <c r="E1432" t="s">
        <v>377</v>
      </c>
    </row>
    <row r="1433" spans="8:8">
      <c r="B1433" t="s">
        <v>2466</v>
      </c>
      <c r="C1433">
        <v>513528.0</v>
      </c>
      <c r="D1433" t="s">
        <v>339</v>
      </c>
      <c r="E1433" t="s">
        <v>867</v>
      </c>
    </row>
    <row r="1434" spans="8:8">
      <c r="B1434" t="s">
        <v>2467</v>
      </c>
      <c r="C1434">
        <v>530263.0</v>
      </c>
      <c r="D1434" t="s">
        <v>339</v>
      </c>
      <c r="E1434" t="s">
        <v>356</v>
      </c>
    </row>
    <row r="1435" spans="8:8">
      <c r="B1435" t="s">
        <v>2468</v>
      </c>
      <c r="C1435" t="s">
        <v>339</v>
      </c>
      <c r="D1435" t="s">
        <v>2469</v>
      </c>
      <c r="E1435" t="s">
        <v>350</v>
      </c>
    </row>
    <row r="1436" spans="8:8">
      <c r="B1436" t="s">
        <v>2470</v>
      </c>
      <c r="C1436">
        <v>531463.0</v>
      </c>
      <c r="D1436" t="s">
        <v>339</v>
      </c>
      <c r="E1436" t="s">
        <v>760</v>
      </c>
    </row>
    <row r="1437" spans="8:8">
      <c r="B1437" t="s">
        <v>2471</v>
      </c>
      <c r="C1437">
        <v>531479.0</v>
      </c>
      <c r="D1437" t="s">
        <v>339</v>
      </c>
      <c r="E1437" t="s">
        <v>425</v>
      </c>
    </row>
    <row r="1438" spans="8:8">
      <c r="B1438" t="s">
        <v>2472</v>
      </c>
      <c r="C1438">
        <v>501848.0</v>
      </c>
      <c r="D1438" t="s">
        <v>2473</v>
      </c>
      <c r="E1438" t="s">
        <v>1586</v>
      </c>
    </row>
    <row r="1439" spans="8:8">
      <c r="B1439" t="s">
        <v>2474</v>
      </c>
      <c r="C1439">
        <v>532773.0</v>
      </c>
      <c r="D1439" t="s">
        <v>2475</v>
      </c>
      <c r="E1439" t="s">
        <v>2476</v>
      </c>
    </row>
    <row r="1440" spans="8:8">
      <c r="B1440" t="s">
        <v>2477</v>
      </c>
      <c r="C1440">
        <v>540654.0</v>
      </c>
      <c r="D1440" t="s">
        <v>339</v>
      </c>
      <c r="E1440" t="s">
        <v>325</v>
      </c>
    </row>
    <row r="1441" spans="8:8">
      <c r="B1441" t="s">
        <v>2478</v>
      </c>
      <c r="C1441">
        <v>540266.0</v>
      </c>
      <c r="D1441" t="s">
        <v>339</v>
      </c>
      <c r="E1441" t="s">
        <v>361</v>
      </c>
    </row>
    <row r="1442" spans="8:8">
      <c r="B1442" t="s">
        <v>2479</v>
      </c>
      <c r="C1442" t="s">
        <v>339</v>
      </c>
      <c r="D1442" t="s">
        <v>2480</v>
      </c>
      <c r="E1442" t="s">
        <v>350</v>
      </c>
    </row>
    <row r="1443" spans="8:8">
      <c r="B1443" t="s">
        <v>2481</v>
      </c>
      <c r="C1443" t="s">
        <v>339</v>
      </c>
      <c r="D1443" t="s">
        <v>2482</v>
      </c>
      <c r="E1443" t="s">
        <v>350</v>
      </c>
    </row>
    <row r="1444" spans="8:8">
      <c r="B1444" t="s">
        <v>2483</v>
      </c>
      <c r="C1444" t="s">
        <v>339</v>
      </c>
      <c r="D1444" t="s">
        <v>2482</v>
      </c>
      <c r="E1444" t="s">
        <v>350</v>
      </c>
    </row>
    <row r="1445" spans="8:8">
      <c r="B1445" t="s">
        <v>2484</v>
      </c>
      <c r="C1445">
        <v>526025.0</v>
      </c>
      <c r="D1445" t="s">
        <v>339</v>
      </c>
      <c r="E1445" t="s">
        <v>354</v>
      </c>
    </row>
    <row r="1446" spans="8:8">
      <c r="B1446" t="s">
        <v>2485</v>
      </c>
      <c r="C1446">
        <v>531904.0</v>
      </c>
      <c r="D1446" t="s">
        <v>2486</v>
      </c>
      <c r="E1446" t="s">
        <v>705</v>
      </c>
    </row>
    <row r="1447" spans="8:8">
      <c r="B1447" t="s">
        <v>2487</v>
      </c>
      <c r="C1447">
        <v>533104.0</v>
      </c>
      <c r="D1447" t="s">
        <v>2488</v>
      </c>
      <c r="E1447" t="s">
        <v>970</v>
      </c>
    </row>
    <row r="1448" spans="8:8">
      <c r="B1448" t="s">
        <v>2489</v>
      </c>
      <c r="C1448">
        <v>542351.0</v>
      </c>
      <c r="D1448" t="s">
        <v>2490</v>
      </c>
      <c r="E1448" t="s">
        <v>2491</v>
      </c>
    </row>
    <row r="1449" spans="8:8">
      <c r="B1449" t="s">
        <v>2492</v>
      </c>
      <c r="C1449">
        <v>507488.0</v>
      </c>
      <c r="D1449" t="s">
        <v>2493</v>
      </c>
      <c r="E1449" t="s">
        <v>970</v>
      </c>
    </row>
    <row r="1450" spans="8:8">
      <c r="B1450" t="s">
        <v>2494</v>
      </c>
      <c r="C1450">
        <v>505255.0</v>
      </c>
      <c r="D1450" t="s">
        <v>2495</v>
      </c>
      <c r="E1450" t="s">
        <v>347</v>
      </c>
    </row>
    <row r="1451" spans="8:8">
      <c r="B1451" t="s">
        <v>2496</v>
      </c>
      <c r="C1451">
        <v>532754.0</v>
      </c>
      <c r="D1451" t="s">
        <v>2497</v>
      </c>
      <c r="E1451" t="s">
        <v>478</v>
      </c>
    </row>
    <row r="1452" spans="8:8">
      <c r="B1452" t="s">
        <v>2498</v>
      </c>
      <c r="C1452">
        <v>540124.0</v>
      </c>
      <c r="D1452" t="s">
        <v>2499</v>
      </c>
      <c r="E1452" t="s">
        <v>694</v>
      </c>
    </row>
    <row r="1453" spans="8:8">
      <c r="B1453" t="s">
        <v>2500</v>
      </c>
      <c r="C1453">
        <v>509567.0</v>
      </c>
      <c r="D1453" t="s">
        <v>2501</v>
      </c>
      <c r="E1453" t="s">
        <v>1267</v>
      </c>
    </row>
    <row r="1454" spans="8:8">
      <c r="B1454" t="s">
        <v>2502</v>
      </c>
      <c r="C1454">
        <v>506480.0</v>
      </c>
      <c r="D1454" t="s">
        <v>2503</v>
      </c>
      <c r="E1454" t="s">
        <v>549</v>
      </c>
    </row>
    <row r="1455" spans="8:8">
      <c r="B1455" t="s">
        <v>2504</v>
      </c>
      <c r="C1455">
        <v>530317.0</v>
      </c>
      <c r="D1455" t="s">
        <v>339</v>
      </c>
      <c r="E1455" t="s">
        <v>377</v>
      </c>
    </row>
    <row r="1456" spans="8:8">
      <c r="B1456" t="s">
        <v>2505</v>
      </c>
      <c r="C1456">
        <v>532734.0</v>
      </c>
      <c r="D1456" t="s">
        <v>2506</v>
      </c>
      <c r="E1456" t="s">
        <v>371</v>
      </c>
    </row>
    <row r="1457" spans="8:8">
      <c r="B1457" t="s">
        <v>2507</v>
      </c>
      <c r="C1457">
        <v>500163.0</v>
      </c>
      <c r="D1457" t="s">
        <v>2508</v>
      </c>
      <c r="E1457" t="s">
        <v>2509</v>
      </c>
    </row>
    <row r="1458" spans="8:8">
      <c r="B1458" t="s">
        <v>2510</v>
      </c>
      <c r="C1458">
        <v>500163.0</v>
      </c>
      <c r="D1458" t="s">
        <v>2508</v>
      </c>
      <c r="E1458" t="s">
        <v>2509</v>
      </c>
    </row>
    <row r="1459" spans="8:8">
      <c r="B1459" t="s">
        <v>2511</v>
      </c>
      <c r="C1459" t="s">
        <v>339</v>
      </c>
      <c r="D1459" t="s">
        <v>2512</v>
      </c>
      <c r="E1459" t="s">
        <v>350</v>
      </c>
    </row>
    <row r="1460" spans="8:8">
      <c r="B1460" t="s">
        <v>2513</v>
      </c>
      <c r="C1460">
        <v>540743.0</v>
      </c>
      <c r="D1460" t="s">
        <v>2514</v>
      </c>
      <c r="E1460" t="s">
        <v>537</v>
      </c>
    </row>
    <row r="1461" spans="8:8">
      <c r="B1461" t="s">
        <v>2515</v>
      </c>
      <c r="C1461">
        <v>532424.0</v>
      </c>
      <c r="D1461" t="s">
        <v>2516</v>
      </c>
      <c r="E1461" t="s">
        <v>521</v>
      </c>
    </row>
    <row r="1462" spans="8:8">
      <c r="B1462" t="s">
        <v>2517</v>
      </c>
      <c r="C1462">
        <v>500164.0</v>
      </c>
      <c r="D1462" t="s">
        <v>2518</v>
      </c>
      <c r="E1462" t="s">
        <v>387</v>
      </c>
    </row>
    <row r="1463" spans="8:8">
      <c r="B1463" t="s">
        <v>2519</v>
      </c>
      <c r="C1463">
        <v>533150.0</v>
      </c>
      <c r="D1463" t="s">
        <v>2520</v>
      </c>
      <c r="E1463" t="s">
        <v>425</v>
      </c>
    </row>
    <row r="1464" spans="8:8">
      <c r="B1464" t="s">
        <v>2521</v>
      </c>
      <c r="C1464">
        <v>538787.0</v>
      </c>
      <c r="D1464" t="s">
        <v>339</v>
      </c>
      <c r="E1464" t="s">
        <v>356</v>
      </c>
    </row>
    <row r="1465" spans="8:8">
      <c r="B1465" t="s">
        <v>2522</v>
      </c>
      <c r="C1465">
        <v>533189.0</v>
      </c>
      <c r="D1465" t="s">
        <v>2523</v>
      </c>
      <c r="E1465" t="s">
        <v>453</v>
      </c>
    </row>
    <row r="1466" spans="8:8">
      <c r="B1466" t="s">
        <v>2524</v>
      </c>
      <c r="C1466">
        <v>531600.0</v>
      </c>
      <c r="D1466" t="s">
        <v>339</v>
      </c>
      <c r="E1466" t="s">
        <v>322</v>
      </c>
    </row>
    <row r="1467" spans="8:8">
      <c r="B1467" t="s">
        <v>2525</v>
      </c>
      <c r="C1467">
        <v>532957.0</v>
      </c>
      <c r="D1467" t="s">
        <v>339</v>
      </c>
      <c r="E1467" t="s">
        <v>354</v>
      </c>
    </row>
    <row r="1468" spans="8:8">
      <c r="B1468" t="s">
        <v>2526</v>
      </c>
      <c r="C1468">
        <v>532630.0</v>
      </c>
      <c r="D1468" t="s">
        <v>2527</v>
      </c>
      <c r="E1468" t="s">
        <v>453</v>
      </c>
    </row>
    <row r="1469" spans="8:8">
      <c r="B1469" t="s">
        <v>2528</v>
      </c>
      <c r="C1469">
        <v>539725.0</v>
      </c>
      <c r="D1469" t="s">
        <v>2529</v>
      </c>
      <c r="E1469" t="s">
        <v>588</v>
      </c>
    </row>
    <row r="1470" spans="8:8">
      <c r="B1470" t="s">
        <v>2530</v>
      </c>
      <c r="C1470">
        <v>532980.0</v>
      </c>
      <c r="D1470" t="s">
        <v>2531</v>
      </c>
      <c r="E1470" t="s">
        <v>588</v>
      </c>
    </row>
    <row r="1471" spans="8:8">
      <c r="B1471" t="s">
        <v>2532</v>
      </c>
      <c r="C1471">
        <v>780012.0</v>
      </c>
      <c r="D1471" t="s">
        <v>339</v>
      </c>
      <c r="E1471" t="s">
        <v>430</v>
      </c>
    </row>
    <row r="1472" spans="8:8">
      <c r="B1472" t="s">
        <v>2533</v>
      </c>
      <c r="C1472">
        <v>538542.0</v>
      </c>
      <c r="D1472" t="s">
        <v>339</v>
      </c>
      <c r="E1472" t="s">
        <v>399</v>
      </c>
    </row>
    <row r="1473" spans="8:8">
      <c r="B1473" t="s">
        <v>2534</v>
      </c>
      <c r="C1473">
        <v>538180.0</v>
      </c>
      <c r="D1473" t="s">
        <v>2535</v>
      </c>
      <c r="E1473" t="s">
        <v>359</v>
      </c>
    </row>
    <row r="1474" spans="8:8">
      <c r="B1474" t="s">
        <v>2536</v>
      </c>
      <c r="C1474">
        <v>505576.0</v>
      </c>
      <c r="D1474" t="s">
        <v>339</v>
      </c>
      <c r="E1474" t="s">
        <v>356</v>
      </c>
    </row>
    <row r="1475" spans="8:8">
      <c r="B1475" t="s">
        <v>2537</v>
      </c>
      <c r="C1475">
        <v>531928.0</v>
      </c>
      <c r="D1475" t="s">
        <v>339</v>
      </c>
      <c r="E1475" t="s">
        <v>616</v>
      </c>
    </row>
    <row r="1476" spans="8:8">
      <c r="B1476" t="s">
        <v>2538</v>
      </c>
      <c r="C1476">
        <v>540062.0</v>
      </c>
      <c r="D1476" t="s">
        <v>339</v>
      </c>
      <c r="E1476" t="s">
        <v>444</v>
      </c>
    </row>
    <row r="1477" spans="8:8">
      <c r="B1477" t="s">
        <v>2539</v>
      </c>
      <c r="C1477">
        <v>530579.0</v>
      </c>
      <c r="D1477" t="s">
        <v>339</v>
      </c>
      <c r="E1477" t="s">
        <v>356</v>
      </c>
    </row>
    <row r="1478" spans="8:8">
      <c r="B1478" t="s">
        <v>2540</v>
      </c>
      <c r="C1478">
        <v>500151.0</v>
      </c>
      <c r="D1478" t="s">
        <v>2541</v>
      </c>
      <c r="E1478" t="s">
        <v>2509</v>
      </c>
    </row>
    <row r="1479" spans="8:8">
      <c r="B1479" t="s">
        <v>2542</v>
      </c>
      <c r="C1479">
        <v>526729.0</v>
      </c>
      <c r="D1479" t="s">
        <v>2543</v>
      </c>
      <c r="E1479" t="s">
        <v>453</v>
      </c>
    </row>
    <row r="1480" spans="8:8">
      <c r="B1480" t="s">
        <v>2544</v>
      </c>
      <c r="C1480" t="s">
        <v>339</v>
      </c>
      <c r="D1480" t="s">
        <v>2545</v>
      </c>
      <c r="E1480" t="s">
        <v>350</v>
      </c>
    </row>
    <row r="1481" spans="8:8">
      <c r="B1481" t="s">
        <v>2546</v>
      </c>
      <c r="C1481">
        <v>531439.0</v>
      </c>
      <c r="D1481" t="s">
        <v>2547</v>
      </c>
      <c r="E1481" t="s">
        <v>325</v>
      </c>
    </row>
    <row r="1482" spans="8:8">
      <c r="B1482" t="s">
        <v>2548</v>
      </c>
      <c r="C1482">
        <v>531360.0</v>
      </c>
      <c r="D1482" t="s">
        <v>339</v>
      </c>
      <c r="E1482" t="s">
        <v>760</v>
      </c>
    </row>
    <row r="1483" spans="8:8">
      <c r="B1483" t="s">
        <v>2549</v>
      </c>
      <c r="C1483">
        <v>513309.0</v>
      </c>
      <c r="D1483" t="s">
        <v>339</v>
      </c>
      <c r="E1483" t="s">
        <v>644</v>
      </c>
    </row>
    <row r="1484" spans="8:8">
      <c r="B1484" t="s">
        <v>2550</v>
      </c>
      <c r="C1484">
        <v>523676.0</v>
      </c>
      <c r="D1484" t="s">
        <v>339</v>
      </c>
      <c r="E1484" t="s">
        <v>453</v>
      </c>
    </row>
    <row r="1485" spans="8:8">
      <c r="B1485" t="s">
        <v>2551</v>
      </c>
      <c r="C1485">
        <v>530655.0</v>
      </c>
      <c r="D1485" t="s">
        <v>2552</v>
      </c>
      <c r="E1485" t="s">
        <v>662</v>
      </c>
    </row>
    <row r="1486" spans="8:8">
      <c r="B1486" t="s">
        <v>2553</v>
      </c>
      <c r="C1486">
        <v>530655.0</v>
      </c>
      <c r="D1486" t="s">
        <v>2552</v>
      </c>
      <c r="E1486" t="s">
        <v>662</v>
      </c>
    </row>
    <row r="1487" spans="8:8">
      <c r="B1487" t="s">
        <v>2554</v>
      </c>
      <c r="C1487">
        <v>500166.0</v>
      </c>
      <c r="D1487" t="s">
        <v>339</v>
      </c>
      <c r="E1487" t="s">
        <v>746</v>
      </c>
    </row>
    <row r="1488" spans="8:8">
      <c r="B1488" t="s">
        <v>2555</v>
      </c>
      <c r="C1488">
        <v>500168.0</v>
      </c>
      <c r="D1488" t="s">
        <v>339</v>
      </c>
      <c r="E1488" t="s">
        <v>819</v>
      </c>
    </row>
    <row r="1489" spans="8:8">
      <c r="B1489" t="s">
        <v>2556</v>
      </c>
      <c r="C1489">
        <v>500168.0</v>
      </c>
      <c r="D1489" t="s">
        <v>339</v>
      </c>
      <c r="E1489" t="s">
        <v>819</v>
      </c>
    </row>
    <row r="1490" spans="8:8">
      <c r="B1490" t="s">
        <v>2557</v>
      </c>
      <c r="C1490">
        <v>531913.0</v>
      </c>
      <c r="D1490" t="s">
        <v>339</v>
      </c>
      <c r="E1490" t="s">
        <v>662</v>
      </c>
    </row>
    <row r="1491" spans="8:8">
      <c r="B1491" t="s">
        <v>2558</v>
      </c>
      <c r="C1491">
        <v>526717.0</v>
      </c>
      <c r="D1491" t="s">
        <v>339</v>
      </c>
      <c r="E1491" t="s">
        <v>534</v>
      </c>
    </row>
    <row r="1492" spans="8:8">
      <c r="B1492" t="s">
        <v>2559</v>
      </c>
      <c r="C1492">
        <v>531608.0</v>
      </c>
      <c r="D1492" t="s">
        <v>339</v>
      </c>
      <c r="E1492" t="s">
        <v>1384</v>
      </c>
    </row>
    <row r="1493" spans="8:8">
      <c r="B1493" t="s">
        <v>2560</v>
      </c>
      <c r="C1493">
        <v>531111.0</v>
      </c>
      <c r="D1493" t="s">
        <v>339</v>
      </c>
      <c r="E1493" t="s">
        <v>1384</v>
      </c>
    </row>
    <row r="1494" spans="8:8">
      <c r="B1494" t="s">
        <v>2561</v>
      </c>
      <c r="C1494">
        <v>531111.0</v>
      </c>
      <c r="D1494" t="s">
        <v>339</v>
      </c>
      <c r="E1494" t="s">
        <v>1384</v>
      </c>
    </row>
    <row r="1495" spans="8:8">
      <c r="B1495" t="s">
        <v>2562</v>
      </c>
      <c r="C1495">
        <v>509148.0</v>
      </c>
      <c r="D1495" t="s">
        <v>339</v>
      </c>
      <c r="E1495" t="s">
        <v>819</v>
      </c>
    </row>
    <row r="1496" spans="8:8">
      <c r="B1496" t="s">
        <v>2563</v>
      </c>
      <c r="C1496">
        <v>530709.0</v>
      </c>
      <c r="D1496" t="s">
        <v>339</v>
      </c>
      <c r="E1496" t="s">
        <v>356</v>
      </c>
    </row>
    <row r="1497" spans="8:8">
      <c r="B1497" t="s">
        <v>2564</v>
      </c>
      <c r="C1497">
        <v>530663.0</v>
      </c>
      <c r="D1497" t="s">
        <v>339</v>
      </c>
      <c r="E1497" t="s">
        <v>322</v>
      </c>
    </row>
    <row r="1498" spans="8:8">
      <c r="B1498" t="s">
        <v>2565</v>
      </c>
      <c r="C1498">
        <v>532543.0</v>
      </c>
      <c r="D1498" t="s">
        <v>2566</v>
      </c>
      <c r="E1498" t="s">
        <v>549</v>
      </c>
    </row>
    <row r="1499" spans="8:8">
      <c r="B1499" t="s">
        <v>2567</v>
      </c>
      <c r="C1499">
        <v>533761.0</v>
      </c>
      <c r="D1499" t="s">
        <v>2568</v>
      </c>
      <c r="E1499" t="s">
        <v>737</v>
      </c>
    </row>
    <row r="1500" spans="8:8">
      <c r="B1500" t="s">
        <v>2569</v>
      </c>
      <c r="C1500">
        <v>780002.0</v>
      </c>
      <c r="D1500" t="s">
        <v>339</v>
      </c>
      <c r="E1500" t="s">
        <v>430</v>
      </c>
    </row>
    <row r="1501" spans="8:8">
      <c r="B1501" t="s">
        <v>2570</v>
      </c>
      <c r="C1501">
        <v>590126.0</v>
      </c>
      <c r="D1501" t="s">
        <v>339</v>
      </c>
      <c r="E1501" t="s">
        <v>1941</v>
      </c>
    </row>
    <row r="1502" spans="8:8">
      <c r="B1502" t="s">
        <v>2571</v>
      </c>
      <c r="C1502">
        <v>539235.0</v>
      </c>
      <c r="D1502" t="s">
        <v>339</v>
      </c>
      <c r="E1502" t="s">
        <v>746</v>
      </c>
    </row>
    <row r="1503" spans="8:8">
      <c r="B1503" t="s">
        <v>2572</v>
      </c>
      <c r="C1503">
        <v>532482.0</v>
      </c>
      <c r="D1503" t="s">
        <v>2573</v>
      </c>
      <c r="E1503" t="s">
        <v>377</v>
      </c>
    </row>
    <row r="1504" spans="8:8">
      <c r="B1504" t="s">
        <v>2574</v>
      </c>
      <c r="C1504">
        <v>532482.0</v>
      </c>
      <c r="D1504" t="s">
        <v>2573</v>
      </c>
      <c r="E1504" t="s">
        <v>377</v>
      </c>
    </row>
    <row r="1505" spans="8:8">
      <c r="B1505" t="s">
        <v>2575</v>
      </c>
      <c r="C1505">
        <v>509488.0</v>
      </c>
      <c r="D1505" t="s">
        <v>2576</v>
      </c>
      <c r="E1505" t="s">
        <v>524</v>
      </c>
    </row>
    <row r="1506" spans="8:8">
      <c r="B1506" t="s">
        <v>2577</v>
      </c>
      <c r="C1506">
        <v>509488.0</v>
      </c>
      <c r="D1506" t="s">
        <v>2576</v>
      </c>
      <c r="E1506" t="s">
        <v>524</v>
      </c>
    </row>
    <row r="1507" spans="8:8">
      <c r="B1507" t="s">
        <v>2578</v>
      </c>
      <c r="C1507">
        <v>500300.0</v>
      </c>
      <c r="D1507" t="s">
        <v>2579</v>
      </c>
      <c r="E1507" t="s">
        <v>352</v>
      </c>
    </row>
    <row r="1508" spans="8:8">
      <c r="B1508" t="s">
        <v>2580</v>
      </c>
      <c r="C1508">
        <v>526751.0</v>
      </c>
      <c r="D1508" t="s">
        <v>339</v>
      </c>
      <c r="E1508" t="s">
        <v>333</v>
      </c>
    </row>
    <row r="1509" spans="8:8">
      <c r="B1509" t="s">
        <v>2581</v>
      </c>
      <c r="C1509">
        <v>505710.0</v>
      </c>
      <c r="D1509" t="s">
        <v>339</v>
      </c>
      <c r="E1509" t="s">
        <v>387</v>
      </c>
    </row>
    <row r="1510" spans="8:8">
      <c r="B1510" t="s">
        <v>2582</v>
      </c>
      <c r="C1510">
        <v>505710.0</v>
      </c>
      <c r="D1510" t="s">
        <v>339</v>
      </c>
      <c r="E1510" t="s">
        <v>387</v>
      </c>
    </row>
    <row r="1511" spans="8:8">
      <c r="B1511" t="s">
        <v>2583</v>
      </c>
      <c r="C1511">
        <v>509546.0</v>
      </c>
      <c r="D1511" t="s">
        <v>339</v>
      </c>
      <c r="E1511" t="s">
        <v>540</v>
      </c>
    </row>
    <row r="1512" spans="8:8">
      <c r="B1512" t="s">
        <v>2584</v>
      </c>
      <c r="C1512">
        <v>533282.0</v>
      </c>
      <c r="D1512" t="s">
        <v>2585</v>
      </c>
      <c r="E1512" t="s">
        <v>2586</v>
      </c>
    </row>
    <row r="1513" spans="8:8">
      <c r="B1513" t="s">
        <v>2587</v>
      </c>
      <c r="C1513">
        <v>533282.0</v>
      </c>
      <c r="D1513" t="s">
        <v>2585</v>
      </c>
      <c r="E1513" t="s">
        <v>2586</v>
      </c>
    </row>
    <row r="1514" spans="8:8">
      <c r="B1514" t="s">
        <v>2588</v>
      </c>
      <c r="C1514">
        <v>532015.0</v>
      </c>
      <c r="D1514" t="s">
        <v>339</v>
      </c>
      <c r="E1514" t="s">
        <v>354</v>
      </c>
    </row>
    <row r="1515" spans="8:8">
      <c r="B1515" t="s">
        <v>2589</v>
      </c>
      <c r="C1515">
        <v>532015.0</v>
      </c>
      <c r="D1515" t="s">
        <v>339</v>
      </c>
      <c r="E1515" t="s">
        <v>354</v>
      </c>
    </row>
    <row r="1516" spans="8:8">
      <c r="B1516" t="s">
        <v>2590</v>
      </c>
      <c r="C1516">
        <v>501455.0</v>
      </c>
      <c r="D1516" t="s">
        <v>2591</v>
      </c>
      <c r="E1516" t="s">
        <v>347</v>
      </c>
    </row>
    <row r="1517" spans="8:8">
      <c r="B1517" t="s">
        <v>2592</v>
      </c>
      <c r="C1517">
        <v>531737.0</v>
      </c>
      <c r="D1517" t="s">
        <v>339</v>
      </c>
      <c r="E1517" t="s">
        <v>760</v>
      </c>
    </row>
    <row r="1518" spans="8:8">
      <c r="B1518" t="s">
        <v>2593</v>
      </c>
      <c r="C1518">
        <v>538979.0</v>
      </c>
      <c r="D1518" t="s">
        <v>2594</v>
      </c>
      <c r="E1518" t="s">
        <v>616</v>
      </c>
    </row>
    <row r="1519" spans="8:8">
      <c r="B1519" t="s">
        <v>2595</v>
      </c>
      <c r="C1519">
        <v>526797.0</v>
      </c>
      <c r="D1519" t="s">
        <v>2596</v>
      </c>
      <c r="E1519" t="s">
        <v>834</v>
      </c>
    </row>
    <row r="1520" spans="8:8">
      <c r="B1520" t="s">
        <v>2597</v>
      </c>
      <c r="C1520" t="s">
        <v>339</v>
      </c>
      <c r="D1520" t="s">
        <v>2598</v>
      </c>
      <c r="E1520" t="s">
        <v>350</v>
      </c>
    </row>
    <row r="1521" spans="8:8">
      <c r="B1521" t="s">
        <v>2599</v>
      </c>
      <c r="C1521">
        <v>508918.0</v>
      </c>
      <c r="D1521" t="s">
        <v>339</v>
      </c>
      <c r="E1521" t="s">
        <v>444</v>
      </c>
    </row>
    <row r="1522" spans="8:8">
      <c r="B1522" t="s">
        <v>2600</v>
      </c>
      <c r="C1522">
        <v>506076.0</v>
      </c>
      <c r="D1522" t="s">
        <v>2601</v>
      </c>
      <c r="E1522" t="s">
        <v>1258</v>
      </c>
    </row>
    <row r="1523" spans="8:8">
      <c r="B1523" t="s">
        <v>2602</v>
      </c>
      <c r="C1523">
        <v>531449.0</v>
      </c>
      <c r="D1523" t="s">
        <v>339</v>
      </c>
      <c r="E1523" t="s">
        <v>537</v>
      </c>
    </row>
    <row r="1524" spans="8:8">
      <c r="B1524" t="s">
        <v>2603</v>
      </c>
      <c r="C1524">
        <v>501314.0</v>
      </c>
      <c r="D1524" t="s">
        <v>339</v>
      </c>
      <c r="E1524" t="s">
        <v>361</v>
      </c>
    </row>
    <row r="1525" spans="8:8">
      <c r="B1525" t="s">
        <v>2604</v>
      </c>
      <c r="C1525">
        <v>539522.0</v>
      </c>
      <c r="D1525" t="s">
        <v>339</v>
      </c>
      <c r="E1525" t="s">
        <v>785</v>
      </c>
    </row>
    <row r="1526" spans="8:8">
      <c r="B1526" t="s">
        <v>2605</v>
      </c>
      <c r="C1526">
        <v>539522.0</v>
      </c>
      <c r="D1526" t="s">
        <v>339</v>
      </c>
      <c r="E1526" t="s">
        <v>785</v>
      </c>
    </row>
    <row r="1527" spans="8:8">
      <c r="B1527" t="s">
        <v>2606</v>
      </c>
      <c r="C1527">
        <v>509152.0</v>
      </c>
      <c r="D1527" t="s">
        <v>2607</v>
      </c>
      <c r="E1527" t="s">
        <v>819</v>
      </c>
    </row>
    <row r="1528" spans="8:8">
      <c r="B1528" t="s">
        <v>2608</v>
      </c>
      <c r="C1528">
        <v>511288.0</v>
      </c>
      <c r="D1528" t="s">
        <v>2609</v>
      </c>
      <c r="E1528" t="s">
        <v>397</v>
      </c>
    </row>
    <row r="1529" spans="8:8">
      <c r="B1529" t="s">
        <v>2610</v>
      </c>
      <c r="C1529">
        <v>511543.0</v>
      </c>
      <c r="D1529" t="s">
        <v>339</v>
      </c>
      <c r="E1529" t="s">
        <v>356</v>
      </c>
    </row>
    <row r="1530" spans="8:8">
      <c r="B1530" t="s">
        <v>2611</v>
      </c>
      <c r="C1530">
        <v>530605.0</v>
      </c>
      <c r="D1530" t="s">
        <v>339</v>
      </c>
      <c r="E1530" t="s">
        <v>354</v>
      </c>
    </row>
    <row r="1531" spans="8:8">
      <c r="B1531" t="s">
        <v>2612</v>
      </c>
      <c r="C1531">
        <v>530469.0</v>
      </c>
      <c r="D1531" t="s">
        <v>339</v>
      </c>
      <c r="E1531" t="s">
        <v>356</v>
      </c>
    </row>
    <row r="1532" spans="8:8">
      <c r="B1532" t="s">
        <v>2613</v>
      </c>
      <c r="C1532">
        <v>532951.0</v>
      </c>
      <c r="D1532" t="s">
        <v>2614</v>
      </c>
      <c r="E1532" t="s">
        <v>325</v>
      </c>
    </row>
    <row r="1533" spans="8:8">
      <c r="B1533" t="s">
        <v>2615</v>
      </c>
      <c r="C1533">
        <v>532139.0</v>
      </c>
      <c r="D1533" t="s">
        <v>339</v>
      </c>
      <c r="E1533" t="s">
        <v>669</v>
      </c>
    </row>
    <row r="1534" spans="8:8">
      <c r="B1534" t="s">
        <v>2616</v>
      </c>
      <c r="C1534">
        <v>532775.0</v>
      </c>
      <c r="D1534" t="s">
        <v>2617</v>
      </c>
      <c r="E1534" t="s">
        <v>485</v>
      </c>
    </row>
    <row r="1535" spans="8:8">
      <c r="B1535" t="s">
        <v>2618</v>
      </c>
      <c r="C1535">
        <v>500160.0</v>
      </c>
      <c r="D1535" t="s">
        <v>2619</v>
      </c>
      <c r="E1535" t="s">
        <v>1285</v>
      </c>
    </row>
    <row r="1536" spans="8:8">
      <c r="B1536" t="s">
        <v>2620</v>
      </c>
      <c r="C1536">
        <v>500170.0</v>
      </c>
      <c r="D1536" t="s">
        <v>2621</v>
      </c>
      <c r="E1536" t="s">
        <v>354</v>
      </c>
    </row>
    <row r="1537" spans="8:8">
      <c r="B1537" t="s">
        <v>2622</v>
      </c>
      <c r="C1537">
        <v>532744.0</v>
      </c>
      <c r="D1537" t="s">
        <v>2623</v>
      </c>
      <c r="E1537" t="s">
        <v>354</v>
      </c>
    </row>
    <row r="1538" spans="8:8">
      <c r="B1538" t="s">
        <v>2624</v>
      </c>
      <c r="C1538">
        <v>540602.0</v>
      </c>
      <c r="D1538" t="s">
        <v>2625</v>
      </c>
      <c r="E1538" t="s">
        <v>1285</v>
      </c>
    </row>
    <row r="1539" spans="8:8">
      <c r="B1539" t="s">
        <v>2626</v>
      </c>
      <c r="C1539">
        <v>539479.0</v>
      </c>
      <c r="D1539" t="s">
        <v>339</v>
      </c>
      <c r="E1539" t="s">
        <v>347</v>
      </c>
    </row>
    <row r="1540" spans="8:8">
      <c r="B1540" t="s">
        <v>2627</v>
      </c>
      <c r="C1540">
        <v>509079.0</v>
      </c>
      <c r="D1540" t="s">
        <v>2628</v>
      </c>
      <c r="E1540" t="s">
        <v>377</v>
      </c>
    </row>
    <row r="1541" spans="8:8">
      <c r="B1541" t="s">
        <v>2629</v>
      </c>
      <c r="C1541">
        <v>530001.0</v>
      </c>
      <c r="D1541" t="s">
        <v>2630</v>
      </c>
      <c r="E1541" t="s">
        <v>387</v>
      </c>
    </row>
    <row r="1542" spans="8:8">
      <c r="B1542" t="s">
        <v>2631</v>
      </c>
      <c r="C1542">
        <v>524226.0</v>
      </c>
      <c r="D1542" t="s">
        <v>2632</v>
      </c>
      <c r="E1542" t="s">
        <v>537</v>
      </c>
    </row>
    <row r="1543" spans="8:8">
      <c r="B1543" t="s">
        <v>2633</v>
      </c>
      <c r="C1543">
        <v>522217.0</v>
      </c>
      <c r="D1543" t="s">
        <v>2634</v>
      </c>
      <c r="E1543" t="s">
        <v>417</v>
      </c>
    </row>
    <row r="1544" spans="8:8">
      <c r="B1544" t="s">
        <v>2635</v>
      </c>
      <c r="C1544">
        <v>523768.0</v>
      </c>
      <c r="D1544" t="s">
        <v>339</v>
      </c>
      <c r="E1544" t="s">
        <v>867</v>
      </c>
    </row>
    <row r="1545" spans="8:8">
      <c r="B1545" t="s">
        <v>2636</v>
      </c>
      <c r="C1545">
        <v>513507.0</v>
      </c>
      <c r="D1545" t="s">
        <v>339</v>
      </c>
      <c r="E1545" t="s">
        <v>662</v>
      </c>
    </row>
    <row r="1546" spans="8:8">
      <c r="B1546" t="s">
        <v>2637</v>
      </c>
      <c r="C1546">
        <v>514386.0</v>
      </c>
      <c r="D1546" t="s">
        <v>339</v>
      </c>
      <c r="E1546" t="s">
        <v>354</v>
      </c>
    </row>
    <row r="1547" spans="8:8">
      <c r="B1547" t="s">
        <v>2638</v>
      </c>
      <c r="C1547">
        <v>526965.0</v>
      </c>
      <c r="D1547" t="s">
        <v>339</v>
      </c>
      <c r="E1547" t="s">
        <v>534</v>
      </c>
    </row>
    <row r="1548" spans="8:8">
      <c r="B1548" t="s">
        <v>2639</v>
      </c>
      <c r="C1548">
        <v>511441.0</v>
      </c>
      <c r="D1548" t="s">
        <v>339</v>
      </c>
      <c r="E1548" t="s">
        <v>322</v>
      </c>
    </row>
    <row r="1549" spans="8:8">
      <c r="B1549" t="s">
        <v>2640</v>
      </c>
      <c r="C1549">
        <v>500173.0</v>
      </c>
      <c r="D1549" t="s">
        <v>2641</v>
      </c>
      <c r="E1549" t="s">
        <v>1374</v>
      </c>
    </row>
    <row r="1550" spans="8:8">
      <c r="B1550" t="s">
        <v>2642</v>
      </c>
      <c r="C1550">
        <v>531410.0</v>
      </c>
      <c r="D1550" t="s">
        <v>339</v>
      </c>
      <c r="E1550" t="s">
        <v>644</v>
      </c>
    </row>
    <row r="1551" spans="8:8">
      <c r="B1551" t="s">
        <v>2643</v>
      </c>
      <c r="C1551">
        <v>539336.0</v>
      </c>
      <c r="D1551" t="s">
        <v>2644</v>
      </c>
      <c r="E1551" t="s">
        <v>470</v>
      </c>
    </row>
    <row r="1552" spans="8:8">
      <c r="B1552" t="s">
        <v>2645</v>
      </c>
      <c r="C1552">
        <v>507960.0</v>
      </c>
      <c r="D1552" t="s">
        <v>339</v>
      </c>
      <c r="E1552" t="s">
        <v>540</v>
      </c>
    </row>
    <row r="1553" spans="8:8">
      <c r="B1553" t="s">
        <v>2646</v>
      </c>
      <c r="C1553">
        <v>540938.0</v>
      </c>
      <c r="D1553" t="s">
        <v>339</v>
      </c>
      <c r="E1553" t="s">
        <v>354</v>
      </c>
    </row>
    <row r="1554" spans="8:8">
      <c r="B1554" t="s">
        <v>2647</v>
      </c>
      <c r="C1554">
        <v>517300.0</v>
      </c>
      <c r="D1554" t="s">
        <v>2648</v>
      </c>
      <c r="E1554" t="s">
        <v>478</v>
      </c>
    </row>
    <row r="1555" spans="8:8">
      <c r="B1555" t="s">
        <v>2649</v>
      </c>
      <c r="C1555">
        <v>517372.0</v>
      </c>
      <c r="D1555" t="s">
        <v>339</v>
      </c>
      <c r="E1555" t="s">
        <v>1258</v>
      </c>
    </row>
    <row r="1556" spans="8:8">
      <c r="B1556" t="s">
        <v>2650</v>
      </c>
      <c r="C1556">
        <v>531341.0</v>
      </c>
      <c r="D1556" t="s">
        <v>339</v>
      </c>
      <c r="E1556" t="s">
        <v>356</v>
      </c>
    </row>
    <row r="1557" spans="8:8">
      <c r="B1557" t="s">
        <v>2651</v>
      </c>
      <c r="C1557">
        <v>500174.0</v>
      </c>
      <c r="D1557" t="s">
        <v>2652</v>
      </c>
      <c r="E1557" t="s">
        <v>356</v>
      </c>
    </row>
    <row r="1558" spans="8:8">
      <c r="B1558" t="s">
        <v>2653</v>
      </c>
      <c r="C1558">
        <v>524754.0</v>
      </c>
      <c r="D1558" t="s">
        <v>339</v>
      </c>
      <c r="E1558" t="s">
        <v>1303</v>
      </c>
    </row>
    <row r="1559" spans="8:8">
      <c r="B1559" t="s">
        <v>2654</v>
      </c>
      <c r="C1559">
        <v>531881.0</v>
      </c>
      <c r="D1559" t="s">
        <v>339</v>
      </c>
      <c r="E1559" t="s">
        <v>361</v>
      </c>
    </row>
    <row r="1560" spans="8:8">
      <c r="B1560" t="s">
        <v>2655</v>
      </c>
      <c r="C1560">
        <v>532181.0</v>
      </c>
      <c r="D1560" t="s">
        <v>2656</v>
      </c>
      <c r="E1560" t="s">
        <v>1016</v>
      </c>
    </row>
    <row r="1561" spans="8:8">
      <c r="B1561" t="s">
        <v>2657</v>
      </c>
      <c r="C1561">
        <v>500670.0</v>
      </c>
      <c r="D1561" t="s">
        <v>2658</v>
      </c>
      <c r="E1561" t="s">
        <v>847</v>
      </c>
    </row>
    <row r="1562" spans="8:8">
      <c r="B1562" t="s">
        <v>2659</v>
      </c>
      <c r="C1562">
        <v>513536.0</v>
      </c>
      <c r="D1562" t="s">
        <v>339</v>
      </c>
      <c r="E1562" t="s">
        <v>402</v>
      </c>
    </row>
    <row r="1563" spans="8:8">
      <c r="B1563" t="s">
        <v>2660</v>
      </c>
      <c r="C1563">
        <v>506858.0</v>
      </c>
      <c r="D1563" t="s">
        <v>339</v>
      </c>
      <c r="E1563" t="s">
        <v>716</v>
      </c>
    </row>
    <row r="1564" spans="8:8">
      <c r="B1564" t="s">
        <v>2661</v>
      </c>
      <c r="C1564">
        <v>533248.0</v>
      </c>
      <c r="D1564" t="s">
        <v>2662</v>
      </c>
      <c r="E1564" t="s">
        <v>475</v>
      </c>
    </row>
    <row r="1565" spans="8:8">
      <c r="B1565" t="s">
        <v>2663</v>
      </c>
      <c r="C1565">
        <v>517288.0</v>
      </c>
      <c r="D1565" t="s">
        <v>339</v>
      </c>
      <c r="E1565" t="s">
        <v>637</v>
      </c>
    </row>
    <row r="1566" spans="8:8">
      <c r="B1566" t="s">
        <v>2664</v>
      </c>
      <c r="C1566">
        <v>523836.0</v>
      </c>
      <c r="D1566" t="s">
        <v>2665</v>
      </c>
      <c r="E1566" t="s">
        <v>534</v>
      </c>
    </row>
    <row r="1567" spans="8:8">
      <c r="B1567" t="s">
        <v>2666</v>
      </c>
      <c r="C1567">
        <v>518029.0</v>
      </c>
      <c r="D1567" t="s">
        <v>2667</v>
      </c>
      <c r="E1567" t="s">
        <v>352</v>
      </c>
    </row>
    <row r="1568" spans="8:8">
      <c r="B1568" t="s">
        <v>2668</v>
      </c>
      <c r="C1568">
        <v>500690.0</v>
      </c>
      <c r="D1568" t="s">
        <v>2669</v>
      </c>
      <c r="E1568" t="s">
        <v>847</v>
      </c>
    </row>
    <row r="1569" spans="8:8">
      <c r="B1569" t="s">
        <v>2670</v>
      </c>
      <c r="C1569">
        <v>532160.0</v>
      </c>
      <c r="D1569" t="s">
        <v>339</v>
      </c>
      <c r="E1569" t="s">
        <v>2671</v>
      </c>
    </row>
    <row r="1570" spans="8:8">
      <c r="B1570" t="s">
        <v>2672</v>
      </c>
      <c r="C1570">
        <v>532702.0</v>
      </c>
      <c r="D1570" t="s">
        <v>2673</v>
      </c>
      <c r="E1570" t="s">
        <v>364</v>
      </c>
    </row>
    <row r="1571" spans="8:8">
      <c r="B1571" t="s">
        <v>2674</v>
      </c>
      <c r="C1571">
        <v>524314.0</v>
      </c>
      <c r="D1571" t="s">
        <v>339</v>
      </c>
      <c r="E1571" t="s">
        <v>377</v>
      </c>
    </row>
    <row r="1572" spans="8:8">
      <c r="B1572" t="s">
        <v>2675</v>
      </c>
      <c r="C1572">
        <v>506879.0</v>
      </c>
      <c r="D1572" t="s">
        <v>339</v>
      </c>
      <c r="E1572" t="s">
        <v>377</v>
      </c>
    </row>
    <row r="1573" spans="8:8">
      <c r="B1573" t="s">
        <v>2676</v>
      </c>
      <c r="C1573">
        <v>513337.0</v>
      </c>
      <c r="D1573" t="s">
        <v>339</v>
      </c>
      <c r="E1573" t="s">
        <v>459</v>
      </c>
    </row>
    <row r="1574" spans="8:8">
      <c r="B1574" t="s">
        <v>2677</v>
      </c>
      <c r="C1574">
        <v>506640.0</v>
      </c>
      <c r="D1574" t="s">
        <v>339</v>
      </c>
      <c r="E1574" t="s">
        <v>387</v>
      </c>
    </row>
    <row r="1575" spans="8:8">
      <c r="B1575" t="s">
        <v>2678</v>
      </c>
      <c r="C1575">
        <v>506640.0</v>
      </c>
      <c r="D1575" t="s">
        <v>339</v>
      </c>
      <c r="E1575" t="s">
        <v>387</v>
      </c>
    </row>
    <row r="1576" spans="8:8">
      <c r="B1576" t="s">
        <v>2679</v>
      </c>
      <c r="C1576">
        <v>538567.0</v>
      </c>
      <c r="D1576" t="s">
        <v>2680</v>
      </c>
      <c r="E1576" t="s">
        <v>549</v>
      </c>
    </row>
    <row r="1577" spans="8:8">
      <c r="B1577" t="s">
        <v>2681</v>
      </c>
      <c r="C1577">
        <v>538567.0</v>
      </c>
      <c r="D1577" t="s">
        <v>2680</v>
      </c>
      <c r="E1577" t="s">
        <v>549</v>
      </c>
    </row>
    <row r="1578" spans="8:8">
      <c r="B1578" t="s">
        <v>2682</v>
      </c>
      <c r="C1578">
        <v>532425.0</v>
      </c>
      <c r="D1578" t="s">
        <v>339</v>
      </c>
      <c r="E1578" t="s">
        <v>387</v>
      </c>
    </row>
    <row r="1579" spans="8:8">
      <c r="B1579" t="s">
        <v>2683</v>
      </c>
      <c r="C1579">
        <v>532457.0</v>
      </c>
      <c r="D1579" t="s">
        <v>2684</v>
      </c>
      <c r="E1579" t="s">
        <v>387</v>
      </c>
    </row>
    <row r="1580" spans="8:8">
      <c r="B1580" t="s">
        <v>2685</v>
      </c>
      <c r="C1580">
        <v>523277.0</v>
      </c>
      <c r="D1580" t="s">
        <v>339</v>
      </c>
      <c r="E1580" t="s">
        <v>342</v>
      </c>
    </row>
    <row r="1581" spans="8:8">
      <c r="B1581" t="s">
        <v>2686</v>
      </c>
      <c r="C1581">
        <v>532708.0</v>
      </c>
      <c r="D1581" t="s">
        <v>2687</v>
      </c>
      <c r="E1581" t="s">
        <v>478</v>
      </c>
    </row>
    <row r="1582" spans="8:8">
      <c r="B1582" t="s">
        <v>2688</v>
      </c>
      <c r="C1582">
        <v>530141.0</v>
      </c>
      <c r="D1582" t="s">
        <v>339</v>
      </c>
      <c r="E1582" t="s">
        <v>425</v>
      </c>
    </row>
    <row r="1583" spans="8:8">
      <c r="B1583" t="s">
        <v>2689</v>
      </c>
      <c r="C1583">
        <v>533275.0</v>
      </c>
      <c r="D1583" t="s">
        <v>2690</v>
      </c>
      <c r="E1583" t="s">
        <v>371</v>
      </c>
    </row>
    <row r="1584" spans="8:8">
      <c r="B1584" t="s">
        <v>2691</v>
      </c>
      <c r="C1584">
        <v>541019.0</v>
      </c>
      <c r="D1584" t="s">
        <v>2692</v>
      </c>
      <c r="E1584" t="s">
        <v>737</v>
      </c>
    </row>
    <row r="1585" spans="8:8">
      <c r="B1585" t="s">
        <v>2693</v>
      </c>
      <c r="C1585">
        <v>539337.0</v>
      </c>
      <c r="D1585" t="s">
        <v>339</v>
      </c>
      <c r="E1585" t="s">
        <v>534</v>
      </c>
    </row>
    <row r="1586" spans="8:8">
      <c r="B1586" t="s">
        <v>2694</v>
      </c>
      <c r="C1586">
        <v>502873.0</v>
      </c>
      <c r="D1586" t="s">
        <v>339</v>
      </c>
      <c r="E1586" t="s">
        <v>354</v>
      </c>
    </row>
    <row r="1587" spans="8:8">
      <c r="B1587" t="s">
        <v>2695</v>
      </c>
      <c r="C1587">
        <v>532145.0</v>
      </c>
      <c r="D1587" t="s">
        <v>339</v>
      </c>
      <c r="E1587" t="s">
        <v>540</v>
      </c>
    </row>
    <row r="1588" spans="8:8">
      <c r="B1588" t="s">
        <v>2696</v>
      </c>
      <c r="C1588">
        <v>532145.0</v>
      </c>
      <c r="D1588" t="s">
        <v>339</v>
      </c>
      <c r="E1588" t="s">
        <v>540</v>
      </c>
    </row>
    <row r="1589" spans="8:8">
      <c r="B1589" t="s">
        <v>2697</v>
      </c>
      <c r="C1589">
        <v>539854.0</v>
      </c>
      <c r="D1589" t="s">
        <v>339</v>
      </c>
      <c r="E1589" t="s">
        <v>537</v>
      </c>
    </row>
    <row r="1590" spans="8:8">
      <c r="B1590" t="s">
        <v>2698</v>
      </c>
      <c r="C1590">
        <v>515147.0</v>
      </c>
      <c r="D1590" t="s">
        <v>339</v>
      </c>
      <c r="E1590" t="s">
        <v>534</v>
      </c>
    </row>
    <row r="1591" spans="8:8">
      <c r="B1591" t="s">
        <v>2699</v>
      </c>
      <c r="C1591">
        <v>509597.0</v>
      </c>
      <c r="D1591" t="s">
        <v>339</v>
      </c>
      <c r="E1591" t="s">
        <v>499</v>
      </c>
    </row>
    <row r="1592" spans="8:8">
      <c r="B1592" t="s">
        <v>2700</v>
      </c>
      <c r="C1592">
        <v>531971.0</v>
      </c>
      <c r="D1592" t="s">
        <v>339</v>
      </c>
      <c r="E1592" t="s">
        <v>354</v>
      </c>
    </row>
    <row r="1593" spans="8:8">
      <c r="B1593" t="s">
        <v>2701</v>
      </c>
      <c r="C1593">
        <v>538081.0</v>
      </c>
      <c r="D1593" t="s">
        <v>339</v>
      </c>
      <c r="E1593" t="s">
        <v>354</v>
      </c>
    </row>
    <row r="1594" spans="8:8">
      <c r="B1594" t="s">
        <v>2702</v>
      </c>
      <c r="C1594">
        <v>512604.0</v>
      </c>
      <c r="D1594" t="s">
        <v>339</v>
      </c>
      <c r="E1594" t="s">
        <v>453</v>
      </c>
    </row>
    <row r="1595" spans="8:8">
      <c r="B1595" t="s">
        <v>2703</v>
      </c>
      <c r="C1595">
        <v>542682.0</v>
      </c>
      <c r="D1595" t="s">
        <v>2704</v>
      </c>
      <c r="E1595" t="s">
        <v>347</v>
      </c>
    </row>
    <row r="1596" spans="8:8">
      <c r="B1596" t="s">
        <v>2705</v>
      </c>
      <c r="C1596">
        <v>590043.0</v>
      </c>
      <c r="D1596" t="s">
        <v>2706</v>
      </c>
      <c r="E1596" t="s">
        <v>694</v>
      </c>
    </row>
    <row r="1597" spans="8:8">
      <c r="B1597" t="s">
        <v>2707</v>
      </c>
      <c r="C1597">
        <v>506024.0</v>
      </c>
      <c r="D1597" t="s">
        <v>339</v>
      </c>
      <c r="E1597" t="s">
        <v>371</v>
      </c>
    </row>
    <row r="1598" spans="8:8">
      <c r="B1598" t="s">
        <v>2708</v>
      </c>
      <c r="C1598">
        <v>526931.0</v>
      </c>
      <c r="D1598" t="s">
        <v>339</v>
      </c>
      <c r="E1598" t="s">
        <v>524</v>
      </c>
    </row>
    <row r="1599" spans="8:8">
      <c r="B1599" t="s">
        <v>2709</v>
      </c>
      <c r="C1599">
        <v>530055.0</v>
      </c>
      <c r="D1599" t="s">
        <v>339</v>
      </c>
      <c r="E1599" t="s">
        <v>760</v>
      </c>
    </row>
    <row r="1600" spans="8:8">
      <c r="B1600" t="s">
        <v>2710</v>
      </c>
      <c r="C1600">
        <v>500467.0</v>
      </c>
      <c r="D1600" t="s">
        <v>2711</v>
      </c>
      <c r="E1600" t="s">
        <v>819</v>
      </c>
    </row>
    <row r="1601" spans="8:8">
      <c r="B1601" t="s">
        <v>2712</v>
      </c>
      <c r="C1601">
        <v>532855.0</v>
      </c>
      <c r="D1601" t="s">
        <v>339</v>
      </c>
      <c r="E1601" t="s">
        <v>359</v>
      </c>
    </row>
    <row r="1602" spans="8:8">
      <c r="B1602" t="s">
        <v>2713</v>
      </c>
      <c r="C1602">
        <v>530927.0</v>
      </c>
      <c r="D1602" t="s">
        <v>339</v>
      </c>
      <c r="E1602" t="s">
        <v>2671</v>
      </c>
    </row>
    <row r="1603" spans="8:8">
      <c r="B1603" t="s">
        <v>2714</v>
      </c>
      <c r="C1603">
        <v>524080.0</v>
      </c>
      <c r="D1603" t="s">
        <v>339</v>
      </c>
      <c r="E1603" t="s">
        <v>387</v>
      </c>
    </row>
    <row r="1604" spans="8:8">
      <c r="B1604" t="s">
        <v>2715</v>
      </c>
      <c r="C1604">
        <v>780014.0</v>
      </c>
      <c r="D1604" t="s">
        <v>339</v>
      </c>
      <c r="E1604" t="s">
        <v>430</v>
      </c>
    </row>
    <row r="1605" spans="8:8">
      <c r="B1605" t="s">
        <v>2716</v>
      </c>
      <c r="C1605">
        <v>531387.0</v>
      </c>
      <c r="D1605" t="s">
        <v>339</v>
      </c>
      <c r="E1605" t="s">
        <v>356</v>
      </c>
    </row>
    <row r="1606" spans="8:8">
      <c r="B1606" t="s">
        <v>2717</v>
      </c>
      <c r="C1606">
        <v>509073.0</v>
      </c>
      <c r="D1606" t="s">
        <v>2718</v>
      </c>
      <c r="E1606" t="s">
        <v>2719</v>
      </c>
    </row>
    <row r="1607" spans="8:8">
      <c r="B1607" t="s">
        <v>2720</v>
      </c>
      <c r="C1607">
        <v>533162.0</v>
      </c>
      <c r="D1607" t="s">
        <v>2721</v>
      </c>
      <c r="E1607" t="s">
        <v>1077</v>
      </c>
    </row>
    <row r="1608" spans="8:8">
      <c r="B1608" t="s">
        <v>2722</v>
      </c>
      <c r="C1608">
        <v>531531.0</v>
      </c>
      <c r="D1608" t="s">
        <v>2723</v>
      </c>
      <c r="E1608" t="s">
        <v>399</v>
      </c>
    </row>
    <row r="1609" spans="8:8">
      <c r="B1609" t="s">
        <v>2724</v>
      </c>
      <c r="C1609">
        <v>517354.0</v>
      </c>
      <c r="D1609" t="s">
        <v>2725</v>
      </c>
      <c r="E1609" t="s">
        <v>637</v>
      </c>
    </row>
    <row r="1610" spans="8:8">
      <c r="B1610" t="s">
        <v>2726</v>
      </c>
      <c r="C1610">
        <v>517354.0</v>
      </c>
      <c r="D1610" t="s">
        <v>2725</v>
      </c>
      <c r="E1610" t="s">
        <v>637</v>
      </c>
    </row>
    <row r="1611" spans="8:8">
      <c r="B1611" t="s">
        <v>2727</v>
      </c>
      <c r="C1611">
        <v>539176.0</v>
      </c>
      <c r="D1611" t="s">
        <v>339</v>
      </c>
      <c r="E1611" t="s">
        <v>347</v>
      </c>
    </row>
    <row r="1612" spans="8:8">
      <c r="B1612" t="s">
        <v>2728</v>
      </c>
      <c r="C1612">
        <v>508486.0</v>
      </c>
      <c r="D1612" t="s">
        <v>339</v>
      </c>
      <c r="E1612" t="s">
        <v>1384</v>
      </c>
    </row>
    <row r="1613" spans="8:8">
      <c r="B1613" t="s">
        <v>2729</v>
      </c>
      <c r="C1613">
        <v>532467.0</v>
      </c>
      <c r="D1613" t="s">
        <v>339</v>
      </c>
      <c r="E1613" t="s">
        <v>342</v>
      </c>
    </row>
    <row r="1614" spans="8:8">
      <c r="B1614" t="s">
        <v>2730</v>
      </c>
      <c r="C1614">
        <v>532334.0</v>
      </c>
      <c r="D1614" t="s">
        <v>339</v>
      </c>
      <c r="E1614" t="s">
        <v>425</v>
      </c>
    </row>
    <row r="1615" spans="8:8">
      <c r="B1615" t="s">
        <v>2731</v>
      </c>
      <c r="C1615">
        <v>508956.0</v>
      </c>
      <c r="D1615" t="s">
        <v>339</v>
      </c>
      <c r="E1615" t="s">
        <v>356</v>
      </c>
    </row>
    <row r="1616" spans="8:8">
      <c r="B1616" t="s">
        <v>2732</v>
      </c>
      <c r="C1616">
        <v>532333.0</v>
      </c>
      <c r="D1616" t="s">
        <v>339</v>
      </c>
      <c r="E1616" t="s">
        <v>322</v>
      </c>
    </row>
    <row r="1617" spans="8:8">
      <c r="B1617" t="s">
        <v>2733</v>
      </c>
      <c r="C1617">
        <v>532216.0</v>
      </c>
      <c r="D1617" t="s">
        <v>2734</v>
      </c>
      <c r="E1617" t="s">
        <v>356</v>
      </c>
    </row>
    <row r="1618" spans="8:8">
      <c r="B1618" t="s">
        <v>2735</v>
      </c>
      <c r="C1618">
        <v>517271.0</v>
      </c>
      <c r="D1618" t="s">
        <v>2736</v>
      </c>
      <c r="E1618" t="s">
        <v>637</v>
      </c>
    </row>
    <row r="1619" spans="8:8">
      <c r="B1619" t="s">
        <v>2737</v>
      </c>
      <c r="C1619">
        <v>539224.0</v>
      </c>
      <c r="D1619" t="s">
        <v>339</v>
      </c>
      <c r="E1619" t="s">
        <v>328</v>
      </c>
    </row>
    <row r="1620" spans="8:8">
      <c r="B1620" t="s">
        <v>2738</v>
      </c>
      <c r="C1620">
        <v>500179.0</v>
      </c>
      <c r="D1620" t="s">
        <v>2739</v>
      </c>
      <c r="E1620" t="s">
        <v>664</v>
      </c>
    </row>
    <row r="1621" spans="8:8">
      <c r="B1621" t="s">
        <v>2740</v>
      </c>
      <c r="C1621">
        <v>532281.0</v>
      </c>
      <c r="D1621" t="s">
        <v>2741</v>
      </c>
      <c r="E1621" t="s">
        <v>325</v>
      </c>
    </row>
    <row r="1622" spans="8:8">
      <c r="B1622" t="s">
        <v>2742</v>
      </c>
      <c r="C1622">
        <v>541729.0</v>
      </c>
      <c r="D1622" t="s">
        <v>2743</v>
      </c>
      <c r="E1622" t="s">
        <v>2744</v>
      </c>
    </row>
    <row r="1623" spans="8:8">
      <c r="B1623" t="s">
        <v>2745</v>
      </c>
      <c r="C1623">
        <v>500180.0</v>
      </c>
      <c r="D1623" t="s">
        <v>2746</v>
      </c>
      <c r="E1623" t="s">
        <v>657</v>
      </c>
    </row>
    <row r="1624" spans="8:8">
      <c r="B1624" t="s">
        <v>2747</v>
      </c>
      <c r="C1624">
        <v>533230.0</v>
      </c>
      <c r="D1624" t="s">
        <v>2748</v>
      </c>
      <c r="E1624" t="s">
        <v>322</v>
      </c>
    </row>
    <row r="1625" spans="8:8">
      <c r="B1625" t="s">
        <v>2749</v>
      </c>
      <c r="C1625">
        <v>540777.0</v>
      </c>
      <c r="D1625" t="s">
        <v>2750</v>
      </c>
      <c r="E1625" t="s">
        <v>2751</v>
      </c>
    </row>
    <row r="1626" spans="8:8">
      <c r="B1626" t="s">
        <v>2752</v>
      </c>
      <c r="C1626">
        <v>539787.0</v>
      </c>
      <c r="D1626" t="s">
        <v>2753</v>
      </c>
      <c r="E1626" t="s">
        <v>809</v>
      </c>
    </row>
    <row r="1627" spans="8:8">
      <c r="B1627" t="s">
        <v>2754</v>
      </c>
      <c r="C1627">
        <v>503689.0</v>
      </c>
      <c r="D1627" t="s">
        <v>339</v>
      </c>
      <c r="E1627" t="s">
        <v>760</v>
      </c>
    </row>
    <row r="1628" spans="8:8">
      <c r="B1628" t="s">
        <v>2755</v>
      </c>
      <c r="C1628" t="s">
        <v>339</v>
      </c>
      <c r="D1628" t="s">
        <v>2756</v>
      </c>
      <c r="E1628" t="s">
        <v>350</v>
      </c>
    </row>
    <row r="1629" spans="8:8">
      <c r="B1629" t="s">
        <v>2757</v>
      </c>
      <c r="C1629">
        <v>526967.0</v>
      </c>
      <c r="D1629" t="s">
        <v>339</v>
      </c>
      <c r="E1629" t="s">
        <v>371</v>
      </c>
    </row>
    <row r="1630" spans="8:8">
      <c r="B1630" t="s">
        <v>2758</v>
      </c>
      <c r="C1630">
        <v>509631.0</v>
      </c>
      <c r="D1630" t="s">
        <v>2759</v>
      </c>
      <c r="E1630" t="s">
        <v>524</v>
      </c>
    </row>
    <row r="1631" spans="8:8">
      <c r="B1631" t="s">
        <v>2760</v>
      </c>
      <c r="C1631">
        <v>500292.0</v>
      </c>
      <c r="D1631" t="s">
        <v>2761</v>
      </c>
      <c r="E1631" t="s">
        <v>352</v>
      </c>
    </row>
    <row r="1632" spans="8:8">
      <c r="B1632" t="s">
        <v>2762</v>
      </c>
      <c r="C1632">
        <v>500292.0</v>
      </c>
      <c r="D1632" t="s">
        <v>2761</v>
      </c>
      <c r="E1632" t="s">
        <v>352</v>
      </c>
    </row>
    <row r="1633" spans="8:8">
      <c r="B1633" t="s">
        <v>2763</v>
      </c>
      <c r="C1633">
        <v>539174.0</v>
      </c>
      <c r="D1633" t="s">
        <v>2764</v>
      </c>
      <c r="E1633" t="s">
        <v>356</v>
      </c>
    </row>
    <row r="1634" spans="8:8">
      <c r="B1634" t="s">
        <v>2765</v>
      </c>
      <c r="C1634">
        <v>505520.0</v>
      </c>
      <c r="D1634" t="s">
        <v>339</v>
      </c>
      <c r="E1634" t="s">
        <v>760</v>
      </c>
    </row>
    <row r="1635" spans="8:8">
      <c r="B1635" t="s">
        <v>2766</v>
      </c>
      <c r="C1635">
        <v>531178.0</v>
      </c>
      <c r="D1635" t="s">
        <v>339</v>
      </c>
      <c r="E1635" t="s">
        <v>361</v>
      </c>
    </row>
    <row r="1636" spans="8:8">
      <c r="B1636" t="s">
        <v>2767</v>
      </c>
      <c r="C1636">
        <v>524590.0</v>
      </c>
      <c r="D1636" t="s">
        <v>339</v>
      </c>
      <c r="E1636" t="s">
        <v>361</v>
      </c>
    </row>
    <row r="1637" spans="8:8">
      <c r="B1637" t="s">
        <v>2768</v>
      </c>
      <c r="C1637">
        <v>505720.0</v>
      </c>
      <c r="D1637" t="s">
        <v>2769</v>
      </c>
      <c r="E1637" t="s">
        <v>347</v>
      </c>
    </row>
    <row r="1638" spans="8:8">
      <c r="B1638" t="s">
        <v>2770</v>
      </c>
      <c r="C1638">
        <v>519552.0</v>
      </c>
      <c r="D1638" t="s">
        <v>2771</v>
      </c>
      <c r="E1638" t="s">
        <v>399</v>
      </c>
    </row>
    <row r="1639" spans="8:8">
      <c r="B1639" t="s">
        <v>2772</v>
      </c>
      <c r="C1639">
        <v>500182.0</v>
      </c>
      <c r="D1639" t="s">
        <v>2773</v>
      </c>
      <c r="E1639" t="s">
        <v>996</v>
      </c>
    </row>
    <row r="1640" spans="8:8">
      <c r="B1640" t="s">
        <v>2774</v>
      </c>
      <c r="C1640">
        <v>524669.0</v>
      </c>
      <c r="D1640" t="s">
        <v>2775</v>
      </c>
      <c r="E1640" t="s">
        <v>377</v>
      </c>
    </row>
    <row r="1641" spans="8:8">
      <c r="B1641" t="s">
        <v>2776</v>
      </c>
      <c r="C1641">
        <v>534328.0</v>
      </c>
      <c r="D1641" t="s">
        <v>2777</v>
      </c>
      <c r="E1641" t="s">
        <v>361</v>
      </c>
    </row>
    <row r="1642" spans="8:8">
      <c r="B1642" t="s">
        <v>2778</v>
      </c>
      <c r="C1642">
        <v>532129.0</v>
      </c>
      <c r="D1642" t="s">
        <v>2779</v>
      </c>
      <c r="E1642" t="s">
        <v>325</v>
      </c>
    </row>
    <row r="1643" spans="8:8">
      <c r="B1643" t="s">
        <v>2780</v>
      </c>
      <c r="C1643">
        <v>504176.0</v>
      </c>
      <c r="D1643" t="s">
        <v>339</v>
      </c>
      <c r="E1643" t="s">
        <v>885</v>
      </c>
    </row>
    <row r="1644" spans="8:8">
      <c r="B1644" t="s">
        <v>2781</v>
      </c>
      <c r="C1644">
        <v>504176.0</v>
      </c>
      <c r="D1644" t="s">
        <v>339</v>
      </c>
      <c r="E1644" t="s">
        <v>885</v>
      </c>
    </row>
    <row r="1645" spans="8:8">
      <c r="B1645" t="s">
        <v>2782</v>
      </c>
      <c r="C1645">
        <v>517080.0</v>
      </c>
      <c r="D1645" t="s">
        <v>2783</v>
      </c>
      <c r="E1645" t="s">
        <v>737</v>
      </c>
    </row>
    <row r="1646" spans="8:8">
      <c r="B1646" t="s">
        <v>2784</v>
      </c>
      <c r="C1646">
        <v>531301.0</v>
      </c>
      <c r="D1646" t="s">
        <v>339</v>
      </c>
      <c r="E1646" t="s">
        <v>354</v>
      </c>
    </row>
    <row r="1647" spans="8:8">
      <c r="B1647" t="s">
        <v>2785</v>
      </c>
      <c r="C1647">
        <v>524735.0</v>
      </c>
      <c r="D1647" t="s">
        <v>2786</v>
      </c>
      <c r="E1647" t="s">
        <v>377</v>
      </c>
    </row>
    <row r="1648" spans="8:8">
      <c r="B1648" t="s">
        <v>2787</v>
      </c>
      <c r="C1648">
        <v>542332.0</v>
      </c>
      <c r="D1648" t="s">
        <v>2788</v>
      </c>
      <c r="E1648" t="s">
        <v>322</v>
      </c>
    </row>
    <row r="1649" spans="8:8">
      <c r="B1649" t="s">
        <v>2789</v>
      </c>
      <c r="C1649">
        <v>509675.0</v>
      </c>
      <c r="D1649" t="s">
        <v>2790</v>
      </c>
      <c r="E1649" t="s">
        <v>352</v>
      </c>
    </row>
    <row r="1650" spans="8:8">
      <c r="B1650" t="s">
        <v>2791</v>
      </c>
      <c r="C1650">
        <v>532847.0</v>
      </c>
      <c r="D1650" t="s">
        <v>2792</v>
      </c>
      <c r="E1650" t="s">
        <v>1258</v>
      </c>
    </row>
    <row r="1651" spans="8:8">
      <c r="B1651" t="s">
        <v>2793</v>
      </c>
      <c r="C1651">
        <v>505712.0</v>
      </c>
      <c r="D1651" t="s">
        <v>339</v>
      </c>
      <c r="E1651" t="s">
        <v>694</v>
      </c>
    </row>
    <row r="1652" spans="8:8">
      <c r="B1652" t="s">
        <v>2794</v>
      </c>
      <c r="C1652">
        <v>514010.0</v>
      </c>
      <c r="D1652" t="s">
        <v>339</v>
      </c>
      <c r="E1652" t="s">
        <v>354</v>
      </c>
    </row>
    <row r="1653" spans="8:8">
      <c r="B1653" t="s">
        <v>2795</v>
      </c>
      <c r="C1653">
        <v>500183.0</v>
      </c>
      <c r="D1653" t="s">
        <v>2796</v>
      </c>
      <c r="E1653" t="s">
        <v>609</v>
      </c>
    </row>
    <row r="1654" spans="8:8">
      <c r="B1654" t="s">
        <v>2797</v>
      </c>
      <c r="C1654">
        <v>500184.0</v>
      </c>
      <c r="D1654" t="s">
        <v>2798</v>
      </c>
      <c r="E1654" t="s">
        <v>499</v>
      </c>
    </row>
    <row r="1655" spans="8:8">
      <c r="B1655" t="s">
        <v>2799</v>
      </c>
      <c r="C1655">
        <v>526899.0</v>
      </c>
      <c r="D1655" t="s">
        <v>339</v>
      </c>
      <c r="E1655" t="s">
        <v>537</v>
      </c>
    </row>
    <row r="1656" spans="8:8">
      <c r="B1656" t="s">
        <v>2800</v>
      </c>
      <c r="C1656">
        <v>513723.0</v>
      </c>
      <c r="D1656" t="s">
        <v>339</v>
      </c>
      <c r="E1656" t="s">
        <v>867</v>
      </c>
    </row>
    <row r="1657" spans="8:8">
      <c r="B1657" t="s">
        <v>2801</v>
      </c>
      <c r="C1657">
        <v>511169.0</v>
      </c>
      <c r="D1657" t="s">
        <v>339</v>
      </c>
      <c r="E1657" t="s">
        <v>356</v>
      </c>
    </row>
    <row r="1658" spans="8:8">
      <c r="B1658" t="s">
        <v>2802</v>
      </c>
      <c r="C1658">
        <v>514043.0</v>
      </c>
      <c r="D1658" t="s">
        <v>2803</v>
      </c>
      <c r="E1658" t="s">
        <v>354</v>
      </c>
    </row>
    <row r="1659" spans="8:8">
      <c r="B1659" t="s">
        <v>2804</v>
      </c>
      <c r="C1659">
        <v>531979.0</v>
      </c>
      <c r="D1659" t="s">
        <v>339</v>
      </c>
      <c r="E1659" t="s">
        <v>644</v>
      </c>
    </row>
    <row r="1660" spans="8:8">
      <c r="B1660" t="s">
        <v>2805</v>
      </c>
      <c r="C1660">
        <v>538652.0</v>
      </c>
      <c r="D1660" t="s">
        <v>339</v>
      </c>
      <c r="E1660" t="s">
        <v>361</v>
      </c>
    </row>
    <row r="1661" spans="8:8">
      <c r="B1661" t="s">
        <v>2806</v>
      </c>
      <c r="C1661">
        <v>504036.0</v>
      </c>
      <c r="D1661" t="s">
        <v>2807</v>
      </c>
      <c r="E1661" t="s">
        <v>881</v>
      </c>
    </row>
    <row r="1662" spans="8:8">
      <c r="B1662" t="s">
        <v>2808</v>
      </c>
      <c r="C1662">
        <v>539114.0</v>
      </c>
      <c r="D1662" t="s">
        <v>339</v>
      </c>
      <c r="E1662" t="s">
        <v>356</v>
      </c>
    </row>
    <row r="1663" spans="8:8">
      <c r="B1663" t="s">
        <v>2809</v>
      </c>
      <c r="C1663">
        <v>503881.0</v>
      </c>
      <c r="D1663" t="s">
        <v>2810</v>
      </c>
      <c r="E1663" t="s">
        <v>354</v>
      </c>
    </row>
    <row r="1664" spans="8:8">
      <c r="B1664" t="s">
        <v>2811</v>
      </c>
      <c r="C1664">
        <v>500440.0</v>
      </c>
      <c r="D1664" t="s">
        <v>2812</v>
      </c>
      <c r="E1664" t="s">
        <v>644</v>
      </c>
    </row>
    <row r="1665" spans="8:8">
      <c r="B1665" t="s">
        <v>2813</v>
      </c>
      <c r="C1665" t="s">
        <v>339</v>
      </c>
      <c r="D1665" t="s">
        <v>2814</v>
      </c>
      <c r="E1665" t="s">
        <v>350</v>
      </c>
    </row>
    <row r="1666" spans="8:8">
      <c r="B1666" t="s">
        <v>2815</v>
      </c>
      <c r="C1666">
        <v>509895.0</v>
      </c>
      <c r="D1666" t="s">
        <v>339</v>
      </c>
      <c r="E1666" t="s">
        <v>354</v>
      </c>
    </row>
    <row r="1667" spans="8:8">
      <c r="B1667" t="s">
        <v>2816</v>
      </c>
      <c r="C1667">
        <v>532859.0</v>
      </c>
      <c r="D1667" t="s">
        <v>2817</v>
      </c>
      <c r="E1667" t="s">
        <v>669</v>
      </c>
    </row>
    <row r="1668" spans="8:8">
      <c r="B1668" t="s">
        <v>2818</v>
      </c>
      <c r="C1668">
        <v>500189.0</v>
      </c>
      <c r="D1668" t="s">
        <v>2819</v>
      </c>
      <c r="E1668" t="s">
        <v>1077</v>
      </c>
    </row>
    <row r="1669" spans="8:8">
      <c r="B1669" t="s">
        <v>2820</v>
      </c>
      <c r="C1669">
        <v>514428.0</v>
      </c>
      <c r="D1669" t="s">
        <v>339</v>
      </c>
      <c r="E1669" t="s">
        <v>459</v>
      </c>
    </row>
    <row r="1670" spans="8:8">
      <c r="B1670" t="s">
        <v>2821</v>
      </c>
      <c r="C1670">
        <v>541154.0</v>
      </c>
      <c r="D1670" t="s">
        <v>2822</v>
      </c>
      <c r="E1670" t="s">
        <v>2823</v>
      </c>
    </row>
    <row r="1671" spans="8:8">
      <c r="B1671" t="s">
        <v>2824</v>
      </c>
      <c r="C1671">
        <v>531918.0</v>
      </c>
      <c r="D1671" t="s">
        <v>339</v>
      </c>
      <c r="E1671" t="s">
        <v>361</v>
      </c>
    </row>
    <row r="1672" spans="8:8">
      <c r="B1672" t="s">
        <v>2825</v>
      </c>
      <c r="C1672">
        <v>532041.0</v>
      </c>
      <c r="D1672" t="s">
        <v>2826</v>
      </c>
      <c r="E1672" t="s">
        <v>432</v>
      </c>
    </row>
    <row r="1673" spans="8:8">
      <c r="B1673" t="s">
        <v>2827</v>
      </c>
      <c r="C1673">
        <v>509635.0</v>
      </c>
      <c r="D1673" t="s">
        <v>2828</v>
      </c>
      <c r="E1673" t="s">
        <v>694</v>
      </c>
    </row>
    <row r="1674" spans="8:8">
      <c r="B1674" t="s">
        <v>2829</v>
      </c>
      <c r="C1674">
        <v>500185.0</v>
      </c>
      <c r="D1674" t="s">
        <v>2830</v>
      </c>
      <c r="E1674" t="s">
        <v>737</v>
      </c>
    </row>
    <row r="1675" spans="8:8">
      <c r="B1675" t="s">
        <v>2831</v>
      </c>
      <c r="C1675">
        <v>513599.0</v>
      </c>
      <c r="D1675" t="s">
        <v>2832</v>
      </c>
      <c r="E1675" t="s">
        <v>413</v>
      </c>
    </row>
    <row r="1676" spans="8:8">
      <c r="B1676" t="s">
        <v>2833</v>
      </c>
      <c r="C1676">
        <v>505725.0</v>
      </c>
      <c r="D1676" t="s">
        <v>2834</v>
      </c>
      <c r="E1676" t="s">
        <v>524</v>
      </c>
    </row>
    <row r="1677" spans="8:8">
      <c r="B1677" t="s">
        <v>2835</v>
      </c>
      <c r="C1677">
        <v>524013.0</v>
      </c>
      <c r="D1677" t="s">
        <v>339</v>
      </c>
      <c r="E1677" t="s">
        <v>716</v>
      </c>
    </row>
    <row r="1678" spans="8:8">
      <c r="B1678" t="s">
        <v>2836</v>
      </c>
      <c r="C1678">
        <v>519126.0</v>
      </c>
      <c r="D1678" t="s">
        <v>339</v>
      </c>
      <c r="E1678" t="s">
        <v>399</v>
      </c>
    </row>
    <row r="1679" spans="8:8">
      <c r="B1679" t="s">
        <v>2837</v>
      </c>
      <c r="C1679">
        <v>505893.0</v>
      </c>
      <c r="D1679" t="s">
        <v>339</v>
      </c>
      <c r="E1679" t="s">
        <v>694</v>
      </c>
    </row>
    <row r="1680" spans="8:8">
      <c r="B1680" t="s">
        <v>2838</v>
      </c>
      <c r="C1680">
        <v>509650.0</v>
      </c>
      <c r="D1680" t="s">
        <v>339</v>
      </c>
      <c r="E1680" t="s">
        <v>397</v>
      </c>
    </row>
    <row r="1681" spans="8:8">
      <c r="B1681" t="s">
        <v>2839</v>
      </c>
      <c r="C1681">
        <v>533217.0</v>
      </c>
      <c r="D1681" t="s">
        <v>2840</v>
      </c>
      <c r="E1681" t="s">
        <v>863</v>
      </c>
    </row>
    <row r="1682" spans="8:8">
      <c r="B1682" t="s">
        <v>2841</v>
      </c>
      <c r="C1682">
        <v>500500.0</v>
      </c>
      <c r="D1682" t="s">
        <v>2842</v>
      </c>
      <c r="E1682" t="s">
        <v>2268</v>
      </c>
    </row>
    <row r="1683" spans="8:8">
      <c r="B1683" t="s">
        <v>2843</v>
      </c>
      <c r="C1683">
        <v>500186.0</v>
      </c>
      <c r="D1683" t="s">
        <v>2844</v>
      </c>
      <c r="E1683" t="s">
        <v>402</v>
      </c>
    </row>
    <row r="1684" spans="8:8">
      <c r="B1684" t="s">
        <v>2845</v>
      </c>
      <c r="C1684">
        <v>500449.0</v>
      </c>
      <c r="D1684" t="s">
        <v>339</v>
      </c>
      <c r="E1684" t="s">
        <v>387</v>
      </c>
    </row>
    <row r="1685" spans="8:8">
      <c r="B1685" t="s">
        <v>2846</v>
      </c>
      <c r="C1685">
        <v>500104.0</v>
      </c>
      <c r="D1685" t="s">
        <v>2847</v>
      </c>
      <c r="E1685" t="s">
        <v>1267</v>
      </c>
    </row>
    <row r="1686" spans="8:8">
      <c r="B1686" t="s">
        <v>2848</v>
      </c>
      <c r="C1686">
        <v>530315.0</v>
      </c>
      <c r="D1686" t="s">
        <v>339</v>
      </c>
      <c r="E1686" t="s">
        <v>534</v>
      </c>
    </row>
    <row r="1687" spans="8:8">
      <c r="B1687" t="s">
        <v>2849</v>
      </c>
      <c r="C1687">
        <v>500696.0</v>
      </c>
      <c r="D1687" t="s">
        <v>2850</v>
      </c>
      <c r="E1687" t="s">
        <v>521</v>
      </c>
    </row>
    <row r="1688" spans="8:8">
      <c r="B1688" t="s">
        <v>2851</v>
      </c>
      <c r="C1688">
        <v>504713.0</v>
      </c>
      <c r="D1688" t="s">
        <v>339</v>
      </c>
      <c r="E1688" t="s">
        <v>1258</v>
      </c>
    </row>
    <row r="1689" spans="8:8">
      <c r="B1689" t="s">
        <v>2852</v>
      </c>
      <c r="C1689">
        <v>500188.0</v>
      </c>
      <c r="D1689" t="s">
        <v>2853</v>
      </c>
      <c r="E1689" t="s">
        <v>2854</v>
      </c>
    </row>
    <row r="1690" spans="8:8">
      <c r="B1690" t="s">
        <v>2855</v>
      </c>
      <c r="C1690">
        <v>515145.0</v>
      </c>
      <c r="D1690" t="s">
        <v>2856</v>
      </c>
      <c r="E1690" t="s">
        <v>534</v>
      </c>
    </row>
    <row r="1691" spans="8:8">
      <c r="B1691" t="s">
        <v>2857</v>
      </c>
      <c r="C1691">
        <v>513039.0</v>
      </c>
      <c r="D1691" t="s">
        <v>339</v>
      </c>
      <c r="E1691" t="s">
        <v>347</v>
      </c>
    </row>
    <row r="1692" spans="8:8">
      <c r="B1692" t="s">
        <v>2858</v>
      </c>
      <c r="C1692">
        <v>539984.0</v>
      </c>
      <c r="D1692" t="s">
        <v>339</v>
      </c>
      <c r="E1692" t="s">
        <v>881</v>
      </c>
    </row>
    <row r="1693" spans="8:8">
      <c r="B1693" t="s">
        <v>2859</v>
      </c>
      <c r="C1693">
        <v>530853.0</v>
      </c>
      <c r="D1693" t="s">
        <v>339</v>
      </c>
      <c r="E1693" t="s">
        <v>2157</v>
      </c>
    </row>
    <row r="1694" spans="8:8">
      <c r="B1694" t="s">
        <v>2860</v>
      </c>
      <c r="C1694">
        <v>531743.0</v>
      </c>
      <c r="D1694" t="s">
        <v>339</v>
      </c>
      <c r="E1694" t="s">
        <v>361</v>
      </c>
    </row>
    <row r="1695" spans="8:8">
      <c r="B1695" t="s">
        <v>2861</v>
      </c>
      <c r="C1695">
        <v>590018.0</v>
      </c>
      <c r="D1695" t="s">
        <v>2862</v>
      </c>
      <c r="E1695" t="s">
        <v>371</v>
      </c>
    </row>
    <row r="1696" spans="8:8">
      <c r="B1696" t="s">
        <v>2863</v>
      </c>
      <c r="C1696">
        <v>521068.0</v>
      </c>
      <c r="D1696" t="s">
        <v>339</v>
      </c>
      <c r="E1696" t="s">
        <v>354</v>
      </c>
    </row>
    <row r="1697" spans="8:8">
      <c r="B1697" t="s">
        <v>2864</v>
      </c>
      <c r="C1697">
        <v>532359.0</v>
      </c>
      <c r="D1697" t="s">
        <v>339</v>
      </c>
      <c r="E1697" t="s">
        <v>432</v>
      </c>
    </row>
    <row r="1698" spans="8:8">
      <c r="B1698" t="s">
        <v>2865</v>
      </c>
      <c r="C1698">
        <v>526217.0</v>
      </c>
      <c r="D1698" t="s">
        <v>2866</v>
      </c>
      <c r="E1698" t="s">
        <v>534</v>
      </c>
    </row>
    <row r="1699" spans="8:8">
      <c r="B1699" t="s">
        <v>2867</v>
      </c>
      <c r="C1699" t="s">
        <v>339</v>
      </c>
      <c r="D1699" t="s">
        <v>2868</v>
      </c>
      <c r="E1699" t="s">
        <v>430</v>
      </c>
    </row>
    <row r="1700" spans="8:8">
      <c r="B1700" t="s">
        <v>2869</v>
      </c>
      <c r="C1700">
        <v>541627.0</v>
      </c>
      <c r="D1700" t="s">
        <v>2870</v>
      </c>
      <c r="E1700" t="s">
        <v>1707</v>
      </c>
    </row>
    <row r="1701" spans="8:8">
      <c r="B1701" t="s">
        <v>2871</v>
      </c>
      <c r="C1701">
        <v>531661.0</v>
      </c>
      <c r="D1701" t="s">
        <v>339</v>
      </c>
      <c r="E1701" t="s">
        <v>347</v>
      </c>
    </row>
    <row r="1702" spans="8:8">
      <c r="B1702" t="s">
        <v>2872</v>
      </c>
      <c r="C1702">
        <v>500191.0</v>
      </c>
      <c r="D1702" t="s">
        <v>2873</v>
      </c>
      <c r="E1702" t="s">
        <v>417</v>
      </c>
    </row>
    <row r="1703" spans="8:8">
      <c r="B1703" t="s">
        <v>2874</v>
      </c>
      <c r="C1703">
        <v>522064.0</v>
      </c>
      <c r="D1703" t="s">
        <v>2875</v>
      </c>
      <c r="E1703" t="s">
        <v>347</v>
      </c>
    </row>
    <row r="1704" spans="8:8">
      <c r="B1704" t="s">
        <v>2876</v>
      </c>
      <c r="C1704">
        <v>517174.0</v>
      </c>
      <c r="D1704" t="s">
        <v>2877</v>
      </c>
      <c r="E1704" t="s">
        <v>637</v>
      </c>
    </row>
    <row r="1705" spans="8:8">
      <c r="B1705" t="s">
        <v>2878</v>
      </c>
      <c r="C1705">
        <v>517174.0</v>
      </c>
      <c r="D1705" t="s">
        <v>2877</v>
      </c>
      <c r="E1705" t="s">
        <v>637</v>
      </c>
    </row>
    <row r="1706" spans="8:8">
      <c r="B1706" t="s">
        <v>2879</v>
      </c>
      <c r="C1706">
        <v>500193.0</v>
      </c>
      <c r="D1706" t="s">
        <v>2880</v>
      </c>
      <c r="E1706" t="s">
        <v>540</v>
      </c>
    </row>
    <row r="1707" spans="8:8">
      <c r="B1707" t="s">
        <v>2881</v>
      </c>
      <c r="C1707">
        <v>526683.0</v>
      </c>
      <c r="D1707" t="s">
        <v>2882</v>
      </c>
      <c r="E1707" t="s">
        <v>540</v>
      </c>
    </row>
    <row r="1708" spans="8:8">
      <c r="B1708" t="s">
        <v>2883</v>
      </c>
      <c r="C1708">
        <v>540530.0</v>
      </c>
      <c r="D1708" t="s">
        <v>2884</v>
      </c>
      <c r="E1708" t="s">
        <v>397</v>
      </c>
    </row>
    <row r="1709" spans="8:8">
      <c r="B1709" t="s">
        <v>2885</v>
      </c>
      <c r="C1709">
        <v>532873.0</v>
      </c>
      <c r="D1709" t="s">
        <v>2886</v>
      </c>
      <c r="E1709" t="s">
        <v>425</v>
      </c>
    </row>
    <row r="1710" spans="8:8">
      <c r="B1710" t="s">
        <v>2887</v>
      </c>
      <c r="C1710">
        <v>500010.0</v>
      </c>
      <c r="D1710" t="s">
        <v>2888</v>
      </c>
      <c r="E1710" t="s">
        <v>397</v>
      </c>
    </row>
    <row r="1711" spans="8:8">
      <c r="B1711" t="s">
        <v>2889</v>
      </c>
      <c r="C1711">
        <v>532761.0</v>
      </c>
      <c r="D1711" t="s">
        <v>2890</v>
      </c>
      <c r="E1711" t="s">
        <v>669</v>
      </c>
    </row>
    <row r="1712" spans="8:8">
      <c r="B1712" t="s">
        <v>2891</v>
      </c>
      <c r="C1712">
        <v>526761.0</v>
      </c>
      <c r="D1712" t="s">
        <v>339</v>
      </c>
      <c r="E1712" t="s">
        <v>540</v>
      </c>
    </row>
    <row r="1713" spans="8:8">
      <c r="B1713" t="s">
        <v>2892</v>
      </c>
      <c r="C1713">
        <v>535217.0</v>
      </c>
      <c r="D1713" t="s">
        <v>339</v>
      </c>
      <c r="E1713" t="s">
        <v>537</v>
      </c>
    </row>
    <row r="1714" spans="8:8">
      <c r="B1714" t="s">
        <v>2893</v>
      </c>
      <c r="C1714">
        <v>540136.0</v>
      </c>
      <c r="D1714" t="s">
        <v>2894</v>
      </c>
      <c r="E1714" t="s">
        <v>382</v>
      </c>
    </row>
    <row r="1715" spans="8:8">
      <c r="B1715" t="s">
        <v>2895</v>
      </c>
      <c r="C1715">
        <v>531724.0</v>
      </c>
      <c r="D1715" t="s">
        <v>339</v>
      </c>
      <c r="E1715" t="s">
        <v>760</v>
      </c>
    </row>
    <row r="1716" spans="8:8">
      <c r="B1716" t="s">
        <v>2896</v>
      </c>
      <c r="C1716">
        <v>500187.0</v>
      </c>
      <c r="D1716" t="s">
        <v>2897</v>
      </c>
      <c r="E1716" t="s">
        <v>534</v>
      </c>
    </row>
    <row r="1717" spans="8:8">
      <c r="B1717" t="s">
        <v>2898</v>
      </c>
      <c r="C1717">
        <v>532662.0</v>
      </c>
      <c r="D1717" t="s">
        <v>2899</v>
      </c>
      <c r="E1717" t="s">
        <v>863</v>
      </c>
    </row>
    <row r="1718" spans="8:8">
      <c r="B1718" t="s">
        <v>2900</v>
      </c>
      <c r="C1718">
        <v>532799.0</v>
      </c>
      <c r="D1718" t="s">
        <v>2901</v>
      </c>
      <c r="E1718" t="s">
        <v>425</v>
      </c>
    </row>
    <row r="1719" spans="8:8">
      <c r="B1719" t="s">
        <v>2902</v>
      </c>
      <c r="C1719">
        <v>509820.0</v>
      </c>
      <c r="D1719" t="s">
        <v>2903</v>
      </c>
      <c r="E1719" t="s">
        <v>534</v>
      </c>
    </row>
    <row r="1720" spans="8:8">
      <c r="B1720" t="s">
        <v>2904</v>
      </c>
      <c r="C1720">
        <v>542592.0</v>
      </c>
      <c r="D1720" t="s">
        <v>2905</v>
      </c>
      <c r="E1720" t="s">
        <v>444</v>
      </c>
    </row>
    <row r="1721" spans="8:8">
      <c r="B1721" t="s">
        <v>2906</v>
      </c>
      <c r="C1721" t="s">
        <v>339</v>
      </c>
      <c r="D1721" t="s">
        <v>2907</v>
      </c>
      <c r="E1721" t="s">
        <v>350</v>
      </c>
    </row>
    <row r="1722" spans="8:8">
      <c r="B1722" t="s">
        <v>2908</v>
      </c>
      <c r="C1722">
        <v>539724.0</v>
      </c>
      <c r="D1722" t="s">
        <v>339</v>
      </c>
      <c r="E1722" t="s">
        <v>325</v>
      </c>
    </row>
    <row r="1723" spans="8:8">
      <c r="B1723" t="s">
        <v>2909</v>
      </c>
      <c r="C1723">
        <v>519463.0</v>
      </c>
      <c r="D1723" t="s">
        <v>339</v>
      </c>
      <c r="E1723" t="s">
        <v>537</v>
      </c>
    </row>
    <row r="1724" spans="8:8">
      <c r="B1724" t="s">
        <v>2910</v>
      </c>
      <c r="C1724" t="s">
        <v>339</v>
      </c>
      <c r="D1724" t="s">
        <v>2911</v>
      </c>
      <c r="E1724" t="s">
        <v>350</v>
      </c>
    </row>
    <row r="1725" spans="8:8">
      <c r="B1725" t="s">
        <v>2912</v>
      </c>
      <c r="C1725">
        <v>532174.0</v>
      </c>
      <c r="D1725" t="s">
        <v>2913</v>
      </c>
      <c r="E1725" t="s">
        <v>657</v>
      </c>
    </row>
    <row r="1726" spans="8:8">
      <c r="B1726" t="s">
        <v>2914</v>
      </c>
      <c r="C1726">
        <v>540716.0</v>
      </c>
      <c r="D1726" t="s">
        <v>2915</v>
      </c>
      <c r="E1726" t="s">
        <v>2421</v>
      </c>
    </row>
    <row r="1727" spans="8:8">
      <c r="B1727" t="s">
        <v>2916</v>
      </c>
      <c r="C1727">
        <v>533244.0</v>
      </c>
      <c r="D1727" t="s">
        <v>2917</v>
      </c>
      <c r="E1727" t="s">
        <v>322</v>
      </c>
    </row>
    <row r="1728" spans="8:8">
      <c r="B1728" t="s">
        <v>2918</v>
      </c>
      <c r="C1728">
        <v>540133.0</v>
      </c>
      <c r="D1728" t="s">
        <v>2919</v>
      </c>
      <c r="E1728" t="s">
        <v>2751</v>
      </c>
    </row>
    <row r="1729" spans="8:8">
      <c r="B1729" t="s">
        <v>2920</v>
      </c>
      <c r="C1729">
        <v>555555.0</v>
      </c>
      <c r="D1729" t="s">
        <v>2921</v>
      </c>
      <c r="E1729" t="s">
        <v>322</v>
      </c>
    </row>
    <row r="1730" spans="8:8">
      <c r="B1730" t="s">
        <v>2922</v>
      </c>
      <c r="C1730">
        <v>541179.0</v>
      </c>
      <c r="D1730" t="s">
        <v>2923</v>
      </c>
      <c r="E1730" t="s">
        <v>322</v>
      </c>
    </row>
    <row r="1731" spans="8:8">
      <c r="B1731" t="s">
        <v>2924</v>
      </c>
      <c r="C1731">
        <v>532835.0</v>
      </c>
      <c r="D1731" t="s">
        <v>2925</v>
      </c>
      <c r="E1731" t="s">
        <v>322</v>
      </c>
    </row>
    <row r="1732" spans="8:8">
      <c r="B1732" t="s">
        <v>2926</v>
      </c>
      <c r="C1732">
        <v>531524.0</v>
      </c>
      <c r="D1732" t="s">
        <v>2927</v>
      </c>
      <c r="E1732" t="s">
        <v>637</v>
      </c>
    </row>
    <row r="1733" spans="8:8">
      <c r="B1733" t="s">
        <v>2928</v>
      </c>
      <c r="C1733">
        <v>531524.0</v>
      </c>
      <c r="D1733" t="s">
        <v>2927</v>
      </c>
      <c r="E1733" t="s">
        <v>637</v>
      </c>
    </row>
    <row r="1734" spans="8:8">
      <c r="B1734" t="s">
        <v>2929</v>
      </c>
      <c r="C1734">
        <v>500116.0</v>
      </c>
      <c r="D1734" t="s">
        <v>2930</v>
      </c>
      <c r="E1734" t="s">
        <v>657</v>
      </c>
    </row>
    <row r="1735" spans="8:8">
      <c r="B1735" t="s">
        <v>2931</v>
      </c>
      <c r="C1735">
        <v>539437.0</v>
      </c>
      <c r="D1735" t="s">
        <v>2932</v>
      </c>
      <c r="E1735" t="s">
        <v>657</v>
      </c>
    </row>
    <row r="1736" spans="8:8">
      <c r="B1736" t="s">
        <v>2933</v>
      </c>
      <c r="C1736" t="s">
        <v>339</v>
      </c>
      <c r="D1736" t="s">
        <v>2934</v>
      </c>
      <c r="E1736" t="s">
        <v>657</v>
      </c>
    </row>
    <row r="1737" spans="8:8">
      <c r="B1737" t="s">
        <v>2935</v>
      </c>
      <c r="C1737">
        <v>532659.0</v>
      </c>
      <c r="D1737" t="s">
        <v>2936</v>
      </c>
      <c r="E1737" t="s">
        <v>356</v>
      </c>
    </row>
    <row r="1738" spans="8:8">
      <c r="B1738" t="s">
        <v>2937</v>
      </c>
      <c r="C1738">
        <v>507438.0</v>
      </c>
      <c r="D1738" t="s">
        <v>2938</v>
      </c>
      <c r="E1738" t="s">
        <v>970</v>
      </c>
    </row>
    <row r="1739" spans="8:8">
      <c r="B1739" t="s">
        <v>2939</v>
      </c>
      <c r="C1739">
        <v>505726.0</v>
      </c>
      <c r="D1739" t="s">
        <v>2940</v>
      </c>
      <c r="E1739" t="s">
        <v>1103</v>
      </c>
    </row>
    <row r="1740" spans="8:8">
      <c r="B1740" t="s">
        <v>2941</v>
      </c>
      <c r="C1740">
        <v>500106.0</v>
      </c>
      <c r="D1740" t="s">
        <v>2942</v>
      </c>
      <c r="E1740" t="s">
        <v>2671</v>
      </c>
    </row>
    <row r="1741" spans="8:8">
      <c r="B1741" t="s">
        <v>2943</v>
      </c>
      <c r="C1741">
        <v>540774.0</v>
      </c>
      <c r="D1741" t="s">
        <v>2944</v>
      </c>
      <c r="E1741" t="s">
        <v>524</v>
      </c>
    </row>
    <row r="1742" spans="8:8">
      <c r="B1742" t="s">
        <v>2945</v>
      </c>
      <c r="C1742">
        <v>540377.0</v>
      </c>
      <c r="D1742" t="s">
        <v>339</v>
      </c>
      <c r="E1742" t="s">
        <v>361</v>
      </c>
    </row>
    <row r="1743" spans="8:8">
      <c r="B1743" t="s">
        <v>2946</v>
      </c>
      <c r="C1743">
        <v>522289.0</v>
      </c>
      <c r="D1743" t="s">
        <v>339</v>
      </c>
      <c r="E1743" t="s">
        <v>361</v>
      </c>
    </row>
    <row r="1744" spans="8:8">
      <c r="B1744" t="s">
        <v>2947</v>
      </c>
      <c r="C1744">
        <v>500199.0</v>
      </c>
      <c r="D1744" t="s">
        <v>2948</v>
      </c>
      <c r="E1744" t="s">
        <v>387</v>
      </c>
    </row>
    <row r="1745" spans="8:8">
      <c r="B1745" t="s">
        <v>2949</v>
      </c>
      <c r="C1745">
        <v>517380.0</v>
      </c>
      <c r="D1745" t="s">
        <v>2950</v>
      </c>
      <c r="E1745" t="s">
        <v>694</v>
      </c>
    </row>
    <row r="1746" spans="8:8">
      <c r="B1746" t="s">
        <v>2951</v>
      </c>
      <c r="C1746">
        <v>517380.0</v>
      </c>
      <c r="D1746" t="s">
        <v>2950</v>
      </c>
      <c r="E1746" t="s">
        <v>694</v>
      </c>
    </row>
    <row r="1747" spans="8:8">
      <c r="B1747" t="s">
        <v>2952</v>
      </c>
      <c r="C1747">
        <v>539449.0</v>
      </c>
      <c r="D1747" t="s">
        <v>339</v>
      </c>
      <c r="E1747" t="s">
        <v>361</v>
      </c>
    </row>
    <row r="1748" spans="8:8">
      <c r="B1748" t="s">
        <v>2953</v>
      </c>
      <c r="C1748">
        <v>532636.0</v>
      </c>
      <c r="D1748" t="s">
        <v>2954</v>
      </c>
      <c r="E1748" t="s">
        <v>322</v>
      </c>
    </row>
    <row r="1749" spans="8:8">
      <c r="B1749" t="s">
        <v>2955</v>
      </c>
      <c r="C1749">
        <v>531968.0</v>
      </c>
      <c r="D1749" t="s">
        <v>2956</v>
      </c>
      <c r="E1749" t="s">
        <v>425</v>
      </c>
    </row>
    <row r="1750" spans="8:8">
      <c r="B1750" t="s">
        <v>2957</v>
      </c>
      <c r="C1750">
        <v>514238.0</v>
      </c>
      <c r="D1750" t="s">
        <v>339</v>
      </c>
      <c r="E1750" t="s">
        <v>322</v>
      </c>
    </row>
    <row r="1751" spans="8:8">
      <c r="B1751" t="s">
        <v>2958</v>
      </c>
      <c r="C1751">
        <v>532414.0</v>
      </c>
      <c r="D1751" t="s">
        <v>339</v>
      </c>
      <c r="E1751" t="s">
        <v>432</v>
      </c>
    </row>
    <row r="1752" spans="8:8">
      <c r="B1752" t="s">
        <v>2959</v>
      </c>
      <c r="C1752">
        <v>532907.0</v>
      </c>
      <c r="D1752" t="s">
        <v>2960</v>
      </c>
      <c r="E1752" t="s">
        <v>737</v>
      </c>
    </row>
    <row r="1753" spans="8:8">
      <c r="B1753" t="s">
        <v>2961</v>
      </c>
      <c r="C1753">
        <v>511208.0</v>
      </c>
      <c r="D1753" t="s">
        <v>2962</v>
      </c>
      <c r="E1753" t="s">
        <v>2744</v>
      </c>
    </row>
    <row r="1754" spans="8:8">
      <c r="B1754" t="s">
        <v>2963</v>
      </c>
      <c r="C1754">
        <v>533177.0</v>
      </c>
      <c r="D1754" t="s">
        <v>2964</v>
      </c>
      <c r="E1754" t="s">
        <v>934</v>
      </c>
    </row>
    <row r="1755" spans="8:8">
      <c r="B1755" t="s">
        <v>2965</v>
      </c>
      <c r="C1755">
        <v>511628.0</v>
      </c>
      <c r="D1755" t="s">
        <v>339</v>
      </c>
      <c r="E1755" t="s">
        <v>356</v>
      </c>
    </row>
    <row r="1756" spans="8:8">
      <c r="B1756" t="s">
        <v>2966</v>
      </c>
      <c r="C1756">
        <v>505539.0</v>
      </c>
      <c r="D1756" t="s">
        <v>339</v>
      </c>
      <c r="E1756" t="s">
        <v>760</v>
      </c>
    </row>
    <row r="1757" spans="8:8">
      <c r="B1757" t="s">
        <v>2967</v>
      </c>
      <c r="C1757">
        <v>513295.0</v>
      </c>
      <c r="D1757" t="s">
        <v>339</v>
      </c>
      <c r="E1757" t="s">
        <v>371</v>
      </c>
    </row>
    <row r="1758" spans="8:8">
      <c r="B1758" t="s">
        <v>2968</v>
      </c>
      <c r="C1758">
        <v>517571.0</v>
      </c>
      <c r="D1758" t="s">
        <v>2969</v>
      </c>
      <c r="E1758" t="s">
        <v>382</v>
      </c>
    </row>
    <row r="1759" spans="8:8">
      <c r="B1759" t="s">
        <v>2970</v>
      </c>
      <c r="C1759">
        <v>532614.0</v>
      </c>
      <c r="D1759" t="s">
        <v>2971</v>
      </c>
      <c r="E1759" t="s">
        <v>371</v>
      </c>
    </row>
    <row r="1760" spans="8:8">
      <c r="B1760" t="s">
        <v>2972</v>
      </c>
      <c r="C1760">
        <v>531129.0</v>
      </c>
      <c r="D1760" t="s">
        <v>339</v>
      </c>
      <c r="E1760" t="s">
        <v>867</v>
      </c>
    </row>
    <row r="1761" spans="8:8">
      <c r="B1761" t="s">
        <v>2973</v>
      </c>
      <c r="C1761">
        <v>531672.0</v>
      </c>
      <c r="D1761" t="s">
        <v>339</v>
      </c>
      <c r="E1761" t="s">
        <v>322</v>
      </c>
    </row>
    <row r="1762" spans="8:8">
      <c r="B1762" t="s">
        <v>2974</v>
      </c>
      <c r="C1762">
        <v>517370.0</v>
      </c>
      <c r="D1762" t="s">
        <v>339</v>
      </c>
      <c r="E1762" t="s">
        <v>637</v>
      </c>
    </row>
    <row r="1763" spans="8:8">
      <c r="B1763" t="s">
        <v>2975</v>
      </c>
      <c r="C1763">
        <v>538541.0</v>
      </c>
      <c r="D1763" t="s">
        <v>339</v>
      </c>
      <c r="E1763" t="s">
        <v>361</v>
      </c>
    </row>
    <row r="1764" spans="8:8">
      <c r="B1764" t="s">
        <v>2976</v>
      </c>
      <c r="C1764">
        <v>531594.0</v>
      </c>
      <c r="D1764" t="s">
        <v>339</v>
      </c>
      <c r="E1764" t="s">
        <v>347</v>
      </c>
    </row>
    <row r="1765" spans="8:8">
      <c r="B1765" t="s">
        <v>2977</v>
      </c>
      <c r="C1765">
        <v>523465.0</v>
      </c>
      <c r="D1765" t="s">
        <v>339</v>
      </c>
      <c r="E1765" t="s">
        <v>397</v>
      </c>
    </row>
    <row r="1766" spans="8:8">
      <c r="B1766" t="s">
        <v>2978</v>
      </c>
      <c r="C1766">
        <v>536709.0</v>
      </c>
      <c r="D1766" t="s">
        <v>339</v>
      </c>
      <c r="E1766" t="s">
        <v>478</v>
      </c>
    </row>
    <row r="1767" spans="8:8">
      <c r="B1767" t="s">
        <v>2979</v>
      </c>
      <c r="C1767">
        <v>509162.0</v>
      </c>
      <c r="D1767" t="s">
        <v>339</v>
      </c>
      <c r="E1767" t="s">
        <v>819</v>
      </c>
    </row>
    <row r="1768" spans="8:8">
      <c r="B1768" t="s">
        <v>2980</v>
      </c>
      <c r="C1768">
        <v>517077.0</v>
      </c>
      <c r="D1768" t="s">
        <v>339</v>
      </c>
      <c r="E1768" t="s">
        <v>361</v>
      </c>
    </row>
    <row r="1769" spans="8:8">
      <c r="B1769" t="s">
        <v>2981</v>
      </c>
      <c r="C1769">
        <v>511473.0</v>
      </c>
      <c r="D1769" t="s">
        <v>2982</v>
      </c>
      <c r="E1769" t="s">
        <v>322</v>
      </c>
    </row>
    <row r="1770" spans="8:8">
      <c r="B1770" t="s">
        <v>2983</v>
      </c>
      <c r="C1770">
        <v>531505.0</v>
      </c>
      <c r="D1770" t="s">
        <v>339</v>
      </c>
      <c r="E1770" t="s">
        <v>356</v>
      </c>
    </row>
    <row r="1771" spans="8:8">
      <c r="B1771" t="s">
        <v>2984</v>
      </c>
      <c r="C1771">
        <v>511355.0</v>
      </c>
      <c r="D1771" t="s">
        <v>339</v>
      </c>
      <c r="E1771" t="s">
        <v>356</v>
      </c>
    </row>
    <row r="1772" spans="8:8">
      <c r="B1772" t="s">
        <v>2985</v>
      </c>
      <c r="C1772">
        <v>535667.0</v>
      </c>
      <c r="D1772" t="s">
        <v>339</v>
      </c>
      <c r="E1772" t="s">
        <v>356</v>
      </c>
    </row>
    <row r="1773" spans="8:8">
      <c r="B1773" t="s">
        <v>2986</v>
      </c>
      <c r="C1773">
        <v>531253.0</v>
      </c>
      <c r="D1773" t="s">
        <v>339</v>
      </c>
      <c r="E1773" t="s">
        <v>499</v>
      </c>
    </row>
    <row r="1774" spans="8:8">
      <c r="B1774" t="s">
        <v>2987</v>
      </c>
      <c r="C1774">
        <v>500201.0</v>
      </c>
      <c r="D1774" t="s">
        <v>2988</v>
      </c>
      <c r="E1774" t="s">
        <v>387</v>
      </c>
    </row>
    <row r="1775" spans="8:8">
      <c r="B1775" t="s">
        <v>2989</v>
      </c>
      <c r="C1775">
        <v>540152.0</v>
      </c>
      <c r="D1775" t="s">
        <v>339</v>
      </c>
      <c r="E1775" t="s">
        <v>425</v>
      </c>
    </row>
    <row r="1776" spans="8:8">
      <c r="B1776" t="s">
        <v>2990</v>
      </c>
      <c r="C1776">
        <v>540565.0</v>
      </c>
      <c r="D1776" t="s">
        <v>2991</v>
      </c>
      <c r="E1776" t="s">
        <v>359</v>
      </c>
    </row>
    <row r="1777" spans="8:8">
      <c r="B1777" t="s">
        <v>2992</v>
      </c>
      <c r="C1777">
        <v>530979.0</v>
      </c>
      <c r="D1777" t="s">
        <v>339</v>
      </c>
      <c r="E1777" t="s">
        <v>397</v>
      </c>
    </row>
    <row r="1778" spans="8:8">
      <c r="B1778" t="s">
        <v>2993</v>
      </c>
      <c r="C1778">
        <v>531343.0</v>
      </c>
      <c r="D1778" t="s">
        <v>339</v>
      </c>
      <c r="E1778" t="s">
        <v>760</v>
      </c>
    </row>
    <row r="1779" spans="8:8">
      <c r="B1779" t="s">
        <v>2994</v>
      </c>
      <c r="C1779">
        <v>590065.0</v>
      </c>
      <c r="D1779" t="s">
        <v>2995</v>
      </c>
      <c r="E1779" t="s">
        <v>361</v>
      </c>
    </row>
    <row r="1780" spans="8:8">
      <c r="B1780" t="s">
        <v>2996</v>
      </c>
      <c r="C1780">
        <v>532240.0</v>
      </c>
      <c r="D1780" t="s">
        <v>2997</v>
      </c>
      <c r="E1780" t="s">
        <v>694</v>
      </c>
    </row>
    <row r="1781" spans="8:8">
      <c r="B1781" t="s">
        <v>2998</v>
      </c>
      <c r="C1781">
        <v>513361.0</v>
      </c>
      <c r="D1781" t="s">
        <v>339</v>
      </c>
      <c r="E1781" t="s">
        <v>371</v>
      </c>
    </row>
    <row r="1782" spans="8:8">
      <c r="B1782" t="s">
        <v>2999</v>
      </c>
      <c r="C1782">
        <v>532189.0</v>
      </c>
      <c r="D1782" t="s">
        <v>3000</v>
      </c>
      <c r="E1782" t="s">
        <v>540</v>
      </c>
    </row>
    <row r="1783" spans="8:8">
      <c r="B1783" t="s">
        <v>3001</v>
      </c>
      <c r="C1783">
        <v>535789.0</v>
      </c>
      <c r="D1783" t="s">
        <v>3002</v>
      </c>
      <c r="E1783" t="s">
        <v>397</v>
      </c>
    </row>
    <row r="1784" spans="8:8">
      <c r="B1784" t="s">
        <v>3003</v>
      </c>
      <c r="C1784">
        <v>533520.0</v>
      </c>
      <c r="D1784" t="s">
        <v>3004</v>
      </c>
      <c r="E1784" t="s">
        <v>361</v>
      </c>
    </row>
    <row r="1785" spans="8:8">
      <c r="B1785" t="s">
        <v>3005</v>
      </c>
      <c r="C1785">
        <v>532832.0</v>
      </c>
      <c r="D1785" t="s">
        <v>3006</v>
      </c>
      <c r="E1785" t="s">
        <v>425</v>
      </c>
    </row>
    <row r="1786" spans="8:8">
      <c r="B1786" t="s">
        <v>3007</v>
      </c>
      <c r="C1786">
        <v>532960.0</v>
      </c>
      <c r="D1786" t="s">
        <v>3008</v>
      </c>
      <c r="E1786" t="s">
        <v>322</v>
      </c>
    </row>
    <row r="1787" spans="8:8">
      <c r="B1787" t="s">
        <v>3009</v>
      </c>
      <c r="C1787">
        <v>514165.0</v>
      </c>
      <c r="D1787" t="s">
        <v>339</v>
      </c>
      <c r="E1787" t="s">
        <v>716</v>
      </c>
    </row>
    <row r="1788" spans="8:8">
      <c r="B1788" t="s">
        <v>3010</v>
      </c>
      <c r="C1788">
        <v>532814.0</v>
      </c>
      <c r="D1788" t="s">
        <v>3011</v>
      </c>
      <c r="E1788" t="s">
        <v>657</v>
      </c>
    </row>
    <row r="1789" spans="8:8">
      <c r="B1789" t="s">
        <v>3012</v>
      </c>
      <c r="C1789">
        <v>504731.0</v>
      </c>
      <c r="D1789" t="s">
        <v>339</v>
      </c>
      <c r="E1789" t="s">
        <v>371</v>
      </c>
    </row>
    <row r="1790" spans="8:8">
      <c r="B1790" t="s">
        <v>3013</v>
      </c>
      <c r="C1790">
        <v>509692.0</v>
      </c>
      <c r="D1790" t="s">
        <v>3014</v>
      </c>
      <c r="E1790" t="s">
        <v>354</v>
      </c>
    </row>
    <row r="1791" spans="8:8">
      <c r="B1791" t="s">
        <v>3015</v>
      </c>
      <c r="C1791">
        <v>540750.0</v>
      </c>
      <c r="D1791" t="s">
        <v>3016</v>
      </c>
      <c r="E1791" t="s">
        <v>478</v>
      </c>
    </row>
    <row r="1792" spans="8:8">
      <c r="B1792" t="s">
        <v>3017</v>
      </c>
      <c r="C1792">
        <v>524614.0</v>
      </c>
      <c r="D1792" t="s">
        <v>339</v>
      </c>
      <c r="E1792" t="s">
        <v>419</v>
      </c>
    </row>
    <row r="1793" spans="8:8">
      <c r="B1793" t="s">
        <v>3018</v>
      </c>
      <c r="C1793">
        <v>504741.0</v>
      </c>
      <c r="D1793" t="s">
        <v>3019</v>
      </c>
      <c r="E1793" t="s">
        <v>352</v>
      </c>
    </row>
    <row r="1794" spans="8:8">
      <c r="B1794" t="s">
        <v>3020</v>
      </c>
      <c r="C1794">
        <v>509051.0</v>
      </c>
      <c r="D1794" t="s">
        <v>339</v>
      </c>
      <c r="E1794" t="s">
        <v>432</v>
      </c>
    </row>
    <row r="1795" spans="8:8">
      <c r="B1795" t="s">
        <v>3021</v>
      </c>
      <c r="C1795">
        <v>504746.0</v>
      </c>
      <c r="D1795" t="s">
        <v>339</v>
      </c>
      <c r="E1795" t="s">
        <v>1258</v>
      </c>
    </row>
    <row r="1796" spans="8:8">
      <c r="B1796" t="s">
        <v>3022</v>
      </c>
      <c r="C1796">
        <v>533047.0</v>
      </c>
      <c r="D1796" t="s">
        <v>3023</v>
      </c>
      <c r="E1796" t="s">
        <v>371</v>
      </c>
    </row>
    <row r="1797" spans="8:8">
      <c r="B1797" t="s">
        <v>3024</v>
      </c>
      <c r="C1797">
        <v>530965.0</v>
      </c>
      <c r="D1797" t="s">
        <v>3025</v>
      </c>
      <c r="E1797" t="s">
        <v>549</v>
      </c>
    </row>
    <row r="1798" spans="8:8">
      <c r="B1798" t="s">
        <v>3026</v>
      </c>
      <c r="C1798">
        <v>532388.0</v>
      </c>
      <c r="D1798" t="s">
        <v>3027</v>
      </c>
      <c r="E1798" t="s">
        <v>657</v>
      </c>
    </row>
    <row r="1799" spans="8:8">
      <c r="B1799" t="s">
        <v>3028</v>
      </c>
      <c r="C1799">
        <v>500319.0</v>
      </c>
      <c r="D1799" t="s">
        <v>339</v>
      </c>
      <c r="E1799" t="s">
        <v>1037</v>
      </c>
    </row>
    <row r="1800" spans="8:8">
      <c r="B1800" t="s">
        <v>3029</v>
      </c>
      <c r="C1800">
        <v>533329.0</v>
      </c>
      <c r="D1800" t="s">
        <v>3030</v>
      </c>
      <c r="E1800" t="s">
        <v>453</v>
      </c>
    </row>
    <row r="1801" spans="8:8">
      <c r="B1801" t="s">
        <v>3031</v>
      </c>
      <c r="C1801">
        <v>523586.0</v>
      </c>
      <c r="D1801" t="s">
        <v>339</v>
      </c>
      <c r="E1801" t="s">
        <v>499</v>
      </c>
    </row>
    <row r="1802" spans="8:8">
      <c r="B1802" t="s">
        <v>3032</v>
      </c>
      <c r="C1802">
        <v>501700.0</v>
      </c>
      <c r="D1802" t="s">
        <v>339</v>
      </c>
      <c r="E1802" t="s">
        <v>356</v>
      </c>
    </row>
    <row r="1803" spans="8:8">
      <c r="B1803" t="s">
        <v>3033</v>
      </c>
      <c r="C1803">
        <v>532745.0</v>
      </c>
      <c r="D1803" t="s">
        <v>339</v>
      </c>
      <c r="E1803" t="s">
        <v>322</v>
      </c>
    </row>
    <row r="1804" spans="8:8">
      <c r="B1804" t="s">
        <v>3034</v>
      </c>
      <c r="C1804">
        <v>524648.0</v>
      </c>
      <c r="D1804" t="s">
        <v>339</v>
      </c>
      <c r="E1804" t="s">
        <v>387</v>
      </c>
    </row>
    <row r="1805" spans="8:8">
      <c r="B1805" t="s">
        <v>3035</v>
      </c>
      <c r="C1805">
        <v>530747.0</v>
      </c>
      <c r="D1805" t="s">
        <v>339</v>
      </c>
      <c r="E1805" t="s">
        <v>356</v>
      </c>
    </row>
    <row r="1806" spans="8:8">
      <c r="B1806" t="s">
        <v>3036</v>
      </c>
      <c r="C1806">
        <v>524342.0</v>
      </c>
      <c r="D1806" t="s">
        <v>339</v>
      </c>
      <c r="E1806" t="s">
        <v>387</v>
      </c>
    </row>
    <row r="1807" spans="8:8">
      <c r="B1807" t="s">
        <v>3037</v>
      </c>
      <c r="C1807">
        <v>538838.0</v>
      </c>
      <c r="D1807" t="s">
        <v>339</v>
      </c>
      <c r="E1807" t="s">
        <v>354</v>
      </c>
    </row>
    <row r="1808" spans="8:8">
      <c r="B1808" t="s">
        <v>3038</v>
      </c>
      <c r="C1808">
        <v>521016.0</v>
      </c>
      <c r="D1808" t="s">
        <v>3039</v>
      </c>
      <c r="E1808" t="s">
        <v>354</v>
      </c>
    </row>
    <row r="1809" spans="8:8">
      <c r="B1809" t="s">
        <v>3040</v>
      </c>
      <c r="C1809">
        <v>526887.0</v>
      </c>
      <c r="D1809" t="s">
        <v>339</v>
      </c>
      <c r="E1809" t="s">
        <v>356</v>
      </c>
    </row>
    <row r="1810" spans="8:8">
      <c r="B1810" t="s">
        <v>3041</v>
      </c>
      <c r="C1810">
        <v>524458.0</v>
      </c>
      <c r="D1810" t="s">
        <v>339</v>
      </c>
      <c r="E1810" t="s">
        <v>499</v>
      </c>
    </row>
    <row r="1811" spans="8:8">
      <c r="B1811" t="s">
        <v>3042</v>
      </c>
      <c r="C1811">
        <v>506945.0</v>
      </c>
      <c r="D1811" t="s">
        <v>339</v>
      </c>
      <c r="E1811" t="s">
        <v>499</v>
      </c>
    </row>
    <row r="1812" spans="8:8">
      <c r="B1812" t="s">
        <v>3043</v>
      </c>
      <c r="C1812">
        <v>531565.0</v>
      </c>
      <c r="D1812" t="s">
        <v>339</v>
      </c>
      <c r="E1812" t="s">
        <v>425</v>
      </c>
    </row>
    <row r="1813" spans="8:8">
      <c r="B1813" t="s">
        <v>3044</v>
      </c>
      <c r="C1813">
        <v>500207.0</v>
      </c>
      <c r="D1813" t="s">
        <v>3045</v>
      </c>
      <c r="E1813" t="s">
        <v>354</v>
      </c>
    </row>
    <row r="1814" spans="8:8">
      <c r="B1814" t="s">
        <v>3046</v>
      </c>
      <c r="C1814">
        <v>500207.0</v>
      </c>
      <c r="D1814" t="s">
        <v>3045</v>
      </c>
      <c r="E1814" t="s">
        <v>354</v>
      </c>
    </row>
    <row r="1815" spans="8:8">
      <c r="B1815" t="s">
        <v>3047</v>
      </c>
      <c r="C1815">
        <v>532717.0</v>
      </c>
      <c r="D1815" t="s">
        <v>3048</v>
      </c>
      <c r="E1815" t="s">
        <v>382</v>
      </c>
    </row>
    <row r="1816" spans="8:8">
      <c r="B1816" t="s">
        <v>3049</v>
      </c>
      <c r="C1816">
        <v>533676.0</v>
      </c>
      <c r="D1816" t="s">
        <v>3050</v>
      </c>
      <c r="E1816" t="s">
        <v>322</v>
      </c>
    </row>
    <row r="1817" spans="8:8">
      <c r="B1817" t="s">
        <v>3051</v>
      </c>
      <c r="C1817">
        <v>541304.0</v>
      </c>
      <c r="D1817" t="s">
        <v>339</v>
      </c>
      <c r="E1817" t="s">
        <v>537</v>
      </c>
    </row>
    <row r="1818" spans="8:8">
      <c r="B1818" t="s">
        <v>3052</v>
      </c>
      <c r="C1818">
        <v>532100.0</v>
      </c>
      <c r="D1818" t="s">
        <v>339</v>
      </c>
      <c r="E1818" t="s">
        <v>432</v>
      </c>
    </row>
    <row r="1819" spans="8:8">
      <c r="B1819" t="s">
        <v>3053</v>
      </c>
      <c r="C1819">
        <v>532612.0</v>
      </c>
      <c r="D1819" t="s">
        <v>3054</v>
      </c>
      <c r="E1819" t="s">
        <v>377</v>
      </c>
    </row>
    <row r="1820" spans="8:8">
      <c r="B1820" t="s">
        <v>3055</v>
      </c>
      <c r="C1820">
        <v>539433.0</v>
      </c>
      <c r="D1820" t="s">
        <v>339</v>
      </c>
      <c r="E1820" t="s">
        <v>809</v>
      </c>
    </row>
    <row r="1821" spans="8:8">
      <c r="B1821" t="s">
        <v>3056</v>
      </c>
      <c r="C1821">
        <v>504092.0</v>
      </c>
      <c r="D1821" t="s">
        <v>339</v>
      </c>
      <c r="E1821" t="s">
        <v>499</v>
      </c>
    </row>
    <row r="1822" spans="8:8">
      <c r="B1822" t="s">
        <v>3057</v>
      </c>
      <c r="C1822">
        <v>504058.0</v>
      </c>
      <c r="D1822" t="s">
        <v>3058</v>
      </c>
      <c r="E1822" t="s">
        <v>885</v>
      </c>
    </row>
    <row r="1823" spans="8:8">
      <c r="B1823" t="s">
        <v>3059</v>
      </c>
      <c r="C1823">
        <v>533257.0</v>
      </c>
      <c r="D1823" t="s">
        <v>3060</v>
      </c>
      <c r="E1823" t="s">
        <v>637</v>
      </c>
    </row>
    <row r="1824" spans="8:8">
      <c r="B1824" t="s">
        <v>3061</v>
      </c>
      <c r="C1824">
        <v>541336.0</v>
      </c>
      <c r="D1824" t="s">
        <v>3062</v>
      </c>
      <c r="E1824" t="s">
        <v>356</v>
      </c>
    </row>
    <row r="1825" spans="8:8">
      <c r="B1825" t="s">
        <v>3063</v>
      </c>
      <c r="C1825">
        <v>521005.0</v>
      </c>
      <c r="D1825" t="s">
        <v>339</v>
      </c>
      <c r="E1825" t="s">
        <v>354</v>
      </c>
    </row>
    <row r="1826" spans="8:8">
      <c r="B1826" t="s">
        <v>3064</v>
      </c>
      <c r="C1826">
        <v>532894.0</v>
      </c>
      <c r="D1826" t="s">
        <v>3065</v>
      </c>
      <c r="E1826" t="s">
        <v>478</v>
      </c>
    </row>
    <row r="1827" spans="8:8">
      <c r="B1827" t="s">
        <v>3066</v>
      </c>
      <c r="C1827">
        <v>539175.0</v>
      </c>
      <c r="D1827" t="s">
        <v>339</v>
      </c>
      <c r="E1827" t="s">
        <v>847</v>
      </c>
    </row>
    <row r="1828" spans="8:8">
      <c r="B1828" t="s">
        <v>3067</v>
      </c>
      <c r="C1828">
        <v>532514.0</v>
      </c>
      <c r="D1828" t="s">
        <v>3068</v>
      </c>
      <c r="E1828" t="s">
        <v>364</v>
      </c>
    </row>
    <row r="1829" spans="8:8">
      <c r="B1829" t="s">
        <v>3069</v>
      </c>
      <c r="C1829">
        <v>532150.0</v>
      </c>
      <c r="D1829" t="s">
        <v>3070</v>
      </c>
      <c r="E1829" t="s">
        <v>809</v>
      </c>
    </row>
    <row r="1830" spans="8:8">
      <c r="B1830" t="s">
        <v>3071</v>
      </c>
      <c r="C1830">
        <v>526445.0</v>
      </c>
      <c r="D1830" t="s">
        <v>3072</v>
      </c>
      <c r="E1830" t="s">
        <v>537</v>
      </c>
    </row>
    <row r="1831" spans="8:8">
      <c r="B1831" t="s">
        <v>3073</v>
      </c>
      <c r="C1831">
        <v>522165.0</v>
      </c>
      <c r="D1831" t="s">
        <v>339</v>
      </c>
      <c r="E1831" t="s">
        <v>371</v>
      </c>
    </row>
    <row r="1832" spans="8:8">
      <c r="B1832" t="s">
        <v>3074</v>
      </c>
      <c r="C1832">
        <v>503639.0</v>
      </c>
      <c r="D1832" t="s">
        <v>339</v>
      </c>
      <c r="E1832" t="s">
        <v>760</v>
      </c>
    </row>
    <row r="1833" spans="8:8">
      <c r="B1833" t="s">
        <v>3075</v>
      </c>
      <c r="C1833">
        <v>532305.0</v>
      </c>
      <c r="D1833" t="s">
        <v>3076</v>
      </c>
      <c r="E1833" t="s">
        <v>377</v>
      </c>
    </row>
    <row r="1834" spans="8:8">
      <c r="B1834" t="s">
        <v>3077</v>
      </c>
      <c r="C1834">
        <v>524652.0</v>
      </c>
      <c r="D1834" t="s">
        <v>3078</v>
      </c>
      <c r="E1834" t="s">
        <v>377</v>
      </c>
    </row>
    <row r="1835" spans="8:8">
      <c r="B1835" t="s">
        <v>3079</v>
      </c>
      <c r="C1835">
        <v>532001.0</v>
      </c>
      <c r="D1835" t="s">
        <v>339</v>
      </c>
      <c r="E1835" t="s">
        <v>371</v>
      </c>
    </row>
    <row r="1836" spans="8:8">
      <c r="B1836" t="s">
        <v>3080</v>
      </c>
      <c r="C1836">
        <v>531841.0</v>
      </c>
      <c r="D1836" t="s">
        <v>339</v>
      </c>
      <c r="E1836" t="s">
        <v>356</v>
      </c>
    </row>
    <row r="1837" spans="8:8">
      <c r="B1837" t="s">
        <v>3081</v>
      </c>
      <c r="C1837">
        <v>532187.0</v>
      </c>
      <c r="D1837" t="s">
        <v>3082</v>
      </c>
      <c r="E1837" t="s">
        <v>657</v>
      </c>
    </row>
    <row r="1838" spans="8:8">
      <c r="B1838" t="s">
        <v>3083</v>
      </c>
      <c r="C1838">
        <v>501298.0</v>
      </c>
      <c r="D1838" t="s">
        <v>339</v>
      </c>
      <c r="E1838" t="s">
        <v>359</v>
      </c>
    </row>
    <row r="1839" spans="8:8">
      <c r="B1839" t="s">
        <v>3084</v>
      </c>
      <c r="C1839">
        <v>501295.0</v>
      </c>
      <c r="D1839" t="s">
        <v>3085</v>
      </c>
      <c r="E1839" t="s">
        <v>356</v>
      </c>
    </row>
    <row r="1840" spans="8:8">
      <c r="B1840" t="s">
        <v>3086</v>
      </c>
      <c r="C1840">
        <v>506222.0</v>
      </c>
      <c r="D1840" t="s">
        <v>3087</v>
      </c>
      <c r="E1840" t="s">
        <v>499</v>
      </c>
    </row>
    <row r="1841" spans="8:8">
      <c r="B1841" t="s">
        <v>3088</v>
      </c>
      <c r="C1841">
        <v>506222.0</v>
      </c>
      <c r="D1841" t="s">
        <v>3087</v>
      </c>
      <c r="E1841" t="s">
        <v>499</v>
      </c>
    </row>
    <row r="1842" spans="8:8">
      <c r="B1842" t="s">
        <v>3089</v>
      </c>
      <c r="C1842">
        <v>512025.0</v>
      </c>
      <c r="D1842" t="s">
        <v>339</v>
      </c>
      <c r="E1842" t="s">
        <v>760</v>
      </c>
    </row>
    <row r="1843" spans="8:8">
      <c r="B1843" t="s">
        <v>3090</v>
      </c>
      <c r="C1843">
        <v>539807.0</v>
      </c>
      <c r="D1843" t="s">
        <v>3091</v>
      </c>
      <c r="E1843" t="s">
        <v>345</v>
      </c>
    </row>
    <row r="1844" spans="8:8">
      <c r="B1844" t="s">
        <v>3092</v>
      </c>
      <c r="C1844">
        <v>533154.0</v>
      </c>
      <c r="D1844" t="s">
        <v>3093</v>
      </c>
      <c r="E1844" t="s">
        <v>325</v>
      </c>
    </row>
    <row r="1845" spans="8:8">
      <c r="B1845" t="s">
        <v>3094</v>
      </c>
      <c r="C1845">
        <v>533154.0</v>
      </c>
      <c r="D1845" t="s">
        <v>3093</v>
      </c>
      <c r="E1845" t="s">
        <v>325</v>
      </c>
    </row>
    <row r="1846" spans="8:8">
      <c r="B1846" t="s">
        <v>3095</v>
      </c>
      <c r="C1846">
        <v>541083.0</v>
      </c>
      <c r="D1846" t="s">
        <v>339</v>
      </c>
      <c r="E1846" t="s">
        <v>1384</v>
      </c>
    </row>
    <row r="1847" spans="8:8">
      <c r="B1847" t="s">
        <v>3096</v>
      </c>
      <c r="C1847">
        <v>532777.0</v>
      </c>
      <c r="D1847" t="s">
        <v>3097</v>
      </c>
      <c r="E1847" t="s">
        <v>3098</v>
      </c>
    </row>
    <row r="1848" spans="8:8">
      <c r="B1848" t="s">
        <v>3099</v>
      </c>
      <c r="C1848">
        <v>532777.0</v>
      </c>
      <c r="D1848" t="s">
        <v>3097</v>
      </c>
      <c r="E1848" t="s">
        <v>3098</v>
      </c>
    </row>
    <row r="1849" spans="8:8">
      <c r="B1849" t="s">
        <v>3100</v>
      </c>
      <c r="C1849" t="s">
        <v>339</v>
      </c>
      <c r="D1849" t="s">
        <v>3101</v>
      </c>
      <c r="E1849" t="s">
        <v>350</v>
      </c>
    </row>
    <row r="1850" spans="8:8">
      <c r="B1850" t="s">
        <v>3102</v>
      </c>
      <c r="C1850">
        <v>504810.0</v>
      </c>
      <c r="D1850" t="s">
        <v>339</v>
      </c>
      <c r="E1850" t="s">
        <v>669</v>
      </c>
    </row>
    <row r="1851" spans="8:8">
      <c r="B1851" t="s">
        <v>3103</v>
      </c>
      <c r="C1851">
        <v>504810.0</v>
      </c>
      <c r="D1851" t="s">
        <v>339</v>
      </c>
      <c r="E1851" t="s">
        <v>669</v>
      </c>
    </row>
    <row r="1852" spans="8:8">
      <c r="B1852" t="s">
        <v>3104</v>
      </c>
      <c r="C1852">
        <v>500209.0</v>
      </c>
      <c r="D1852" t="s">
        <v>3105</v>
      </c>
      <c r="E1852" t="s">
        <v>325</v>
      </c>
    </row>
    <row r="1853" spans="8:8">
      <c r="B1853" t="s">
        <v>3106</v>
      </c>
      <c r="C1853">
        <v>530777.0</v>
      </c>
      <c r="D1853" t="s">
        <v>339</v>
      </c>
      <c r="E1853" t="s">
        <v>459</v>
      </c>
    </row>
    <row r="1854" spans="8:8">
      <c r="B1854" t="s">
        <v>3107</v>
      </c>
      <c r="C1854">
        <v>537985.0</v>
      </c>
      <c r="D1854" t="s">
        <v>339</v>
      </c>
      <c r="E1854" t="s">
        <v>432</v>
      </c>
    </row>
    <row r="1855" spans="8:8">
      <c r="B1855" t="s">
        <v>3108</v>
      </c>
      <c r="C1855">
        <v>500210.0</v>
      </c>
      <c r="D1855" t="s">
        <v>3109</v>
      </c>
      <c r="E1855" t="s">
        <v>347</v>
      </c>
    </row>
    <row r="1856" spans="8:8">
      <c r="B1856" t="s">
        <v>3110</v>
      </c>
      <c r="C1856">
        <v>500210.0</v>
      </c>
      <c r="D1856" t="s">
        <v>3109</v>
      </c>
      <c r="E1856" t="s">
        <v>347</v>
      </c>
    </row>
    <row r="1857" spans="8:8">
      <c r="B1857" t="s">
        <v>3111</v>
      </c>
      <c r="C1857">
        <v>530787.0</v>
      </c>
      <c r="D1857" t="s">
        <v>339</v>
      </c>
      <c r="E1857" t="s">
        <v>2331</v>
      </c>
    </row>
    <row r="1858" spans="8:8">
      <c r="B1858" t="s">
        <v>3112</v>
      </c>
      <c r="C1858">
        <v>531929.0</v>
      </c>
      <c r="D1858" t="s">
        <v>3113</v>
      </c>
      <c r="E1858" t="s">
        <v>459</v>
      </c>
    </row>
    <row r="1859" spans="8:8">
      <c r="B1859" t="s">
        <v>3114</v>
      </c>
      <c r="C1859" t="s">
        <v>339</v>
      </c>
      <c r="D1859" t="s">
        <v>3115</v>
      </c>
      <c r="E1859" t="s">
        <v>350</v>
      </c>
    </row>
    <row r="1860" spans="8:8">
      <c r="B1860" t="s">
        <v>3116</v>
      </c>
      <c r="C1860">
        <v>533315.0</v>
      </c>
      <c r="D1860" t="s">
        <v>339</v>
      </c>
      <c r="E1860" t="s">
        <v>505</v>
      </c>
    </row>
    <row r="1861" spans="8:8">
      <c r="B1861" t="s">
        <v>3117</v>
      </c>
      <c r="C1861">
        <v>517433.0</v>
      </c>
      <c r="D1861" t="s">
        <v>339</v>
      </c>
      <c r="E1861" t="s">
        <v>325</v>
      </c>
    </row>
    <row r="1862" spans="8:8">
      <c r="B1862" t="s">
        <v>3118</v>
      </c>
      <c r="C1862">
        <v>541983.0</v>
      </c>
      <c r="D1862" t="s">
        <v>339</v>
      </c>
      <c r="E1862" t="s">
        <v>3119</v>
      </c>
    </row>
    <row r="1863" spans="8:8">
      <c r="B1863" t="s">
        <v>3120</v>
      </c>
      <c r="C1863">
        <v>541983.0</v>
      </c>
      <c r="D1863" t="s">
        <v>339</v>
      </c>
      <c r="E1863" t="s">
        <v>3119</v>
      </c>
    </row>
    <row r="1864" spans="8:8">
      <c r="B1864" t="s">
        <v>3121</v>
      </c>
      <c r="C1864">
        <v>523840.0</v>
      </c>
      <c r="D1864" t="s">
        <v>339</v>
      </c>
      <c r="E1864" t="s">
        <v>534</v>
      </c>
    </row>
    <row r="1865" spans="8:8">
      <c r="B1865" t="s">
        <v>3122</v>
      </c>
      <c r="C1865" t="s">
        <v>339</v>
      </c>
      <c r="D1865" t="s">
        <v>3123</v>
      </c>
      <c r="E1865" t="s">
        <v>350</v>
      </c>
    </row>
    <row r="1866" spans="8:8">
      <c r="B1866" t="s">
        <v>3124</v>
      </c>
      <c r="C1866">
        <v>541353.0</v>
      </c>
      <c r="D1866" t="s">
        <v>339</v>
      </c>
      <c r="E1866" t="s">
        <v>737</v>
      </c>
    </row>
    <row r="1867" spans="8:8">
      <c r="B1867" t="s">
        <v>3125</v>
      </c>
      <c r="C1867">
        <v>532706.0</v>
      </c>
      <c r="D1867" t="s">
        <v>3126</v>
      </c>
      <c r="E1867" t="s">
        <v>340</v>
      </c>
    </row>
    <row r="1868" spans="8:8">
      <c r="B1868" t="s">
        <v>3127</v>
      </c>
      <c r="C1868">
        <v>539083.0</v>
      </c>
      <c r="D1868" t="s">
        <v>3128</v>
      </c>
      <c r="E1868" t="s">
        <v>382</v>
      </c>
    </row>
    <row r="1869" spans="8:8">
      <c r="B1869" t="s">
        <v>3129</v>
      </c>
      <c r="C1869">
        <v>532851.0</v>
      </c>
      <c r="D1869" t="s">
        <v>3130</v>
      </c>
      <c r="E1869" t="s">
        <v>483</v>
      </c>
    </row>
    <row r="1870" spans="8:8">
      <c r="B1870" t="s">
        <v>3131</v>
      </c>
      <c r="C1870">
        <v>532851.0</v>
      </c>
      <c r="D1870" t="s">
        <v>3130</v>
      </c>
      <c r="E1870" t="s">
        <v>483</v>
      </c>
    </row>
    <row r="1871" spans="8:8">
      <c r="B1871" t="s">
        <v>3132</v>
      </c>
      <c r="C1871">
        <v>500211.0</v>
      </c>
      <c r="D1871" t="s">
        <v>339</v>
      </c>
      <c r="E1871" t="s">
        <v>524</v>
      </c>
    </row>
    <row r="1872" spans="8:8">
      <c r="B1872" t="s">
        <v>3133</v>
      </c>
      <c r="C1872">
        <v>532774.0</v>
      </c>
      <c r="D1872" t="s">
        <v>3134</v>
      </c>
      <c r="E1872" t="s">
        <v>325</v>
      </c>
    </row>
    <row r="1873" spans="8:8">
      <c r="B1873" t="s">
        <v>3135</v>
      </c>
      <c r="C1873">
        <v>526871.0</v>
      </c>
      <c r="D1873" t="s">
        <v>339</v>
      </c>
      <c r="E1873" t="s">
        <v>322</v>
      </c>
    </row>
    <row r="1874" spans="8:8">
      <c r="B1874" t="s">
        <v>3136</v>
      </c>
      <c r="C1874">
        <v>531314.0</v>
      </c>
      <c r="D1874" t="s">
        <v>3137</v>
      </c>
      <c r="E1874" t="s">
        <v>356</v>
      </c>
    </row>
    <row r="1875" spans="8:8">
      <c r="B1875" t="s">
        <v>3138</v>
      </c>
      <c r="C1875">
        <v>505358.0</v>
      </c>
      <c r="D1875" t="s">
        <v>339</v>
      </c>
      <c r="E1875" t="s">
        <v>347</v>
      </c>
    </row>
    <row r="1876" spans="8:8">
      <c r="B1876" t="s">
        <v>3139</v>
      </c>
      <c r="C1876">
        <v>505358.0</v>
      </c>
      <c r="D1876" t="s">
        <v>339</v>
      </c>
      <c r="E1876" t="s">
        <v>347</v>
      </c>
    </row>
    <row r="1877" spans="8:8">
      <c r="B1877" t="s">
        <v>3140</v>
      </c>
      <c r="C1877">
        <v>535958.0</v>
      </c>
      <c r="D1877" t="s">
        <v>3141</v>
      </c>
      <c r="E1877" t="s">
        <v>453</v>
      </c>
    </row>
    <row r="1878" spans="8:8">
      <c r="B1878" t="s">
        <v>3142</v>
      </c>
      <c r="C1878">
        <v>517423.0</v>
      </c>
      <c r="D1878" t="s">
        <v>339</v>
      </c>
      <c r="E1878" t="s">
        <v>637</v>
      </c>
    </row>
    <row r="1879" spans="8:8">
      <c r="B1879" t="s">
        <v>3143</v>
      </c>
      <c r="C1879">
        <v>536868.0</v>
      </c>
      <c r="D1879" t="s">
        <v>339</v>
      </c>
      <c r="E1879" t="s">
        <v>325</v>
      </c>
    </row>
    <row r="1880" spans="8:8">
      <c r="B1880" t="s">
        <v>3144</v>
      </c>
      <c r="C1880">
        <v>539149.0</v>
      </c>
      <c r="D1880" t="s">
        <v>339</v>
      </c>
      <c r="E1880" t="s">
        <v>423</v>
      </c>
    </row>
    <row r="1881" spans="8:8">
      <c r="B1881" t="s">
        <v>3145</v>
      </c>
      <c r="C1881">
        <v>500212.0</v>
      </c>
      <c r="D1881" t="s">
        <v>339</v>
      </c>
      <c r="E1881" t="s">
        <v>356</v>
      </c>
    </row>
    <row r="1882" spans="8:8">
      <c r="B1882" t="s">
        <v>3146</v>
      </c>
      <c r="C1882">
        <v>519606.0</v>
      </c>
      <c r="D1882" t="s">
        <v>339</v>
      </c>
      <c r="E1882" t="s">
        <v>588</v>
      </c>
    </row>
    <row r="1883" spans="8:8">
      <c r="B1883" t="s">
        <v>3147</v>
      </c>
      <c r="C1883">
        <v>531889.0</v>
      </c>
      <c r="D1883" t="s">
        <v>339</v>
      </c>
      <c r="E1883" t="s">
        <v>881</v>
      </c>
    </row>
    <row r="1884" spans="8:8">
      <c r="B1884" t="s">
        <v>3148</v>
      </c>
      <c r="C1884">
        <v>530921.0</v>
      </c>
      <c r="D1884" t="s">
        <v>339</v>
      </c>
      <c r="E1884" t="s">
        <v>459</v>
      </c>
    </row>
    <row r="1885" spans="8:8">
      <c r="B1885" t="s">
        <v>3149</v>
      </c>
      <c r="C1885">
        <v>538835.0</v>
      </c>
      <c r="D1885" t="s">
        <v>3150</v>
      </c>
      <c r="E1885" t="s">
        <v>432</v>
      </c>
    </row>
    <row r="1886" spans="8:8">
      <c r="B1886" t="s">
        <v>3151</v>
      </c>
      <c r="C1886">
        <v>534732.0</v>
      </c>
      <c r="D1886" t="s">
        <v>339</v>
      </c>
      <c r="E1886" t="s">
        <v>322</v>
      </c>
    </row>
    <row r="1887" spans="8:8">
      <c r="B1887" t="s">
        <v>3152</v>
      </c>
      <c r="C1887">
        <v>506134.0</v>
      </c>
      <c r="D1887" t="s">
        <v>339</v>
      </c>
      <c r="E1887" t="s">
        <v>459</v>
      </c>
    </row>
    <row r="1888" spans="8:8">
      <c r="B1888" t="s">
        <v>3153</v>
      </c>
      <c r="C1888">
        <v>532326.0</v>
      </c>
      <c r="D1888" t="s">
        <v>3154</v>
      </c>
      <c r="E1888" t="s">
        <v>432</v>
      </c>
    </row>
    <row r="1889" spans="8:8">
      <c r="B1889" t="s">
        <v>3155</v>
      </c>
      <c r="C1889">
        <v>511391.0</v>
      </c>
      <c r="D1889" t="s">
        <v>339</v>
      </c>
      <c r="E1889" t="s">
        <v>356</v>
      </c>
    </row>
    <row r="1890" spans="8:8">
      <c r="B1890" t="s">
        <v>3156</v>
      </c>
      <c r="C1890">
        <v>530259.0</v>
      </c>
      <c r="D1890" t="s">
        <v>339</v>
      </c>
      <c r="E1890" t="s">
        <v>411</v>
      </c>
    </row>
    <row r="1891" spans="8:8">
      <c r="B1891" t="s">
        <v>3157</v>
      </c>
      <c r="C1891">
        <v>539692.0</v>
      </c>
      <c r="D1891" t="s">
        <v>339</v>
      </c>
      <c r="E1891" t="s">
        <v>356</v>
      </c>
    </row>
    <row r="1892" spans="8:8">
      <c r="B1892" t="s">
        <v>3158</v>
      </c>
      <c r="C1892">
        <v>539448.0</v>
      </c>
      <c r="D1892" t="s">
        <v>3159</v>
      </c>
      <c r="E1892" t="s">
        <v>2476</v>
      </c>
    </row>
    <row r="1893" spans="8:8">
      <c r="B1893" t="s">
        <v>3160</v>
      </c>
      <c r="C1893">
        <v>526512.0</v>
      </c>
      <c r="D1893" t="s">
        <v>339</v>
      </c>
      <c r="E1893" t="s">
        <v>402</v>
      </c>
    </row>
    <row r="1894" spans="8:8">
      <c r="B1894" t="s">
        <v>3161</v>
      </c>
      <c r="C1894">
        <v>505737.0</v>
      </c>
      <c r="D1894" t="s">
        <v>339</v>
      </c>
      <c r="E1894" t="s">
        <v>347</v>
      </c>
    </row>
    <row r="1895" spans="8:8">
      <c r="B1895" t="s">
        <v>3162</v>
      </c>
      <c r="C1895">
        <v>505737.0</v>
      </c>
      <c r="D1895" t="s">
        <v>339</v>
      </c>
      <c r="E1895" t="s">
        <v>347</v>
      </c>
    </row>
    <row r="1896" spans="8:8">
      <c r="B1896" t="s">
        <v>3163</v>
      </c>
      <c r="C1896" t="s">
        <v>339</v>
      </c>
      <c r="D1896" t="s">
        <v>3164</v>
      </c>
      <c r="E1896" t="s">
        <v>430</v>
      </c>
    </row>
    <row r="1897" spans="8:8">
      <c r="B1897" t="s">
        <v>3165</v>
      </c>
      <c r="C1897">
        <v>509709.0</v>
      </c>
      <c r="D1897" t="s">
        <v>339</v>
      </c>
      <c r="E1897" t="s">
        <v>459</v>
      </c>
    </row>
    <row r="1898" spans="8:8">
      <c r="B1898" t="s">
        <v>3166</v>
      </c>
      <c r="C1898">
        <v>517044.0</v>
      </c>
      <c r="D1898" t="s">
        <v>339</v>
      </c>
      <c r="E1898" t="s">
        <v>423</v>
      </c>
    </row>
    <row r="1899" spans="8:8">
      <c r="B1899" t="s">
        <v>3167</v>
      </c>
      <c r="C1899">
        <v>530781.0</v>
      </c>
      <c r="D1899" t="s">
        <v>339</v>
      </c>
      <c r="E1899" t="s">
        <v>397</v>
      </c>
    </row>
    <row r="1900" spans="8:8">
      <c r="B1900" t="s">
        <v>3168</v>
      </c>
      <c r="C1900">
        <v>502330.0</v>
      </c>
      <c r="D1900" t="s">
        <v>3169</v>
      </c>
      <c r="E1900" t="s">
        <v>333</v>
      </c>
    </row>
    <row r="1901" spans="8:8">
      <c r="B1901" t="s">
        <v>3170</v>
      </c>
      <c r="C1901">
        <v>500213.0</v>
      </c>
      <c r="D1901" t="s">
        <v>339</v>
      </c>
      <c r="E1901" t="s">
        <v>1341</v>
      </c>
    </row>
    <row r="1902" spans="8:8">
      <c r="B1902" t="s">
        <v>3171</v>
      </c>
      <c r="C1902">
        <v>532072.0</v>
      </c>
      <c r="D1902" t="s">
        <v>339</v>
      </c>
      <c r="E1902" t="s">
        <v>342</v>
      </c>
    </row>
    <row r="1903" spans="8:8">
      <c r="B1903" t="s">
        <v>3172</v>
      </c>
      <c r="C1903">
        <v>533181.0</v>
      </c>
      <c r="D1903" t="s">
        <v>3173</v>
      </c>
      <c r="E1903" t="s">
        <v>3098</v>
      </c>
    </row>
    <row r="1904" spans="8:8">
      <c r="B1904" t="s">
        <v>3174</v>
      </c>
      <c r="C1904">
        <v>533506.0</v>
      </c>
      <c r="D1904" t="s">
        <v>3175</v>
      </c>
      <c r="E1904" t="s">
        <v>322</v>
      </c>
    </row>
    <row r="1905" spans="8:8">
      <c r="B1905" t="s">
        <v>3176</v>
      </c>
      <c r="C1905">
        <v>533172.0</v>
      </c>
      <c r="D1905" t="s">
        <v>3177</v>
      </c>
      <c r="E1905" t="s">
        <v>322</v>
      </c>
    </row>
    <row r="1906" spans="8:8">
      <c r="B1906" t="s">
        <v>3178</v>
      </c>
      <c r="C1906">
        <v>504786.0</v>
      </c>
      <c r="D1906" t="s">
        <v>339</v>
      </c>
      <c r="E1906" t="s">
        <v>1258</v>
      </c>
    </row>
    <row r="1907" spans="8:8">
      <c r="B1907" t="s">
        <v>3179</v>
      </c>
      <c r="C1907">
        <v>523844.0</v>
      </c>
      <c r="D1907" t="s">
        <v>339</v>
      </c>
      <c r="E1907" t="s">
        <v>1505</v>
      </c>
    </row>
    <row r="1908" spans="8:8">
      <c r="B1908" t="s">
        <v>3180</v>
      </c>
      <c r="C1908">
        <v>523752.0</v>
      </c>
      <c r="D1908" t="s">
        <v>339</v>
      </c>
      <c r="E1908" t="s">
        <v>347</v>
      </c>
    </row>
    <row r="1909" spans="8:8">
      <c r="B1909" t="s">
        <v>3181</v>
      </c>
      <c r="C1909">
        <v>524164.0</v>
      </c>
      <c r="D1909" t="s">
        <v>3182</v>
      </c>
      <c r="E1909" t="s">
        <v>377</v>
      </c>
    </row>
    <row r="1910" spans="8:8">
      <c r="B1910" t="s">
        <v>3183</v>
      </c>
      <c r="C1910">
        <v>500214.0</v>
      </c>
      <c r="D1910" t="s">
        <v>339</v>
      </c>
      <c r="E1910" t="s">
        <v>347</v>
      </c>
    </row>
    <row r="1911" spans="8:8">
      <c r="B1911" t="s">
        <v>3184</v>
      </c>
      <c r="C1911">
        <v>500214.0</v>
      </c>
      <c r="D1911" t="s">
        <v>339</v>
      </c>
      <c r="E1911" t="s">
        <v>347</v>
      </c>
    </row>
    <row r="1912" spans="8:8">
      <c r="B1912" t="s">
        <v>3185</v>
      </c>
      <c r="C1912">
        <v>523638.0</v>
      </c>
      <c r="D1912" t="s">
        <v>339</v>
      </c>
      <c r="E1912" t="s">
        <v>694</v>
      </c>
    </row>
    <row r="1913" spans="8:8">
      <c r="B1913" t="s">
        <v>3186</v>
      </c>
      <c r="C1913">
        <v>524494.0</v>
      </c>
      <c r="D1913" t="s">
        <v>3187</v>
      </c>
      <c r="E1913" t="s">
        <v>377</v>
      </c>
    </row>
    <row r="1914" spans="8:8">
      <c r="B1914" t="s">
        <v>3188</v>
      </c>
      <c r="C1914">
        <v>512405.0</v>
      </c>
      <c r="D1914" t="s">
        <v>339</v>
      </c>
      <c r="E1914" t="s">
        <v>345</v>
      </c>
    </row>
    <row r="1915" spans="8:8">
      <c r="B1915" t="s">
        <v>3189</v>
      </c>
      <c r="C1915">
        <v>512405.0</v>
      </c>
      <c r="D1915" t="s">
        <v>339</v>
      </c>
      <c r="E1915" t="s">
        <v>345</v>
      </c>
    </row>
    <row r="1916" spans="8:8">
      <c r="B1916" t="s">
        <v>3190</v>
      </c>
      <c r="C1916">
        <v>532947.0</v>
      </c>
      <c r="D1916" t="s">
        <v>3191</v>
      </c>
      <c r="E1916" t="s">
        <v>934</v>
      </c>
    </row>
    <row r="1917" spans="8:8">
      <c r="B1917" t="s">
        <v>3192</v>
      </c>
      <c r="C1917">
        <v>540526.0</v>
      </c>
      <c r="D1917" t="s">
        <v>3193</v>
      </c>
      <c r="E1917" t="s">
        <v>359</v>
      </c>
    </row>
    <row r="1918" spans="8:8">
      <c r="B1918" t="s">
        <v>3194</v>
      </c>
      <c r="C1918">
        <v>541956.0</v>
      </c>
      <c r="D1918" t="s">
        <v>3195</v>
      </c>
      <c r="E1918" t="s">
        <v>737</v>
      </c>
    </row>
    <row r="1919" spans="8:8">
      <c r="B1919" t="s">
        <v>3196</v>
      </c>
      <c r="C1919">
        <v>540735.0</v>
      </c>
      <c r="D1919" t="s">
        <v>339</v>
      </c>
      <c r="E1919" t="s">
        <v>432</v>
      </c>
    </row>
    <row r="1920" spans="8:8">
      <c r="B1920" t="s">
        <v>3197</v>
      </c>
      <c r="C1920" t="s">
        <v>339</v>
      </c>
      <c r="D1920" t="s">
        <v>3198</v>
      </c>
      <c r="E1920" t="s">
        <v>350</v>
      </c>
    </row>
    <row r="1921" spans="8:8">
      <c r="B1921" t="s">
        <v>3199</v>
      </c>
      <c r="C1921">
        <v>531337.0</v>
      </c>
      <c r="D1921" t="s">
        <v>339</v>
      </c>
      <c r="E1921" t="s">
        <v>322</v>
      </c>
    </row>
    <row r="1922" spans="8:8">
      <c r="B1922" t="s">
        <v>3200</v>
      </c>
      <c r="C1922">
        <v>526859.0</v>
      </c>
      <c r="D1922" t="s">
        <v>339</v>
      </c>
      <c r="E1922" t="s">
        <v>356</v>
      </c>
    </row>
    <row r="1923" spans="8:8">
      <c r="B1923" t="s">
        <v>3201</v>
      </c>
      <c r="C1923">
        <v>533033.0</v>
      </c>
      <c r="D1923" t="s">
        <v>339</v>
      </c>
      <c r="E1923" t="s">
        <v>347</v>
      </c>
    </row>
    <row r="1924" spans="8:8">
      <c r="B1924" t="s">
        <v>3202</v>
      </c>
      <c r="C1924">
        <v>540134.0</v>
      </c>
      <c r="D1924" t="s">
        <v>339</v>
      </c>
      <c r="E1924" t="s">
        <v>737</v>
      </c>
    </row>
    <row r="1925" spans="8:8">
      <c r="B1925" t="s">
        <v>3203</v>
      </c>
      <c r="C1925">
        <v>531109.0</v>
      </c>
      <c r="D1925" t="s">
        <v>339</v>
      </c>
      <c r="E1925" t="s">
        <v>499</v>
      </c>
    </row>
    <row r="1926" spans="8:8">
      <c r="B1926" t="s">
        <v>3204</v>
      </c>
      <c r="C1926">
        <v>524400.0</v>
      </c>
      <c r="D1926" t="s">
        <v>339</v>
      </c>
      <c r="E1926" t="s">
        <v>377</v>
      </c>
    </row>
    <row r="1927" spans="8:8">
      <c r="B1927" t="s">
        <v>3205</v>
      </c>
      <c r="C1927">
        <v>506161.0</v>
      </c>
      <c r="D1927" t="s">
        <v>339</v>
      </c>
      <c r="E1927" t="s">
        <v>356</v>
      </c>
    </row>
    <row r="1928" spans="8:8">
      <c r="B1928" t="s">
        <v>3206</v>
      </c>
      <c r="C1928">
        <v>511609.0</v>
      </c>
      <c r="D1928" t="s">
        <v>339</v>
      </c>
      <c r="E1928" t="s">
        <v>356</v>
      </c>
    </row>
    <row r="1929" spans="8:8">
      <c r="B1929" t="s">
        <v>3207</v>
      </c>
      <c r="C1929">
        <v>532479.0</v>
      </c>
      <c r="D1929" t="s">
        <v>3208</v>
      </c>
      <c r="E1929" t="s">
        <v>371</v>
      </c>
    </row>
    <row r="1930" spans="8:8">
      <c r="B1930" t="s">
        <v>3209</v>
      </c>
      <c r="C1930">
        <v>508807.0</v>
      </c>
      <c r="D1930" t="s">
        <v>339</v>
      </c>
      <c r="E1930" t="s">
        <v>694</v>
      </c>
    </row>
    <row r="1931" spans="8:8">
      <c r="B1931" t="s">
        <v>3210</v>
      </c>
      <c r="C1931">
        <v>524622.0</v>
      </c>
      <c r="D1931" t="s">
        <v>339</v>
      </c>
      <c r="E1931" t="s">
        <v>3098</v>
      </c>
    </row>
    <row r="1932" spans="8:8">
      <c r="B1932" t="s">
        <v>1043</v>
      </c>
      <c r="C1932">
        <v>500875.0</v>
      </c>
      <c r="D1932" t="s">
        <v>1044</v>
      </c>
      <c r="E1932" t="s">
        <v>2509</v>
      </c>
    </row>
    <row r="1933" spans="8:8">
      <c r="B1933" t="s">
        <v>3211</v>
      </c>
      <c r="C1933">
        <v>509496.0</v>
      </c>
      <c r="D1933" t="s">
        <v>3212</v>
      </c>
      <c r="E1933" t="s">
        <v>737</v>
      </c>
    </row>
    <row r="1934" spans="8:8">
      <c r="B1934" t="s">
        <v>3213</v>
      </c>
      <c r="C1934">
        <v>509496.0</v>
      </c>
      <c r="D1934" t="s">
        <v>3212</v>
      </c>
      <c r="E1934" t="s">
        <v>737</v>
      </c>
    </row>
    <row r="1935" spans="8:8">
      <c r="B1935" t="s">
        <v>3214</v>
      </c>
      <c r="C1935">
        <v>523610.0</v>
      </c>
      <c r="D1935" t="s">
        <v>3215</v>
      </c>
      <c r="E1935" t="s">
        <v>485</v>
      </c>
    </row>
    <row r="1936" spans="8:8">
      <c r="B1936" t="s">
        <v>3216</v>
      </c>
      <c r="C1936">
        <v>522183.0</v>
      </c>
      <c r="D1936" t="s">
        <v>339</v>
      </c>
      <c r="E1936" t="s">
        <v>347</v>
      </c>
    </row>
    <row r="1937" spans="8:8">
      <c r="B1937" t="s">
        <v>3217</v>
      </c>
      <c r="C1937">
        <v>507580.0</v>
      </c>
      <c r="D1937" t="s">
        <v>3218</v>
      </c>
      <c r="E1937" t="s">
        <v>387</v>
      </c>
    </row>
    <row r="1938" spans="8:8">
      <c r="B1938" t="s">
        <v>3219</v>
      </c>
      <c r="C1938">
        <v>530773.0</v>
      </c>
      <c r="D1938" t="s">
        <v>3220</v>
      </c>
      <c r="E1938" t="s">
        <v>737</v>
      </c>
    </row>
    <row r="1939" spans="8:8">
      <c r="B1939" t="s">
        <v>3221</v>
      </c>
      <c r="C1939">
        <v>522245.0</v>
      </c>
      <c r="D1939" t="s">
        <v>339</v>
      </c>
      <c r="E1939" t="s">
        <v>524</v>
      </c>
    </row>
    <row r="1940" spans="8:8">
      <c r="B1940" t="s">
        <v>3222</v>
      </c>
      <c r="C1940">
        <v>532341.0</v>
      </c>
      <c r="D1940" t="s">
        <v>3223</v>
      </c>
      <c r="E1940" t="s">
        <v>325</v>
      </c>
    </row>
    <row r="1941" spans="8:8">
      <c r="B1941" t="s">
        <v>3224</v>
      </c>
      <c r="C1941">
        <v>538539.0</v>
      </c>
      <c r="D1941" t="s">
        <v>339</v>
      </c>
      <c r="E1941" t="s">
        <v>359</v>
      </c>
    </row>
    <row r="1942" spans="8:8">
      <c r="B1942" t="s">
        <v>3225</v>
      </c>
      <c r="C1942">
        <v>530049.0</v>
      </c>
      <c r="D1942" t="s">
        <v>339</v>
      </c>
      <c r="E1942" t="s">
        <v>354</v>
      </c>
    </row>
    <row r="1943" spans="8:8">
      <c r="B1943" t="s">
        <v>3226</v>
      </c>
      <c r="C1943">
        <v>523062.0</v>
      </c>
      <c r="D1943" t="s">
        <v>339</v>
      </c>
      <c r="E1943" t="s">
        <v>356</v>
      </c>
    </row>
    <row r="1944" spans="8:8">
      <c r="B1944" t="s">
        <v>3227</v>
      </c>
      <c r="C1944">
        <v>532940.0</v>
      </c>
      <c r="D1944" t="s">
        <v>3228</v>
      </c>
      <c r="E1944" t="s">
        <v>737</v>
      </c>
    </row>
    <row r="1945" spans="8:8">
      <c r="B1945" t="s">
        <v>3229</v>
      </c>
      <c r="C1945">
        <v>506522.0</v>
      </c>
      <c r="D1945" t="s">
        <v>339</v>
      </c>
      <c r="E1945" t="s">
        <v>521</v>
      </c>
    </row>
    <row r="1946" spans="8:8">
      <c r="B1946" t="s">
        <v>3230</v>
      </c>
      <c r="C1946">
        <v>506522.0</v>
      </c>
      <c r="D1946" t="s">
        <v>339</v>
      </c>
      <c r="E1946" t="s">
        <v>521</v>
      </c>
    </row>
    <row r="1947" spans="8:8">
      <c r="B1947" t="s">
        <v>3231</v>
      </c>
      <c r="C1947">
        <v>530915.0</v>
      </c>
      <c r="D1947" t="s">
        <v>339</v>
      </c>
      <c r="E1947" t="s">
        <v>588</v>
      </c>
    </row>
    <row r="1948" spans="8:8">
      <c r="B1948" t="s">
        <v>3232</v>
      </c>
      <c r="C1948">
        <v>538422.0</v>
      </c>
      <c r="D1948" t="s">
        <v>339</v>
      </c>
      <c r="E1948" t="s">
        <v>359</v>
      </c>
    </row>
    <row r="1949" spans="8:8">
      <c r="B1949" t="s">
        <v>3233</v>
      </c>
      <c r="C1949">
        <v>530711.0</v>
      </c>
      <c r="D1949" t="s">
        <v>339</v>
      </c>
      <c r="E1949" t="s">
        <v>694</v>
      </c>
    </row>
    <row r="1950" spans="8:8">
      <c r="B1950" t="s">
        <v>3234</v>
      </c>
      <c r="C1950">
        <v>507155.0</v>
      </c>
      <c r="D1950" t="s">
        <v>339</v>
      </c>
      <c r="E1950" t="s">
        <v>970</v>
      </c>
    </row>
    <row r="1951" spans="8:8">
      <c r="B1951" t="s">
        <v>3235</v>
      </c>
      <c r="C1951">
        <v>532825.0</v>
      </c>
      <c r="D1951" t="s">
        <v>339</v>
      </c>
      <c r="E1951" t="s">
        <v>354</v>
      </c>
    </row>
    <row r="1952" spans="8:8">
      <c r="B1952" t="s">
        <v>3236</v>
      </c>
      <c r="C1952">
        <v>532705.0</v>
      </c>
      <c r="D1952" t="s">
        <v>3237</v>
      </c>
      <c r="E1952" t="s">
        <v>863</v>
      </c>
    </row>
    <row r="1953" spans="8:8">
      <c r="B1953" t="s">
        <v>3238</v>
      </c>
      <c r="C1953">
        <v>520139.0</v>
      </c>
      <c r="D1953" t="s">
        <v>339</v>
      </c>
      <c r="E1953" t="s">
        <v>2476</v>
      </c>
    </row>
    <row r="1954" spans="8:8">
      <c r="B1954" t="s">
        <v>3239</v>
      </c>
      <c r="C1954">
        <v>530601.0</v>
      </c>
      <c r="D1954" t="s">
        <v>339</v>
      </c>
      <c r="E1954" t="s">
        <v>356</v>
      </c>
    </row>
    <row r="1955" spans="8:8">
      <c r="B1955" t="s">
        <v>3240</v>
      </c>
      <c r="C1955">
        <v>507789.0</v>
      </c>
      <c r="D1955" t="s">
        <v>3241</v>
      </c>
      <c r="E1955" t="s">
        <v>377</v>
      </c>
    </row>
    <row r="1956" spans="8:8">
      <c r="B1956" t="s">
        <v>3242</v>
      </c>
      <c r="C1956">
        <v>532976.0</v>
      </c>
      <c r="D1956" t="s">
        <v>3243</v>
      </c>
      <c r="E1956" t="s">
        <v>371</v>
      </c>
    </row>
    <row r="1957" spans="8:8">
      <c r="B1957" t="s">
        <v>3244</v>
      </c>
      <c r="C1957">
        <v>512237.0</v>
      </c>
      <c r="D1957" t="s">
        <v>3245</v>
      </c>
      <c r="E1957" t="s">
        <v>371</v>
      </c>
    </row>
    <row r="1958" spans="8:8">
      <c r="B1958" t="s">
        <v>3246</v>
      </c>
      <c r="C1958">
        <v>523467.0</v>
      </c>
      <c r="D1958" t="s">
        <v>339</v>
      </c>
      <c r="E1958" t="s">
        <v>867</v>
      </c>
    </row>
    <row r="1959" spans="8:8">
      <c r="B1959" t="s">
        <v>3247</v>
      </c>
      <c r="C1959">
        <v>531339.0</v>
      </c>
      <c r="D1959" t="s">
        <v>3248</v>
      </c>
      <c r="E1959" t="s">
        <v>737</v>
      </c>
    </row>
    <row r="1960" spans="8:8">
      <c r="B1960" t="s">
        <v>3249</v>
      </c>
      <c r="C1960">
        <v>514312.0</v>
      </c>
      <c r="D1960" t="s">
        <v>339</v>
      </c>
      <c r="E1960" t="s">
        <v>354</v>
      </c>
    </row>
    <row r="1961" spans="8:8">
      <c r="B1961" t="s">
        <v>3250</v>
      </c>
      <c r="C1961">
        <v>500219.0</v>
      </c>
      <c r="D1961" t="s">
        <v>3251</v>
      </c>
      <c r="E1961" t="s">
        <v>459</v>
      </c>
    </row>
    <row r="1962" spans="8:8">
      <c r="B1962" t="s">
        <v>3250</v>
      </c>
      <c r="C1962">
        <v>570004.0</v>
      </c>
      <c r="D1962" t="s">
        <v>3252</v>
      </c>
      <c r="E1962" t="s">
        <v>459</v>
      </c>
    </row>
    <row r="1963" spans="8:8">
      <c r="B1963" t="s">
        <v>3253</v>
      </c>
      <c r="C1963">
        <v>539119.0</v>
      </c>
      <c r="D1963" t="s">
        <v>339</v>
      </c>
      <c r="E1963" t="s">
        <v>867</v>
      </c>
    </row>
    <row r="1964" spans="8:8">
      <c r="B1964" t="s">
        <v>3254</v>
      </c>
      <c r="C1964">
        <v>532033.0</v>
      </c>
      <c r="D1964" t="s">
        <v>3255</v>
      </c>
      <c r="E1964" t="s">
        <v>1077</v>
      </c>
    </row>
    <row r="1965" spans="8:8">
      <c r="B1965" t="s">
        <v>3256</v>
      </c>
      <c r="C1965">
        <v>526865.0</v>
      </c>
      <c r="D1965" t="s">
        <v>339</v>
      </c>
      <c r="E1965" t="s">
        <v>361</v>
      </c>
    </row>
    <row r="1966" spans="8:8">
      <c r="B1966" t="s">
        <v>3257</v>
      </c>
      <c r="C1966">
        <v>526865.0</v>
      </c>
      <c r="D1966" t="s">
        <v>339</v>
      </c>
      <c r="E1966" t="s">
        <v>361</v>
      </c>
    </row>
    <row r="1967" spans="8:8">
      <c r="B1967" t="s">
        <v>3258</v>
      </c>
      <c r="C1967">
        <v>505212.0</v>
      </c>
      <c r="D1967" t="s">
        <v>339</v>
      </c>
      <c r="E1967" t="s">
        <v>694</v>
      </c>
    </row>
    <row r="1968" spans="8:8">
      <c r="B1968" t="s">
        <v>3259</v>
      </c>
      <c r="C1968">
        <v>505840.0</v>
      </c>
      <c r="D1968" t="s">
        <v>339</v>
      </c>
      <c r="E1968" t="s">
        <v>1103</v>
      </c>
    </row>
    <row r="1969" spans="8:8">
      <c r="B1969" t="s">
        <v>3260</v>
      </c>
      <c r="C1969">
        <v>532532.0</v>
      </c>
      <c r="D1969" t="s">
        <v>3261</v>
      </c>
      <c r="E1969" t="s">
        <v>737</v>
      </c>
    </row>
    <row r="1970" spans="8:8">
      <c r="B1970" t="s">
        <v>3262</v>
      </c>
      <c r="C1970">
        <v>532627.0</v>
      </c>
      <c r="D1970" t="s">
        <v>3263</v>
      </c>
      <c r="E1970" t="s">
        <v>478</v>
      </c>
    </row>
    <row r="1971" spans="8:8">
      <c r="B1971" t="s">
        <v>3264</v>
      </c>
      <c r="C1971">
        <v>780001.0</v>
      </c>
      <c r="D1971" t="s">
        <v>339</v>
      </c>
      <c r="E1971" t="s">
        <v>430</v>
      </c>
    </row>
    <row r="1972" spans="8:8">
      <c r="B1972" t="s">
        <v>3265</v>
      </c>
      <c r="C1972" t="s">
        <v>339</v>
      </c>
      <c r="D1972" t="s">
        <v>3266</v>
      </c>
      <c r="E1972" t="s">
        <v>350</v>
      </c>
    </row>
    <row r="1973" spans="8:8">
      <c r="B1973" t="s">
        <v>3267</v>
      </c>
      <c r="C1973" t="s">
        <v>339</v>
      </c>
      <c r="D1973" t="s">
        <v>3268</v>
      </c>
      <c r="E1973" t="s">
        <v>350</v>
      </c>
    </row>
    <row r="1974" spans="8:8">
      <c r="B1974" t="s">
        <v>3269</v>
      </c>
      <c r="C1974" t="s">
        <v>339</v>
      </c>
      <c r="D1974" t="s">
        <v>3268</v>
      </c>
      <c r="E1974" t="s">
        <v>350</v>
      </c>
    </row>
    <row r="1975" spans="8:8">
      <c r="B1975" t="s">
        <v>3270</v>
      </c>
      <c r="C1975">
        <v>538564.0</v>
      </c>
      <c r="D1975" t="s">
        <v>339</v>
      </c>
      <c r="E1975" t="s">
        <v>746</v>
      </c>
    </row>
    <row r="1976" spans="8:8">
      <c r="B1976" t="s">
        <v>3271</v>
      </c>
      <c r="C1976">
        <v>520051.0</v>
      </c>
      <c r="D1976" t="s">
        <v>3272</v>
      </c>
      <c r="E1976" t="s">
        <v>694</v>
      </c>
    </row>
    <row r="1977" spans="8:8">
      <c r="B1977" t="s">
        <v>3273</v>
      </c>
      <c r="C1977">
        <v>502901.0</v>
      </c>
      <c r="D1977" t="s">
        <v>339</v>
      </c>
      <c r="E1977" t="s">
        <v>354</v>
      </c>
    </row>
    <row r="1978" spans="8:8">
      <c r="B1978" t="s">
        <v>3274</v>
      </c>
      <c r="C1978">
        <v>500220.0</v>
      </c>
      <c r="D1978" t="s">
        <v>339</v>
      </c>
      <c r="E1978" t="s">
        <v>354</v>
      </c>
    </row>
    <row r="1979" spans="8:8">
      <c r="B1979" t="s">
        <v>3275</v>
      </c>
      <c r="C1979">
        <v>540394.0</v>
      </c>
      <c r="D1979" t="s">
        <v>339</v>
      </c>
      <c r="E1979" t="s">
        <v>361</v>
      </c>
    </row>
    <row r="1980" spans="8:8">
      <c r="B1980" t="s">
        <v>3276</v>
      </c>
      <c r="C1980" t="s">
        <v>339</v>
      </c>
      <c r="D1980" t="s">
        <v>3277</v>
      </c>
      <c r="E1980" t="s">
        <v>350</v>
      </c>
    </row>
    <row r="1981" spans="8:8">
      <c r="B1981" t="s">
        <v>3278</v>
      </c>
      <c r="C1981">
        <v>514318.0</v>
      </c>
      <c r="D1981" t="s">
        <v>339</v>
      </c>
      <c r="E1981" t="s">
        <v>354</v>
      </c>
    </row>
    <row r="1982" spans="8:8">
      <c r="B1982" t="s">
        <v>3279</v>
      </c>
      <c r="C1982">
        <v>526001.0</v>
      </c>
      <c r="D1982" t="s">
        <v>339</v>
      </c>
      <c r="E1982" t="s">
        <v>534</v>
      </c>
    </row>
    <row r="1983" spans="8:8">
      <c r="B1983" t="s">
        <v>3280</v>
      </c>
      <c r="C1983">
        <v>520066.0</v>
      </c>
      <c r="D1983" t="s">
        <v>3281</v>
      </c>
      <c r="E1983" t="s">
        <v>694</v>
      </c>
    </row>
    <row r="1984" spans="8:8">
      <c r="B1984" t="s">
        <v>3282</v>
      </c>
      <c r="C1984">
        <v>509715.0</v>
      </c>
      <c r="D1984" t="s">
        <v>339</v>
      </c>
      <c r="E1984" t="s">
        <v>746</v>
      </c>
    </row>
    <row r="1985" spans="8:8">
      <c r="B1985" t="s">
        <v>3283</v>
      </c>
      <c r="C1985">
        <v>513252.0</v>
      </c>
      <c r="D1985" t="s">
        <v>339</v>
      </c>
      <c r="E1985" t="s">
        <v>694</v>
      </c>
    </row>
    <row r="1986" spans="8:8">
      <c r="B1986" t="s">
        <v>3284</v>
      </c>
      <c r="C1986">
        <v>524330.0</v>
      </c>
      <c r="D1986" t="s">
        <v>3285</v>
      </c>
      <c r="E1986" t="s">
        <v>499</v>
      </c>
    </row>
    <row r="1987" spans="8:8">
      <c r="B1987" t="s">
        <v>3286</v>
      </c>
      <c r="C1987">
        <v>522285.0</v>
      </c>
      <c r="D1987" t="s">
        <v>3287</v>
      </c>
      <c r="E1987" t="s">
        <v>371</v>
      </c>
    </row>
    <row r="1988" spans="8:8">
      <c r="B1988" t="s">
        <v>3288</v>
      </c>
      <c r="C1988">
        <v>539005.0</v>
      </c>
      <c r="D1988" t="s">
        <v>339</v>
      </c>
      <c r="E1988" t="s">
        <v>760</v>
      </c>
    </row>
    <row r="1989" spans="8:8">
      <c r="B1989" t="s">
        <v>3289</v>
      </c>
      <c r="C1989">
        <v>531323.0</v>
      </c>
      <c r="D1989" t="s">
        <v>339</v>
      </c>
      <c r="E1989" t="s">
        <v>354</v>
      </c>
    </row>
    <row r="1990" spans="8:8">
      <c r="B1990" t="s">
        <v>3290</v>
      </c>
      <c r="C1990">
        <v>512233.0</v>
      </c>
      <c r="D1990" t="s">
        <v>339</v>
      </c>
      <c r="E1990" t="s">
        <v>354</v>
      </c>
    </row>
    <row r="1991" spans="8:8">
      <c r="B1991" t="s">
        <v>3291</v>
      </c>
      <c r="C1991">
        <v>500306.0</v>
      </c>
      <c r="D1991" t="s">
        <v>339</v>
      </c>
      <c r="E1991" t="s">
        <v>356</v>
      </c>
    </row>
    <row r="1992" spans="8:8">
      <c r="B1992" t="s">
        <v>3292</v>
      </c>
      <c r="C1992">
        <v>533207.0</v>
      </c>
      <c r="D1992" t="s">
        <v>3293</v>
      </c>
      <c r="E1992" t="s">
        <v>934</v>
      </c>
    </row>
    <row r="1993" spans="8:8">
      <c r="B1993" t="s">
        <v>3294</v>
      </c>
      <c r="C1993">
        <v>506520.0</v>
      </c>
      <c r="D1993" t="s">
        <v>339</v>
      </c>
      <c r="E1993" t="s">
        <v>387</v>
      </c>
    </row>
    <row r="1994" spans="8:8">
      <c r="B1994" t="s">
        <v>3295</v>
      </c>
      <c r="C1994" t="s">
        <v>339</v>
      </c>
      <c r="D1994" t="s">
        <v>3296</v>
      </c>
      <c r="E1994" t="s">
        <v>430</v>
      </c>
    </row>
    <row r="1995" spans="8:8">
      <c r="B1995" t="s">
        <v>3297</v>
      </c>
      <c r="C1995">
        <v>506910.0</v>
      </c>
      <c r="D1995" t="s">
        <v>339</v>
      </c>
      <c r="E1995" t="s">
        <v>499</v>
      </c>
    </row>
    <row r="1996" spans="8:8">
      <c r="B1996" t="s">
        <v>3298</v>
      </c>
      <c r="C1996">
        <v>506910.0</v>
      </c>
      <c r="D1996" t="s">
        <v>339</v>
      </c>
      <c r="E1996" t="s">
        <v>499</v>
      </c>
    </row>
    <row r="1997" spans="8:8">
      <c r="B1997" t="s">
        <v>3299</v>
      </c>
      <c r="C1997">
        <v>506943.0</v>
      </c>
      <c r="D1997" t="s">
        <v>3300</v>
      </c>
      <c r="E1997" t="s">
        <v>377</v>
      </c>
    </row>
    <row r="1998" spans="8:8">
      <c r="B1998" t="s">
        <v>3301</v>
      </c>
      <c r="C1998">
        <v>514034.0</v>
      </c>
      <c r="D1998" t="s">
        <v>3302</v>
      </c>
      <c r="E1998" t="s">
        <v>716</v>
      </c>
    </row>
    <row r="1999" spans="8:8">
      <c r="B1999" t="s">
        <v>3303</v>
      </c>
      <c r="C1999">
        <v>532605.0</v>
      </c>
      <c r="D1999" t="s">
        <v>3304</v>
      </c>
      <c r="E1999" t="s">
        <v>694</v>
      </c>
    </row>
    <row r="2000" spans="8:8">
      <c r="B2000" t="s">
        <v>3305</v>
      </c>
      <c r="C2000">
        <v>500223.0</v>
      </c>
      <c r="D2000" t="s">
        <v>339</v>
      </c>
      <c r="E2000" t="s">
        <v>354</v>
      </c>
    </row>
    <row r="2001" spans="8:8">
      <c r="B2001" t="s">
        <v>3306</v>
      </c>
      <c r="C2001">
        <v>524592.0</v>
      </c>
      <c r="D2001" t="s">
        <v>339</v>
      </c>
      <c r="E2001" t="s">
        <v>499</v>
      </c>
    </row>
    <row r="2002" spans="8:8">
      <c r="B2002" t="s">
        <v>3307</v>
      </c>
      <c r="C2002">
        <v>538837.0</v>
      </c>
      <c r="D2002" t="s">
        <v>339</v>
      </c>
      <c r="E2002" t="s">
        <v>345</v>
      </c>
    </row>
    <row r="2003" spans="8:8">
      <c r="B2003" t="s">
        <v>3308</v>
      </c>
      <c r="C2003">
        <v>524731.0</v>
      </c>
      <c r="D2003" t="s">
        <v>339</v>
      </c>
      <c r="E2003" t="s">
        <v>377</v>
      </c>
    </row>
    <row r="2004" spans="8:8">
      <c r="B2004" t="s">
        <v>3309</v>
      </c>
      <c r="C2004">
        <v>532617.0</v>
      </c>
      <c r="D2004" t="s">
        <v>3310</v>
      </c>
      <c r="E2004" t="s">
        <v>2476</v>
      </c>
    </row>
    <row r="2005" spans="8:8">
      <c r="B2005" t="s">
        <v>3311</v>
      </c>
      <c r="C2005">
        <v>532617.0</v>
      </c>
      <c r="D2005" t="s">
        <v>3310</v>
      </c>
      <c r="E2005" t="s">
        <v>2476</v>
      </c>
    </row>
    <row r="2006" spans="8:8">
      <c r="B2006" t="s">
        <v>3312</v>
      </c>
      <c r="C2006" t="s">
        <v>339</v>
      </c>
      <c r="D2006" t="s">
        <v>3313</v>
      </c>
      <c r="E2006" t="s">
        <v>350</v>
      </c>
    </row>
    <row r="2007" spans="8:8">
      <c r="B2007" t="s">
        <v>3314</v>
      </c>
      <c r="C2007">
        <v>538794.0</v>
      </c>
      <c r="D2007" t="s">
        <v>339</v>
      </c>
      <c r="E2007" t="s">
        <v>425</v>
      </c>
    </row>
    <row r="2008" spans="8:8">
      <c r="B2008" t="s">
        <v>3315</v>
      </c>
      <c r="C2008" t="s">
        <v>339</v>
      </c>
      <c r="D2008" t="s">
        <v>3316</v>
      </c>
      <c r="E2008" t="s">
        <v>350</v>
      </c>
    </row>
    <row r="2009" spans="8:8">
      <c r="B2009" t="s">
        <v>3317</v>
      </c>
      <c r="C2009">
        <v>517063.0</v>
      </c>
      <c r="D2009" t="s">
        <v>339</v>
      </c>
      <c r="E2009" t="s">
        <v>824</v>
      </c>
    </row>
    <row r="2010" spans="8:8">
      <c r="B2010" t="s">
        <v>3318</v>
      </c>
      <c r="C2010">
        <v>540850.0</v>
      </c>
      <c r="D2010" t="s">
        <v>339</v>
      </c>
      <c r="E2010" t="s">
        <v>399</v>
      </c>
    </row>
    <row r="2011" spans="8:8">
      <c r="B2011" t="s">
        <v>3319</v>
      </c>
      <c r="C2011">
        <v>531550.0</v>
      </c>
      <c r="D2011" t="s">
        <v>339</v>
      </c>
      <c r="E2011" t="s">
        <v>322</v>
      </c>
    </row>
    <row r="2012" spans="8:8">
      <c r="B2012" t="s">
        <v>3320</v>
      </c>
      <c r="C2012">
        <v>532771.0</v>
      </c>
      <c r="D2012" t="s">
        <v>3321</v>
      </c>
      <c r="E2012" t="s">
        <v>521</v>
      </c>
    </row>
    <row r="2013" spans="8:8">
      <c r="B2013" t="s">
        <v>3322</v>
      </c>
      <c r="C2013">
        <v>540651.0</v>
      </c>
      <c r="D2013" t="s">
        <v>339</v>
      </c>
      <c r="E2013" t="s">
        <v>637</v>
      </c>
    </row>
    <row r="2014" spans="8:8">
      <c r="B2014" t="s">
        <v>3323</v>
      </c>
      <c r="C2014">
        <v>780019.0</v>
      </c>
      <c r="D2014" t="s">
        <v>339</v>
      </c>
      <c r="E2014" t="s">
        <v>430</v>
      </c>
    </row>
    <row r="2015" spans="8:8">
      <c r="B2015" t="s">
        <v>3324</v>
      </c>
      <c r="C2015">
        <v>511618.0</v>
      </c>
      <c r="D2015" t="s">
        <v>3325</v>
      </c>
      <c r="E2015" t="s">
        <v>361</v>
      </c>
    </row>
    <row r="2016" spans="8:8">
      <c r="B2016" t="s">
        <v>3326</v>
      </c>
      <c r="C2016">
        <v>542653.0</v>
      </c>
      <c r="D2016" t="s">
        <v>3327</v>
      </c>
      <c r="E2016" t="s">
        <v>895</v>
      </c>
    </row>
    <row r="2017" spans="8:8">
      <c r="B2017" t="s">
        <v>3328</v>
      </c>
      <c r="C2017">
        <v>530405.0</v>
      </c>
      <c r="D2017" t="s">
        <v>339</v>
      </c>
      <c r="E2017" t="s">
        <v>322</v>
      </c>
    </row>
    <row r="2018" spans="8:8">
      <c r="B2018" t="s">
        <v>3329</v>
      </c>
      <c r="C2018">
        <v>533103.0</v>
      </c>
      <c r="D2018" t="s">
        <v>3330</v>
      </c>
      <c r="E2018" t="s">
        <v>354</v>
      </c>
    </row>
    <row r="2019" spans="8:8">
      <c r="B2019" t="s">
        <v>3331</v>
      </c>
      <c r="C2019">
        <v>511034.0</v>
      </c>
      <c r="D2019" t="s">
        <v>3332</v>
      </c>
      <c r="E2019" t="s">
        <v>402</v>
      </c>
    </row>
    <row r="2020" spans="8:8">
      <c r="B2020" t="s">
        <v>3333</v>
      </c>
      <c r="C2020">
        <v>507981.0</v>
      </c>
      <c r="D2020" t="s">
        <v>339</v>
      </c>
      <c r="E2020" t="s">
        <v>540</v>
      </c>
    </row>
    <row r="2021" spans="8:8">
      <c r="B2021" t="s">
        <v>3334</v>
      </c>
      <c r="C2021">
        <v>539947.0</v>
      </c>
      <c r="D2021" t="s">
        <v>339</v>
      </c>
      <c r="E2021" t="s">
        <v>359</v>
      </c>
    </row>
    <row r="2022" spans="8:8">
      <c r="B2022" t="s">
        <v>3335</v>
      </c>
      <c r="C2022">
        <v>532624.0</v>
      </c>
      <c r="D2022" t="s">
        <v>3336</v>
      </c>
      <c r="E2022" t="s">
        <v>1577</v>
      </c>
    </row>
    <row r="2023" spans="8:8">
      <c r="B2023" t="s">
        <v>3337</v>
      </c>
      <c r="C2023">
        <v>500227.0</v>
      </c>
      <c r="D2023" t="s">
        <v>3338</v>
      </c>
      <c r="E2023" t="s">
        <v>387</v>
      </c>
    </row>
    <row r="2024" spans="8:8">
      <c r="B2024" t="s">
        <v>3339</v>
      </c>
      <c r="C2024">
        <v>536773.0</v>
      </c>
      <c r="D2024" t="s">
        <v>3340</v>
      </c>
      <c r="E2024" t="s">
        <v>322</v>
      </c>
    </row>
    <row r="2025" spans="8:8">
      <c r="B2025" t="s">
        <v>3341</v>
      </c>
      <c r="C2025">
        <v>500378.0</v>
      </c>
      <c r="D2025" t="s">
        <v>3342</v>
      </c>
      <c r="E2025" t="s">
        <v>737</v>
      </c>
    </row>
    <row r="2026" spans="8:8">
      <c r="B2026" t="s">
        <v>3343</v>
      </c>
      <c r="C2026">
        <v>539597.0</v>
      </c>
      <c r="D2026" t="s">
        <v>3344</v>
      </c>
      <c r="E2026" t="s">
        <v>662</v>
      </c>
    </row>
    <row r="2027" spans="8:8">
      <c r="B2027" t="s">
        <v>3345</v>
      </c>
      <c r="C2027">
        <v>532508.0</v>
      </c>
      <c r="D2027" t="s">
        <v>3346</v>
      </c>
      <c r="E2027" t="s">
        <v>371</v>
      </c>
    </row>
    <row r="2028" spans="8:8">
      <c r="B2028" t="s">
        <v>3347</v>
      </c>
      <c r="C2028">
        <v>532286.0</v>
      </c>
      <c r="D2028" t="s">
        <v>3348</v>
      </c>
      <c r="E2028" t="s">
        <v>371</v>
      </c>
    </row>
    <row r="2029" spans="8:8">
      <c r="B2029" t="s">
        <v>3349</v>
      </c>
      <c r="C2029">
        <v>531543.0</v>
      </c>
      <c r="D2029" t="s">
        <v>3350</v>
      </c>
      <c r="E2029" t="s">
        <v>354</v>
      </c>
    </row>
    <row r="2030" spans="8:8">
      <c r="B2030" t="s">
        <v>3351</v>
      </c>
      <c r="C2030">
        <v>540311.0</v>
      </c>
      <c r="D2030" t="s">
        <v>3352</v>
      </c>
      <c r="E2030" t="s">
        <v>462</v>
      </c>
    </row>
    <row r="2031" spans="8:8">
      <c r="B2031" t="s">
        <v>3353</v>
      </c>
      <c r="C2031">
        <v>539225.0</v>
      </c>
      <c r="D2031" t="s">
        <v>339</v>
      </c>
      <c r="E2031" t="s">
        <v>364</v>
      </c>
    </row>
    <row r="2032" spans="8:8">
      <c r="B2032" t="s">
        <v>3354</v>
      </c>
      <c r="C2032">
        <v>536493.0</v>
      </c>
      <c r="D2032" t="s">
        <v>339</v>
      </c>
      <c r="E2032" t="s">
        <v>537</v>
      </c>
    </row>
    <row r="2033" spans="8:8">
      <c r="B2033" t="s">
        <v>3355</v>
      </c>
      <c r="C2033">
        <v>532644.0</v>
      </c>
      <c r="D2033" t="s">
        <v>3356</v>
      </c>
      <c r="E2033" t="s">
        <v>352</v>
      </c>
    </row>
    <row r="2034" spans="8:8">
      <c r="B2034" t="s">
        <v>3357</v>
      </c>
      <c r="C2034">
        <v>500380.0</v>
      </c>
      <c r="D2034" t="s">
        <v>3358</v>
      </c>
      <c r="E2034" t="s">
        <v>352</v>
      </c>
    </row>
    <row r="2035" spans="8:8">
      <c r="B2035" t="s">
        <v>3359</v>
      </c>
      <c r="C2035">
        <v>532162.0</v>
      </c>
      <c r="D2035" t="s">
        <v>3360</v>
      </c>
      <c r="E2035" t="s">
        <v>333</v>
      </c>
    </row>
    <row r="2036" spans="8:8">
      <c r="B2036" t="s">
        <v>3361</v>
      </c>
      <c r="C2036">
        <v>530007.0</v>
      </c>
      <c r="D2036" t="s">
        <v>3362</v>
      </c>
      <c r="E2036" t="s">
        <v>819</v>
      </c>
    </row>
    <row r="2037" spans="8:8">
      <c r="B2037" t="s">
        <v>3363</v>
      </c>
      <c r="C2037">
        <v>538765.0</v>
      </c>
      <c r="D2037" t="s">
        <v>339</v>
      </c>
      <c r="E2037" t="s">
        <v>3098</v>
      </c>
    </row>
    <row r="2038" spans="8:8">
      <c r="B2038" t="s">
        <v>3364</v>
      </c>
      <c r="C2038">
        <v>523405.0</v>
      </c>
      <c r="D2038" t="s">
        <v>3365</v>
      </c>
      <c r="E2038" t="s">
        <v>505</v>
      </c>
    </row>
    <row r="2039" spans="8:8">
      <c r="B2039" t="s">
        <v>3366</v>
      </c>
      <c r="C2039">
        <v>522263.0</v>
      </c>
      <c r="D2039" t="s">
        <v>3367</v>
      </c>
      <c r="E2039" t="s">
        <v>737</v>
      </c>
    </row>
    <row r="2040" spans="8:8">
      <c r="B2040" t="s">
        <v>3368</v>
      </c>
      <c r="C2040">
        <v>522263.0</v>
      </c>
      <c r="D2040" t="s">
        <v>3367</v>
      </c>
      <c r="E2040" t="s">
        <v>737</v>
      </c>
    </row>
    <row r="2041" spans="8:8">
      <c r="B2041" t="s">
        <v>3369</v>
      </c>
      <c r="C2041">
        <v>511092.0</v>
      </c>
      <c r="D2041" t="s">
        <v>339</v>
      </c>
      <c r="E2041" t="s">
        <v>342</v>
      </c>
    </row>
    <row r="2042" spans="8:8">
      <c r="B2042" t="s">
        <v>3370</v>
      </c>
      <c r="C2042">
        <v>523712.0</v>
      </c>
      <c r="D2042" t="s">
        <v>339</v>
      </c>
      <c r="E2042" t="s">
        <v>459</v>
      </c>
    </row>
    <row r="2043" spans="8:8">
      <c r="B2043" t="s">
        <v>3371</v>
      </c>
      <c r="C2043">
        <v>513691.0</v>
      </c>
      <c r="D2043" t="s">
        <v>3372</v>
      </c>
      <c r="E2043" t="s">
        <v>694</v>
      </c>
    </row>
    <row r="2044" spans="8:8">
      <c r="B2044" t="s">
        <v>3373</v>
      </c>
      <c r="C2044" t="s">
        <v>339</v>
      </c>
      <c r="D2044" t="s">
        <v>3374</v>
      </c>
      <c r="E2044" t="s">
        <v>430</v>
      </c>
    </row>
    <row r="2045" spans="8:8">
      <c r="B2045" t="s">
        <v>3375</v>
      </c>
      <c r="C2045">
        <v>523398.0</v>
      </c>
      <c r="D2045" t="s">
        <v>3376</v>
      </c>
      <c r="E2045" t="s">
        <v>708</v>
      </c>
    </row>
    <row r="2046" spans="8:8">
      <c r="B2046" t="s">
        <v>3377</v>
      </c>
      <c r="C2046">
        <v>523398.0</v>
      </c>
      <c r="D2046" t="s">
        <v>3376</v>
      </c>
      <c r="E2046" t="s">
        <v>708</v>
      </c>
    </row>
    <row r="2047" spans="8:8">
      <c r="B2047" t="s">
        <v>3378</v>
      </c>
      <c r="C2047">
        <v>531861.0</v>
      </c>
      <c r="D2047" t="s">
        <v>339</v>
      </c>
      <c r="E2047" t="s">
        <v>322</v>
      </c>
    </row>
    <row r="2048" spans="8:8">
      <c r="B2048" t="s">
        <v>3379</v>
      </c>
      <c r="C2048">
        <v>534659.0</v>
      </c>
      <c r="D2048" t="s">
        <v>339</v>
      </c>
      <c r="E2048" t="s">
        <v>325</v>
      </c>
    </row>
    <row r="2049" spans="8:8">
      <c r="B2049" t="s">
        <v>3380</v>
      </c>
      <c r="C2049">
        <v>542446.0</v>
      </c>
      <c r="D2049" t="s">
        <v>3381</v>
      </c>
      <c r="E2049" t="s">
        <v>423</v>
      </c>
    </row>
    <row r="2050" spans="8:8">
      <c r="B2050" t="s">
        <v>3382</v>
      </c>
      <c r="C2050">
        <v>538092.0</v>
      </c>
      <c r="D2050" t="s">
        <v>339</v>
      </c>
      <c r="E2050" t="s">
        <v>746</v>
      </c>
    </row>
    <row r="2051" spans="8:8">
      <c r="B2051" t="s">
        <v>3383</v>
      </c>
      <c r="C2051">
        <v>505750.0</v>
      </c>
      <c r="D2051" t="s">
        <v>339</v>
      </c>
      <c r="E2051" t="s">
        <v>347</v>
      </c>
    </row>
    <row r="2052" spans="8:8">
      <c r="B2052" t="s">
        <v>3384</v>
      </c>
      <c r="C2052">
        <v>508929.0</v>
      </c>
      <c r="D2052" t="s">
        <v>339</v>
      </c>
      <c r="E2052" t="s">
        <v>425</v>
      </c>
    </row>
    <row r="2053" spans="8:8">
      <c r="B2053" t="s">
        <v>3385</v>
      </c>
      <c r="C2053">
        <v>530985.0</v>
      </c>
      <c r="D2053" t="s">
        <v>339</v>
      </c>
      <c r="E2053" t="s">
        <v>356</v>
      </c>
    </row>
    <row r="2054" spans="8:8">
      <c r="B2054" t="s">
        <v>3386</v>
      </c>
      <c r="C2054">
        <v>506016.0</v>
      </c>
      <c r="D2054" t="s">
        <v>339</v>
      </c>
      <c r="E2054" t="s">
        <v>737</v>
      </c>
    </row>
    <row r="2055" spans="8:8">
      <c r="B2055" t="s">
        <v>3387</v>
      </c>
      <c r="C2055">
        <v>504080.0</v>
      </c>
      <c r="D2055" t="s">
        <v>339</v>
      </c>
      <c r="E2055" t="s">
        <v>637</v>
      </c>
    </row>
    <row r="2056" spans="8:8">
      <c r="B2056" t="s">
        <v>3388</v>
      </c>
      <c r="C2056">
        <v>533148.0</v>
      </c>
      <c r="D2056" t="s">
        <v>3389</v>
      </c>
      <c r="E2056" t="s">
        <v>478</v>
      </c>
    </row>
    <row r="2057" spans="8:8">
      <c r="B2057" t="s">
        <v>3390</v>
      </c>
      <c r="C2057">
        <v>532642.0</v>
      </c>
      <c r="D2057" t="s">
        <v>3391</v>
      </c>
      <c r="E2057" t="s">
        <v>505</v>
      </c>
    </row>
    <row r="2058" spans="8:8">
      <c r="B2058" t="s">
        <v>3392</v>
      </c>
      <c r="C2058">
        <v>500228.0</v>
      </c>
      <c r="D2058" t="s">
        <v>3393</v>
      </c>
      <c r="E2058" t="s">
        <v>371</v>
      </c>
    </row>
    <row r="2059" spans="8:8">
      <c r="B2059" t="s">
        <v>3394</v>
      </c>
      <c r="C2059">
        <v>520057.0</v>
      </c>
      <c r="D2059" t="s">
        <v>3395</v>
      </c>
      <c r="E2059" t="s">
        <v>694</v>
      </c>
    </row>
    <row r="2060" spans="8:8">
      <c r="B2060" t="s">
        <v>3396</v>
      </c>
      <c r="C2060">
        <v>520057.0</v>
      </c>
      <c r="D2060" t="s">
        <v>3397</v>
      </c>
      <c r="E2060" t="s">
        <v>694</v>
      </c>
    </row>
    <row r="2061" spans="8:8">
      <c r="B2061" t="s">
        <v>3398</v>
      </c>
      <c r="C2061">
        <v>534600.0</v>
      </c>
      <c r="D2061" t="s">
        <v>339</v>
      </c>
      <c r="E2061" t="s">
        <v>662</v>
      </c>
    </row>
    <row r="2062" spans="8:8">
      <c r="B2062" t="s">
        <v>3399</v>
      </c>
      <c r="C2062">
        <v>533155.0</v>
      </c>
      <c r="D2062" t="s">
        <v>3400</v>
      </c>
      <c r="E2062" t="s">
        <v>828</v>
      </c>
    </row>
    <row r="2063" spans="8:8">
      <c r="B2063" t="s">
        <v>3401</v>
      </c>
      <c r="C2063">
        <v>533320.0</v>
      </c>
      <c r="D2063" t="s">
        <v>3402</v>
      </c>
      <c r="E2063" t="s">
        <v>483</v>
      </c>
    </row>
    <row r="2064" spans="8:8">
      <c r="B2064" t="s">
        <v>3403</v>
      </c>
      <c r="C2064">
        <v>530019.0</v>
      </c>
      <c r="D2064" t="s">
        <v>3404</v>
      </c>
      <c r="E2064" t="s">
        <v>377</v>
      </c>
    </row>
    <row r="2065" spans="8:8">
      <c r="B2065" t="s">
        <v>3405</v>
      </c>
      <c r="C2065" t="s">
        <v>339</v>
      </c>
      <c r="D2065" t="s">
        <v>3406</v>
      </c>
      <c r="E2065" t="s">
        <v>430</v>
      </c>
    </row>
    <row r="2066" spans="8:8">
      <c r="B2066" t="s">
        <v>3407</v>
      </c>
      <c r="C2066">
        <v>516078.0</v>
      </c>
      <c r="D2066" t="s">
        <v>339</v>
      </c>
      <c r="E2066" t="s">
        <v>534</v>
      </c>
    </row>
    <row r="2067" spans="8:8">
      <c r="B2067" t="s">
        <v>3408</v>
      </c>
      <c r="C2067">
        <v>511060.0</v>
      </c>
      <c r="D2067" t="s">
        <v>339</v>
      </c>
      <c r="E2067" t="s">
        <v>760</v>
      </c>
    </row>
    <row r="2068" spans="8:8">
      <c r="B2068" t="s">
        <v>3409</v>
      </c>
      <c r="C2068">
        <v>539216.0</v>
      </c>
      <c r="D2068" t="s">
        <v>339</v>
      </c>
      <c r="E2068" t="s">
        <v>354</v>
      </c>
    </row>
    <row r="2069" spans="8:8">
      <c r="B2069" t="s">
        <v>3410</v>
      </c>
      <c r="C2069">
        <v>507987.0</v>
      </c>
      <c r="D2069" t="s">
        <v>339</v>
      </c>
      <c r="E2069" t="s">
        <v>356</v>
      </c>
    </row>
    <row r="2070" spans="8:8">
      <c r="B2070" t="s">
        <v>3411</v>
      </c>
      <c r="C2070">
        <v>534623.0</v>
      </c>
      <c r="D2070" t="s">
        <v>339</v>
      </c>
      <c r="E2070" t="s">
        <v>3098</v>
      </c>
    </row>
    <row r="2071" spans="8:8">
      <c r="B2071" t="s">
        <v>3412</v>
      </c>
      <c r="C2071">
        <v>535648.0</v>
      </c>
      <c r="D2071" t="s">
        <v>3413</v>
      </c>
      <c r="E2071" t="s">
        <v>863</v>
      </c>
    </row>
    <row r="2072" spans="8:8">
      <c r="B2072" t="s">
        <v>3414</v>
      </c>
      <c r="C2072">
        <v>531035.0</v>
      </c>
      <c r="D2072" t="s">
        <v>339</v>
      </c>
      <c r="E2072" t="s">
        <v>996</v>
      </c>
    </row>
    <row r="2073" spans="8:8">
      <c r="B2073" t="s">
        <v>3415</v>
      </c>
      <c r="C2073">
        <v>519248.0</v>
      </c>
      <c r="D2073" t="s">
        <v>3416</v>
      </c>
      <c r="E2073" t="s">
        <v>588</v>
      </c>
    </row>
    <row r="2074" spans="8:8">
      <c r="B2074" t="s">
        <v>3417</v>
      </c>
      <c r="C2074">
        <v>542544.0</v>
      </c>
      <c r="D2074" t="s">
        <v>3418</v>
      </c>
      <c r="E2074" t="s">
        <v>322</v>
      </c>
    </row>
    <row r="2075" spans="8:8">
      <c r="B2075" t="s">
        <v>3419</v>
      </c>
      <c r="C2075">
        <v>532926.0</v>
      </c>
      <c r="D2075" t="s">
        <v>3420</v>
      </c>
      <c r="E2075" t="s">
        <v>2157</v>
      </c>
    </row>
    <row r="2076" spans="8:8">
      <c r="B2076" t="s">
        <v>3421</v>
      </c>
      <c r="C2076">
        <v>504076.0</v>
      </c>
      <c r="D2076" t="s">
        <v>339</v>
      </c>
      <c r="E2076" t="s">
        <v>382</v>
      </c>
    </row>
    <row r="2077" spans="8:8">
      <c r="B2077" t="s">
        <v>3422</v>
      </c>
      <c r="C2077">
        <v>514448.0</v>
      </c>
      <c r="D2077" t="s">
        <v>339</v>
      </c>
      <c r="E2077" t="s">
        <v>499</v>
      </c>
    </row>
    <row r="2078" spans="8:8">
      <c r="B2078" t="s">
        <v>3423</v>
      </c>
      <c r="C2078">
        <v>513250.0</v>
      </c>
      <c r="D2078" t="s">
        <v>3424</v>
      </c>
      <c r="E2078" t="s">
        <v>382</v>
      </c>
    </row>
    <row r="2079" spans="8:8">
      <c r="B2079" t="s">
        <v>3425</v>
      </c>
      <c r="C2079">
        <v>539246.0</v>
      </c>
      <c r="D2079" t="s">
        <v>339</v>
      </c>
      <c r="E2079" t="s">
        <v>361</v>
      </c>
    </row>
    <row r="2080" spans="8:8">
      <c r="B2080" t="s">
        <v>3426</v>
      </c>
      <c r="C2080">
        <v>532673.0</v>
      </c>
      <c r="D2080" t="s">
        <v>3427</v>
      </c>
      <c r="E2080" t="s">
        <v>1037</v>
      </c>
    </row>
    <row r="2081" spans="8:8">
      <c r="B2081" t="s">
        <v>3428</v>
      </c>
      <c r="C2081">
        <v>539686.0</v>
      </c>
      <c r="D2081" t="s">
        <v>339</v>
      </c>
      <c r="E2081" t="s">
        <v>478</v>
      </c>
    </row>
    <row r="2082" spans="8:8">
      <c r="B2082" t="s">
        <v>3429</v>
      </c>
      <c r="C2082">
        <v>532889.0</v>
      </c>
      <c r="D2082" t="s">
        <v>3430</v>
      </c>
      <c r="E2082" t="s">
        <v>354</v>
      </c>
    </row>
    <row r="2083" spans="8:8">
      <c r="B2083" t="s">
        <v>3431</v>
      </c>
      <c r="C2083">
        <v>511728.0</v>
      </c>
      <c r="D2083" t="s">
        <v>339</v>
      </c>
      <c r="E2083" t="s">
        <v>356</v>
      </c>
    </row>
    <row r="2084" spans="8:8">
      <c r="B2084" t="s">
        <v>3432</v>
      </c>
      <c r="C2084">
        <v>514360.0</v>
      </c>
      <c r="D2084" t="s">
        <v>339</v>
      </c>
      <c r="E2084" t="s">
        <v>737</v>
      </c>
    </row>
    <row r="2085" spans="8:8">
      <c r="B2085" t="s">
        <v>3433</v>
      </c>
      <c r="C2085">
        <v>542323.0</v>
      </c>
      <c r="D2085" t="s">
        <v>3434</v>
      </c>
      <c r="E2085" t="s">
        <v>478</v>
      </c>
    </row>
    <row r="2086" spans="8:8">
      <c r="B2086" t="s">
        <v>3435</v>
      </c>
      <c r="C2086">
        <v>540756.0</v>
      </c>
      <c r="D2086" t="s">
        <v>339</v>
      </c>
      <c r="E2086" t="s">
        <v>3119</v>
      </c>
    </row>
    <row r="2087" spans="8:8">
      <c r="B2087" t="s">
        <v>3436</v>
      </c>
      <c r="C2087">
        <v>539393.0</v>
      </c>
      <c r="D2087" t="s">
        <v>339</v>
      </c>
      <c r="E2087" t="s">
        <v>1016</v>
      </c>
    </row>
    <row r="2088" spans="8:8">
      <c r="B2088" t="s">
        <v>3437</v>
      </c>
      <c r="C2088">
        <v>524322.0</v>
      </c>
      <c r="D2088" t="s">
        <v>339</v>
      </c>
      <c r="E2088" t="s">
        <v>377</v>
      </c>
    </row>
    <row r="2089" spans="8:8">
      <c r="B2089" t="s">
        <v>3438</v>
      </c>
      <c r="C2089">
        <v>524109.0</v>
      </c>
      <c r="D2089" t="s">
        <v>3439</v>
      </c>
      <c r="E2089" t="s">
        <v>347</v>
      </c>
    </row>
    <row r="2090" spans="8:8">
      <c r="B2090" t="s">
        <v>3440</v>
      </c>
      <c r="C2090">
        <v>524675.0</v>
      </c>
      <c r="D2090" t="s">
        <v>339</v>
      </c>
      <c r="E2090" t="s">
        <v>361</v>
      </c>
    </row>
    <row r="2091" spans="8:8">
      <c r="B2091" t="s">
        <v>3441</v>
      </c>
      <c r="C2091">
        <v>531778.0</v>
      </c>
      <c r="D2091" t="s">
        <v>339</v>
      </c>
      <c r="E2091" t="s">
        <v>319</v>
      </c>
    </row>
    <row r="2092" spans="8:8">
      <c r="B2092" t="s">
        <v>3442</v>
      </c>
      <c r="C2092">
        <v>504840.0</v>
      </c>
      <c r="D2092" t="s">
        <v>339</v>
      </c>
      <c r="E2092" t="s">
        <v>534</v>
      </c>
    </row>
    <row r="2093" spans="8:8">
      <c r="B2093" t="s">
        <v>3443</v>
      </c>
      <c r="C2093">
        <v>531780.0</v>
      </c>
      <c r="D2093" t="s">
        <v>339</v>
      </c>
      <c r="E2093" t="s">
        <v>361</v>
      </c>
    </row>
    <row r="2094" spans="8:8">
      <c r="B2094" t="s">
        <v>3444</v>
      </c>
      <c r="C2094">
        <v>500233.0</v>
      </c>
      <c r="D2094" t="s">
        <v>3445</v>
      </c>
      <c r="E2094" t="s">
        <v>616</v>
      </c>
    </row>
    <row r="2095" spans="8:8">
      <c r="B2095" t="s">
        <v>3446</v>
      </c>
      <c r="C2095">
        <v>500234.0</v>
      </c>
      <c r="D2095" t="s">
        <v>3447</v>
      </c>
      <c r="E2095" t="s">
        <v>352</v>
      </c>
    </row>
    <row r="2096" spans="8:8">
      <c r="B2096" t="s">
        <v>3448</v>
      </c>
      <c r="C2096">
        <v>521054.0</v>
      </c>
      <c r="D2096" t="s">
        <v>339</v>
      </c>
      <c r="E2096" t="s">
        <v>354</v>
      </c>
    </row>
    <row r="2097" spans="8:8">
      <c r="B2097" t="s">
        <v>3449</v>
      </c>
      <c r="C2097">
        <v>530201.0</v>
      </c>
      <c r="D2097" t="s">
        <v>339</v>
      </c>
      <c r="E2097" t="s">
        <v>354</v>
      </c>
    </row>
    <row r="2098" spans="8:8">
      <c r="B2098" t="s">
        <v>3450</v>
      </c>
      <c r="C2098">
        <v>539014.0</v>
      </c>
      <c r="D2098" t="s">
        <v>339</v>
      </c>
      <c r="E2098" t="s">
        <v>361</v>
      </c>
    </row>
    <row r="2099" spans="8:8">
      <c r="B2099" t="s">
        <v>3451</v>
      </c>
      <c r="C2099">
        <v>522287.0</v>
      </c>
      <c r="D2099" t="s">
        <v>3452</v>
      </c>
      <c r="E2099" t="s">
        <v>382</v>
      </c>
    </row>
    <row r="2100" spans="8:8">
      <c r="B2100" t="s">
        <v>3453</v>
      </c>
      <c r="C2100" t="s">
        <v>339</v>
      </c>
      <c r="D2100" t="s">
        <v>3454</v>
      </c>
      <c r="E2100" t="s">
        <v>430</v>
      </c>
    </row>
    <row r="2101" spans="8:8">
      <c r="B2101" t="s">
        <v>3455</v>
      </c>
      <c r="C2101">
        <v>513509.0</v>
      </c>
      <c r="D2101" t="s">
        <v>3456</v>
      </c>
      <c r="E2101" t="s">
        <v>694</v>
      </c>
    </row>
    <row r="2102" spans="8:8">
      <c r="B2102" t="s">
        <v>3457</v>
      </c>
      <c r="C2102">
        <v>533302.0</v>
      </c>
      <c r="D2102" t="s">
        <v>3458</v>
      </c>
      <c r="E2102" t="s">
        <v>359</v>
      </c>
    </row>
    <row r="2103" spans="8:8">
      <c r="B2103" t="s">
        <v>3459</v>
      </c>
      <c r="C2103">
        <v>500235.0</v>
      </c>
      <c r="D2103" t="s">
        <v>3460</v>
      </c>
      <c r="E2103" t="s">
        <v>371</v>
      </c>
    </row>
    <row r="2104" spans="8:8">
      <c r="B2104" t="s">
        <v>3461</v>
      </c>
      <c r="C2104">
        <v>532468.0</v>
      </c>
      <c r="D2104" t="s">
        <v>339</v>
      </c>
      <c r="E2104" t="s">
        <v>505</v>
      </c>
    </row>
    <row r="2105" spans="8:8">
      <c r="B2105" t="s">
        <v>3462</v>
      </c>
      <c r="C2105">
        <v>514322.0</v>
      </c>
      <c r="D2105" t="s">
        <v>339</v>
      </c>
      <c r="E2105" t="s">
        <v>354</v>
      </c>
    </row>
    <row r="2106" spans="8:8">
      <c r="B2106" t="s">
        <v>3463</v>
      </c>
      <c r="C2106">
        <v>511131.0</v>
      </c>
      <c r="D2106" t="s">
        <v>339</v>
      </c>
      <c r="E2106" t="s">
        <v>425</v>
      </c>
    </row>
    <row r="2107" spans="8:8">
      <c r="B2107" t="s">
        <v>3464</v>
      </c>
      <c r="C2107">
        <v>526668.0</v>
      </c>
      <c r="D2107" t="s">
        <v>3465</v>
      </c>
      <c r="E2107" t="s">
        <v>540</v>
      </c>
    </row>
    <row r="2108" spans="8:8">
      <c r="B2108" t="s">
        <v>3466</v>
      </c>
      <c r="C2108">
        <v>532741.0</v>
      </c>
      <c r="D2108" t="s">
        <v>3467</v>
      </c>
      <c r="E2108" t="s">
        <v>371</v>
      </c>
    </row>
    <row r="2109" spans="8:8">
      <c r="B2109" t="s">
        <v>3468</v>
      </c>
      <c r="C2109">
        <v>524604.0</v>
      </c>
      <c r="D2109" t="s">
        <v>339</v>
      </c>
      <c r="E2109" t="s">
        <v>377</v>
      </c>
    </row>
    <row r="2110" spans="8:8">
      <c r="B2110" t="s">
        <v>3469</v>
      </c>
      <c r="C2110">
        <v>780003.0</v>
      </c>
      <c r="D2110" t="s">
        <v>339</v>
      </c>
      <c r="E2110" t="s">
        <v>430</v>
      </c>
    </row>
    <row r="2111" spans="8:8">
      <c r="B2111" t="s">
        <v>3470</v>
      </c>
      <c r="C2111">
        <v>506184.0</v>
      </c>
      <c r="D2111" t="s">
        <v>3471</v>
      </c>
      <c r="E2111" t="s">
        <v>453</v>
      </c>
    </row>
    <row r="2112" spans="8:8">
      <c r="B2112" t="s">
        <v>3472</v>
      </c>
      <c r="C2112">
        <v>538896.0</v>
      </c>
      <c r="D2112" t="s">
        <v>339</v>
      </c>
      <c r="E2112" t="s">
        <v>387</v>
      </c>
    </row>
    <row r="2113" spans="8:8">
      <c r="B2113" t="s">
        <v>3473</v>
      </c>
      <c r="C2113">
        <v>541005.0</v>
      </c>
      <c r="D2113" t="s">
        <v>339</v>
      </c>
      <c r="E2113" t="s">
        <v>746</v>
      </c>
    </row>
    <row r="2114" spans="8:8">
      <c r="B2114" t="s">
        <v>3474</v>
      </c>
      <c r="C2114">
        <v>521242.0</v>
      </c>
      <c r="D2114" t="s">
        <v>339</v>
      </c>
      <c r="E2114" t="s">
        <v>354</v>
      </c>
    </row>
    <row r="2115" spans="8:8">
      <c r="B2115" t="s">
        <v>3475</v>
      </c>
      <c r="C2115">
        <v>500236.0</v>
      </c>
      <c r="D2115" t="s">
        <v>3476</v>
      </c>
      <c r="E2115" t="s">
        <v>705</v>
      </c>
    </row>
    <row r="2116" spans="8:8">
      <c r="B2116" t="s">
        <v>3477</v>
      </c>
      <c r="C2116">
        <v>513456.0</v>
      </c>
      <c r="D2116" t="s">
        <v>339</v>
      </c>
      <c r="E2116" t="s">
        <v>662</v>
      </c>
    </row>
    <row r="2117" spans="8:8">
      <c r="B2117" t="s">
        <v>3478</v>
      </c>
      <c r="C2117">
        <v>506525.0</v>
      </c>
      <c r="D2117" t="s">
        <v>3479</v>
      </c>
      <c r="E2117" t="s">
        <v>387</v>
      </c>
    </row>
    <row r="2118" spans="8:8">
      <c r="B2118" t="s">
        <v>3480</v>
      </c>
      <c r="C2118">
        <v>507779.0</v>
      </c>
      <c r="D2118" t="s">
        <v>339</v>
      </c>
      <c r="E2118" t="s">
        <v>534</v>
      </c>
    </row>
    <row r="2119" spans="8:8">
      <c r="B2119" t="s">
        <v>3481</v>
      </c>
      <c r="C2119">
        <v>500165.0</v>
      </c>
      <c r="D2119" t="s">
        <v>3482</v>
      </c>
      <c r="E2119" t="s">
        <v>616</v>
      </c>
    </row>
    <row r="2120" spans="8:8">
      <c r="B2120" t="s">
        <v>3483</v>
      </c>
      <c r="C2120">
        <v>540515.0</v>
      </c>
      <c r="D2120" t="s">
        <v>339</v>
      </c>
      <c r="E2120" t="s">
        <v>322</v>
      </c>
    </row>
    <row r="2121" spans="8:8">
      <c r="B2121" t="s">
        <v>3484</v>
      </c>
      <c r="C2121">
        <v>512399.0</v>
      </c>
      <c r="D2121" t="s">
        <v>339</v>
      </c>
      <c r="E2121" t="s">
        <v>322</v>
      </c>
    </row>
    <row r="2122" spans="8:8">
      <c r="B2122" t="s">
        <v>3485</v>
      </c>
      <c r="C2122">
        <v>512036.0</v>
      </c>
      <c r="D2122" t="s">
        <v>339</v>
      </c>
      <c r="E2122" t="s">
        <v>354</v>
      </c>
    </row>
    <row r="2123" spans="8:8">
      <c r="B2123" t="s">
        <v>3486</v>
      </c>
      <c r="C2123">
        <v>539679.0</v>
      </c>
      <c r="D2123" t="s">
        <v>339</v>
      </c>
      <c r="E2123" t="s">
        <v>356</v>
      </c>
    </row>
    <row r="2124" spans="8:8">
      <c r="B2124" t="s">
        <v>3487</v>
      </c>
      <c r="C2124" t="s">
        <v>339</v>
      </c>
      <c r="D2124" t="s">
        <v>3488</v>
      </c>
      <c r="E2124" t="s">
        <v>350</v>
      </c>
    </row>
    <row r="2125" spans="8:8">
      <c r="B2125" t="s">
        <v>3489</v>
      </c>
      <c r="C2125">
        <v>526115.0</v>
      </c>
      <c r="D2125" t="s">
        <v>339</v>
      </c>
      <c r="E2125" t="s">
        <v>453</v>
      </c>
    </row>
    <row r="2126" spans="8:8">
      <c r="B2126" t="s">
        <v>3490</v>
      </c>
      <c r="C2126">
        <v>541161.0</v>
      </c>
      <c r="D2126" t="s">
        <v>3491</v>
      </c>
      <c r="E2126" t="s">
        <v>425</v>
      </c>
    </row>
    <row r="2127" spans="8:8">
      <c r="B2127" t="s">
        <v>3492</v>
      </c>
      <c r="C2127">
        <v>533451.0</v>
      </c>
      <c r="D2127" t="s">
        <v>3493</v>
      </c>
      <c r="E2127" t="s">
        <v>478</v>
      </c>
    </row>
    <row r="2128" spans="8:8">
      <c r="B2128" t="s">
        <v>3494</v>
      </c>
      <c r="C2128">
        <v>538928.0</v>
      </c>
      <c r="D2128" t="s">
        <v>339</v>
      </c>
      <c r="E2128" t="s">
        <v>356</v>
      </c>
    </row>
    <row r="2129" spans="8:8">
      <c r="B2129" t="s">
        <v>3495</v>
      </c>
      <c r="C2129">
        <v>537784.0</v>
      </c>
      <c r="D2129" t="s">
        <v>339</v>
      </c>
      <c r="E2129" t="s">
        <v>760</v>
      </c>
    </row>
    <row r="2130" spans="8:8">
      <c r="B2130" t="s">
        <v>3496</v>
      </c>
      <c r="C2130">
        <v>590003.0</v>
      </c>
      <c r="D2130" t="s">
        <v>3497</v>
      </c>
      <c r="E2130" t="s">
        <v>657</v>
      </c>
    </row>
    <row r="2131" spans="8:8">
      <c r="B2131" t="s">
        <v>3498</v>
      </c>
      <c r="C2131">
        <v>531687.0</v>
      </c>
      <c r="D2131" t="s">
        <v>3499</v>
      </c>
      <c r="E2131" t="s">
        <v>537</v>
      </c>
    </row>
    <row r="2132" spans="8:8">
      <c r="B2132" t="s">
        <v>3500</v>
      </c>
      <c r="C2132">
        <v>539533.0</v>
      </c>
      <c r="D2132" t="s">
        <v>339</v>
      </c>
      <c r="E2132" t="s">
        <v>322</v>
      </c>
    </row>
    <row r="2133" spans="8:8">
      <c r="B2133" t="s">
        <v>3501</v>
      </c>
      <c r="C2133">
        <v>502933.0</v>
      </c>
      <c r="D2133" t="s">
        <v>339</v>
      </c>
      <c r="E2133" t="s">
        <v>354</v>
      </c>
    </row>
    <row r="2134" spans="8:8">
      <c r="B2134" t="s">
        <v>3502</v>
      </c>
      <c r="C2134">
        <v>532925.0</v>
      </c>
      <c r="D2134" t="s">
        <v>3503</v>
      </c>
      <c r="E2134" t="s">
        <v>737</v>
      </c>
    </row>
    <row r="2135" spans="8:8">
      <c r="B2135" t="s">
        <v>3504</v>
      </c>
      <c r="C2135">
        <v>532899.0</v>
      </c>
      <c r="D2135" t="s">
        <v>3505</v>
      </c>
      <c r="E2135" t="s">
        <v>537</v>
      </c>
    </row>
    <row r="2136" spans="8:8">
      <c r="B2136" t="s">
        <v>3506</v>
      </c>
      <c r="C2136">
        <v>524444.0</v>
      </c>
      <c r="D2136" t="s">
        <v>339</v>
      </c>
      <c r="E2136" t="s">
        <v>588</v>
      </c>
    </row>
    <row r="2137" spans="8:8">
      <c r="B2137" t="s">
        <v>3507</v>
      </c>
      <c r="C2137">
        <v>535136.0</v>
      </c>
      <c r="D2137" t="s">
        <v>339</v>
      </c>
      <c r="E2137" t="s">
        <v>354</v>
      </c>
    </row>
    <row r="2138" spans="8:8">
      <c r="B2138" t="s">
        <v>3508</v>
      </c>
      <c r="C2138">
        <v>590041.0</v>
      </c>
      <c r="D2138" t="s">
        <v>3509</v>
      </c>
      <c r="E2138" t="s">
        <v>485</v>
      </c>
    </row>
    <row r="2139" spans="8:8">
      <c r="B2139" t="s">
        <v>3510</v>
      </c>
      <c r="C2139">
        <v>530255.0</v>
      </c>
      <c r="D2139" t="s">
        <v>339</v>
      </c>
      <c r="E2139" t="s">
        <v>333</v>
      </c>
    </row>
    <row r="2140" spans="8:8">
      <c r="B2140" t="s">
        <v>3511</v>
      </c>
      <c r="C2140">
        <v>539276.0</v>
      </c>
      <c r="D2140" t="s">
        <v>3512</v>
      </c>
      <c r="E2140" t="s">
        <v>3119</v>
      </c>
    </row>
    <row r="2141" spans="8:8">
      <c r="B2141" t="s">
        <v>3513</v>
      </c>
      <c r="C2141">
        <v>504084.0</v>
      </c>
      <c r="D2141" t="s">
        <v>339</v>
      </c>
      <c r="E2141" t="s">
        <v>637</v>
      </c>
    </row>
    <row r="2142" spans="8:8">
      <c r="B2142" t="s">
        <v>3514</v>
      </c>
      <c r="C2142">
        <v>539562.0</v>
      </c>
      <c r="D2142" t="s">
        <v>339</v>
      </c>
      <c r="E2142" t="s">
        <v>322</v>
      </c>
    </row>
    <row r="2143" spans="8:8">
      <c r="B2143" t="s">
        <v>3515</v>
      </c>
      <c r="C2143">
        <v>530357.0</v>
      </c>
      <c r="D2143" t="s">
        <v>339</v>
      </c>
      <c r="E2143" t="s">
        <v>322</v>
      </c>
    </row>
    <row r="2144" spans="8:8">
      <c r="B2144" t="s">
        <v>3516</v>
      </c>
      <c r="C2144">
        <v>530357.0</v>
      </c>
      <c r="D2144" t="s">
        <v>339</v>
      </c>
      <c r="E2144" t="s">
        <v>322</v>
      </c>
    </row>
    <row r="2145" spans="8:8">
      <c r="B2145" t="s">
        <v>3517</v>
      </c>
      <c r="C2145">
        <v>526067.0</v>
      </c>
      <c r="D2145" t="s">
        <v>339</v>
      </c>
      <c r="E2145" t="s">
        <v>534</v>
      </c>
    </row>
    <row r="2146" spans="8:8">
      <c r="B2146" t="s">
        <v>3518</v>
      </c>
      <c r="C2146">
        <v>531784.0</v>
      </c>
      <c r="D2146" t="s">
        <v>339</v>
      </c>
      <c r="E2146" t="s">
        <v>737</v>
      </c>
    </row>
    <row r="2147" spans="8:8">
      <c r="B2147" t="s">
        <v>3519</v>
      </c>
      <c r="C2147">
        <v>590066.0</v>
      </c>
      <c r="D2147" t="s">
        <v>3520</v>
      </c>
      <c r="E2147" t="s">
        <v>352</v>
      </c>
    </row>
    <row r="2148" spans="8:8">
      <c r="B2148" t="s">
        <v>3521</v>
      </c>
      <c r="C2148">
        <v>533192.0</v>
      </c>
      <c r="D2148" t="s">
        <v>3522</v>
      </c>
      <c r="E2148" t="s">
        <v>1037</v>
      </c>
    </row>
    <row r="2149" spans="8:8">
      <c r="B2149" t="s">
        <v>3523</v>
      </c>
      <c r="C2149">
        <v>540385.0</v>
      </c>
      <c r="D2149" t="s">
        <v>339</v>
      </c>
      <c r="E2149" t="s">
        <v>322</v>
      </c>
    </row>
    <row r="2150" spans="8:8">
      <c r="B2150" t="s">
        <v>3524</v>
      </c>
      <c r="C2150">
        <v>532054.0</v>
      </c>
      <c r="D2150" t="s">
        <v>3525</v>
      </c>
      <c r="E2150" t="s">
        <v>453</v>
      </c>
    </row>
    <row r="2151" spans="8:8">
      <c r="B2151" t="s">
        <v>3526</v>
      </c>
      <c r="C2151">
        <v>532714.0</v>
      </c>
      <c r="D2151" t="s">
        <v>3527</v>
      </c>
      <c r="E2151" t="s">
        <v>382</v>
      </c>
    </row>
    <row r="2152" spans="8:8">
      <c r="B2152" t="s">
        <v>3528</v>
      </c>
      <c r="C2152">
        <v>508993.0</v>
      </c>
      <c r="D2152" t="s">
        <v>339</v>
      </c>
      <c r="E2152" t="s">
        <v>425</v>
      </c>
    </row>
    <row r="2153" spans="8:8">
      <c r="B2153" t="s">
        <v>3529</v>
      </c>
      <c r="C2153">
        <v>518011.0</v>
      </c>
      <c r="D2153" t="s">
        <v>339</v>
      </c>
      <c r="E2153" t="s">
        <v>352</v>
      </c>
    </row>
    <row r="2154" spans="8:8">
      <c r="B2154" t="s">
        <v>3530</v>
      </c>
      <c r="C2154" t="s">
        <v>339</v>
      </c>
      <c r="D2154" t="s">
        <v>3531</v>
      </c>
      <c r="E2154" t="s">
        <v>350</v>
      </c>
    </row>
    <row r="2155" spans="8:8">
      <c r="B2155" t="s">
        <v>3532</v>
      </c>
      <c r="C2155">
        <v>517569.0</v>
      </c>
      <c r="D2155" t="s">
        <v>3533</v>
      </c>
      <c r="E2155" t="s">
        <v>637</v>
      </c>
    </row>
    <row r="2156" spans="8:8">
      <c r="B2156" t="s">
        <v>3534</v>
      </c>
      <c r="C2156">
        <v>519602.0</v>
      </c>
      <c r="D2156" t="s">
        <v>3535</v>
      </c>
      <c r="E2156" t="s">
        <v>432</v>
      </c>
    </row>
    <row r="2157" spans="8:8">
      <c r="B2157" t="s">
        <v>3536</v>
      </c>
      <c r="C2157">
        <v>506528.0</v>
      </c>
      <c r="D2157" t="s">
        <v>339</v>
      </c>
      <c r="E2157" t="s">
        <v>499</v>
      </c>
    </row>
    <row r="2158" spans="8:8">
      <c r="B2158" t="s">
        <v>3537</v>
      </c>
      <c r="C2158">
        <v>531163.0</v>
      </c>
      <c r="D2158" t="s">
        <v>3538</v>
      </c>
      <c r="E2158" t="s">
        <v>499</v>
      </c>
    </row>
    <row r="2159" spans="8:8">
      <c r="B2159" t="s">
        <v>3539</v>
      </c>
      <c r="C2159">
        <v>506530.0</v>
      </c>
      <c r="D2159" t="s">
        <v>339</v>
      </c>
      <c r="E2159" t="s">
        <v>534</v>
      </c>
    </row>
    <row r="2160" spans="8:8">
      <c r="B2160" t="s">
        <v>3540</v>
      </c>
      <c r="C2160">
        <v>505890.0</v>
      </c>
      <c r="D2160" t="s">
        <v>339</v>
      </c>
      <c r="E2160" t="s">
        <v>347</v>
      </c>
    </row>
    <row r="2161" spans="8:8">
      <c r="B2161" t="s">
        <v>3541</v>
      </c>
      <c r="C2161">
        <v>505890.0</v>
      </c>
      <c r="D2161" t="s">
        <v>339</v>
      </c>
      <c r="E2161" t="s">
        <v>347</v>
      </c>
    </row>
    <row r="2162" spans="8:8">
      <c r="B2162" t="s">
        <v>3542</v>
      </c>
      <c r="C2162">
        <v>540953.0</v>
      </c>
      <c r="D2162" t="s">
        <v>339</v>
      </c>
      <c r="E2162" t="s">
        <v>453</v>
      </c>
    </row>
    <row r="2163" spans="8:8">
      <c r="B2163" t="s">
        <v>3543</v>
      </c>
      <c r="C2163">
        <v>530163.0</v>
      </c>
      <c r="D2163" t="s">
        <v>339</v>
      </c>
      <c r="E2163" t="s">
        <v>377</v>
      </c>
    </row>
    <row r="2164" spans="8:8">
      <c r="B2164" t="s">
        <v>3544</v>
      </c>
      <c r="C2164">
        <v>532686.0</v>
      </c>
      <c r="D2164" t="s">
        <v>3545</v>
      </c>
      <c r="E2164" t="s">
        <v>462</v>
      </c>
    </row>
    <row r="2165" spans="8:8">
      <c r="B2165" t="s">
        <v>3546</v>
      </c>
      <c r="C2165">
        <v>532686.0</v>
      </c>
      <c r="D2165" t="s">
        <v>3545</v>
      </c>
      <c r="E2165" t="s">
        <v>462</v>
      </c>
    </row>
    <row r="2166" spans="8:8">
      <c r="B2166" t="s">
        <v>3547</v>
      </c>
      <c r="C2166">
        <v>507180.0</v>
      </c>
      <c r="D2166" t="s">
        <v>3548</v>
      </c>
      <c r="E2166" t="s">
        <v>1037</v>
      </c>
    </row>
    <row r="2167" spans="8:8">
      <c r="B2167" t="s">
        <v>3549</v>
      </c>
      <c r="C2167">
        <v>524174.0</v>
      </c>
      <c r="D2167" t="s">
        <v>339</v>
      </c>
      <c r="E2167" t="s">
        <v>387</v>
      </c>
    </row>
    <row r="2168" spans="8:8">
      <c r="B2168" t="s">
        <v>3550</v>
      </c>
      <c r="C2168">
        <v>533289.0</v>
      </c>
      <c r="D2168" t="s">
        <v>3551</v>
      </c>
      <c r="E2168" t="s">
        <v>660</v>
      </c>
    </row>
    <row r="2169" spans="8:8">
      <c r="B2169" t="s">
        <v>3552</v>
      </c>
      <c r="C2169">
        <v>502937.0</v>
      </c>
      <c r="D2169" t="s">
        <v>3553</v>
      </c>
      <c r="E2169" t="s">
        <v>328</v>
      </c>
    </row>
    <row r="2170" spans="8:8">
      <c r="B2170" t="s">
        <v>3554</v>
      </c>
      <c r="C2170">
        <v>532732.0</v>
      </c>
      <c r="D2170" t="s">
        <v>3555</v>
      </c>
      <c r="E2170" t="s">
        <v>453</v>
      </c>
    </row>
    <row r="2171" spans="8:8">
      <c r="B2171" t="s">
        <v>3556</v>
      </c>
      <c r="C2171">
        <v>507948.0</v>
      </c>
      <c r="D2171" t="s">
        <v>339</v>
      </c>
      <c r="E2171" t="s">
        <v>356</v>
      </c>
    </row>
    <row r="2172" spans="8:8">
      <c r="B2172" t="s">
        <v>3557</v>
      </c>
      <c r="C2172">
        <v>512597.0</v>
      </c>
      <c r="D2172" t="s">
        <v>3558</v>
      </c>
      <c r="E2172" t="s">
        <v>356</v>
      </c>
    </row>
    <row r="2173" spans="8:8">
      <c r="B2173" t="s">
        <v>3559</v>
      </c>
      <c r="C2173" t="s">
        <v>339</v>
      </c>
      <c r="D2173" t="s">
        <v>3560</v>
      </c>
      <c r="E2173" t="s">
        <v>356</v>
      </c>
    </row>
    <row r="2174" spans="8:8">
      <c r="B2174" t="s">
        <v>3561</v>
      </c>
      <c r="C2174">
        <v>500239.0</v>
      </c>
      <c r="D2174" t="s">
        <v>339</v>
      </c>
      <c r="E2174" t="s">
        <v>354</v>
      </c>
    </row>
    <row r="2175" spans="8:8">
      <c r="B2175" t="s">
        <v>3562</v>
      </c>
      <c r="C2175">
        <v>531609.0</v>
      </c>
      <c r="D2175" t="s">
        <v>339</v>
      </c>
      <c r="E2175" t="s">
        <v>534</v>
      </c>
    </row>
    <row r="2176" spans="8:8">
      <c r="B2176" t="s">
        <v>3563</v>
      </c>
      <c r="C2176">
        <v>540775.0</v>
      </c>
      <c r="D2176" t="s">
        <v>3564</v>
      </c>
      <c r="E2176" t="s">
        <v>765</v>
      </c>
    </row>
    <row r="2177" spans="8:8">
      <c r="B2177" t="s">
        <v>3565</v>
      </c>
      <c r="C2177">
        <v>540775.0</v>
      </c>
      <c r="D2177" t="s">
        <v>3564</v>
      </c>
      <c r="E2177" t="s">
        <v>765</v>
      </c>
    </row>
    <row r="2178" spans="8:8">
      <c r="B2178" t="s">
        <v>3566</v>
      </c>
      <c r="C2178">
        <v>590068.0</v>
      </c>
      <c r="D2178" t="s">
        <v>3567</v>
      </c>
      <c r="E2178" t="s">
        <v>361</v>
      </c>
    </row>
    <row r="2179" spans="8:8">
      <c r="B2179" t="s">
        <v>3568</v>
      </c>
      <c r="C2179">
        <v>507794.0</v>
      </c>
      <c r="D2179" t="s">
        <v>339</v>
      </c>
      <c r="E2179" t="s">
        <v>847</v>
      </c>
    </row>
    <row r="2180" spans="8:8">
      <c r="B2180" t="s">
        <v>3569</v>
      </c>
      <c r="C2180">
        <v>504269.0</v>
      </c>
      <c r="D2180" t="s">
        <v>3570</v>
      </c>
      <c r="E2180" t="s">
        <v>1103</v>
      </c>
    </row>
    <row r="2181" spans="8:8">
      <c r="B2181" t="s">
        <v>3571</v>
      </c>
      <c r="C2181">
        <v>590068.0</v>
      </c>
      <c r="D2181" t="s">
        <v>3567</v>
      </c>
      <c r="E2181" t="s">
        <v>361</v>
      </c>
    </row>
    <row r="2182" spans="8:8">
      <c r="B2182" t="s">
        <v>3572</v>
      </c>
      <c r="C2182">
        <v>519064.0</v>
      </c>
      <c r="D2182" t="s">
        <v>339</v>
      </c>
      <c r="E2182" t="s">
        <v>537</v>
      </c>
    </row>
    <row r="2183" spans="8:8">
      <c r="B2183" t="s">
        <v>3573</v>
      </c>
      <c r="C2183">
        <v>531892.0</v>
      </c>
      <c r="D2183" t="s">
        <v>3574</v>
      </c>
      <c r="E2183" t="s">
        <v>322</v>
      </c>
    </row>
    <row r="2184" spans="8:8">
      <c r="B2184" t="s">
        <v>3575</v>
      </c>
      <c r="C2184">
        <v>506178.0</v>
      </c>
      <c r="D2184" t="s">
        <v>339</v>
      </c>
      <c r="E2184" t="s">
        <v>361</v>
      </c>
    </row>
    <row r="2185" spans="8:8">
      <c r="B2185" t="s">
        <v>3576</v>
      </c>
      <c r="C2185">
        <v>521127.0</v>
      </c>
      <c r="D2185" t="s">
        <v>339</v>
      </c>
      <c r="E2185" t="s">
        <v>354</v>
      </c>
    </row>
    <row r="2186" spans="8:8">
      <c r="B2186" t="s">
        <v>3577</v>
      </c>
      <c r="C2186">
        <v>539788.0</v>
      </c>
      <c r="D2186" t="s">
        <v>339</v>
      </c>
      <c r="E2186" t="s">
        <v>373</v>
      </c>
    </row>
    <row r="2187" spans="8:8">
      <c r="B2187" t="s">
        <v>3578</v>
      </c>
      <c r="C2187">
        <v>507435.0</v>
      </c>
      <c r="D2187" t="s">
        <v>339</v>
      </c>
      <c r="E2187" t="s">
        <v>970</v>
      </c>
    </row>
    <row r="2188" spans="8:8">
      <c r="B2188" t="s">
        <v>3579</v>
      </c>
      <c r="C2188">
        <v>507435.0</v>
      </c>
      <c r="D2188" t="s">
        <v>339</v>
      </c>
      <c r="E2188" t="s">
        <v>970</v>
      </c>
    </row>
    <row r="2189" spans="8:8">
      <c r="B2189" t="s">
        <v>3580</v>
      </c>
      <c r="C2189">
        <v>535730.0</v>
      </c>
      <c r="D2189" t="s">
        <v>339</v>
      </c>
      <c r="E2189" t="s">
        <v>354</v>
      </c>
    </row>
    <row r="2190" spans="8:8">
      <c r="B2190" t="s">
        <v>3581</v>
      </c>
      <c r="C2190">
        <v>531692.0</v>
      </c>
      <c r="D2190" t="s">
        <v>339</v>
      </c>
      <c r="E2190" t="s">
        <v>540</v>
      </c>
    </row>
    <row r="2191" spans="8:8">
      <c r="B2191" t="s">
        <v>3582</v>
      </c>
      <c r="C2191">
        <v>513693.0</v>
      </c>
      <c r="D2191" t="s">
        <v>339</v>
      </c>
      <c r="E2191" t="s">
        <v>371</v>
      </c>
    </row>
    <row r="2192" spans="8:8">
      <c r="B2192" t="s">
        <v>3583</v>
      </c>
      <c r="C2192">
        <v>540812.0</v>
      </c>
      <c r="D2192" t="s">
        <v>339</v>
      </c>
      <c r="E2192" t="s">
        <v>809</v>
      </c>
    </row>
    <row r="2193" spans="8:8">
      <c r="B2193" t="s">
        <v>3584</v>
      </c>
      <c r="C2193">
        <v>507946.0</v>
      </c>
      <c r="D2193" t="s">
        <v>339</v>
      </c>
      <c r="E2193" t="s">
        <v>361</v>
      </c>
    </row>
    <row r="2194" spans="8:8">
      <c r="B2194" t="s">
        <v>3585</v>
      </c>
      <c r="C2194">
        <v>507946.0</v>
      </c>
      <c r="D2194" t="s">
        <v>339</v>
      </c>
      <c r="E2194" t="s">
        <v>361</v>
      </c>
    </row>
    <row r="2195" spans="8:8">
      <c r="B2195" t="s">
        <v>3586</v>
      </c>
      <c r="C2195">
        <v>535566.0</v>
      </c>
      <c r="D2195" t="s">
        <v>339</v>
      </c>
      <c r="E2195" t="s">
        <v>356</v>
      </c>
    </row>
    <row r="2196" spans="8:8">
      <c r="B2196" t="s">
        <v>3587</v>
      </c>
      <c r="C2196">
        <v>524699.0</v>
      </c>
      <c r="D2196" t="s">
        <v>339</v>
      </c>
      <c r="E2196" t="s">
        <v>387</v>
      </c>
    </row>
    <row r="2197" spans="8:8">
      <c r="B2197" t="s">
        <v>3588</v>
      </c>
      <c r="C2197">
        <v>522101.0</v>
      </c>
      <c r="D2197" t="s">
        <v>339</v>
      </c>
      <c r="E2197" t="s">
        <v>347</v>
      </c>
    </row>
    <row r="2198" spans="8:8">
      <c r="B2198" t="s">
        <v>3589</v>
      </c>
      <c r="C2198">
        <v>523218.0</v>
      </c>
      <c r="D2198" t="s">
        <v>3590</v>
      </c>
      <c r="E2198" t="s">
        <v>881</v>
      </c>
    </row>
    <row r="2199" spans="8:8">
      <c r="B2199" t="s">
        <v>3591</v>
      </c>
      <c r="C2199">
        <v>524500.0</v>
      </c>
      <c r="D2199" t="s">
        <v>3592</v>
      </c>
      <c r="E2199" t="s">
        <v>377</v>
      </c>
    </row>
    <row r="2200" spans="8:8">
      <c r="B2200" t="s">
        <v>3593</v>
      </c>
      <c r="C2200">
        <v>524500.0</v>
      </c>
      <c r="D2200" t="s">
        <v>3592</v>
      </c>
      <c r="E2200" t="s">
        <v>377</v>
      </c>
    </row>
    <row r="2201" spans="8:8">
      <c r="B2201" t="s">
        <v>3594</v>
      </c>
      <c r="C2201">
        <v>532067.0</v>
      </c>
      <c r="D2201" t="s">
        <v>339</v>
      </c>
      <c r="E2201" t="s">
        <v>483</v>
      </c>
    </row>
    <row r="2202" spans="8:8">
      <c r="B2202" t="s">
        <v>3595</v>
      </c>
      <c r="C2202">
        <v>532067.0</v>
      </c>
      <c r="D2202" t="s">
        <v>339</v>
      </c>
      <c r="E2202" t="s">
        <v>483</v>
      </c>
    </row>
    <row r="2203" spans="8:8">
      <c r="B2203" t="s">
        <v>3596</v>
      </c>
      <c r="C2203">
        <v>530313.0</v>
      </c>
      <c r="D2203" t="s">
        <v>3597</v>
      </c>
      <c r="E2203" t="s">
        <v>377</v>
      </c>
    </row>
    <row r="2204" spans="8:8">
      <c r="B2204" t="s">
        <v>3598</v>
      </c>
      <c r="C2204">
        <v>500240.0</v>
      </c>
      <c r="D2204" t="s">
        <v>339</v>
      </c>
      <c r="E2204" t="s">
        <v>996</v>
      </c>
    </row>
    <row r="2205" spans="8:8">
      <c r="B2205" t="s">
        <v>3599</v>
      </c>
      <c r="C2205">
        <v>531274.0</v>
      </c>
      <c r="D2205" t="s">
        <v>339</v>
      </c>
      <c r="E2205" t="s">
        <v>356</v>
      </c>
    </row>
    <row r="2206" spans="8:8">
      <c r="B2206" t="s">
        <v>3600</v>
      </c>
      <c r="C2206">
        <v>524019.0</v>
      </c>
      <c r="D2206" t="s">
        <v>3601</v>
      </c>
      <c r="E2206" t="s">
        <v>459</v>
      </c>
    </row>
    <row r="2207" spans="8:8">
      <c r="B2207" t="s">
        <v>3602</v>
      </c>
      <c r="C2207">
        <v>524019.0</v>
      </c>
      <c r="D2207" t="s">
        <v>3601</v>
      </c>
      <c r="E2207" t="s">
        <v>459</v>
      </c>
    </row>
    <row r="2208" spans="8:8">
      <c r="B2208" t="s">
        <v>3603</v>
      </c>
      <c r="C2208">
        <v>530215.0</v>
      </c>
      <c r="D2208" t="s">
        <v>339</v>
      </c>
      <c r="E2208" t="s">
        <v>425</v>
      </c>
    </row>
    <row r="2209" spans="8:8">
      <c r="B2209" t="s">
        <v>3604</v>
      </c>
      <c r="C2209">
        <v>512329.0</v>
      </c>
      <c r="D2209" t="s">
        <v>339</v>
      </c>
      <c r="E2209" t="s">
        <v>760</v>
      </c>
    </row>
    <row r="2210" spans="8:8">
      <c r="B2210" t="s">
        <v>3605</v>
      </c>
      <c r="C2210">
        <v>540680.0</v>
      </c>
      <c r="D2210" t="s">
        <v>3606</v>
      </c>
      <c r="E2210" t="s">
        <v>371</v>
      </c>
    </row>
    <row r="2211" spans="8:8">
      <c r="B2211" t="s">
        <v>3607</v>
      </c>
      <c r="C2211">
        <v>531413.0</v>
      </c>
      <c r="D2211" t="s">
        <v>339</v>
      </c>
      <c r="E2211" t="s">
        <v>2331</v>
      </c>
    </row>
    <row r="2212" spans="8:8">
      <c r="B2212" t="s">
        <v>3608</v>
      </c>
      <c r="C2212">
        <v>537750.0</v>
      </c>
      <c r="D2212" t="s">
        <v>339</v>
      </c>
      <c r="E2212" t="s">
        <v>359</v>
      </c>
    </row>
    <row r="2213" spans="8:8">
      <c r="B2213" t="s">
        <v>3609</v>
      </c>
      <c r="C2213">
        <v>532967.0</v>
      </c>
      <c r="D2213" t="s">
        <v>3610</v>
      </c>
      <c r="E2213" t="s">
        <v>499</v>
      </c>
    </row>
    <row r="2214" spans="8:8">
      <c r="B2214" t="s">
        <v>3611</v>
      </c>
      <c r="C2214">
        <v>500241.0</v>
      </c>
      <c r="D2214" t="s">
        <v>3612</v>
      </c>
      <c r="E2214" t="s">
        <v>347</v>
      </c>
    </row>
    <row r="2215" spans="8:8">
      <c r="B2215" t="s">
        <v>3613</v>
      </c>
      <c r="C2215">
        <v>533193.0</v>
      </c>
      <c r="D2215" t="s">
        <v>3614</v>
      </c>
      <c r="E2215" t="s">
        <v>637</v>
      </c>
    </row>
    <row r="2216" spans="8:8">
      <c r="B2216" t="s">
        <v>3615</v>
      </c>
      <c r="C2216">
        <v>500245.0</v>
      </c>
      <c r="D2216" t="s">
        <v>339</v>
      </c>
      <c r="E2216" t="s">
        <v>371</v>
      </c>
    </row>
    <row r="2217" spans="8:8">
      <c r="B2217" t="s">
        <v>3616</v>
      </c>
      <c r="C2217">
        <v>500243.0</v>
      </c>
      <c r="D2217" t="s">
        <v>3617</v>
      </c>
      <c r="E2217" t="s">
        <v>347</v>
      </c>
    </row>
    <row r="2218" spans="8:8">
      <c r="B2218" t="s">
        <v>3618</v>
      </c>
      <c r="C2218">
        <v>533293.0</v>
      </c>
      <c r="D2218" t="s">
        <v>3619</v>
      </c>
      <c r="E2218" t="s">
        <v>694</v>
      </c>
    </row>
    <row r="2219" spans="8:8">
      <c r="B2219" t="s">
        <v>3620</v>
      </c>
      <c r="C2219">
        <v>505283.0</v>
      </c>
      <c r="D2219" t="s">
        <v>339</v>
      </c>
      <c r="E2219" t="s">
        <v>347</v>
      </c>
    </row>
    <row r="2220" spans="8:8">
      <c r="B2220" t="s">
        <v>3621</v>
      </c>
      <c r="C2220">
        <v>530145.0</v>
      </c>
      <c r="D2220" t="s">
        <v>339</v>
      </c>
      <c r="E2220" t="s">
        <v>459</v>
      </c>
    </row>
    <row r="2221" spans="8:8">
      <c r="B2221" t="s">
        <v>3622</v>
      </c>
      <c r="C2221">
        <v>521248.0</v>
      </c>
      <c r="D2221" t="s">
        <v>3623</v>
      </c>
      <c r="E2221" t="s">
        <v>453</v>
      </c>
    </row>
    <row r="2222" spans="8:8">
      <c r="B2222" t="s">
        <v>3624</v>
      </c>
      <c r="C2222">
        <v>532304.0</v>
      </c>
      <c r="D2222" t="s">
        <v>339</v>
      </c>
      <c r="E2222" t="s">
        <v>322</v>
      </c>
    </row>
    <row r="2223" spans="8:8">
      <c r="B2223" t="s">
        <v>3625</v>
      </c>
      <c r="C2223">
        <v>532304.0</v>
      </c>
      <c r="D2223" t="s">
        <v>339</v>
      </c>
      <c r="E2223" t="s">
        <v>322</v>
      </c>
    </row>
    <row r="2224" spans="8:8">
      <c r="B2224" t="s">
        <v>3626</v>
      </c>
      <c r="C2224">
        <v>530235.0</v>
      </c>
      <c r="D2224" t="s">
        <v>339</v>
      </c>
      <c r="E2224" t="s">
        <v>356</v>
      </c>
    </row>
    <row r="2225" spans="8:8">
      <c r="B2225" t="s">
        <v>3627</v>
      </c>
      <c r="C2225">
        <v>526409.0</v>
      </c>
      <c r="D2225" t="s">
        <v>339</v>
      </c>
      <c r="E2225" t="s">
        <v>459</v>
      </c>
    </row>
    <row r="2226" spans="8:8">
      <c r="B2226" t="s">
        <v>3628</v>
      </c>
      <c r="C2226">
        <v>526409.0</v>
      </c>
      <c r="D2226" t="s">
        <v>339</v>
      </c>
      <c r="E2226" t="s">
        <v>459</v>
      </c>
    </row>
    <row r="2227" spans="8:8">
      <c r="B2227" t="s">
        <v>3629</v>
      </c>
      <c r="C2227">
        <v>523652.0</v>
      </c>
      <c r="D2227" t="s">
        <v>339</v>
      </c>
      <c r="E2227" t="s">
        <v>459</v>
      </c>
    </row>
    <row r="2228" spans="8:8">
      <c r="B2228" t="s">
        <v>3630</v>
      </c>
      <c r="C2228">
        <v>521238.0</v>
      </c>
      <c r="D2228" t="s">
        <v>339</v>
      </c>
      <c r="E2228" t="s">
        <v>664</v>
      </c>
    </row>
    <row r="2229" spans="8:8">
      <c r="B2229" t="s">
        <v>3631</v>
      </c>
      <c r="C2229" t="s">
        <v>339</v>
      </c>
      <c r="D2229" t="s">
        <v>3632</v>
      </c>
      <c r="E2229" t="s">
        <v>350</v>
      </c>
    </row>
    <row r="2230" spans="8:8">
      <c r="B2230" t="s">
        <v>3633</v>
      </c>
      <c r="C2230">
        <v>530771.0</v>
      </c>
      <c r="D2230" t="s">
        <v>339</v>
      </c>
      <c r="E2230" t="s">
        <v>356</v>
      </c>
    </row>
    <row r="2231" spans="8:8">
      <c r="B2231" t="s">
        <v>3634</v>
      </c>
      <c r="C2231">
        <v>514221.0</v>
      </c>
      <c r="D2231" t="s">
        <v>339</v>
      </c>
      <c r="E2231" t="s">
        <v>354</v>
      </c>
    </row>
    <row r="2232" spans="8:8">
      <c r="B2232" t="s">
        <v>3635</v>
      </c>
      <c r="C2232">
        <v>517170.0</v>
      </c>
      <c r="D2232" t="s">
        <v>3636</v>
      </c>
      <c r="E2232" t="s">
        <v>637</v>
      </c>
    </row>
    <row r="2233" spans="8:8">
      <c r="B2233" t="s">
        <v>3637</v>
      </c>
      <c r="C2233">
        <v>524520.0</v>
      </c>
      <c r="D2233" t="s">
        <v>339</v>
      </c>
      <c r="E2233" t="s">
        <v>528</v>
      </c>
    </row>
    <row r="2234" spans="8:8">
      <c r="B2234" t="s">
        <v>3638</v>
      </c>
      <c r="C2234">
        <v>524520.0</v>
      </c>
      <c r="D2234" t="s">
        <v>339</v>
      </c>
      <c r="E2234" t="s">
        <v>528</v>
      </c>
    </row>
    <row r="2235" spans="8:8">
      <c r="B2235" t="s">
        <v>3639</v>
      </c>
      <c r="C2235">
        <v>531578.0</v>
      </c>
      <c r="D2235" t="s">
        <v>339</v>
      </c>
      <c r="E2235" t="s">
        <v>425</v>
      </c>
    </row>
    <row r="2236" spans="8:8">
      <c r="B2236" t="s">
        <v>3640</v>
      </c>
      <c r="C2236">
        <v>519415.0</v>
      </c>
      <c r="D2236" t="s">
        <v>339</v>
      </c>
      <c r="E2236" t="s">
        <v>399</v>
      </c>
    </row>
    <row r="2237" spans="8:8">
      <c r="B2237" t="s">
        <v>3641</v>
      </c>
      <c r="C2237">
        <v>540468.0</v>
      </c>
      <c r="D2237" t="s">
        <v>339</v>
      </c>
      <c r="E2237" t="s">
        <v>1303</v>
      </c>
    </row>
    <row r="2238" spans="8:8">
      <c r="B2238" t="s">
        <v>3642</v>
      </c>
      <c r="C2238">
        <v>532942.0</v>
      </c>
      <c r="D2238" t="s">
        <v>3643</v>
      </c>
      <c r="E2238" t="s">
        <v>737</v>
      </c>
    </row>
    <row r="2239" spans="8:8">
      <c r="B2239" t="s">
        <v>3644</v>
      </c>
      <c r="C2239">
        <v>512559.0</v>
      </c>
      <c r="D2239" t="s">
        <v>3645</v>
      </c>
      <c r="E2239" t="s">
        <v>537</v>
      </c>
    </row>
    <row r="2240" spans="8:8">
      <c r="B2240" t="s">
        <v>3646</v>
      </c>
      <c r="C2240">
        <v>523207.0</v>
      </c>
      <c r="D2240" t="s">
        <v>3647</v>
      </c>
      <c r="E2240" t="s">
        <v>885</v>
      </c>
    </row>
    <row r="2241" spans="8:8">
      <c r="B2241" t="s">
        <v>3648</v>
      </c>
      <c r="C2241">
        <v>532924.0</v>
      </c>
      <c r="D2241" t="s">
        <v>3649</v>
      </c>
      <c r="E2241" t="s">
        <v>425</v>
      </c>
    </row>
    <row r="2242" spans="8:8">
      <c r="B2242" t="s">
        <v>3650</v>
      </c>
      <c r="C2242">
        <v>539910.0</v>
      </c>
      <c r="D2242" t="s">
        <v>339</v>
      </c>
      <c r="E2242" t="s">
        <v>342</v>
      </c>
    </row>
    <row r="2243" spans="8:8">
      <c r="B2243" t="s">
        <v>3651</v>
      </c>
      <c r="C2243">
        <v>514128.0</v>
      </c>
      <c r="D2243" t="s">
        <v>339</v>
      </c>
      <c r="E2243" t="s">
        <v>354</v>
      </c>
    </row>
    <row r="2244" spans="8:8">
      <c r="B2244" t="s">
        <v>3652</v>
      </c>
      <c r="C2244">
        <v>524280.0</v>
      </c>
      <c r="D2244" t="s">
        <v>3653</v>
      </c>
      <c r="E2244" t="s">
        <v>377</v>
      </c>
    </row>
    <row r="2245" spans="8:8">
      <c r="B2245" t="s">
        <v>3654</v>
      </c>
      <c r="C2245">
        <v>500247.0</v>
      </c>
      <c r="D2245" t="s">
        <v>3655</v>
      </c>
      <c r="E2245" t="s">
        <v>657</v>
      </c>
    </row>
    <row r="2246" spans="8:8">
      <c r="B2246" t="s">
        <v>3656</v>
      </c>
      <c r="C2246">
        <v>590097.0</v>
      </c>
      <c r="D2246" t="s">
        <v>3657</v>
      </c>
      <c r="E2246" t="s">
        <v>322</v>
      </c>
    </row>
    <row r="2247" spans="8:8">
      <c r="B2247" t="s">
        <v>3658</v>
      </c>
      <c r="C2247">
        <v>590107.0</v>
      </c>
      <c r="D2247" t="s">
        <v>3659</v>
      </c>
      <c r="E2247" t="s">
        <v>322</v>
      </c>
    </row>
    <row r="2248" spans="8:8">
      <c r="B2248" t="s">
        <v>3660</v>
      </c>
      <c r="C2248">
        <v>532985.0</v>
      </c>
      <c r="D2248" t="s">
        <v>3661</v>
      </c>
      <c r="E2248" t="s">
        <v>322</v>
      </c>
    </row>
    <row r="2249" spans="8:8">
      <c r="B2249" t="s">
        <v>3662</v>
      </c>
      <c r="C2249">
        <v>507474.0</v>
      </c>
      <c r="D2249" t="s">
        <v>339</v>
      </c>
      <c r="E2249" t="s">
        <v>419</v>
      </c>
    </row>
    <row r="2250" spans="8:8">
      <c r="B2250" t="s">
        <v>3663</v>
      </c>
      <c r="C2250" t="s">
        <v>339</v>
      </c>
      <c r="D2250" t="s">
        <v>3664</v>
      </c>
      <c r="E2250" t="s">
        <v>430</v>
      </c>
    </row>
    <row r="2251" spans="8:8">
      <c r="B2251" t="s">
        <v>3665</v>
      </c>
      <c r="C2251">
        <v>530299.0</v>
      </c>
      <c r="D2251" t="s">
        <v>3666</v>
      </c>
      <c r="E2251" t="s">
        <v>361</v>
      </c>
    </row>
    <row r="2252" spans="8:8">
      <c r="B2252" t="s">
        <v>3667</v>
      </c>
      <c r="C2252" t="s">
        <v>339</v>
      </c>
      <c r="D2252" t="s">
        <v>3668</v>
      </c>
      <c r="E2252" t="s">
        <v>430</v>
      </c>
    </row>
    <row r="2253" spans="8:8">
      <c r="B2253" t="s">
        <v>3669</v>
      </c>
      <c r="C2253">
        <v>511138.0</v>
      </c>
      <c r="D2253" t="s">
        <v>339</v>
      </c>
      <c r="E2253" t="s">
        <v>356</v>
      </c>
    </row>
    <row r="2254" spans="8:8">
      <c r="B2254" t="s">
        <v>3670</v>
      </c>
      <c r="C2254">
        <v>539599.0</v>
      </c>
      <c r="D2254" t="s">
        <v>339</v>
      </c>
      <c r="E2254" t="s">
        <v>373</v>
      </c>
    </row>
    <row r="2255" spans="8:8">
      <c r="B2255" t="s">
        <v>3671</v>
      </c>
      <c r="C2255">
        <v>523323.0</v>
      </c>
      <c r="D2255" t="s">
        <v>339</v>
      </c>
      <c r="E2255" t="s">
        <v>528</v>
      </c>
    </row>
    <row r="2256" spans="8:8">
      <c r="B2256" t="s">
        <v>3672</v>
      </c>
      <c r="C2256">
        <v>505585.0</v>
      </c>
      <c r="D2256" t="s">
        <v>339</v>
      </c>
      <c r="E2256" t="s">
        <v>760</v>
      </c>
    </row>
    <row r="2257" spans="8:8">
      <c r="B2257" t="s">
        <v>3673</v>
      </c>
      <c r="C2257">
        <v>507598.0</v>
      </c>
      <c r="D2257" t="s">
        <v>339</v>
      </c>
      <c r="E2257" t="s">
        <v>419</v>
      </c>
    </row>
    <row r="2258" spans="8:8">
      <c r="B2258" t="s">
        <v>3674</v>
      </c>
      <c r="C2258">
        <v>532400.0</v>
      </c>
      <c r="D2258" t="s">
        <v>3675</v>
      </c>
      <c r="E2258" t="s">
        <v>325</v>
      </c>
    </row>
    <row r="2259" spans="8:8">
      <c r="B2259" t="s">
        <v>3676</v>
      </c>
      <c r="C2259">
        <v>542651.0</v>
      </c>
      <c r="D2259" t="s">
        <v>3677</v>
      </c>
      <c r="E2259" t="s">
        <v>3678</v>
      </c>
    </row>
    <row r="2260" spans="8:8">
      <c r="B2260" t="s">
        <v>3679</v>
      </c>
      <c r="C2260">
        <v>542459.0</v>
      </c>
      <c r="D2260" t="s">
        <v>3680</v>
      </c>
      <c r="E2260" t="s">
        <v>3678</v>
      </c>
    </row>
    <row r="2261" spans="8:8">
      <c r="B2261" t="s">
        <v>3681</v>
      </c>
      <c r="C2261">
        <v>501261.0</v>
      </c>
      <c r="D2261" t="s">
        <v>339</v>
      </c>
      <c r="E2261" t="s">
        <v>322</v>
      </c>
    </row>
    <row r="2262" spans="8:8">
      <c r="B2262" t="s">
        <v>3682</v>
      </c>
      <c r="C2262">
        <v>530813.0</v>
      </c>
      <c r="D2262" t="s">
        <v>3683</v>
      </c>
      <c r="E2262" t="s">
        <v>399</v>
      </c>
    </row>
    <row r="2263" spans="8:8">
      <c r="B2263" t="s">
        <v>3684</v>
      </c>
      <c r="C2263">
        <v>524518.0</v>
      </c>
      <c r="D2263" t="s">
        <v>3685</v>
      </c>
      <c r="E2263" t="s">
        <v>377</v>
      </c>
    </row>
    <row r="2264" spans="8:8">
      <c r="B2264" t="s">
        <v>3686</v>
      </c>
      <c r="C2264">
        <v>530139.0</v>
      </c>
      <c r="D2264" t="s">
        <v>339</v>
      </c>
      <c r="E2264" t="s">
        <v>356</v>
      </c>
    </row>
    <row r="2265" spans="8:8">
      <c r="B2265" t="s">
        <v>3687</v>
      </c>
      <c r="C2265">
        <v>531328.0</v>
      </c>
      <c r="D2265" t="s">
        <v>339</v>
      </c>
      <c r="E2265" t="s">
        <v>1303</v>
      </c>
    </row>
    <row r="2266" spans="8:8">
      <c r="B2266" t="s">
        <v>3688</v>
      </c>
      <c r="C2266">
        <v>533482.0</v>
      </c>
      <c r="D2266" t="s">
        <v>3689</v>
      </c>
      <c r="E2266" t="s">
        <v>737</v>
      </c>
    </row>
    <row r="2267" spans="8:8">
      <c r="B2267" t="s">
        <v>3690</v>
      </c>
      <c r="C2267" t="s">
        <v>339</v>
      </c>
      <c r="D2267" t="s">
        <v>3691</v>
      </c>
      <c r="E2267" t="s">
        <v>350</v>
      </c>
    </row>
    <row r="2268" spans="8:8">
      <c r="B2268" t="s">
        <v>3692</v>
      </c>
      <c r="C2268">
        <v>539384.0</v>
      </c>
      <c r="D2268" t="s">
        <v>339</v>
      </c>
      <c r="E2268" t="s">
        <v>356</v>
      </c>
    </row>
    <row r="2269" spans="8:8">
      <c r="B2269" t="s">
        <v>3693</v>
      </c>
      <c r="C2269">
        <v>504392.0</v>
      </c>
      <c r="D2269" t="s">
        <v>339</v>
      </c>
      <c r="E2269" t="s">
        <v>322</v>
      </c>
    </row>
    <row r="2270" spans="8:8">
      <c r="B2270" t="s">
        <v>3694</v>
      </c>
      <c r="C2270">
        <v>526423.0</v>
      </c>
      <c r="D2270" t="s">
        <v>339</v>
      </c>
      <c r="E2270" t="s">
        <v>459</v>
      </c>
    </row>
    <row r="2271" spans="8:8">
      <c r="B2271" t="s">
        <v>3695</v>
      </c>
      <c r="C2271">
        <v>526423.0</v>
      </c>
      <c r="D2271" t="s">
        <v>339</v>
      </c>
      <c r="E2271" t="s">
        <v>459</v>
      </c>
    </row>
    <row r="2272" spans="8:8">
      <c r="B2272" t="s">
        <v>3696</v>
      </c>
      <c r="C2272">
        <v>533210.0</v>
      </c>
      <c r="D2272" t="s">
        <v>339</v>
      </c>
      <c r="E2272" t="s">
        <v>588</v>
      </c>
    </row>
    <row r="2273" spans="8:8">
      <c r="B2273" t="s">
        <v>3697</v>
      </c>
      <c r="C2273" t="s">
        <v>339</v>
      </c>
      <c r="D2273" t="s">
        <v>3698</v>
      </c>
      <c r="E2273" t="s">
        <v>350</v>
      </c>
    </row>
    <row r="2274" spans="8:8">
      <c r="B2274" t="s">
        <v>3699</v>
      </c>
      <c r="C2274">
        <v>523550.0</v>
      </c>
      <c r="D2274" t="s">
        <v>339</v>
      </c>
      <c r="E2274" t="s">
        <v>328</v>
      </c>
    </row>
    <row r="2275" spans="8:8">
      <c r="B2275" t="s">
        <v>3700</v>
      </c>
      <c r="C2275">
        <v>500249.0</v>
      </c>
      <c r="D2275" t="s">
        <v>3701</v>
      </c>
      <c r="E2275" t="s">
        <v>347</v>
      </c>
    </row>
    <row r="2276" spans="8:8">
      <c r="B2276" t="s">
        <v>3702</v>
      </c>
      <c r="C2276">
        <v>519421.0</v>
      </c>
      <c r="D2276" t="s">
        <v>339</v>
      </c>
      <c r="E2276" t="s">
        <v>399</v>
      </c>
    </row>
    <row r="2277" spans="8:8">
      <c r="B2277" t="s">
        <v>3703</v>
      </c>
      <c r="C2277" t="s">
        <v>339</v>
      </c>
      <c r="D2277" t="s">
        <v>3704</v>
      </c>
      <c r="E2277" t="s">
        <v>350</v>
      </c>
    </row>
    <row r="2278" spans="8:8">
      <c r="B2278" t="s">
        <v>3705</v>
      </c>
      <c r="C2278">
        <v>503626.0</v>
      </c>
      <c r="D2278" t="s">
        <v>339</v>
      </c>
      <c r="E2278" t="s">
        <v>322</v>
      </c>
    </row>
    <row r="2279" spans="8:8">
      <c r="B2279" t="s">
        <v>3706</v>
      </c>
      <c r="C2279">
        <v>532997.0</v>
      </c>
      <c r="D2279" t="s">
        <v>3707</v>
      </c>
      <c r="E2279" t="s">
        <v>478</v>
      </c>
    </row>
    <row r="2280" spans="8:8">
      <c r="B2280" t="s">
        <v>3708</v>
      </c>
      <c r="C2280">
        <v>530149.0</v>
      </c>
      <c r="D2280" t="s">
        <v>339</v>
      </c>
      <c r="E2280" t="s">
        <v>354</v>
      </c>
    </row>
    <row r="2281" spans="8:8">
      <c r="B2281" t="s">
        <v>3709</v>
      </c>
      <c r="C2281">
        <v>532081.0</v>
      </c>
      <c r="D2281" t="s">
        <v>3710</v>
      </c>
      <c r="E2281" t="s">
        <v>342</v>
      </c>
    </row>
    <row r="2282" spans="8:8">
      <c r="B2282" t="s">
        <v>3711</v>
      </c>
      <c r="C2282">
        <v>532937.0</v>
      </c>
      <c r="D2282" t="s">
        <v>339</v>
      </c>
      <c r="E2282" t="s">
        <v>333</v>
      </c>
    </row>
    <row r="2283" spans="8:8">
      <c r="B2283" t="s">
        <v>3712</v>
      </c>
      <c r="C2283">
        <v>539408.0</v>
      </c>
      <c r="D2283" t="s">
        <v>339</v>
      </c>
      <c r="E2283" t="s">
        <v>356</v>
      </c>
    </row>
    <row r="2284" spans="8:8">
      <c r="B2284" t="s">
        <v>3713</v>
      </c>
      <c r="C2284">
        <v>505299.0</v>
      </c>
      <c r="D2284" t="s">
        <v>339</v>
      </c>
      <c r="E2284" t="s">
        <v>347</v>
      </c>
    </row>
    <row r="2285" spans="8:8">
      <c r="B2285" t="s">
        <v>3714</v>
      </c>
      <c r="C2285">
        <v>513703.0</v>
      </c>
      <c r="D2285" t="s">
        <v>339</v>
      </c>
      <c r="E2285" t="s">
        <v>354</v>
      </c>
    </row>
    <row r="2286" spans="8:8">
      <c r="B2286" t="s">
        <v>3715</v>
      </c>
      <c r="C2286">
        <v>523594.0</v>
      </c>
      <c r="D2286" t="s">
        <v>339</v>
      </c>
      <c r="E2286" t="s">
        <v>459</v>
      </c>
    </row>
    <row r="2287" spans="8:8">
      <c r="B2287" t="s">
        <v>3716</v>
      </c>
      <c r="C2287">
        <v>511048.0</v>
      </c>
      <c r="D2287" t="s">
        <v>339</v>
      </c>
      <c r="E2287" t="s">
        <v>361</v>
      </c>
    </row>
    <row r="2288" spans="8:8">
      <c r="B2288" t="s">
        <v>3717</v>
      </c>
      <c r="C2288">
        <v>514240.0</v>
      </c>
      <c r="D2288" t="s">
        <v>339</v>
      </c>
      <c r="E2288" t="s">
        <v>354</v>
      </c>
    </row>
    <row r="2289" spans="8:8">
      <c r="B2289" t="s">
        <v>3718</v>
      </c>
      <c r="C2289">
        <v>536170.0</v>
      </c>
      <c r="D2289" t="s">
        <v>339</v>
      </c>
      <c r="E2289" t="s">
        <v>361</v>
      </c>
    </row>
    <row r="2290" spans="8:8">
      <c r="B2290" t="s">
        <v>3719</v>
      </c>
      <c r="C2290">
        <v>530421.0</v>
      </c>
      <c r="D2290" t="s">
        <v>339</v>
      </c>
      <c r="E2290" t="s">
        <v>387</v>
      </c>
    </row>
    <row r="2291" spans="8:8">
      <c r="B2291" t="s">
        <v>3720</v>
      </c>
      <c r="C2291">
        <v>531206.0</v>
      </c>
      <c r="D2291" t="s">
        <v>339</v>
      </c>
      <c r="E2291" t="s">
        <v>356</v>
      </c>
    </row>
    <row r="2292" spans="8:8">
      <c r="B2292" t="s">
        <v>3721</v>
      </c>
      <c r="C2292">
        <v>531882.0</v>
      </c>
      <c r="D2292" t="s">
        <v>3722</v>
      </c>
      <c r="E2292" t="s">
        <v>399</v>
      </c>
    </row>
    <row r="2293" spans="8:8">
      <c r="B2293" t="s">
        <v>3723</v>
      </c>
      <c r="C2293">
        <v>539997.0</v>
      </c>
      <c r="D2293" t="s">
        <v>339</v>
      </c>
      <c r="E2293" t="s">
        <v>377</v>
      </c>
    </row>
    <row r="2294" spans="8:8">
      <c r="B2294" t="s">
        <v>3724</v>
      </c>
      <c r="C2294">
        <v>537669.0</v>
      </c>
      <c r="D2294" t="s">
        <v>339</v>
      </c>
      <c r="E2294" t="s">
        <v>417</v>
      </c>
    </row>
    <row r="2295" spans="8:8">
      <c r="B2295" t="s">
        <v>3725</v>
      </c>
      <c r="C2295">
        <v>533519.0</v>
      </c>
      <c r="D2295" t="s">
        <v>3726</v>
      </c>
      <c r="E2295" t="s">
        <v>505</v>
      </c>
    </row>
    <row r="2296" spans="8:8">
      <c r="B2296" t="s">
        <v>3727</v>
      </c>
      <c r="C2296">
        <v>540115.0</v>
      </c>
      <c r="D2296" t="s">
        <v>3728</v>
      </c>
      <c r="E2296" t="s">
        <v>345</v>
      </c>
    </row>
    <row r="2297" spans="8:8">
      <c r="B2297" t="s">
        <v>3729</v>
      </c>
      <c r="C2297">
        <v>526947.0</v>
      </c>
      <c r="D2297" t="s">
        <v>3730</v>
      </c>
      <c r="E2297" t="s">
        <v>1384</v>
      </c>
    </row>
    <row r="2298" spans="8:8">
      <c r="B2298" t="s">
        <v>3731</v>
      </c>
      <c r="C2298">
        <v>505693.0</v>
      </c>
      <c r="D2298" t="s">
        <v>3732</v>
      </c>
      <c r="E2298" t="s">
        <v>524</v>
      </c>
    </row>
    <row r="2299" spans="8:8">
      <c r="B2299" t="s">
        <v>3733</v>
      </c>
      <c r="C2299">
        <v>524202.0</v>
      </c>
      <c r="D2299" t="s">
        <v>339</v>
      </c>
      <c r="E2299" t="s">
        <v>419</v>
      </c>
    </row>
    <row r="2300" spans="8:8">
      <c r="B2300" t="s">
        <v>3734</v>
      </c>
      <c r="C2300">
        <v>524202.0</v>
      </c>
      <c r="D2300" t="s">
        <v>339</v>
      </c>
      <c r="E2300" t="s">
        <v>419</v>
      </c>
    </row>
    <row r="2301" spans="8:8">
      <c r="B2301" t="s">
        <v>3735</v>
      </c>
      <c r="C2301">
        <v>540026.0</v>
      </c>
      <c r="D2301" t="s">
        <v>339</v>
      </c>
      <c r="E2301" t="s">
        <v>425</v>
      </c>
    </row>
    <row r="2302" spans="8:8">
      <c r="B2302" t="s">
        <v>3736</v>
      </c>
      <c r="C2302">
        <v>530577.0</v>
      </c>
      <c r="D2302" t="s">
        <v>339</v>
      </c>
      <c r="E2302" t="s">
        <v>356</v>
      </c>
    </row>
    <row r="2303" spans="8:8">
      <c r="B2303" t="s">
        <v>3737</v>
      </c>
      <c r="C2303">
        <v>524522.0</v>
      </c>
      <c r="D2303" t="s">
        <v>339</v>
      </c>
      <c r="E2303" t="s">
        <v>387</v>
      </c>
    </row>
    <row r="2304" spans="8:8">
      <c r="B2304" t="s">
        <v>3738</v>
      </c>
      <c r="C2304" t="s">
        <v>339</v>
      </c>
      <c r="D2304" t="s">
        <v>3739</v>
      </c>
      <c r="E2304" t="s">
        <v>350</v>
      </c>
    </row>
    <row r="2305" spans="8:8">
      <c r="B2305" t="s">
        <v>3740</v>
      </c>
      <c r="C2305">
        <v>531842.0</v>
      </c>
      <c r="D2305" t="s">
        <v>339</v>
      </c>
      <c r="E2305" t="s">
        <v>361</v>
      </c>
    </row>
    <row r="2306" spans="8:8">
      <c r="B2306" t="s">
        <v>3741</v>
      </c>
      <c r="C2306">
        <v>535387.0</v>
      </c>
      <c r="D2306" t="s">
        <v>339</v>
      </c>
      <c r="E2306" t="s">
        <v>354</v>
      </c>
    </row>
    <row r="2307" spans="8:8">
      <c r="B2307" t="s">
        <v>3742</v>
      </c>
      <c r="C2307">
        <v>535387.0</v>
      </c>
      <c r="D2307" t="s">
        <v>339</v>
      </c>
      <c r="E2307" t="s">
        <v>354</v>
      </c>
    </row>
    <row r="2308" spans="8:8">
      <c r="B2308" t="s">
        <v>3743</v>
      </c>
      <c r="C2308">
        <v>505302.0</v>
      </c>
      <c r="D2308" t="s">
        <v>339</v>
      </c>
      <c r="E2308" t="s">
        <v>347</v>
      </c>
    </row>
    <row r="2309" spans="8:8">
      <c r="B2309" t="s">
        <v>3744</v>
      </c>
      <c r="C2309">
        <v>504258.0</v>
      </c>
      <c r="D2309" t="s">
        <v>339</v>
      </c>
      <c r="E2309" t="s">
        <v>637</v>
      </c>
    </row>
    <row r="2310" spans="8:8">
      <c r="B2310" t="s">
        <v>3745</v>
      </c>
      <c r="C2310" t="s">
        <v>339</v>
      </c>
      <c r="D2310" t="s">
        <v>3746</v>
      </c>
      <c r="E2310" t="s">
        <v>430</v>
      </c>
    </row>
    <row r="2311" spans="8:8">
      <c r="B2311" t="s">
        <v>3747</v>
      </c>
      <c r="C2311">
        <v>500252.0</v>
      </c>
      <c r="D2311" t="s">
        <v>3748</v>
      </c>
      <c r="E2311" t="s">
        <v>347</v>
      </c>
    </row>
    <row r="2312" spans="8:8">
      <c r="B2312" t="s">
        <v>3749</v>
      </c>
      <c r="C2312">
        <v>502958.0</v>
      </c>
      <c r="D2312" t="s">
        <v>339</v>
      </c>
      <c r="E2312" t="s">
        <v>354</v>
      </c>
    </row>
    <row r="2313" spans="8:8">
      <c r="B2313" t="s">
        <v>3750</v>
      </c>
      <c r="C2313">
        <v>506079.0</v>
      </c>
      <c r="D2313" t="s">
        <v>3751</v>
      </c>
      <c r="E2313" t="s">
        <v>662</v>
      </c>
    </row>
    <row r="2314" spans="8:8">
      <c r="B2314" t="s">
        <v>3752</v>
      </c>
      <c r="C2314">
        <v>534690.0</v>
      </c>
      <c r="D2314" t="s">
        <v>3753</v>
      </c>
      <c r="E2314" t="s">
        <v>657</v>
      </c>
    </row>
    <row r="2315" spans="8:8">
      <c r="B2315" t="s">
        <v>3754</v>
      </c>
      <c r="C2315">
        <v>590075.0</v>
      </c>
      <c r="D2315" t="s">
        <v>3755</v>
      </c>
      <c r="E2315" t="s">
        <v>354</v>
      </c>
    </row>
    <row r="2316" spans="8:8">
      <c r="B2316" t="s">
        <v>3756</v>
      </c>
      <c r="C2316">
        <v>539841.0</v>
      </c>
      <c r="D2316" t="s">
        <v>339</v>
      </c>
      <c r="E2316" t="s">
        <v>660</v>
      </c>
    </row>
    <row r="2317" spans="8:8">
      <c r="B2317" t="s">
        <v>3757</v>
      </c>
      <c r="C2317">
        <v>509048.0</v>
      </c>
      <c r="D2317" t="s">
        <v>339</v>
      </c>
      <c r="E2317" t="s">
        <v>425</v>
      </c>
    </row>
    <row r="2318" spans="8:8">
      <c r="B2318" t="s">
        <v>3758</v>
      </c>
      <c r="C2318">
        <v>532275.0</v>
      </c>
      <c r="D2318" t="s">
        <v>339</v>
      </c>
      <c r="E2318" t="s">
        <v>356</v>
      </c>
    </row>
    <row r="2319" spans="8:8">
      <c r="B2319" t="s">
        <v>3759</v>
      </c>
      <c r="C2319">
        <v>533012.0</v>
      </c>
      <c r="D2319" t="s">
        <v>3760</v>
      </c>
      <c r="E2319" t="s">
        <v>425</v>
      </c>
    </row>
    <row r="2320" spans="8:8">
      <c r="B2320" t="s">
        <v>3761</v>
      </c>
      <c r="C2320">
        <v>540005.0</v>
      </c>
      <c r="D2320" t="s">
        <v>3762</v>
      </c>
      <c r="E2320" t="s">
        <v>325</v>
      </c>
    </row>
    <row r="2321" spans="8:8">
      <c r="B2321" t="s">
        <v>3763</v>
      </c>
      <c r="C2321">
        <v>500510.0</v>
      </c>
      <c r="D2321" t="s">
        <v>3764</v>
      </c>
      <c r="E2321" t="s">
        <v>737</v>
      </c>
    </row>
    <row r="2322" spans="8:8">
      <c r="B2322" t="s">
        <v>3765</v>
      </c>
      <c r="C2322">
        <v>540702.0</v>
      </c>
      <c r="D2322" t="s">
        <v>3766</v>
      </c>
      <c r="E2322" t="s">
        <v>528</v>
      </c>
    </row>
    <row r="2323" spans="8:8">
      <c r="B2323" t="s">
        <v>3767</v>
      </c>
      <c r="C2323">
        <v>531164.0</v>
      </c>
      <c r="D2323" t="s">
        <v>339</v>
      </c>
      <c r="E2323" t="s">
        <v>453</v>
      </c>
    </row>
    <row r="2324" spans="8:8">
      <c r="B2324" t="s">
        <v>3768</v>
      </c>
      <c r="C2324">
        <v>539909.0</v>
      </c>
      <c r="D2324" t="s">
        <v>339</v>
      </c>
      <c r="E2324" t="s">
        <v>356</v>
      </c>
    </row>
    <row r="2325" spans="8:8">
      <c r="B2325" t="s">
        <v>3769</v>
      </c>
      <c r="C2325" t="s">
        <v>339</v>
      </c>
      <c r="D2325" t="s">
        <v>3770</v>
      </c>
      <c r="E2325" t="s">
        <v>350</v>
      </c>
    </row>
    <row r="2326" spans="8:8">
      <c r="B2326" t="s">
        <v>3771</v>
      </c>
      <c r="C2326">
        <v>540222.0</v>
      </c>
      <c r="D2326" t="s">
        <v>3772</v>
      </c>
      <c r="E2326" t="s">
        <v>377</v>
      </c>
    </row>
    <row r="2327" spans="8:8">
      <c r="B2327" t="s">
        <v>3773</v>
      </c>
      <c r="C2327">
        <v>532829.0</v>
      </c>
      <c r="D2327" t="s">
        <v>339</v>
      </c>
      <c r="E2327" t="s">
        <v>765</v>
      </c>
    </row>
    <row r="2328" spans="8:8">
      <c r="B2328" t="s">
        <v>3774</v>
      </c>
      <c r="C2328" t="s">
        <v>339</v>
      </c>
      <c r="D2328" t="s">
        <v>3775</v>
      </c>
      <c r="E2328" t="s">
        <v>350</v>
      </c>
    </row>
    <row r="2329" spans="8:8">
      <c r="B2329" t="s">
        <v>3776</v>
      </c>
      <c r="C2329">
        <v>531288.0</v>
      </c>
      <c r="D2329" t="s">
        <v>339</v>
      </c>
      <c r="E2329" t="s">
        <v>356</v>
      </c>
    </row>
    <row r="2330" spans="8:8">
      <c r="B2330" t="s">
        <v>3777</v>
      </c>
      <c r="C2330">
        <v>540360.0</v>
      </c>
      <c r="D2330" t="s">
        <v>339</v>
      </c>
      <c r="E2330" t="s">
        <v>322</v>
      </c>
    </row>
    <row r="2331" spans="8:8">
      <c r="B2331" t="s">
        <v>3778</v>
      </c>
      <c r="C2331">
        <v>508306.0</v>
      </c>
      <c r="D2331" t="s">
        <v>339</v>
      </c>
      <c r="E2331" t="s">
        <v>746</v>
      </c>
    </row>
    <row r="2332" spans="8:8">
      <c r="B2332" t="s">
        <v>3779</v>
      </c>
      <c r="C2332">
        <v>517415.0</v>
      </c>
      <c r="D2332" t="s">
        <v>339</v>
      </c>
      <c r="E2332" t="s">
        <v>669</v>
      </c>
    </row>
    <row r="2333" spans="8:8">
      <c r="B2333" t="s">
        <v>3780</v>
      </c>
      <c r="C2333">
        <v>517518.0</v>
      </c>
      <c r="D2333" t="s">
        <v>3781</v>
      </c>
      <c r="E2333" t="s">
        <v>347</v>
      </c>
    </row>
    <row r="2334" spans="8:8">
      <c r="B2334" t="s">
        <v>3782</v>
      </c>
      <c r="C2334">
        <v>509046.0</v>
      </c>
      <c r="D2334" t="s">
        <v>339</v>
      </c>
      <c r="E2334" t="s">
        <v>760</v>
      </c>
    </row>
    <row r="2335" spans="8:8">
      <c r="B2335" t="s">
        <v>3783</v>
      </c>
      <c r="C2335">
        <v>780021.0</v>
      </c>
      <c r="D2335" t="s">
        <v>339</v>
      </c>
      <c r="E2335" t="s">
        <v>430</v>
      </c>
    </row>
    <row r="2336" spans="8:8">
      <c r="B2336" t="s">
        <v>3784</v>
      </c>
      <c r="C2336">
        <v>541233.0</v>
      </c>
      <c r="D2336" t="s">
        <v>3785</v>
      </c>
      <c r="E2336" t="s">
        <v>540</v>
      </c>
    </row>
    <row r="2337" spans="8:8">
      <c r="B2337" t="s">
        <v>3786</v>
      </c>
      <c r="C2337">
        <v>533602.0</v>
      </c>
      <c r="D2337" t="s">
        <v>339</v>
      </c>
      <c r="E2337" t="s">
        <v>359</v>
      </c>
    </row>
    <row r="2338" spans="8:8">
      <c r="B2338" t="s">
        <v>3787</v>
      </c>
      <c r="C2338">
        <v>541196.0</v>
      </c>
      <c r="D2338" t="s">
        <v>339</v>
      </c>
      <c r="E2338" t="s">
        <v>423</v>
      </c>
    </row>
    <row r="2339" spans="8:8">
      <c r="B2339" t="s">
        <v>3788</v>
      </c>
      <c r="C2339" t="s">
        <v>339</v>
      </c>
      <c r="D2339" t="s">
        <v>3789</v>
      </c>
      <c r="E2339" t="s">
        <v>350</v>
      </c>
    </row>
    <row r="2340" spans="8:8">
      <c r="B2340" t="s">
        <v>3790</v>
      </c>
      <c r="C2340" t="s">
        <v>339</v>
      </c>
      <c r="D2340" t="s">
        <v>3789</v>
      </c>
      <c r="E2340" t="s">
        <v>350</v>
      </c>
    </row>
    <row r="2341" spans="8:8">
      <c r="B2341" t="s">
        <v>3791</v>
      </c>
      <c r="C2341">
        <v>500250.0</v>
      </c>
      <c r="D2341" t="s">
        <v>3792</v>
      </c>
      <c r="E2341" t="s">
        <v>694</v>
      </c>
    </row>
    <row r="2342" spans="8:8">
      <c r="B2342" t="s">
        <v>3793</v>
      </c>
      <c r="C2342">
        <v>533007.0</v>
      </c>
      <c r="D2342" t="s">
        <v>3794</v>
      </c>
      <c r="E2342" t="s">
        <v>1258</v>
      </c>
    </row>
    <row r="2343" spans="8:8">
      <c r="B2343" t="s">
        <v>3795</v>
      </c>
      <c r="C2343" t="s">
        <v>339</v>
      </c>
      <c r="D2343" t="s">
        <v>3796</v>
      </c>
      <c r="E2343" t="s">
        <v>350</v>
      </c>
    </row>
    <row r="2344" spans="8:8">
      <c r="B2344" t="s">
        <v>3797</v>
      </c>
      <c r="C2344">
        <v>526596.0</v>
      </c>
      <c r="D2344" t="s">
        <v>3798</v>
      </c>
      <c r="E2344" t="s">
        <v>765</v>
      </c>
    </row>
    <row r="2345" spans="8:8">
      <c r="B2345" t="s">
        <v>3799</v>
      </c>
      <c r="C2345">
        <v>511593.0</v>
      </c>
      <c r="D2345" t="s">
        <v>339</v>
      </c>
      <c r="E2345" t="s">
        <v>356</v>
      </c>
    </row>
    <row r="2346" spans="8:8">
      <c r="B2346" t="s">
        <v>3800</v>
      </c>
      <c r="C2346">
        <v>531027.0</v>
      </c>
      <c r="D2346" t="s">
        <v>339</v>
      </c>
      <c r="E2346" t="s">
        <v>322</v>
      </c>
    </row>
    <row r="2347" spans="8:8">
      <c r="B2347" t="s">
        <v>3801</v>
      </c>
      <c r="C2347">
        <v>500253.0</v>
      </c>
      <c r="D2347" t="s">
        <v>3802</v>
      </c>
      <c r="E2347" t="s">
        <v>397</v>
      </c>
    </row>
    <row r="2348" spans="8:8">
      <c r="B2348" t="s">
        <v>3803</v>
      </c>
      <c r="C2348">
        <v>539927.0</v>
      </c>
      <c r="D2348" t="s">
        <v>339</v>
      </c>
      <c r="E2348" t="s">
        <v>423</v>
      </c>
    </row>
    <row r="2349" spans="8:8">
      <c r="B2349" t="s">
        <v>3804</v>
      </c>
      <c r="C2349">
        <v>507759.0</v>
      </c>
      <c r="D2349" t="s">
        <v>339</v>
      </c>
      <c r="E2349" t="s">
        <v>387</v>
      </c>
    </row>
    <row r="2350" spans="8:8">
      <c r="B2350" t="s">
        <v>3805</v>
      </c>
      <c r="C2350">
        <v>517463.0</v>
      </c>
      <c r="D2350" t="s">
        <v>3806</v>
      </c>
      <c r="E2350" t="s">
        <v>881</v>
      </c>
    </row>
    <row r="2351" spans="8:8">
      <c r="B2351" t="s">
        <v>3807</v>
      </c>
      <c r="C2351">
        <v>531241.0</v>
      </c>
      <c r="D2351" t="s">
        <v>3808</v>
      </c>
      <c r="E2351" t="s">
        <v>885</v>
      </c>
    </row>
    <row r="2352" spans="8:8">
      <c r="B2352" t="s">
        <v>3809</v>
      </c>
      <c r="C2352">
        <v>531633.0</v>
      </c>
      <c r="D2352" t="s">
        <v>3810</v>
      </c>
      <c r="E2352" t="s">
        <v>377</v>
      </c>
    </row>
    <row r="2353" spans="8:8">
      <c r="B2353" t="s">
        <v>3811</v>
      </c>
      <c r="C2353">
        <v>523457.0</v>
      </c>
      <c r="D2353" t="s">
        <v>3812</v>
      </c>
      <c r="E2353" t="s">
        <v>1374</v>
      </c>
    </row>
    <row r="2354" spans="8:8">
      <c r="B2354" t="s">
        <v>3813</v>
      </c>
      <c r="C2354">
        <v>523457.0</v>
      </c>
      <c r="D2354" t="s">
        <v>3814</v>
      </c>
      <c r="E2354" t="s">
        <v>1374</v>
      </c>
    </row>
    <row r="2355" spans="8:8">
      <c r="B2355" t="s">
        <v>3815</v>
      </c>
      <c r="C2355">
        <v>524748.0</v>
      </c>
      <c r="D2355" t="s">
        <v>339</v>
      </c>
      <c r="E2355" t="s">
        <v>387</v>
      </c>
    </row>
    <row r="2356" spans="8:8">
      <c r="B2356" t="s">
        <v>3816</v>
      </c>
      <c r="C2356">
        <v>526604.0</v>
      </c>
      <c r="D2356" t="s">
        <v>339</v>
      </c>
      <c r="E2356" t="s">
        <v>347</v>
      </c>
    </row>
    <row r="2357" spans="8:8">
      <c r="B2357" t="s">
        <v>3817</v>
      </c>
      <c r="C2357">
        <v>507912.0</v>
      </c>
      <c r="D2357" t="s">
        <v>339</v>
      </c>
      <c r="E2357" t="s">
        <v>322</v>
      </c>
    </row>
    <row r="2358" spans="8:8">
      <c r="B2358" t="s">
        <v>3818</v>
      </c>
      <c r="C2358">
        <v>540192.0</v>
      </c>
      <c r="D2358" t="s">
        <v>339</v>
      </c>
      <c r="E2358" t="s">
        <v>322</v>
      </c>
    </row>
    <row r="2359" spans="8:8">
      <c r="B2359" t="s">
        <v>3819</v>
      </c>
      <c r="C2359">
        <v>512455.0</v>
      </c>
      <c r="D2359" t="s">
        <v>339</v>
      </c>
      <c r="E2359" t="s">
        <v>371</v>
      </c>
    </row>
    <row r="2360" spans="8:8">
      <c r="B2360" t="s">
        <v>3820</v>
      </c>
      <c r="C2360">
        <v>539992.0</v>
      </c>
      <c r="D2360" t="s">
        <v>3821</v>
      </c>
      <c r="E2360" t="s">
        <v>347</v>
      </c>
    </row>
    <row r="2361" spans="8:8">
      <c r="B2361" t="s">
        <v>3822</v>
      </c>
      <c r="C2361">
        <v>590082.0</v>
      </c>
      <c r="D2361" t="s">
        <v>339</v>
      </c>
      <c r="E2361" t="s">
        <v>322</v>
      </c>
    </row>
    <row r="2362" spans="8:8">
      <c r="B2362" t="s">
        <v>3823</v>
      </c>
      <c r="C2362">
        <v>532740.0</v>
      </c>
      <c r="D2362" t="s">
        <v>3824</v>
      </c>
      <c r="E2362" t="s">
        <v>347</v>
      </c>
    </row>
    <row r="2363" spans="8:8">
      <c r="B2363" t="s">
        <v>3825</v>
      </c>
      <c r="C2363">
        <v>526568.0</v>
      </c>
      <c r="D2363" t="s">
        <v>339</v>
      </c>
      <c r="E2363" t="s">
        <v>746</v>
      </c>
    </row>
    <row r="2364" spans="8:8">
      <c r="B2364" t="s">
        <v>3826</v>
      </c>
      <c r="C2364">
        <v>534422.0</v>
      </c>
      <c r="D2364" t="s">
        <v>339</v>
      </c>
      <c r="E2364" t="s">
        <v>809</v>
      </c>
    </row>
    <row r="2365" spans="8:8">
      <c r="B2365" t="s">
        <v>3827</v>
      </c>
      <c r="C2365">
        <v>500284.0</v>
      </c>
      <c r="D2365" t="s">
        <v>339</v>
      </c>
      <c r="E2365" t="s">
        <v>387</v>
      </c>
    </row>
    <row r="2366" spans="8:8">
      <c r="B2366" t="s">
        <v>3828</v>
      </c>
      <c r="C2366">
        <v>530065.0</v>
      </c>
      <c r="D2366" t="s">
        <v>339</v>
      </c>
      <c r="E2366" t="s">
        <v>540</v>
      </c>
    </row>
    <row r="2367" spans="8:8">
      <c r="B2367" t="s">
        <v>3829</v>
      </c>
      <c r="C2367">
        <v>540952.0</v>
      </c>
      <c r="D2367" t="s">
        <v>339</v>
      </c>
      <c r="E2367" t="s">
        <v>453</v>
      </c>
    </row>
    <row r="2368" spans="8:8">
      <c r="B2368" t="s">
        <v>3830</v>
      </c>
      <c r="C2368">
        <v>523475.0</v>
      </c>
      <c r="D2368" t="s">
        <v>339</v>
      </c>
      <c r="E2368" t="s">
        <v>399</v>
      </c>
    </row>
    <row r="2369" spans="8:8">
      <c r="B2369" t="s">
        <v>3831</v>
      </c>
      <c r="C2369">
        <v>532998.0</v>
      </c>
      <c r="D2369" t="s">
        <v>3832</v>
      </c>
      <c r="E2369" t="s">
        <v>809</v>
      </c>
    </row>
    <row r="2370" spans="8:8">
      <c r="B2370" t="s">
        <v>3833</v>
      </c>
      <c r="C2370">
        <v>533343.0</v>
      </c>
      <c r="D2370" t="s">
        <v>3834</v>
      </c>
      <c r="E2370" t="s">
        <v>453</v>
      </c>
    </row>
    <row r="2371" spans="8:8">
      <c r="B2371" t="s">
        <v>3835</v>
      </c>
      <c r="C2371">
        <v>539227.0</v>
      </c>
      <c r="D2371" t="s">
        <v>339</v>
      </c>
      <c r="E2371" t="s">
        <v>347</v>
      </c>
    </row>
    <row r="2372" spans="8:8">
      <c r="B2372" t="s">
        <v>3836</v>
      </c>
      <c r="C2372">
        <v>514036.0</v>
      </c>
      <c r="D2372" t="s">
        <v>339</v>
      </c>
      <c r="E2372" t="s">
        <v>354</v>
      </c>
    </row>
    <row r="2373" spans="8:8">
      <c r="B2373" t="s">
        <v>3837</v>
      </c>
      <c r="C2373">
        <v>532783.0</v>
      </c>
      <c r="D2373" t="s">
        <v>3838</v>
      </c>
      <c r="E2373" t="s">
        <v>399</v>
      </c>
    </row>
    <row r="2374" spans="8:8">
      <c r="B2374" t="s">
        <v>3839</v>
      </c>
      <c r="C2374">
        <v>526179.0</v>
      </c>
      <c r="D2374" t="s">
        <v>339</v>
      </c>
      <c r="E2374" t="s">
        <v>576</v>
      </c>
    </row>
    <row r="2375" spans="8:8">
      <c r="B2375" t="s">
        <v>3840</v>
      </c>
      <c r="C2375">
        <v>512048.0</v>
      </c>
      <c r="D2375" t="s">
        <v>339</v>
      </c>
      <c r="E2375" t="s">
        <v>425</v>
      </c>
    </row>
    <row r="2376" spans="8:8">
      <c r="B2376" t="s">
        <v>3841</v>
      </c>
      <c r="C2376">
        <v>532796.0</v>
      </c>
      <c r="D2376" t="s">
        <v>3842</v>
      </c>
      <c r="E2376" t="s">
        <v>694</v>
      </c>
    </row>
    <row r="2377" spans="8:8">
      <c r="B2377" t="s">
        <v>3843</v>
      </c>
      <c r="C2377">
        <v>517206.0</v>
      </c>
      <c r="D2377" t="s">
        <v>3844</v>
      </c>
      <c r="E2377" t="s">
        <v>694</v>
      </c>
    </row>
    <row r="2378" spans="8:8">
      <c r="B2378" t="s">
        <v>3845</v>
      </c>
      <c r="C2378">
        <v>500257.0</v>
      </c>
      <c r="D2378" t="s">
        <v>3846</v>
      </c>
      <c r="E2378" t="s">
        <v>377</v>
      </c>
    </row>
    <row r="2379" spans="8:8">
      <c r="B2379" t="s">
        <v>3847</v>
      </c>
      <c r="C2379">
        <v>539542.0</v>
      </c>
      <c r="D2379" t="s">
        <v>3848</v>
      </c>
      <c r="E2379" t="s">
        <v>453</v>
      </c>
    </row>
    <row r="2380" spans="8:8">
      <c r="B2380" t="s">
        <v>3849</v>
      </c>
      <c r="C2380">
        <v>531402.0</v>
      </c>
      <c r="D2380" t="s">
        <v>339</v>
      </c>
      <c r="E2380" t="s">
        <v>361</v>
      </c>
    </row>
    <row r="2381" spans="8:8">
      <c r="B2381" t="s">
        <v>3850</v>
      </c>
      <c r="C2381">
        <v>500259.0</v>
      </c>
      <c r="D2381" t="s">
        <v>3851</v>
      </c>
      <c r="E2381" t="s">
        <v>377</v>
      </c>
    </row>
    <row r="2382" spans="8:8">
      <c r="B2382" t="s">
        <v>3852</v>
      </c>
      <c r="C2382">
        <v>530689.0</v>
      </c>
      <c r="D2382" t="s">
        <v>339</v>
      </c>
      <c r="E2382" t="s">
        <v>521</v>
      </c>
    </row>
    <row r="2383" spans="8:8">
      <c r="B2383" t="s">
        <v>3853</v>
      </c>
      <c r="C2383">
        <v>505320.0</v>
      </c>
      <c r="D2383" t="s">
        <v>339</v>
      </c>
      <c r="E2383" t="s">
        <v>347</v>
      </c>
    </row>
    <row r="2384" spans="8:8">
      <c r="B2384" t="s">
        <v>3854</v>
      </c>
      <c r="C2384">
        <v>534532.0</v>
      </c>
      <c r="D2384" t="s">
        <v>3855</v>
      </c>
      <c r="E2384" t="s">
        <v>453</v>
      </c>
    </row>
    <row r="2385" spans="8:8">
      <c r="B2385" t="s">
        <v>3856</v>
      </c>
      <c r="C2385">
        <v>526935.0</v>
      </c>
      <c r="D2385" t="s">
        <v>339</v>
      </c>
      <c r="E2385" t="s">
        <v>322</v>
      </c>
    </row>
    <row r="2386" spans="8:8">
      <c r="B2386" t="s">
        <v>3857</v>
      </c>
      <c r="C2386">
        <v>538890.0</v>
      </c>
      <c r="D2386" t="s">
        <v>339</v>
      </c>
      <c r="E2386" t="s">
        <v>354</v>
      </c>
    </row>
    <row r="2387" spans="8:8">
      <c r="B2387" t="s">
        <v>3858</v>
      </c>
      <c r="C2387">
        <v>538890.0</v>
      </c>
      <c r="D2387" t="s">
        <v>339</v>
      </c>
      <c r="E2387" t="s">
        <v>354</v>
      </c>
    </row>
    <row r="2388" spans="8:8">
      <c r="B2388" t="s">
        <v>3859</v>
      </c>
      <c r="C2388" t="s">
        <v>339</v>
      </c>
      <c r="D2388" t="s">
        <v>3860</v>
      </c>
      <c r="E2388" t="s">
        <v>350</v>
      </c>
    </row>
    <row r="2389" spans="8:8">
      <c r="B2389" t="s">
        <v>3861</v>
      </c>
      <c r="C2389">
        <v>506543.0</v>
      </c>
      <c r="D2389" t="s">
        <v>339</v>
      </c>
      <c r="E2389" t="s">
        <v>847</v>
      </c>
    </row>
    <row r="2390" spans="8:8">
      <c r="B2390" t="s">
        <v>3862</v>
      </c>
      <c r="C2390">
        <v>532906.0</v>
      </c>
      <c r="D2390" t="s">
        <v>3863</v>
      </c>
      <c r="E2390" t="s">
        <v>737</v>
      </c>
    </row>
    <row r="2391" spans="8:8">
      <c r="B2391" t="s">
        <v>3864</v>
      </c>
      <c r="C2391">
        <v>507836.0</v>
      </c>
      <c r="D2391" t="s">
        <v>339</v>
      </c>
      <c r="E2391" t="s">
        <v>540</v>
      </c>
    </row>
    <row r="2392" spans="8:8">
      <c r="B2392" t="s">
        <v>3865</v>
      </c>
      <c r="C2392">
        <v>507836.0</v>
      </c>
      <c r="D2392" t="s">
        <v>339</v>
      </c>
      <c r="E2392" t="s">
        <v>540</v>
      </c>
    </row>
    <row r="2393" spans="8:8">
      <c r="B2393" t="s">
        <v>3866</v>
      </c>
      <c r="C2393">
        <v>541973.0</v>
      </c>
      <c r="D2393" t="s">
        <v>339</v>
      </c>
      <c r="E2393" t="s">
        <v>540</v>
      </c>
    </row>
    <row r="2394" spans="8:8">
      <c r="B2394" t="s">
        <v>3867</v>
      </c>
      <c r="C2394">
        <v>523248.0</v>
      </c>
      <c r="D2394" t="s">
        <v>339</v>
      </c>
      <c r="E2394" t="s">
        <v>459</v>
      </c>
    </row>
    <row r="2395" spans="8:8">
      <c r="B2395" t="s">
        <v>3868</v>
      </c>
      <c r="C2395">
        <v>501471.0</v>
      </c>
      <c r="D2395" t="s">
        <v>339</v>
      </c>
      <c r="E2395" t="s">
        <v>361</v>
      </c>
    </row>
    <row r="2396" spans="8:8">
      <c r="B2396" t="s">
        <v>3869</v>
      </c>
      <c r="C2396" t="s">
        <v>339</v>
      </c>
      <c r="D2396" t="s">
        <v>3870</v>
      </c>
      <c r="E2396" t="s">
        <v>350</v>
      </c>
    </row>
    <row r="2397" spans="8:8">
      <c r="B2397" t="s">
        <v>3871</v>
      </c>
      <c r="C2397">
        <v>512600.0</v>
      </c>
      <c r="D2397" t="s">
        <v>339</v>
      </c>
      <c r="E2397" t="s">
        <v>361</v>
      </c>
    </row>
    <row r="2398" spans="8:8">
      <c r="B2398" t="s">
        <v>3872</v>
      </c>
      <c r="C2398" t="s">
        <v>339</v>
      </c>
      <c r="D2398" t="s">
        <v>3873</v>
      </c>
      <c r="E2398" t="s">
        <v>350</v>
      </c>
    </row>
    <row r="2399" spans="8:8">
      <c r="B2399" t="s">
        <v>3874</v>
      </c>
      <c r="C2399">
        <v>539894.0</v>
      </c>
      <c r="D2399" t="s">
        <v>339</v>
      </c>
      <c r="E2399" t="s">
        <v>737</v>
      </c>
    </row>
    <row r="2400" spans="8:8">
      <c r="B2400" t="s">
        <v>3875</v>
      </c>
      <c r="C2400">
        <v>515093.0</v>
      </c>
      <c r="D2400" t="s">
        <v>3876</v>
      </c>
      <c r="E2400" t="s">
        <v>867</v>
      </c>
    </row>
    <row r="2401" spans="8:8">
      <c r="B2401" t="s">
        <v>3877</v>
      </c>
      <c r="C2401">
        <v>780009.0</v>
      </c>
      <c r="D2401" t="s">
        <v>339</v>
      </c>
      <c r="E2401" t="s">
        <v>430</v>
      </c>
    </row>
    <row r="2402" spans="8:8">
      <c r="B2402" t="s">
        <v>3878</v>
      </c>
      <c r="C2402">
        <v>531497.0</v>
      </c>
      <c r="D2402" t="s">
        <v>3879</v>
      </c>
      <c r="E2402" t="s">
        <v>737</v>
      </c>
    </row>
    <row r="2403" spans="8:8">
      <c r="B2403" t="s">
        <v>3880</v>
      </c>
      <c r="C2403">
        <v>519279.0</v>
      </c>
      <c r="D2403" t="s">
        <v>339</v>
      </c>
      <c r="E2403" t="s">
        <v>537</v>
      </c>
    </row>
    <row r="2404" spans="8:8">
      <c r="B2404" t="s">
        <v>3881</v>
      </c>
      <c r="C2404">
        <v>515059.0</v>
      </c>
      <c r="D2404" t="s">
        <v>339</v>
      </c>
      <c r="E2404" t="s">
        <v>588</v>
      </c>
    </row>
    <row r="2405" spans="8:8">
      <c r="B2405" t="s">
        <v>3882</v>
      </c>
      <c r="C2405">
        <v>511000.0</v>
      </c>
      <c r="D2405" t="s">
        <v>339</v>
      </c>
      <c r="E2405" t="s">
        <v>356</v>
      </c>
    </row>
    <row r="2406" spans="8:8">
      <c r="B2406" t="s">
        <v>3883</v>
      </c>
      <c r="C2406">
        <v>531910.0</v>
      </c>
      <c r="D2406" t="s">
        <v>339</v>
      </c>
      <c r="E2406" t="s">
        <v>377</v>
      </c>
    </row>
    <row r="2407" spans="8:8">
      <c r="B2407" t="s">
        <v>3884</v>
      </c>
      <c r="C2407" t="s">
        <v>339</v>
      </c>
      <c r="D2407" t="s">
        <v>3885</v>
      </c>
      <c r="E2407" t="s">
        <v>350</v>
      </c>
    </row>
    <row r="2408" spans="8:8">
      <c r="B2408" t="s">
        <v>3886</v>
      </c>
      <c r="C2408" t="s">
        <v>339</v>
      </c>
      <c r="D2408" t="s">
        <v>3887</v>
      </c>
      <c r="E2408" t="s">
        <v>350</v>
      </c>
    </row>
    <row r="2409" spans="8:8">
      <c r="B2409" t="s">
        <v>3888</v>
      </c>
      <c r="C2409">
        <v>590134.0</v>
      </c>
      <c r="D2409" t="s">
        <v>3889</v>
      </c>
      <c r="E2409" t="s">
        <v>847</v>
      </c>
    </row>
    <row r="2410" spans="8:8">
      <c r="B2410" t="s">
        <v>3890</v>
      </c>
      <c r="C2410">
        <v>538401.0</v>
      </c>
      <c r="D2410" t="s">
        <v>339</v>
      </c>
      <c r="E2410" t="s">
        <v>881</v>
      </c>
    </row>
    <row r="2411" spans="8:8">
      <c r="B2411" t="s">
        <v>3891</v>
      </c>
      <c r="C2411">
        <v>500264.0</v>
      </c>
      <c r="D2411" t="s">
        <v>339</v>
      </c>
      <c r="E2411" t="s">
        <v>354</v>
      </c>
    </row>
    <row r="2412" spans="8:8">
      <c r="B2412" t="s">
        <v>3892</v>
      </c>
      <c r="C2412">
        <v>540650.0</v>
      </c>
      <c r="D2412" t="s">
        <v>3893</v>
      </c>
      <c r="E2412" t="s">
        <v>1037</v>
      </c>
    </row>
    <row r="2413" spans="8:8">
      <c r="B2413" t="s">
        <v>3894</v>
      </c>
      <c r="C2413">
        <v>524000.0</v>
      </c>
      <c r="D2413" t="s">
        <v>3895</v>
      </c>
      <c r="E2413" t="s">
        <v>356</v>
      </c>
    </row>
    <row r="2414" spans="8:8">
      <c r="B2414" t="s">
        <v>3896</v>
      </c>
      <c r="C2414">
        <v>517449.0</v>
      </c>
      <c r="D2414" t="s">
        <v>339</v>
      </c>
      <c r="E2414" t="s">
        <v>1258</v>
      </c>
    </row>
    <row r="2415" spans="8:8">
      <c r="B2415" t="s">
        <v>3897</v>
      </c>
      <c r="C2415">
        <v>512377.0</v>
      </c>
      <c r="D2415" t="s">
        <v>339</v>
      </c>
      <c r="E2415" t="s">
        <v>760</v>
      </c>
    </row>
    <row r="2416" spans="8:8">
      <c r="B2416" t="s">
        <v>3898</v>
      </c>
      <c r="C2416">
        <v>532896.0</v>
      </c>
      <c r="D2416" t="s">
        <v>3899</v>
      </c>
      <c r="E2416" t="s">
        <v>333</v>
      </c>
    </row>
    <row r="2417" spans="8:8">
      <c r="B2417" t="s">
        <v>3900</v>
      </c>
      <c r="C2417">
        <v>523384.0</v>
      </c>
      <c r="D2417" t="s">
        <v>3901</v>
      </c>
      <c r="E2417" t="s">
        <v>356</v>
      </c>
    </row>
    <row r="2418" spans="8:8">
      <c r="B2418" t="s">
        <v>3902</v>
      </c>
      <c r="C2418">
        <v>519612.0</v>
      </c>
      <c r="D2418" t="s">
        <v>339</v>
      </c>
      <c r="E2418" t="s">
        <v>399</v>
      </c>
    </row>
    <row r="2419" spans="8:8">
      <c r="B2419" t="s">
        <v>3903</v>
      </c>
      <c r="C2419">
        <v>514450.0</v>
      </c>
      <c r="D2419" t="s">
        <v>339</v>
      </c>
      <c r="E2419" t="s">
        <v>1258</v>
      </c>
    </row>
    <row r="2420" spans="8:8">
      <c r="B2420" t="s">
        <v>3904</v>
      </c>
      <c r="C2420">
        <v>513460.0</v>
      </c>
      <c r="D2420" t="s">
        <v>339</v>
      </c>
      <c r="E2420" t="s">
        <v>662</v>
      </c>
    </row>
    <row r="2421" spans="8:8">
      <c r="B2421" t="s">
        <v>3905</v>
      </c>
      <c r="C2421">
        <v>513554.0</v>
      </c>
      <c r="D2421" t="s">
        <v>3906</v>
      </c>
      <c r="E2421" t="s">
        <v>662</v>
      </c>
    </row>
    <row r="2422" spans="8:8">
      <c r="B2422" t="s">
        <v>3907</v>
      </c>
      <c r="C2422">
        <v>531515.0</v>
      </c>
      <c r="D2422" t="s">
        <v>339</v>
      </c>
      <c r="E2422" t="s">
        <v>361</v>
      </c>
    </row>
    <row r="2423" spans="8:8">
      <c r="B2423" t="s">
        <v>3908</v>
      </c>
      <c r="C2423">
        <v>539957.0</v>
      </c>
      <c r="D2423" t="s">
        <v>3909</v>
      </c>
      <c r="E2423" t="s">
        <v>364</v>
      </c>
    </row>
    <row r="2424" spans="8:8">
      <c r="B2424" t="s">
        <v>3910</v>
      </c>
      <c r="C2424">
        <v>500108.0</v>
      </c>
      <c r="D2424" t="s">
        <v>3911</v>
      </c>
      <c r="E2424" t="s">
        <v>1282</v>
      </c>
    </row>
    <row r="2425" spans="8:8">
      <c r="B2425" t="s">
        <v>3912</v>
      </c>
      <c r="C2425">
        <v>530441.0</v>
      </c>
      <c r="D2425" t="s">
        <v>339</v>
      </c>
      <c r="E2425" t="s">
        <v>760</v>
      </c>
    </row>
    <row r="2426" spans="8:8">
      <c r="B2426" t="s">
        <v>3913</v>
      </c>
      <c r="C2426">
        <v>530441.0</v>
      </c>
      <c r="D2426" t="s">
        <v>339</v>
      </c>
      <c r="E2426" t="s">
        <v>760</v>
      </c>
    </row>
    <row r="2427" spans="8:8">
      <c r="B2427" t="s">
        <v>3914</v>
      </c>
      <c r="C2427">
        <v>505523.0</v>
      </c>
      <c r="D2427" t="s">
        <v>339</v>
      </c>
      <c r="E2427" t="s">
        <v>361</v>
      </c>
    </row>
    <row r="2428" spans="8:8">
      <c r="B2428" t="s">
        <v>3915</v>
      </c>
      <c r="C2428">
        <v>500266.0</v>
      </c>
      <c r="D2428" t="s">
        <v>3916</v>
      </c>
      <c r="E2428" t="s">
        <v>359</v>
      </c>
    </row>
    <row r="2429" spans="8:8">
      <c r="B2429" t="s">
        <v>3917</v>
      </c>
      <c r="C2429">
        <v>500265.0</v>
      </c>
      <c r="D2429" t="s">
        <v>3918</v>
      </c>
      <c r="E2429" t="s">
        <v>737</v>
      </c>
    </row>
    <row r="2430" spans="8:8">
      <c r="B2430" t="s">
        <v>3919</v>
      </c>
      <c r="C2430">
        <v>526795.0</v>
      </c>
      <c r="D2430" t="s">
        <v>339</v>
      </c>
      <c r="E2430" t="s">
        <v>411</v>
      </c>
    </row>
    <row r="2431" spans="8:8">
      <c r="B2431" t="s">
        <v>3920</v>
      </c>
      <c r="C2431">
        <v>512337.0</v>
      </c>
      <c r="D2431" t="s">
        <v>339</v>
      </c>
      <c r="E2431" t="s">
        <v>361</v>
      </c>
    </row>
    <row r="2432" spans="8:8">
      <c r="B2432" t="s">
        <v>3921</v>
      </c>
      <c r="C2432">
        <v>539383.0</v>
      </c>
      <c r="D2432" t="s">
        <v>339</v>
      </c>
      <c r="E2432" t="s">
        <v>325</v>
      </c>
    </row>
    <row r="2433" spans="8:8">
      <c r="B2433" t="s">
        <v>3922</v>
      </c>
      <c r="C2433">
        <v>531648.0</v>
      </c>
      <c r="D2433" t="s">
        <v>339</v>
      </c>
      <c r="E2433" t="s">
        <v>413</v>
      </c>
    </row>
    <row r="2434" spans="8:8">
      <c r="B2434" t="s">
        <v>3923</v>
      </c>
      <c r="C2434">
        <v>542677.0</v>
      </c>
      <c r="D2434" t="s">
        <v>3924</v>
      </c>
      <c r="E2434" t="s">
        <v>425</v>
      </c>
    </row>
    <row r="2435" spans="8:8">
      <c r="B2435" t="s">
        <v>3925</v>
      </c>
      <c r="C2435" t="s">
        <v>339</v>
      </c>
      <c r="D2435" t="s">
        <v>3926</v>
      </c>
      <c r="E2435" t="s">
        <v>350</v>
      </c>
    </row>
    <row r="2436" spans="8:8">
      <c r="B2436" t="s">
        <v>3927</v>
      </c>
      <c r="C2436" t="s">
        <v>339</v>
      </c>
      <c r="D2436" t="s">
        <v>3928</v>
      </c>
      <c r="E2436" t="s">
        <v>350</v>
      </c>
    </row>
    <row r="2437" spans="8:8">
      <c r="B2437" t="s">
        <v>3929</v>
      </c>
      <c r="C2437">
        <v>532720.0</v>
      </c>
      <c r="D2437" t="s">
        <v>3930</v>
      </c>
      <c r="E2437" t="s">
        <v>356</v>
      </c>
    </row>
    <row r="2438" spans="8:8">
      <c r="B2438" t="s">
        <v>3931</v>
      </c>
      <c r="C2438">
        <v>500520.0</v>
      </c>
      <c r="D2438" t="s">
        <v>3932</v>
      </c>
      <c r="E2438" t="s">
        <v>2268</v>
      </c>
    </row>
    <row r="2439" spans="8:8">
      <c r="B2439" t="s">
        <v>3933</v>
      </c>
      <c r="C2439">
        <v>532756.0</v>
      </c>
      <c r="D2439" t="s">
        <v>3934</v>
      </c>
      <c r="E2439" t="s">
        <v>1258</v>
      </c>
    </row>
    <row r="2440" spans="8:8">
      <c r="B2440" t="s">
        <v>3935</v>
      </c>
      <c r="C2440">
        <v>533088.0</v>
      </c>
      <c r="D2440" t="s">
        <v>3936</v>
      </c>
      <c r="E2440" t="s">
        <v>540</v>
      </c>
    </row>
    <row r="2441" spans="8:8">
      <c r="B2441" t="s">
        <v>3937</v>
      </c>
      <c r="C2441">
        <v>533088.0</v>
      </c>
      <c r="D2441" t="s">
        <v>3936</v>
      </c>
      <c r="E2441" t="s">
        <v>540</v>
      </c>
    </row>
    <row r="2442" spans="8:8">
      <c r="B2442" t="s">
        <v>3938</v>
      </c>
      <c r="C2442">
        <v>532313.0</v>
      </c>
      <c r="D2442" t="s">
        <v>3939</v>
      </c>
      <c r="E2442" t="s">
        <v>425</v>
      </c>
    </row>
    <row r="2443" spans="8:8">
      <c r="B2443" t="s">
        <v>3940</v>
      </c>
      <c r="C2443">
        <v>540768.0</v>
      </c>
      <c r="D2443" t="s">
        <v>3941</v>
      </c>
      <c r="E2443" t="s">
        <v>660</v>
      </c>
    </row>
    <row r="2444" spans="8:8">
      <c r="B2444" t="s">
        <v>3942</v>
      </c>
      <c r="C2444">
        <v>542503.0</v>
      </c>
      <c r="D2444" t="s">
        <v>3943</v>
      </c>
      <c r="E2444" t="s">
        <v>2316</v>
      </c>
    </row>
    <row r="2445" spans="8:8">
      <c r="B2445" t="s">
        <v>3944</v>
      </c>
      <c r="C2445">
        <v>590078.0</v>
      </c>
      <c r="D2445" t="s">
        <v>3945</v>
      </c>
      <c r="E2445" t="s">
        <v>371</v>
      </c>
    </row>
    <row r="2446" spans="8:8">
      <c r="B2446" t="s">
        <v>3946</v>
      </c>
      <c r="C2446">
        <v>513430.0</v>
      </c>
      <c r="D2446" t="s">
        <v>339</v>
      </c>
      <c r="E2446" t="s">
        <v>644</v>
      </c>
    </row>
    <row r="2447" spans="8:8">
      <c r="B2447" t="s">
        <v>3947</v>
      </c>
      <c r="C2447">
        <v>539289.0</v>
      </c>
      <c r="D2447" t="s">
        <v>3948</v>
      </c>
      <c r="E2447" t="s">
        <v>325</v>
      </c>
    </row>
    <row r="2448" spans="8:8">
      <c r="B2448" t="s">
        <v>3949</v>
      </c>
      <c r="C2448">
        <v>500267.0</v>
      </c>
      <c r="D2448" t="s">
        <v>339</v>
      </c>
      <c r="E2448" t="s">
        <v>996</v>
      </c>
    </row>
    <row r="2449" spans="8:8">
      <c r="B2449" t="s">
        <v>3950</v>
      </c>
      <c r="C2449">
        <v>539229.0</v>
      </c>
      <c r="D2449" t="s">
        <v>339</v>
      </c>
      <c r="E2449" t="s">
        <v>328</v>
      </c>
    </row>
    <row r="2450" spans="8:8">
      <c r="B2450" t="s">
        <v>3951</v>
      </c>
      <c r="C2450">
        <v>506919.0</v>
      </c>
      <c r="D2450" t="s">
        <v>339</v>
      </c>
      <c r="E2450" t="s">
        <v>377</v>
      </c>
    </row>
    <row r="2451" spans="8:8">
      <c r="B2451" t="s">
        <v>3952</v>
      </c>
      <c r="C2451">
        <v>539400.0</v>
      </c>
      <c r="D2451" t="s">
        <v>339</v>
      </c>
      <c r="E2451" t="s">
        <v>453</v>
      </c>
    </row>
    <row r="2452" spans="8:8">
      <c r="B2452" t="s">
        <v>3953</v>
      </c>
      <c r="C2452">
        <v>539400.0</v>
      </c>
      <c r="D2452" t="s">
        <v>339</v>
      </c>
      <c r="E2452" t="s">
        <v>453</v>
      </c>
    </row>
    <row r="2453" spans="8:8">
      <c r="B2453" t="s">
        <v>3954</v>
      </c>
      <c r="C2453">
        <v>532728.0</v>
      </c>
      <c r="D2453" t="s">
        <v>3955</v>
      </c>
      <c r="E2453" t="s">
        <v>333</v>
      </c>
    </row>
    <row r="2454" spans="8:8">
      <c r="B2454" t="s">
        <v>3956</v>
      </c>
      <c r="C2454">
        <v>513269.0</v>
      </c>
      <c r="D2454" t="s">
        <v>3957</v>
      </c>
      <c r="E2454" t="s">
        <v>737</v>
      </c>
    </row>
    <row r="2455" spans="8:8">
      <c r="B2455" t="s">
        <v>3958</v>
      </c>
      <c r="C2455">
        <v>513269.0</v>
      </c>
      <c r="D2455" t="s">
        <v>3957</v>
      </c>
      <c r="E2455" t="s">
        <v>737</v>
      </c>
    </row>
    <row r="2456" spans="8:8">
      <c r="B2456" t="s">
        <v>3959</v>
      </c>
      <c r="C2456">
        <v>533169.0</v>
      </c>
      <c r="D2456" t="s">
        <v>3960</v>
      </c>
      <c r="E2456" t="s">
        <v>737</v>
      </c>
    </row>
    <row r="2457" spans="8:8">
      <c r="B2457" t="s">
        <v>3961</v>
      </c>
      <c r="C2457">
        <v>539045.0</v>
      </c>
      <c r="D2457" t="s">
        <v>3962</v>
      </c>
      <c r="E2457" t="s">
        <v>644</v>
      </c>
    </row>
    <row r="2458" spans="8:8">
      <c r="B2458" t="s">
        <v>3963</v>
      </c>
      <c r="C2458">
        <v>539046.0</v>
      </c>
      <c r="D2458" t="s">
        <v>3964</v>
      </c>
      <c r="E2458" t="s">
        <v>371</v>
      </c>
    </row>
    <row r="2459" spans="8:8">
      <c r="B2459" t="s">
        <v>3965</v>
      </c>
      <c r="C2459">
        <v>532932.0</v>
      </c>
      <c r="D2459" t="s">
        <v>3966</v>
      </c>
      <c r="E2459" t="s">
        <v>534</v>
      </c>
    </row>
    <row r="2460" spans="8:8">
      <c r="B2460" t="s">
        <v>3967</v>
      </c>
      <c r="C2460">
        <v>539044.0</v>
      </c>
      <c r="D2460" t="s">
        <v>3968</v>
      </c>
      <c r="E2460" t="s">
        <v>371</v>
      </c>
    </row>
    <row r="2461" spans="8:8">
      <c r="B2461" t="s">
        <v>3969</v>
      </c>
      <c r="C2461">
        <v>500268.0</v>
      </c>
      <c r="D2461" t="s">
        <v>3970</v>
      </c>
      <c r="E2461" t="s">
        <v>553</v>
      </c>
    </row>
    <row r="2462" spans="8:8">
      <c r="B2462" t="s">
        <v>3971</v>
      </c>
      <c r="C2462">
        <v>531213.0</v>
      </c>
      <c r="D2462" t="s">
        <v>3972</v>
      </c>
      <c r="E2462" t="s">
        <v>356</v>
      </c>
    </row>
    <row r="2463" spans="8:8">
      <c r="B2463" t="s">
        <v>3973</v>
      </c>
      <c r="C2463">
        <v>540402.0</v>
      </c>
      <c r="D2463" t="s">
        <v>339</v>
      </c>
      <c r="E2463" t="s">
        <v>425</v>
      </c>
    </row>
    <row r="2464" spans="8:8">
      <c r="B2464" t="s">
        <v>3974</v>
      </c>
      <c r="C2464" t="s">
        <v>339</v>
      </c>
      <c r="D2464" t="s">
        <v>3975</v>
      </c>
      <c r="E2464" t="s">
        <v>350</v>
      </c>
    </row>
    <row r="2465" spans="8:8">
      <c r="B2465" t="s">
        <v>3976</v>
      </c>
      <c r="C2465">
        <v>533204.0</v>
      </c>
      <c r="D2465" t="s">
        <v>3977</v>
      </c>
      <c r="E2465" t="s">
        <v>354</v>
      </c>
    </row>
    <row r="2466" spans="8:8">
      <c r="B2466" t="s">
        <v>3978</v>
      </c>
      <c r="C2466">
        <v>505850.0</v>
      </c>
      <c r="D2466" t="s">
        <v>3979</v>
      </c>
      <c r="E2466" t="s">
        <v>356</v>
      </c>
    </row>
    <row r="2467" spans="8:8">
      <c r="B2467" t="s">
        <v>3980</v>
      </c>
      <c r="C2467">
        <v>502157.0</v>
      </c>
      <c r="D2467" t="s">
        <v>3981</v>
      </c>
      <c r="E2467" t="s">
        <v>352</v>
      </c>
    </row>
    <row r="2468" spans="8:8">
      <c r="B2468" t="s">
        <v>3982</v>
      </c>
      <c r="C2468">
        <v>532637.0</v>
      </c>
      <c r="D2468" t="s">
        <v>3983</v>
      </c>
      <c r="E2468" t="s">
        <v>377</v>
      </c>
    </row>
    <row r="2469" spans="8:8">
      <c r="B2469" t="s">
        <v>3984</v>
      </c>
      <c r="C2469">
        <v>537800.0</v>
      </c>
      <c r="D2469" t="s">
        <v>339</v>
      </c>
      <c r="E2469" t="s">
        <v>356</v>
      </c>
    </row>
    <row r="2470" spans="8:8">
      <c r="B2470" t="s">
        <v>3985</v>
      </c>
      <c r="C2470">
        <v>514418.0</v>
      </c>
      <c r="D2470" t="s">
        <v>339</v>
      </c>
      <c r="E2470" t="s">
        <v>387</v>
      </c>
    </row>
    <row r="2471" spans="8:8">
      <c r="B2471" t="s">
        <v>3986</v>
      </c>
      <c r="C2471">
        <v>539275.0</v>
      </c>
      <c r="D2471" t="s">
        <v>339</v>
      </c>
      <c r="E2471" t="s">
        <v>537</v>
      </c>
    </row>
    <row r="2472" spans="8:8">
      <c r="B2472" t="s">
        <v>3987</v>
      </c>
      <c r="C2472">
        <v>516007.0</v>
      </c>
      <c r="D2472" t="s">
        <v>3988</v>
      </c>
      <c r="E2472" t="s">
        <v>834</v>
      </c>
    </row>
    <row r="2473" spans="8:8">
      <c r="B2473" t="s">
        <v>3989</v>
      </c>
      <c r="C2473">
        <v>530011.0</v>
      </c>
      <c r="D2473" t="s">
        <v>3990</v>
      </c>
      <c r="E2473" t="s">
        <v>847</v>
      </c>
    </row>
    <row r="2474" spans="8:8">
      <c r="B2474" t="s">
        <v>3991</v>
      </c>
      <c r="C2474">
        <v>500109.0</v>
      </c>
      <c r="D2474" t="s">
        <v>3992</v>
      </c>
      <c r="E2474" t="s">
        <v>1267</v>
      </c>
    </row>
    <row r="2475" spans="8:8">
      <c r="B2475" t="s">
        <v>3993</v>
      </c>
      <c r="C2475">
        <v>530243.0</v>
      </c>
      <c r="D2475" t="s">
        <v>339</v>
      </c>
      <c r="E2475" t="s">
        <v>432</v>
      </c>
    </row>
    <row r="2476" spans="8:8">
      <c r="B2476" t="s">
        <v>3994</v>
      </c>
      <c r="C2476">
        <v>507938.0</v>
      </c>
      <c r="D2476" t="s">
        <v>339</v>
      </c>
      <c r="E2476" t="s">
        <v>356</v>
      </c>
    </row>
    <row r="2477" spans="8:8">
      <c r="B2477" t="s">
        <v>3995</v>
      </c>
      <c r="C2477">
        <v>533078.0</v>
      </c>
      <c r="D2477" t="s">
        <v>339</v>
      </c>
      <c r="E2477" t="s">
        <v>425</v>
      </c>
    </row>
    <row r="2478" spans="8:8">
      <c r="B2478" t="s">
        <v>3996</v>
      </c>
      <c r="C2478">
        <v>540396.0</v>
      </c>
      <c r="D2478" t="s">
        <v>339</v>
      </c>
      <c r="E2478" t="s">
        <v>354</v>
      </c>
    </row>
    <row r="2479" spans="8:8">
      <c r="B2479" t="s">
        <v>3997</v>
      </c>
      <c r="C2479">
        <v>540396.0</v>
      </c>
      <c r="D2479" t="s">
        <v>339</v>
      </c>
      <c r="E2479" t="s">
        <v>354</v>
      </c>
    </row>
    <row r="2480" spans="8:8">
      <c r="B2480" t="s">
        <v>3998</v>
      </c>
      <c r="C2480">
        <v>541974.0</v>
      </c>
      <c r="D2480" t="s">
        <v>339</v>
      </c>
      <c r="E2480" t="s">
        <v>588</v>
      </c>
    </row>
    <row r="2481" spans="8:8">
      <c r="B2481" t="s">
        <v>3999</v>
      </c>
      <c r="C2481">
        <v>539207.0</v>
      </c>
      <c r="D2481" t="s">
        <v>4000</v>
      </c>
      <c r="E2481" t="s">
        <v>774</v>
      </c>
    </row>
    <row r="2482" spans="8:8">
      <c r="B2482" t="s">
        <v>4001</v>
      </c>
      <c r="C2482">
        <v>530537.0</v>
      </c>
      <c r="D2482" t="s">
        <v>339</v>
      </c>
      <c r="E2482" t="s">
        <v>397</v>
      </c>
    </row>
    <row r="2483" spans="8:8">
      <c r="B2483" t="s">
        <v>4002</v>
      </c>
      <c r="C2483">
        <v>511758.0</v>
      </c>
      <c r="D2483" t="s">
        <v>339</v>
      </c>
      <c r="E2483" t="s">
        <v>356</v>
      </c>
    </row>
    <row r="2484" spans="8:8">
      <c r="B2484" t="s">
        <v>4003</v>
      </c>
      <c r="C2484">
        <v>512303.0</v>
      </c>
      <c r="D2484" t="s">
        <v>339</v>
      </c>
      <c r="E2484" t="s">
        <v>760</v>
      </c>
    </row>
    <row r="2485" spans="8:8">
      <c r="B2485" t="s">
        <v>4004</v>
      </c>
      <c r="C2485">
        <v>505324.0</v>
      </c>
      <c r="D2485" t="s">
        <v>4005</v>
      </c>
      <c r="E2485" t="s">
        <v>347</v>
      </c>
    </row>
    <row r="2486" spans="8:8">
      <c r="B2486" t="s">
        <v>4006</v>
      </c>
      <c r="C2486">
        <v>505324.0</v>
      </c>
      <c r="D2486" t="s">
        <v>4005</v>
      </c>
      <c r="E2486" t="s">
        <v>347</v>
      </c>
    </row>
    <row r="2487" spans="8:8">
      <c r="B2487" t="s">
        <v>4007</v>
      </c>
      <c r="C2487">
        <v>538970.0</v>
      </c>
      <c r="D2487" t="s">
        <v>339</v>
      </c>
      <c r="E2487" t="s">
        <v>425</v>
      </c>
    </row>
    <row r="2488" spans="8:8">
      <c r="B2488" t="s">
        <v>4008</v>
      </c>
      <c r="C2488">
        <v>521018.0</v>
      </c>
      <c r="D2488" t="s">
        <v>4009</v>
      </c>
      <c r="E2488" t="s">
        <v>354</v>
      </c>
    </row>
    <row r="2489" spans="8:8">
      <c r="B2489" t="s">
        <v>4010</v>
      </c>
      <c r="C2489">
        <v>503101.0</v>
      </c>
      <c r="D2489" t="s">
        <v>4011</v>
      </c>
      <c r="E2489" t="s">
        <v>425</v>
      </c>
    </row>
    <row r="2490" spans="8:8">
      <c r="B2490" t="s">
        <v>4012</v>
      </c>
      <c r="C2490">
        <v>502250.0</v>
      </c>
      <c r="D2490" t="s">
        <v>339</v>
      </c>
      <c r="E2490" t="s">
        <v>867</v>
      </c>
    </row>
    <row r="2491" spans="8:8">
      <c r="B2491" t="s">
        <v>4013</v>
      </c>
      <c r="C2491">
        <v>513544.0</v>
      </c>
      <c r="D2491" t="s">
        <v>339</v>
      </c>
      <c r="E2491" t="s">
        <v>413</v>
      </c>
    </row>
    <row r="2492" spans="8:8">
      <c r="B2492" t="s">
        <v>4014</v>
      </c>
      <c r="C2492">
        <v>530543.0</v>
      </c>
      <c r="D2492" t="s">
        <v>339</v>
      </c>
      <c r="E2492" t="s">
        <v>425</v>
      </c>
    </row>
    <row r="2493" spans="8:8">
      <c r="B2493" t="s">
        <v>4015</v>
      </c>
      <c r="C2493">
        <v>540254.0</v>
      </c>
      <c r="D2493" t="s">
        <v>339</v>
      </c>
      <c r="E2493" t="s">
        <v>356</v>
      </c>
    </row>
    <row r="2494" spans="8:8">
      <c r="B2494" t="s">
        <v>4016</v>
      </c>
      <c r="C2494">
        <v>500206.0</v>
      </c>
      <c r="D2494" t="s">
        <v>339</v>
      </c>
      <c r="E2494" t="s">
        <v>356</v>
      </c>
    </row>
    <row r="2495" spans="8:8">
      <c r="B2495" t="s">
        <v>4017</v>
      </c>
      <c r="C2495">
        <v>531642.0</v>
      </c>
      <c r="D2495" t="s">
        <v>4018</v>
      </c>
      <c r="E2495" t="s">
        <v>521</v>
      </c>
    </row>
    <row r="2496" spans="8:8">
      <c r="B2496" t="s">
        <v>4019</v>
      </c>
      <c r="C2496" t="s">
        <v>339</v>
      </c>
      <c r="D2496" t="s">
        <v>4020</v>
      </c>
      <c r="E2496" t="s">
        <v>350</v>
      </c>
    </row>
    <row r="2497" spans="8:8">
      <c r="B2497" t="s">
        <v>4021</v>
      </c>
      <c r="C2497" t="s">
        <v>339</v>
      </c>
      <c r="D2497" t="s">
        <v>4020</v>
      </c>
      <c r="E2497" t="s">
        <v>350</v>
      </c>
    </row>
    <row r="2498" spans="8:8">
      <c r="B2498" t="s">
        <v>4022</v>
      </c>
      <c r="C2498">
        <v>531503.0</v>
      </c>
      <c r="D2498" t="s">
        <v>339</v>
      </c>
      <c r="E2498" t="s">
        <v>354</v>
      </c>
    </row>
    <row r="2499" spans="8:8">
      <c r="B2499" t="s">
        <v>4023</v>
      </c>
      <c r="C2499">
        <v>526891.0</v>
      </c>
      <c r="D2499" t="s">
        <v>339</v>
      </c>
      <c r="E2499" t="s">
        <v>322</v>
      </c>
    </row>
    <row r="2500" spans="8:8">
      <c r="B2500" t="s">
        <v>4024</v>
      </c>
      <c r="C2500">
        <v>524404.0</v>
      </c>
      <c r="D2500" t="s">
        <v>4025</v>
      </c>
      <c r="E2500" t="s">
        <v>377</v>
      </c>
    </row>
    <row r="2501" spans="8:8">
      <c r="B2501" t="s">
        <v>4026</v>
      </c>
      <c r="C2501" t="s">
        <v>339</v>
      </c>
      <c r="D2501" t="s">
        <v>4027</v>
      </c>
      <c r="E2501" t="s">
        <v>350</v>
      </c>
    </row>
    <row r="2502" spans="8:8">
      <c r="B2502" t="s">
        <v>4028</v>
      </c>
      <c r="C2502">
        <v>517467.0</v>
      </c>
      <c r="D2502" t="s">
        <v>339</v>
      </c>
      <c r="E2502" t="s">
        <v>637</v>
      </c>
    </row>
    <row r="2503" spans="8:8">
      <c r="B2503" t="s">
        <v>4029</v>
      </c>
      <c r="C2503">
        <v>523566.0</v>
      </c>
      <c r="D2503" t="s">
        <v>339</v>
      </c>
      <c r="E2503" t="s">
        <v>425</v>
      </c>
    </row>
    <row r="2504" spans="8:8">
      <c r="B2504" t="s">
        <v>4030</v>
      </c>
      <c r="C2504">
        <v>531540.0</v>
      </c>
      <c r="D2504" t="s">
        <v>339</v>
      </c>
      <c r="E2504" t="s">
        <v>737</v>
      </c>
    </row>
    <row r="2505" spans="8:8">
      <c r="B2505" t="s">
        <v>4031</v>
      </c>
      <c r="C2505">
        <v>531319.0</v>
      </c>
      <c r="D2505" t="s">
        <v>339</v>
      </c>
      <c r="E2505" t="s">
        <v>356</v>
      </c>
    </row>
    <row r="2506" spans="8:8">
      <c r="B2506" t="s">
        <v>4032</v>
      </c>
      <c r="C2506">
        <v>532500.0</v>
      </c>
      <c r="D2506" t="s">
        <v>4033</v>
      </c>
      <c r="E2506" t="s">
        <v>2268</v>
      </c>
    </row>
    <row r="2507" spans="8:8">
      <c r="B2507" t="s">
        <v>4034</v>
      </c>
      <c r="C2507">
        <v>532500.0</v>
      </c>
      <c r="D2507" t="s">
        <v>4033</v>
      </c>
      <c r="E2507" t="s">
        <v>2268</v>
      </c>
    </row>
    <row r="2508" spans="8:8">
      <c r="B2508" t="s">
        <v>4035</v>
      </c>
      <c r="C2508" t="s">
        <v>339</v>
      </c>
      <c r="D2508" t="s">
        <v>4036</v>
      </c>
      <c r="E2508" t="s">
        <v>350</v>
      </c>
    </row>
    <row r="2509" spans="8:8">
      <c r="B2509" t="s">
        <v>4037</v>
      </c>
      <c r="C2509">
        <v>540749.0</v>
      </c>
      <c r="D2509" t="s">
        <v>4038</v>
      </c>
      <c r="E2509" t="s">
        <v>356</v>
      </c>
    </row>
    <row r="2510" spans="8:8">
      <c r="B2510" t="s">
        <v>4039</v>
      </c>
      <c r="C2510" t="s">
        <v>339</v>
      </c>
      <c r="D2510" t="s">
        <v>4040</v>
      </c>
      <c r="E2510" t="s">
        <v>430</v>
      </c>
    </row>
    <row r="2511" spans="8:8">
      <c r="B2511" t="s">
        <v>4041</v>
      </c>
      <c r="C2511">
        <v>523704.0</v>
      </c>
      <c r="D2511" t="s">
        <v>4042</v>
      </c>
      <c r="E2511" t="s">
        <v>432</v>
      </c>
    </row>
    <row r="2512" spans="8:8">
      <c r="B2512" t="s">
        <v>4043</v>
      </c>
      <c r="C2512">
        <v>506867.0</v>
      </c>
      <c r="D2512" t="s">
        <v>339</v>
      </c>
      <c r="E2512" t="s">
        <v>354</v>
      </c>
    </row>
    <row r="2513" spans="8:8">
      <c r="B2513" t="s">
        <v>4044</v>
      </c>
      <c r="C2513">
        <v>511768.0</v>
      </c>
      <c r="D2513" t="s">
        <v>339</v>
      </c>
      <c r="E2513" t="s">
        <v>356</v>
      </c>
    </row>
    <row r="2514" spans="8:8">
      <c r="B2514" t="s">
        <v>4045</v>
      </c>
      <c r="C2514">
        <v>511688.0</v>
      </c>
      <c r="D2514" t="s">
        <v>339</v>
      </c>
      <c r="E2514" t="s">
        <v>356</v>
      </c>
    </row>
    <row r="2515" spans="8:8">
      <c r="B2515" t="s">
        <v>4046</v>
      </c>
      <c r="C2515">
        <v>540704.0</v>
      </c>
      <c r="D2515" t="s">
        <v>4047</v>
      </c>
      <c r="E2515" t="s">
        <v>345</v>
      </c>
    </row>
    <row r="2516" spans="8:8">
      <c r="B2516" t="s">
        <v>4048</v>
      </c>
      <c r="C2516">
        <v>539219.0</v>
      </c>
      <c r="D2516" t="s">
        <v>339</v>
      </c>
      <c r="E2516" t="s">
        <v>1258</v>
      </c>
    </row>
    <row r="2517" spans="8:8">
      <c r="B2517" t="s">
        <v>4049</v>
      </c>
      <c r="C2517">
        <v>500248.0</v>
      </c>
      <c r="D2517" t="s">
        <v>339</v>
      </c>
      <c r="E2517" t="s">
        <v>459</v>
      </c>
    </row>
    <row r="2518" spans="8:8">
      <c r="B2518" t="s">
        <v>4050</v>
      </c>
      <c r="C2518">
        <v>523371.0</v>
      </c>
      <c r="D2518" t="s">
        <v>4051</v>
      </c>
      <c r="E2518" t="s">
        <v>1037</v>
      </c>
    </row>
    <row r="2519" spans="8:8">
      <c r="B2519" t="s">
        <v>4052</v>
      </c>
      <c r="C2519">
        <v>539981.0</v>
      </c>
      <c r="D2519" t="s">
        <v>4053</v>
      </c>
      <c r="E2519" t="s">
        <v>505</v>
      </c>
    </row>
    <row r="2520" spans="8:8">
      <c r="B2520" t="s">
        <v>4054</v>
      </c>
      <c r="C2520">
        <v>534563.0</v>
      </c>
      <c r="D2520" t="s">
        <v>4055</v>
      </c>
      <c r="E2520" t="s">
        <v>347</v>
      </c>
    </row>
    <row r="2521" spans="8:8">
      <c r="B2521" t="s">
        <v>4056</v>
      </c>
      <c r="C2521">
        <v>500271.0</v>
      </c>
      <c r="D2521" t="s">
        <v>4057</v>
      </c>
      <c r="E2521" t="s">
        <v>2751</v>
      </c>
    </row>
    <row r="2522" spans="8:8">
      <c r="B2522" t="s">
        <v>4058</v>
      </c>
      <c r="C2522">
        <v>539981.0</v>
      </c>
      <c r="D2522" t="s">
        <v>4059</v>
      </c>
      <c r="E2522" t="s">
        <v>505</v>
      </c>
    </row>
    <row r="2523" spans="8:8">
      <c r="B2523" t="s">
        <v>4060</v>
      </c>
      <c r="C2523">
        <v>539940.0</v>
      </c>
      <c r="D2523" t="s">
        <v>4061</v>
      </c>
      <c r="E2523" t="s">
        <v>505</v>
      </c>
    </row>
    <row r="2524" spans="8:8">
      <c r="B2524" t="s">
        <v>4062</v>
      </c>
      <c r="C2524">
        <v>534338.0</v>
      </c>
      <c r="D2524" t="s">
        <v>339</v>
      </c>
      <c r="E2524" t="s">
        <v>425</v>
      </c>
    </row>
    <row r="2525" spans="8:8">
      <c r="B2525" t="s">
        <v>4063</v>
      </c>
      <c r="C2525">
        <v>526538.0</v>
      </c>
      <c r="D2525" t="s">
        <v>339</v>
      </c>
      <c r="E2525" t="s">
        <v>377</v>
      </c>
    </row>
    <row r="2526" spans="8:8">
      <c r="B2526" t="s">
        <v>4064</v>
      </c>
      <c r="C2526">
        <v>540401.0</v>
      </c>
      <c r="D2526" t="s">
        <v>339</v>
      </c>
      <c r="E2526" t="s">
        <v>361</v>
      </c>
    </row>
    <row r="2527" spans="8:8">
      <c r="B2527" t="s">
        <v>4065</v>
      </c>
      <c r="C2527">
        <v>539519.0</v>
      </c>
      <c r="D2527" t="s">
        <v>339</v>
      </c>
      <c r="E2527" t="s">
        <v>373</v>
      </c>
    </row>
    <row r="2528" spans="8:8">
      <c r="B2528" t="s">
        <v>4066</v>
      </c>
      <c r="C2528">
        <v>531221.0</v>
      </c>
      <c r="D2528" t="s">
        <v>339</v>
      </c>
      <c r="E2528" t="s">
        <v>867</v>
      </c>
    </row>
    <row r="2529" spans="8:8">
      <c r="B2529" t="s">
        <v>4067</v>
      </c>
      <c r="C2529">
        <v>531680.0</v>
      </c>
      <c r="D2529" t="s">
        <v>339</v>
      </c>
      <c r="E2529" t="s">
        <v>453</v>
      </c>
    </row>
    <row r="2530" spans="8:8">
      <c r="B2530" t="s">
        <v>4068</v>
      </c>
      <c r="C2530">
        <v>522249.0</v>
      </c>
      <c r="D2530" t="s">
        <v>4069</v>
      </c>
      <c r="E2530" t="s">
        <v>354</v>
      </c>
    </row>
    <row r="2531" spans="8:8">
      <c r="B2531" t="s">
        <v>4070</v>
      </c>
      <c r="C2531">
        <v>523792.0</v>
      </c>
      <c r="D2531" t="s">
        <v>4071</v>
      </c>
      <c r="E2531" t="s">
        <v>347</v>
      </c>
    </row>
    <row r="2532" spans="8:8">
      <c r="B2532" t="s">
        <v>4072</v>
      </c>
      <c r="C2532">
        <v>533152.0</v>
      </c>
      <c r="D2532" t="s">
        <v>4073</v>
      </c>
      <c r="E2532" t="s">
        <v>737</v>
      </c>
    </row>
    <row r="2533" spans="8:8">
      <c r="B2533" t="s">
        <v>4074</v>
      </c>
      <c r="C2533">
        <v>532852.0</v>
      </c>
      <c r="D2533" t="s">
        <v>4075</v>
      </c>
      <c r="E2533" t="s">
        <v>359</v>
      </c>
    </row>
    <row r="2534" spans="8:8">
      <c r="B2534" t="s">
        <v>4076</v>
      </c>
      <c r="C2534">
        <v>532654.0</v>
      </c>
      <c r="D2534" t="s">
        <v>4077</v>
      </c>
      <c r="E2534" t="s">
        <v>746</v>
      </c>
    </row>
    <row r="2535" spans="8:8">
      <c r="B2535" t="s">
        <v>4078</v>
      </c>
      <c r="C2535">
        <v>532654.0</v>
      </c>
      <c r="D2535" t="s">
        <v>4077</v>
      </c>
      <c r="E2535" t="s">
        <v>746</v>
      </c>
    </row>
    <row r="2536" spans="8:8">
      <c r="B2536" t="s">
        <v>4079</v>
      </c>
      <c r="C2536">
        <v>532629.0</v>
      </c>
      <c r="D2536" t="s">
        <v>4080</v>
      </c>
      <c r="E2536" t="s">
        <v>737</v>
      </c>
    </row>
    <row r="2537" spans="8:8">
      <c r="B2537" t="s">
        <v>4081</v>
      </c>
      <c r="C2537">
        <v>512267.0</v>
      </c>
      <c r="D2537" t="s">
        <v>339</v>
      </c>
      <c r="E2537" t="s">
        <v>342</v>
      </c>
    </row>
    <row r="2538" spans="8:8">
      <c r="B2538" t="s">
        <v>4082</v>
      </c>
      <c r="C2538">
        <v>531146.0</v>
      </c>
      <c r="D2538" t="s">
        <v>339</v>
      </c>
      <c r="E2538" t="s">
        <v>377</v>
      </c>
    </row>
    <row r="2539" spans="8:8">
      <c r="B2539" t="s">
        <v>4083</v>
      </c>
      <c r="C2539">
        <v>523144.0</v>
      </c>
      <c r="D2539" t="s">
        <v>339</v>
      </c>
      <c r="E2539" t="s">
        <v>377</v>
      </c>
    </row>
    <row r="2540" spans="8:8">
      <c r="B2540" t="s">
        <v>4084</v>
      </c>
      <c r="C2540">
        <v>539938.0</v>
      </c>
      <c r="D2540" t="s">
        <v>4085</v>
      </c>
      <c r="E2540" t="s">
        <v>322</v>
      </c>
    </row>
    <row r="2541" spans="8:8">
      <c r="B2541" t="s">
        <v>4086</v>
      </c>
      <c r="C2541">
        <v>540937.0</v>
      </c>
      <c r="D2541" t="s">
        <v>339</v>
      </c>
      <c r="E2541" t="s">
        <v>377</v>
      </c>
    </row>
    <row r="2542" spans="8:8">
      <c r="B2542" t="s">
        <v>4087</v>
      </c>
      <c r="C2542">
        <v>526301.0</v>
      </c>
      <c r="D2542" t="s">
        <v>339</v>
      </c>
      <c r="E2542" t="s">
        <v>528</v>
      </c>
    </row>
    <row r="2543" spans="8:8">
      <c r="B2543" t="s">
        <v>4088</v>
      </c>
      <c r="C2543">
        <v>538834.0</v>
      </c>
      <c r="D2543" t="s">
        <v>339</v>
      </c>
      <c r="E2543" t="s">
        <v>356</v>
      </c>
    </row>
    <row r="2544" spans="8:8">
      <c r="B2544" t="s">
        <v>4089</v>
      </c>
      <c r="C2544">
        <v>512505.0</v>
      </c>
      <c r="D2544" t="s">
        <v>339</v>
      </c>
      <c r="E2544" t="s">
        <v>662</v>
      </c>
    </row>
    <row r="2545" spans="8:8">
      <c r="B2545" t="s">
        <v>4090</v>
      </c>
      <c r="C2545">
        <v>540519.0</v>
      </c>
      <c r="D2545" t="s">
        <v>339</v>
      </c>
      <c r="E2545" t="s">
        <v>347</v>
      </c>
    </row>
    <row r="2546" spans="8:8">
      <c r="B2546" t="s">
        <v>4091</v>
      </c>
      <c r="C2546">
        <v>511276.0</v>
      </c>
      <c r="D2546" t="s">
        <v>339</v>
      </c>
      <c r="E2546" t="s">
        <v>537</v>
      </c>
    </row>
    <row r="2547" spans="8:8">
      <c r="B2547" t="s">
        <v>4092</v>
      </c>
      <c r="C2547">
        <v>531176.0</v>
      </c>
      <c r="D2547" t="s">
        <v>339</v>
      </c>
      <c r="E2547" t="s">
        <v>356</v>
      </c>
    </row>
    <row r="2548" spans="8:8">
      <c r="B2548" t="s">
        <v>4093</v>
      </c>
      <c r="C2548">
        <v>531417.0</v>
      </c>
      <c r="D2548" t="s">
        <v>339</v>
      </c>
      <c r="E2548" t="s">
        <v>356</v>
      </c>
    </row>
    <row r="2549" spans="8:8">
      <c r="B2549" t="s">
        <v>4094</v>
      </c>
      <c r="C2549">
        <v>532105.0</v>
      </c>
      <c r="D2549" t="s">
        <v>339</v>
      </c>
      <c r="E2549" t="s">
        <v>760</v>
      </c>
    </row>
    <row r="2550" spans="8:8">
      <c r="B2550" t="s">
        <v>4095</v>
      </c>
      <c r="C2550">
        <v>532105.0</v>
      </c>
      <c r="D2550" t="s">
        <v>339</v>
      </c>
      <c r="E2550" t="s">
        <v>760</v>
      </c>
    </row>
    <row r="2551" spans="8:8">
      <c r="B2551" t="s">
        <v>4096</v>
      </c>
      <c r="C2551">
        <v>539767.0</v>
      </c>
      <c r="D2551" t="s">
        <v>339</v>
      </c>
      <c r="E2551" t="s">
        <v>425</v>
      </c>
    </row>
    <row r="2552" spans="8:8">
      <c r="B2552" t="s">
        <v>4097</v>
      </c>
      <c r="C2552">
        <v>532408.0</v>
      </c>
      <c r="D2552" t="s">
        <v>4098</v>
      </c>
      <c r="E2552" t="s">
        <v>432</v>
      </c>
    </row>
    <row r="2553" spans="8:8">
      <c r="B2553" t="s">
        <v>4099</v>
      </c>
      <c r="C2553">
        <v>541352.0</v>
      </c>
      <c r="D2553" t="s">
        <v>339</v>
      </c>
      <c r="E2553" t="s">
        <v>419</v>
      </c>
    </row>
    <row r="2554" spans="8:8">
      <c r="B2554" t="s">
        <v>4100</v>
      </c>
      <c r="C2554">
        <v>532865.0</v>
      </c>
      <c r="D2554" t="s">
        <v>4101</v>
      </c>
      <c r="E2554" t="s">
        <v>499</v>
      </c>
    </row>
    <row r="2555" spans="8:8">
      <c r="B2555" t="s">
        <v>4102</v>
      </c>
      <c r="C2555">
        <v>511367.0</v>
      </c>
      <c r="D2555" t="s">
        <v>339</v>
      </c>
      <c r="E2555" t="s">
        <v>356</v>
      </c>
    </row>
    <row r="2556" spans="8:8">
      <c r="B2556" t="s">
        <v>4103</v>
      </c>
      <c r="C2556">
        <v>511367.0</v>
      </c>
      <c r="D2556" t="s">
        <v>339</v>
      </c>
      <c r="E2556" t="s">
        <v>356</v>
      </c>
    </row>
    <row r="2557" spans="8:8">
      <c r="B2557" t="s">
        <v>4104</v>
      </c>
      <c r="C2557">
        <v>539012.0</v>
      </c>
      <c r="D2557" t="s">
        <v>339</v>
      </c>
      <c r="E2557" t="s">
        <v>345</v>
      </c>
    </row>
    <row r="2558" spans="8:8">
      <c r="B2558" t="s">
        <v>4105</v>
      </c>
      <c r="C2558">
        <v>540730.0</v>
      </c>
      <c r="D2558" t="s">
        <v>339</v>
      </c>
      <c r="E2558" t="s">
        <v>361</v>
      </c>
    </row>
    <row r="2559" spans="8:8">
      <c r="B2559" t="s">
        <v>4106</v>
      </c>
      <c r="C2559">
        <v>511740.0</v>
      </c>
      <c r="D2559" t="s">
        <v>339</v>
      </c>
      <c r="E2559" t="s">
        <v>397</v>
      </c>
    </row>
    <row r="2560" spans="8:8">
      <c r="B2560" t="s">
        <v>4107</v>
      </c>
      <c r="C2560">
        <v>511377.0</v>
      </c>
      <c r="D2560" t="s">
        <v>339</v>
      </c>
      <c r="E2560" t="s">
        <v>356</v>
      </c>
    </row>
    <row r="2561" spans="8:8">
      <c r="B2561" t="s">
        <v>4108</v>
      </c>
      <c r="C2561">
        <v>511738.0</v>
      </c>
      <c r="D2561" t="s">
        <v>339</v>
      </c>
      <c r="E2561" t="s">
        <v>322</v>
      </c>
    </row>
    <row r="2562" spans="8:8">
      <c r="B2562" t="s">
        <v>4109</v>
      </c>
      <c r="C2562">
        <v>532307.0</v>
      </c>
      <c r="D2562" t="s">
        <v>4110</v>
      </c>
      <c r="E2562" t="s">
        <v>432</v>
      </c>
    </row>
    <row r="2563" spans="8:8">
      <c r="B2563" t="s">
        <v>4111</v>
      </c>
      <c r="C2563">
        <v>531127.0</v>
      </c>
      <c r="D2563" t="s">
        <v>339</v>
      </c>
      <c r="E2563" t="s">
        <v>356</v>
      </c>
    </row>
    <row r="2564" spans="8:8">
      <c r="B2564" t="s">
        <v>4112</v>
      </c>
      <c r="C2564">
        <v>523828.0</v>
      </c>
      <c r="D2564" t="s">
        <v>4113</v>
      </c>
      <c r="E2564" t="s">
        <v>694</v>
      </c>
    </row>
    <row r="2565" spans="8:8">
      <c r="B2565" t="s">
        <v>4114</v>
      </c>
      <c r="C2565">
        <v>531727.0</v>
      </c>
      <c r="D2565" t="s">
        <v>339</v>
      </c>
      <c r="E2565" t="s">
        <v>694</v>
      </c>
    </row>
    <row r="2566" spans="8:8">
      <c r="B2566" t="s">
        <v>4115</v>
      </c>
      <c r="C2566">
        <v>539126.0</v>
      </c>
      <c r="D2566" t="s">
        <v>4116</v>
      </c>
      <c r="E2566" t="s">
        <v>934</v>
      </c>
    </row>
    <row r="2567" spans="8:8">
      <c r="B2567" t="s">
        <v>4117</v>
      </c>
      <c r="C2567">
        <v>538942.0</v>
      </c>
      <c r="D2567" t="s">
        <v>339</v>
      </c>
      <c r="E2567" t="s">
        <v>760</v>
      </c>
    </row>
    <row r="2568" spans="8:8">
      <c r="B2568" t="s">
        <v>4118</v>
      </c>
      <c r="C2568">
        <v>526235.0</v>
      </c>
      <c r="D2568" t="s">
        <v>4119</v>
      </c>
      <c r="E2568" t="s">
        <v>328</v>
      </c>
    </row>
    <row r="2569" spans="8:8">
      <c r="B2569" t="s">
        <v>4120</v>
      </c>
      <c r="C2569">
        <v>500126.0</v>
      </c>
      <c r="D2569" t="s">
        <v>4121</v>
      </c>
      <c r="E2569" t="s">
        <v>377</v>
      </c>
    </row>
    <row r="2570" spans="8:8">
      <c r="B2570" t="s">
        <v>4122</v>
      </c>
      <c r="C2570">
        <v>538964.0</v>
      </c>
      <c r="D2570" t="s">
        <v>339</v>
      </c>
      <c r="E2570" t="s">
        <v>377</v>
      </c>
    </row>
    <row r="2571" spans="8:8">
      <c r="B2571" t="s">
        <v>4123</v>
      </c>
      <c r="C2571">
        <v>531357.0</v>
      </c>
      <c r="D2571" t="s">
        <v>339</v>
      </c>
      <c r="E2571" t="s">
        <v>361</v>
      </c>
    </row>
    <row r="2572" spans="8:8">
      <c r="B2572" t="s">
        <v>4124</v>
      </c>
      <c r="C2572">
        <v>512415.0</v>
      </c>
      <c r="D2572" t="s">
        <v>339</v>
      </c>
      <c r="E2572" t="s">
        <v>760</v>
      </c>
    </row>
    <row r="2573" spans="8:8">
      <c r="B2573" t="s">
        <v>4125</v>
      </c>
      <c r="C2573">
        <v>500274.0</v>
      </c>
      <c r="D2573" t="s">
        <v>339</v>
      </c>
      <c r="E2573" t="s">
        <v>377</v>
      </c>
    </row>
    <row r="2574" spans="8:8">
      <c r="B2574" t="s">
        <v>4126</v>
      </c>
      <c r="C2574">
        <v>531810.0</v>
      </c>
      <c r="D2574" t="s">
        <v>339</v>
      </c>
      <c r="E2574" t="s">
        <v>662</v>
      </c>
    </row>
    <row r="2575" spans="8:8">
      <c r="B2575" t="s">
        <v>4127</v>
      </c>
      <c r="C2575">
        <v>531810.0</v>
      </c>
      <c r="D2575" t="s">
        <v>339</v>
      </c>
      <c r="E2575" t="s">
        <v>662</v>
      </c>
    </row>
    <row r="2576" spans="8:8">
      <c r="B2576" t="s">
        <v>4128</v>
      </c>
      <c r="C2576">
        <v>513335.0</v>
      </c>
      <c r="D2576" t="s">
        <v>4129</v>
      </c>
      <c r="E2576" t="s">
        <v>1258</v>
      </c>
    </row>
    <row r="2577" spans="8:8">
      <c r="B2577" t="s">
        <v>4130</v>
      </c>
      <c r="C2577">
        <v>532990.0</v>
      </c>
      <c r="D2577" t="s">
        <v>4131</v>
      </c>
      <c r="E2577" t="s">
        <v>371</v>
      </c>
    </row>
    <row r="2578" spans="8:8">
      <c r="B2578" t="s">
        <v>4132</v>
      </c>
      <c r="C2578">
        <v>500159.0</v>
      </c>
      <c r="D2578" t="s">
        <v>339</v>
      </c>
      <c r="E2578" t="s">
        <v>333</v>
      </c>
    </row>
    <row r="2579" spans="8:8">
      <c r="B2579" t="s">
        <v>4133</v>
      </c>
      <c r="C2579">
        <v>542650.0</v>
      </c>
      <c r="D2579" t="s">
        <v>4134</v>
      </c>
      <c r="E2579" t="s">
        <v>528</v>
      </c>
    </row>
    <row r="2580" spans="8:8">
      <c r="B2580" t="s">
        <v>4135</v>
      </c>
      <c r="C2580">
        <v>540150.0</v>
      </c>
      <c r="D2580" t="s">
        <v>339</v>
      </c>
      <c r="E2580" t="s">
        <v>737</v>
      </c>
    </row>
    <row r="2581" spans="8:8">
      <c r="B2581" t="s">
        <v>4136</v>
      </c>
      <c r="C2581">
        <v>513496.0</v>
      </c>
      <c r="D2581" t="s">
        <v>339</v>
      </c>
      <c r="E2581" t="s">
        <v>2854</v>
      </c>
    </row>
    <row r="2582" spans="8:8">
      <c r="B2582" t="s">
        <v>4137</v>
      </c>
      <c r="C2582">
        <v>531613.0</v>
      </c>
      <c r="D2582" t="s">
        <v>4138</v>
      </c>
      <c r="E2582" t="s">
        <v>895</v>
      </c>
    </row>
    <row r="2583" spans="8:8">
      <c r="B2583" t="s">
        <v>4139</v>
      </c>
      <c r="C2583">
        <v>526622.0</v>
      </c>
      <c r="D2583" t="s">
        <v>339</v>
      </c>
      <c r="E2583" t="s">
        <v>660</v>
      </c>
    </row>
    <row r="2584" spans="8:8">
      <c r="B2584" t="s">
        <v>4140</v>
      </c>
      <c r="C2584">
        <v>526622.0</v>
      </c>
      <c r="D2584" t="s">
        <v>339</v>
      </c>
      <c r="E2584" t="s">
        <v>660</v>
      </c>
    </row>
    <row r="2585" spans="8:8">
      <c r="B2585" t="s">
        <v>4141</v>
      </c>
      <c r="C2585">
        <v>513721.0</v>
      </c>
      <c r="D2585" t="s">
        <v>339</v>
      </c>
      <c r="E2585" t="s">
        <v>371</v>
      </c>
    </row>
    <row r="2586" spans="8:8">
      <c r="B2586" t="s">
        <v>4142</v>
      </c>
      <c r="C2586">
        <v>532850.0</v>
      </c>
      <c r="D2586" t="s">
        <v>4143</v>
      </c>
      <c r="E2586" t="s">
        <v>881</v>
      </c>
    </row>
    <row r="2587" spans="8:8">
      <c r="B2587" t="s">
        <v>4144</v>
      </c>
      <c r="C2587">
        <v>523343.0</v>
      </c>
      <c r="D2587" t="s">
        <v>339</v>
      </c>
      <c r="E2587" t="s">
        <v>356</v>
      </c>
    </row>
    <row r="2588" spans="8:8">
      <c r="B2588" t="s">
        <v>4145</v>
      </c>
      <c r="C2588">
        <v>523343.0</v>
      </c>
      <c r="D2588" t="s">
        <v>339</v>
      </c>
      <c r="E2588" t="s">
        <v>356</v>
      </c>
    </row>
    <row r="2589" spans="8:8">
      <c r="B2589" t="s">
        <v>4146</v>
      </c>
      <c r="C2589">
        <v>526251.0</v>
      </c>
      <c r="D2589" t="s">
        <v>339</v>
      </c>
      <c r="E2589" t="s">
        <v>322</v>
      </c>
    </row>
    <row r="2590" spans="8:8">
      <c r="B2590" t="s">
        <v>4147</v>
      </c>
      <c r="C2590">
        <v>500277.0</v>
      </c>
      <c r="D2590" t="s">
        <v>339</v>
      </c>
      <c r="E2590" t="s">
        <v>354</v>
      </c>
    </row>
    <row r="2591" spans="8:8">
      <c r="B2591" t="s">
        <v>4148</v>
      </c>
      <c r="C2591">
        <v>531192.0</v>
      </c>
      <c r="D2591" t="s">
        <v>339</v>
      </c>
      <c r="E2591" t="s">
        <v>356</v>
      </c>
    </row>
    <row r="2592" spans="8:8">
      <c r="B2592" t="s">
        <v>4149</v>
      </c>
      <c r="C2592">
        <v>540744.0</v>
      </c>
      <c r="D2592" t="s">
        <v>339</v>
      </c>
      <c r="E2592" t="s">
        <v>371</v>
      </c>
    </row>
    <row r="2593" spans="8:8">
      <c r="B2593" t="s">
        <v>4150</v>
      </c>
      <c r="C2593">
        <v>533310.0</v>
      </c>
      <c r="D2593" t="s">
        <v>4151</v>
      </c>
      <c r="E2593" t="s">
        <v>4152</v>
      </c>
    </row>
    <row r="2594" spans="8:8">
      <c r="B2594" t="s">
        <v>4153</v>
      </c>
      <c r="C2594">
        <v>526570.0</v>
      </c>
      <c r="D2594" t="s">
        <v>339</v>
      </c>
      <c r="E2594" t="s">
        <v>867</v>
      </c>
    </row>
    <row r="2595" spans="8:8">
      <c r="B2595" t="s">
        <v>4154</v>
      </c>
      <c r="C2595">
        <v>538895.0</v>
      </c>
      <c r="D2595" t="s">
        <v>339</v>
      </c>
      <c r="E2595" t="s">
        <v>361</v>
      </c>
    </row>
    <row r="2596" spans="8:8">
      <c r="B2596" t="s">
        <v>4155</v>
      </c>
      <c r="C2596">
        <v>541337.0</v>
      </c>
      <c r="D2596" t="s">
        <v>339</v>
      </c>
      <c r="E2596" t="s">
        <v>616</v>
      </c>
    </row>
    <row r="2597" spans="8:8">
      <c r="B2597" t="s">
        <v>4156</v>
      </c>
      <c r="C2597">
        <v>531338.0</v>
      </c>
      <c r="D2597" t="s">
        <v>339</v>
      </c>
      <c r="E2597" t="s">
        <v>867</v>
      </c>
    </row>
    <row r="2598" spans="8:8">
      <c r="B2598" t="s">
        <v>4157</v>
      </c>
      <c r="C2598">
        <v>511018.0</v>
      </c>
      <c r="D2598" t="s">
        <v>339</v>
      </c>
      <c r="E2598" t="s">
        <v>760</v>
      </c>
    </row>
    <row r="2599" spans="8:8">
      <c r="B2599" t="s">
        <v>4158</v>
      </c>
      <c r="C2599">
        <v>507621.0</v>
      </c>
      <c r="D2599" t="s">
        <v>339</v>
      </c>
      <c r="E2599" t="s">
        <v>399</v>
      </c>
    </row>
    <row r="2600" spans="8:8">
      <c r="B2600" t="s">
        <v>4159</v>
      </c>
      <c r="C2600">
        <v>511187.0</v>
      </c>
      <c r="D2600" t="s">
        <v>339</v>
      </c>
      <c r="E2600" t="s">
        <v>760</v>
      </c>
    </row>
    <row r="2601" spans="8:8">
      <c r="B2601" t="s">
        <v>4160</v>
      </c>
      <c r="C2601" t="s">
        <v>339</v>
      </c>
      <c r="D2601" t="s">
        <v>4161</v>
      </c>
      <c r="E2601" t="s">
        <v>350</v>
      </c>
    </row>
    <row r="2602" spans="8:8">
      <c r="B2602" t="s">
        <v>4162</v>
      </c>
      <c r="C2602">
        <v>531456.0</v>
      </c>
      <c r="D2602" t="s">
        <v>339</v>
      </c>
      <c r="E2602" t="s">
        <v>354</v>
      </c>
    </row>
    <row r="2603" spans="8:8">
      <c r="B2603" t="s">
        <v>4163</v>
      </c>
      <c r="C2603">
        <v>538962.0</v>
      </c>
      <c r="D2603" t="s">
        <v>4164</v>
      </c>
      <c r="E2603" t="s">
        <v>694</v>
      </c>
    </row>
    <row r="2604" spans="8:8">
      <c r="B2604" t="s">
        <v>4165</v>
      </c>
      <c r="C2604">
        <v>539303.0</v>
      </c>
      <c r="D2604" t="s">
        <v>339</v>
      </c>
      <c r="E2604" t="s">
        <v>356</v>
      </c>
    </row>
    <row r="2605" spans="8:8">
      <c r="B2605" t="s">
        <v>4166</v>
      </c>
      <c r="C2605">
        <v>532539.0</v>
      </c>
      <c r="D2605" t="s">
        <v>4167</v>
      </c>
      <c r="E2605" t="s">
        <v>694</v>
      </c>
    </row>
    <row r="2606" spans="8:8">
      <c r="B2606" t="s">
        <v>4168</v>
      </c>
      <c r="C2606">
        <v>517344.0</v>
      </c>
      <c r="D2606" t="s">
        <v>4169</v>
      </c>
      <c r="E2606" t="s">
        <v>432</v>
      </c>
    </row>
    <row r="2607" spans="8:8">
      <c r="B2607" t="s">
        <v>4170</v>
      </c>
      <c r="C2607">
        <v>517344.0</v>
      </c>
      <c r="D2607" t="s">
        <v>4169</v>
      </c>
      <c r="E2607" t="s">
        <v>432</v>
      </c>
    </row>
    <row r="2608" spans="8:8">
      <c r="B2608" t="s">
        <v>4171</v>
      </c>
      <c r="C2608">
        <v>532819.0</v>
      </c>
      <c r="D2608" t="s">
        <v>4172</v>
      </c>
      <c r="E2608" t="s">
        <v>325</v>
      </c>
    </row>
    <row r="2609" spans="8:8">
      <c r="B2609" t="s">
        <v>4173</v>
      </c>
      <c r="C2609">
        <v>523373.0</v>
      </c>
      <c r="D2609" t="s">
        <v>339</v>
      </c>
      <c r="E2609" t="s">
        <v>453</v>
      </c>
    </row>
    <row r="2610" spans="8:8">
      <c r="B2610" t="s">
        <v>4174</v>
      </c>
      <c r="C2610">
        <v>523373.0</v>
      </c>
      <c r="D2610" t="s">
        <v>339</v>
      </c>
      <c r="E2610" t="s">
        <v>453</v>
      </c>
    </row>
    <row r="2611" spans="8:8">
      <c r="B2611" t="s">
        <v>4175</v>
      </c>
      <c r="C2611">
        <v>532164.0</v>
      </c>
      <c r="D2611" t="s">
        <v>339</v>
      </c>
      <c r="E2611" t="s">
        <v>356</v>
      </c>
    </row>
    <row r="2612" spans="8:8">
      <c r="B2612" t="s">
        <v>4176</v>
      </c>
      <c r="C2612">
        <v>505797.0</v>
      </c>
      <c r="D2612" t="s">
        <v>339</v>
      </c>
      <c r="E2612" t="s">
        <v>524</v>
      </c>
    </row>
    <row r="2613" spans="8:8">
      <c r="B2613" t="s">
        <v>4177</v>
      </c>
      <c r="C2613">
        <v>500279.0</v>
      </c>
      <c r="D2613" t="s">
        <v>4178</v>
      </c>
      <c r="E2613" t="s">
        <v>708</v>
      </c>
    </row>
    <row r="2614" spans="8:8">
      <c r="B2614" t="s">
        <v>4179</v>
      </c>
      <c r="C2614">
        <v>505336.0</v>
      </c>
      <c r="D2614" t="s">
        <v>339</v>
      </c>
      <c r="E2614" t="s">
        <v>347</v>
      </c>
    </row>
    <row r="2615" spans="8:8">
      <c r="B2615" t="s">
        <v>4180</v>
      </c>
      <c r="C2615">
        <v>505336.0</v>
      </c>
      <c r="D2615" t="s">
        <v>339</v>
      </c>
      <c r="E2615" t="s">
        <v>347</v>
      </c>
    </row>
    <row r="2616" spans="8:8">
      <c r="B2616" t="s">
        <v>4181</v>
      </c>
      <c r="C2616">
        <v>526642.0</v>
      </c>
      <c r="D2616" t="s">
        <v>4182</v>
      </c>
      <c r="E2616" t="s">
        <v>765</v>
      </c>
    </row>
    <row r="2617" spans="8:8">
      <c r="B2617" t="s">
        <v>4183</v>
      </c>
      <c r="C2617">
        <v>539220.0</v>
      </c>
      <c r="D2617" t="s">
        <v>339</v>
      </c>
      <c r="E2617" t="s">
        <v>453</v>
      </c>
    </row>
    <row r="2618" spans="8:8">
      <c r="B2618" t="s">
        <v>4184</v>
      </c>
      <c r="C2618">
        <v>541195.0</v>
      </c>
      <c r="D2618" t="s">
        <v>4185</v>
      </c>
      <c r="E2618" t="s">
        <v>662</v>
      </c>
    </row>
    <row r="2619" spans="8:8">
      <c r="B2619" t="s">
        <v>4186</v>
      </c>
      <c r="C2619">
        <v>539594.0</v>
      </c>
      <c r="D2619" t="s">
        <v>339</v>
      </c>
      <c r="E2619" t="s">
        <v>537</v>
      </c>
    </row>
    <row r="2620" spans="8:8">
      <c r="B2620" t="s">
        <v>4187</v>
      </c>
      <c r="C2620" t="s">
        <v>339</v>
      </c>
      <c r="D2620" t="s">
        <v>4188</v>
      </c>
      <c r="E2620" t="s">
        <v>350</v>
      </c>
    </row>
    <row r="2621" spans="8:8">
      <c r="B2621" t="s">
        <v>4189</v>
      </c>
      <c r="C2621">
        <v>523782.0</v>
      </c>
      <c r="D2621" t="s">
        <v>339</v>
      </c>
      <c r="E2621" t="s">
        <v>361</v>
      </c>
    </row>
    <row r="2622" spans="8:8">
      <c r="B2622" t="s">
        <v>4190</v>
      </c>
      <c r="C2622">
        <v>523782.0</v>
      </c>
      <c r="D2622" t="s">
        <v>339</v>
      </c>
      <c r="E2622" t="s">
        <v>361</v>
      </c>
    </row>
    <row r="2623" spans="8:8">
      <c r="B2623" t="s">
        <v>4191</v>
      </c>
      <c r="C2623">
        <v>540078.0</v>
      </c>
      <c r="D2623" t="s">
        <v>339</v>
      </c>
      <c r="E2623" t="s">
        <v>534</v>
      </c>
    </row>
    <row r="2624" spans="8:8">
      <c r="B2624" t="s">
        <v>4192</v>
      </c>
      <c r="C2624" t="s">
        <v>339</v>
      </c>
      <c r="D2624" t="s">
        <v>4193</v>
      </c>
      <c r="E2624" t="s">
        <v>350</v>
      </c>
    </row>
    <row r="2625" spans="8:8">
      <c r="B2625" t="s">
        <v>4194</v>
      </c>
      <c r="C2625">
        <v>522036.0</v>
      </c>
      <c r="D2625" t="s">
        <v>4195</v>
      </c>
      <c r="E2625" t="s">
        <v>524</v>
      </c>
    </row>
    <row r="2626" spans="8:8">
      <c r="B2626" t="s">
        <v>4196</v>
      </c>
      <c r="C2626">
        <v>522241.0</v>
      </c>
      <c r="D2626" t="s">
        <v>4197</v>
      </c>
      <c r="E2626" t="s">
        <v>1258</v>
      </c>
    </row>
    <row r="2627" spans="8:8">
      <c r="B2627" t="s">
        <v>4198</v>
      </c>
      <c r="C2627">
        <v>509196.0</v>
      </c>
      <c r="D2627" t="s">
        <v>4199</v>
      </c>
      <c r="E2627" t="s">
        <v>4200</v>
      </c>
    </row>
    <row r="2628" spans="8:8">
      <c r="B2628" t="s">
        <v>4201</v>
      </c>
      <c r="C2628" t="s">
        <v>339</v>
      </c>
      <c r="D2628" t="s">
        <v>4202</v>
      </c>
      <c r="E2628" t="s">
        <v>350</v>
      </c>
    </row>
    <row r="2629" spans="8:8">
      <c r="B2629" t="s">
        <v>4203</v>
      </c>
      <c r="C2629">
        <v>513377.0</v>
      </c>
      <c r="D2629" t="s">
        <v>4204</v>
      </c>
      <c r="E2629" t="s">
        <v>361</v>
      </c>
    </row>
    <row r="2630" spans="8:8">
      <c r="B2630" t="s">
        <v>4205</v>
      </c>
      <c r="C2630">
        <v>503772.0</v>
      </c>
      <c r="D2630" t="s">
        <v>339</v>
      </c>
      <c r="E2630" t="s">
        <v>361</v>
      </c>
    </row>
    <row r="2631" spans="8:8">
      <c r="B2631" t="s">
        <v>4206</v>
      </c>
      <c r="C2631">
        <v>503015.0</v>
      </c>
      <c r="D2631" t="s">
        <v>339</v>
      </c>
      <c r="E2631" t="s">
        <v>361</v>
      </c>
    </row>
    <row r="2632" spans="8:8">
      <c r="B2632" t="s">
        <v>4207</v>
      </c>
      <c r="C2632">
        <v>539762.0</v>
      </c>
      <c r="D2632" t="s">
        <v>339</v>
      </c>
      <c r="E2632" t="s">
        <v>537</v>
      </c>
    </row>
    <row r="2633" spans="8:8">
      <c r="B2633" t="s">
        <v>4208</v>
      </c>
      <c r="C2633">
        <v>519287.0</v>
      </c>
      <c r="D2633" t="s">
        <v>339</v>
      </c>
      <c r="E2633" t="s">
        <v>399</v>
      </c>
    </row>
    <row r="2634" spans="8:8">
      <c r="B2634" t="s">
        <v>4209</v>
      </c>
      <c r="C2634">
        <v>503015.0</v>
      </c>
      <c r="D2634" t="s">
        <v>339</v>
      </c>
      <c r="E2634" t="s">
        <v>361</v>
      </c>
    </row>
    <row r="2635" spans="8:8">
      <c r="B2635" t="s">
        <v>4210</v>
      </c>
      <c r="C2635">
        <v>509760.0</v>
      </c>
      <c r="D2635" t="s">
        <v>339</v>
      </c>
      <c r="E2635" t="s">
        <v>322</v>
      </c>
    </row>
    <row r="2636" spans="8:8">
      <c r="B2636" t="s">
        <v>4211</v>
      </c>
      <c r="C2636">
        <v>513303.0</v>
      </c>
      <c r="D2636" t="s">
        <v>4212</v>
      </c>
      <c r="E2636" t="s">
        <v>4213</v>
      </c>
    </row>
    <row r="2637" spans="8:8">
      <c r="B2637" t="s">
        <v>4214</v>
      </c>
      <c r="C2637">
        <v>537092.0</v>
      </c>
      <c r="D2637" t="s">
        <v>339</v>
      </c>
      <c r="E2637" t="s">
        <v>322</v>
      </c>
    </row>
    <row r="2638" spans="8:8">
      <c r="B2638" t="s">
        <v>4215</v>
      </c>
      <c r="C2638">
        <v>519003.0</v>
      </c>
      <c r="D2638" t="s">
        <v>339</v>
      </c>
      <c r="E2638" t="s">
        <v>537</v>
      </c>
    </row>
    <row r="2639" spans="8:8">
      <c r="B2639" t="s">
        <v>4216</v>
      </c>
      <c r="C2639">
        <v>500890.0</v>
      </c>
      <c r="D2639" t="s">
        <v>4217</v>
      </c>
      <c r="E2639" t="s">
        <v>819</v>
      </c>
    </row>
    <row r="2640" spans="8:8">
      <c r="B2640" t="s">
        <v>4218</v>
      </c>
      <c r="C2640">
        <v>503776.0</v>
      </c>
      <c r="D2640" t="s">
        <v>339</v>
      </c>
      <c r="E2640" t="s">
        <v>483</v>
      </c>
    </row>
    <row r="2641" spans="8:8">
      <c r="B2641" t="s">
        <v>4219</v>
      </c>
      <c r="C2641">
        <v>506261.0</v>
      </c>
      <c r="D2641" t="s">
        <v>339</v>
      </c>
      <c r="E2641" t="s">
        <v>637</v>
      </c>
    </row>
    <row r="2642" spans="8:8">
      <c r="B2642" t="s">
        <v>4220</v>
      </c>
      <c r="C2642" t="s">
        <v>339</v>
      </c>
      <c r="D2642" t="s">
        <v>4221</v>
      </c>
      <c r="E2642" t="s">
        <v>350</v>
      </c>
    </row>
    <row r="2643" spans="8:8">
      <c r="B2643" t="s">
        <v>4222</v>
      </c>
      <c r="C2643">
        <v>531453.0</v>
      </c>
      <c r="D2643" t="s">
        <v>4223</v>
      </c>
      <c r="E2643" t="s">
        <v>354</v>
      </c>
    </row>
    <row r="2644" spans="8:8">
      <c r="B2644" t="s">
        <v>4224</v>
      </c>
      <c r="C2644">
        <v>530169.0</v>
      </c>
      <c r="D2644" t="s">
        <v>339</v>
      </c>
      <c r="E2644" t="s">
        <v>333</v>
      </c>
    </row>
    <row r="2645" spans="8:8">
      <c r="B2645" t="s">
        <v>4225</v>
      </c>
      <c r="C2645">
        <v>532140.0</v>
      </c>
      <c r="D2645" t="s">
        <v>339</v>
      </c>
      <c r="E2645" t="s">
        <v>354</v>
      </c>
    </row>
    <row r="2646" spans="8:8">
      <c r="B2646" t="s">
        <v>4226</v>
      </c>
      <c r="C2646">
        <v>530047.0</v>
      </c>
      <c r="D2646" t="s">
        <v>4227</v>
      </c>
      <c r="E2646" t="s">
        <v>354</v>
      </c>
    </row>
    <row r="2647" spans="8:8">
      <c r="B2647" t="s">
        <v>4228</v>
      </c>
      <c r="C2647">
        <v>533286.0</v>
      </c>
      <c r="D2647" t="s">
        <v>4229</v>
      </c>
      <c r="E2647" t="s">
        <v>319</v>
      </c>
    </row>
    <row r="2648" spans="8:8">
      <c r="B2648" t="s">
        <v>4230</v>
      </c>
      <c r="C2648" t="s">
        <v>339</v>
      </c>
      <c r="D2648" t="s">
        <v>4231</v>
      </c>
      <c r="E2648" t="s">
        <v>350</v>
      </c>
    </row>
    <row r="2649" spans="8:8">
      <c r="B2649" t="s">
        <v>4232</v>
      </c>
      <c r="C2649">
        <v>533080.0</v>
      </c>
      <c r="D2649" t="s">
        <v>4233</v>
      </c>
      <c r="E2649" t="s">
        <v>534</v>
      </c>
    </row>
    <row r="2650" spans="8:8">
      <c r="B2650" t="s">
        <v>4234</v>
      </c>
      <c r="C2650">
        <v>526263.0</v>
      </c>
      <c r="D2650" t="s">
        <v>4235</v>
      </c>
      <c r="E2650" t="s">
        <v>669</v>
      </c>
    </row>
    <row r="2651" spans="8:8">
      <c r="B2651" t="s">
        <v>4236</v>
      </c>
      <c r="C2651">
        <v>511551.0</v>
      </c>
      <c r="D2651" t="s">
        <v>339</v>
      </c>
      <c r="E2651" t="s">
        <v>322</v>
      </c>
    </row>
    <row r="2652" spans="8:8">
      <c r="B2652" t="s">
        <v>4237</v>
      </c>
      <c r="C2652">
        <v>535910.0</v>
      </c>
      <c r="D2652" t="s">
        <v>339</v>
      </c>
      <c r="E2652" t="s">
        <v>356</v>
      </c>
    </row>
    <row r="2653" spans="8:8">
      <c r="B2653" t="s">
        <v>4238</v>
      </c>
      <c r="C2653">
        <v>532078.0</v>
      </c>
      <c r="D2653" t="s">
        <v>339</v>
      </c>
      <c r="E2653" t="s">
        <v>371</v>
      </c>
    </row>
    <row r="2654" spans="8:8">
      <c r="B2654" t="s">
        <v>4239</v>
      </c>
      <c r="C2654">
        <v>513446.0</v>
      </c>
      <c r="D2654" t="s">
        <v>4240</v>
      </c>
      <c r="E2654" t="s">
        <v>371</v>
      </c>
    </row>
    <row r="2655" spans="8:8">
      <c r="B2655" t="s">
        <v>4241</v>
      </c>
      <c r="C2655">
        <v>532723.0</v>
      </c>
      <c r="D2655" t="s">
        <v>339</v>
      </c>
      <c r="E2655" t="s">
        <v>425</v>
      </c>
    </row>
    <row r="2656" spans="8:8">
      <c r="B2656" t="s">
        <v>4242</v>
      </c>
      <c r="C2656">
        <v>505343.0</v>
      </c>
      <c r="D2656" t="s">
        <v>339</v>
      </c>
      <c r="E2656" t="s">
        <v>760</v>
      </c>
    </row>
    <row r="2657" spans="8:8">
      <c r="B2657" t="s">
        <v>4243</v>
      </c>
      <c r="C2657">
        <v>505343.0</v>
      </c>
      <c r="D2657" t="s">
        <v>339</v>
      </c>
      <c r="E2657" t="s">
        <v>760</v>
      </c>
    </row>
    <row r="2658" spans="8:8">
      <c r="B2658" t="s">
        <v>4244</v>
      </c>
      <c r="C2658">
        <v>524084.0</v>
      </c>
      <c r="D2658" t="s">
        <v>4245</v>
      </c>
      <c r="E2658" t="s">
        <v>483</v>
      </c>
    </row>
    <row r="2659" spans="8:8">
      <c r="B2659" t="s">
        <v>4246</v>
      </c>
      <c r="C2659">
        <v>524084.0</v>
      </c>
      <c r="D2659" t="s">
        <v>4245</v>
      </c>
      <c r="E2659" t="s">
        <v>483</v>
      </c>
    </row>
    <row r="2660" spans="8:8">
      <c r="B2660" t="s">
        <v>4247</v>
      </c>
      <c r="C2660">
        <v>538836.0</v>
      </c>
      <c r="D2660" t="s">
        <v>4248</v>
      </c>
      <c r="E2660" t="s">
        <v>453</v>
      </c>
    </row>
    <row r="2661" spans="8:8">
      <c r="B2661" t="s">
        <v>4249</v>
      </c>
      <c r="C2661">
        <v>530167.0</v>
      </c>
      <c r="D2661" t="s">
        <v>339</v>
      </c>
      <c r="E2661" t="s">
        <v>356</v>
      </c>
    </row>
    <row r="2662" spans="8:8">
      <c r="B2662" t="s">
        <v>4250</v>
      </c>
      <c r="C2662">
        <v>539199.0</v>
      </c>
      <c r="D2662" t="s">
        <v>339</v>
      </c>
      <c r="E2662" t="s">
        <v>322</v>
      </c>
    </row>
    <row r="2663" spans="8:8">
      <c r="B2663" t="s">
        <v>4251</v>
      </c>
      <c r="C2663">
        <v>532621.0</v>
      </c>
      <c r="D2663" t="s">
        <v>4252</v>
      </c>
      <c r="E2663" t="s">
        <v>354</v>
      </c>
    </row>
    <row r="2664" spans="8:8">
      <c r="B2664" t="s">
        <v>4253</v>
      </c>
      <c r="C2664">
        <v>511549.0</v>
      </c>
      <c r="D2664" t="s">
        <v>339</v>
      </c>
      <c r="E2664" t="s">
        <v>356</v>
      </c>
    </row>
    <row r="2665" spans="8:8">
      <c r="B2665" t="s">
        <v>4254</v>
      </c>
      <c r="C2665">
        <v>500288.0</v>
      </c>
      <c r="D2665" t="s">
        <v>4255</v>
      </c>
      <c r="E2665" t="s">
        <v>377</v>
      </c>
    </row>
    <row r="2666" spans="8:8">
      <c r="B2666" t="s">
        <v>4256</v>
      </c>
      <c r="C2666">
        <v>526237.0</v>
      </c>
      <c r="D2666" t="s">
        <v>339</v>
      </c>
      <c r="E2666" t="s">
        <v>356</v>
      </c>
    </row>
    <row r="2667" spans="8:8">
      <c r="B2667" t="s">
        <v>4257</v>
      </c>
      <c r="C2667">
        <v>523160.0</v>
      </c>
      <c r="D2667" t="s">
        <v>339</v>
      </c>
      <c r="E2667" t="s">
        <v>524</v>
      </c>
    </row>
    <row r="2668" spans="8:8">
      <c r="B2668" t="s">
        <v>4258</v>
      </c>
      <c r="C2668">
        <v>523160.0</v>
      </c>
      <c r="D2668" t="s">
        <v>339</v>
      </c>
      <c r="E2668" t="s">
        <v>524</v>
      </c>
    </row>
    <row r="2669" spans="8:8">
      <c r="B2669" t="s">
        <v>4259</v>
      </c>
      <c r="C2669">
        <v>513305.0</v>
      </c>
      <c r="D2669" t="s">
        <v>4260</v>
      </c>
      <c r="E2669" t="s">
        <v>760</v>
      </c>
    </row>
    <row r="2670" spans="8:8">
      <c r="B2670" t="s">
        <v>4261</v>
      </c>
      <c r="C2670">
        <v>532407.0</v>
      </c>
      <c r="D2670" t="s">
        <v>339</v>
      </c>
      <c r="E2670" t="s">
        <v>432</v>
      </c>
    </row>
    <row r="2671" spans="8:8">
      <c r="B2671" t="s">
        <v>4262</v>
      </c>
      <c r="C2671" t="s">
        <v>339</v>
      </c>
      <c r="D2671" t="s">
        <v>4263</v>
      </c>
      <c r="E2671" t="s">
        <v>430</v>
      </c>
    </row>
    <row r="2672" spans="8:8">
      <c r="B2672" t="s">
        <v>4264</v>
      </c>
      <c r="C2672">
        <v>517334.0</v>
      </c>
      <c r="D2672" t="s">
        <v>4265</v>
      </c>
      <c r="E2672" t="s">
        <v>694</v>
      </c>
    </row>
    <row r="2673" spans="8:8">
      <c r="B2673" t="s">
        <v>4266</v>
      </c>
      <c r="C2673">
        <v>532892.0</v>
      </c>
      <c r="D2673" t="s">
        <v>4267</v>
      </c>
      <c r="E2673" t="s">
        <v>356</v>
      </c>
    </row>
    <row r="2674" spans="8:8">
      <c r="B2674" t="s">
        <v>4268</v>
      </c>
      <c r="C2674">
        <v>590115.0</v>
      </c>
      <c r="D2674" t="s">
        <v>4269</v>
      </c>
      <c r="E2674" t="s">
        <v>322</v>
      </c>
    </row>
    <row r="2675" spans="8:8">
      <c r="B2675" t="s">
        <v>4270</v>
      </c>
      <c r="C2675">
        <v>533385.0</v>
      </c>
      <c r="D2675" t="s">
        <v>4271</v>
      </c>
      <c r="E2675" t="s">
        <v>322</v>
      </c>
    </row>
    <row r="2676" spans="8:8">
      <c r="B2676" t="s">
        <v>4272</v>
      </c>
      <c r="C2676">
        <v>507522.0</v>
      </c>
      <c r="D2676" t="s">
        <v>339</v>
      </c>
      <c r="E2676" t="s">
        <v>970</v>
      </c>
    </row>
    <row r="2677" spans="8:8">
      <c r="B2677" t="s">
        <v>4273</v>
      </c>
      <c r="C2677">
        <v>526299.0</v>
      </c>
      <c r="D2677" t="s">
        <v>4274</v>
      </c>
      <c r="E2677" t="s">
        <v>325</v>
      </c>
    </row>
    <row r="2678" spans="8:8">
      <c r="B2678" t="s">
        <v>4275</v>
      </c>
      <c r="C2678">
        <v>500450.0</v>
      </c>
      <c r="D2678" t="s">
        <v>339</v>
      </c>
      <c r="E2678" t="s">
        <v>322</v>
      </c>
    </row>
    <row r="2679" spans="8:8">
      <c r="B2679" t="s">
        <v>4276</v>
      </c>
      <c r="C2679">
        <v>526143.0</v>
      </c>
      <c r="D2679" t="s">
        <v>339</v>
      </c>
      <c r="E2679" t="s">
        <v>534</v>
      </c>
    </row>
    <row r="2680" spans="8:8">
      <c r="B2680" t="s">
        <v>4277</v>
      </c>
      <c r="C2680">
        <v>532440.0</v>
      </c>
      <c r="D2680" t="s">
        <v>4278</v>
      </c>
      <c r="E2680" t="s">
        <v>2331</v>
      </c>
    </row>
    <row r="2681" spans="8:8">
      <c r="B2681" t="s">
        <v>4279</v>
      </c>
      <c r="C2681">
        <v>540809.0</v>
      </c>
      <c r="D2681" t="s">
        <v>339</v>
      </c>
      <c r="E2681" t="s">
        <v>361</v>
      </c>
    </row>
    <row r="2682" spans="8:8">
      <c r="B2682" t="s">
        <v>4280</v>
      </c>
      <c r="C2682">
        <v>500290.0</v>
      </c>
      <c r="D2682" t="s">
        <v>4281</v>
      </c>
      <c r="E2682" t="s">
        <v>819</v>
      </c>
    </row>
    <row r="2683" spans="8:8">
      <c r="B2683" t="s">
        <v>4282</v>
      </c>
      <c r="C2683">
        <v>532376.0</v>
      </c>
      <c r="D2683" t="s">
        <v>4283</v>
      </c>
      <c r="E2683" t="s">
        <v>485</v>
      </c>
    </row>
    <row r="2684" spans="8:8">
      <c r="B2684" t="s">
        <v>4284</v>
      </c>
      <c r="C2684">
        <v>512065.0</v>
      </c>
      <c r="D2684" t="s">
        <v>339</v>
      </c>
      <c r="E2684" t="s">
        <v>356</v>
      </c>
    </row>
    <row r="2685" spans="8:8">
      <c r="B2685" t="s">
        <v>4285</v>
      </c>
      <c r="C2685">
        <v>532650.0</v>
      </c>
      <c r="D2685" t="s">
        <v>4286</v>
      </c>
      <c r="E2685" t="s">
        <v>662</v>
      </c>
    </row>
    <row r="2686" spans="8:8">
      <c r="B2686" t="s">
        <v>4287</v>
      </c>
      <c r="C2686">
        <v>508922.0</v>
      </c>
      <c r="D2686" t="s">
        <v>339</v>
      </c>
      <c r="E2686" t="s">
        <v>1384</v>
      </c>
    </row>
    <row r="2687" spans="8:8">
      <c r="B2687" t="s">
        <v>4288</v>
      </c>
      <c r="C2687">
        <v>508922.0</v>
      </c>
      <c r="D2687" t="s">
        <v>339</v>
      </c>
      <c r="E2687" t="s">
        <v>1384</v>
      </c>
    </row>
    <row r="2688" spans="8:8">
      <c r="B2688" t="s">
        <v>4289</v>
      </c>
      <c r="C2688" t="s">
        <v>339</v>
      </c>
      <c r="D2688" t="s">
        <v>4290</v>
      </c>
      <c r="E2688" t="s">
        <v>1384</v>
      </c>
    </row>
    <row r="2689" spans="8:8">
      <c r="B2689" t="s">
        <v>4291</v>
      </c>
      <c r="C2689">
        <v>542597.0</v>
      </c>
      <c r="D2689" t="s">
        <v>4292</v>
      </c>
      <c r="E2689" t="s">
        <v>705</v>
      </c>
    </row>
    <row r="2690" spans="8:8">
      <c r="B2690" t="s">
        <v>4293</v>
      </c>
      <c r="C2690">
        <v>534312.0</v>
      </c>
      <c r="D2690" t="s">
        <v>4294</v>
      </c>
      <c r="E2690" t="s">
        <v>444</v>
      </c>
    </row>
    <row r="2691" spans="8:8">
      <c r="B2691" t="s">
        <v>4295</v>
      </c>
      <c r="C2691">
        <v>531919.0</v>
      </c>
      <c r="D2691" t="s">
        <v>339</v>
      </c>
      <c r="E2691" t="s">
        <v>359</v>
      </c>
    </row>
    <row r="2692" spans="8:8">
      <c r="B2692" t="s">
        <v>4296</v>
      </c>
      <c r="C2692">
        <v>539819.0</v>
      </c>
      <c r="D2692" t="s">
        <v>339</v>
      </c>
      <c r="E2692" t="s">
        <v>322</v>
      </c>
    </row>
    <row r="2693" spans="8:8">
      <c r="B2693" t="s">
        <v>4297</v>
      </c>
      <c r="C2693">
        <v>538743.0</v>
      </c>
      <c r="D2693" t="s">
        <v>339</v>
      </c>
      <c r="E2693" t="s">
        <v>325</v>
      </c>
    </row>
    <row r="2694" spans="8:8">
      <c r="B2694" t="s">
        <v>4298</v>
      </c>
      <c r="C2694">
        <v>532097.0</v>
      </c>
      <c r="D2694" t="s">
        <v>4299</v>
      </c>
      <c r="E2694" t="s">
        <v>737</v>
      </c>
    </row>
    <row r="2695" spans="8:8">
      <c r="B2695" t="s">
        <v>4300</v>
      </c>
      <c r="C2695">
        <v>500460.0</v>
      </c>
      <c r="D2695" t="s">
        <v>4301</v>
      </c>
      <c r="E2695" t="s">
        <v>371</v>
      </c>
    </row>
    <row r="2696" spans="8:8">
      <c r="B2696" t="s">
        <v>4302</v>
      </c>
      <c r="C2696">
        <v>523832.0</v>
      </c>
      <c r="D2696" t="s">
        <v>4303</v>
      </c>
      <c r="E2696" t="s">
        <v>457</v>
      </c>
    </row>
    <row r="2697" spans="8:8">
      <c r="B2697" t="s">
        <v>4304</v>
      </c>
      <c r="C2697">
        <v>530341.0</v>
      </c>
      <c r="D2697" t="s">
        <v>339</v>
      </c>
      <c r="E2697" t="s">
        <v>322</v>
      </c>
    </row>
    <row r="2698" spans="8:8">
      <c r="B2698" t="s">
        <v>4305</v>
      </c>
      <c r="C2698">
        <v>535204.0</v>
      </c>
      <c r="D2698" t="s">
        <v>339</v>
      </c>
      <c r="E2698" t="s">
        <v>361</v>
      </c>
    </row>
    <row r="2699" spans="8:8">
      <c r="B2699" t="s">
        <v>4306</v>
      </c>
      <c r="C2699">
        <v>532357.0</v>
      </c>
      <c r="D2699" t="s">
        <v>4307</v>
      </c>
      <c r="E2699" t="s">
        <v>342</v>
      </c>
    </row>
    <row r="2700" spans="8:8">
      <c r="B2700" t="s">
        <v>4308</v>
      </c>
      <c r="C2700">
        <v>501477.0</v>
      </c>
      <c r="D2700" t="s">
        <v>339</v>
      </c>
      <c r="E2700" t="s">
        <v>361</v>
      </c>
    </row>
    <row r="2701" spans="8:8">
      <c r="B2701" t="s">
        <v>4309</v>
      </c>
      <c r="C2701">
        <v>501477.0</v>
      </c>
      <c r="D2701" t="s">
        <v>339</v>
      </c>
      <c r="E2701" t="s">
        <v>361</v>
      </c>
    </row>
    <row r="2702" spans="8:8">
      <c r="B2702" t="s">
        <v>4310</v>
      </c>
      <c r="C2702">
        <v>534091.0</v>
      </c>
      <c r="D2702" t="s">
        <v>4311</v>
      </c>
      <c r="E2702" t="s">
        <v>359</v>
      </c>
    </row>
    <row r="2703" spans="8:8">
      <c r="B2703" t="s">
        <v>4312</v>
      </c>
      <c r="C2703">
        <v>534091.0</v>
      </c>
      <c r="D2703" t="s">
        <v>4311</v>
      </c>
      <c r="E2703" t="s">
        <v>359</v>
      </c>
    </row>
    <row r="2704" spans="8:8">
      <c r="B2704" t="s">
        <v>4313</v>
      </c>
      <c r="C2704">
        <v>526169.0</v>
      </c>
      <c r="D2704" t="s">
        <v>339</v>
      </c>
      <c r="E2704" t="s">
        <v>819</v>
      </c>
    </row>
    <row r="2705" spans="8:8">
      <c r="B2705" t="s">
        <v>4314</v>
      </c>
      <c r="C2705">
        <v>526169.0</v>
      </c>
      <c r="D2705" t="s">
        <v>339</v>
      </c>
      <c r="E2705" t="s">
        <v>819</v>
      </c>
    </row>
    <row r="2706" spans="8:8">
      <c r="B2706" t="s">
        <v>4315</v>
      </c>
      <c r="C2706">
        <v>505594.0</v>
      </c>
      <c r="D2706" t="s">
        <v>339</v>
      </c>
      <c r="E2706" t="s">
        <v>760</v>
      </c>
    </row>
    <row r="2707" spans="8:8">
      <c r="B2707" t="s">
        <v>4316</v>
      </c>
      <c r="C2707">
        <v>504356.0</v>
      </c>
      <c r="D2707" t="s">
        <v>339</v>
      </c>
      <c r="E2707" t="s">
        <v>760</v>
      </c>
    </row>
    <row r="2708" spans="8:8">
      <c r="B2708" t="s">
        <v>4317</v>
      </c>
      <c r="C2708">
        <v>520059.0</v>
      </c>
      <c r="D2708" t="s">
        <v>4318</v>
      </c>
      <c r="E2708" t="s">
        <v>694</v>
      </c>
    </row>
    <row r="2709" spans="8:8">
      <c r="B2709" t="s">
        <v>4319</v>
      </c>
      <c r="C2709">
        <v>520043.0</v>
      </c>
      <c r="D2709" t="s">
        <v>4320</v>
      </c>
      <c r="E2709" t="s">
        <v>694</v>
      </c>
    </row>
    <row r="2710" spans="8:8">
      <c r="B2710" t="s">
        <v>4321</v>
      </c>
      <c r="C2710">
        <v>511200.0</v>
      </c>
      <c r="D2710" t="s">
        <v>339</v>
      </c>
      <c r="E2710" t="s">
        <v>760</v>
      </c>
    </row>
    <row r="2711" spans="8:8">
      <c r="B2711" t="s">
        <v>4322</v>
      </c>
      <c r="C2711">
        <v>511401.0</v>
      </c>
      <c r="D2711" t="s">
        <v>4323</v>
      </c>
      <c r="E2711" t="s">
        <v>322</v>
      </c>
    </row>
    <row r="2712" spans="8:8">
      <c r="B2712" t="s">
        <v>4324</v>
      </c>
      <c r="C2712">
        <v>531821.0</v>
      </c>
      <c r="D2712" t="s">
        <v>339</v>
      </c>
      <c r="E2712" t="s">
        <v>322</v>
      </c>
    </row>
    <row r="2713" spans="8:8">
      <c r="B2713" t="s">
        <v>4325</v>
      </c>
      <c r="C2713">
        <v>515037.0</v>
      </c>
      <c r="D2713" t="s">
        <v>4326</v>
      </c>
      <c r="E2713" t="s">
        <v>616</v>
      </c>
    </row>
    <row r="2714" spans="8:8">
      <c r="B2714" t="s">
        <v>4327</v>
      </c>
      <c r="C2714">
        <v>540366.0</v>
      </c>
      <c r="D2714" t="s">
        <v>4328</v>
      </c>
      <c r="E2714" t="s">
        <v>1077</v>
      </c>
    </row>
    <row r="2715" spans="8:8">
      <c r="B2715" t="s">
        <v>4329</v>
      </c>
      <c r="C2715">
        <v>511766.0</v>
      </c>
      <c r="D2715" t="s">
        <v>4330</v>
      </c>
      <c r="E2715" t="s">
        <v>356</v>
      </c>
    </row>
    <row r="2716" spans="8:8">
      <c r="B2716" t="s">
        <v>4331</v>
      </c>
      <c r="C2716">
        <v>533398.0</v>
      </c>
      <c r="D2716" t="s">
        <v>4332</v>
      </c>
      <c r="E2716" t="s">
        <v>356</v>
      </c>
    </row>
    <row r="2717" spans="8:8">
      <c r="B2717" t="s">
        <v>4333</v>
      </c>
      <c r="C2717">
        <v>532991.0</v>
      </c>
      <c r="D2717" t="s">
        <v>4334</v>
      </c>
      <c r="E2717" t="s">
        <v>425</v>
      </c>
    </row>
    <row r="2718" spans="8:8">
      <c r="B2718" t="s">
        <v>4335</v>
      </c>
      <c r="C2718">
        <v>538862.0</v>
      </c>
      <c r="D2718" t="s">
        <v>339</v>
      </c>
      <c r="E2718" t="s">
        <v>322</v>
      </c>
    </row>
    <row r="2719" spans="8:8">
      <c r="B2719" t="s">
        <v>4336</v>
      </c>
      <c r="C2719">
        <v>506734.0</v>
      </c>
      <c r="D2719" t="s">
        <v>339</v>
      </c>
      <c r="E2719" t="s">
        <v>387</v>
      </c>
    </row>
    <row r="2720" spans="8:8">
      <c r="B2720" t="s">
        <v>4337</v>
      </c>
      <c r="C2720">
        <v>535205.0</v>
      </c>
      <c r="D2720" t="s">
        <v>339</v>
      </c>
      <c r="E2720" t="s">
        <v>361</v>
      </c>
    </row>
    <row r="2721" spans="8:8">
      <c r="B2721" t="s">
        <v>4338</v>
      </c>
      <c r="C2721" t="s">
        <v>339</v>
      </c>
      <c r="D2721" t="s">
        <v>4339</v>
      </c>
      <c r="E2721" t="s">
        <v>430</v>
      </c>
    </row>
    <row r="2722" spans="8:8">
      <c r="B2722" t="s">
        <v>4340</v>
      </c>
      <c r="C2722">
        <v>512024.0</v>
      </c>
      <c r="D2722" t="s">
        <v>339</v>
      </c>
      <c r="E2722" t="s">
        <v>413</v>
      </c>
    </row>
    <row r="2723" spans="8:8">
      <c r="B2723" t="s">
        <v>4341</v>
      </c>
      <c r="C2723">
        <v>530897.0</v>
      </c>
      <c r="D2723" t="s">
        <v>339</v>
      </c>
      <c r="E2723" t="s">
        <v>528</v>
      </c>
    </row>
    <row r="2724" spans="8:8">
      <c r="B2724" t="s">
        <v>4342</v>
      </c>
      <c r="C2724">
        <v>516082.0</v>
      </c>
      <c r="D2724" t="s">
        <v>4343</v>
      </c>
      <c r="E2724" t="s">
        <v>333</v>
      </c>
    </row>
    <row r="2725" spans="8:8">
      <c r="B2725" t="s">
        <v>4344</v>
      </c>
      <c r="C2725">
        <v>532623.0</v>
      </c>
      <c r="D2725" t="s">
        <v>339</v>
      </c>
      <c r="E2725" t="s">
        <v>361</v>
      </c>
    </row>
    <row r="2726" spans="8:8">
      <c r="B2726" t="s">
        <v>4345</v>
      </c>
      <c r="C2726">
        <v>512279.0</v>
      </c>
      <c r="D2726" t="s">
        <v>339</v>
      </c>
      <c r="E2726" t="s">
        <v>760</v>
      </c>
    </row>
    <row r="2727" spans="8:8">
      <c r="B2727" t="s">
        <v>4346</v>
      </c>
      <c r="C2727">
        <v>524709.0</v>
      </c>
      <c r="D2727" t="s">
        <v>4347</v>
      </c>
      <c r="E2727" t="s">
        <v>483</v>
      </c>
    </row>
    <row r="2728" spans="8:8">
      <c r="B2728" t="s">
        <v>4348</v>
      </c>
      <c r="C2728" t="s">
        <v>339</v>
      </c>
      <c r="D2728" t="s">
        <v>4349</v>
      </c>
      <c r="E2728" t="s">
        <v>430</v>
      </c>
    </row>
    <row r="2729" spans="8:8">
      <c r="B2729" t="s">
        <v>4350</v>
      </c>
      <c r="C2729">
        <v>531832.0</v>
      </c>
      <c r="D2729" t="s">
        <v>339</v>
      </c>
      <c r="E2729" t="s">
        <v>537</v>
      </c>
    </row>
    <row r="2730" spans="8:8">
      <c r="B2730" t="s">
        <v>4351</v>
      </c>
      <c r="C2730">
        <v>539917.0</v>
      </c>
      <c r="D2730" t="s">
        <v>4352</v>
      </c>
      <c r="E2730" t="s">
        <v>847</v>
      </c>
    </row>
    <row r="2731" spans="8:8">
      <c r="B2731" t="s">
        <v>4353</v>
      </c>
      <c r="C2731">
        <v>534184.0</v>
      </c>
      <c r="D2731" t="s">
        <v>4354</v>
      </c>
      <c r="E2731" t="s">
        <v>402</v>
      </c>
    </row>
    <row r="2732" spans="8:8">
      <c r="B2732" t="s">
        <v>4355</v>
      </c>
      <c r="C2732">
        <v>532362.0</v>
      </c>
      <c r="D2732" t="s">
        <v>339</v>
      </c>
      <c r="E2732" t="s">
        <v>371</v>
      </c>
    </row>
    <row r="2733" spans="8:8">
      <c r="B2733" t="s">
        <v>4356</v>
      </c>
      <c r="C2733">
        <v>532895.0</v>
      </c>
      <c r="D2733" t="s">
        <v>4357</v>
      </c>
      <c r="E2733" t="s">
        <v>359</v>
      </c>
    </row>
    <row r="2734" spans="8:8">
      <c r="B2734" t="s">
        <v>4358</v>
      </c>
      <c r="C2734">
        <v>521109.0</v>
      </c>
      <c r="D2734" t="s">
        <v>4359</v>
      </c>
      <c r="E2734" t="s">
        <v>354</v>
      </c>
    </row>
    <row r="2735" spans="8:8">
      <c r="B2735" t="s">
        <v>4360</v>
      </c>
      <c r="C2735">
        <v>532952.0</v>
      </c>
      <c r="D2735" t="s">
        <v>4361</v>
      </c>
      <c r="E2735" t="s">
        <v>359</v>
      </c>
    </row>
    <row r="2736" spans="8:8">
      <c r="B2736" t="s">
        <v>4362</v>
      </c>
      <c r="C2736">
        <v>519136.0</v>
      </c>
      <c r="D2736" t="s">
        <v>4363</v>
      </c>
      <c r="E2736" t="s">
        <v>354</v>
      </c>
    </row>
    <row r="2737" spans="8:8">
      <c r="B2737" t="s">
        <v>4364</v>
      </c>
      <c r="C2737">
        <v>523391.0</v>
      </c>
      <c r="D2737" t="s">
        <v>4365</v>
      </c>
      <c r="E2737" t="s">
        <v>354</v>
      </c>
    </row>
    <row r="2738" spans="8:8">
      <c r="B2738" t="s">
        <v>4366</v>
      </c>
      <c r="C2738">
        <v>500296.0</v>
      </c>
      <c r="D2738" t="s">
        <v>4367</v>
      </c>
      <c r="E2738" t="s">
        <v>354</v>
      </c>
    </row>
    <row r="2739" spans="8:8">
      <c r="B2739" t="s">
        <v>4368</v>
      </c>
      <c r="C2739">
        <v>541418.0</v>
      </c>
      <c r="D2739" t="s">
        <v>339</v>
      </c>
      <c r="E2739" t="s">
        <v>399</v>
      </c>
    </row>
    <row r="2740" spans="8:8">
      <c r="B2740" t="s">
        <v>4369</v>
      </c>
      <c r="C2740">
        <v>531212.0</v>
      </c>
      <c r="D2740" t="s">
        <v>339</v>
      </c>
      <c r="E2740" t="s">
        <v>356</v>
      </c>
    </row>
    <row r="2741" spans="8:8">
      <c r="B2741" t="s">
        <v>4370</v>
      </c>
      <c r="C2741">
        <v>532256.0</v>
      </c>
      <c r="D2741" t="s">
        <v>4371</v>
      </c>
      <c r="E2741" t="s">
        <v>356</v>
      </c>
    </row>
    <row r="2742" spans="8:8">
      <c r="B2742" t="s">
        <v>4372</v>
      </c>
      <c r="C2742">
        <v>538395.0</v>
      </c>
      <c r="D2742" t="s">
        <v>339</v>
      </c>
      <c r="E2742" t="s">
        <v>322</v>
      </c>
    </row>
    <row r="2743" spans="8:8">
      <c r="B2743" t="s">
        <v>4373</v>
      </c>
      <c r="C2743">
        <v>532641.0</v>
      </c>
      <c r="D2743" t="s">
        <v>4374</v>
      </c>
      <c r="E2743" t="s">
        <v>354</v>
      </c>
    </row>
    <row r="2744" spans="8:8">
      <c r="B2744" t="s">
        <v>4375</v>
      </c>
      <c r="C2744" t="s">
        <v>339</v>
      </c>
      <c r="D2744" t="s">
        <v>4376</v>
      </c>
      <c r="E2744" t="s">
        <v>350</v>
      </c>
    </row>
    <row r="2745" spans="8:8">
      <c r="B2745" t="s">
        <v>4377</v>
      </c>
      <c r="C2745">
        <v>539551.0</v>
      </c>
      <c r="D2745" t="s">
        <v>4378</v>
      </c>
      <c r="E2745" t="s">
        <v>809</v>
      </c>
    </row>
    <row r="2746" spans="8:8">
      <c r="B2746" t="s">
        <v>4379</v>
      </c>
      <c r="C2746">
        <v>540080.0</v>
      </c>
      <c r="D2746" t="s">
        <v>339</v>
      </c>
      <c r="E2746" t="s">
        <v>371</v>
      </c>
    </row>
    <row r="2747" spans="8:8">
      <c r="B2747" t="s">
        <v>4380</v>
      </c>
      <c r="C2747">
        <v>519455.0</v>
      </c>
      <c r="D2747" t="s">
        <v>339</v>
      </c>
      <c r="E2747" t="s">
        <v>453</v>
      </c>
    </row>
    <row r="2748" spans="8:8">
      <c r="B2748" t="s">
        <v>4381</v>
      </c>
      <c r="C2748">
        <v>540204.0</v>
      </c>
      <c r="D2748" t="s">
        <v>4382</v>
      </c>
      <c r="E2748" t="s">
        <v>423</v>
      </c>
    </row>
    <row r="2749" spans="8:8">
      <c r="B2749" t="s">
        <v>4383</v>
      </c>
      <c r="C2749">
        <v>531416.0</v>
      </c>
      <c r="D2749" t="s">
        <v>339</v>
      </c>
      <c r="E2749" t="s">
        <v>425</v>
      </c>
    </row>
    <row r="2750" spans="8:8">
      <c r="B2750" t="s">
        <v>4384</v>
      </c>
      <c r="C2750" t="s">
        <v>339</v>
      </c>
      <c r="D2750" t="s">
        <v>4385</v>
      </c>
      <c r="E2750" t="s">
        <v>350</v>
      </c>
    </row>
    <row r="2751" spans="8:8">
      <c r="B2751" t="s">
        <v>4386</v>
      </c>
      <c r="C2751">
        <v>526739.0</v>
      </c>
      <c r="D2751" t="s">
        <v>339</v>
      </c>
      <c r="E2751" t="s">
        <v>499</v>
      </c>
    </row>
    <row r="2752" spans="8:8">
      <c r="B2752" t="s">
        <v>4387</v>
      </c>
      <c r="C2752">
        <v>517431.0</v>
      </c>
      <c r="D2752" t="s">
        <v>4388</v>
      </c>
      <c r="E2752" t="s">
        <v>459</v>
      </c>
    </row>
    <row r="2753" spans="8:8">
      <c r="B2753" t="s">
        <v>4389</v>
      </c>
      <c r="C2753">
        <v>539595.0</v>
      </c>
      <c r="D2753" t="s">
        <v>339</v>
      </c>
      <c r="E2753" t="s">
        <v>322</v>
      </c>
    </row>
    <row r="2754" spans="8:8">
      <c r="B2754" t="s">
        <v>4390</v>
      </c>
      <c r="C2754">
        <v>524816.0</v>
      </c>
      <c r="D2754" t="s">
        <v>4391</v>
      </c>
      <c r="E2754" t="s">
        <v>377</v>
      </c>
    </row>
    <row r="2755" spans="8:8">
      <c r="B2755" t="s">
        <v>4392</v>
      </c>
      <c r="C2755">
        <v>537291.0</v>
      </c>
      <c r="D2755" t="s">
        <v>4393</v>
      </c>
      <c r="E2755" t="s">
        <v>537</v>
      </c>
    </row>
    <row r="2756" spans="8:8">
      <c r="B2756" t="s">
        <v>4394</v>
      </c>
      <c r="C2756">
        <v>537291.0</v>
      </c>
      <c r="D2756" t="s">
        <v>4393</v>
      </c>
      <c r="E2756" t="s">
        <v>537</v>
      </c>
    </row>
    <row r="2757" spans="8:8">
      <c r="B2757" t="s">
        <v>4395</v>
      </c>
      <c r="C2757">
        <v>502407.0</v>
      </c>
      <c r="D2757" t="s">
        <v>339</v>
      </c>
      <c r="E2757" t="s">
        <v>333</v>
      </c>
    </row>
    <row r="2758" spans="8:8">
      <c r="B2758" t="s">
        <v>4396</v>
      </c>
      <c r="C2758">
        <v>532234.0</v>
      </c>
      <c r="D2758" t="s">
        <v>4397</v>
      </c>
      <c r="E2758" t="s">
        <v>644</v>
      </c>
    </row>
    <row r="2759" spans="8:8">
      <c r="B2759" t="s">
        <v>4398</v>
      </c>
      <c r="C2759">
        <v>523630.0</v>
      </c>
      <c r="D2759" t="s">
        <v>4399</v>
      </c>
      <c r="E2759" t="s">
        <v>847</v>
      </c>
    </row>
    <row r="2760" spans="8:8">
      <c r="B2760" t="s">
        <v>4400</v>
      </c>
      <c r="C2760">
        <v>531289.0</v>
      </c>
      <c r="D2760" t="s">
        <v>339</v>
      </c>
      <c r="E2760" t="s">
        <v>662</v>
      </c>
    </row>
    <row r="2761" spans="8:8">
      <c r="B2761" t="s">
        <v>4401</v>
      </c>
      <c r="C2761">
        <v>531651.0</v>
      </c>
      <c r="D2761" t="s">
        <v>339</v>
      </c>
      <c r="E2761" t="s">
        <v>371</v>
      </c>
    </row>
    <row r="2762" spans="8:8">
      <c r="B2762" t="s">
        <v>4402</v>
      </c>
      <c r="C2762">
        <v>507813.0</v>
      </c>
      <c r="D2762" t="s">
        <v>339</v>
      </c>
      <c r="E2762" t="s">
        <v>1374</v>
      </c>
    </row>
    <row r="2763" spans="8:8">
      <c r="B2763" t="s">
        <v>4403</v>
      </c>
      <c r="C2763">
        <v>500298.0</v>
      </c>
      <c r="D2763" t="s">
        <v>339</v>
      </c>
      <c r="E2763" t="s">
        <v>387</v>
      </c>
    </row>
    <row r="2764" spans="8:8">
      <c r="B2764" t="s">
        <v>4404</v>
      </c>
      <c r="C2764">
        <v>526616.0</v>
      </c>
      <c r="D2764" t="s">
        <v>339</v>
      </c>
      <c r="E2764" t="s">
        <v>459</v>
      </c>
    </row>
    <row r="2765" spans="8:8">
      <c r="B2765" t="s">
        <v>4405</v>
      </c>
      <c r="C2765">
        <v>531287.0</v>
      </c>
      <c r="D2765" t="s">
        <v>339</v>
      </c>
      <c r="E2765" t="s">
        <v>459</v>
      </c>
    </row>
    <row r="2766" spans="8:8">
      <c r="B2766" t="s">
        <v>4406</v>
      </c>
      <c r="C2766">
        <v>516062.0</v>
      </c>
      <c r="D2766" t="s">
        <v>339</v>
      </c>
      <c r="E2766" t="s">
        <v>834</v>
      </c>
    </row>
    <row r="2767" spans="8:8">
      <c r="B2767" t="s">
        <v>4407</v>
      </c>
      <c r="C2767">
        <v>504882.0</v>
      </c>
      <c r="D2767" t="s">
        <v>339</v>
      </c>
      <c r="E2767" t="s">
        <v>425</v>
      </c>
    </row>
    <row r="2768" spans="8:8">
      <c r="B2768" t="s">
        <v>4408</v>
      </c>
      <c r="C2768">
        <v>504882.0</v>
      </c>
      <c r="D2768" t="s">
        <v>339</v>
      </c>
      <c r="E2768" t="s">
        <v>425</v>
      </c>
    </row>
    <row r="2769" spans="8:8">
      <c r="B2769" t="s">
        <v>4409</v>
      </c>
      <c r="C2769">
        <v>513179.0</v>
      </c>
      <c r="D2769" t="s">
        <v>4410</v>
      </c>
      <c r="E2769" t="s">
        <v>371</v>
      </c>
    </row>
    <row r="2770" spans="8:8">
      <c r="B2770" t="s">
        <v>4411</v>
      </c>
      <c r="C2770">
        <v>530119.0</v>
      </c>
      <c r="D2770" t="s">
        <v>339</v>
      </c>
      <c r="E2770" t="s">
        <v>588</v>
      </c>
    </row>
    <row r="2771" spans="8:8">
      <c r="B2771" t="s">
        <v>4412</v>
      </c>
      <c r="C2771">
        <v>531834.0</v>
      </c>
      <c r="D2771" t="s">
        <v>339</v>
      </c>
      <c r="E2771" t="s">
        <v>537</v>
      </c>
    </row>
    <row r="2772" spans="8:8">
      <c r="B2772" t="s">
        <v>4413</v>
      </c>
      <c r="C2772">
        <v>524654.0</v>
      </c>
      <c r="D2772" t="s">
        <v>339</v>
      </c>
      <c r="E2772" t="s">
        <v>377</v>
      </c>
    </row>
    <row r="2773" spans="8:8">
      <c r="B2773" t="s">
        <v>4414</v>
      </c>
      <c r="C2773">
        <v>538926.0</v>
      </c>
      <c r="D2773" t="s">
        <v>339</v>
      </c>
      <c r="E2773" t="s">
        <v>537</v>
      </c>
    </row>
    <row r="2774" spans="8:8">
      <c r="B2774" t="s">
        <v>4415</v>
      </c>
      <c r="C2774">
        <v>513023.0</v>
      </c>
      <c r="D2774" t="s">
        <v>4416</v>
      </c>
      <c r="E2774" t="s">
        <v>478</v>
      </c>
    </row>
    <row r="2775" spans="8:8">
      <c r="B2775" t="s">
        <v>4417</v>
      </c>
      <c r="C2775">
        <v>539521.0</v>
      </c>
      <c r="D2775" t="s">
        <v>339</v>
      </c>
      <c r="E2775" t="s">
        <v>322</v>
      </c>
    </row>
    <row r="2776" spans="8:8">
      <c r="B2776" t="s">
        <v>4418</v>
      </c>
      <c r="C2776">
        <v>532504.0</v>
      </c>
      <c r="D2776" t="s">
        <v>4419</v>
      </c>
      <c r="E2776" t="s">
        <v>387</v>
      </c>
    </row>
    <row r="2777" spans="8:8">
      <c r="B2777" t="s">
        <v>4420</v>
      </c>
      <c r="C2777">
        <v>531494.0</v>
      </c>
      <c r="D2777" t="s">
        <v>339</v>
      </c>
      <c r="E2777" t="s">
        <v>425</v>
      </c>
    </row>
    <row r="2778" spans="8:8">
      <c r="B2778" t="s">
        <v>4421</v>
      </c>
      <c r="C2778">
        <v>539332.0</v>
      </c>
      <c r="D2778" t="s">
        <v>4422</v>
      </c>
      <c r="E2778" t="s">
        <v>462</v>
      </c>
    </row>
    <row r="2779" spans="8:8">
      <c r="B2779" t="s">
        <v>4423</v>
      </c>
      <c r="C2779">
        <v>539525.0</v>
      </c>
      <c r="D2779" t="s">
        <v>339</v>
      </c>
      <c r="E2779" t="s">
        <v>373</v>
      </c>
    </row>
    <row r="2780" spans="8:8">
      <c r="B2780" t="s">
        <v>4424</v>
      </c>
      <c r="C2780">
        <v>508989.0</v>
      </c>
      <c r="D2780" t="s">
        <v>4425</v>
      </c>
      <c r="E2780" t="s">
        <v>863</v>
      </c>
    </row>
    <row r="2781" spans="8:8">
      <c r="B2781" t="s">
        <v>4426</v>
      </c>
      <c r="C2781">
        <v>538668.0</v>
      </c>
      <c r="D2781" t="s">
        <v>339</v>
      </c>
      <c r="E2781" t="s">
        <v>356</v>
      </c>
    </row>
    <row r="2782" spans="8:8">
      <c r="B2782" t="s">
        <v>4427</v>
      </c>
      <c r="C2782">
        <v>523242.0</v>
      </c>
      <c r="D2782" t="s">
        <v>339</v>
      </c>
      <c r="E2782" t="s">
        <v>765</v>
      </c>
    </row>
    <row r="2783" spans="8:8">
      <c r="B2783" t="s">
        <v>4428</v>
      </c>
      <c r="C2783">
        <v>534309.0</v>
      </c>
      <c r="D2783" t="s">
        <v>4429</v>
      </c>
      <c r="E2783" t="s">
        <v>737</v>
      </c>
    </row>
    <row r="2784" spans="8:8">
      <c r="B2784" t="s">
        <v>4430</v>
      </c>
      <c r="C2784">
        <v>534309.0</v>
      </c>
      <c r="D2784" t="s">
        <v>4429</v>
      </c>
      <c r="E2784" t="s">
        <v>737</v>
      </c>
    </row>
    <row r="2785" spans="8:8">
      <c r="B2785" t="s">
        <v>4431</v>
      </c>
      <c r="C2785">
        <v>519506.0</v>
      </c>
      <c r="D2785" t="s">
        <v>339</v>
      </c>
      <c r="E2785" t="s">
        <v>399</v>
      </c>
    </row>
    <row r="2786" spans="8:8">
      <c r="B2786" t="s">
        <v>4432</v>
      </c>
      <c r="C2786">
        <v>531452.0</v>
      </c>
      <c r="D2786" t="s">
        <v>339</v>
      </c>
      <c r="E2786" t="s">
        <v>356</v>
      </c>
    </row>
    <row r="2787" spans="8:8">
      <c r="B2787" t="s">
        <v>4433</v>
      </c>
      <c r="C2787">
        <v>500294.0</v>
      </c>
      <c r="D2787" t="s">
        <v>4434</v>
      </c>
      <c r="E2787" t="s">
        <v>737</v>
      </c>
    </row>
    <row r="2788" spans="8:8">
      <c r="B2788" t="s">
        <v>4435</v>
      </c>
      <c r="C2788">
        <v>502168.0</v>
      </c>
      <c r="D2788" t="s">
        <v>4436</v>
      </c>
      <c r="E2788" t="s">
        <v>352</v>
      </c>
    </row>
    <row r="2789" spans="8:8">
      <c r="B2789" t="s">
        <v>4437</v>
      </c>
      <c r="C2789">
        <v>530557.0</v>
      </c>
      <c r="D2789" t="s">
        <v>339</v>
      </c>
      <c r="E2789" t="s">
        <v>322</v>
      </c>
    </row>
    <row r="2790" spans="8:8">
      <c r="B2790" t="s">
        <v>4438</v>
      </c>
      <c r="C2790">
        <v>511535.0</v>
      </c>
      <c r="D2790" t="s">
        <v>339</v>
      </c>
      <c r="E2790" t="s">
        <v>322</v>
      </c>
    </row>
    <row r="2791" spans="8:8">
      <c r="B2791" t="s">
        <v>4439</v>
      </c>
      <c r="C2791">
        <v>532649.0</v>
      </c>
      <c r="D2791" t="s">
        <v>4440</v>
      </c>
      <c r="E2791" t="s">
        <v>377</v>
      </c>
    </row>
    <row r="2792" spans="8:8">
      <c r="B2792" t="s">
        <v>4441</v>
      </c>
      <c r="C2792">
        <v>508670.0</v>
      </c>
      <c r="D2792" t="s">
        <v>339</v>
      </c>
      <c r="E2792" t="s">
        <v>746</v>
      </c>
    </row>
    <row r="2793" spans="8:8">
      <c r="B2793" t="s">
        <v>4442</v>
      </c>
      <c r="C2793">
        <v>531049.0</v>
      </c>
      <c r="D2793" t="s">
        <v>339</v>
      </c>
      <c r="E2793" t="s">
        <v>867</v>
      </c>
    </row>
    <row r="2794" spans="8:8">
      <c r="B2794" t="s">
        <v>4443</v>
      </c>
      <c r="C2794">
        <v>539409.0</v>
      </c>
      <c r="D2794" t="s">
        <v>339</v>
      </c>
      <c r="E2794" t="s">
        <v>361</v>
      </c>
    </row>
    <row r="2795" spans="8:8">
      <c r="B2795" t="s">
        <v>4444</v>
      </c>
      <c r="C2795">
        <v>537838.0</v>
      </c>
      <c r="D2795" t="s">
        <v>339</v>
      </c>
      <c r="E2795" t="s">
        <v>361</v>
      </c>
    </row>
    <row r="2796" spans="8:8">
      <c r="B2796" t="s">
        <v>4445</v>
      </c>
      <c r="C2796">
        <v>519560.0</v>
      </c>
      <c r="D2796" t="s">
        <v>339</v>
      </c>
      <c r="E2796" t="s">
        <v>537</v>
      </c>
    </row>
    <row r="2797" spans="8:8">
      <c r="B2797" t="s">
        <v>4446</v>
      </c>
      <c r="C2797">
        <v>539016.0</v>
      </c>
      <c r="D2797" t="s">
        <v>339</v>
      </c>
      <c r="E2797" t="s">
        <v>356</v>
      </c>
    </row>
    <row r="2798" spans="8:8">
      <c r="B2798" t="s">
        <v>4447</v>
      </c>
      <c r="C2798">
        <v>532864.0</v>
      </c>
      <c r="D2798" t="s">
        <v>4448</v>
      </c>
      <c r="E2798" t="s">
        <v>1258</v>
      </c>
    </row>
    <row r="2799" spans="8:8">
      <c r="B2799" t="s">
        <v>4449</v>
      </c>
      <c r="C2799">
        <v>504112.0</v>
      </c>
      <c r="D2799" t="s">
        <v>4450</v>
      </c>
      <c r="E2799" t="s">
        <v>1965</v>
      </c>
    </row>
    <row r="2800" spans="8:8">
      <c r="B2800" t="s">
        <v>4451</v>
      </c>
      <c r="C2800">
        <v>514332.0</v>
      </c>
      <c r="D2800" t="s">
        <v>339</v>
      </c>
      <c r="E2800" t="s">
        <v>425</v>
      </c>
    </row>
    <row r="2801" spans="8:8">
      <c r="B2801" t="s">
        <v>4452</v>
      </c>
      <c r="C2801">
        <v>526195.0</v>
      </c>
      <c r="D2801" t="s">
        <v>339</v>
      </c>
      <c r="E2801" t="s">
        <v>453</v>
      </c>
    </row>
    <row r="2802" spans="8:8">
      <c r="B2802" t="s">
        <v>4453</v>
      </c>
      <c r="C2802">
        <v>526195.0</v>
      </c>
      <c r="D2802" t="s">
        <v>339</v>
      </c>
      <c r="E2802" t="s">
        <v>453</v>
      </c>
    </row>
    <row r="2803" spans="8:8">
      <c r="B2803" t="s">
        <v>4454</v>
      </c>
      <c r="C2803">
        <v>542665.0</v>
      </c>
      <c r="D2803" t="s">
        <v>4455</v>
      </c>
      <c r="E2803" t="s">
        <v>499</v>
      </c>
    </row>
    <row r="2804" spans="8:8">
      <c r="B2804" t="s">
        <v>4456</v>
      </c>
      <c r="C2804">
        <v>512522.0</v>
      </c>
      <c r="D2804" t="s">
        <v>339</v>
      </c>
      <c r="E2804" t="s">
        <v>361</v>
      </c>
    </row>
    <row r="2805" spans="8:8">
      <c r="B2805" t="s">
        <v>4457</v>
      </c>
      <c r="C2805">
        <v>505355.0</v>
      </c>
      <c r="D2805" t="s">
        <v>4458</v>
      </c>
      <c r="E2805" t="s">
        <v>760</v>
      </c>
    </row>
    <row r="2806" spans="8:8">
      <c r="B2806" t="s">
        <v>4459</v>
      </c>
      <c r="C2806">
        <v>500790.0</v>
      </c>
      <c r="D2806" t="s">
        <v>4460</v>
      </c>
      <c r="E2806" t="s">
        <v>399</v>
      </c>
    </row>
    <row r="2807" spans="8:8">
      <c r="B2807" t="s">
        <v>4461</v>
      </c>
      <c r="C2807">
        <v>500790.0</v>
      </c>
      <c r="D2807" t="s">
        <v>4460</v>
      </c>
      <c r="E2807" t="s">
        <v>399</v>
      </c>
    </row>
    <row r="2808" spans="8:8">
      <c r="B2808" t="s">
        <v>4462</v>
      </c>
      <c r="C2808">
        <v>509040.0</v>
      </c>
      <c r="D2808" t="s">
        <v>339</v>
      </c>
      <c r="E2808" t="s">
        <v>432</v>
      </c>
    </row>
    <row r="2809" spans="8:8">
      <c r="B2809" t="s">
        <v>4463</v>
      </c>
      <c r="C2809">
        <v>509040.0</v>
      </c>
      <c r="D2809" t="s">
        <v>339</v>
      </c>
      <c r="E2809" t="s">
        <v>432</v>
      </c>
    </row>
    <row r="2810" spans="8:8">
      <c r="B2810" t="s">
        <v>4464</v>
      </c>
      <c r="C2810">
        <v>542117.0</v>
      </c>
      <c r="D2810" t="s">
        <v>339</v>
      </c>
      <c r="E2810" t="s">
        <v>430</v>
      </c>
    </row>
    <row r="2811" spans="8:8">
      <c r="B2811" t="s">
        <v>4465</v>
      </c>
      <c r="C2811">
        <v>511658.0</v>
      </c>
      <c r="D2811" t="s">
        <v>339</v>
      </c>
      <c r="E2811" t="s">
        <v>432</v>
      </c>
    </row>
    <row r="2812" spans="8:8">
      <c r="B2812" t="s">
        <v>4466</v>
      </c>
      <c r="C2812">
        <v>523558.0</v>
      </c>
      <c r="D2812" t="s">
        <v>339</v>
      </c>
      <c r="E2812" t="s">
        <v>881</v>
      </c>
    </row>
    <row r="2813" spans="8:8">
      <c r="B2813" t="s">
        <v>4467</v>
      </c>
      <c r="C2813">
        <v>532798.0</v>
      </c>
      <c r="D2813" t="s">
        <v>4468</v>
      </c>
      <c r="E2813" t="s">
        <v>505</v>
      </c>
    </row>
    <row r="2814" spans="8:8">
      <c r="B2814" t="s">
        <v>4469</v>
      </c>
      <c r="C2814">
        <v>532887.0</v>
      </c>
      <c r="D2814" t="s">
        <v>4470</v>
      </c>
      <c r="E2814" t="s">
        <v>382</v>
      </c>
    </row>
    <row r="2815" spans="8:8">
      <c r="B2815" t="s">
        <v>4471</v>
      </c>
      <c r="C2815">
        <v>524558.0</v>
      </c>
      <c r="D2815" t="s">
        <v>4472</v>
      </c>
      <c r="E2815" t="s">
        <v>377</v>
      </c>
    </row>
    <row r="2816" spans="8:8">
      <c r="B2816" t="s">
        <v>4473</v>
      </c>
      <c r="C2816">
        <v>532529.0</v>
      </c>
      <c r="D2816" t="s">
        <v>4474</v>
      </c>
      <c r="E2816" t="s">
        <v>1077</v>
      </c>
    </row>
    <row r="2817" spans="8:8">
      <c r="B2817" t="s">
        <v>4475</v>
      </c>
      <c r="C2817">
        <v>540243.0</v>
      </c>
      <c r="D2817" t="s">
        <v>339</v>
      </c>
      <c r="E2817" t="s">
        <v>361</v>
      </c>
    </row>
    <row r="2818" spans="8:8">
      <c r="B2818" t="s">
        <v>4476</v>
      </c>
      <c r="C2818">
        <v>508867.0</v>
      </c>
      <c r="D2818" t="s">
        <v>339</v>
      </c>
      <c r="E2818" t="s">
        <v>432</v>
      </c>
    </row>
    <row r="2819" spans="8:8">
      <c r="B2819" t="s">
        <v>4477</v>
      </c>
      <c r="C2819">
        <v>501479.0</v>
      </c>
      <c r="D2819" t="s">
        <v>339</v>
      </c>
      <c r="E2819" t="s">
        <v>361</v>
      </c>
    </row>
    <row r="2820" spans="8:8">
      <c r="B2820" t="s">
        <v>4478</v>
      </c>
      <c r="C2820">
        <v>536644.0</v>
      </c>
      <c r="D2820" t="s">
        <v>339</v>
      </c>
      <c r="E2820" t="s">
        <v>361</v>
      </c>
    </row>
    <row r="2821" spans="8:8">
      <c r="B2821" t="s">
        <v>4479</v>
      </c>
      <c r="C2821">
        <v>540900.0</v>
      </c>
      <c r="D2821" t="s">
        <v>4480</v>
      </c>
      <c r="E2821" t="s">
        <v>325</v>
      </c>
    </row>
    <row r="2822" spans="8:8">
      <c r="B2822" t="s">
        <v>4481</v>
      </c>
      <c r="C2822">
        <v>532416.0</v>
      </c>
      <c r="D2822" t="s">
        <v>4482</v>
      </c>
      <c r="E2822" t="s">
        <v>863</v>
      </c>
    </row>
    <row r="2823" spans="8:8">
      <c r="B2823" t="s">
        <v>4483</v>
      </c>
      <c r="C2823">
        <v>538874.0</v>
      </c>
      <c r="D2823" t="s">
        <v>339</v>
      </c>
      <c r="E2823" t="s">
        <v>322</v>
      </c>
    </row>
    <row r="2824" spans="8:8">
      <c r="B2824" t="s">
        <v>4484</v>
      </c>
      <c r="C2824">
        <v>524774.0</v>
      </c>
      <c r="D2824" t="s">
        <v>339</v>
      </c>
      <c r="E2824" t="s">
        <v>377</v>
      </c>
    </row>
    <row r="2825" spans="8:8">
      <c r="B2825" t="s">
        <v>4485</v>
      </c>
      <c r="C2825">
        <v>517554.0</v>
      </c>
      <c r="D2825" t="s">
        <v>339</v>
      </c>
      <c r="E2825" t="s">
        <v>419</v>
      </c>
    </row>
    <row r="2826" spans="8:8">
      <c r="B2826" t="s">
        <v>4486</v>
      </c>
      <c r="C2826">
        <v>533098.0</v>
      </c>
      <c r="D2826" t="s">
        <v>4487</v>
      </c>
      <c r="E2826" t="s">
        <v>478</v>
      </c>
    </row>
    <row r="2827" spans="8:8">
      <c r="B2827" t="s">
        <v>4488</v>
      </c>
      <c r="C2827">
        <v>526721.0</v>
      </c>
      <c r="D2827" t="s">
        <v>339</v>
      </c>
      <c r="E2827" t="s">
        <v>517</v>
      </c>
    </row>
    <row r="2828" spans="8:8">
      <c r="B2828" t="s">
        <v>4489</v>
      </c>
      <c r="C2828">
        <v>523209.0</v>
      </c>
      <c r="D2828" t="s">
        <v>339</v>
      </c>
      <c r="E2828" t="s">
        <v>356</v>
      </c>
    </row>
    <row r="2829" spans="8:8">
      <c r="B2829" t="s">
        <v>4490</v>
      </c>
      <c r="C2829">
        <v>512103.0</v>
      </c>
      <c r="D2829" t="s">
        <v>339</v>
      </c>
      <c r="E2829" t="s">
        <v>867</v>
      </c>
    </row>
    <row r="2830" spans="8:8">
      <c r="B2830" t="s">
        <v>4491</v>
      </c>
      <c r="C2830">
        <v>531083.0</v>
      </c>
      <c r="D2830" t="s">
        <v>339</v>
      </c>
      <c r="E2830" t="s">
        <v>432</v>
      </c>
    </row>
    <row r="2831" spans="8:8">
      <c r="B2831" t="s">
        <v>4492</v>
      </c>
      <c r="C2831">
        <v>500304.0</v>
      </c>
      <c r="D2831" t="s">
        <v>4493</v>
      </c>
      <c r="E2831" t="s">
        <v>824</v>
      </c>
    </row>
    <row r="2832" spans="8:8">
      <c r="B2832" t="s">
        <v>4494</v>
      </c>
      <c r="C2832">
        <v>532541.0</v>
      </c>
      <c r="D2832" t="s">
        <v>4495</v>
      </c>
      <c r="E2832" t="s">
        <v>325</v>
      </c>
    </row>
    <row r="2833" spans="8:8">
      <c r="B2833" t="s">
        <v>4496</v>
      </c>
      <c r="C2833">
        <v>526159.0</v>
      </c>
      <c r="D2833" t="s">
        <v>339</v>
      </c>
      <c r="E2833" t="s">
        <v>361</v>
      </c>
    </row>
    <row r="2834" spans="8:8">
      <c r="B2834" t="s">
        <v>4497</v>
      </c>
      <c r="C2834">
        <v>531272.0</v>
      </c>
      <c r="D2834" t="s">
        <v>339</v>
      </c>
      <c r="E2834" t="s">
        <v>356</v>
      </c>
    </row>
    <row r="2835" spans="8:8">
      <c r="B2835" t="s">
        <v>4498</v>
      </c>
      <c r="C2835">
        <v>530377.0</v>
      </c>
      <c r="D2835" t="s">
        <v>4499</v>
      </c>
      <c r="E2835" t="s">
        <v>425</v>
      </c>
    </row>
    <row r="2836" spans="8:8">
      <c r="B2836" t="s">
        <v>4500</v>
      </c>
      <c r="C2836">
        <v>542231.0</v>
      </c>
      <c r="D2836" t="s">
        <v>4501</v>
      </c>
      <c r="E2836" t="s">
        <v>425</v>
      </c>
    </row>
    <row r="2837" spans="8:8">
      <c r="B2837" t="s">
        <v>4502</v>
      </c>
      <c r="C2837">
        <v>502294.0</v>
      </c>
      <c r="D2837" t="s">
        <v>339</v>
      </c>
      <c r="E2837" t="s">
        <v>867</v>
      </c>
    </row>
    <row r="2838" spans="8:8">
      <c r="B2838" t="s">
        <v>4503</v>
      </c>
      <c r="C2838">
        <v>530129.0</v>
      </c>
      <c r="D2838" t="s">
        <v>339</v>
      </c>
      <c r="E2838" t="s">
        <v>662</v>
      </c>
    </row>
    <row r="2839" spans="8:8">
      <c r="B2839" t="s">
        <v>4504</v>
      </c>
      <c r="C2839">
        <v>523385.0</v>
      </c>
      <c r="D2839" t="s">
        <v>4505</v>
      </c>
      <c r="E2839" t="s">
        <v>459</v>
      </c>
    </row>
    <row r="2840" spans="8:8">
      <c r="B2840" t="s">
        <v>4506</v>
      </c>
      <c r="C2840">
        <v>512004.0</v>
      </c>
      <c r="D2840" t="s">
        <v>339</v>
      </c>
      <c r="E2840" t="s">
        <v>760</v>
      </c>
    </row>
    <row r="2841" spans="8:8">
      <c r="B2841" t="s">
        <v>4507</v>
      </c>
      <c r="C2841">
        <v>531598.0</v>
      </c>
      <c r="D2841" t="s">
        <v>339</v>
      </c>
      <c r="E2841" t="s">
        <v>399</v>
      </c>
    </row>
    <row r="2842" spans="8:8">
      <c r="B2842" t="s">
        <v>4508</v>
      </c>
      <c r="C2842">
        <v>530971.0</v>
      </c>
      <c r="D2842" t="s">
        <v>339</v>
      </c>
      <c r="E2842" t="s">
        <v>361</v>
      </c>
    </row>
    <row r="2843" spans="8:8">
      <c r="B2843" t="s">
        <v>4509</v>
      </c>
      <c r="C2843">
        <v>511714.0</v>
      </c>
      <c r="D2843" t="s">
        <v>339</v>
      </c>
      <c r="E2843" t="s">
        <v>425</v>
      </c>
    </row>
    <row r="2844" spans="8:8">
      <c r="B2844" t="s">
        <v>4510</v>
      </c>
      <c r="C2844">
        <v>539843.0</v>
      </c>
      <c r="D2844" t="s">
        <v>339</v>
      </c>
      <c r="E2844" t="s">
        <v>325</v>
      </c>
    </row>
    <row r="2845" spans="8:8">
      <c r="B2845" t="s">
        <v>4511</v>
      </c>
      <c r="C2845">
        <v>532986.0</v>
      </c>
      <c r="D2845" t="s">
        <v>339</v>
      </c>
      <c r="E2845" t="s">
        <v>737</v>
      </c>
    </row>
    <row r="2846" spans="8:8">
      <c r="B2846" t="s">
        <v>4512</v>
      </c>
      <c r="C2846" t="s">
        <v>339</v>
      </c>
      <c r="D2846" t="s">
        <v>4513</v>
      </c>
      <c r="E2846" t="s">
        <v>430</v>
      </c>
    </row>
    <row r="2847" spans="8:8">
      <c r="B2847" t="s">
        <v>4514</v>
      </c>
      <c r="C2847">
        <v>512425.0</v>
      </c>
      <c r="D2847" t="s">
        <v>339</v>
      </c>
      <c r="E2847" t="s">
        <v>361</v>
      </c>
    </row>
    <row r="2848" spans="8:8">
      <c r="B2848" t="s">
        <v>4515</v>
      </c>
      <c r="C2848">
        <v>500307.0</v>
      </c>
      <c r="D2848" t="s">
        <v>339</v>
      </c>
      <c r="E2848" t="s">
        <v>760</v>
      </c>
    </row>
    <row r="2849" spans="8:8">
      <c r="B2849" t="s">
        <v>4516</v>
      </c>
      <c r="C2849">
        <v>539311.0</v>
      </c>
      <c r="D2849" t="s">
        <v>339</v>
      </c>
      <c r="E2849" t="s">
        <v>322</v>
      </c>
    </row>
    <row r="2850" spans="8:8">
      <c r="B2850" t="s">
        <v>4517</v>
      </c>
      <c r="C2850">
        <v>539311.0</v>
      </c>
      <c r="D2850" t="s">
        <v>339</v>
      </c>
      <c r="E2850" t="s">
        <v>322</v>
      </c>
    </row>
    <row r="2851" spans="8:8">
      <c r="B2851" t="s">
        <v>4518</v>
      </c>
      <c r="C2851">
        <v>532722.0</v>
      </c>
      <c r="D2851" t="s">
        <v>4519</v>
      </c>
      <c r="E2851" t="s">
        <v>616</v>
      </c>
    </row>
    <row r="2852" spans="8:8">
      <c r="B2852" t="s">
        <v>4520</v>
      </c>
      <c r="C2852">
        <v>533202.0</v>
      </c>
      <c r="D2852" t="s">
        <v>4521</v>
      </c>
      <c r="E2852" t="s">
        <v>425</v>
      </c>
    </row>
    <row r="2853" spans="8:8">
      <c r="B2853" t="s">
        <v>4522</v>
      </c>
      <c r="C2853">
        <v>508875.0</v>
      </c>
      <c r="D2853" t="s">
        <v>339</v>
      </c>
      <c r="E2853" t="s">
        <v>760</v>
      </c>
    </row>
    <row r="2854" spans="8:8">
      <c r="B2854" t="s">
        <v>4523</v>
      </c>
      <c r="C2854">
        <v>532854.0</v>
      </c>
      <c r="D2854" t="s">
        <v>4524</v>
      </c>
      <c r="E2854" t="s">
        <v>347</v>
      </c>
    </row>
    <row r="2855" spans="8:8">
      <c r="B2855" t="s">
        <v>4525</v>
      </c>
      <c r="C2855">
        <v>532698.0</v>
      </c>
      <c r="D2855" t="s">
        <v>4526</v>
      </c>
      <c r="E2855" t="s">
        <v>354</v>
      </c>
    </row>
    <row r="2856" spans="8:8">
      <c r="B2856" t="s">
        <v>4527</v>
      </c>
      <c r="C2856" t="s">
        <v>339</v>
      </c>
      <c r="D2856" t="s">
        <v>4528</v>
      </c>
      <c r="E2856" t="s">
        <v>350</v>
      </c>
    </row>
    <row r="2857" spans="8:8">
      <c r="B2857" t="s">
        <v>4529</v>
      </c>
      <c r="C2857">
        <v>506532.0</v>
      </c>
      <c r="D2857" t="s">
        <v>339</v>
      </c>
      <c r="E2857" t="s">
        <v>499</v>
      </c>
    </row>
    <row r="2858" spans="8:8">
      <c r="B2858" t="s">
        <v>4530</v>
      </c>
      <c r="C2858">
        <v>506532.0</v>
      </c>
      <c r="D2858" t="s">
        <v>339</v>
      </c>
      <c r="E2858" t="s">
        <v>499</v>
      </c>
    </row>
    <row r="2859" spans="8:8">
      <c r="B2859" t="s">
        <v>4531</v>
      </c>
      <c r="C2859">
        <v>512381.0</v>
      </c>
      <c r="D2859" t="s">
        <v>339</v>
      </c>
      <c r="E2859" t="s">
        <v>361</v>
      </c>
    </row>
    <row r="2860" spans="8:8">
      <c r="B2860" t="s">
        <v>4532</v>
      </c>
      <c r="C2860">
        <v>512245.0</v>
      </c>
      <c r="D2860" t="s">
        <v>339</v>
      </c>
      <c r="E2860" t="s">
        <v>760</v>
      </c>
    </row>
    <row r="2861" spans="8:8">
      <c r="B2861" t="s">
        <v>4533</v>
      </c>
      <c r="C2861">
        <v>538772.0</v>
      </c>
      <c r="D2861" t="s">
        <v>339</v>
      </c>
      <c r="E2861" t="s">
        <v>356</v>
      </c>
    </row>
    <row r="2862" spans="8:8">
      <c r="B2862" t="s">
        <v>4534</v>
      </c>
      <c r="C2862">
        <v>519494.0</v>
      </c>
      <c r="D2862" t="s">
        <v>4535</v>
      </c>
      <c r="E2862" t="s">
        <v>588</v>
      </c>
    </row>
    <row r="2863" spans="8:8">
      <c r="B2863" t="s">
        <v>4536</v>
      </c>
      <c r="C2863">
        <v>513683.0</v>
      </c>
      <c r="D2863" t="s">
        <v>4537</v>
      </c>
      <c r="E2863" t="s">
        <v>478</v>
      </c>
    </row>
    <row r="2864" spans="8:8">
      <c r="B2864" t="s">
        <v>4538</v>
      </c>
      <c r="C2864">
        <v>513683.0</v>
      </c>
      <c r="D2864" t="s">
        <v>4539</v>
      </c>
      <c r="E2864" t="s">
        <v>478</v>
      </c>
    </row>
    <row r="2865" spans="8:8">
      <c r="B2865" t="s">
        <v>4540</v>
      </c>
      <c r="C2865">
        <v>526371.0</v>
      </c>
      <c r="D2865" t="s">
        <v>4541</v>
      </c>
      <c r="E2865" t="s">
        <v>319</v>
      </c>
    </row>
    <row r="2866" spans="8:8">
      <c r="B2866" t="s">
        <v>4542</v>
      </c>
      <c r="C2866">
        <v>500730.0</v>
      </c>
      <c r="D2866" t="s">
        <v>4543</v>
      </c>
      <c r="E2866" t="s">
        <v>499</v>
      </c>
    </row>
    <row r="2867" spans="8:8">
      <c r="B2867" t="s">
        <v>4544</v>
      </c>
      <c r="C2867">
        <v>532481.0</v>
      </c>
      <c r="D2867" t="s">
        <v>4545</v>
      </c>
      <c r="E2867" t="s">
        <v>934</v>
      </c>
    </row>
    <row r="2868" spans="8:8">
      <c r="B2868" t="s">
        <v>4546</v>
      </c>
      <c r="C2868" t="s">
        <v>339</v>
      </c>
      <c r="D2868" t="s">
        <v>4547</v>
      </c>
      <c r="E2868" t="s">
        <v>430</v>
      </c>
    </row>
    <row r="2869" spans="8:8">
      <c r="B2869" t="s">
        <v>4548</v>
      </c>
      <c r="C2869">
        <v>524414.0</v>
      </c>
      <c r="D2869" t="s">
        <v>339</v>
      </c>
      <c r="E2869" t="s">
        <v>361</v>
      </c>
    </row>
    <row r="2870" spans="8:8">
      <c r="B2870" t="s">
        <v>4549</v>
      </c>
      <c r="C2870">
        <v>534615.0</v>
      </c>
      <c r="D2870" t="s">
        <v>4550</v>
      </c>
      <c r="E2870" t="s">
        <v>660</v>
      </c>
    </row>
    <row r="2871" spans="8:8">
      <c r="B2871" t="s">
        <v>4551</v>
      </c>
      <c r="C2871">
        <v>542628.0</v>
      </c>
      <c r="D2871" t="s">
        <v>4552</v>
      </c>
      <c r="E2871" t="s">
        <v>705</v>
      </c>
    </row>
    <row r="2872" spans="8:8">
      <c r="B2872" t="s">
        <v>4553</v>
      </c>
      <c r="C2872">
        <v>539110.0</v>
      </c>
      <c r="D2872" t="s">
        <v>339</v>
      </c>
      <c r="E2872" t="s">
        <v>356</v>
      </c>
    </row>
    <row r="2873" spans="8:8">
      <c r="B2873" t="s">
        <v>4554</v>
      </c>
      <c r="C2873">
        <v>540698.0</v>
      </c>
      <c r="D2873" t="s">
        <v>339</v>
      </c>
      <c r="E2873" t="s">
        <v>361</v>
      </c>
    </row>
    <row r="2874" spans="8:8">
      <c r="B2874" t="s">
        <v>4555</v>
      </c>
      <c r="C2874">
        <v>531465.0</v>
      </c>
      <c r="D2874" t="s">
        <v>339</v>
      </c>
      <c r="E2874" t="s">
        <v>361</v>
      </c>
    </row>
    <row r="2875" spans="8:8">
      <c r="B2875" t="s">
        <v>4556</v>
      </c>
      <c r="C2875">
        <v>513566.0</v>
      </c>
      <c r="D2875" t="s">
        <v>339</v>
      </c>
      <c r="E2875" t="s">
        <v>371</v>
      </c>
    </row>
    <row r="2876" spans="8:8">
      <c r="B2876" t="s">
        <v>4557</v>
      </c>
      <c r="C2876">
        <v>530733.0</v>
      </c>
      <c r="D2876" t="s">
        <v>339</v>
      </c>
      <c r="E2876" t="s">
        <v>863</v>
      </c>
    </row>
    <row r="2877" spans="8:8">
      <c r="B2877" t="s">
        <v>4558</v>
      </c>
      <c r="C2877">
        <v>530733.0</v>
      </c>
      <c r="D2877" t="s">
        <v>339</v>
      </c>
      <c r="E2877" t="s">
        <v>863</v>
      </c>
    </row>
    <row r="2878" spans="8:8">
      <c r="B2878" t="s">
        <v>4559</v>
      </c>
      <c r="C2878">
        <v>500672.0</v>
      </c>
      <c r="D2878" t="s">
        <v>339</v>
      </c>
      <c r="E2878" t="s">
        <v>377</v>
      </c>
    </row>
    <row r="2879" spans="8:8">
      <c r="B2879" t="s">
        <v>4560</v>
      </c>
      <c r="C2879">
        <v>500672.0</v>
      </c>
      <c r="D2879" t="s">
        <v>339</v>
      </c>
      <c r="E2879" t="s">
        <v>377</v>
      </c>
    </row>
    <row r="2880" spans="8:8">
      <c r="B2880" t="s">
        <v>4561</v>
      </c>
      <c r="C2880">
        <v>530127.0</v>
      </c>
      <c r="D2880" t="s">
        <v>339</v>
      </c>
      <c r="E2880" t="s">
        <v>322</v>
      </c>
    </row>
    <row r="2881" spans="8:8">
      <c r="B2881" t="s">
        <v>4562</v>
      </c>
      <c r="C2881">
        <v>530367.0</v>
      </c>
      <c r="D2881" t="s">
        <v>4563</v>
      </c>
      <c r="E2881" t="s">
        <v>347</v>
      </c>
    </row>
    <row r="2882" spans="8:8">
      <c r="B2882" t="s">
        <v>4564</v>
      </c>
      <c r="C2882">
        <v>535458.0</v>
      </c>
      <c r="D2882" t="s">
        <v>4565</v>
      </c>
      <c r="E2882" t="s">
        <v>524</v>
      </c>
    </row>
    <row r="2883" spans="8:8">
      <c r="B2883" t="s">
        <v>4566</v>
      </c>
      <c r="C2883">
        <v>526723.0</v>
      </c>
      <c r="D2883" t="s">
        <v>339</v>
      </c>
      <c r="E2883" t="s">
        <v>2509</v>
      </c>
    </row>
    <row r="2884" spans="8:8">
      <c r="B2884" t="s">
        <v>4567</v>
      </c>
      <c r="C2884">
        <v>532555.0</v>
      </c>
      <c r="D2884" t="s">
        <v>4568</v>
      </c>
      <c r="E2884" t="s">
        <v>478</v>
      </c>
    </row>
    <row r="2885" spans="8:8">
      <c r="B2885" t="s">
        <v>4569</v>
      </c>
      <c r="C2885">
        <v>533015.0</v>
      </c>
      <c r="D2885" t="s">
        <v>4570</v>
      </c>
      <c r="E2885" t="s">
        <v>1285</v>
      </c>
    </row>
    <row r="2886" spans="8:8">
      <c r="B2886" t="s">
        <v>4571</v>
      </c>
      <c r="C2886">
        <v>533015.0</v>
      </c>
      <c r="D2886" t="s">
        <v>4570</v>
      </c>
      <c r="E2886" t="s">
        <v>1285</v>
      </c>
    </row>
    <row r="2887" spans="8:8">
      <c r="B2887" t="s">
        <v>4572</v>
      </c>
      <c r="C2887">
        <v>531209.0</v>
      </c>
      <c r="D2887" t="s">
        <v>4573</v>
      </c>
      <c r="E2887" t="s">
        <v>432</v>
      </c>
    </row>
    <row r="2888" spans="8:8">
      <c r="B2888" t="s">
        <v>4574</v>
      </c>
      <c r="C2888">
        <v>531304.0</v>
      </c>
      <c r="D2888" t="s">
        <v>339</v>
      </c>
      <c r="E2888" t="s">
        <v>354</v>
      </c>
    </row>
    <row r="2889" spans="8:8">
      <c r="B2889" t="s">
        <v>4575</v>
      </c>
      <c r="C2889">
        <v>524764.0</v>
      </c>
      <c r="D2889" t="s">
        <v>339</v>
      </c>
      <c r="E2889" t="s">
        <v>387</v>
      </c>
    </row>
    <row r="2890" spans="8:8">
      <c r="B2890" t="s">
        <v>4576</v>
      </c>
      <c r="C2890">
        <v>524764.0</v>
      </c>
      <c r="D2890" t="s">
        <v>339</v>
      </c>
      <c r="E2890" t="s">
        <v>387</v>
      </c>
    </row>
    <row r="2891" spans="8:8">
      <c r="B2891" t="s">
        <v>4577</v>
      </c>
      <c r="C2891">
        <v>530219.0</v>
      </c>
      <c r="D2891" t="s">
        <v>339</v>
      </c>
      <c r="E2891" t="s">
        <v>453</v>
      </c>
    </row>
    <row r="2892" spans="8:8">
      <c r="B2892" t="s">
        <v>4578</v>
      </c>
      <c r="C2892">
        <v>531819.0</v>
      </c>
      <c r="D2892" t="s">
        <v>339</v>
      </c>
      <c r="E2892" t="s">
        <v>361</v>
      </c>
    </row>
    <row r="2893" spans="8:8">
      <c r="B2893" t="s">
        <v>4579</v>
      </c>
      <c r="C2893">
        <v>531819.0</v>
      </c>
      <c r="D2893" t="s">
        <v>339</v>
      </c>
      <c r="E2893" t="s">
        <v>361</v>
      </c>
    </row>
    <row r="2894" spans="8:8">
      <c r="B2894" t="s">
        <v>4580</v>
      </c>
      <c r="C2894">
        <v>504378.0</v>
      </c>
      <c r="D2894" t="s">
        <v>339</v>
      </c>
      <c r="E2894" t="s">
        <v>361</v>
      </c>
    </row>
    <row r="2895" spans="8:8">
      <c r="B2895" t="s">
        <v>4581</v>
      </c>
      <c r="C2895">
        <v>539116.0</v>
      </c>
      <c r="D2895" t="s">
        <v>339</v>
      </c>
      <c r="E2895" t="s">
        <v>361</v>
      </c>
    </row>
    <row r="2896" spans="8:8">
      <c r="B2896" t="s">
        <v>4582</v>
      </c>
      <c r="C2896">
        <v>512489.0</v>
      </c>
      <c r="D2896" t="s">
        <v>339</v>
      </c>
      <c r="E2896" t="s">
        <v>356</v>
      </c>
    </row>
    <row r="2897" spans="8:8">
      <c r="B2897" t="s">
        <v>4583</v>
      </c>
      <c r="C2897">
        <v>538547.0</v>
      </c>
      <c r="D2897" t="s">
        <v>339</v>
      </c>
      <c r="E2897" t="s">
        <v>588</v>
      </c>
    </row>
    <row r="2898" spans="8:8">
      <c r="B2898" t="s">
        <v>4584</v>
      </c>
      <c r="C2898">
        <v>533273.0</v>
      </c>
      <c r="D2898" t="s">
        <v>4585</v>
      </c>
      <c r="E2898" t="s">
        <v>425</v>
      </c>
    </row>
    <row r="2899" spans="8:8">
      <c r="B2899" t="s">
        <v>4586</v>
      </c>
      <c r="C2899">
        <v>535657.0</v>
      </c>
      <c r="D2899" t="s">
        <v>339</v>
      </c>
      <c r="E2899" t="s">
        <v>325</v>
      </c>
    </row>
    <row r="2900" spans="8:8">
      <c r="B2900" t="s">
        <v>4587</v>
      </c>
      <c r="C2900">
        <v>519491.0</v>
      </c>
      <c r="D2900" t="s">
        <v>339</v>
      </c>
      <c r="E2900" t="s">
        <v>534</v>
      </c>
    </row>
    <row r="2901" spans="8:8">
      <c r="B2901" t="s">
        <v>4588</v>
      </c>
      <c r="C2901">
        <v>519491.0</v>
      </c>
      <c r="D2901" t="s">
        <v>339</v>
      </c>
      <c r="E2901" t="s">
        <v>534</v>
      </c>
    </row>
    <row r="2902" spans="8:8">
      <c r="B2902" t="s">
        <v>4589</v>
      </c>
      <c r="C2902">
        <v>538019.0</v>
      </c>
      <c r="D2902" t="s">
        <v>339</v>
      </c>
      <c r="E2902" t="s">
        <v>419</v>
      </c>
    </row>
    <row r="2903" spans="8:8">
      <c r="B2903" t="s">
        <v>4590</v>
      </c>
      <c r="C2903">
        <v>540405.0</v>
      </c>
      <c r="D2903" t="s">
        <v>339</v>
      </c>
      <c r="E2903" t="s">
        <v>419</v>
      </c>
    </row>
    <row r="2904" spans="8:8">
      <c r="B2904" t="s">
        <v>4591</v>
      </c>
      <c r="C2904">
        <v>533008.0</v>
      </c>
      <c r="D2904" t="s">
        <v>4592</v>
      </c>
      <c r="E2904" t="s">
        <v>371</v>
      </c>
    </row>
    <row r="2905" spans="8:8">
      <c r="B2905" t="s">
        <v>4593</v>
      </c>
      <c r="C2905">
        <v>538894.0</v>
      </c>
      <c r="D2905" t="s">
        <v>339</v>
      </c>
      <c r="E2905" t="s">
        <v>322</v>
      </c>
    </row>
    <row r="2906" spans="8:8">
      <c r="B2906" t="s">
        <v>4594</v>
      </c>
      <c r="C2906">
        <v>540416.0</v>
      </c>
      <c r="D2906" t="s">
        <v>339</v>
      </c>
      <c r="E2906" t="s">
        <v>345</v>
      </c>
    </row>
    <row r="2907" spans="8:8">
      <c r="B2907" t="s">
        <v>4595</v>
      </c>
      <c r="C2907">
        <v>531996.0</v>
      </c>
      <c r="D2907" t="s">
        <v>339</v>
      </c>
      <c r="E2907" t="s">
        <v>356</v>
      </c>
    </row>
    <row r="2908" spans="8:8">
      <c r="B2908" t="s">
        <v>4596</v>
      </c>
      <c r="C2908">
        <v>530175.0</v>
      </c>
      <c r="D2908" t="s">
        <v>339</v>
      </c>
      <c r="E2908" t="s">
        <v>432</v>
      </c>
    </row>
    <row r="2909" spans="8:8">
      <c r="B2909" t="s">
        <v>4597</v>
      </c>
      <c r="C2909">
        <v>539570.0</v>
      </c>
      <c r="D2909" t="s">
        <v>339</v>
      </c>
      <c r="E2909" t="s">
        <v>325</v>
      </c>
    </row>
    <row r="2910" spans="8:8">
      <c r="B2910" t="s">
        <v>4598</v>
      </c>
      <c r="C2910">
        <v>500312.0</v>
      </c>
      <c r="D2910" t="s">
        <v>4599</v>
      </c>
      <c r="E2910" t="s">
        <v>402</v>
      </c>
    </row>
    <row r="2911" spans="8:8">
      <c r="B2911" t="s">
        <v>4600</v>
      </c>
      <c r="C2911">
        <v>533106.0</v>
      </c>
      <c r="D2911" t="s">
        <v>4601</v>
      </c>
      <c r="E2911" t="s">
        <v>402</v>
      </c>
    </row>
    <row r="2912" spans="8:8">
      <c r="B2912" t="s">
        <v>4602</v>
      </c>
      <c r="C2912">
        <v>500313.0</v>
      </c>
      <c r="D2912" t="s">
        <v>4603</v>
      </c>
      <c r="E2912" t="s">
        <v>680</v>
      </c>
    </row>
    <row r="2913" spans="8:8">
      <c r="B2913" t="s">
        <v>4604</v>
      </c>
      <c r="C2913">
        <v>533106.0</v>
      </c>
      <c r="D2913" t="s">
        <v>4601</v>
      </c>
      <c r="E2913" t="s">
        <v>402</v>
      </c>
    </row>
    <row r="2914" spans="8:8">
      <c r="B2914" t="s">
        <v>4605</v>
      </c>
      <c r="C2914">
        <v>526415.0</v>
      </c>
      <c r="D2914" t="s">
        <v>339</v>
      </c>
      <c r="E2914" t="s">
        <v>837</v>
      </c>
    </row>
    <row r="2915" spans="8:8">
      <c r="B2915" t="s">
        <v>4606</v>
      </c>
      <c r="C2915">
        <v>526415.0</v>
      </c>
      <c r="D2915" t="s">
        <v>339</v>
      </c>
      <c r="E2915" t="s">
        <v>837</v>
      </c>
    </row>
    <row r="2916" spans="8:8">
      <c r="B2916" t="s">
        <v>4607</v>
      </c>
      <c r="C2916">
        <v>532439.0</v>
      </c>
      <c r="D2916" t="s">
        <v>4608</v>
      </c>
      <c r="E2916" t="s">
        <v>347</v>
      </c>
    </row>
    <row r="2917" spans="8:8">
      <c r="B2917" t="s">
        <v>4609</v>
      </c>
      <c r="C2917">
        <v>521105.0</v>
      </c>
      <c r="D2917" t="s">
        <v>339</v>
      </c>
      <c r="E2917" t="s">
        <v>3098</v>
      </c>
    </row>
    <row r="2918" spans="8:8">
      <c r="B2918" t="s">
        <v>4610</v>
      </c>
      <c r="C2918">
        <v>534190.0</v>
      </c>
      <c r="D2918" t="s">
        <v>339</v>
      </c>
      <c r="E2918" t="s">
        <v>837</v>
      </c>
    </row>
    <row r="2919" spans="8:8">
      <c r="B2919" t="s">
        <v>4611</v>
      </c>
      <c r="C2919">
        <v>507609.0</v>
      </c>
      <c r="D2919" t="s">
        <v>339</v>
      </c>
      <c r="E2919" t="s">
        <v>537</v>
      </c>
    </row>
    <row r="2920" spans="8:8">
      <c r="B2920" t="s">
        <v>4612</v>
      </c>
      <c r="C2920">
        <v>531092.0</v>
      </c>
      <c r="D2920" t="s">
        <v>4613</v>
      </c>
      <c r="E2920" t="s">
        <v>737</v>
      </c>
    </row>
    <row r="2921" spans="8:8">
      <c r="B2921" t="s">
        <v>4614</v>
      </c>
      <c r="C2921">
        <v>538537.0</v>
      </c>
      <c r="D2921" t="s">
        <v>339</v>
      </c>
      <c r="E2921" t="s">
        <v>361</v>
      </c>
    </row>
    <row r="2922" spans="8:8">
      <c r="B2922" t="s">
        <v>4615</v>
      </c>
      <c r="C2922">
        <v>520021.0</v>
      </c>
      <c r="D2922" t="s">
        <v>4616</v>
      </c>
      <c r="E2922" t="s">
        <v>694</v>
      </c>
    </row>
    <row r="2923" spans="8:8">
      <c r="B2923" t="s">
        <v>4617</v>
      </c>
      <c r="C2923">
        <v>532880.0</v>
      </c>
      <c r="D2923" t="s">
        <v>4618</v>
      </c>
      <c r="E2923" t="s">
        <v>425</v>
      </c>
    </row>
    <row r="2924" spans="8:8">
      <c r="B2924" t="s">
        <v>4619</v>
      </c>
      <c r="C2924" t="s">
        <v>339</v>
      </c>
      <c r="D2924" t="s">
        <v>4620</v>
      </c>
      <c r="E2924" t="s">
        <v>350</v>
      </c>
    </row>
    <row r="2925" spans="8:8">
      <c r="B2925" t="s">
        <v>4621</v>
      </c>
      <c r="C2925" t="s">
        <v>339</v>
      </c>
      <c r="D2925" t="s">
        <v>4620</v>
      </c>
      <c r="E2925" t="s">
        <v>350</v>
      </c>
    </row>
    <row r="2926" spans="8:8">
      <c r="B2926" t="s">
        <v>4622</v>
      </c>
      <c r="C2926">
        <v>531496.0</v>
      </c>
      <c r="D2926" t="s">
        <v>339</v>
      </c>
      <c r="E2926" t="s">
        <v>354</v>
      </c>
    </row>
    <row r="2927" spans="8:8">
      <c r="B2927" t="s">
        <v>4623</v>
      </c>
      <c r="C2927">
        <v>532167.0</v>
      </c>
      <c r="D2927" t="s">
        <v>339</v>
      </c>
      <c r="E2927" t="s">
        <v>387</v>
      </c>
    </row>
    <row r="2928" spans="8:8">
      <c r="B2928" t="s">
        <v>4624</v>
      </c>
      <c r="C2928">
        <v>533317.0</v>
      </c>
      <c r="D2928" t="s">
        <v>4625</v>
      </c>
      <c r="E2928" t="s">
        <v>499</v>
      </c>
    </row>
    <row r="2929" spans="8:8">
      <c r="B2929" t="s">
        <v>4626</v>
      </c>
      <c r="C2929">
        <v>532340.0</v>
      </c>
      <c r="D2929" t="s">
        <v>339</v>
      </c>
      <c r="E2929" t="s">
        <v>432</v>
      </c>
    </row>
    <row r="2930" spans="8:8">
      <c r="B2930" t="s">
        <v>4627</v>
      </c>
      <c r="C2930">
        <v>514324.0</v>
      </c>
      <c r="D2930" t="s">
        <v>339</v>
      </c>
      <c r="E2930" t="s">
        <v>354</v>
      </c>
    </row>
    <row r="2931" spans="8:8">
      <c r="B2931" t="s">
        <v>4628</v>
      </c>
      <c r="C2931">
        <v>514324.0</v>
      </c>
      <c r="D2931" t="s">
        <v>339</v>
      </c>
      <c r="E2931" t="s">
        <v>354</v>
      </c>
    </row>
    <row r="2932" spans="8:8">
      <c r="B2932" t="s">
        <v>4629</v>
      </c>
      <c r="C2932" t="s">
        <v>339</v>
      </c>
      <c r="D2932" t="s">
        <v>4630</v>
      </c>
      <c r="E2932" t="s">
        <v>350</v>
      </c>
    </row>
    <row r="2933" spans="8:8">
      <c r="B2933" t="s">
        <v>4631</v>
      </c>
      <c r="C2933">
        <v>533632.0</v>
      </c>
      <c r="D2933" t="s">
        <v>4632</v>
      </c>
      <c r="E2933" t="s">
        <v>359</v>
      </c>
    </row>
    <row r="2934" spans="8:8">
      <c r="B2934" t="s">
        <v>4633</v>
      </c>
      <c r="C2934">
        <v>530805.0</v>
      </c>
      <c r="D2934" t="s">
        <v>339</v>
      </c>
      <c r="E2934" t="s">
        <v>423</v>
      </c>
    </row>
    <row r="2935" spans="8:8">
      <c r="B2935" t="s">
        <v>4634</v>
      </c>
      <c r="C2935">
        <v>535647.0</v>
      </c>
      <c r="D2935" t="s">
        <v>339</v>
      </c>
      <c r="E2935" t="s">
        <v>342</v>
      </c>
    </row>
    <row r="2936" spans="8:8">
      <c r="B2936" t="s">
        <v>4635</v>
      </c>
      <c r="C2936">
        <v>532944.0</v>
      </c>
      <c r="D2936" t="s">
        <v>4636</v>
      </c>
      <c r="E2936" t="s">
        <v>1285</v>
      </c>
    </row>
    <row r="2937" spans="8:8">
      <c r="B2937" t="s">
        <v>4637</v>
      </c>
      <c r="C2937">
        <v>540386.0</v>
      </c>
      <c r="D2937" t="s">
        <v>339</v>
      </c>
      <c r="E2937" t="s">
        <v>322</v>
      </c>
    </row>
    <row r="2938" spans="8:8">
      <c r="B2938" t="s">
        <v>4638</v>
      </c>
      <c r="C2938">
        <v>517536.0</v>
      </c>
      <c r="D2938" t="s">
        <v>4639</v>
      </c>
      <c r="E2938" t="s">
        <v>325</v>
      </c>
    </row>
    <row r="2939" spans="8:8">
      <c r="B2939" t="s">
        <v>4640</v>
      </c>
      <c r="C2939" t="s">
        <v>339</v>
      </c>
      <c r="D2939" t="s">
        <v>4641</v>
      </c>
      <c r="E2939" t="s">
        <v>350</v>
      </c>
    </row>
    <row r="2940" spans="8:8">
      <c r="B2940" t="s">
        <v>4642</v>
      </c>
      <c r="C2940">
        <v>530135.0</v>
      </c>
      <c r="D2940" t="s">
        <v>4643</v>
      </c>
      <c r="E2940" t="s">
        <v>373</v>
      </c>
    </row>
    <row r="2941" spans="8:8">
      <c r="B2941" t="s">
        <v>4644</v>
      </c>
      <c r="C2941">
        <v>531254.0</v>
      </c>
      <c r="D2941" t="s">
        <v>339</v>
      </c>
      <c r="E2941" t="s">
        <v>356</v>
      </c>
    </row>
    <row r="2942" spans="8:8">
      <c r="B2942" t="s">
        <v>4645</v>
      </c>
      <c r="C2942">
        <v>532391.0</v>
      </c>
      <c r="D2942" t="s">
        <v>4646</v>
      </c>
      <c r="E2942" t="s">
        <v>1505</v>
      </c>
    </row>
    <row r="2943" spans="8:8">
      <c r="B2943" t="s">
        <v>4647</v>
      </c>
      <c r="C2943">
        <v>532391.0</v>
      </c>
      <c r="D2943" t="s">
        <v>4646</v>
      </c>
      <c r="E2943" t="s">
        <v>1505</v>
      </c>
    </row>
    <row r="2944" spans="8:8">
      <c r="B2944" t="s">
        <v>4648</v>
      </c>
      <c r="C2944">
        <v>539598.0</v>
      </c>
      <c r="D2944" t="s">
        <v>339</v>
      </c>
      <c r="E2944" t="s">
        <v>356</v>
      </c>
    </row>
    <row r="2945" spans="8:8">
      <c r="B2945" t="s">
        <v>4649</v>
      </c>
      <c r="C2945">
        <v>532466.0</v>
      </c>
      <c r="D2945" t="s">
        <v>4650</v>
      </c>
      <c r="E2945" t="s">
        <v>325</v>
      </c>
    </row>
    <row r="2946" spans="8:8">
      <c r="B2946" t="s">
        <v>4651</v>
      </c>
      <c r="C2946">
        <v>512626.0</v>
      </c>
      <c r="D2946" t="s">
        <v>4652</v>
      </c>
      <c r="E2946" t="s">
        <v>354</v>
      </c>
    </row>
    <row r="2947" spans="8:8">
      <c r="B2947" t="s">
        <v>4653</v>
      </c>
      <c r="C2947">
        <v>524372.0</v>
      </c>
      <c r="D2947" t="s">
        <v>4654</v>
      </c>
      <c r="E2947" t="s">
        <v>377</v>
      </c>
    </row>
    <row r="2948" spans="8:8">
      <c r="B2948" t="s">
        <v>4655</v>
      </c>
      <c r="C2948">
        <v>531157.0</v>
      </c>
      <c r="D2948" t="s">
        <v>339</v>
      </c>
      <c r="E2948" t="s">
        <v>499</v>
      </c>
    </row>
    <row r="2949" spans="8:8">
      <c r="B2949" t="s">
        <v>4656</v>
      </c>
      <c r="C2949">
        <v>513121.0</v>
      </c>
      <c r="D2949" t="s">
        <v>4657</v>
      </c>
      <c r="E2949" t="s">
        <v>499</v>
      </c>
    </row>
    <row r="2950" spans="8:8">
      <c r="B2950" t="s">
        <v>4658</v>
      </c>
      <c r="C2950">
        <v>504879.0</v>
      </c>
      <c r="D2950" t="s">
        <v>4659</v>
      </c>
      <c r="E2950" t="s">
        <v>1258</v>
      </c>
    </row>
    <row r="2951" spans="8:8">
      <c r="B2951" t="s">
        <v>4660</v>
      </c>
      <c r="C2951">
        <v>530365.0</v>
      </c>
      <c r="D2951" t="s">
        <v>4661</v>
      </c>
      <c r="E2951" t="s">
        <v>616</v>
      </c>
    </row>
    <row r="2952" spans="8:8">
      <c r="B2952" t="s">
        <v>4662</v>
      </c>
      <c r="C2952">
        <v>507690.0</v>
      </c>
      <c r="D2952" t="s">
        <v>339</v>
      </c>
      <c r="E2952" t="s">
        <v>774</v>
      </c>
    </row>
    <row r="2953" spans="8:8">
      <c r="B2953" t="s">
        <v>4663</v>
      </c>
      <c r="C2953">
        <v>535754.0</v>
      </c>
      <c r="D2953" t="s">
        <v>4664</v>
      </c>
      <c r="E2953" t="s">
        <v>352</v>
      </c>
    </row>
    <row r="2954" spans="8:8">
      <c r="B2954" t="s">
        <v>4665</v>
      </c>
      <c r="C2954">
        <v>541301.0</v>
      </c>
      <c r="D2954" t="s">
        <v>4666</v>
      </c>
      <c r="E2954" t="s">
        <v>708</v>
      </c>
    </row>
    <row r="2955" spans="8:8">
      <c r="B2955" t="s">
        <v>4667</v>
      </c>
      <c r="C2955">
        <v>533263.0</v>
      </c>
      <c r="D2955" t="s">
        <v>4668</v>
      </c>
      <c r="E2955" t="s">
        <v>478</v>
      </c>
    </row>
    <row r="2956" spans="8:8">
      <c r="B2956" t="s">
        <v>4669</v>
      </c>
      <c r="C2956">
        <v>502420.0</v>
      </c>
      <c r="D2956" t="s">
        <v>4670</v>
      </c>
      <c r="E2956" t="s">
        <v>333</v>
      </c>
    </row>
    <row r="2957" spans="8:8">
      <c r="B2957" t="s">
        <v>4671</v>
      </c>
      <c r="C2957">
        <v>526325.0</v>
      </c>
      <c r="D2957" t="s">
        <v>4672</v>
      </c>
      <c r="E2957" t="s">
        <v>534</v>
      </c>
    </row>
    <row r="2958" spans="8:8">
      <c r="B2958" t="s">
        <v>4673</v>
      </c>
      <c r="C2958">
        <v>534076.0</v>
      </c>
      <c r="D2958" t="s">
        <v>4674</v>
      </c>
      <c r="E2958" t="s">
        <v>524</v>
      </c>
    </row>
    <row r="2959" spans="8:8">
      <c r="B2959" t="s">
        <v>4675</v>
      </c>
      <c r="C2959">
        <v>531512.0</v>
      </c>
      <c r="D2959" t="s">
        <v>339</v>
      </c>
      <c r="E2959" t="s">
        <v>342</v>
      </c>
    </row>
    <row r="2960" spans="8:8">
      <c r="B2960" t="s">
        <v>4676</v>
      </c>
      <c r="C2960">
        <v>500078.0</v>
      </c>
      <c r="D2960" t="s">
        <v>339</v>
      </c>
      <c r="E2960" t="s">
        <v>387</v>
      </c>
    </row>
    <row r="2961" spans="8:8">
      <c r="B2961" t="s">
        <v>4677</v>
      </c>
      <c r="C2961">
        <v>500315.0</v>
      </c>
      <c r="D2961" t="s">
        <v>4678</v>
      </c>
      <c r="E2961" t="s">
        <v>657</v>
      </c>
    </row>
    <row r="2962" spans="8:8">
      <c r="B2962" t="s">
        <v>4679</v>
      </c>
      <c r="C2962">
        <v>506579.0</v>
      </c>
      <c r="D2962" t="s">
        <v>4680</v>
      </c>
      <c r="E2962" t="s">
        <v>387</v>
      </c>
    </row>
    <row r="2963" spans="8:8">
      <c r="B2963" t="s">
        <v>4681</v>
      </c>
      <c r="C2963">
        <v>500314.0</v>
      </c>
      <c r="D2963" t="s">
        <v>4682</v>
      </c>
      <c r="E2963" t="s">
        <v>540</v>
      </c>
    </row>
    <row r="2964" spans="8:8">
      <c r="B2964" t="s">
        <v>4683</v>
      </c>
      <c r="C2964">
        <v>532817.0</v>
      </c>
      <c r="D2964" t="s">
        <v>4684</v>
      </c>
      <c r="E2964" t="s">
        <v>867</v>
      </c>
    </row>
    <row r="2965" spans="8:8">
      <c r="B2965" t="s">
        <v>4685</v>
      </c>
      <c r="C2965">
        <v>531859.0</v>
      </c>
      <c r="D2965" t="s">
        <v>339</v>
      </c>
      <c r="E2965" t="s">
        <v>1258</v>
      </c>
    </row>
    <row r="2966" spans="8:8">
      <c r="B2966" t="s">
        <v>4686</v>
      </c>
      <c r="C2966">
        <v>541206.0</v>
      </c>
      <c r="D2966" t="s">
        <v>339</v>
      </c>
      <c r="E2966" t="s">
        <v>660</v>
      </c>
    </row>
    <row r="2967" spans="8:8">
      <c r="B2967" t="s">
        <v>4687</v>
      </c>
      <c r="C2967">
        <v>531626.0</v>
      </c>
      <c r="D2967" t="s">
        <v>339</v>
      </c>
      <c r="E2967" t="s">
        <v>453</v>
      </c>
    </row>
    <row r="2968" spans="8:8">
      <c r="B2968" t="s">
        <v>4688</v>
      </c>
      <c r="C2968">
        <v>531626.0</v>
      </c>
      <c r="D2968" t="s">
        <v>339</v>
      </c>
      <c r="E2968" t="s">
        <v>453</v>
      </c>
    </row>
    <row r="2969" spans="8:8">
      <c r="B2969" t="s">
        <v>4689</v>
      </c>
      <c r="C2969">
        <v>539015.0</v>
      </c>
      <c r="D2969" t="s">
        <v>4690</v>
      </c>
      <c r="E2969" t="s">
        <v>1077</v>
      </c>
    </row>
    <row r="2970" spans="8:8">
      <c r="B2970" t="s">
        <v>4691</v>
      </c>
      <c r="C2970">
        <v>539287.0</v>
      </c>
      <c r="D2970" t="s">
        <v>4692</v>
      </c>
      <c r="E2970" t="s">
        <v>377</v>
      </c>
    </row>
    <row r="2971" spans="8:8">
      <c r="B2971" t="s">
        <v>4693</v>
      </c>
      <c r="C2971">
        <v>530173.0</v>
      </c>
      <c r="D2971" t="s">
        <v>339</v>
      </c>
      <c r="E2971" t="s">
        <v>453</v>
      </c>
    </row>
    <row r="2972" spans="8:8">
      <c r="B2972" t="s">
        <v>4694</v>
      </c>
      <c r="C2972">
        <v>501179.0</v>
      </c>
      <c r="D2972" t="s">
        <v>339</v>
      </c>
      <c r="E2972" t="s">
        <v>359</v>
      </c>
    </row>
    <row r="2973" spans="8:8">
      <c r="B2973" t="s">
        <v>4695</v>
      </c>
      <c r="C2973">
        <v>509782.0</v>
      </c>
      <c r="D2973" t="s">
        <v>339</v>
      </c>
      <c r="E2973" t="s">
        <v>760</v>
      </c>
    </row>
    <row r="2974" spans="8:8">
      <c r="B2974" t="s">
        <v>4696</v>
      </c>
      <c r="C2974">
        <v>540198.0</v>
      </c>
      <c r="D2974" t="s">
        <v>339</v>
      </c>
      <c r="E2974" t="s">
        <v>354</v>
      </c>
    </row>
    <row r="2975" spans="8:8">
      <c r="B2975" t="s">
        <v>4697</v>
      </c>
      <c r="C2975">
        <v>500317.0</v>
      </c>
      <c r="D2975" t="s">
        <v>4698</v>
      </c>
      <c r="E2975" t="s">
        <v>359</v>
      </c>
    </row>
    <row r="2976" spans="8:8">
      <c r="B2976" t="s">
        <v>4699</v>
      </c>
      <c r="C2976">
        <v>539290.0</v>
      </c>
      <c r="D2976" t="s">
        <v>4700</v>
      </c>
      <c r="E2976" t="s">
        <v>359</v>
      </c>
    </row>
    <row r="2977" spans="8:8">
      <c r="B2977" t="s">
        <v>4701</v>
      </c>
      <c r="C2977">
        <v>509099.0</v>
      </c>
      <c r="D2977" t="s">
        <v>339</v>
      </c>
      <c r="E2977" t="s">
        <v>760</v>
      </c>
    </row>
    <row r="2978" spans="8:8">
      <c r="B2978" t="s">
        <v>4702</v>
      </c>
      <c r="C2978">
        <v>531065.0</v>
      </c>
      <c r="D2978" t="s">
        <v>339</v>
      </c>
      <c r="E2978" t="s">
        <v>1037</v>
      </c>
    </row>
    <row r="2979" spans="8:8">
      <c r="B2979" t="s">
        <v>4703</v>
      </c>
      <c r="C2979">
        <v>514460.0</v>
      </c>
      <c r="D2979" t="s">
        <v>339</v>
      </c>
      <c r="E2979" t="s">
        <v>361</v>
      </c>
    </row>
    <row r="2980" spans="8:8">
      <c r="B2980" t="s">
        <v>4704</v>
      </c>
      <c r="C2980">
        <v>523151.0</v>
      </c>
      <c r="D2980" t="s">
        <v>339</v>
      </c>
      <c r="E2980" t="s">
        <v>423</v>
      </c>
    </row>
    <row r="2981" spans="8:8">
      <c r="B2981" t="s">
        <v>4705</v>
      </c>
      <c r="C2981">
        <v>514330.0</v>
      </c>
      <c r="D2981" t="s">
        <v>339</v>
      </c>
      <c r="E2981" t="s">
        <v>354</v>
      </c>
    </row>
    <row r="2982" spans="8:8">
      <c r="B2982" t="s">
        <v>4706</v>
      </c>
      <c r="C2982">
        <v>530741.0</v>
      </c>
      <c r="D2982" t="s">
        <v>339</v>
      </c>
      <c r="E2982" t="s">
        <v>419</v>
      </c>
    </row>
    <row r="2983" spans="8:8">
      <c r="B2983" t="s">
        <v>4707</v>
      </c>
      <c r="C2983">
        <v>539291.0</v>
      </c>
      <c r="D2983" t="s">
        <v>339</v>
      </c>
      <c r="E2983" t="s">
        <v>537</v>
      </c>
    </row>
    <row r="2984" spans="8:8">
      <c r="B2984" t="s">
        <v>4708</v>
      </c>
      <c r="C2984">
        <v>539352.0</v>
      </c>
      <c r="D2984" t="s">
        <v>339</v>
      </c>
      <c r="E2984" t="s">
        <v>342</v>
      </c>
    </row>
    <row r="2985" spans="8:8">
      <c r="B2985" t="s">
        <v>4709</v>
      </c>
      <c r="C2985">
        <v>513403.0</v>
      </c>
      <c r="D2985" t="s">
        <v>339</v>
      </c>
      <c r="E2985" t="s">
        <v>371</v>
      </c>
    </row>
    <row r="2986" spans="8:8">
      <c r="B2986" t="s">
        <v>4710</v>
      </c>
      <c r="C2986">
        <v>523862.0</v>
      </c>
      <c r="D2986" t="s">
        <v>339</v>
      </c>
      <c r="E2986" t="s">
        <v>356</v>
      </c>
    </row>
    <row r="2987" spans="8:8">
      <c r="B2987" t="s">
        <v>4711</v>
      </c>
      <c r="C2987">
        <v>523483.0</v>
      </c>
      <c r="D2987" t="s">
        <v>339</v>
      </c>
      <c r="E2987" t="s">
        <v>867</v>
      </c>
    </row>
    <row r="2988" spans="8:8">
      <c r="B2988" t="s">
        <v>4712</v>
      </c>
      <c r="C2988">
        <v>538963.0</v>
      </c>
      <c r="D2988" t="s">
        <v>339</v>
      </c>
      <c r="E2988" t="s">
        <v>662</v>
      </c>
    </row>
    <row r="2989" spans="8:8">
      <c r="B2989" t="s">
        <v>4713</v>
      </c>
      <c r="C2989">
        <v>531395.0</v>
      </c>
      <c r="D2989" t="s">
        <v>339</v>
      </c>
      <c r="E2989" t="s">
        <v>354</v>
      </c>
    </row>
    <row r="2990" spans="8:8">
      <c r="B2990" t="s">
        <v>4714</v>
      </c>
      <c r="C2990">
        <v>532350.0</v>
      </c>
      <c r="D2990" t="s">
        <v>339</v>
      </c>
      <c r="E2990" t="s">
        <v>342</v>
      </c>
    </row>
    <row r="2991" spans="8:8">
      <c r="B2991" t="s">
        <v>4715</v>
      </c>
      <c r="C2991">
        <v>526905.0</v>
      </c>
      <c r="D2991" t="s">
        <v>339</v>
      </c>
      <c r="E2991" t="s">
        <v>387</v>
      </c>
    </row>
    <row r="2992" spans="8:8">
      <c r="B2992" t="s">
        <v>4716</v>
      </c>
      <c r="C2992">
        <v>517230.0</v>
      </c>
      <c r="D2992" t="s">
        <v>4717</v>
      </c>
      <c r="E2992" t="s">
        <v>361</v>
      </c>
    </row>
    <row r="2993" spans="8:8">
      <c r="B2993" t="s">
        <v>4718</v>
      </c>
      <c r="C2993">
        <v>532827.0</v>
      </c>
      <c r="D2993" t="s">
        <v>4719</v>
      </c>
      <c r="E2993" t="s">
        <v>453</v>
      </c>
    </row>
    <row r="2994" spans="8:8">
      <c r="B2994" t="s">
        <v>4720</v>
      </c>
      <c r="C2994">
        <v>532900.0</v>
      </c>
      <c r="D2994" t="s">
        <v>4721</v>
      </c>
      <c r="E2994" t="s">
        <v>356</v>
      </c>
    </row>
    <row r="2995" spans="8:8">
      <c r="B2995" t="s">
        <v>4722</v>
      </c>
      <c r="C2995">
        <v>540648.0</v>
      </c>
      <c r="D2995" t="s">
        <v>4723</v>
      </c>
      <c r="E2995" t="s">
        <v>359</v>
      </c>
    </row>
    <row r="2996" spans="8:8">
      <c r="B2996" t="s">
        <v>4724</v>
      </c>
      <c r="C2996">
        <v>539121.0</v>
      </c>
      <c r="D2996" t="s">
        <v>339</v>
      </c>
      <c r="E2996" t="s">
        <v>644</v>
      </c>
    </row>
    <row r="2997" spans="8:8">
      <c r="B2997" t="s">
        <v>4725</v>
      </c>
      <c r="C2997">
        <v>541444.0</v>
      </c>
      <c r="D2997" t="s">
        <v>339</v>
      </c>
      <c r="E2997" t="s">
        <v>453</v>
      </c>
    </row>
    <row r="2998" spans="8:8">
      <c r="B2998" t="s">
        <v>4726</v>
      </c>
      <c r="C2998">
        <v>532521.0</v>
      </c>
      <c r="D2998" t="s">
        <v>4727</v>
      </c>
      <c r="E2998" t="s">
        <v>432</v>
      </c>
    </row>
    <row r="2999" spans="8:8">
      <c r="B2999" t="s">
        <v>4728</v>
      </c>
      <c r="C2999">
        <v>511597.0</v>
      </c>
      <c r="D2999" t="s">
        <v>339</v>
      </c>
      <c r="E2999" t="s">
        <v>356</v>
      </c>
    </row>
    <row r="3000" spans="8:8">
      <c r="B3000" t="s">
        <v>4729</v>
      </c>
      <c r="C3000">
        <v>517397.0</v>
      </c>
      <c r="D3000" t="s">
        <v>339</v>
      </c>
      <c r="E3000" t="s">
        <v>881</v>
      </c>
    </row>
    <row r="3001" spans="8:8">
      <c r="B3001" t="s">
        <v>4730</v>
      </c>
      <c r="C3001">
        <v>517397.0</v>
      </c>
      <c r="D3001" t="s">
        <v>339</v>
      </c>
      <c r="E3001" t="s">
        <v>881</v>
      </c>
    </row>
    <row r="3002" spans="8:8">
      <c r="B3002" t="s">
        <v>4731</v>
      </c>
      <c r="C3002">
        <v>511525.0</v>
      </c>
      <c r="D3002" t="s">
        <v>339</v>
      </c>
      <c r="E3002" t="s">
        <v>432</v>
      </c>
    </row>
    <row r="3003" spans="8:8">
      <c r="B3003" t="s">
        <v>4732</v>
      </c>
      <c r="C3003">
        <v>531349.0</v>
      </c>
      <c r="D3003" t="s">
        <v>4733</v>
      </c>
      <c r="E3003" t="s">
        <v>677</v>
      </c>
    </row>
    <row r="3004" spans="8:8">
      <c r="B3004" t="s">
        <v>4734</v>
      </c>
      <c r="C3004" t="s">
        <v>339</v>
      </c>
      <c r="D3004" t="s">
        <v>4735</v>
      </c>
      <c r="E3004" t="s">
        <v>350</v>
      </c>
    </row>
    <row r="3005" spans="8:8">
      <c r="B3005" t="s">
        <v>4736</v>
      </c>
      <c r="C3005">
        <v>538742.0</v>
      </c>
      <c r="D3005" t="s">
        <v>339</v>
      </c>
      <c r="E3005" t="s">
        <v>361</v>
      </c>
    </row>
    <row r="3006" spans="8:8">
      <c r="B3006" t="s">
        <v>4737</v>
      </c>
      <c r="C3006">
        <v>538860.0</v>
      </c>
      <c r="D3006" t="s">
        <v>339</v>
      </c>
      <c r="E3006" t="s">
        <v>356</v>
      </c>
    </row>
    <row r="3007" spans="8:8">
      <c r="B3007" t="s">
        <v>4738</v>
      </c>
      <c r="C3007">
        <v>524820.0</v>
      </c>
      <c r="D3007" t="s">
        <v>4739</v>
      </c>
      <c r="E3007" t="s">
        <v>549</v>
      </c>
    </row>
    <row r="3008" spans="8:8">
      <c r="B3008" t="s">
        <v>4740</v>
      </c>
      <c r="C3008">
        <v>508941.0</v>
      </c>
      <c r="D3008" t="s">
        <v>339</v>
      </c>
      <c r="E3008" t="s">
        <v>524</v>
      </c>
    </row>
    <row r="3009" spans="8:8">
      <c r="B3009" t="s">
        <v>4741</v>
      </c>
      <c r="C3009">
        <v>504093.0</v>
      </c>
      <c r="D3009" t="s">
        <v>339</v>
      </c>
      <c r="E3009" t="s">
        <v>885</v>
      </c>
    </row>
    <row r="3010" spans="8:8">
      <c r="B3010" t="s">
        <v>4742</v>
      </c>
      <c r="C3010">
        <v>513511.0</v>
      </c>
      <c r="D3010" t="s">
        <v>339</v>
      </c>
      <c r="E3010" t="s">
        <v>371</v>
      </c>
    </row>
    <row r="3011" spans="8:8">
      <c r="B3011" t="s">
        <v>4743</v>
      </c>
      <c r="C3011">
        <v>531726.0</v>
      </c>
      <c r="D3011" t="s">
        <v>339</v>
      </c>
      <c r="E3011" t="s">
        <v>377</v>
      </c>
    </row>
    <row r="3012" spans="8:8">
      <c r="B3012" t="s">
        <v>4744</v>
      </c>
      <c r="C3012">
        <v>506122.0</v>
      </c>
      <c r="D3012" t="s">
        <v>339</v>
      </c>
      <c r="E3012" t="s">
        <v>694</v>
      </c>
    </row>
    <row r="3013" spans="8:8">
      <c r="B3013" t="s">
        <v>4745</v>
      </c>
      <c r="C3013">
        <v>531280.0</v>
      </c>
      <c r="D3013" t="s">
        <v>339</v>
      </c>
      <c r="E3013" t="s">
        <v>534</v>
      </c>
    </row>
    <row r="3014" spans="8:8">
      <c r="B3014" t="s">
        <v>4746</v>
      </c>
      <c r="C3014">
        <v>534796.0</v>
      </c>
      <c r="D3014" t="s">
        <v>339</v>
      </c>
      <c r="E3014" t="s">
        <v>459</v>
      </c>
    </row>
    <row r="3015" spans="8:8">
      <c r="B3015" t="s">
        <v>4747</v>
      </c>
      <c r="C3015" t="s">
        <v>339</v>
      </c>
      <c r="D3015" t="s">
        <v>4748</v>
      </c>
      <c r="E3015" t="s">
        <v>350</v>
      </c>
    </row>
    <row r="3016" spans="8:8">
      <c r="B3016" t="s">
        <v>4749</v>
      </c>
      <c r="C3016">
        <v>539143.0</v>
      </c>
      <c r="D3016" t="s">
        <v>339</v>
      </c>
      <c r="E3016" t="s">
        <v>328</v>
      </c>
    </row>
    <row r="3017" spans="8:8">
      <c r="B3017" t="s">
        <v>4750</v>
      </c>
      <c r="C3017">
        <v>500322.0</v>
      </c>
      <c r="D3017" t="s">
        <v>339</v>
      </c>
      <c r="E3017" t="s">
        <v>352</v>
      </c>
    </row>
    <row r="3018" spans="8:8">
      <c r="B3018" t="s">
        <v>4751</v>
      </c>
      <c r="C3018">
        <v>513359.0</v>
      </c>
      <c r="D3018" t="s">
        <v>4752</v>
      </c>
      <c r="E3018" t="s">
        <v>616</v>
      </c>
    </row>
    <row r="3019" spans="8:8">
      <c r="B3019" t="s">
        <v>4753</v>
      </c>
      <c r="C3019">
        <v>533211.0</v>
      </c>
      <c r="D3019" t="s">
        <v>4754</v>
      </c>
      <c r="E3019" t="s">
        <v>377</v>
      </c>
    </row>
    <row r="3020" spans="8:8">
      <c r="B3020" t="s">
        <v>4755</v>
      </c>
      <c r="C3020">
        <v>539889.0</v>
      </c>
      <c r="D3020" t="s">
        <v>4756</v>
      </c>
      <c r="E3020" t="s">
        <v>399</v>
      </c>
    </row>
    <row r="3021" spans="8:8">
      <c r="B3021" t="s">
        <v>4757</v>
      </c>
      <c r="C3021">
        <v>531255.0</v>
      </c>
      <c r="D3021" t="s">
        <v>339</v>
      </c>
      <c r="E3021" t="s">
        <v>356</v>
      </c>
    </row>
    <row r="3022" spans="8:8">
      <c r="B3022" t="s">
        <v>4758</v>
      </c>
      <c r="C3022">
        <v>530555.0</v>
      </c>
      <c r="D3022" t="s">
        <v>4759</v>
      </c>
      <c r="E3022" t="s">
        <v>637</v>
      </c>
    </row>
    <row r="3023" spans="8:8">
      <c r="B3023" t="s">
        <v>4760</v>
      </c>
      <c r="C3023">
        <v>507970.0</v>
      </c>
      <c r="D3023" t="s">
        <v>339</v>
      </c>
      <c r="E3023" t="s">
        <v>521</v>
      </c>
    </row>
    <row r="3024" spans="8:8">
      <c r="B3024" t="s">
        <v>4761</v>
      </c>
      <c r="C3024">
        <v>507970.0</v>
      </c>
      <c r="D3024" t="s">
        <v>339</v>
      </c>
      <c r="E3024" t="s">
        <v>521</v>
      </c>
    </row>
    <row r="3025" spans="8:8">
      <c r="B3025" t="s">
        <v>4762</v>
      </c>
      <c r="C3025">
        <v>524689.0</v>
      </c>
      <c r="D3025" t="s">
        <v>4763</v>
      </c>
      <c r="E3025" t="s">
        <v>377</v>
      </c>
    </row>
    <row r="3026" spans="8:8">
      <c r="B3026" t="s">
        <v>4764</v>
      </c>
      <c r="C3026">
        <v>524689.0</v>
      </c>
      <c r="D3026" t="s">
        <v>4763</v>
      </c>
      <c r="E3026" t="s">
        <v>377</v>
      </c>
    </row>
    <row r="3027" spans="8:8">
      <c r="B3027" t="s">
        <v>4765</v>
      </c>
      <c r="C3027">
        <v>539481.0</v>
      </c>
      <c r="D3027" t="s">
        <v>339</v>
      </c>
      <c r="E3027" t="s">
        <v>356</v>
      </c>
    </row>
    <row r="3028" spans="8:8">
      <c r="B3028" t="s">
        <v>4766</v>
      </c>
      <c r="C3028" t="s">
        <v>339</v>
      </c>
      <c r="D3028" t="s">
        <v>4767</v>
      </c>
      <c r="E3028" t="s">
        <v>350</v>
      </c>
    </row>
    <row r="3029" spans="8:8">
      <c r="B3029" t="s">
        <v>4768</v>
      </c>
      <c r="C3029">
        <v>524628.0</v>
      </c>
      <c r="D3029" t="s">
        <v>339</v>
      </c>
      <c r="E3029" t="s">
        <v>361</v>
      </c>
    </row>
    <row r="3030" spans="8:8">
      <c r="B3030" t="s">
        <v>4769</v>
      </c>
      <c r="C3030">
        <v>532911.0</v>
      </c>
      <c r="D3030" t="s">
        <v>339</v>
      </c>
      <c r="E3030" t="s">
        <v>425</v>
      </c>
    </row>
    <row r="3031" spans="8:8">
      <c r="B3031" t="s">
        <v>4770</v>
      </c>
      <c r="C3031">
        <v>540359.0</v>
      </c>
      <c r="D3031" t="s">
        <v>339</v>
      </c>
      <c r="E3031" t="s">
        <v>377</v>
      </c>
    </row>
    <row r="3032" spans="8:8">
      <c r="B3032" t="s">
        <v>4771</v>
      </c>
      <c r="C3032">
        <v>540467.0</v>
      </c>
      <c r="D3032" t="s">
        <v>339</v>
      </c>
      <c r="E3032" t="s">
        <v>453</v>
      </c>
    </row>
    <row r="3033" spans="8:8">
      <c r="B3033" t="s">
        <v>4772</v>
      </c>
      <c r="C3033">
        <v>780017.0</v>
      </c>
      <c r="D3033" t="s">
        <v>339</v>
      </c>
      <c r="E3033" t="s">
        <v>430</v>
      </c>
    </row>
    <row r="3034" spans="8:8">
      <c r="B3034" t="s">
        <v>4773</v>
      </c>
      <c r="C3034">
        <v>506128.0</v>
      </c>
      <c r="D3034" t="s">
        <v>339</v>
      </c>
      <c r="E3034" t="s">
        <v>377</v>
      </c>
    </row>
    <row r="3035" spans="8:8">
      <c r="B3035" t="s">
        <v>4774</v>
      </c>
      <c r="C3035">
        <v>511702.0</v>
      </c>
      <c r="D3035" t="s">
        <v>339</v>
      </c>
      <c r="E3035" t="s">
        <v>356</v>
      </c>
    </row>
    <row r="3036" spans="8:8">
      <c r="B3036" t="s">
        <v>4775</v>
      </c>
      <c r="C3036">
        <v>511176.0</v>
      </c>
      <c r="D3036" t="s">
        <v>339</v>
      </c>
      <c r="E3036" t="s">
        <v>425</v>
      </c>
    </row>
    <row r="3037" spans="8:8">
      <c r="B3037" t="s">
        <v>4776</v>
      </c>
      <c r="C3037">
        <v>532780.0</v>
      </c>
      <c r="D3037" t="s">
        <v>4777</v>
      </c>
      <c r="E3037" t="s">
        <v>425</v>
      </c>
    </row>
    <row r="3038" spans="8:8">
      <c r="B3038" t="s">
        <v>4778</v>
      </c>
      <c r="C3038">
        <v>526349.0</v>
      </c>
      <c r="D3038" t="s">
        <v>339</v>
      </c>
      <c r="E3038" t="s">
        <v>694</v>
      </c>
    </row>
    <row r="3039" spans="8:8">
      <c r="B3039" t="s">
        <v>4779</v>
      </c>
      <c r="C3039">
        <v>541347.0</v>
      </c>
      <c r="D3039" t="s">
        <v>339</v>
      </c>
      <c r="E3039" t="s">
        <v>1037</v>
      </c>
    </row>
    <row r="3040" spans="8:8">
      <c r="B3040" t="s">
        <v>4780</v>
      </c>
      <c r="C3040">
        <v>521080.0</v>
      </c>
      <c r="D3040" t="s">
        <v>339</v>
      </c>
      <c r="E3040" t="s">
        <v>354</v>
      </c>
    </row>
    <row r="3041" spans="8:8">
      <c r="B3041" t="s">
        <v>4781</v>
      </c>
      <c r="C3041" t="s">
        <v>339</v>
      </c>
      <c r="D3041" t="s">
        <v>4782</v>
      </c>
      <c r="E3041" t="s">
        <v>350</v>
      </c>
    </row>
    <row r="3042" spans="8:8">
      <c r="B3042" t="s">
        <v>4783</v>
      </c>
      <c r="C3042">
        <v>500456.0</v>
      </c>
      <c r="D3042" t="s">
        <v>339</v>
      </c>
      <c r="E3042" t="s">
        <v>716</v>
      </c>
    </row>
    <row r="3043" spans="8:8">
      <c r="B3043" t="s">
        <v>4784</v>
      </c>
      <c r="C3043">
        <v>511734.0</v>
      </c>
      <c r="D3043" t="s">
        <v>339</v>
      </c>
      <c r="E3043" t="s">
        <v>356</v>
      </c>
    </row>
    <row r="3044" spans="8:8">
      <c r="B3044" t="s">
        <v>4785</v>
      </c>
      <c r="C3044">
        <v>503092.0</v>
      </c>
      <c r="D3044" t="s">
        <v>339</v>
      </c>
      <c r="E3044" t="s">
        <v>354</v>
      </c>
    </row>
    <row r="3045" spans="8:8">
      <c r="B3045" t="s">
        <v>4786</v>
      </c>
      <c r="C3045">
        <v>539401.0</v>
      </c>
      <c r="D3045" t="s">
        <v>339</v>
      </c>
      <c r="E3045" t="s">
        <v>453</v>
      </c>
    </row>
    <row r="3046" spans="8:8">
      <c r="B3046" t="s">
        <v>4787</v>
      </c>
      <c r="C3046">
        <v>531120.0</v>
      </c>
      <c r="D3046" t="s">
        <v>4788</v>
      </c>
      <c r="E3046" t="s">
        <v>737</v>
      </c>
    </row>
    <row r="3047" spans="8:8">
      <c r="B3047" t="s">
        <v>4789</v>
      </c>
      <c r="C3047">
        <v>526381.0</v>
      </c>
      <c r="D3047" t="s">
        <v>4790</v>
      </c>
      <c r="E3047" t="s">
        <v>411</v>
      </c>
    </row>
    <row r="3048" spans="8:8">
      <c r="B3048" t="s">
        <v>4791</v>
      </c>
      <c r="C3048">
        <v>517417.0</v>
      </c>
      <c r="D3048" t="s">
        <v>339</v>
      </c>
      <c r="E3048" t="s">
        <v>347</v>
      </c>
    </row>
    <row r="3049" spans="8:8">
      <c r="B3049" t="s">
        <v>4792</v>
      </c>
      <c r="C3049">
        <v>517417.0</v>
      </c>
      <c r="D3049" t="s">
        <v>339</v>
      </c>
      <c r="E3049" t="s">
        <v>347</v>
      </c>
    </row>
    <row r="3050" spans="8:8">
      <c r="B3050" t="s">
        <v>4793</v>
      </c>
      <c r="C3050">
        <v>524031.0</v>
      </c>
      <c r="D3050" t="s">
        <v>339</v>
      </c>
      <c r="E3050" t="s">
        <v>425</v>
      </c>
    </row>
    <row r="3051" spans="8:8">
      <c r="B3051" t="s">
        <v>4794</v>
      </c>
      <c r="C3051">
        <v>514326.0</v>
      </c>
      <c r="D3051" t="s">
        <v>4795</v>
      </c>
      <c r="E3051" t="s">
        <v>354</v>
      </c>
    </row>
    <row r="3052" spans="8:8">
      <c r="B3052" t="s">
        <v>4796</v>
      </c>
      <c r="C3052">
        <v>514326.0</v>
      </c>
      <c r="D3052" t="s">
        <v>4795</v>
      </c>
      <c r="E3052" t="s">
        <v>354</v>
      </c>
    </row>
    <row r="3053" spans="8:8">
      <c r="B3053" t="s">
        <v>4797</v>
      </c>
      <c r="C3053">
        <v>539113.0</v>
      </c>
      <c r="D3053" t="s">
        <v>339</v>
      </c>
      <c r="E3053" t="s">
        <v>356</v>
      </c>
    </row>
    <row r="3054" spans="8:8">
      <c r="B3054" t="s">
        <v>4798</v>
      </c>
      <c r="C3054">
        <v>532742.0</v>
      </c>
      <c r="D3054" t="s">
        <v>339</v>
      </c>
      <c r="E3054" t="s">
        <v>499</v>
      </c>
    </row>
    <row r="3055" spans="8:8">
      <c r="B3055" t="s">
        <v>4799</v>
      </c>
      <c r="C3055">
        <v>535658.0</v>
      </c>
      <c r="D3055" t="s">
        <v>339</v>
      </c>
      <c r="E3055" t="s">
        <v>356</v>
      </c>
    </row>
    <row r="3056" spans="8:8">
      <c r="B3056" t="s">
        <v>4800</v>
      </c>
      <c r="C3056">
        <v>532676.0</v>
      </c>
      <c r="D3056" t="s">
        <v>4801</v>
      </c>
      <c r="E3056" t="s">
        <v>737</v>
      </c>
    </row>
    <row r="3057" spans="8:8">
      <c r="B3057" t="s">
        <v>4802</v>
      </c>
      <c r="C3057">
        <v>514087.0</v>
      </c>
      <c r="D3057" t="s">
        <v>339</v>
      </c>
      <c r="E3057" t="s">
        <v>354</v>
      </c>
    </row>
    <row r="3058" spans="8:8">
      <c r="B3058" t="s">
        <v>4803</v>
      </c>
      <c r="C3058">
        <v>534809.0</v>
      </c>
      <c r="D3058" t="s">
        <v>4804</v>
      </c>
      <c r="E3058" t="s">
        <v>453</v>
      </c>
    </row>
    <row r="3059" spans="8:8">
      <c r="B3059" t="s">
        <v>4805</v>
      </c>
      <c r="C3059">
        <v>517119.0</v>
      </c>
      <c r="D3059" t="s">
        <v>339</v>
      </c>
      <c r="E3059" t="s">
        <v>664</v>
      </c>
    </row>
    <row r="3060" spans="8:8">
      <c r="B3060" t="s">
        <v>4806</v>
      </c>
      <c r="C3060">
        <v>538730.0</v>
      </c>
      <c r="D3060" t="s">
        <v>4807</v>
      </c>
      <c r="E3060" t="s">
        <v>361</v>
      </c>
    </row>
    <row r="3061" spans="8:8">
      <c r="B3061" t="s">
        <v>4808</v>
      </c>
      <c r="C3061">
        <v>532808.0</v>
      </c>
      <c r="D3061" t="s">
        <v>4809</v>
      </c>
      <c r="E3061" t="s">
        <v>453</v>
      </c>
    </row>
    <row r="3062" spans="8:8">
      <c r="B3062" t="s">
        <v>4810</v>
      </c>
      <c r="C3062">
        <v>523260.0</v>
      </c>
      <c r="D3062" t="s">
        <v>4811</v>
      </c>
      <c r="E3062" t="s">
        <v>534</v>
      </c>
    </row>
    <row r="3063" spans="8:8">
      <c r="B3063" t="s">
        <v>4812</v>
      </c>
      <c r="C3063">
        <v>539273.0</v>
      </c>
      <c r="D3063" t="s">
        <v>339</v>
      </c>
      <c r="E3063" t="s">
        <v>828</v>
      </c>
    </row>
    <row r="3064" spans="8:8">
      <c r="B3064" t="s">
        <v>4813</v>
      </c>
      <c r="C3064">
        <v>524136.0</v>
      </c>
      <c r="D3064" t="s">
        <v>339</v>
      </c>
      <c r="E3064" t="s">
        <v>2157</v>
      </c>
    </row>
    <row r="3065" spans="8:8">
      <c r="B3065" t="s">
        <v>4814</v>
      </c>
      <c r="C3065">
        <v>531352.0</v>
      </c>
      <c r="D3065" t="s">
        <v>339</v>
      </c>
      <c r="E3065" t="s">
        <v>354</v>
      </c>
    </row>
    <row r="3066" spans="8:8">
      <c r="B3066" t="s">
        <v>4815</v>
      </c>
      <c r="C3066">
        <v>503031.0</v>
      </c>
      <c r="D3066" t="s">
        <v>4816</v>
      </c>
      <c r="E3066" t="s">
        <v>425</v>
      </c>
    </row>
    <row r="3067" spans="8:8">
      <c r="B3067" t="s">
        <v>4817</v>
      </c>
      <c r="C3067">
        <v>539333.0</v>
      </c>
      <c r="D3067" t="s">
        <v>4818</v>
      </c>
      <c r="E3067" t="s">
        <v>425</v>
      </c>
    </row>
    <row r="3068" spans="8:8">
      <c r="B3068" t="s">
        <v>4819</v>
      </c>
      <c r="C3068">
        <v>513228.0</v>
      </c>
      <c r="D3068" t="s">
        <v>4820</v>
      </c>
      <c r="E3068" t="s">
        <v>371</v>
      </c>
    </row>
    <row r="3069" spans="8:8">
      <c r="B3069" t="s">
        <v>4821</v>
      </c>
      <c r="C3069" t="s">
        <v>339</v>
      </c>
      <c r="D3069" t="s">
        <v>4822</v>
      </c>
      <c r="E3069" t="s">
        <v>350</v>
      </c>
    </row>
    <row r="3070" spans="8:8">
      <c r="B3070" t="s">
        <v>4823</v>
      </c>
      <c r="C3070">
        <v>500329.0</v>
      </c>
      <c r="D3070" t="s">
        <v>339</v>
      </c>
      <c r="E3070" t="s">
        <v>342</v>
      </c>
    </row>
    <row r="3071" spans="8:8">
      <c r="B3071" t="s">
        <v>4824</v>
      </c>
      <c r="C3071">
        <v>524210.0</v>
      </c>
      <c r="D3071" t="s">
        <v>339</v>
      </c>
      <c r="E3071" t="s">
        <v>387</v>
      </c>
    </row>
    <row r="3072" spans="8:8">
      <c r="B3072" t="s">
        <v>4825</v>
      </c>
      <c r="C3072">
        <v>524210.0</v>
      </c>
      <c r="D3072" t="s">
        <v>339</v>
      </c>
      <c r="E3072" t="s">
        <v>387</v>
      </c>
    </row>
    <row r="3073" spans="8:8">
      <c r="B3073" t="s">
        <v>4826</v>
      </c>
      <c r="C3073">
        <v>501144.0</v>
      </c>
      <c r="D3073" t="s">
        <v>339</v>
      </c>
      <c r="E3073" t="s">
        <v>760</v>
      </c>
    </row>
    <row r="3074" spans="8:8">
      <c r="B3074" t="s">
        <v>4827</v>
      </c>
      <c r="C3074" t="s">
        <v>339</v>
      </c>
      <c r="D3074" t="s">
        <v>4828</v>
      </c>
      <c r="E3074" t="s">
        <v>350</v>
      </c>
    </row>
    <row r="3075" spans="8:8">
      <c r="B3075" t="s">
        <v>4829</v>
      </c>
      <c r="C3075">
        <v>521062.0</v>
      </c>
      <c r="D3075" t="s">
        <v>339</v>
      </c>
      <c r="E3075" t="s">
        <v>1077</v>
      </c>
    </row>
    <row r="3076" spans="8:8">
      <c r="B3076" t="s">
        <v>4830</v>
      </c>
      <c r="C3076">
        <v>526435.0</v>
      </c>
      <c r="D3076" t="s">
        <v>339</v>
      </c>
      <c r="E3076" t="s">
        <v>333</v>
      </c>
    </row>
    <row r="3077" spans="8:8">
      <c r="B3077" t="s">
        <v>4831</v>
      </c>
      <c r="C3077">
        <v>504132.0</v>
      </c>
      <c r="D3077" t="s">
        <v>339</v>
      </c>
      <c r="E3077" t="s">
        <v>524</v>
      </c>
    </row>
    <row r="3078" spans="8:8">
      <c r="B3078" t="s">
        <v>4832</v>
      </c>
      <c r="C3078">
        <v>533179.0</v>
      </c>
      <c r="D3078" t="s">
        <v>4833</v>
      </c>
      <c r="E3078" t="s">
        <v>325</v>
      </c>
    </row>
    <row r="3079" spans="8:8">
      <c r="B3079" t="s">
        <v>4834</v>
      </c>
      <c r="C3079">
        <v>517172.0</v>
      </c>
      <c r="D3079" t="s">
        <v>339</v>
      </c>
      <c r="E3079" t="s">
        <v>881</v>
      </c>
    </row>
    <row r="3080" spans="8:8">
      <c r="B3080" t="s">
        <v>4835</v>
      </c>
      <c r="C3080">
        <v>530381.0</v>
      </c>
      <c r="D3080" t="s">
        <v>4836</v>
      </c>
      <c r="E3080" t="s">
        <v>737</v>
      </c>
    </row>
    <row r="3081" spans="8:8">
      <c r="B3081" t="s">
        <v>4837</v>
      </c>
      <c r="C3081">
        <v>532522.0</v>
      </c>
      <c r="D3081" t="s">
        <v>4838</v>
      </c>
      <c r="E3081" t="s">
        <v>549</v>
      </c>
    </row>
    <row r="3082" spans="8:8">
      <c r="B3082" t="s">
        <v>4839</v>
      </c>
      <c r="C3082">
        <v>500680.0</v>
      </c>
      <c r="D3082" t="s">
        <v>4840</v>
      </c>
      <c r="E3082" t="s">
        <v>377</v>
      </c>
    </row>
    <row r="3083" spans="8:8">
      <c r="B3083" t="s">
        <v>4841</v>
      </c>
      <c r="C3083">
        <v>531769.0</v>
      </c>
      <c r="D3083" t="s">
        <v>339</v>
      </c>
      <c r="E3083" t="s">
        <v>432</v>
      </c>
    </row>
    <row r="3084" spans="8:8">
      <c r="B3084" t="s">
        <v>4842</v>
      </c>
      <c r="C3084">
        <v>533581.0</v>
      </c>
      <c r="D3084" t="s">
        <v>4843</v>
      </c>
      <c r="E3084" t="s">
        <v>708</v>
      </c>
    </row>
    <row r="3085" spans="8:8">
      <c r="B3085" t="s">
        <v>4844</v>
      </c>
      <c r="C3085">
        <v>526747.0</v>
      </c>
      <c r="D3085" t="s">
        <v>339</v>
      </c>
      <c r="E3085" t="s">
        <v>644</v>
      </c>
    </row>
    <row r="3086" spans="8:8">
      <c r="B3086" t="s">
        <v>4845</v>
      </c>
      <c r="C3086">
        <v>531281.0</v>
      </c>
      <c r="D3086" t="s">
        <v>339</v>
      </c>
      <c r="E3086" t="s">
        <v>867</v>
      </c>
    </row>
    <row r="3087" spans="8:8">
      <c r="B3087" t="s">
        <v>4846</v>
      </c>
      <c r="C3087">
        <v>500143.0</v>
      </c>
      <c r="D3087" t="s">
        <v>339</v>
      </c>
      <c r="E3087" t="s">
        <v>361</v>
      </c>
    </row>
    <row r="3088" spans="8:8">
      <c r="B3088" t="s">
        <v>4847</v>
      </c>
      <c r="C3088">
        <v>512026.0</v>
      </c>
      <c r="D3088" t="s">
        <v>339</v>
      </c>
      <c r="E3088" t="s">
        <v>361</v>
      </c>
    </row>
    <row r="3089" spans="8:8">
      <c r="B3089" t="s">
        <v>4848</v>
      </c>
      <c r="C3089">
        <v>523620.0</v>
      </c>
      <c r="D3089" t="s">
        <v>339</v>
      </c>
      <c r="E3089" t="s">
        <v>377</v>
      </c>
    </row>
    <row r="3090" spans="8:8">
      <c r="B3090" t="s">
        <v>4849</v>
      </c>
      <c r="C3090">
        <v>506590.0</v>
      </c>
      <c r="D3090" t="s">
        <v>4850</v>
      </c>
      <c r="E3090" t="s">
        <v>4851</v>
      </c>
    </row>
    <row r="3091" spans="8:8">
      <c r="B3091" t="s">
        <v>4852</v>
      </c>
      <c r="C3091">
        <v>526481.0</v>
      </c>
      <c r="D3091" t="s">
        <v>339</v>
      </c>
      <c r="E3091" t="s">
        <v>453</v>
      </c>
    </row>
    <row r="3092" spans="8:8">
      <c r="B3092" t="s">
        <v>4853</v>
      </c>
      <c r="C3092">
        <v>537839.0</v>
      </c>
      <c r="D3092" t="s">
        <v>339</v>
      </c>
      <c r="E3092" t="s">
        <v>540</v>
      </c>
    </row>
    <row r="3093" spans="8:8">
      <c r="B3093" t="s">
        <v>4854</v>
      </c>
      <c r="C3093">
        <v>509084.0</v>
      </c>
      <c r="D3093" t="s">
        <v>339</v>
      </c>
      <c r="E3093" t="s">
        <v>760</v>
      </c>
    </row>
    <row r="3094" spans="8:8">
      <c r="B3094" t="s">
        <v>4855</v>
      </c>
      <c r="C3094">
        <v>526588.0</v>
      </c>
      <c r="D3094" t="s">
        <v>339</v>
      </c>
      <c r="E3094" t="s">
        <v>1577</v>
      </c>
    </row>
    <row r="3095" spans="8:8">
      <c r="B3095" t="s">
        <v>4856</v>
      </c>
      <c r="C3095">
        <v>526588.0</v>
      </c>
      <c r="D3095" t="s">
        <v>339</v>
      </c>
      <c r="E3095" t="s">
        <v>1577</v>
      </c>
    </row>
    <row r="3096" spans="8:8">
      <c r="B3096" t="s">
        <v>4857</v>
      </c>
      <c r="C3096">
        <v>524808.0</v>
      </c>
      <c r="D3096" t="s">
        <v>339</v>
      </c>
      <c r="E3096" t="s">
        <v>483</v>
      </c>
    </row>
    <row r="3097" spans="8:8">
      <c r="B3097" t="s">
        <v>4858</v>
      </c>
      <c r="C3097">
        <v>524808.0</v>
      </c>
      <c r="D3097" t="s">
        <v>339</v>
      </c>
      <c r="E3097" t="s">
        <v>483</v>
      </c>
    </row>
    <row r="3098" spans="8:8">
      <c r="B3098" t="s">
        <v>4859</v>
      </c>
      <c r="C3098">
        <v>523642.0</v>
      </c>
      <c r="D3098" t="s">
        <v>4860</v>
      </c>
      <c r="E3098" t="s">
        <v>483</v>
      </c>
    </row>
    <row r="3099" spans="8:8">
      <c r="B3099" t="s">
        <v>4861</v>
      </c>
      <c r="C3099">
        <v>530305.0</v>
      </c>
      <c r="D3099" t="s">
        <v>339</v>
      </c>
      <c r="E3099" t="s">
        <v>1037</v>
      </c>
    </row>
    <row r="3100" spans="8:8">
      <c r="B3100" t="s">
        <v>4862</v>
      </c>
      <c r="C3100">
        <v>507498.0</v>
      </c>
      <c r="D3100" t="s">
        <v>339</v>
      </c>
      <c r="E3100" t="s">
        <v>1037</v>
      </c>
    </row>
    <row r="3101" spans="8:8">
      <c r="B3101" t="s">
        <v>4863</v>
      </c>
      <c r="C3101">
        <v>532355.0</v>
      </c>
      <c r="D3101" t="s">
        <v>339</v>
      </c>
      <c r="E3101" t="s">
        <v>342</v>
      </c>
    </row>
    <row r="3102" spans="8:8">
      <c r="B3102" t="s">
        <v>4864</v>
      </c>
      <c r="C3102">
        <v>500331.0</v>
      </c>
      <c r="D3102" t="s">
        <v>4865</v>
      </c>
      <c r="E3102" t="s">
        <v>499</v>
      </c>
    </row>
    <row r="3103" spans="8:8">
      <c r="B3103" t="s">
        <v>4866</v>
      </c>
      <c r="C3103">
        <v>500327.0</v>
      </c>
      <c r="D3103" t="s">
        <v>4867</v>
      </c>
      <c r="E3103" t="s">
        <v>459</v>
      </c>
    </row>
    <row r="3104" spans="8:8">
      <c r="B3104" t="s">
        <v>4868</v>
      </c>
      <c r="C3104">
        <v>539883.0</v>
      </c>
      <c r="D3104" t="s">
        <v>4869</v>
      </c>
      <c r="E3104" t="s">
        <v>505</v>
      </c>
    </row>
    <row r="3105" spans="8:8">
      <c r="B3105" t="s">
        <v>4870</v>
      </c>
      <c r="C3105">
        <v>519439.0</v>
      </c>
      <c r="D3105" t="s">
        <v>339</v>
      </c>
      <c r="E3105" t="s">
        <v>588</v>
      </c>
    </row>
    <row r="3106" spans="8:8">
      <c r="B3106" t="s">
        <v>4871</v>
      </c>
      <c r="C3106">
        <v>531879.0</v>
      </c>
      <c r="D3106" t="s">
        <v>4872</v>
      </c>
      <c r="E3106" t="s">
        <v>970</v>
      </c>
    </row>
    <row r="3107" spans="8:8">
      <c r="B3107" t="s">
        <v>4873</v>
      </c>
      <c r="C3107">
        <v>514300.0</v>
      </c>
      <c r="D3107" t="s">
        <v>4874</v>
      </c>
      <c r="E3107" t="s">
        <v>354</v>
      </c>
    </row>
    <row r="3108" spans="8:8">
      <c r="B3108" t="s">
        <v>4875</v>
      </c>
      <c r="C3108">
        <v>507864.0</v>
      </c>
      <c r="D3108" t="s">
        <v>339</v>
      </c>
      <c r="E3108" t="s">
        <v>322</v>
      </c>
    </row>
    <row r="3109" spans="8:8">
      <c r="B3109" t="s">
        <v>4876</v>
      </c>
      <c r="C3109">
        <v>500302.0</v>
      </c>
      <c r="D3109" t="s">
        <v>4877</v>
      </c>
      <c r="E3109" t="s">
        <v>377</v>
      </c>
    </row>
    <row r="3110" spans="8:8">
      <c r="B3110" t="s">
        <v>4878</v>
      </c>
      <c r="C3110">
        <v>532979.0</v>
      </c>
      <c r="D3110" t="s">
        <v>4879</v>
      </c>
      <c r="E3110" t="s">
        <v>377</v>
      </c>
    </row>
    <row r="3111" spans="8:8">
      <c r="B3111" t="s">
        <v>4880</v>
      </c>
      <c r="C3111">
        <v>530683.0</v>
      </c>
      <c r="D3111" t="s">
        <v>339</v>
      </c>
      <c r="E3111" t="s">
        <v>534</v>
      </c>
    </row>
    <row r="3112" spans="8:8">
      <c r="B3112" t="s">
        <v>4881</v>
      </c>
      <c r="C3112">
        <v>513519.0</v>
      </c>
      <c r="D3112" t="s">
        <v>4882</v>
      </c>
      <c r="E3112" t="s">
        <v>637</v>
      </c>
    </row>
    <row r="3113" spans="8:8">
      <c r="B3113" t="s">
        <v>4883</v>
      </c>
      <c r="C3113">
        <v>500333.0</v>
      </c>
      <c r="D3113" t="s">
        <v>339</v>
      </c>
      <c r="E3113" t="s">
        <v>819</v>
      </c>
    </row>
    <row r="3114" spans="8:8">
      <c r="B3114" t="s">
        <v>4884</v>
      </c>
      <c r="C3114">
        <v>523105.0</v>
      </c>
      <c r="D3114" t="s">
        <v>339</v>
      </c>
      <c r="E3114" t="s">
        <v>534</v>
      </c>
    </row>
    <row r="3115" spans="8:8">
      <c r="B3115" t="s">
        <v>4885</v>
      </c>
      <c r="C3115">
        <v>523648.0</v>
      </c>
      <c r="D3115" t="s">
        <v>4886</v>
      </c>
      <c r="E3115" t="s">
        <v>499</v>
      </c>
    </row>
    <row r="3116" spans="8:8">
      <c r="B3116" t="s">
        <v>4887</v>
      </c>
      <c r="C3116">
        <v>523648.0</v>
      </c>
      <c r="D3116" t="s">
        <v>4886</v>
      </c>
      <c r="E3116" t="s">
        <v>499</v>
      </c>
    </row>
    <row r="3117" spans="8:8">
      <c r="B3117" t="s">
        <v>4888</v>
      </c>
      <c r="C3117">
        <v>534060.0</v>
      </c>
      <c r="D3117" t="s">
        <v>339</v>
      </c>
      <c r="E3117" t="s">
        <v>356</v>
      </c>
    </row>
    <row r="3118" spans="8:8">
      <c r="B3118" t="s">
        <v>4889</v>
      </c>
      <c r="C3118">
        <v>532366.0</v>
      </c>
      <c r="D3118" t="s">
        <v>4890</v>
      </c>
      <c r="E3118" t="s">
        <v>356</v>
      </c>
    </row>
    <row r="3119" spans="8:8">
      <c r="B3119" t="s">
        <v>4891</v>
      </c>
      <c r="C3119">
        <v>540173.0</v>
      </c>
      <c r="D3119" t="s">
        <v>4892</v>
      </c>
      <c r="E3119" t="s">
        <v>397</v>
      </c>
    </row>
    <row r="3120" spans="8:8">
      <c r="B3120" t="s">
        <v>4893</v>
      </c>
      <c r="C3120">
        <v>539150.0</v>
      </c>
      <c r="D3120" t="s">
        <v>4894</v>
      </c>
      <c r="E3120" t="s">
        <v>934</v>
      </c>
    </row>
    <row r="3121" spans="8:8">
      <c r="B3121" t="s">
        <v>4895</v>
      </c>
      <c r="C3121">
        <v>532803.0</v>
      </c>
      <c r="D3121" t="s">
        <v>4896</v>
      </c>
      <c r="E3121" t="s">
        <v>537</v>
      </c>
    </row>
    <row r="3122" spans="8:8">
      <c r="B3122" t="s">
        <v>4897</v>
      </c>
      <c r="C3122">
        <v>539195.0</v>
      </c>
      <c r="D3122" t="s">
        <v>339</v>
      </c>
      <c r="E3122" t="s">
        <v>387</v>
      </c>
    </row>
    <row r="3123" spans="8:8">
      <c r="B3123" t="s">
        <v>4898</v>
      </c>
      <c r="C3123">
        <v>523628.0</v>
      </c>
      <c r="D3123" t="s">
        <v>4899</v>
      </c>
      <c r="E3123" t="s">
        <v>425</v>
      </c>
    </row>
    <row r="3124" spans="8:8">
      <c r="B3124" t="s">
        <v>4900</v>
      </c>
      <c r="C3124">
        <v>524570.0</v>
      </c>
      <c r="D3124" t="s">
        <v>4901</v>
      </c>
      <c r="E3124" t="s">
        <v>499</v>
      </c>
    </row>
    <row r="3125" spans="8:8">
      <c r="B3125" t="s">
        <v>4902</v>
      </c>
      <c r="C3125">
        <v>532486.0</v>
      </c>
      <c r="D3125" t="s">
        <v>4903</v>
      </c>
      <c r="E3125" t="s">
        <v>867</v>
      </c>
    </row>
    <row r="3126" spans="8:8">
      <c r="B3126" t="s">
        <v>4904</v>
      </c>
      <c r="C3126">
        <v>526687.0</v>
      </c>
      <c r="D3126" t="s">
        <v>339</v>
      </c>
      <c r="E3126" t="s">
        <v>540</v>
      </c>
    </row>
    <row r="3127" spans="8:8">
      <c r="B3127" t="s">
        <v>4905</v>
      </c>
      <c r="C3127">
        <v>540717.0</v>
      </c>
      <c r="D3127" t="s">
        <v>339</v>
      </c>
      <c r="E3127" t="s">
        <v>361</v>
      </c>
    </row>
    <row r="3128" spans="8:8">
      <c r="B3128" t="s">
        <v>4906</v>
      </c>
      <c r="C3128">
        <v>507645.0</v>
      </c>
      <c r="D3128" t="s">
        <v>339</v>
      </c>
      <c r="E3128" t="s">
        <v>499</v>
      </c>
    </row>
    <row r="3129" spans="8:8">
      <c r="B3129" t="s">
        <v>4907</v>
      </c>
      <c r="C3129">
        <v>531768.0</v>
      </c>
      <c r="D3129" t="s">
        <v>4908</v>
      </c>
      <c r="E3129" t="s">
        <v>1505</v>
      </c>
    </row>
    <row r="3130" spans="8:8">
      <c r="B3130" t="s">
        <v>4909</v>
      </c>
      <c r="C3130">
        <v>542652.0</v>
      </c>
      <c r="D3130" t="s">
        <v>4910</v>
      </c>
      <c r="E3130" t="s">
        <v>637</v>
      </c>
    </row>
    <row r="3131" spans="8:8">
      <c r="B3131" t="s">
        <v>4911</v>
      </c>
      <c r="C3131">
        <v>506605.0</v>
      </c>
      <c r="D3131" t="s">
        <v>339</v>
      </c>
      <c r="E3131" t="s">
        <v>387</v>
      </c>
    </row>
    <row r="3132" spans="8:8">
      <c r="B3132" t="s">
        <v>4912</v>
      </c>
      <c r="C3132">
        <v>531397.0</v>
      </c>
      <c r="D3132" t="s">
        <v>339</v>
      </c>
      <c r="E3132" t="s">
        <v>534</v>
      </c>
    </row>
    <row r="3133" spans="8:8">
      <c r="B3133" t="s">
        <v>4913</v>
      </c>
      <c r="C3133">
        <v>514486.0</v>
      </c>
      <c r="D3133" t="s">
        <v>339</v>
      </c>
      <c r="E3133" t="s">
        <v>354</v>
      </c>
    </row>
    <row r="3134" spans="8:8">
      <c r="B3134" t="s">
        <v>4914</v>
      </c>
      <c r="C3134">
        <v>531454.0</v>
      </c>
      <c r="D3134" t="s">
        <v>339</v>
      </c>
      <c r="E3134" t="s">
        <v>716</v>
      </c>
    </row>
    <row r="3135" spans="8:8">
      <c r="B3135" t="s">
        <v>4915</v>
      </c>
      <c r="C3135">
        <v>531454.0</v>
      </c>
      <c r="D3135" t="s">
        <v>339</v>
      </c>
      <c r="E3135" t="s">
        <v>716</v>
      </c>
    </row>
    <row r="3136" spans="8:8">
      <c r="B3136" t="s">
        <v>4916</v>
      </c>
      <c r="C3136">
        <v>537573.0</v>
      </c>
      <c r="D3136" t="s">
        <v>339</v>
      </c>
      <c r="E3136" t="s">
        <v>459</v>
      </c>
    </row>
    <row r="3137" spans="8:8">
      <c r="B3137" t="s">
        <v>4917</v>
      </c>
      <c r="C3137">
        <v>526043.0</v>
      </c>
      <c r="D3137" t="s">
        <v>339</v>
      </c>
      <c r="E3137" t="s">
        <v>347</v>
      </c>
    </row>
    <row r="3138" spans="8:8">
      <c r="B3138" t="s">
        <v>4918</v>
      </c>
      <c r="C3138">
        <v>524051.0</v>
      </c>
      <c r="D3138" t="s">
        <v>4919</v>
      </c>
      <c r="E3138" t="s">
        <v>387</v>
      </c>
    </row>
    <row r="3139" spans="8:8">
      <c r="B3139" t="s">
        <v>4920</v>
      </c>
      <c r="C3139">
        <v>539354.0</v>
      </c>
      <c r="D3139" t="s">
        <v>339</v>
      </c>
      <c r="E3139" t="s">
        <v>534</v>
      </c>
    </row>
    <row r="3140" spans="8:8">
      <c r="B3140" t="s">
        <v>4921</v>
      </c>
      <c r="C3140">
        <v>512481.0</v>
      </c>
      <c r="D3140" t="s">
        <v>339</v>
      </c>
      <c r="E3140" t="s">
        <v>356</v>
      </c>
    </row>
    <row r="3141" spans="8:8">
      <c r="B3141" t="s">
        <v>4922</v>
      </c>
      <c r="C3141">
        <v>512481.0</v>
      </c>
      <c r="D3141" t="s">
        <v>339</v>
      </c>
      <c r="E3141" t="s">
        <v>356</v>
      </c>
    </row>
    <row r="3142" spans="8:8">
      <c r="B3142" t="s">
        <v>4923</v>
      </c>
      <c r="C3142">
        <v>532626.0</v>
      </c>
      <c r="D3142" t="s">
        <v>339</v>
      </c>
      <c r="E3142" t="s">
        <v>2586</v>
      </c>
    </row>
    <row r="3143" spans="8:8">
      <c r="B3143" t="s">
        <v>4924</v>
      </c>
      <c r="C3143">
        <v>532460.0</v>
      </c>
      <c r="D3143" t="s">
        <v>4925</v>
      </c>
      <c r="E3143" t="s">
        <v>1037</v>
      </c>
    </row>
    <row r="3144" spans="8:8">
      <c r="B3144" t="s">
        <v>4926</v>
      </c>
      <c r="C3144">
        <v>532011.0</v>
      </c>
      <c r="D3144" t="s">
        <v>339</v>
      </c>
      <c r="E3144" t="s">
        <v>342</v>
      </c>
    </row>
    <row r="3145" spans="8:8">
      <c r="B3145" t="s">
        <v>4927</v>
      </c>
      <c r="C3145">
        <v>540727.0</v>
      </c>
      <c r="D3145" t="s">
        <v>339</v>
      </c>
      <c r="E3145" t="s">
        <v>1258</v>
      </c>
    </row>
    <row r="3146" spans="8:8">
      <c r="B3146" t="s">
        <v>4928</v>
      </c>
      <c r="C3146">
        <v>519359.0</v>
      </c>
      <c r="D3146" t="s">
        <v>339</v>
      </c>
      <c r="E3146" t="s">
        <v>588</v>
      </c>
    </row>
    <row r="3147" spans="8:8">
      <c r="B3147" t="s">
        <v>4929</v>
      </c>
      <c r="C3147">
        <v>531870.0</v>
      </c>
      <c r="D3147" t="s">
        <v>339</v>
      </c>
      <c r="E3147" t="s">
        <v>737</v>
      </c>
    </row>
    <row r="3148" spans="8:8">
      <c r="B3148" t="s">
        <v>4930</v>
      </c>
      <c r="C3148">
        <v>532933.0</v>
      </c>
      <c r="D3148" t="s">
        <v>339</v>
      </c>
      <c r="E3148" t="s">
        <v>694</v>
      </c>
    </row>
    <row r="3149" spans="8:8">
      <c r="B3149" t="s">
        <v>4931</v>
      </c>
      <c r="C3149" t="s">
        <v>339</v>
      </c>
      <c r="D3149" t="s">
        <v>4932</v>
      </c>
      <c r="E3149" t="s">
        <v>350</v>
      </c>
    </row>
    <row r="3150" spans="8:8">
      <c r="B3150" t="s">
        <v>4933</v>
      </c>
      <c r="C3150">
        <v>532810.0</v>
      </c>
      <c r="D3150" t="s">
        <v>4934</v>
      </c>
      <c r="E3150" t="s">
        <v>356</v>
      </c>
    </row>
    <row r="3151" spans="8:8">
      <c r="B3151" t="s">
        <v>4935</v>
      </c>
      <c r="C3151">
        <v>532898.0</v>
      </c>
      <c r="D3151" t="s">
        <v>4936</v>
      </c>
      <c r="E3151" t="s">
        <v>478</v>
      </c>
    </row>
    <row r="3152" spans="8:8">
      <c r="B3152" t="s">
        <v>4937</v>
      </c>
      <c r="C3152">
        <v>532898.0</v>
      </c>
      <c r="D3152" t="s">
        <v>4936</v>
      </c>
      <c r="E3152" t="s">
        <v>478</v>
      </c>
    </row>
    <row r="3153" spans="8:8">
      <c r="B3153" t="s">
        <v>4938</v>
      </c>
      <c r="C3153">
        <v>539302.0</v>
      </c>
      <c r="D3153" t="s">
        <v>4939</v>
      </c>
      <c r="E3153" t="s">
        <v>737</v>
      </c>
    </row>
    <row r="3154" spans="8:8">
      <c r="B3154" t="s">
        <v>4940</v>
      </c>
      <c r="C3154" t="s">
        <v>339</v>
      </c>
      <c r="D3154" t="s">
        <v>4941</v>
      </c>
      <c r="E3154" t="s">
        <v>350</v>
      </c>
    </row>
    <row r="3155" spans="8:8">
      <c r="B3155" t="s">
        <v>4942</v>
      </c>
      <c r="C3155">
        <v>538731.0</v>
      </c>
      <c r="D3155" t="s">
        <v>339</v>
      </c>
      <c r="E3155" t="s">
        <v>517</v>
      </c>
    </row>
    <row r="3156" spans="8:8">
      <c r="B3156" t="s">
        <v>4943</v>
      </c>
      <c r="C3156">
        <v>532934.0</v>
      </c>
      <c r="D3156" t="s">
        <v>4944</v>
      </c>
      <c r="E3156" t="s">
        <v>694</v>
      </c>
    </row>
    <row r="3157" spans="8:8">
      <c r="B3157" t="s">
        <v>4945</v>
      </c>
      <c r="C3157">
        <v>539351.0</v>
      </c>
      <c r="D3157" t="s">
        <v>4946</v>
      </c>
      <c r="E3157" t="s">
        <v>399</v>
      </c>
    </row>
    <row r="3158" spans="8:8">
      <c r="B3158" t="s">
        <v>4947</v>
      </c>
      <c r="C3158">
        <v>540027.0</v>
      </c>
      <c r="D3158" t="s">
        <v>339</v>
      </c>
      <c r="E3158" t="s">
        <v>340</v>
      </c>
    </row>
    <row r="3159" spans="8:8">
      <c r="B3159" t="s">
        <v>4948</v>
      </c>
      <c r="C3159">
        <v>540027.0</v>
      </c>
      <c r="D3159" t="s">
        <v>339</v>
      </c>
      <c r="E3159" t="s">
        <v>340</v>
      </c>
    </row>
    <row r="3160" spans="8:8">
      <c r="B3160" t="s">
        <v>4949</v>
      </c>
      <c r="C3160">
        <v>531855.0</v>
      </c>
      <c r="D3160" t="s">
        <v>339</v>
      </c>
      <c r="E3160" t="s">
        <v>371</v>
      </c>
    </row>
    <row r="3161" spans="8:8">
      <c r="B3161" t="s">
        <v>4950</v>
      </c>
      <c r="C3161">
        <v>506042.0</v>
      </c>
      <c r="D3161" t="s">
        <v>339</v>
      </c>
      <c r="E3161" t="s">
        <v>371</v>
      </c>
    </row>
    <row r="3162" spans="8:8">
      <c r="B3162" t="s">
        <v>4951</v>
      </c>
      <c r="C3162">
        <v>513532.0</v>
      </c>
      <c r="D3162" t="s">
        <v>339</v>
      </c>
      <c r="E3162" t="s">
        <v>694</v>
      </c>
    </row>
    <row r="3163" spans="8:8">
      <c r="B3163" t="s">
        <v>4952</v>
      </c>
      <c r="C3163">
        <v>530095.0</v>
      </c>
      <c r="D3163" t="s">
        <v>339</v>
      </c>
      <c r="E3163" t="s">
        <v>371</v>
      </c>
    </row>
    <row r="3164" spans="8:8">
      <c r="B3164" t="s">
        <v>4953</v>
      </c>
      <c r="C3164">
        <v>533178.0</v>
      </c>
      <c r="D3164" t="s">
        <v>4954</v>
      </c>
      <c r="E3164" t="s">
        <v>354</v>
      </c>
    </row>
    <row r="3165" spans="8:8">
      <c r="B3165" t="s">
        <v>4955</v>
      </c>
      <c r="C3165">
        <v>500192.0</v>
      </c>
      <c r="D3165" t="s">
        <v>339</v>
      </c>
      <c r="E3165" t="s">
        <v>354</v>
      </c>
    </row>
    <row r="3166" spans="8:8">
      <c r="B3166" t="s">
        <v>4956</v>
      </c>
      <c r="C3166">
        <v>522205.0</v>
      </c>
      <c r="D3166" t="s">
        <v>4957</v>
      </c>
      <c r="E3166" t="s">
        <v>737</v>
      </c>
    </row>
    <row r="3167" spans="8:8">
      <c r="B3167" t="s">
        <v>4958</v>
      </c>
      <c r="C3167">
        <v>531746.0</v>
      </c>
      <c r="D3167" t="s">
        <v>4959</v>
      </c>
      <c r="E3167" t="s">
        <v>425</v>
      </c>
    </row>
    <row r="3168" spans="8:8">
      <c r="B3168" t="s">
        <v>4960</v>
      </c>
      <c r="C3168">
        <v>533605.0</v>
      </c>
      <c r="D3168" t="s">
        <v>4961</v>
      </c>
      <c r="E3168" t="s">
        <v>737</v>
      </c>
    </row>
    <row r="3169" spans="8:8">
      <c r="B3169" t="s">
        <v>4962</v>
      </c>
      <c r="C3169">
        <v>506022.0</v>
      </c>
      <c r="D3169" t="s">
        <v>4963</v>
      </c>
      <c r="E3169" t="s">
        <v>371</v>
      </c>
    </row>
    <row r="3170" spans="8:8">
      <c r="B3170" t="s">
        <v>4964</v>
      </c>
      <c r="C3170">
        <v>542684.0</v>
      </c>
      <c r="D3170" t="s">
        <v>4965</v>
      </c>
      <c r="E3170" t="s">
        <v>459</v>
      </c>
    </row>
    <row r="3171" spans="8:8">
      <c r="B3171" t="s">
        <v>4966</v>
      </c>
      <c r="C3171">
        <v>533239.0</v>
      </c>
      <c r="D3171" t="s">
        <v>4967</v>
      </c>
      <c r="E3171" t="s">
        <v>737</v>
      </c>
    </row>
    <row r="3172" spans="8:8">
      <c r="B3172" t="s">
        <v>4968</v>
      </c>
      <c r="C3172">
        <v>531437.0</v>
      </c>
      <c r="D3172" t="s">
        <v>339</v>
      </c>
      <c r="E3172" t="s">
        <v>354</v>
      </c>
    </row>
    <row r="3173" spans="8:8">
      <c r="B3173" t="s">
        <v>4969</v>
      </c>
      <c r="C3173">
        <v>531172.0</v>
      </c>
      <c r="D3173" t="s">
        <v>339</v>
      </c>
      <c r="E3173" t="s">
        <v>354</v>
      </c>
    </row>
    <row r="3174" spans="8:8">
      <c r="B3174" t="s">
        <v>4970</v>
      </c>
      <c r="C3174">
        <v>519014.0</v>
      </c>
      <c r="D3174" t="s">
        <v>339</v>
      </c>
      <c r="E3174" t="s">
        <v>354</v>
      </c>
    </row>
    <row r="3175" spans="8:8">
      <c r="B3175" t="s">
        <v>4971</v>
      </c>
      <c r="C3175">
        <v>519014.0</v>
      </c>
      <c r="D3175" t="s">
        <v>339</v>
      </c>
      <c r="E3175" t="s">
        <v>354</v>
      </c>
    </row>
    <row r="3176" spans="8:8">
      <c r="B3176" t="s">
        <v>4972</v>
      </c>
      <c r="C3176">
        <v>540724.0</v>
      </c>
      <c r="D3176" t="s">
        <v>4973</v>
      </c>
      <c r="E3176" t="s">
        <v>399</v>
      </c>
    </row>
    <row r="3177" spans="8:8">
      <c r="B3177" t="s">
        <v>4974</v>
      </c>
      <c r="C3177">
        <v>526490.0</v>
      </c>
      <c r="D3177" t="s">
        <v>339</v>
      </c>
      <c r="E3177" t="s">
        <v>834</v>
      </c>
    </row>
    <row r="3178" spans="8:8">
      <c r="B3178" t="s">
        <v>4975</v>
      </c>
      <c r="C3178">
        <v>531257.0</v>
      </c>
      <c r="D3178" t="s">
        <v>339</v>
      </c>
      <c r="E3178" t="s">
        <v>499</v>
      </c>
    </row>
    <row r="3179" spans="8:8">
      <c r="B3179" t="s">
        <v>4976</v>
      </c>
      <c r="C3179">
        <v>540901.0</v>
      </c>
      <c r="D3179" t="s">
        <v>4977</v>
      </c>
      <c r="E3179" t="s">
        <v>340</v>
      </c>
    </row>
    <row r="3180" spans="8:8">
      <c r="B3180" t="s">
        <v>4978</v>
      </c>
      <c r="C3180">
        <v>506107.0</v>
      </c>
      <c r="D3180" t="s">
        <v>339</v>
      </c>
      <c r="E3180" t="s">
        <v>760</v>
      </c>
    </row>
    <row r="3181" spans="8:8">
      <c r="B3181" t="s">
        <v>4979</v>
      </c>
      <c r="C3181">
        <v>539636.0</v>
      </c>
      <c r="D3181" t="s">
        <v>4980</v>
      </c>
      <c r="E3181" t="s">
        <v>694</v>
      </c>
    </row>
    <row r="3182" spans="8:8">
      <c r="B3182" t="s">
        <v>4981</v>
      </c>
      <c r="C3182">
        <v>523874.0</v>
      </c>
      <c r="D3182" t="s">
        <v>339</v>
      </c>
      <c r="E3182" t="s">
        <v>361</v>
      </c>
    </row>
    <row r="3183" spans="8:8">
      <c r="B3183" t="s">
        <v>4982</v>
      </c>
      <c r="C3183">
        <v>517258.0</v>
      </c>
      <c r="D3183" t="s">
        <v>339</v>
      </c>
      <c r="E3183" t="s">
        <v>881</v>
      </c>
    </row>
    <row r="3184" spans="8:8">
      <c r="B3184" t="s">
        <v>4983</v>
      </c>
      <c r="C3184">
        <v>523539.0</v>
      </c>
      <c r="D3184" t="s">
        <v>4984</v>
      </c>
      <c r="E3184" t="s">
        <v>1258</v>
      </c>
    </row>
    <row r="3185" spans="8:8">
      <c r="B3185" t="s">
        <v>4985</v>
      </c>
      <c r="C3185">
        <v>523539.0</v>
      </c>
      <c r="D3185" t="s">
        <v>4984</v>
      </c>
      <c r="E3185" t="s">
        <v>1258</v>
      </c>
    </row>
    <row r="3186" spans="8:8">
      <c r="B3186" t="s">
        <v>4986</v>
      </c>
      <c r="C3186" t="s">
        <v>339</v>
      </c>
      <c r="D3186" t="s">
        <v>4987</v>
      </c>
      <c r="E3186" t="s">
        <v>430</v>
      </c>
    </row>
    <row r="3187" spans="8:8">
      <c r="B3187" t="s">
        <v>4988</v>
      </c>
      <c r="C3187">
        <v>530669.0</v>
      </c>
      <c r="D3187" t="s">
        <v>339</v>
      </c>
      <c r="E3187" t="s">
        <v>322</v>
      </c>
    </row>
    <row r="3188" spans="8:8">
      <c r="B3188" t="s">
        <v>4989</v>
      </c>
      <c r="C3188">
        <v>530331.0</v>
      </c>
      <c r="D3188" t="s">
        <v>339</v>
      </c>
      <c r="E3188" t="s">
        <v>354</v>
      </c>
    </row>
    <row r="3189" spans="8:8">
      <c r="B3189" t="s">
        <v>4990</v>
      </c>
      <c r="C3189">
        <v>780007.0</v>
      </c>
      <c r="D3189" t="s">
        <v>339</v>
      </c>
      <c r="E3189" t="s">
        <v>430</v>
      </c>
    </row>
    <row r="3190" spans="8:8">
      <c r="B3190" t="s">
        <v>4991</v>
      </c>
      <c r="C3190">
        <v>526247.0</v>
      </c>
      <c r="D3190" t="s">
        <v>4992</v>
      </c>
      <c r="E3190" t="s">
        <v>499</v>
      </c>
    </row>
    <row r="3191" spans="8:8">
      <c r="B3191" t="s">
        <v>4993</v>
      </c>
      <c r="C3191">
        <v>500540.0</v>
      </c>
      <c r="D3191" t="s">
        <v>4994</v>
      </c>
      <c r="E3191" t="s">
        <v>347</v>
      </c>
    </row>
    <row r="3192" spans="8:8">
      <c r="B3192" t="s">
        <v>4995</v>
      </c>
      <c r="C3192">
        <v>513291.0</v>
      </c>
      <c r="D3192" t="s">
        <v>339</v>
      </c>
      <c r="E3192" t="s">
        <v>662</v>
      </c>
    </row>
    <row r="3193" spans="8:8">
      <c r="B3193" t="s">
        <v>4996</v>
      </c>
      <c r="C3193">
        <v>514354.0</v>
      </c>
      <c r="D3193" t="s">
        <v>4997</v>
      </c>
      <c r="E3193" t="s">
        <v>387</v>
      </c>
    </row>
    <row r="3194" spans="8:8">
      <c r="B3194" t="s">
        <v>4998</v>
      </c>
      <c r="C3194">
        <v>509835.0</v>
      </c>
      <c r="D3194" t="s">
        <v>339</v>
      </c>
      <c r="E3194" t="s">
        <v>354</v>
      </c>
    </row>
    <row r="3195" spans="8:8">
      <c r="B3195" t="s">
        <v>4999</v>
      </c>
      <c r="C3195">
        <v>531802.0</v>
      </c>
      <c r="D3195" t="s">
        <v>339</v>
      </c>
      <c r="E3195" t="s">
        <v>425</v>
      </c>
    </row>
    <row r="3196" spans="8:8">
      <c r="B3196" t="s">
        <v>5000</v>
      </c>
      <c r="C3196">
        <v>509077.0</v>
      </c>
      <c r="D3196" t="s">
        <v>5001</v>
      </c>
      <c r="E3196" t="s">
        <v>1941</v>
      </c>
    </row>
    <row r="3197" spans="8:8">
      <c r="B3197" t="s">
        <v>5002</v>
      </c>
      <c r="C3197">
        <v>533274.0</v>
      </c>
      <c r="D3197" t="s">
        <v>5003</v>
      </c>
      <c r="E3197" t="s">
        <v>425</v>
      </c>
    </row>
    <row r="3198" spans="8:8">
      <c r="B3198" t="s">
        <v>5004</v>
      </c>
      <c r="C3198">
        <v>540293.0</v>
      </c>
      <c r="D3198" t="s">
        <v>5005</v>
      </c>
      <c r="E3198" t="s">
        <v>694</v>
      </c>
    </row>
    <row r="3199" spans="8:8">
      <c r="B3199" t="s">
        <v>5006</v>
      </c>
      <c r="C3199">
        <v>519262.0</v>
      </c>
      <c r="D3199" t="s">
        <v>339</v>
      </c>
      <c r="E3199" t="s">
        <v>537</v>
      </c>
    </row>
    <row r="3200" spans="8:8">
      <c r="B3200" t="s">
        <v>5007</v>
      </c>
      <c r="C3200">
        <v>531246.0</v>
      </c>
      <c r="D3200" t="s">
        <v>339</v>
      </c>
      <c r="E3200" t="s">
        <v>588</v>
      </c>
    </row>
    <row r="3201" spans="8:8">
      <c r="B3201" t="s">
        <v>5008</v>
      </c>
      <c r="C3201">
        <v>530589.0</v>
      </c>
      <c r="D3201" t="s">
        <v>339</v>
      </c>
      <c r="E3201" t="s">
        <v>459</v>
      </c>
    </row>
    <row r="3202" spans="8:8">
      <c r="B3202" t="s">
        <v>5009</v>
      </c>
      <c r="C3202">
        <v>535514.0</v>
      </c>
      <c r="D3202" t="s">
        <v>339</v>
      </c>
      <c r="E3202" t="s">
        <v>356</v>
      </c>
    </row>
    <row r="3203" spans="8:8">
      <c r="B3203" t="s">
        <v>5010</v>
      </c>
      <c r="C3203">
        <v>540404.0</v>
      </c>
      <c r="D3203" t="s">
        <v>339</v>
      </c>
      <c r="E3203" t="s">
        <v>537</v>
      </c>
    </row>
    <row r="3204" spans="8:8">
      <c r="B3204" t="s">
        <v>5011</v>
      </c>
      <c r="C3204">
        <v>532748.0</v>
      </c>
      <c r="D3204" t="s">
        <v>5012</v>
      </c>
      <c r="E3204" t="s">
        <v>342</v>
      </c>
    </row>
    <row r="3205" spans="8:8">
      <c r="B3205" t="s">
        <v>5013</v>
      </c>
      <c r="C3205">
        <v>519299.0</v>
      </c>
      <c r="D3205" t="s">
        <v>339</v>
      </c>
      <c r="E3205" t="s">
        <v>588</v>
      </c>
    </row>
    <row r="3206" spans="8:8">
      <c r="B3206" t="s">
        <v>5014</v>
      </c>
      <c r="C3206">
        <v>530695.0</v>
      </c>
      <c r="D3206" t="s">
        <v>339</v>
      </c>
      <c r="E3206" t="s">
        <v>425</v>
      </c>
    </row>
    <row r="3207" spans="8:8">
      <c r="B3207" t="s">
        <v>5015</v>
      </c>
      <c r="C3207">
        <v>500337.0</v>
      </c>
      <c r="D3207" t="s">
        <v>5016</v>
      </c>
      <c r="E3207" t="s">
        <v>322</v>
      </c>
    </row>
    <row r="3208" spans="8:8">
      <c r="B3208" t="s">
        <v>5017</v>
      </c>
      <c r="C3208">
        <v>521149.0</v>
      </c>
      <c r="D3208" t="s">
        <v>339</v>
      </c>
      <c r="E3208" t="s">
        <v>425</v>
      </c>
    </row>
    <row r="3209" spans="8:8">
      <c r="B3209" t="s">
        <v>5018</v>
      </c>
      <c r="C3209">
        <v>521149.0</v>
      </c>
      <c r="D3209" t="s">
        <v>339</v>
      </c>
      <c r="E3209" t="s">
        <v>425</v>
      </c>
    </row>
    <row r="3210" spans="8:8">
      <c r="B3210" t="s">
        <v>5019</v>
      </c>
      <c r="C3210">
        <v>531735.0</v>
      </c>
      <c r="D3210" t="s">
        <v>339</v>
      </c>
      <c r="E3210" t="s">
        <v>356</v>
      </c>
    </row>
    <row r="3211" spans="8:8">
      <c r="B3211" t="s">
        <v>5020</v>
      </c>
      <c r="C3211">
        <v>500338.0</v>
      </c>
      <c r="D3211" t="s">
        <v>5021</v>
      </c>
      <c r="E3211" t="s">
        <v>352</v>
      </c>
    </row>
    <row r="3212" spans="8:8">
      <c r="B3212" t="s">
        <v>5022</v>
      </c>
      <c r="C3212">
        <v>512217.0</v>
      </c>
      <c r="D3212" t="s">
        <v>339</v>
      </c>
      <c r="E3212" t="s">
        <v>356</v>
      </c>
    </row>
    <row r="3213" spans="8:8">
      <c r="B3213" t="s">
        <v>5023</v>
      </c>
      <c r="C3213">
        <v>531688.0</v>
      </c>
      <c r="D3213" t="s">
        <v>339</v>
      </c>
      <c r="E3213" t="s">
        <v>432</v>
      </c>
    </row>
    <row r="3214" spans="8:8">
      <c r="B3214" t="s">
        <v>5024</v>
      </c>
      <c r="C3214">
        <v>531688.0</v>
      </c>
      <c r="D3214" t="s">
        <v>339</v>
      </c>
      <c r="E3214" t="s">
        <v>432</v>
      </c>
    </row>
    <row r="3215" spans="8:8">
      <c r="B3215" t="s">
        <v>5025</v>
      </c>
      <c r="C3215" t="s">
        <v>339</v>
      </c>
      <c r="D3215" t="s">
        <v>5026</v>
      </c>
      <c r="E3215" t="s">
        <v>350</v>
      </c>
    </row>
    <row r="3216" spans="8:8">
      <c r="B3216" t="s">
        <v>5027</v>
      </c>
      <c r="C3216">
        <v>539359.0</v>
      </c>
      <c r="D3216" t="s">
        <v>339</v>
      </c>
      <c r="E3216" t="s">
        <v>1258</v>
      </c>
    </row>
    <row r="3217" spans="8:8">
      <c r="B3217" t="s">
        <v>5028</v>
      </c>
      <c r="C3217">
        <v>532387.0</v>
      </c>
      <c r="D3217" t="s">
        <v>5029</v>
      </c>
      <c r="E3217" t="s">
        <v>342</v>
      </c>
    </row>
    <row r="3218" spans="8:8">
      <c r="B3218" t="s">
        <v>5030</v>
      </c>
      <c r="C3218">
        <v>524580.0</v>
      </c>
      <c r="D3218" t="s">
        <v>339</v>
      </c>
      <c r="E3218" t="s">
        <v>361</v>
      </c>
    </row>
    <row r="3219" spans="8:8">
      <c r="B3219" t="s">
        <v>5031</v>
      </c>
      <c r="C3219">
        <v>511557.0</v>
      </c>
      <c r="D3219" t="s">
        <v>339</v>
      </c>
      <c r="E3219" t="s">
        <v>760</v>
      </c>
    </row>
    <row r="3220" spans="8:8">
      <c r="B3220" t="s">
        <v>5032</v>
      </c>
      <c r="C3220">
        <v>512105.0</v>
      </c>
      <c r="D3220" t="s">
        <v>339</v>
      </c>
      <c r="E3220" t="s">
        <v>760</v>
      </c>
    </row>
    <row r="3221" spans="8:8">
      <c r="B3221" t="s">
        <v>5033</v>
      </c>
      <c r="C3221">
        <v>526009.0</v>
      </c>
      <c r="D3221" t="s">
        <v>339</v>
      </c>
      <c r="E3221" t="s">
        <v>361</v>
      </c>
    </row>
    <row r="3222" spans="8:8">
      <c r="B3222" t="s">
        <v>5034</v>
      </c>
      <c r="C3222">
        <v>526009.0</v>
      </c>
      <c r="D3222" t="s">
        <v>339</v>
      </c>
      <c r="E3222" t="s">
        <v>361</v>
      </c>
    </row>
    <row r="3223" spans="8:8">
      <c r="B3223" t="s">
        <v>5035</v>
      </c>
      <c r="C3223" t="s">
        <v>339</v>
      </c>
      <c r="D3223" t="s">
        <v>5036</v>
      </c>
      <c r="E3223" t="s">
        <v>361</v>
      </c>
    </row>
    <row r="3224" spans="8:8">
      <c r="B3224" t="s">
        <v>5037</v>
      </c>
      <c r="C3224">
        <v>500459.0</v>
      </c>
      <c r="D3224" t="s">
        <v>5038</v>
      </c>
      <c r="E3224" t="s">
        <v>521</v>
      </c>
    </row>
    <row r="3225" spans="8:8">
      <c r="B3225" t="s">
        <v>5039</v>
      </c>
      <c r="C3225">
        <v>531265.0</v>
      </c>
      <c r="D3225" t="s">
        <v>339</v>
      </c>
      <c r="E3225" t="s">
        <v>419</v>
      </c>
    </row>
    <row r="3226" spans="8:8">
      <c r="B3226" t="s">
        <v>5040</v>
      </c>
      <c r="C3226" t="s">
        <v>339</v>
      </c>
      <c r="D3226" t="s">
        <v>5041</v>
      </c>
      <c r="E3226" t="s">
        <v>350</v>
      </c>
    </row>
    <row r="3227" spans="8:8">
      <c r="B3227" t="s">
        <v>5042</v>
      </c>
      <c r="C3227">
        <v>526494.0</v>
      </c>
      <c r="D3227" t="s">
        <v>339</v>
      </c>
      <c r="E3227" t="s">
        <v>534</v>
      </c>
    </row>
    <row r="3228" spans="8:8">
      <c r="B3228" t="s">
        <v>5043</v>
      </c>
      <c r="C3228">
        <v>590057.0</v>
      </c>
      <c r="D3228" t="s">
        <v>5044</v>
      </c>
      <c r="E3228" t="s">
        <v>432</v>
      </c>
    </row>
    <row r="3229" spans="8:8">
      <c r="B3229" t="s">
        <v>5045</v>
      </c>
      <c r="C3229">
        <v>590057.0</v>
      </c>
      <c r="D3229" t="s">
        <v>5044</v>
      </c>
      <c r="E3229" t="s">
        <v>432</v>
      </c>
    </row>
    <row r="3230" spans="8:8">
      <c r="B3230" t="s">
        <v>5046</v>
      </c>
      <c r="C3230">
        <v>540703.0</v>
      </c>
      <c r="D3230" t="s">
        <v>339</v>
      </c>
      <c r="E3230" t="s">
        <v>423</v>
      </c>
    </row>
    <row r="3231" spans="8:8">
      <c r="B3231" t="s">
        <v>5047</v>
      </c>
      <c r="C3231">
        <v>532647.0</v>
      </c>
      <c r="D3231" t="s">
        <v>5048</v>
      </c>
      <c r="E3231" t="s">
        <v>453</v>
      </c>
    </row>
    <row r="3232" spans="8:8">
      <c r="B3232" t="s">
        <v>5049</v>
      </c>
      <c r="C3232">
        <v>532647.0</v>
      </c>
      <c r="D3232" t="s">
        <v>5048</v>
      </c>
      <c r="E3232" t="s">
        <v>453</v>
      </c>
    </row>
    <row r="3233" spans="8:8">
      <c r="B3233" t="s">
        <v>5050</v>
      </c>
      <c r="C3233">
        <v>534675.0</v>
      </c>
      <c r="D3233" t="s">
        <v>5051</v>
      </c>
      <c r="E3233" t="s">
        <v>425</v>
      </c>
    </row>
    <row r="3234" spans="8:8">
      <c r="B3234" t="s">
        <v>5052</v>
      </c>
      <c r="C3234">
        <v>505502.0</v>
      </c>
      <c r="D3234" t="s">
        <v>339</v>
      </c>
      <c r="E3234" t="s">
        <v>322</v>
      </c>
    </row>
    <row r="3235" spans="8:8">
      <c r="B3235" t="s">
        <v>5053</v>
      </c>
      <c r="C3235">
        <v>526801.0</v>
      </c>
      <c r="D3235" t="s">
        <v>5054</v>
      </c>
      <c r="E3235" t="s">
        <v>737</v>
      </c>
    </row>
    <row r="3236" spans="8:8">
      <c r="B3236" t="s">
        <v>5055</v>
      </c>
      <c r="C3236">
        <v>540544.0</v>
      </c>
      <c r="D3236" t="s">
        <v>5056</v>
      </c>
      <c r="E3236" t="s">
        <v>737</v>
      </c>
    </row>
    <row r="3237" spans="8:8">
      <c r="B3237" t="s">
        <v>5057</v>
      </c>
      <c r="C3237">
        <v>532524.0</v>
      </c>
      <c r="D3237" t="s">
        <v>5058</v>
      </c>
      <c r="E3237" t="s">
        <v>478</v>
      </c>
    </row>
    <row r="3238" spans="8:8">
      <c r="B3238" t="s">
        <v>5059</v>
      </c>
      <c r="C3238">
        <v>533344.0</v>
      </c>
      <c r="D3238" t="s">
        <v>5060</v>
      </c>
      <c r="E3238" t="s">
        <v>356</v>
      </c>
    </row>
    <row r="3239" spans="8:8">
      <c r="B3239" t="s">
        <v>5061</v>
      </c>
      <c r="C3239">
        <v>532524.0</v>
      </c>
      <c r="D3239" t="s">
        <v>5058</v>
      </c>
      <c r="E3239" t="s">
        <v>478</v>
      </c>
    </row>
    <row r="3240" spans="8:8">
      <c r="B3240" t="s">
        <v>5062</v>
      </c>
      <c r="C3240">
        <v>539006.0</v>
      </c>
      <c r="D3240" t="s">
        <v>339</v>
      </c>
      <c r="E3240" t="s">
        <v>1258</v>
      </c>
    </row>
    <row r="3241" spans="8:8">
      <c r="B3241" t="s">
        <v>5063</v>
      </c>
      <c r="C3241">
        <v>509220.0</v>
      </c>
      <c r="D3241" t="s">
        <v>5064</v>
      </c>
      <c r="E3241" t="s">
        <v>361</v>
      </c>
    </row>
    <row r="3242" spans="8:8">
      <c r="B3242" t="s">
        <v>5065</v>
      </c>
      <c r="C3242">
        <v>539785.0</v>
      </c>
      <c r="D3242" t="s">
        <v>5066</v>
      </c>
      <c r="E3242" t="s">
        <v>333</v>
      </c>
    </row>
    <row r="3243" spans="8:8">
      <c r="B3243" t="s">
        <v>5067</v>
      </c>
      <c r="C3243">
        <v>512591.0</v>
      </c>
      <c r="D3243" t="s">
        <v>339</v>
      </c>
      <c r="E3243" t="s">
        <v>361</v>
      </c>
    </row>
    <row r="3244" spans="8:8">
      <c r="B3244" t="s">
        <v>5068</v>
      </c>
      <c r="C3244" t="s">
        <v>339</v>
      </c>
      <c r="D3244" t="s">
        <v>5069</v>
      </c>
      <c r="E3244" t="s">
        <v>350</v>
      </c>
    </row>
    <row r="3245" spans="8:8">
      <c r="B3245" t="s">
        <v>5070</v>
      </c>
      <c r="C3245">
        <v>512461.0</v>
      </c>
      <c r="D3245" t="s">
        <v>339</v>
      </c>
      <c r="E3245" t="s">
        <v>361</v>
      </c>
    </row>
    <row r="3246" spans="8:8">
      <c r="B3246" t="s">
        <v>5071</v>
      </c>
      <c r="C3246">
        <v>512099.0</v>
      </c>
      <c r="D3246" t="s">
        <v>339</v>
      </c>
      <c r="E3246" t="s">
        <v>453</v>
      </c>
    </row>
    <row r="3247" spans="8:8">
      <c r="B3247" t="s">
        <v>5072</v>
      </c>
      <c r="C3247">
        <v>532693.0</v>
      </c>
      <c r="D3247" t="s">
        <v>5073</v>
      </c>
      <c r="E3247" t="s">
        <v>737</v>
      </c>
    </row>
    <row r="3248" spans="8:8">
      <c r="B3248" t="s">
        <v>5074</v>
      </c>
      <c r="C3248">
        <v>533295.0</v>
      </c>
      <c r="D3248" t="s">
        <v>5075</v>
      </c>
      <c r="E3248" t="s">
        <v>657</v>
      </c>
    </row>
    <row r="3249" spans="8:8">
      <c r="B3249" t="s">
        <v>5076</v>
      </c>
      <c r="C3249">
        <v>506852.0</v>
      </c>
      <c r="D3249" t="s">
        <v>339</v>
      </c>
      <c r="E3249" t="s">
        <v>387</v>
      </c>
    </row>
    <row r="3250" spans="8:8">
      <c r="B3250" t="s">
        <v>5077</v>
      </c>
      <c r="C3250">
        <v>506618.0</v>
      </c>
      <c r="D3250" t="s">
        <v>5078</v>
      </c>
      <c r="E3250" t="s">
        <v>483</v>
      </c>
    </row>
    <row r="3251" spans="8:8">
      <c r="B3251" t="s">
        <v>5079</v>
      </c>
      <c r="C3251">
        <v>500346.0</v>
      </c>
      <c r="D3251" t="s">
        <v>339</v>
      </c>
      <c r="E3251" t="s">
        <v>485</v>
      </c>
    </row>
    <row r="3252" spans="8:8">
      <c r="B3252" t="s">
        <v>5080</v>
      </c>
      <c r="C3252">
        <v>532461.0</v>
      </c>
      <c r="D3252" t="s">
        <v>5081</v>
      </c>
      <c r="E3252" t="s">
        <v>657</v>
      </c>
    </row>
    <row r="3253" spans="8:8">
      <c r="B3253" t="s">
        <v>5082</v>
      </c>
      <c r="C3253">
        <v>532891.0</v>
      </c>
      <c r="D3253" t="s">
        <v>5083</v>
      </c>
      <c r="E3253" t="s">
        <v>425</v>
      </c>
    </row>
    <row r="3254" spans="8:8">
      <c r="B3254" t="s">
        <v>5084</v>
      </c>
      <c r="C3254">
        <v>540492.0</v>
      </c>
      <c r="D3254" t="s">
        <v>339</v>
      </c>
      <c r="E3254" t="s">
        <v>361</v>
      </c>
    </row>
    <row r="3255" spans="8:8">
      <c r="B3255" t="s">
        <v>5085</v>
      </c>
      <c r="C3255">
        <v>523315.0</v>
      </c>
      <c r="D3255" t="s">
        <v>339</v>
      </c>
      <c r="E3255" t="s">
        <v>333</v>
      </c>
    </row>
    <row r="3256" spans="8:8">
      <c r="B3256" t="s">
        <v>5086</v>
      </c>
      <c r="C3256">
        <v>538993.0</v>
      </c>
      <c r="D3256" t="s">
        <v>339</v>
      </c>
      <c r="E3256" t="s">
        <v>425</v>
      </c>
    </row>
    <row r="3257" spans="8:8">
      <c r="B3257" t="s">
        <v>5087</v>
      </c>
      <c r="C3257">
        <v>540159.0</v>
      </c>
      <c r="D3257" t="s">
        <v>339</v>
      </c>
      <c r="E3257" t="s">
        <v>342</v>
      </c>
    </row>
    <row r="3258" spans="8:8">
      <c r="B3258" t="s">
        <v>5088</v>
      </c>
      <c r="C3258">
        <v>538647.0</v>
      </c>
      <c r="D3258" t="s">
        <v>339</v>
      </c>
      <c r="E3258" t="s">
        <v>356</v>
      </c>
    </row>
    <row r="3259" spans="8:8">
      <c r="B3259" t="s">
        <v>5089</v>
      </c>
      <c r="C3259" t="s">
        <v>339</v>
      </c>
      <c r="D3259" t="s">
        <v>5090</v>
      </c>
      <c r="E3259" t="s">
        <v>350</v>
      </c>
    </row>
    <row r="3260" spans="8:8">
      <c r="B3260" t="s">
        <v>5091</v>
      </c>
      <c r="C3260">
        <v>531562.0</v>
      </c>
      <c r="D3260" t="s">
        <v>339</v>
      </c>
      <c r="E3260" t="s">
        <v>354</v>
      </c>
    </row>
    <row r="3261" spans="8:8">
      <c r="B3261" t="s">
        <v>5092</v>
      </c>
      <c r="C3261">
        <v>517556.0</v>
      </c>
      <c r="D3261" t="s">
        <v>5093</v>
      </c>
      <c r="E3261" t="s">
        <v>425</v>
      </c>
    </row>
    <row r="3262" spans="8:8">
      <c r="B3262" t="s">
        <v>5094</v>
      </c>
      <c r="C3262">
        <v>532689.0</v>
      </c>
      <c r="D3262" t="s">
        <v>5095</v>
      </c>
      <c r="E3262" t="s">
        <v>340</v>
      </c>
    </row>
    <row r="3263" spans="8:8">
      <c r="B3263" t="s">
        <v>5096</v>
      </c>
      <c r="C3263">
        <v>536659.0</v>
      </c>
      <c r="D3263" t="s">
        <v>339</v>
      </c>
      <c r="E3263" t="s">
        <v>737</v>
      </c>
    </row>
    <row r="3264" spans="8:8">
      <c r="B3264" t="s">
        <v>5097</v>
      </c>
      <c r="C3264">
        <v>534109.0</v>
      </c>
      <c r="D3264" t="s">
        <v>339</v>
      </c>
      <c r="E3264" t="s">
        <v>356</v>
      </c>
    </row>
    <row r="3265" spans="8:8">
      <c r="B3265" t="s">
        <v>5098</v>
      </c>
      <c r="C3265">
        <v>511116.0</v>
      </c>
      <c r="D3265" t="s">
        <v>339</v>
      </c>
      <c r="E3265" t="s">
        <v>1282</v>
      </c>
    </row>
    <row r="3266" spans="8:8">
      <c r="B3266" t="s">
        <v>5099</v>
      </c>
      <c r="C3266">
        <v>538596.0</v>
      </c>
      <c r="D3266" t="s">
        <v>339</v>
      </c>
      <c r="E3266" t="s">
        <v>425</v>
      </c>
    </row>
    <row r="3267" spans="8:8">
      <c r="B3267" t="s">
        <v>5100</v>
      </c>
      <c r="C3267">
        <v>530281.0</v>
      </c>
      <c r="D3267" t="s">
        <v>339</v>
      </c>
      <c r="E3267" t="s">
        <v>534</v>
      </c>
    </row>
    <row r="3268" spans="8:8">
      <c r="B3268" t="s">
        <v>5101</v>
      </c>
      <c r="C3268">
        <v>530281.0</v>
      </c>
      <c r="D3268" t="s">
        <v>339</v>
      </c>
      <c r="E3268" t="s">
        <v>534</v>
      </c>
    </row>
    <row r="3269" spans="8:8">
      <c r="B3269" t="s">
        <v>5102</v>
      </c>
      <c r="C3269">
        <v>590099.0</v>
      </c>
      <c r="D3269" t="s">
        <v>5103</v>
      </c>
      <c r="E3269" t="s">
        <v>322</v>
      </c>
    </row>
    <row r="3270" spans="8:8">
      <c r="B3270" t="s">
        <v>5104</v>
      </c>
      <c r="C3270">
        <v>590110.0</v>
      </c>
      <c r="D3270" t="s">
        <v>5105</v>
      </c>
      <c r="E3270" t="s">
        <v>322</v>
      </c>
    </row>
    <row r="3271" spans="8:8">
      <c r="B3271" t="s">
        <v>5106</v>
      </c>
      <c r="C3271">
        <v>539978.0</v>
      </c>
      <c r="D3271" t="s">
        <v>5107</v>
      </c>
      <c r="E3271" t="s">
        <v>328</v>
      </c>
    </row>
    <row r="3272" spans="8:8">
      <c r="B3272" t="s">
        <v>5108</v>
      </c>
      <c r="C3272">
        <v>539962.0</v>
      </c>
      <c r="D3272" t="s">
        <v>339</v>
      </c>
      <c r="E3272" t="s">
        <v>356</v>
      </c>
    </row>
    <row r="3273" spans="8:8">
      <c r="B3273" t="s">
        <v>5109</v>
      </c>
      <c r="C3273">
        <v>535719.0</v>
      </c>
      <c r="D3273" t="s">
        <v>339</v>
      </c>
      <c r="E3273" t="s">
        <v>325</v>
      </c>
    </row>
    <row r="3274" spans="8:8">
      <c r="B3274" t="s">
        <v>5110</v>
      </c>
      <c r="C3274">
        <v>535719.0</v>
      </c>
      <c r="D3274" t="s">
        <v>339</v>
      </c>
      <c r="E3274" t="s">
        <v>325</v>
      </c>
    </row>
    <row r="3275" spans="8:8">
      <c r="B3275" t="s">
        <v>5111</v>
      </c>
      <c r="C3275">
        <v>539678.0</v>
      </c>
      <c r="D3275" t="s">
        <v>5112</v>
      </c>
      <c r="E3275" t="s">
        <v>432</v>
      </c>
    </row>
    <row r="3276" spans="8:8">
      <c r="B3276" t="s">
        <v>5113</v>
      </c>
      <c r="C3276">
        <v>532866.0</v>
      </c>
      <c r="D3276" t="s">
        <v>5114</v>
      </c>
      <c r="E3276" t="s">
        <v>325</v>
      </c>
    </row>
    <row r="3277" spans="8:8">
      <c r="B3277" t="s">
        <v>5115</v>
      </c>
      <c r="C3277">
        <v>532024.0</v>
      </c>
      <c r="D3277" t="s">
        <v>339</v>
      </c>
      <c r="E3277" t="s">
        <v>322</v>
      </c>
    </row>
    <row r="3278" spans="8:8">
      <c r="B3278" t="s">
        <v>5116</v>
      </c>
      <c r="C3278">
        <v>536456.0</v>
      </c>
      <c r="D3278" t="s">
        <v>339</v>
      </c>
      <c r="E3278" t="s">
        <v>537</v>
      </c>
    </row>
    <row r="3279" spans="8:8">
      <c r="B3279" t="s">
        <v>5117</v>
      </c>
      <c r="C3279">
        <v>509845.0</v>
      </c>
      <c r="D3279" t="s">
        <v>339</v>
      </c>
      <c r="E3279" t="s">
        <v>425</v>
      </c>
    </row>
    <row r="3280" spans="8:8">
      <c r="B3280" t="s">
        <v>5118</v>
      </c>
      <c r="C3280" t="s">
        <v>339</v>
      </c>
      <c r="D3280" t="s">
        <v>5119</v>
      </c>
      <c r="E3280" t="s">
        <v>350</v>
      </c>
    </row>
    <row r="3281" spans="8:8">
      <c r="B3281" t="s">
        <v>5120</v>
      </c>
      <c r="C3281">
        <v>533284.0</v>
      </c>
      <c r="D3281" t="s">
        <v>5121</v>
      </c>
      <c r="E3281" t="s">
        <v>737</v>
      </c>
    </row>
    <row r="3282" spans="8:8">
      <c r="B3282" t="s">
        <v>5122</v>
      </c>
      <c r="C3282">
        <v>530917.0</v>
      </c>
      <c r="D3282" t="s">
        <v>339</v>
      </c>
      <c r="E3282" t="s">
        <v>760</v>
      </c>
    </row>
    <row r="3283" spans="8:8">
      <c r="B3283" t="s">
        <v>5123</v>
      </c>
      <c r="C3283">
        <v>517447.0</v>
      </c>
      <c r="D3283" t="s">
        <v>5124</v>
      </c>
      <c r="E3283" t="s">
        <v>432</v>
      </c>
    </row>
    <row r="3284" spans="8:8">
      <c r="B3284" t="s">
        <v>5125</v>
      </c>
      <c r="C3284">
        <v>517447.0</v>
      </c>
      <c r="D3284" t="s">
        <v>5124</v>
      </c>
      <c r="E3284" t="s">
        <v>432</v>
      </c>
    </row>
    <row r="3285" spans="8:8">
      <c r="B3285" t="s">
        <v>5126</v>
      </c>
      <c r="C3285">
        <v>532735.0</v>
      </c>
      <c r="D3285" t="s">
        <v>5127</v>
      </c>
      <c r="E3285" t="s">
        <v>325</v>
      </c>
    </row>
    <row r="3286" spans="8:8">
      <c r="B3286" t="s">
        <v>5128</v>
      </c>
      <c r="C3286">
        <v>512565.0</v>
      </c>
      <c r="D3286" t="s">
        <v>339</v>
      </c>
      <c r="E3286" t="s">
        <v>537</v>
      </c>
    </row>
    <row r="3287" spans="8:8">
      <c r="B3287" t="s">
        <v>5129</v>
      </c>
      <c r="C3287">
        <v>538119.0</v>
      </c>
      <c r="D3287" t="s">
        <v>339</v>
      </c>
      <c r="E3287" t="s">
        <v>354</v>
      </c>
    </row>
    <row r="3288" spans="8:8">
      <c r="B3288" t="s">
        <v>5130</v>
      </c>
      <c r="C3288">
        <v>524502.0</v>
      </c>
      <c r="D3288" t="s">
        <v>339</v>
      </c>
      <c r="E3288" t="s">
        <v>1505</v>
      </c>
    </row>
    <row r="3289" spans="8:8">
      <c r="B3289" t="s">
        <v>5131</v>
      </c>
      <c r="C3289">
        <v>524502.0</v>
      </c>
      <c r="D3289" t="s">
        <v>339</v>
      </c>
      <c r="E3289" t="s">
        <v>1505</v>
      </c>
    </row>
    <row r="3290" spans="8:8">
      <c r="B3290" t="s">
        <v>5132</v>
      </c>
      <c r="C3290">
        <v>502271.0</v>
      </c>
      <c r="D3290" t="s">
        <v>339</v>
      </c>
      <c r="E3290" t="s">
        <v>524</v>
      </c>
    </row>
    <row r="3291" spans="8:8">
      <c r="B3291" t="s">
        <v>5133</v>
      </c>
      <c r="C3291">
        <v>520073.0</v>
      </c>
      <c r="D3291" t="s">
        <v>339</v>
      </c>
      <c r="E3291" t="s">
        <v>694</v>
      </c>
    </row>
    <row r="3292" spans="8:8">
      <c r="B3292" t="s">
        <v>5134</v>
      </c>
      <c r="C3292">
        <v>590070.0</v>
      </c>
      <c r="D3292" t="s">
        <v>5135</v>
      </c>
      <c r="E3292" t="s">
        <v>342</v>
      </c>
    </row>
    <row r="3293" spans="8:8">
      <c r="B3293" t="s">
        <v>5136</v>
      </c>
      <c r="C3293">
        <v>590070.0</v>
      </c>
      <c r="D3293" t="s">
        <v>5135</v>
      </c>
      <c r="E3293" t="s">
        <v>342</v>
      </c>
    </row>
    <row r="3294" spans="8:8">
      <c r="B3294" t="s">
        <v>5137</v>
      </c>
      <c r="C3294">
        <v>532692.0</v>
      </c>
      <c r="D3294" t="s">
        <v>5138</v>
      </c>
      <c r="E3294" t="s">
        <v>534</v>
      </c>
    </row>
    <row r="3295" spans="8:8">
      <c r="B3295" t="s">
        <v>5139</v>
      </c>
      <c r="C3295">
        <v>539673.0</v>
      </c>
      <c r="D3295" t="s">
        <v>339</v>
      </c>
      <c r="E3295" t="s">
        <v>373</v>
      </c>
    </row>
    <row r="3296" spans="8:8">
      <c r="B3296" t="s">
        <v>5140</v>
      </c>
      <c r="C3296">
        <v>531273.0</v>
      </c>
      <c r="D3296" t="s">
        <v>339</v>
      </c>
      <c r="E3296" t="s">
        <v>425</v>
      </c>
    </row>
    <row r="3297" spans="8:8">
      <c r="B3297" t="s">
        <v>5141</v>
      </c>
      <c r="C3297">
        <v>531273.0</v>
      </c>
      <c r="D3297" t="s">
        <v>339</v>
      </c>
      <c r="E3297" t="s">
        <v>425</v>
      </c>
    </row>
    <row r="3298" spans="8:8">
      <c r="B3298" t="s">
        <v>5142</v>
      </c>
      <c r="C3298">
        <v>539814.0</v>
      </c>
      <c r="D3298" t="s">
        <v>339</v>
      </c>
      <c r="E3298" t="s">
        <v>361</v>
      </c>
    </row>
    <row r="3299" spans="8:8">
      <c r="B3299" t="s">
        <v>5143</v>
      </c>
      <c r="C3299">
        <v>540125.0</v>
      </c>
      <c r="D3299" t="s">
        <v>339</v>
      </c>
      <c r="E3299" t="s">
        <v>453</v>
      </c>
    </row>
    <row r="3300" spans="8:8">
      <c r="B3300" t="s">
        <v>5144</v>
      </c>
      <c r="C3300">
        <v>532497.0</v>
      </c>
      <c r="D3300" t="s">
        <v>5145</v>
      </c>
      <c r="E3300" t="s">
        <v>970</v>
      </c>
    </row>
    <row r="3301" spans="8:8">
      <c r="B3301" t="s">
        <v>5146</v>
      </c>
      <c r="C3301">
        <v>531412.0</v>
      </c>
      <c r="D3301" t="s">
        <v>339</v>
      </c>
      <c r="E3301" t="s">
        <v>521</v>
      </c>
    </row>
    <row r="3302" spans="8:8">
      <c r="B3302" t="s">
        <v>5147</v>
      </c>
      <c r="C3302">
        <v>531412.0</v>
      </c>
      <c r="D3302" t="s">
        <v>339</v>
      </c>
      <c r="E3302" t="s">
        <v>521</v>
      </c>
    </row>
    <row r="3303" spans="8:8">
      <c r="B3303" t="s">
        <v>5148</v>
      </c>
      <c r="C3303">
        <v>539837.0</v>
      </c>
      <c r="D3303" t="s">
        <v>339</v>
      </c>
      <c r="E3303" t="s">
        <v>524</v>
      </c>
    </row>
    <row r="3304" spans="8:8">
      <c r="B3304" t="s">
        <v>5149</v>
      </c>
      <c r="C3304">
        <v>526813.0</v>
      </c>
      <c r="D3304" t="s">
        <v>339</v>
      </c>
      <c r="E3304" t="s">
        <v>2509</v>
      </c>
    </row>
    <row r="3305" spans="8:8">
      <c r="B3305" t="s">
        <v>5150</v>
      </c>
      <c r="C3305">
        <v>531552.0</v>
      </c>
      <c r="D3305" t="s">
        <v>339</v>
      </c>
      <c r="E3305" t="s">
        <v>425</v>
      </c>
    </row>
    <row r="3306" spans="8:8">
      <c r="B3306" t="s">
        <v>5151</v>
      </c>
      <c r="C3306">
        <v>538921.0</v>
      </c>
      <c r="D3306" t="s">
        <v>339</v>
      </c>
      <c r="E3306" t="s">
        <v>537</v>
      </c>
    </row>
    <row r="3307" spans="8:8">
      <c r="B3307" t="s">
        <v>5152</v>
      </c>
      <c r="C3307">
        <v>514316.0</v>
      </c>
      <c r="D3307" t="s">
        <v>339</v>
      </c>
      <c r="E3307" t="s">
        <v>354</v>
      </c>
    </row>
    <row r="3308" spans="8:8">
      <c r="B3308" t="s">
        <v>5153</v>
      </c>
      <c r="C3308">
        <v>531887.0</v>
      </c>
      <c r="D3308" t="s">
        <v>339</v>
      </c>
      <c r="E3308" t="s">
        <v>453</v>
      </c>
    </row>
    <row r="3309" spans="8:8">
      <c r="B3309" t="s">
        <v>5154</v>
      </c>
      <c r="C3309">
        <v>540270.0</v>
      </c>
      <c r="D3309" t="s">
        <v>339</v>
      </c>
      <c r="E3309" t="s">
        <v>361</v>
      </c>
    </row>
    <row r="3310" spans="8:8">
      <c r="B3310" t="s">
        <v>5155</v>
      </c>
      <c r="C3310">
        <v>542649.0</v>
      </c>
      <c r="D3310" t="s">
        <v>5156</v>
      </c>
      <c r="E3310" t="s">
        <v>5157</v>
      </c>
    </row>
    <row r="3311" spans="8:8">
      <c r="B3311" t="s">
        <v>5158</v>
      </c>
      <c r="C3311">
        <v>500339.0</v>
      </c>
      <c r="D3311" t="s">
        <v>5159</v>
      </c>
      <c r="E3311" t="s">
        <v>553</v>
      </c>
    </row>
    <row r="3312" spans="8:8">
      <c r="B3312" t="s">
        <v>5160</v>
      </c>
      <c r="C3312">
        <v>532441.0</v>
      </c>
      <c r="D3312" t="s">
        <v>339</v>
      </c>
      <c r="E3312" t="s">
        <v>354</v>
      </c>
    </row>
    <row r="3313" spans="8:8">
      <c r="B3313" t="s">
        <v>5161</v>
      </c>
      <c r="C3313">
        <v>531694.0</v>
      </c>
      <c r="D3313" t="s">
        <v>339</v>
      </c>
      <c r="E3313" t="s">
        <v>425</v>
      </c>
    </row>
    <row r="3314" spans="8:8">
      <c r="B3314" t="s">
        <v>5162</v>
      </c>
      <c r="C3314">
        <v>523523.0</v>
      </c>
      <c r="D3314" t="s">
        <v>5163</v>
      </c>
      <c r="E3314" t="s">
        <v>333</v>
      </c>
    </row>
    <row r="3315" spans="8:8">
      <c r="B3315" t="s">
        <v>5164</v>
      </c>
      <c r="C3315">
        <v>530111.0</v>
      </c>
      <c r="D3315" t="s">
        <v>339</v>
      </c>
      <c r="E3315" t="s">
        <v>534</v>
      </c>
    </row>
    <row r="3316" spans="8:8">
      <c r="B3316" t="s">
        <v>5165</v>
      </c>
      <c r="C3316">
        <v>530699.0</v>
      </c>
      <c r="D3316" t="s">
        <v>5166</v>
      </c>
      <c r="E3316" t="s">
        <v>354</v>
      </c>
    </row>
    <row r="3317" spans="8:8">
      <c r="B3317" t="s">
        <v>5167</v>
      </c>
      <c r="C3317">
        <v>532826.0</v>
      </c>
      <c r="D3317" t="s">
        <v>5168</v>
      </c>
      <c r="E3317" t="s">
        <v>1077</v>
      </c>
    </row>
    <row r="3318" spans="8:8">
      <c r="B3318" t="s">
        <v>5169</v>
      </c>
      <c r="C3318">
        <v>503127.0</v>
      </c>
      <c r="D3318" t="s">
        <v>339</v>
      </c>
      <c r="E3318" t="s">
        <v>328</v>
      </c>
    </row>
    <row r="3319" spans="8:8">
      <c r="B3319" t="s">
        <v>5170</v>
      </c>
      <c r="C3319">
        <v>532503.0</v>
      </c>
      <c r="D3319" t="s">
        <v>339</v>
      </c>
      <c r="E3319" t="s">
        <v>354</v>
      </c>
    </row>
    <row r="3320" spans="8:8">
      <c r="B3320" t="s">
        <v>5171</v>
      </c>
      <c r="C3320">
        <v>538707.0</v>
      </c>
      <c r="D3320" t="s">
        <v>339</v>
      </c>
      <c r="E3320" t="s">
        <v>534</v>
      </c>
    </row>
    <row r="3321" spans="8:8">
      <c r="B3321" t="s">
        <v>5172</v>
      </c>
      <c r="C3321">
        <v>526873.0</v>
      </c>
      <c r="D3321" t="s">
        <v>339</v>
      </c>
      <c r="E3321" t="s">
        <v>549</v>
      </c>
    </row>
    <row r="3322" spans="8:8">
      <c r="B3322" t="s">
        <v>5173</v>
      </c>
      <c r="C3322">
        <v>530253.0</v>
      </c>
      <c r="D3322" t="s">
        <v>339</v>
      </c>
      <c r="E3322" t="s">
        <v>662</v>
      </c>
    </row>
    <row r="3323" spans="8:8">
      <c r="B3323" t="s">
        <v>5174</v>
      </c>
      <c r="C3323">
        <v>507962.0</v>
      </c>
      <c r="D3323" t="s">
        <v>339</v>
      </c>
      <c r="E3323" t="s">
        <v>356</v>
      </c>
    </row>
    <row r="3324" spans="8:8">
      <c r="B3324" t="s">
        <v>5175</v>
      </c>
      <c r="C3324">
        <v>526662.0</v>
      </c>
      <c r="D3324" t="s">
        <v>5176</v>
      </c>
      <c r="E3324" t="s">
        <v>737</v>
      </c>
    </row>
    <row r="3325" spans="8:8">
      <c r="B3325" t="s">
        <v>5177</v>
      </c>
      <c r="C3325">
        <v>531500.0</v>
      </c>
      <c r="D3325" t="s">
        <v>5178</v>
      </c>
      <c r="E3325" t="s">
        <v>453</v>
      </c>
    </row>
    <row r="3326" spans="8:8">
      <c r="B3326" t="s">
        <v>5179</v>
      </c>
      <c r="C3326">
        <v>526823.0</v>
      </c>
      <c r="D3326" t="s">
        <v>339</v>
      </c>
      <c r="E3326" t="s">
        <v>425</v>
      </c>
    </row>
    <row r="3327" spans="8:8">
      <c r="B3327" t="s">
        <v>5180</v>
      </c>
      <c r="C3327">
        <v>514028.0</v>
      </c>
      <c r="D3327" t="s">
        <v>339</v>
      </c>
      <c r="E3327" t="s">
        <v>354</v>
      </c>
    </row>
    <row r="3328" spans="8:8">
      <c r="B3328" t="s">
        <v>5181</v>
      </c>
      <c r="C3328">
        <v>539495.0</v>
      </c>
      <c r="D3328" t="s">
        <v>339</v>
      </c>
      <c r="E3328" t="s">
        <v>356</v>
      </c>
    </row>
    <row r="3329" spans="8:8">
      <c r="B3329" t="s">
        <v>5182</v>
      </c>
      <c r="C3329">
        <v>513369.0</v>
      </c>
      <c r="D3329" t="s">
        <v>339</v>
      </c>
      <c r="E3329" t="s">
        <v>1258</v>
      </c>
    </row>
    <row r="3330" spans="8:8">
      <c r="B3330" t="s">
        <v>5183</v>
      </c>
      <c r="C3330" t="s">
        <v>339</v>
      </c>
      <c r="D3330" t="s">
        <v>5184</v>
      </c>
      <c r="E3330" t="s">
        <v>350</v>
      </c>
    </row>
    <row r="3331" spans="8:8">
      <c r="B3331" t="s">
        <v>5185</v>
      </c>
      <c r="C3331">
        <v>541601.0</v>
      </c>
      <c r="D3331" t="s">
        <v>339</v>
      </c>
      <c r="E3331" t="s">
        <v>377</v>
      </c>
    </row>
    <row r="3332" spans="8:8">
      <c r="B3332" t="s">
        <v>5186</v>
      </c>
      <c r="C3332">
        <v>522257.0</v>
      </c>
      <c r="D3332" t="s">
        <v>339</v>
      </c>
      <c r="E3332" t="s">
        <v>347</v>
      </c>
    </row>
    <row r="3333" spans="8:8">
      <c r="B3333" t="s">
        <v>5187</v>
      </c>
      <c r="C3333">
        <v>517522.0</v>
      </c>
      <c r="D3333" t="s">
        <v>339</v>
      </c>
      <c r="E3333" t="s">
        <v>694</v>
      </c>
    </row>
    <row r="3334" spans="8:8">
      <c r="B3334" t="s">
        <v>5188</v>
      </c>
      <c r="C3334">
        <v>512409.0</v>
      </c>
      <c r="D3334" t="s">
        <v>339</v>
      </c>
      <c r="E3334" t="s">
        <v>356</v>
      </c>
    </row>
    <row r="3335" spans="8:8">
      <c r="B3335" t="s">
        <v>5189</v>
      </c>
      <c r="C3335" t="s">
        <v>339</v>
      </c>
      <c r="D3335" t="s">
        <v>5190</v>
      </c>
      <c r="E3335" t="s">
        <v>350</v>
      </c>
    </row>
    <row r="3336" spans="8:8">
      <c r="B3336" t="s">
        <v>5191</v>
      </c>
      <c r="C3336">
        <v>500354.0</v>
      </c>
      <c r="D3336" t="s">
        <v>5192</v>
      </c>
      <c r="E3336" t="s">
        <v>1037</v>
      </c>
    </row>
    <row r="3337" spans="8:8">
      <c r="B3337" t="s">
        <v>5193</v>
      </c>
      <c r="C3337">
        <v>532665.0</v>
      </c>
      <c r="D3337" t="s">
        <v>5194</v>
      </c>
      <c r="E3337" t="s">
        <v>354</v>
      </c>
    </row>
    <row r="3338" spans="8:8">
      <c r="B3338" t="s">
        <v>5195</v>
      </c>
      <c r="C3338">
        <v>500355.0</v>
      </c>
      <c r="D3338" t="s">
        <v>5196</v>
      </c>
      <c r="E3338" t="s">
        <v>483</v>
      </c>
    </row>
    <row r="3339" spans="8:8">
      <c r="B3339" t="s">
        <v>5197</v>
      </c>
      <c r="C3339">
        <v>500355.0</v>
      </c>
      <c r="D3339" t="s">
        <v>5196</v>
      </c>
      <c r="E3339" t="s">
        <v>483</v>
      </c>
    </row>
    <row r="3340" spans="8:8">
      <c r="B3340" t="s">
        <v>5198</v>
      </c>
      <c r="C3340">
        <v>534734.0</v>
      </c>
      <c r="D3340" t="s">
        <v>339</v>
      </c>
      <c r="E3340" t="s">
        <v>499</v>
      </c>
    </row>
    <row r="3341" spans="8:8">
      <c r="B3341" t="s">
        <v>5199</v>
      </c>
      <c r="C3341">
        <v>522281.0</v>
      </c>
      <c r="D3341" t="s">
        <v>339</v>
      </c>
      <c r="E3341" t="s">
        <v>637</v>
      </c>
    </row>
    <row r="3342" spans="8:8">
      <c r="B3342" t="s">
        <v>5200</v>
      </c>
      <c r="C3342">
        <v>500357.0</v>
      </c>
      <c r="D3342" t="s">
        <v>339</v>
      </c>
      <c r="E3342" t="s">
        <v>333</v>
      </c>
    </row>
    <row r="3343" spans="8:8">
      <c r="B3343" t="s">
        <v>5201</v>
      </c>
      <c r="C3343">
        <v>500358.0</v>
      </c>
      <c r="D3343" t="s">
        <v>339</v>
      </c>
      <c r="E3343" t="s">
        <v>356</v>
      </c>
    </row>
    <row r="3344" spans="8:8">
      <c r="B3344" t="s">
        <v>5202</v>
      </c>
      <c r="C3344">
        <v>524037.0</v>
      </c>
      <c r="D3344" t="s">
        <v>339</v>
      </c>
      <c r="E3344" t="s">
        <v>847</v>
      </c>
    </row>
    <row r="3345" spans="8:8">
      <c r="B3345" t="s">
        <v>5203</v>
      </c>
      <c r="C3345">
        <v>502587.0</v>
      </c>
      <c r="D3345" t="s">
        <v>339</v>
      </c>
      <c r="E3345" t="s">
        <v>333</v>
      </c>
    </row>
    <row r="3346" spans="8:8">
      <c r="B3346" t="s">
        <v>5204</v>
      </c>
      <c r="C3346">
        <v>539309.0</v>
      </c>
      <c r="D3346" t="s">
        <v>5205</v>
      </c>
      <c r="E3346" t="s">
        <v>662</v>
      </c>
    </row>
    <row r="3347" spans="8:8">
      <c r="B3347" t="s">
        <v>5206</v>
      </c>
      <c r="C3347">
        <v>523289.0</v>
      </c>
      <c r="D3347" t="s">
        <v>339</v>
      </c>
      <c r="E3347" t="s">
        <v>361</v>
      </c>
    </row>
    <row r="3348" spans="8:8">
      <c r="B3348" t="s">
        <v>5207</v>
      </c>
      <c r="C3348">
        <v>515127.0</v>
      </c>
      <c r="D3348" t="s">
        <v>339</v>
      </c>
      <c r="E3348" t="s">
        <v>361</v>
      </c>
    </row>
    <row r="3349" spans="8:8">
      <c r="B3349" t="s">
        <v>5208</v>
      </c>
      <c r="C3349">
        <v>538540.0</v>
      </c>
      <c r="D3349" t="s">
        <v>339</v>
      </c>
      <c r="E3349" t="s">
        <v>356</v>
      </c>
    </row>
    <row r="3350" spans="8:8">
      <c r="B3350" t="s">
        <v>5209</v>
      </c>
      <c r="C3350">
        <v>532369.0</v>
      </c>
      <c r="D3350" t="s">
        <v>5210</v>
      </c>
      <c r="E3350" t="s">
        <v>867</v>
      </c>
    </row>
    <row r="3351" spans="8:8">
      <c r="B3351" t="s">
        <v>5211</v>
      </c>
      <c r="C3351">
        <v>532370.0</v>
      </c>
      <c r="D3351" t="s">
        <v>5212</v>
      </c>
      <c r="E3351" t="s">
        <v>325</v>
      </c>
    </row>
    <row r="3352" spans="8:8">
      <c r="B3352" t="s">
        <v>5213</v>
      </c>
      <c r="C3352">
        <v>514223.0</v>
      </c>
      <c r="D3352" t="s">
        <v>5214</v>
      </c>
      <c r="E3352" t="s">
        <v>361</v>
      </c>
    </row>
    <row r="3353" spans="8:8">
      <c r="B3353" t="s">
        <v>5215</v>
      </c>
      <c r="C3353">
        <v>530951.0</v>
      </c>
      <c r="D3353" t="s">
        <v>339</v>
      </c>
      <c r="E3353" t="s">
        <v>432</v>
      </c>
    </row>
    <row r="3354" spans="8:8">
      <c r="B3354" t="s">
        <v>5216</v>
      </c>
      <c r="C3354">
        <v>532527.0</v>
      </c>
      <c r="D3354" t="s">
        <v>5217</v>
      </c>
      <c r="E3354" t="s">
        <v>1258</v>
      </c>
    </row>
    <row r="3355" spans="8:8">
      <c r="B3355" t="s">
        <v>5218</v>
      </c>
      <c r="C3355">
        <v>533262.0</v>
      </c>
      <c r="D3355" t="s">
        <v>5219</v>
      </c>
      <c r="E3355" t="s">
        <v>737</v>
      </c>
    </row>
    <row r="3356" spans="8:8">
      <c r="B3356" t="s">
        <v>5220</v>
      </c>
      <c r="C3356">
        <v>532690.0</v>
      </c>
      <c r="D3356" t="s">
        <v>5221</v>
      </c>
      <c r="E3356" t="s">
        <v>371</v>
      </c>
    </row>
    <row r="3357" spans="8:8">
      <c r="B3357" t="s">
        <v>5222</v>
      </c>
      <c r="C3357">
        <v>530925.0</v>
      </c>
      <c r="D3357" t="s">
        <v>339</v>
      </c>
      <c r="E3357" t="s">
        <v>356</v>
      </c>
    </row>
    <row r="3358" spans="8:8">
      <c r="B3358" t="s">
        <v>5223</v>
      </c>
      <c r="C3358">
        <v>507490.0</v>
      </c>
      <c r="D3358" t="s">
        <v>5224</v>
      </c>
      <c r="E3358" t="s">
        <v>1037</v>
      </c>
    </row>
    <row r="3359" spans="8:8">
      <c r="B3359" t="s">
        <v>5225</v>
      </c>
      <c r="C3359">
        <v>531228.0</v>
      </c>
      <c r="D3359" t="s">
        <v>339</v>
      </c>
      <c r="E3359" t="s">
        <v>356</v>
      </c>
    </row>
    <row r="3360" spans="8:8">
      <c r="B3360" t="s">
        <v>5226</v>
      </c>
      <c r="C3360">
        <v>532987.0</v>
      </c>
      <c r="D3360" t="s">
        <v>5227</v>
      </c>
      <c r="E3360" t="s">
        <v>694</v>
      </c>
    </row>
    <row r="3361" spans="8:8">
      <c r="B3361" t="s">
        <v>5228</v>
      </c>
      <c r="C3361">
        <v>532988.0</v>
      </c>
      <c r="D3361" t="s">
        <v>5229</v>
      </c>
      <c r="E3361" t="s">
        <v>694</v>
      </c>
    </row>
    <row r="3362" spans="8:8">
      <c r="B3362" t="s">
        <v>5230</v>
      </c>
      <c r="C3362">
        <v>505800.0</v>
      </c>
      <c r="D3362" t="s">
        <v>5231</v>
      </c>
      <c r="E3362" t="s">
        <v>694</v>
      </c>
    </row>
    <row r="3363" spans="8:8">
      <c r="B3363" t="s">
        <v>5232</v>
      </c>
      <c r="C3363">
        <v>532661.0</v>
      </c>
      <c r="D3363" t="s">
        <v>5233</v>
      </c>
      <c r="E3363" t="s">
        <v>694</v>
      </c>
    </row>
    <row r="3364" spans="8:8">
      <c r="B3364" t="s">
        <v>5234</v>
      </c>
      <c r="C3364">
        <v>541945.0</v>
      </c>
      <c r="D3364" t="s">
        <v>339</v>
      </c>
      <c r="E3364" t="s">
        <v>737</v>
      </c>
    </row>
    <row r="3365" spans="8:8">
      <c r="B3365" t="s">
        <v>5235</v>
      </c>
      <c r="C3365">
        <v>531583.0</v>
      </c>
      <c r="D3365" t="s">
        <v>339</v>
      </c>
      <c r="E3365" t="s">
        <v>356</v>
      </c>
    </row>
    <row r="3366" spans="8:8">
      <c r="B3366" t="s">
        <v>5236</v>
      </c>
      <c r="C3366">
        <v>500360.0</v>
      </c>
      <c r="D3366" t="s">
        <v>339</v>
      </c>
      <c r="E3366" t="s">
        <v>347</v>
      </c>
    </row>
    <row r="3367" spans="8:8">
      <c r="B3367" t="s">
        <v>5237</v>
      </c>
      <c r="C3367">
        <v>501351.0</v>
      </c>
      <c r="D3367" t="s">
        <v>339</v>
      </c>
      <c r="E3367" t="s">
        <v>760</v>
      </c>
    </row>
    <row r="3368" spans="8:8">
      <c r="B3368" t="s">
        <v>5238</v>
      </c>
      <c r="C3368">
        <v>507966.0</v>
      </c>
      <c r="D3368" t="s">
        <v>339</v>
      </c>
      <c r="E3368" t="s">
        <v>540</v>
      </c>
    </row>
    <row r="3369" spans="8:8">
      <c r="B3369" t="s">
        <v>5239</v>
      </c>
      <c r="C3369">
        <v>522207.0</v>
      </c>
      <c r="D3369" t="s">
        <v>339</v>
      </c>
      <c r="E3369" t="s">
        <v>694</v>
      </c>
    </row>
    <row r="3370" spans="8:8">
      <c r="B3370" t="s">
        <v>5240</v>
      </c>
      <c r="C3370">
        <v>522207.0</v>
      </c>
      <c r="D3370" t="s">
        <v>339</v>
      </c>
      <c r="E3370" t="s">
        <v>694</v>
      </c>
    </row>
    <row r="3371" spans="8:8">
      <c r="B3371" t="s">
        <v>5241</v>
      </c>
      <c r="C3371">
        <v>524230.0</v>
      </c>
      <c r="D3371" t="s">
        <v>5242</v>
      </c>
      <c r="E3371" t="s">
        <v>847</v>
      </c>
    </row>
    <row r="3372" spans="8:8">
      <c r="B3372" t="s">
        <v>5243</v>
      </c>
      <c r="C3372">
        <v>531233.0</v>
      </c>
      <c r="D3372" t="s">
        <v>339</v>
      </c>
      <c r="E3372" t="s">
        <v>524</v>
      </c>
    </row>
    <row r="3373" spans="8:8">
      <c r="B3373" t="s">
        <v>5244</v>
      </c>
      <c r="C3373">
        <v>507649.0</v>
      </c>
      <c r="D3373" t="s">
        <v>339</v>
      </c>
      <c r="E3373" t="s">
        <v>588</v>
      </c>
    </row>
    <row r="3374" spans="8:8">
      <c r="B3374" t="s">
        <v>5245</v>
      </c>
      <c r="C3374">
        <v>532918.0</v>
      </c>
      <c r="D3374" t="s">
        <v>339</v>
      </c>
      <c r="E3374" t="s">
        <v>662</v>
      </c>
    </row>
    <row r="3375" spans="8:8">
      <c r="B3375" t="s">
        <v>5246</v>
      </c>
      <c r="C3375">
        <v>524610.0</v>
      </c>
      <c r="D3375" t="s">
        <v>339</v>
      </c>
      <c r="E3375" t="s">
        <v>499</v>
      </c>
    </row>
    <row r="3376" spans="8:8">
      <c r="B3376" t="s">
        <v>5247</v>
      </c>
      <c r="C3376">
        <v>540796.0</v>
      </c>
      <c r="D3376" t="s">
        <v>339</v>
      </c>
      <c r="E3376" t="s">
        <v>425</v>
      </c>
    </row>
    <row r="3377" spans="8:8">
      <c r="B3377" t="s">
        <v>5248</v>
      </c>
      <c r="C3377">
        <v>520111.0</v>
      </c>
      <c r="D3377" t="s">
        <v>5249</v>
      </c>
      <c r="E3377" t="s">
        <v>737</v>
      </c>
    </row>
    <row r="3378" spans="8:8">
      <c r="B3378" t="s">
        <v>5250</v>
      </c>
      <c r="C3378">
        <v>534597.0</v>
      </c>
      <c r="D3378" t="s">
        <v>5251</v>
      </c>
      <c r="E3378" t="s">
        <v>478</v>
      </c>
    </row>
    <row r="3379" spans="8:8">
      <c r="B3379" t="s">
        <v>5252</v>
      </c>
      <c r="C3379">
        <v>533122.0</v>
      </c>
      <c r="D3379" t="s">
        <v>5253</v>
      </c>
      <c r="E3379" t="s">
        <v>478</v>
      </c>
    </row>
    <row r="3380" spans="8:8">
      <c r="B3380" t="s">
        <v>5254</v>
      </c>
      <c r="C3380">
        <v>537840.0</v>
      </c>
      <c r="D3380" t="s">
        <v>339</v>
      </c>
      <c r="E3380" t="s">
        <v>737</v>
      </c>
    </row>
    <row r="3381" spans="8:8">
      <c r="B3381" t="s">
        <v>5255</v>
      </c>
      <c r="C3381">
        <v>507300.0</v>
      </c>
      <c r="D3381" t="s">
        <v>339</v>
      </c>
      <c r="E3381" t="s">
        <v>1037</v>
      </c>
    </row>
    <row r="3382" spans="8:8">
      <c r="B3382" t="s">
        <v>5256</v>
      </c>
      <c r="C3382">
        <v>533294.0</v>
      </c>
      <c r="D3382" t="s">
        <v>5257</v>
      </c>
      <c r="E3382" t="s">
        <v>970</v>
      </c>
    </row>
    <row r="3383" spans="8:8">
      <c r="B3383" t="s">
        <v>5258</v>
      </c>
      <c r="C3383">
        <v>526095.0</v>
      </c>
      <c r="D3383" t="s">
        <v>339</v>
      </c>
      <c r="E3383" t="s">
        <v>867</v>
      </c>
    </row>
    <row r="3384" spans="8:8">
      <c r="B3384" t="s">
        <v>5259</v>
      </c>
      <c r="C3384">
        <v>504341.0</v>
      </c>
      <c r="D3384" t="s">
        <v>339</v>
      </c>
      <c r="E3384" t="s">
        <v>322</v>
      </c>
    </row>
    <row r="3385" spans="8:8">
      <c r="B3385" t="s">
        <v>5260</v>
      </c>
      <c r="C3385">
        <v>541634.0</v>
      </c>
      <c r="D3385" t="s">
        <v>339</v>
      </c>
      <c r="E3385" t="s">
        <v>867</v>
      </c>
    </row>
    <row r="3386" spans="8:8">
      <c r="B3386" t="s">
        <v>5261</v>
      </c>
      <c r="C3386">
        <v>531207.0</v>
      </c>
      <c r="D3386" t="s">
        <v>339</v>
      </c>
      <c r="E3386" t="s">
        <v>377</v>
      </c>
    </row>
    <row r="3387" spans="8:8">
      <c r="B3387" t="s">
        <v>5262</v>
      </c>
      <c r="C3387">
        <v>500330.0</v>
      </c>
      <c r="D3387" t="s">
        <v>5263</v>
      </c>
      <c r="E3387" t="s">
        <v>354</v>
      </c>
    </row>
    <row r="3388" spans="8:8">
      <c r="B3388" t="s">
        <v>5264</v>
      </c>
      <c r="C3388">
        <v>540065.0</v>
      </c>
      <c r="D3388" t="s">
        <v>5265</v>
      </c>
      <c r="E3388" t="s">
        <v>657</v>
      </c>
    </row>
    <row r="3389" spans="8:8">
      <c r="B3389" t="s">
        <v>5266</v>
      </c>
      <c r="C3389">
        <v>531825.0</v>
      </c>
      <c r="D3389" t="s">
        <v>339</v>
      </c>
      <c r="E3389" t="s">
        <v>325</v>
      </c>
    </row>
    <row r="3390" spans="8:8">
      <c r="B3390" t="s">
        <v>5267</v>
      </c>
      <c r="C3390">
        <v>537254.0</v>
      </c>
      <c r="D3390" t="s">
        <v>339</v>
      </c>
      <c r="E3390" t="s">
        <v>361</v>
      </c>
    </row>
    <row r="3391" spans="8:8">
      <c r="B3391" t="s">
        <v>5268</v>
      </c>
      <c r="C3391">
        <v>534708.0</v>
      </c>
      <c r="D3391" t="s">
        <v>339</v>
      </c>
      <c r="E3391" t="s">
        <v>508</v>
      </c>
    </row>
    <row r="3392" spans="8:8">
      <c r="B3392" t="s">
        <v>5269</v>
      </c>
      <c r="C3392">
        <v>533608.0</v>
      </c>
      <c r="D3392" t="s">
        <v>339</v>
      </c>
      <c r="E3392" t="s">
        <v>459</v>
      </c>
    </row>
    <row r="3393" spans="8:8">
      <c r="B3393" t="s">
        <v>5270</v>
      </c>
      <c r="C3393">
        <v>533285.0</v>
      </c>
      <c r="D3393" t="s">
        <v>339</v>
      </c>
      <c r="E3393" t="s">
        <v>425</v>
      </c>
    </row>
    <row r="3394" spans="8:8">
      <c r="B3394" t="s">
        <v>5271</v>
      </c>
      <c r="C3394">
        <v>539691.0</v>
      </c>
      <c r="D3394" t="s">
        <v>339</v>
      </c>
      <c r="E3394" t="s">
        <v>361</v>
      </c>
    </row>
    <row r="3395" spans="8:8">
      <c r="B3395" t="s">
        <v>5272</v>
      </c>
      <c r="C3395">
        <v>530053.0</v>
      </c>
      <c r="D3395" t="s">
        <v>339</v>
      </c>
      <c r="E3395" t="s">
        <v>425</v>
      </c>
    </row>
    <row r="3396" spans="8:8">
      <c r="B3396" t="s">
        <v>5273</v>
      </c>
      <c r="C3396">
        <v>513558.0</v>
      </c>
      <c r="D3396" t="s">
        <v>339</v>
      </c>
      <c r="E3396" t="s">
        <v>371</v>
      </c>
    </row>
    <row r="3397" spans="8:8">
      <c r="B3397" t="s">
        <v>5274</v>
      </c>
      <c r="C3397">
        <v>538611.0</v>
      </c>
      <c r="D3397" t="s">
        <v>339</v>
      </c>
      <c r="E3397" t="s">
        <v>322</v>
      </c>
    </row>
    <row r="3398" spans="8:8">
      <c r="B3398" t="s">
        <v>5275</v>
      </c>
      <c r="C3398">
        <v>532955.0</v>
      </c>
      <c r="D3398" t="s">
        <v>5276</v>
      </c>
      <c r="E3398" t="s">
        <v>356</v>
      </c>
    </row>
    <row r="3399" spans="8:8">
      <c r="B3399" t="s">
        <v>5277</v>
      </c>
      <c r="C3399">
        <v>523650.0</v>
      </c>
      <c r="D3399" t="s">
        <v>339</v>
      </c>
      <c r="E3399" t="s">
        <v>347</v>
      </c>
    </row>
    <row r="3400" spans="8:8">
      <c r="B3400" t="s">
        <v>5278</v>
      </c>
      <c r="C3400">
        <v>532805.0</v>
      </c>
      <c r="D3400" t="s">
        <v>5279</v>
      </c>
      <c r="E3400" t="s">
        <v>361</v>
      </c>
    </row>
    <row r="3401" spans="8:8">
      <c r="B3401" t="s">
        <v>5280</v>
      </c>
      <c r="C3401">
        <v>532805.0</v>
      </c>
      <c r="D3401" t="s">
        <v>5279</v>
      </c>
      <c r="E3401" t="s">
        <v>361</v>
      </c>
    </row>
    <row r="3402" spans="8:8">
      <c r="B3402" t="s">
        <v>5281</v>
      </c>
      <c r="C3402">
        <v>532884.0</v>
      </c>
      <c r="D3402" t="s">
        <v>5282</v>
      </c>
      <c r="E3402" t="s">
        <v>1374</v>
      </c>
    </row>
    <row r="3403" spans="8:8">
      <c r="B3403" t="s">
        <v>5283</v>
      </c>
      <c r="C3403">
        <v>530815.0</v>
      </c>
      <c r="D3403" t="s">
        <v>339</v>
      </c>
      <c r="E3403" t="s">
        <v>387</v>
      </c>
    </row>
    <row r="3404" spans="8:8">
      <c r="B3404" t="s">
        <v>5284</v>
      </c>
      <c r="C3404">
        <v>531033.0</v>
      </c>
      <c r="D3404" t="s">
        <v>339</v>
      </c>
      <c r="E3404" t="s">
        <v>356</v>
      </c>
    </row>
    <row r="3405" spans="8:8">
      <c r="B3405" t="s">
        <v>5285</v>
      </c>
      <c r="C3405">
        <v>530807.0</v>
      </c>
      <c r="D3405" t="s">
        <v>339</v>
      </c>
      <c r="E3405" t="s">
        <v>425</v>
      </c>
    </row>
    <row r="3406" spans="8:8">
      <c r="B3406" t="s">
        <v>5286</v>
      </c>
      <c r="C3406">
        <v>515018.0</v>
      </c>
      <c r="D3406" t="s">
        <v>5287</v>
      </c>
      <c r="E3406" t="s">
        <v>616</v>
      </c>
    </row>
    <row r="3407" spans="8:8">
      <c r="B3407" t="s">
        <v>5288</v>
      </c>
      <c r="C3407">
        <v>540175.0</v>
      </c>
      <c r="D3407" t="s">
        <v>339</v>
      </c>
      <c r="E3407" t="s">
        <v>322</v>
      </c>
    </row>
    <row r="3408" spans="8:8">
      <c r="B3408" t="s">
        <v>5289</v>
      </c>
      <c r="C3408">
        <v>511585.0</v>
      </c>
      <c r="D3408" t="s">
        <v>339</v>
      </c>
      <c r="E3408" t="s">
        <v>356</v>
      </c>
    </row>
    <row r="3409" spans="8:8">
      <c r="B3409" t="s">
        <v>5290</v>
      </c>
      <c r="C3409">
        <v>512624.0</v>
      </c>
      <c r="D3409" t="s">
        <v>339</v>
      </c>
      <c r="E3409" t="s">
        <v>361</v>
      </c>
    </row>
    <row r="3410" spans="8:8">
      <c r="B3410" t="s">
        <v>5291</v>
      </c>
      <c r="C3410">
        <v>505817.0</v>
      </c>
      <c r="D3410" t="s">
        <v>339</v>
      </c>
      <c r="E3410" t="s">
        <v>694</v>
      </c>
    </row>
    <row r="3411" spans="8:8">
      <c r="B3411" t="s">
        <v>5292</v>
      </c>
      <c r="C3411">
        <v>505817.0</v>
      </c>
      <c r="D3411" t="s">
        <v>339</v>
      </c>
      <c r="E3411" t="s">
        <v>694</v>
      </c>
    </row>
    <row r="3412" spans="8:8">
      <c r="B3412" t="s">
        <v>5293</v>
      </c>
      <c r="C3412">
        <v>526075.0</v>
      </c>
      <c r="D3412" t="s">
        <v>339</v>
      </c>
      <c r="E3412" t="s">
        <v>377</v>
      </c>
    </row>
    <row r="3413" spans="8:8">
      <c r="B3413" t="s">
        <v>5294</v>
      </c>
      <c r="C3413">
        <v>530517.0</v>
      </c>
      <c r="D3413" t="s">
        <v>5295</v>
      </c>
      <c r="E3413" t="s">
        <v>765</v>
      </c>
    </row>
    <row r="3414" spans="8:8">
      <c r="B3414" t="s">
        <v>5296</v>
      </c>
      <c r="C3414" t="s">
        <v>339</v>
      </c>
      <c r="D3414" t="s">
        <v>5297</v>
      </c>
      <c r="E3414" t="s">
        <v>350</v>
      </c>
    </row>
    <row r="3415" spans="8:8">
      <c r="B3415" t="s">
        <v>5298</v>
      </c>
      <c r="C3415">
        <v>532124.0</v>
      </c>
      <c r="D3415" t="s">
        <v>339</v>
      </c>
      <c r="E3415" t="s">
        <v>540</v>
      </c>
    </row>
    <row r="3416" spans="8:8">
      <c r="B3416" t="s">
        <v>5299</v>
      </c>
      <c r="C3416">
        <v>532124.0</v>
      </c>
      <c r="D3416" t="s">
        <v>339</v>
      </c>
      <c r="E3416" t="s">
        <v>540</v>
      </c>
    </row>
    <row r="3417" spans="8:8">
      <c r="B3417" t="s">
        <v>5300</v>
      </c>
      <c r="C3417">
        <v>500111.0</v>
      </c>
      <c r="D3417" t="s">
        <v>5301</v>
      </c>
      <c r="E3417" t="s">
        <v>356</v>
      </c>
    </row>
    <row r="3418" spans="8:8">
      <c r="B3418" t="s">
        <v>5302</v>
      </c>
      <c r="C3418">
        <v>503162.0</v>
      </c>
      <c r="D3418" t="s">
        <v>339</v>
      </c>
      <c r="E3418" t="s">
        <v>354</v>
      </c>
    </row>
    <row r="3419" spans="8:8">
      <c r="B3419" t="s">
        <v>5303</v>
      </c>
      <c r="C3419">
        <v>532712.0</v>
      </c>
      <c r="D3419" t="s">
        <v>5304</v>
      </c>
      <c r="E3419" t="s">
        <v>1282</v>
      </c>
    </row>
    <row r="3420" spans="8:8">
      <c r="B3420" t="s">
        <v>5305</v>
      </c>
      <c r="C3420">
        <v>590106.0</v>
      </c>
      <c r="D3420" t="s">
        <v>5306</v>
      </c>
      <c r="E3420" t="s">
        <v>322</v>
      </c>
    </row>
    <row r="3421" spans="8:8">
      <c r="B3421" t="s">
        <v>5307</v>
      </c>
      <c r="C3421">
        <v>590095.0</v>
      </c>
      <c r="D3421" t="s">
        <v>5308</v>
      </c>
      <c r="E3421" t="s">
        <v>322</v>
      </c>
    </row>
    <row r="3422" spans="8:8">
      <c r="B3422" t="s">
        <v>5309</v>
      </c>
      <c r="C3422">
        <v>590113.0</v>
      </c>
      <c r="D3422" t="s">
        <v>5310</v>
      </c>
      <c r="E3422" t="s">
        <v>322</v>
      </c>
    </row>
    <row r="3423" spans="8:8">
      <c r="B3423" t="s">
        <v>5311</v>
      </c>
      <c r="C3423">
        <v>590104.0</v>
      </c>
      <c r="D3423" t="s">
        <v>5312</v>
      </c>
      <c r="E3423" t="s">
        <v>322</v>
      </c>
    </row>
    <row r="3424" spans="8:8">
      <c r="B3424" t="s">
        <v>5313</v>
      </c>
      <c r="C3424">
        <v>590103.0</v>
      </c>
      <c r="D3424" t="s">
        <v>5314</v>
      </c>
      <c r="E3424" t="s">
        <v>322</v>
      </c>
    </row>
    <row r="3425" spans="8:8">
      <c r="B3425" t="s">
        <v>5315</v>
      </c>
      <c r="C3425">
        <v>590108.0</v>
      </c>
      <c r="D3425" t="s">
        <v>5316</v>
      </c>
      <c r="E3425" t="s">
        <v>322</v>
      </c>
    </row>
    <row r="3426" spans="8:8">
      <c r="B3426" t="s">
        <v>5317</v>
      </c>
      <c r="C3426">
        <v>590109.0</v>
      </c>
      <c r="D3426" t="s">
        <v>5318</v>
      </c>
      <c r="E3426" t="s">
        <v>322</v>
      </c>
    </row>
    <row r="3427" spans="8:8">
      <c r="B3427" t="s">
        <v>5319</v>
      </c>
      <c r="C3427">
        <v>540709.0</v>
      </c>
      <c r="D3427" t="s">
        <v>5320</v>
      </c>
      <c r="E3427" t="s">
        <v>397</v>
      </c>
    </row>
    <row r="3428" spans="8:8">
      <c r="B3428" t="s">
        <v>5321</v>
      </c>
      <c r="C3428">
        <v>523445.0</v>
      </c>
      <c r="D3428" t="s">
        <v>5322</v>
      </c>
      <c r="E3428" t="s">
        <v>737</v>
      </c>
    </row>
    <row r="3429" spans="8:8">
      <c r="B3429" t="s">
        <v>5323</v>
      </c>
      <c r="C3429">
        <v>500325.0</v>
      </c>
      <c r="D3429" t="s">
        <v>5324</v>
      </c>
      <c r="E3429" t="s">
        <v>470</v>
      </c>
    </row>
    <row r="3430" spans="8:8">
      <c r="B3430" t="s">
        <v>5325</v>
      </c>
      <c r="C3430">
        <v>500390.0</v>
      </c>
      <c r="D3430" t="s">
        <v>5326</v>
      </c>
      <c r="E3430" t="s">
        <v>478</v>
      </c>
    </row>
    <row r="3431" spans="8:8">
      <c r="B3431" t="s">
        <v>5327</v>
      </c>
      <c r="C3431">
        <v>533107.0</v>
      </c>
      <c r="D3431" t="s">
        <v>5328</v>
      </c>
      <c r="E3431" t="s">
        <v>812</v>
      </c>
    </row>
    <row r="3432" spans="8:8">
      <c r="B3432" t="s">
        <v>5329</v>
      </c>
      <c r="C3432">
        <v>540767.0</v>
      </c>
      <c r="D3432" t="s">
        <v>5330</v>
      </c>
      <c r="E3432" t="s">
        <v>2744</v>
      </c>
    </row>
    <row r="3433" spans="8:8">
      <c r="B3433" t="s">
        <v>5331</v>
      </c>
      <c r="C3433">
        <v>532939.0</v>
      </c>
      <c r="D3433" t="s">
        <v>5332</v>
      </c>
      <c r="E3433" t="s">
        <v>478</v>
      </c>
    </row>
    <row r="3434" spans="8:8">
      <c r="B3434" t="s">
        <v>5333</v>
      </c>
      <c r="C3434">
        <v>511712.0</v>
      </c>
      <c r="D3434" t="s">
        <v>339</v>
      </c>
      <c r="E3434" t="s">
        <v>322</v>
      </c>
    </row>
    <row r="3435" spans="8:8">
      <c r="B3435" t="s">
        <v>5334</v>
      </c>
      <c r="C3435">
        <v>539760.0</v>
      </c>
      <c r="D3435" t="s">
        <v>339</v>
      </c>
      <c r="E3435" t="s">
        <v>637</v>
      </c>
    </row>
    <row r="3436" spans="8:8">
      <c r="B3436" t="s">
        <v>5335</v>
      </c>
      <c r="C3436">
        <v>532915.0</v>
      </c>
      <c r="D3436" t="s">
        <v>5336</v>
      </c>
      <c r="E3436" t="s">
        <v>322</v>
      </c>
    </row>
    <row r="3437" spans="8:8">
      <c r="B3437" t="s">
        <v>5337</v>
      </c>
      <c r="C3437">
        <v>540426.0</v>
      </c>
      <c r="D3437" t="s">
        <v>339</v>
      </c>
      <c r="E3437" t="s">
        <v>425</v>
      </c>
    </row>
    <row r="3438" spans="8:8">
      <c r="B3438" t="s">
        <v>5338</v>
      </c>
      <c r="C3438">
        <v>513043.0</v>
      </c>
      <c r="D3438" t="s">
        <v>339</v>
      </c>
      <c r="E3438" t="s">
        <v>662</v>
      </c>
    </row>
    <row r="3439" spans="8:8">
      <c r="B3439" t="s">
        <v>5339</v>
      </c>
      <c r="C3439">
        <v>512487.0</v>
      </c>
      <c r="D3439" t="s">
        <v>339</v>
      </c>
      <c r="E3439" t="s">
        <v>361</v>
      </c>
    </row>
    <row r="3440" spans="8:8">
      <c r="B3440" t="s">
        <v>5340</v>
      </c>
      <c r="C3440">
        <v>505658.0</v>
      </c>
      <c r="D3440" t="s">
        <v>339</v>
      </c>
      <c r="E3440" t="s">
        <v>347</v>
      </c>
    </row>
    <row r="3441" spans="8:8">
      <c r="B3441" t="s">
        <v>5341</v>
      </c>
      <c r="C3441">
        <v>504360.0</v>
      </c>
      <c r="D3441" t="s">
        <v>339</v>
      </c>
      <c r="E3441" t="s">
        <v>361</v>
      </c>
    </row>
    <row r="3442" spans="8:8">
      <c r="B3442" t="s">
        <v>5342</v>
      </c>
      <c r="C3442">
        <v>511149.0</v>
      </c>
      <c r="D3442" t="s">
        <v>339</v>
      </c>
      <c r="E3442" t="s">
        <v>760</v>
      </c>
    </row>
    <row r="3443" spans="8:8">
      <c r="B3443" t="s">
        <v>5343</v>
      </c>
      <c r="C3443">
        <v>530919.0</v>
      </c>
      <c r="D3443" t="s">
        <v>5344</v>
      </c>
      <c r="E3443" t="s">
        <v>3678</v>
      </c>
    </row>
    <row r="3444" spans="8:8">
      <c r="B3444" t="s">
        <v>5345</v>
      </c>
      <c r="C3444" t="s">
        <v>339</v>
      </c>
      <c r="D3444" t="s">
        <v>5346</v>
      </c>
      <c r="E3444" t="s">
        <v>3678</v>
      </c>
    </row>
    <row r="3445" spans="8:8">
      <c r="B3445" t="s">
        <v>5347</v>
      </c>
      <c r="C3445">
        <v>532923.0</v>
      </c>
      <c r="D3445" t="s">
        <v>5348</v>
      </c>
      <c r="E3445" t="s">
        <v>453</v>
      </c>
    </row>
    <row r="3446" spans="8:8">
      <c r="B3446" t="s">
        <v>5349</v>
      </c>
      <c r="C3446">
        <v>535322.0</v>
      </c>
      <c r="D3446" t="s">
        <v>5350</v>
      </c>
      <c r="E3446" t="s">
        <v>397</v>
      </c>
    </row>
    <row r="3447" spans="8:8">
      <c r="B3447" t="s">
        <v>5351</v>
      </c>
      <c r="C3447">
        <v>532687.0</v>
      </c>
      <c r="D3447" t="s">
        <v>5352</v>
      </c>
      <c r="E3447" t="s">
        <v>2331</v>
      </c>
    </row>
    <row r="3448" spans="8:8">
      <c r="B3448" t="s">
        <v>5353</v>
      </c>
      <c r="C3448">
        <v>532687.0</v>
      </c>
      <c r="D3448" t="s">
        <v>5352</v>
      </c>
      <c r="E3448" t="s">
        <v>2331</v>
      </c>
    </row>
    <row r="3449" spans="8:8">
      <c r="B3449" t="s">
        <v>5354</v>
      </c>
      <c r="C3449">
        <v>524218.0</v>
      </c>
      <c r="D3449" t="s">
        <v>339</v>
      </c>
      <c r="E3449" t="s">
        <v>377</v>
      </c>
    </row>
    <row r="3450" spans="8:8">
      <c r="B3450" t="s">
        <v>5355</v>
      </c>
      <c r="C3450">
        <v>505509.0</v>
      </c>
      <c r="D3450" t="s">
        <v>5356</v>
      </c>
      <c r="E3450" t="s">
        <v>459</v>
      </c>
    </row>
    <row r="3451" spans="8:8">
      <c r="B3451" t="s">
        <v>5357</v>
      </c>
      <c r="C3451">
        <v>515085.0</v>
      </c>
      <c r="D3451" t="s">
        <v>339</v>
      </c>
      <c r="E3451" t="s">
        <v>616</v>
      </c>
    </row>
    <row r="3452" spans="8:8">
      <c r="B3452" t="s">
        <v>5358</v>
      </c>
      <c r="C3452">
        <v>519191.0</v>
      </c>
      <c r="D3452" t="s">
        <v>5359</v>
      </c>
      <c r="E3452" t="s">
        <v>5360</v>
      </c>
    </row>
    <row r="3453" spans="8:8">
      <c r="B3453" t="s">
        <v>5361</v>
      </c>
      <c r="C3453">
        <v>505368.0</v>
      </c>
      <c r="D3453" t="s">
        <v>5362</v>
      </c>
      <c r="E3453" t="s">
        <v>347</v>
      </c>
    </row>
    <row r="3454" spans="8:8">
      <c r="B3454" t="s">
        <v>5363</v>
      </c>
      <c r="C3454">
        <v>531888.0</v>
      </c>
      <c r="D3454" t="s">
        <v>339</v>
      </c>
      <c r="E3454" t="s">
        <v>347</v>
      </c>
    </row>
    <row r="3455" spans="8:8">
      <c r="B3455" t="s">
        <v>5364</v>
      </c>
      <c r="C3455">
        <v>539669.0</v>
      </c>
      <c r="D3455" t="s">
        <v>339</v>
      </c>
      <c r="E3455" t="s">
        <v>356</v>
      </c>
    </row>
    <row r="3456" spans="8:8">
      <c r="B3456" t="s">
        <v>5365</v>
      </c>
      <c r="C3456">
        <v>531952.0</v>
      </c>
      <c r="D3456" t="s">
        <v>339</v>
      </c>
      <c r="E3456" t="s">
        <v>354</v>
      </c>
    </row>
    <row r="3457" spans="8:8">
      <c r="B3457" t="s">
        <v>5366</v>
      </c>
      <c r="C3457">
        <v>530271.0</v>
      </c>
      <c r="D3457" t="s">
        <v>339</v>
      </c>
      <c r="E3457" t="s">
        <v>356</v>
      </c>
    </row>
    <row r="3458" spans="8:8">
      <c r="B3458" t="s">
        <v>5367</v>
      </c>
      <c r="C3458">
        <v>532766.0</v>
      </c>
      <c r="D3458" t="s">
        <v>339</v>
      </c>
      <c r="E3458" t="s">
        <v>737</v>
      </c>
    </row>
    <row r="3459" spans="8:8">
      <c r="B3459" t="s">
        <v>5368</v>
      </c>
      <c r="C3459">
        <v>539435.0</v>
      </c>
      <c r="D3459" t="s">
        <v>339</v>
      </c>
      <c r="E3459" t="s">
        <v>322</v>
      </c>
    </row>
    <row r="3460" spans="8:8">
      <c r="B3460" t="s">
        <v>5369</v>
      </c>
      <c r="C3460">
        <v>519230.0</v>
      </c>
      <c r="D3460" t="s">
        <v>339</v>
      </c>
      <c r="E3460" t="s">
        <v>361</v>
      </c>
    </row>
    <row r="3461" spans="8:8">
      <c r="B3461" t="s">
        <v>5370</v>
      </c>
      <c r="C3461">
        <v>520008.0</v>
      </c>
      <c r="D3461" t="s">
        <v>5371</v>
      </c>
      <c r="E3461" t="s">
        <v>694</v>
      </c>
    </row>
    <row r="3462" spans="8:8">
      <c r="B3462" t="s">
        <v>5372</v>
      </c>
      <c r="C3462">
        <v>540590.0</v>
      </c>
      <c r="D3462" t="s">
        <v>339</v>
      </c>
      <c r="E3462" t="s">
        <v>669</v>
      </c>
    </row>
    <row r="3463" spans="8:8">
      <c r="B3463" t="s">
        <v>5373</v>
      </c>
      <c r="C3463">
        <v>524480.0</v>
      </c>
      <c r="D3463" t="s">
        <v>339</v>
      </c>
      <c r="E3463" t="s">
        <v>387</v>
      </c>
    </row>
    <row r="3464" spans="8:8">
      <c r="B3464" t="s">
        <v>5374</v>
      </c>
      <c r="C3464">
        <v>540082.0</v>
      </c>
      <c r="D3464" t="s">
        <v>339</v>
      </c>
      <c r="E3464" t="s">
        <v>662</v>
      </c>
    </row>
    <row r="3465" spans="8:8">
      <c r="B3465" t="s">
        <v>5375</v>
      </c>
      <c r="C3465">
        <v>504365.0</v>
      </c>
      <c r="D3465" t="s">
        <v>339</v>
      </c>
      <c r="E3465" t="s">
        <v>322</v>
      </c>
    </row>
    <row r="3466" spans="8:8">
      <c r="B3466" t="s">
        <v>5376</v>
      </c>
      <c r="C3466">
        <v>541151.0</v>
      </c>
      <c r="D3466" t="s">
        <v>339</v>
      </c>
      <c r="E3466" t="s">
        <v>423</v>
      </c>
    </row>
    <row r="3467" spans="8:8">
      <c r="B3467" t="s">
        <v>5377</v>
      </c>
      <c r="C3467">
        <v>541151.0</v>
      </c>
      <c r="D3467" t="s">
        <v>339</v>
      </c>
      <c r="E3467" t="s">
        <v>423</v>
      </c>
    </row>
    <row r="3468" spans="8:8">
      <c r="B3468" t="s">
        <v>5378</v>
      </c>
      <c r="C3468">
        <v>507508.0</v>
      </c>
      <c r="D3468" t="s">
        <v>339</v>
      </c>
      <c r="E3468" t="s">
        <v>1037</v>
      </c>
    </row>
    <row r="3469" spans="8:8">
      <c r="B3469" t="s">
        <v>5379</v>
      </c>
      <c r="C3469">
        <v>530251.0</v>
      </c>
      <c r="D3469" t="s">
        <v>339</v>
      </c>
      <c r="E3469" t="s">
        <v>361</v>
      </c>
    </row>
    <row r="3470" spans="8:8">
      <c r="B3470" t="s">
        <v>5380</v>
      </c>
      <c r="C3470">
        <v>514177.0</v>
      </c>
      <c r="D3470" t="s">
        <v>339</v>
      </c>
      <c r="E3470" t="s">
        <v>354</v>
      </c>
    </row>
    <row r="3471" spans="8:8">
      <c r="B3471" t="s">
        <v>5381</v>
      </c>
      <c r="C3471">
        <v>531539.0</v>
      </c>
      <c r="D3471" t="s">
        <v>339</v>
      </c>
      <c r="E3471" t="s">
        <v>371</v>
      </c>
    </row>
    <row r="3472" spans="8:8">
      <c r="B3472" t="s">
        <v>5382</v>
      </c>
      <c r="C3472">
        <v>526861.0</v>
      </c>
      <c r="D3472" t="s">
        <v>339</v>
      </c>
      <c r="E3472" t="s">
        <v>347</v>
      </c>
    </row>
    <row r="3473" spans="8:8">
      <c r="B3473" t="s">
        <v>5383</v>
      </c>
      <c r="C3473">
        <v>523021.0</v>
      </c>
      <c r="D3473" t="s">
        <v>339</v>
      </c>
      <c r="E3473" t="s">
        <v>534</v>
      </c>
    </row>
    <row r="3474" spans="8:8">
      <c r="B3474" t="s">
        <v>5384</v>
      </c>
      <c r="C3474">
        <v>526492.0</v>
      </c>
      <c r="D3474" t="s">
        <v>339</v>
      </c>
      <c r="E3474" t="s">
        <v>1258</v>
      </c>
    </row>
    <row r="3475" spans="8:8">
      <c r="B3475" t="s">
        <v>5385</v>
      </c>
      <c r="C3475">
        <v>542383.0</v>
      </c>
      <c r="D3475" t="s">
        <v>5386</v>
      </c>
      <c r="E3475" t="s">
        <v>660</v>
      </c>
    </row>
    <row r="3476" spans="8:8">
      <c r="B3476" t="s">
        <v>5387</v>
      </c>
      <c r="C3476">
        <v>541556.0</v>
      </c>
      <c r="D3476" t="s">
        <v>5388</v>
      </c>
      <c r="E3476" t="s">
        <v>737</v>
      </c>
    </row>
    <row r="3477" spans="8:8">
      <c r="B3477" t="s">
        <v>5389</v>
      </c>
      <c r="C3477">
        <v>519097.0</v>
      </c>
      <c r="D3477" t="s">
        <v>339</v>
      </c>
      <c r="E3477" t="s">
        <v>387</v>
      </c>
    </row>
    <row r="3478" spans="8:8">
      <c r="B3478" t="s">
        <v>5390</v>
      </c>
      <c r="C3478">
        <v>526407.0</v>
      </c>
      <c r="D3478" t="s">
        <v>339</v>
      </c>
      <c r="E3478" t="s">
        <v>453</v>
      </c>
    </row>
    <row r="3479" spans="8:8">
      <c r="B3479" t="s">
        <v>5391</v>
      </c>
      <c r="C3479">
        <v>540843.0</v>
      </c>
      <c r="D3479" t="s">
        <v>339</v>
      </c>
      <c r="E3479" t="s">
        <v>3119</v>
      </c>
    </row>
    <row r="3480" spans="8:8">
      <c r="B3480" t="s">
        <v>5392</v>
      </c>
      <c r="C3480" t="s">
        <v>339</v>
      </c>
      <c r="D3480" t="s">
        <v>5393</v>
      </c>
      <c r="E3480" t="s">
        <v>350</v>
      </c>
    </row>
    <row r="3481" spans="8:8">
      <c r="B3481" t="s">
        <v>5394</v>
      </c>
      <c r="C3481">
        <v>512618.0</v>
      </c>
      <c r="D3481" t="s">
        <v>339</v>
      </c>
      <c r="E3481" t="s">
        <v>354</v>
      </c>
    </row>
    <row r="3482" spans="8:8">
      <c r="B3482" t="s">
        <v>5395</v>
      </c>
      <c r="C3482">
        <v>540358.0</v>
      </c>
      <c r="D3482" t="s">
        <v>339</v>
      </c>
      <c r="E3482" t="s">
        <v>637</v>
      </c>
    </row>
    <row r="3483" spans="8:8">
      <c r="B3483" t="s">
        <v>5396</v>
      </c>
      <c r="C3483">
        <v>500365.0</v>
      </c>
      <c r="D3483" t="s">
        <v>339</v>
      </c>
      <c r="E3483" t="s">
        <v>371</v>
      </c>
    </row>
    <row r="3484" spans="8:8">
      <c r="B3484" t="s">
        <v>5397</v>
      </c>
      <c r="C3484">
        <v>531447.0</v>
      </c>
      <c r="D3484" t="s">
        <v>339</v>
      </c>
      <c r="E3484" t="s">
        <v>361</v>
      </c>
    </row>
    <row r="3485" spans="8:8">
      <c r="B3485" t="s">
        <v>5398</v>
      </c>
      <c r="C3485">
        <v>531822.0</v>
      </c>
      <c r="D3485" t="s">
        <v>339</v>
      </c>
      <c r="E3485" t="s">
        <v>425</v>
      </c>
    </row>
    <row r="3486" spans="8:8">
      <c r="B3486" t="s">
        <v>5399</v>
      </c>
      <c r="C3486">
        <v>532731.0</v>
      </c>
      <c r="D3486" t="s">
        <v>5400</v>
      </c>
      <c r="E3486" t="s">
        <v>371</v>
      </c>
    </row>
    <row r="3487" spans="8:8">
      <c r="B3487" t="s">
        <v>5401</v>
      </c>
      <c r="C3487">
        <v>505807.0</v>
      </c>
      <c r="D3487" t="s">
        <v>339</v>
      </c>
      <c r="E3487" t="s">
        <v>1258</v>
      </c>
    </row>
    <row r="3488" spans="8:8">
      <c r="B3488" t="s">
        <v>5402</v>
      </c>
      <c r="C3488">
        <v>502448.0</v>
      </c>
      <c r="D3488" t="s">
        <v>5403</v>
      </c>
      <c r="E3488" t="s">
        <v>534</v>
      </c>
    </row>
    <row r="3489" spans="8:8">
      <c r="B3489" t="s">
        <v>5404</v>
      </c>
      <c r="C3489">
        <v>500366.0</v>
      </c>
      <c r="D3489" t="s">
        <v>5405</v>
      </c>
      <c r="E3489" t="s">
        <v>345</v>
      </c>
    </row>
    <row r="3490" spans="8:8">
      <c r="B3490" t="s">
        <v>5406</v>
      </c>
      <c r="C3490">
        <v>500366.0</v>
      </c>
      <c r="D3490" t="s">
        <v>5405</v>
      </c>
      <c r="E3490" t="s">
        <v>345</v>
      </c>
    </row>
    <row r="3491" spans="8:8">
      <c r="B3491" t="s">
        <v>5407</v>
      </c>
      <c r="C3491">
        <v>542145.0</v>
      </c>
      <c r="D3491" t="s">
        <v>339</v>
      </c>
      <c r="E3491" t="s">
        <v>361</v>
      </c>
    </row>
    <row r="3492" spans="8:8">
      <c r="B3492" t="s">
        <v>5408</v>
      </c>
      <c r="C3492">
        <v>530991.0</v>
      </c>
      <c r="D3492" t="s">
        <v>339</v>
      </c>
      <c r="E3492" t="s">
        <v>377</v>
      </c>
    </row>
    <row r="3493" spans="8:8">
      <c r="B3493" t="s">
        <v>5409</v>
      </c>
      <c r="C3493">
        <v>542599.0</v>
      </c>
      <c r="D3493" t="s">
        <v>5410</v>
      </c>
      <c r="E3493" t="s">
        <v>540</v>
      </c>
    </row>
    <row r="3494" spans="8:8">
      <c r="B3494" t="s">
        <v>5411</v>
      </c>
      <c r="C3494">
        <v>531324.0</v>
      </c>
      <c r="D3494" t="s">
        <v>339</v>
      </c>
      <c r="E3494" t="s">
        <v>322</v>
      </c>
    </row>
    <row r="3495" spans="8:8">
      <c r="B3495" t="s">
        <v>5412</v>
      </c>
      <c r="C3495">
        <v>533168.0</v>
      </c>
      <c r="D3495" t="s">
        <v>5413</v>
      </c>
      <c r="E3495" t="s">
        <v>746</v>
      </c>
    </row>
    <row r="3496" spans="8:8">
      <c r="B3496" t="s">
        <v>5414</v>
      </c>
      <c r="C3496">
        <v>533168.0</v>
      </c>
      <c r="D3496" t="s">
        <v>5413</v>
      </c>
      <c r="E3496" t="s">
        <v>746</v>
      </c>
    </row>
    <row r="3497" spans="8:8">
      <c r="B3497" t="s">
        <v>5415</v>
      </c>
      <c r="C3497">
        <v>517500.0</v>
      </c>
      <c r="D3497" t="s">
        <v>339</v>
      </c>
      <c r="E3497" t="s">
        <v>347</v>
      </c>
    </row>
    <row r="3498" spans="8:8">
      <c r="B3498" t="s">
        <v>5416</v>
      </c>
      <c r="C3498">
        <v>539922.0</v>
      </c>
      <c r="D3498" t="s">
        <v>339</v>
      </c>
      <c r="E3498" t="s">
        <v>361</v>
      </c>
    </row>
    <row r="3499" spans="8:8">
      <c r="B3499" t="s">
        <v>5417</v>
      </c>
      <c r="C3499">
        <v>539922.0</v>
      </c>
      <c r="D3499" t="s">
        <v>339</v>
      </c>
      <c r="E3499" t="s">
        <v>361</v>
      </c>
    </row>
    <row r="3500" spans="8:8">
      <c r="B3500" t="s">
        <v>5418</v>
      </c>
      <c r="C3500">
        <v>526193.0</v>
      </c>
      <c r="D3500" t="s">
        <v>339</v>
      </c>
      <c r="E3500" t="s">
        <v>616</v>
      </c>
    </row>
    <row r="3501" spans="8:8">
      <c r="B3501" t="s">
        <v>5419</v>
      </c>
      <c r="C3501">
        <v>512047.0</v>
      </c>
      <c r="D3501" t="s">
        <v>339</v>
      </c>
      <c r="E3501" t="s">
        <v>453</v>
      </c>
    </row>
    <row r="3502" spans="8:8">
      <c r="B3502" t="s">
        <v>5420</v>
      </c>
      <c r="C3502">
        <v>532699.0</v>
      </c>
      <c r="D3502" t="s">
        <v>5421</v>
      </c>
      <c r="E3502" t="s">
        <v>540</v>
      </c>
    </row>
    <row r="3503" spans="8:8">
      <c r="B3503" t="s">
        <v>5422</v>
      </c>
      <c r="C3503">
        <v>526640.0</v>
      </c>
      <c r="D3503" t="s">
        <v>339</v>
      </c>
      <c r="E3503" t="s">
        <v>540</v>
      </c>
    </row>
    <row r="3504" spans="8:8">
      <c r="B3504" t="s">
        <v>5423</v>
      </c>
      <c r="C3504">
        <v>532983.0</v>
      </c>
      <c r="D3504" t="s">
        <v>5424</v>
      </c>
      <c r="E3504" t="s">
        <v>377</v>
      </c>
    </row>
    <row r="3505" spans="8:8">
      <c r="B3505" t="s">
        <v>5425</v>
      </c>
      <c r="C3505">
        <v>511626.0</v>
      </c>
      <c r="D3505" t="s">
        <v>339</v>
      </c>
      <c r="E3505" t="s">
        <v>356</v>
      </c>
    </row>
    <row r="3506" spans="8:8">
      <c r="B3506" t="s">
        <v>5426</v>
      </c>
      <c r="C3506">
        <v>530179.0</v>
      </c>
      <c r="D3506" t="s">
        <v>339</v>
      </c>
      <c r="E3506" t="s">
        <v>354</v>
      </c>
    </row>
    <row r="3507" spans="8:8">
      <c r="B3507" t="s">
        <v>5427</v>
      </c>
      <c r="C3507">
        <v>539875.0</v>
      </c>
      <c r="D3507" t="s">
        <v>339</v>
      </c>
      <c r="E3507" t="s">
        <v>359</v>
      </c>
    </row>
    <row r="3508" spans="8:8">
      <c r="B3508" t="s">
        <v>5428</v>
      </c>
      <c r="C3508">
        <v>500350.0</v>
      </c>
      <c r="D3508" t="s">
        <v>5429</v>
      </c>
      <c r="E3508" t="s">
        <v>354</v>
      </c>
    </row>
    <row r="3509" spans="8:8">
      <c r="B3509" t="s">
        <v>5430</v>
      </c>
      <c r="C3509">
        <v>531215.0</v>
      </c>
      <c r="D3509" t="s">
        <v>339</v>
      </c>
      <c r="E3509" t="s">
        <v>637</v>
      </c>
    </row>
    <row r="3510" spans="8:8">
      <c r="B3510" t="s">
        <v>5431</v>
      </c>
      <c r="C3510">
        <v>500367.0</v>
      </c>
      <c r="D3510" t="s">
        <v>339</v>
      </c>
      <c r="E3510" t="s">
        <v>819</v>
      </c>
    </row>
    <row r="3511" spans="8:8">
      <c r="B3511" t="s">
        <v>5432</v>
      </c>
      <c r="C3511">
        <v>531099.0</v>
      </c>
      <c r="D3511" t="s">
        <v>339</v>
      </c>
      <c r="E3511" t="s">
        <v>377</v>
      </c>
    </row>
    <row r="3512" spans="8:8">
      <c r="B3512" t="s">
        <v>5433</v>
      </c>
      <c r="C3512">
        <v>509020.0</v>
      </c>
      <c r="D3512" t="s">
        <v>5434</v>
      </c>
      <c r="E3512" t="s">
        <v>588</v>
      </c>
    </row>
    <row r="3513" spans="8:8">
      <c r="B3513" t="s">
        <v>5435</v>
      </c>
      <c r="C3513">
        <v>500368.0</v>
      </c>
      <c r="D3513" t="s">
        <v>5436</v>
      </c>
      <c r="E3513" t="s">
        <v>588</v>
      </c>
    </row>
    <row r="3514" spans="8:8">
      <c r="B3514" t="s">
        <v>5437</v>
      </c>
      <c r="C3514">
        <v>540696.0</v>
      </c>
      <c r="D3514" t="s">
        <v>339</v>
      </c>
      <c r="E3514" t="s">
        <v>361</v>
      </c>
    </row>
    <row r="3515" spans="8:8">
      <c r="B3515" t="s">
        <v>5438</v>
      </c>
      <c r="C3515">
        <v>540696.0</v>
      </c>
      <c r="D3515" t="s">
        <v>339</v>
      </c>
      <c r="E3515" t="s">
        <v>361</v>
      </c>
    </row>
    <row r="3516" spans="8:8">
      <c r="B3516" t="s">
        <v>5439</v>
      </c>
      <c r="C3516">
        <v>532785.0</v>
      </c>
      <c r="D3516" t="s">
        <v>5440</v>
      </c>
      <c r="E3516" t="s">
        <v>333</v>
      </c>
    </row>
    <row r="3517" spans="8:8">
      <c r="B3517" t="s">
        <v>5441</v>
      </c>
      <c r="C3517">
        <v>539226.0</v>
      </c>
      <c r="D3517" t="s">
        <v>339</v>
      </c>
      <c r="E3517" t="s">
        <v>371</v>
      </c>
    </row>
    <row r="3518" spans="8:8">
      <c r="B3518" t="s">
        <v>5442</v>
      </c>
      <c r="C3518" t="s">
        <v>339</v>
      </c>
      <c r="D3518" t="s">
        <v>5443</v>
      </c>
      <c r="E3518" t="s">
        <v>350</v>
      </c>
    </row>
    <row r="3519" spans="8:8">
      <c r="B3519" t="s">
        <v>5444</v>
      </c>
      <c r="C3519">
        <v>519413.0</v>
      </c>
      <c r="D3519" t="s">
        <v>339</v>
      </c>
      <c r="E3519" t="s">
        <v>361</v>
      </c>
    </row>
    <row r="3520" spans="8:8">
      <c r="B3520" t="s">
        <v>5445</v>
      </c>
      <c r="C3520">
        <v>530449.0</v>
      </c>
      <c r="D3520" t="s">
        <v>339</v>
      </c>
      <c r="E3520" t="s">
        <v>459</v>
      </c>
    </row>
    <row r="3521" spans="8:8">
      <c r="B3521" t="s">
        <v>5446</v>
      </c>
      <c r="C3521">
        <v>533552.0</v>
      </c>
      <c r="D3521" t="s">
        <v>5447</v>
      </c>
      <c r="E3521" t="s">
        <v>453</v>
      </c>
    </row>
    <row r="3522" spans="8:8">
      <c r="B3522" t="s">
        <v>5448</v>
      </c>
      <c r="C3522">
        <v>533470.0</v>
      </c>
      <c r="D3522" t="s">
        <v>5449</v>
      </c>
      <c r="E3522" t="s">
        <v>834</v>
      </c>
    </row>
    <row r="3523" spans="8:8">
      <c r="B3523" t="s">
        <v>5450</v>
      </c>
      <c r="C3523">
        <v>504335.0</v>
      </c>
      <c r="D3523" t="s">
        <v>339</v>
      </c>
      <c r="E3523" t="s">
        <v>361</v>
      </c>
    </row>
    <row r="3524" spans="8:8">
      <c r="B3524" t="s">
        <v>5451</v>
      </c>
      <c r="C3524">
        <v>517035.0</v>
      </c>
      <c r="D3524" t="s">
        <v>339</v>
      </c>
      <c r="E3524" t="s">
        <v>881</v>
      </c>
    </row>
    <row r="3525" spans="8:8">
      <c r="B3525" t="s">
        <v>5452</v>
      </c>
      <c r="C3525">
        <v>542034.0</v>
      </c>
      <c r="D3525" t="s">
        <v>339</v>
      </c>
      <c r="E3525" t="s">
        <v>453</v>
      </c>
    </row>
    <row r="3526" spans="8:8">
      <c r="B3526" t="s">
        <v>5453</v>
      </c>
      <c r="C3526">
        <v>532604.0</v>
      </c>
      <c r="D3526" t="s">
        <v>5454</v>
      </c>
      <c r="E3526" t="s">
        <v>371</v>
      </c>
    </row>
    <row r="3527" spans="8:8">
      <c r="B3527" t="s">
        <v>5455</v>
      </c>
      <c r="C3527">
        <v>540497.0</v>
      </c>
      <c r="D3527" t="s">
        <v>5456</v>
      </c>
      <c r="E3527" t="s">
        <v>863</v>
      </c>
    </row>
    <row r="3528" spans="8:8">
      <c r="B3528" t="s">
        <v>5457</v>
      </c>
      <c r="C3528">
        <v>534598.0</v>
      </c>
      <c r="D3528" t="s">
        <v>5458</v>
      </c>
      <c r="E3528" t="s">
        <v>478</v>
      </c>
    </row>
    <row r="3529" spans="8:8">
      <c r="B3529" t="s">
        <v>5459</v>
      </c>
      <c r="C3529">
        <v>539450.0</v>
      </c>
      <c r="D3529" t="s">
        <v>5460</v>
      </c>
      <c r="E3529" t="s">
        <v>521</v>
      </c>
    </row>
    <row r="3530" spans="8:8">
      <c r="B3530" t="s">
        <v>5461</v>
      </c>
      <c r="C3530">
        <v>532316.0</v>
      </c>
      <c r="D3530" t="s">
        <v>5462</v>
      </c>
      <c r="E3530" t="s">
        <v>5463</v>
      </c>
    </row>
    <row r="3531" spans="8:8">
      <c r="B3531" t="s">
        <v>5464</v>
      </c>
      <c r="C3531">
        <v>540048.0</v>
      </c>
      <c r="D3531" t="s">
        <v>5465</v>
      </c>
      <c r="E3531" t="s">
        <v>453</v>
      </c>
    </row>
    <row r="3532" spans="8:8">
      <c r="B3532" t="s">
        <v>5466</v>
      </c>
      <c r="C3532">
        <v>536710.0</v>
      </c>
      <c r="D3532" t="s">
        <v>339</v>
      </c>
      <c r="E3532" t="s">
        <v>356</v>
      </c>
    </row>
    <row r="3533" spans="8:8">
      <c r="B3533" t="s">
        <v>5467</v>
      </c>
      <c r="C3533">
        <v>513515.0</v>
      </c>
      <c r="D3533" t="s">
        <v>339</v>
      </c>
      <c r="E3533" t="s">
        <v>354</v>
      </c>
    </row>
    <row r="3534" spans="8:8">
      <c r="B3534" t="s">
        <v>5468</v>
      </c>
      <c r="C3534">
        <v>531307.0</v>
      </c>
      <c r="D3534" t="s">
        <v>339</v>
      </c>
      <c r="E3534" t="s">
        <v>354</v>
      </c>
    </row>
    <row r="3535" spans="8:8">
      <c r="B3535" t="s">
        <v>5469</v>
      </c>
      <c r="C3535" t="s">
        <v>339</v>
      </c>
      <c r="D3535" t="s">
        <v>5470</v>
      </c>
      <c r="E3535" t="s">
        <v>350</v>
      </c>
    </row>
    <row r="3536" spans="8:8">
      <c r="B3536" t="s">
        <v>5471</v>
      </c>
      <c r="C3536">
        <v>538876.0</v>
      </c>
      <c r="D3536" t="s">
        <v>339</v>
      </c>
      <c r="E3536" t="s">
        <v>356</v>
      </c>
    </row>
    <row r="3537" spans="8:8">
      <c r="B3537" t="s">
        <v>5472</v>
      </c>
      <c r="C3537">
        <v>535621.0</v>
      </c>
      <c r="D3537" t="s">
        <v>339</v>
      </c>
      <c r="E3537" t="s">
        <v>425</v>
      </c>
    </row>
    <row r="3538" spans="8:8">
      <c r="B3538" t="s">
        <v>5473</v>
      </c>
      <c r="C3538">
        <v>503622.0</v>
      </c>
      <c r="D3538" t="s">
        <v>339</v>
      </c>
      <c r="E3538" t="s">
        <v>322</v>
      </c>
    </row>
    <row r="3539" spans="8:8">
      <c r="B3539" t="s">
        <v>5474</v>
      </c>
      <c r="C3539">
        <v>514197.0</v>
      </c>
      <c r="D3539" t="s">
        <v>339</v>
      </c>
      <c r="E3539" t="s">
        <v>354</v>
      </c>
    </row>
    <row r="3540" spans="8:8">
      <c r="B3540" t="s">
        <v>5475</v>
      </c>
      <c r="C3540">
        <v>540081.0</v>
      </c>
      <c r="D3540" t="s">
        <v>5476</v>
      </c>
      <c r="E3540" t="s">
        <v>863</v>
      </c>
    </row>
    <row r="3541" spans="8:8">
      <c r="B3541" t="s">
        <v>5477</v>
      </c>
      <c r="C3541">
        <v>539112.0</v>
      </c>
      <c r="D3541" t="s">
        <v>339</v>
      </c>
      <c r="E3541" t="s">
        <v>425</v>
      </c>
    </row>
    <row r="3542" spans="8:8">
      <c r="B3542" t="s">
        <v>5478</v>
      </c>
      <c r="C3542">
        <v>530267.0</v>
      </c>
      <c r="D3542" t="s">
        <v>339</v>
      </c>
      <c r="E3542" t="s">
        <v>347</v>
      </c>
    </row>
    <row r="3543" spans="8:8">
      <c r="B3543" t="s">
        <v>5479</v>
      </c>
      <c r="C3543">
        <v>530461.0</v>
      </c>
      <c r="D3543" t="s">
        <v>339</v>
      </c>
      <c r="E3543" t="s">
        <v>419</v>
      </c>
    </row>
    <row r="3544" spans="8:8">
      <c r="B3544" t="s">
        <v>5480</v>
      </c>
      <c r="C3544">
        <v>540132.0</v>
      </c>
      <c r="D3544" t="s">
        <v>339</v>
      </c>
      <c r="E3544" t="s">
        <v>361</v>
      </c>
    </row>
    <row r="3545" spans="8:8">
      <c r="B3545" t="s">
        <v>5481</v>
      </c>
      <c r="C3545">
        <v>540132.0</v>
      </c>
      <c r="D3545" t="s">
        <v>339</v>
      </c>
      <c r="E3545" t="s">
        <v>361</v>
      </c>
    </row>
    <row r="3546" spans="8:8">
      <c r="B3546" t="s">
        <v>5482</v>
      </c>
      <c r="C3546">
        <v>531869.0</v>
      </c>
      <c r="D3546" t="s">
        <v>339</v>
      </c>
      <c r="E3546" t="s">
        <v>644</v>
      </c>
    </row>
    <row r="3547" spans="8:8">
      <c r="B3547" t="s">
        <v>5483</v>
      </c>
      <c r="C3547">
        <v>532710.0</v>
      </c>
      <c r="D3547" t="s">
        <v>5484</v>
      </c>
      <c r="E3547" t="s">
        <v>737</v>
      </c>
    </row>
    <row r="3548" spans="8:8">
      <c r="B3548" t="s">
        <v>5485</v>
      </c>
      <c r="C3548">
        <v>539346.0</v>
      </c>
      <c r="D3548" t="s">
        <v>5486</v>
      </c>
      <c r="E3548" t="s">
        <v>934</v>
      </c>
    </row>
    <row r="3549" spans="8:8">
      <c r="B3549" t="s">
        <v>5487</v>
      </c>
      <c r="C3549">
        <v>506642.0</v>
      </c>
      <c r="D3549" t="s">
        <v>339</v>
      </c>
      <c r="E3549" t="s">
        <v>387</v>
      </c>
    </row>
    <row r="3550" spans="8:8">
      <c r="B3550" t="s">
        <v>5488</v>
      </c>
      <c r="C3550">
        <v>540821.0</v>
      </c>
      <c r="D3550" t="s">
        <v>339</v>
      </c>
      <c r="E3550" t="s">
        <v>1077</v>
      </c>
    </row>
    <row r="3551" spans="8:8">
      <c r="B3551" t="s">
        <v>5489</v>
      </c>
      <c r="C3551">
        <v>532034.0</v>
      </c>
      <c r="D3551" t="s">
        <v>339</v>
      </c>
      <c r="E3551" t="s">
        <v>521</v>
      </c>
    </row>
    <row r="3552" spans="8:8">
      <c r="B3552" t="s">
        <v>5490</v>
      </c>
      <c r="C3552">
        <v>531448.0</v>
      </c>
      <c r="D3552" t="s">
        <v>339</v>
      </c>
      <c r="E3552" t="s">
        <v>760</v>
      </c>
    </row>
    <row r="3553" spans="8:8">
      <c r="B3553" t="s">
        <v>5491</v>
      </c>
      <c r="C3553">
        <v>523025.0</v>
      </c>
      <c r="D3553" t="s">
        <v>339</v>
      </c>
      <c r="E3553" t="s">
        <v>453</v>
      </c>
    </row>
    <row r="3554" spans="8:8">
      <c r="B3554" t="s">
        <v>5492</v>
      </c>
      <c r="C3554">
        <v>523025.0</v>
      </c>
      <c r="D3554" t="s">
        <v>339</v>
      </c>
      <c r="E3554" t="s">
        <v>453</v>
      </c>
    </row>
    <row r="3555" spans="8:8">
      <c r="B3555" t="s">
        <v>5493</v>
      </c>
      <c r="C3555">
        <v>502090.0</v>
      </c>
      <c r="D3555" t="s">
        <v>5494</v>
      </c>
      <c r="E3555" t="s">
        <v>352</v>
      </c>
    </row>
    <row r="3556" spans="8:8">
      <c r="B3556" t="s">
        <v>5495</v>
      </c>
      <c r="C3556">
        <v>540715.0</v>
      </c>
      <c r="D3556" t="s">
        <v>339</v>
      </c>
      <c r="E3556" t="s">
        <v>453</v>
      </c>
    </row>
    <row r="3557" spans="8:8">
      <c r="B3557" t="s">
        <v>5496</v>
      </c>
      <c r="C3557">
        <v>532092.0</v>
      </c>
      <c r="D3557" t="s">
        <v>339</v>
      </c>
      <c r="E3557" t="s">
        <v>356</v>
      </c>
    </row>
    <row r="3558" spans="8:8">
      <c r="B3558" t="s">
        <v>5497</v>
      </c>
      <c r="C3558">
        <v>507663.0</v>
      </c>
      <c r="D3558" t="s">
        <v>339</v>
      </c>
      <c r="E3558" t="s">
        <v>588</v>
      </c>
    </row>
    <row r="3559" spans="8:8">
      <c r="B3559" t="s">
        <v>5498</v>
      </c>
      <c r="C3559">
        <v>511254.0</v>
      </c>
      <c r="D3559" t="s">
        <v>339</v>
      </c>
      <c r="E3559" t="s">
        <v>356</v>
      </c>
    </row>
    <row r="3560" spans="8:8">
      <c r="B3560" t="s">
        <v>5499</v>
      </c>
      <c r="C3560">
        <v>526085.0</v>
      </c>
      <c r="D3560" t="s">
        <v>339</v>
      </c>
      <c r="E3560" t="s">
        <v>540</v>
      </c>
    </row>
    <row r="3561" spans="8:8">
      <c r="B3561" t="s">
        <v>5500</v>
      </c>
      <c r="C3561" t="s">
        <v>339</v>
      </c>
      <c r="D3561" t="s">
        <v>5501</v>
      </c>
      <c r="E3561" t="s">
        <v>350</v>
      </c>
    </row>
    <row r="3562" spans="8:8">
      <c r="B3562" t="s">
        <v>5502</v>
      </c>
      <c r="C3562">
        <v>540143.0</v>
      </c>
      <c r="D3562" t="s">
        <v>339</v>
      </c>
      <c r="E3562" t="s">
        <v>325</v>
      </c>
    </row>
    <row r="3563" spans="8:8">
      <c r="B3563" t="s">
        <v>5503</v>
      </c>
      <c r="C3563">
        <v>540143.0</v>
      </c>
      <c r="D3563" t="s">
        <v>339</v>
      </c>
      <c r="E3563" t="s">
        <v>325</v>
      </c>
    </row>
    <row r="3564" spans="8:8">
      <c r="B3564" t="s">
        <v>5504</v>
      </c>
      <c r="C3564">
        <v>511533.0</v>
      </c>
      <c r="D3564" t="s">
        <v>339</v>
      </c>
      <c r="E3564" t="s">
        <v>397</v>
      </c>
    </row>
    <row r="3565" spans="8:8">
      <c r="B3565" t="s">
        <v>5505</v>
      </c>
      <c r="C3565">
        <v>503691.0</v>
      </c>
      <c r="D3565" t="s">
        <v>339</v>
      </c>
      <c r="E3565" t="s">
        <v>1077</v>
      </c>
    </row>
    <row r="3566" spans="8:8">
      <c r="B3566" t="s">
        <v>5506</v>
      </c>
      <c r="C3566">
        <v>532841.0</v>
      </c>
      <c r="D3566" t="s">
        <v>339</v>
      </c>
      <c r="E3566" t="s">
        <v>352</v>
      </c>
    </row>
    <row r="3567" spans="8:8">
      <c r="B3567" t="s">
        <v>5507</v>
      </c>
      <c r="C3567">
        <v>539660.0</v>
      </c>
      <c r="D3567" t="s">
        <v>339</v>
      </c>
      <c r="E3567" t="s">
        <v>322</v>
      </c>
    </row>
    <row r="3568" spans="8:8">
      <c r="B3568" t="s">
        <v>5508</v>
      </c>
      <c r="C3568">
        <v>538557.0</v>
      </c>
      <c r="D3568" t="s">
        <v>339</v>
      </c>
      <c r="E3568" t="s">
        <v>361</v>
      </c>
    </row>
    <row r="3569" spans="8:8">
      <c r="B3569" t="s">
        <v>5509</v>
      </c>
      <c r="C3569">
        <v>531931.0</v>
      </c>
      <c r="D3569" t="s">
        <v>339</v>
      </c>
      <c r="E3569" t="s">
        <v>760</v>
      </c>
    </row>
    <row r="3570" spans="8:8">
      <c r="B3570" t="s">
        <v>5510</v>
      </c>
      <c r="C3570">
        <v>530905.0</v>
      </c>
      <c r="D3570" t="s">
        <v>339</v>
      </c>
      <c r="E3570" t="s">
        <v>356</v>
      </c>
    </row>
    <row r="3571" spans="8:8">
      <c r="B3571" t="s">
        <v>5511</v>
      </c>
      <c r="C3571">
        <v>540066.0</v>
      </c>
      <c r="D3571" t="s">
        <v>339</v>
      </c>
      <c r="E3571" t="s">
        <v>694</v>
      </c>
    </row>
    <row r="3572" spans="8:8">
      <c r="B3572" t="s">
        <v>5512</v>
      </c>
      <c r="C3572">
        <v>530265.0</v>
      </c>
      <c r="D3572" t="s">
        <v>339</v>
      </c>
      <c r="E3572" t="s">
        <v>352</v>
      </c>
    </row>
    <row r="3573" spans="8:8">
      <c r="B3573" t="s">
        <v>5513</v>
      </c>
      <c r="C3573">
        <v>515043.0</v>
      </c>
      <c r="D3573" t="s">
        <v>339</v>
      </c>
      <c r="E3573" t="s">
        <v>616</v>
      </c>
    </row>
    <row r="3574" spans="8:8">
      <c r="B3574" t="s">
        <v>5514</v>
      </c>
      <c r="C3574">
        <v>515043.0</v>
      </c>
      <c r="D3574" t="s">
        <v>339</v>
      </c>
      <c r="E3574" t="s">
        <v>616</v>
      </c>
    </row>
    <row r="3575" spans="8:8">
      <c r="B3575" t="s">
        <v>5515</v>
      </c>
      <c r="C3575" t="s">
        <v>339</v>
      </c>
      <c r="D3575" t="s">
        <v>5516</v>
      </c>
      <c r="E3575" t="s">
        <v>350</v>
      </c>
    </row>
    <row r="3576" spans="8:8">
      <c r="B3576" t="s">
        <v>5517</v>
      </c>
      <c r="C3576" t="s">
        <v>339</v>
      </c>
      <c r="D3576" t="s">
        <v>5518</v>
      </c>
      <c r="E3576" t="s">
        <v>350</v>
      </c>
    </row>
    <row r="3577" spans="8:8">
      <c r="B3577" t="s">
        <v>5519</v>
      </c>
      <c r="C3577">
        <v>590051.0</v>
      </c>
      <c r="D3577" t="s">
        <v>5520</v>
      </c>
      <c r="E3577" t="s">
        <v>432</v>
      </c>
    </row>
    <row r="3578" spans="8:8">
      <c r="B3578" t="s">
        <v>5521</v>
      </c>
      <c r="C3578">
        <v>511066.0</v>
      </c>
      <c r="D3578" t="s">
        <v>339</v>
      </c>
      <c r="E3578" t="s">
        <v>356</v>
      </c>
    </row>
    <row r="3579" spans="8:8">
      <c r="B3579" t="s">
        <v>5522</v>
      </c>
      <c r="C3579">
        <v>507315.0</v>
      </c>
      <c r="D3579" t="s">
        <v>5523</v>
      </c>
      <c r="E3579" t="s">
        <v>1037</v>
      </c>
    </row>
    <row r="3580" spans="8:8">
      <c r="B3580" t="s">
        <v>5524</v>
      </c>
      <c r="C3580">
        <v>532713.0</v>
      </c>
      <c r="D3580" t="s">
        <v>5525</v>
      </c>
      <c r="E3580" t="s">
        <v>361</v>
      </c>
    </row>
    <row r="3581" spans="8:8">
      <c r="B3581" t="s">
        <v>5526</v>
      </c>
      <c r="C3581">
        <v>540642.0</v>
      </c>
      <c r="D3581" t="s">
        <v>5527</v>
      </c>
      <c r="E3581" t="s">
        <v>737</v>
      </c>
    </row>
    <row r="3582" spans="8:8">
      <c r="B3582" t="s">
        <v>5528</v>
      </c>
      <c r="C3582">
        <v>540181.0</v>
      </c>
      <c r="D3582" t="s">
        <v>339</v>
      </c>
      <c r="E3582" t="s">
        <v>356</v>
      </c>
    </row>
    <row r="3583" spans="8:8">
      <c r="B3583" t="s">
        <v>5529</v>
      </c>
      <c r="C3583">
        <v>526554.0</v>
      </c>
      <c r="D3583" t="s">
        <v>339</v>
      </c>
      <c r="E3583" t="s">
        <v>534</v>
      </c>
    </row>
    <row r="3584" spans="8:8">
      <c r="B3584" t="s">
        <v>5530</v>
      </c>
      <c r="C3584">
        <v>590056.0</v>
      </c>
      <c r="D3584" t="s">
        <v>5531</v>
      </c>
      <c r="E3584" t="s">
        <v>354</v>
      </c>
    </row>
    <row r="3585" spans="8:8">
      <c r="B3585" t="s">
        <v>5532</v>
      </c>
      <c r="C3585">
        <v>500370.0</v>
      </c>
      <c r="D3585" t="s">
        <v>5533</v>
      </c>
      <c r="E3585" t="s">
        <v>361</v>
      </c>
    </row>
    <row r="3586" spans="8:8">
      <c r="B3586" t="s">
        <v>5534</v>
      </c>
      <c r="C3586">
        <v>517059.0</v>
      </c>
      <c r="D3586" t="s">
        <v>5535</v>
      </c>
      <c r="E3586" t="s">
        <v>637</v>
      </c>
    </row>
    <row r="3587" spans="8:8">
      <c r="B3587" t="s">
        <v>5536</v>
      </c>
      <c r="C3587">
        <v>532005.0</v>
      </c>
      <c r="D3587" t="s">
        <v>339</v>
      </c>
      <c r="E3587" t="s">
        <v>524</v>
      </c>
    </row>
    <row r="3588" spans="8:8">
      <c r="B3588" t="s">
        <v>5537</v>
      </c>
      <c r="C3588">
        <v>521240.0</v>
      </c>
      <c r="D3588" t="s">
        <v>339</v>
      </c>
      <c r="E3588" t="s">
        <v>354</v>
      </c>
    </row>
    <row r="3589" spans="8:8">
      <c r="B3589" t="s">
        <v>5538</v>
      </c>
      <c r="C3589">
        <v>511630.0</v>
      </c>
      <c r="D3589" t="s">
        <v>5539</v>
      </c>
      <c r="E3589" t="s">
        <v>863</v>
      </c>
    </row>
    <row r="3590" spans="8:8">
      <c r="B3590" t="s">
        <v>5540</v>
      </c>
      <c r="C3590">
        <v>520075.0</v>
      </c>
      <c r="D3590" t="s">
        <v>339</v>
      </c>
      <c r="E3590" t="s">
        <v>694</v>
      </c>
    </row>
    <row r="3591" spans="8:8">
      <c r="B3591" t="s">
        <v>5541</v>
      </c>
      <c r="C3591">
        <v>530617.0</v>
      </c>
      <c r="D3591" t="s">
        <v>339</v>
      </c>
      <c r="E3591" t="s">
        <v>399</v>
      </c>
    </row>
    <row r="3592" spans="8:8">
      <c r="B3592" t="s">
        <v>5542</v>
      </c>
      <c r="C3592">
        <v>530125.0</v>
      </c>
      <c r="D3592" t="s">
        <v>339</v>
      </c>
      <c r="E3592" t="s">
        <v>377</v>
      </c>
    </row>
    <row r="3593" spans="8:8">
      <c r="B3593" t="s">
        <v>5543</v>
      </c>
      <c r="C3593">
        <v>500371.0</v>
      </c>
      <c r="D3593" t="s">
        <v>339</v>
      </c>
      <c r="E3593" t="s">
        <v>708</v>
      </c>
    </row>
    <row r="3594" spans="8:8">
      <c r="B3594" t="s">
        <v>5544</v>
      </c>
      <c r="C3594">
        <v>500371.0</v>
      </c>
      <c r="D3594" t="s">
        <v>339</v>
      </c>
      <c r="E3594" t="s">
        <v>708</v>
      </c>
    </row>
    <row r="3595" spans="8:8">
      <c r="B3595" t="s">
        <v>5545</v>
      </c>
      <c r="C3595">
        <v>521206.0</v>
      </c>
      <c r="D3595" t="s">
        <v>339</v>
      </c>
      <c r="E3595" t="s">
        <v>453</v>
      </c>
    </row>
    <row r="3596" spans="8:8">
      <c r="B3596" t="s">
        <v>5546</v>
      </c>
      <c r="C3596">
        <v>530025.0</v>
      </c>
      <c r="D3596" t="s">
        <v>339</v>
      </c>
      <c r="E3596" t="s">
        <v>760</v>
      </c>
    </row>
    <row r="3597" spans="8:8">
      <c r="B3597" t="s">
        <v>5547</v>
      </c>
      <c r="C3597">
        <v>780015.0</v>
      </c>
      <c r="D3597" t="s">
        <v>339</v>
      </c>
      <c r="E3597" t="s">
        <v>430</v>
      </c>
    </row>
    <row r="3598" spans="8:8">
      <c r="B3598" t="s">
        <v>5548</v>
      </c>
      <c r="C3598">
        <v>509423.0</v>
      </c>
      <c r="D3598" t="s">
        <v>339</v>
      </c>
      <c r="E3598" t="s">
        <v>387</v>
      </c>
    </row>
    <row r="3599" spans="8:8">
      <c r="B3599" t="s">
        <v>5549</v>
      </c>
      <c r="C3599">
        <v>521222.0</v>
      </c>
      <c r="D3599" t="s">
        <v>339</v>
      </c>
      <c r="E3599" t="s">
        <v>453</v>
      </c>
    </row>
    <row r="3600" spans="8:8">
      <c r="B3600" t="s">
        <v>5550</v>
      </c>
      <c r="C3600" t="s">
        <v>339</v>
      </c>
      <c r="D3600" t="s">
        <v>5551</v>
      </c>
      <c r="E3600" t="s">
        <v>430</v>
      </c>
    </row>
    <row r="3601" spans="8:8">
      <c r="B3601" t="s">
        <v>5552</v>
      </c>
      <c r="C3601">
        <v>523116.0</v>
      </c>
      <c r="D3601" t="s">
        <v>339</v>
      </c>
      <c r="E3601" t="s">
        <v>462</v>
      </c>
    </row>
    <row r="3602" spans="8:8">
      <c r="B3602" t="s">
        <v>5553</v>
      </c>
      <c r="C3602">
        <v>541163.0</v>
      </c>
      <c r="D3602" t="s">
        <v>5554</v>
      </c>
      <c r="E3602" t="s">
        <v>694</v>
      </c>
    </row>
    <row r="3603" spans="8:8">
      <c r="B3603" t="s">
        <v>5555</v>
      </c>
      <c r="C3603">
        <v>524703.0</v>
      </c>
      <c r="D3603" t="s">
        <v>339</v>
      </c>
      <c r="E3603" t="s">
        <v>377</v>
      </c>
    </row>
    <row r="3604" spans="8:8">
      <c r="B3604" t="s">
        <v>5556</v>
      </c>
      <c r="C3604">
        <v>504918.0</v>
      </c>
      <c r="D3604" t="s">
        <v>339</v>
      </c>
      <c r="E3604" t="s">
        <v>319</v>
      </c>
    </row>
    <row r="3605" spans="8:8">
      <c r="B3605" t="s">
        <v>5557</v>
      </c>
      <c r="C3605">
        <v>539392.0</v>
      </c>
      <c r="D3605" t="s">
        <v>339</v>
      </c>
      <c r="E3605" t="s">
        <v>361</v>
      </c>
    </row>
    <row r="3606" spans="8:8">
      <c r="B3606" t="s">
        <v>5558</v>
      </c>
      <c r="C3606">
        <v>539392.0</v>
      </c>
      <c r="D3606" t="s">
        <v>339</v>
      </c>
      <c r="E3606" t="s">
        <v>361</v>
      </c>
    </row>
    <row r="3607" spans="8:8">
      <c r="B3607" t="s">
        <v>5559</v>
      </c>
      <c r="C3607">
        <v>516096.0</v>
      </c>
      <c r="D3607" t="s">
        <v>339</v>
      </c>
      <c r="E3607" t="s">
        <v>333</v>
      </c>
    </row>
    <row r="3608" spans="8:8">
      <c r="B3608" t="s">
        <v>5560</v>
      </c>
      <c r="C3608">
        <v>514234.0</v>
      </c>
      <c r="D3608" t="s">
        <v>5561</v>
      </c>
      <c r="E3608" t="s">
        <v>354</v>
      </c>
    </row>
    <row r="3609" spans="8:8">
      <c r="B3609" t="s">
        <v>5562</v>
      </c>
      <c r="C3609">
        <v>514234.0</v>
      </c>
      <c r="D3609" t="s">
        <v>5561</v>
      </c>
      <c r="E3609" t="s">
        <v>354</v>
      </c>
    </row>
    <row r="3610" spans="8:8">
      <c r="B3610" t="s">
        <v>5563</v>
      </c>
      <c r="C3610">
        <v>534618.0</v>
      </c>
      <c r="D3610" t="s">
        <v>339</v>
      </c>
      <c r="E3610" t="s">
        <v>478</v>
      </c>
    </row>
    <row r="3611" spans="8:8">
      <c r="B3611" t="s">
        <v>5564</v>
      </c>
      <c r="C3611">
        <v>511640.0</v>
      </c>
      <c r="D3611" t="s">
        <v>339</v>
      </c>
      <c r="E3611" t="s">
        <v>356</v>
      </c>
    </row>
    <row r="3612" spans="8:8">
      <c r="B3612" t="s">
        <v>5565</v>
      </c>
      <c r="C3612">
        <v>526521.0</v>
      </c>
      <c r="D3612" t="s">
        <v>5566</v>
      </c>
      <c r="E3612" t="s">
        <v>352</v>
      </c>
    </row>
    <row r="3613" spans="8:8">
      <c r="B3613" t="s">
        <v>5567</v>
      </c>
      <c r="C3613">
        <v>540782.0</v>
      </c>
      <c r="D3613" t="s">
        <v>339</v>
      </c>
      <c r="E3613" t="s">
        <v>540</v>
      </c>
    </row>
    <row r="3614" spans="8:8">
      <c r="B3614" t="s">
        <v>5568</v>
      </c>
      <c r="C3614">
        <v>533411.0</v>
      </c>
      <c r="D3614" t="s">
        <v>5569</v>
      </c>
      <c r="E3614" t="s">
        <v>1258</v>
      </c>
    </row>
    <row r="3615" spans="8:8">
      <c r="B3615" t="s">
        <v>5570</v>
      </c>
      <c r="C3615">
        <v>530073.0</v>
      </c>
      <c r="D3615" t="s">
        <v>5571</v>
      </c>
      <c r="E3615" t="s">
        <v>462</v>
      </c>
    </row>
    <row r="3616" spans="8:8">
      <c r="B3616" t="s">
        <v>5572</v>
      </c>
      <c r="C3616" t="s">
        <v>339</v>
      </c>
      <c r="D3616" t="s">
        <v>5573</v>
      </c>
      <c r="E3616" t="s">
        <v>350</v>
      </c>
    </row>
    <row r="3617" spans="8:8">
      <c r="B3617" t="s">
        <v>5574</v>
      </c>
      <c r="C3617">
        <v>531898.0</v>
      </c>
      <c r="D3617" t="s">
        <v>339</v>
      </c>
      <c r="E3617" t="s">
        <v>342</v>
      </c>
    </row>
    <row r="3618" spans="8:8">
      <c r="B3618" t="s">
        <v>5575</v>
      </c>
      <c r="C3618">
        <v>531569.0</v>
      </c>
      <c r="D3618" t="s">
        <v>339</v>
      </c>
      <c r="E3618" t="s">
        <v>377</v>
      </c>
    </row>
    <row r="3619" spans="8:8">
      <c r="B3619" t="s">
        <v>5576</v>
      </c>
      <c r="C3619">
        <v>532972.0</v>
      </c>
      <c r="D3619" t="s">
        <v>339</v>
      </c>
      <c r="E3619" t="s">
        <v>432</v>
      </c>
    </row>
    <row r="3620" spans="8:8">
      <c r="B3620" t="s">
        <v>5577</v>
      </c>
      <c r="C3620">
        <v>532435.0</v>
      </c>
      <c r="D3620" t="s">
        <v>339</v>
      </c>
      <c r="E3620" t="s">
        <v>425</v>
      </c>
    </row>
    <row r="3621" spans="8:8">
      <c r="B3621" t="s">
        <v>5578</v>
      </c>
      <c r="C3621">
        <v>512062.0</v>
      </c>
      <c r="D3621" t="s">
        <v>339</v>
      </c>
      <c r="E3621" t="s">
        <v>760</v>
      </c>
    </row>
    <row r="3622" spans="8:8">
      <c r="B3622" t="s">
        <v>5579</v>
      </c>
      <c r="C3622">
        <v>500674.0</v>
      </c>
      <c r="D3622" t="s">
        <v>5580</v>
      </c>
      <c r="E3622" t="s">
        <v>377</v>
      </c>
    </row>
    <row r="3623" spans="8:8">
      <c r="B3623" t="s">
        <v>5581</v>
      </c>
      <c r="C3623">
        <v>500674.0</v>
      </c>
      <c r="D3623" t="s">
        <v>5580</v>
      </c>
      <c r="E3623" t="s">
        <v>377</v>
      </c>
    </row>
    <row r="3624" spans="8:8">
      <c r="B3624" t="s">
        <v>5582</v>
      </c>
      <c r="C3624">
        <v>514280.0</v>
      </c>
      <c r="D3624" t="s">
        <v>339</v>
      </c>
      <c r="E3624" t="s">
        <v>354</v>
      </c>
    </row>
    <row r="3625" spans="8:8">
      <c r="B3625" t="s">
        <v>5583</v>
      </c>
      <c r="C3625">
        <v>530035.0</v>
      </c>
      <c r="D3625" t="s">
        <v>339</v>
      </c>
      <c r="E3625" t="s">
        <v>354</v>
      </c>
    </row>
    <row r="3626" spans="8:8">
      <c r="B3626" t="s">
        <v>5584</v>
      </c>
      <c r="C3626">
        <v>540822.0</v>
      </c>
      <c r="D3626" t="s">
        <v>339</v>
      </c>
      <c r="E3626" t="s">
        <v>356</v>
      </c>
    </row>
    <row r="3627" spans="8:8">
      <c r="B3627" t="s">
        <v>5585</v>
      </c>
      <c r="C3627">
        <v>519260.0</v>
      </c>
      <c r="D3627" t="s">
        <v>5586</v>
      </c>
      <c r="E3627" t="s">
        <v>588</v>
      </c>
    </row>
    <row r="3628" spans="8:8">
      <c r="B3628" t="s">
        <v>5587</v>
      </c>
      <c r="C3628">
        <v>506906.0</v>
      </c>
      <c r="D3628" t="s">
        <v>339</v>
      </c>
      <c r="E3628" t="s">
        <v>361</v>
      </c>
    </row>
    <row r="3629" spans="8:8">
      <c r="B3629" t="s">
        <v>5588</v>
      </c>
      <c r="C3629">
        <v>519238.0</v>
      </c>
      <c r="D3629" t="s">
        <v>339</v>
      </c>
      <c r="E3629" t="s">
        <v>537</v>
      </c>
    </row>
    <row r="3630" spans="8:8">
      <c r="B3630" t="s">
        <v>5589</v>
      </c>
      <c r="C3630">
        <v>538992.0</v>
      </c>
      <c r="D3630" t="s">
        <v>339</v>
      </c>
      <c r="E3630" t="s">
        <v>694</v>
      </c>
    </row>
    <row r="3631" spans="8:8">
      <c r="B3631" t="s">
        <v>5590</v>
      </c>
      <c r="C3631">
        <v>512020.0</v>
      </c>
      <c r="D3631" t="s">
        <v>339</v>
      </c>
      <c r="E3631" t="s">
        <v>356</v>
      </c>
    </row>
    <row r="3632" spans="8:8">
      <c r="B3632" t="s">
        <v>5591</v>
      </c>
      <c r="C3632">
        <v>512020.0</v>
      </c>
      <c r="D3632" t="s">
        <v>339</v>
      </c>
      <c r="E3632" t="s">
        <v>356</v>
      </c>
    </row>
    <row r="3633" spans="8:8">
      <c r="B3633" t="s">
        <v>5592</v>
      </c>
      <c r="C3633">
        <v>504614.0</v>
      </c>
      <c r="D3633" t="s">
        <v>5593</v>
      </c>
      <c r="E3633" t="s">
        <v>371</v>
      </c>
    </row>
    <row r="3634" spans="8:8">
      <c r="B3634" t="s">
        <v>5594</v>
      </c>
      <c r="C3634">
        <v>516032.0</v>
      </c>
      <c r="D3634" t="s">
        <v>339</v>
      </c>
      <c r="E3634" t="s">
        <v>333</v>
      </c>
    </row>
    <row r="3635" spans="8:8">
      <c r="B3635" t="s">
        <v>5595</v>
      </c>
      <c r="C3635">
        <v>516003.0</v>
      </c>
      <c r="D3635" t="s">
        <v>339</v>
      </c>
      <c r="E3635" t="s">
        <v>834</v>
      </c>
    </row>
    <row r="3636" spans="8:8">
      <c r="B3636" t="s">
        <v>5596</v>
      </c>
      <c r="C3636">
        <v>519242.0</v>
      </c>
      <c r="D3636" t="s">
        <v>339</v>
      </c>
      <c r="E3636" t="s">
        <v>588</v>
      </c>
    </row>
    <row r="3637" spans="8:8">
      <c r="B3637" t="s">
        <v>5597</v>
      </c>
      <c r="C3637">
        <v>532163.0</v>
      </c>
      <c r="D3637" t="s">
        <v>5598</v>
      </c>
      <c r="E3637" t="s">
        <v>342</v>
      </c>
    </row>
    <row r="3638" spans="8:8">
      <c r="B3638" t="s">
        <v>5599</v>
      </c>
      <c r="C3638">
        <v>532163.0</v>
      </c>
      <c r="D3638" t="s">
        <v>5598</v>
      </c>
      <c r="E3638" t="s">
        <v>342</v>
      </c>
    </row>
    <row r="3639" spans="8:8">
      <c r="B3639" t="s">
        <v>5600</v>
      </c>
      <c r="C3639">
        <v>526885.0</v>
      </c>
      <c r="D3639" t="s">
        <v>5601</v>
      </c>
      <c r="E3639" t="s">
        <v>354</v>
      </c>
    </row>
    <row r="3640" spans="8:8">
      <c r="B3640" t="s">
        <v>5602</v>
      </c>
      <c r="C3640">
        <v>530993.0</v>
      </c>
      <c r="D3640" t="s">
        <v>339</v>
      </c>
      <c r="E3640" t="s">
        <v>361</v>
      </c>
    </row>
    <row r="3641" spans="8:8">
      <c r="B3641" t="s">
        <v>5603</v>
      </c>
      <c r="C3641">
        <v>531930.0</v>
      </c>
      <c r="D3641" t="s">
        <v>339</v>
      </c>
      <c r="E3641" t="s">
        <v>1258</v>
      </c>
    </row>
    <row r="3642" spans="8:8">
      <c r="B3642" t="s">
        <v>5604</v>
      </c>
      <c r="C3642">
        <v>540393.0</v>
      </c>
      <c r="D3642" t="s">
        <v>339</v>
      </c>
      <c r="E3642" t="s">
        <v>662</v>
      </c>
    </row>
    <row r="3643" spans="8:8">
      <c r="B3643" t="s">
        <v>5605</v>
      </c>
      <c r="C3643">
        <v>514412.0</v>
      </c>
      <c r="D3643" t="s">
        <v>339</v>
      </c>
      <c r="E3643" t="s">
        <v>453</v>
      </c>
    </row>
    <row r="3644" spans="8:8">
      <c r="B3644" t="s">
        <v>5606</v>
      </c>
      <c r="C3644">
        <v>506190.0</v>
      </c>
      <c r="D3644" t="s">
        <v>339</v>
      </c>
      <c r="E3644" t="s">
        <v>760</v>
      </c>
    </row>
    <row r="3645" spans="8:8">
      <c r="B3645" t="s">
        <v>5607</v>
      </c>
      <c r="C3645" t="s">
        <v>339</v>
      </c>
      <c r="D3645" t="s">
        <v>5608</v>
      </c>
      <c r="E3645" t="s">
        <v>350</v>
      </c>
    </row>
    <row r="3646" spans="8:8">
      <c r="B3646" t="s">
        <v>5609</v>
      </c>
      <c r="C3646">
        <v>539124.0</v>
      </c>
      <c r="D3646" t="s">
        <v>339</v>
      </c>
      <c r="E3646" t="s">
        <v>356</v>
      </c>
    </row>
    <row r="3647" spans="8:8">
      <c r="B3647" t="s">
        <v>5610</v>
      </c>
      <c r="C3647">
        <v>506313.0</v>
      </c>
      <c r="D3647" t="s">
        <v>339</v>
      </c>
      <c r="E3647" t="s">
        <v>867</v>
      </c>
    </row>
    <row r="3648" spans="8:8">
      <c r="B3648" t="s">
        <v>5611</v>
      </c>
      <c r="C3648">
        <v>532663.0</v>
      </c>
      <c r="D3648" t="s">
        <v>5612</v>
      </c>
      <c r="E3648" t="s">
        <v>325</v>
      </c>
    </row>
    <row r="3649" spans="8:8">
      <c r="B3649" t="s">
        <v>5613</v>
      </c>
      <c r="C3649">
        <v>533259.0</v>
      </c>
      <c r="D3649" t="s">
        <v>5614</v>
      </c>
      <c r="E3649" t="s">
        <v>528</v>
      </c>
    </row>
    <row r="3650" spans="8:8">
      <c r="B3650" t="s">
        <v>5615</v>
      </c>
      <c r="C3650">
        <v>511076.0</v>
      </c>
      <c r="D3650" t="s">
        <v>339</v>
      </c>
      <c r="E3650" t="s">
        <v>361</v>
      </c>
    </row>
    <row r="3651" spans="8:8">
      <c r="B3651" t="s">
        <v>5616</v>
      </c>
      <c r="C3651">
        <v>526093.0</v>
      </c>
      <c r="D3651" t="s">
        <v>5617</v>
      </c>
      <c r="E3651" t="s">
        <v>371</v>
      </c>
    </row>
    <row r="3652" spans="8:8">
      <c r="B3652" t="s">
        <v>5618</v>
      </c>
      <c r="C3652">
        <v>539201.0</v>
      </c>
      <c r="D3652" t="s">
        <v>339</v>
      </c>
      <c r="E3652" t="s">
        <v>333</v>
      </c>
    </row>
    <row r="3653" spans="8:8">
      <c r="B3653" t="s">
        <v>5619</v>
      </c>
      <c r="C3653">
        <v>539404.0</v>
      </c>
      <c r="D3653" t="s">
        <v>5620</v>
      </c>
      <c r="E3653" t="s">
        <v>356</v>
      </c>
    </row>
    <row r="3654" spans="8:8">
      <c r="B3654" t="s">
        <v>5621</v>
      </c>
      <c r="C3654">
        <v>536592.0</v>
      </c>
      <c r="D3654" t="s">
        <v>339</v>
      </c>
      <c r="E3654" t="s">
        <v>356</v>
      </c>
    </row>
    <row r="3655" spans="8:8">
      <c r="B3655" t="s">
        <v>5622</v>
      </c>
      <c r="C3655">
        <v>508996.0</v>
      </c>
      <c r="D3655" t="s">
        <v>5623</v>
      </c>
      <c r="E3655" t="s">
        <v>425</v>
      </c>
    </row>
    <row r="3656" spans="8:8">
      <c r="B3656" t="s">
        <v>5624</v>
      </c>
      <c r="C3656">
        <v>503893.0</v>
      </c>
      <c r="D3656" t="s">
        <v>339</v>
      </c>
      <c r="E3656" t="s">
        <v>322</v>
      </c>
    </row>
    <row r="3657" spans="8:8">
      <c r="B3657" t="s">
        <v>5625</v>
      </c>
      <c r="C3657">
        <v>539218.0</v>
      </c>
      <c r="D3657" t="s">
        <v>339</v>
      </c>
      <c r="E3657" t="s">
        <v>356</v>
      </c>
    </row>
    <row r="3658" spans="8:8">
      <c r="B3658" t="s">
        <v>5626</v>
      </c>
      <c r="C3658">
        <v>502175.0</v>
      </c>
      <c r="D3658" t="s">
        <v>339</v>
      </c>
      <c r="E3658" t="s">
        <v>352</v>
      </c>
    </row>
    <row r="3659" spans="8:8">
      <c r="B3659" t="s">
        <v>5627</v>
      </c>
      <c r="C3659">
        <v>511577.0</v>
      </c>
      <c r="D3659" t="s">
        <v>339</v>
      </c>
      <c r="E3659" t="s">
        <v>356</v>
      </c>
    </row>
    <row r="3660" spans="8:8">
      <c r="B3660" t="s">
        <v>5628</v>
      </c>
      <c r="C3660">
        <v>517320.0</v>
      </c>
      <c r="D3660" t="s">
        <v>339</v>
      </c>
      <c r="E3660" t="s">
        <v>637</v>
      </c>
    </row>
    <row r="3661" spans="8:8">
      <c r="B3661" t="s">
        <v>5629</v>
      </c>
      <c r="C3661">
        <v>532404.0</v>
      </c>
      <c r="D3661" t="s">
        <v>339</v>
      </c>
      <c r="E3661" t="s">
        <v>432</v>
      </c>
    </row>
    <row r="3662" spans="8:8">
      <c r="B3662" t="s">
        <v>5630</v>
      </c>
      <c r="C3662">
        <v>512634.0</v>
      </c>
      <c r="D3662" t="s">
        <v>339</v>
      </c>
      <c r="E3662" t="s">
        <v>540</v>
      </c>
    </row>
    <row r="3663" spans="8:8">
      <c r="B3663" t="s">
        <v>5631</v>
      </c>
      <c r="C3663">
        <v>524667.0</v>
      </c>
      <c r="D3663" t="s">
        <v>5632</v>
      </c>
      <c r="E3663" t="s">
        <v>1267</v>
      </c>
    </row>
    <row r="3664" spans="8:8">
      <c r="B3664" t="s">
        <v>5633</v>
      </c>
      <c r="C3664">
        <v>531893.0</v>
      </c>
      <c r="D3664" t="s">
        <v>339</v>
      </c>
      <c r="E3664" t="s">
        <v>760</v>
      </c>
    </row>
    <row r="3665" spans="8:8">
      <c r="B3665" t="s">
        <v>5634</v>
      </c>
      <c r="C3665">
        <v>523710.0</v>
      </c>
      <c r="D3665" t="s">
        <v>339</v>
      </c>
      <c r="E3665" t="s">
        <v>540</v>
      </c>
    </row>
    <row r="3666" spans="8:8">
      <c r="B3666" t="s">
        <v>5635</v>
      </c>
      <c r="C3666">
        <v>540728.0</v>
      </c>
      <c r="D3666" t="s">
        <v>339</v>
      </c>
      <c r="E3666" t="s">
        <v>328</v>
      </c>
    </row>
    <row r="3667" spans="8:8">
      <c r="B3667" t="s">
        <v>5636</v>
      </c>
      <c r="C3667">
        <v>532102.0</v>
      </c>
      <c r="D3667" t="s">
        <v>339</v>
      </c>
      <c r="E3667" t="s">
        <v>1037</v>
      </c>
    </row>
    <row r="3668" spans="8:8">
      <c r="B3668" t="s">
        <v>5637</v>
      </c>
      <c r="C3668">
        <v>540719.0</v>
      </c>
      <c r="D3668" t="s">
        <v>5638</v>
      </c>
      <c r="E3668" t="s">
        <v>2751</v>
      </c>
    </row>
    <row r="3669" spans="8:8">
      <c r="B3669" t="s">
        <v>5639</v>
      </c>
      <c r="C3669">
        <v>590098.0</v>
      </c>
      <c r="D3669" t="s">
        <v>5640</v>
      </c>
      <c r="E3669" t="s">
        <v>322</v>
      </c>
    </row>
    <row r="3670" spans="8:8">
      <c r="B3670" t="s">
        <v>5641</v>
      </c>
      <c r="C3670">
        <v>526081.0</v>
      </c>
      <c r="D3670" t="s">
        <v>5642</v>
      </c>
      <c r="E3670" t="s">
        <v>399</v>
      </c>
    </row>
    <row r="3671" spans="8:8">
      <c r="B3671" t="s">
        <v>5643</v>
      </c>
      <c r="C3671">
        <v>531797.0</v>
      </c>
      <c r="D3671" t="s">
        <v>339</v>
      </c>
      <c r="E3671" t="s">
        <v>352</v>
      </c>
    </row>
    <row r="3672" spans="8:8">
      <c r="B3672" t="s">
        <v>5644</v>
      </c>
      <c r="C3672">
        <v>511672.0</v>
      </c>
      <c r="D3672" t="s">
        <v>339</v>
      </c>
      <c r="E3672" t="s">
        <v>371</v>
      </c>
    </row>
    <row r="3673" spans="8:8">
      <c r="B3673" t="s">
        <v>5645</v>
      </c>
      <c r="C3673">
        <v>516110.0</v>
      </c>
      <c r="D3673" t="s">
        <v>5646</v>
      </c>
      <c r="E3673" t="s">
        <v>528</v>
      </c>
    </row>
    <row r="3674" spans="8:8">
      <c r="B3674" t="s">
        <v>5647</v>
      </c>
      <c r="C3674">
        <v>526544.0</v>
      </c>
      <c r="D3674" t="s">
        <v>339</v>
      </c>
      <c r="E3674" t="s">
        <v>345</v>
      </c>
    </row>
    <row r="3675" spans="8:8">
      <c r="B3675" t="s">
        <v>5648</v>
      </c>
      <c r="C3675">
        <v>507894.0</v>
      </c>
      <c r="D3675" t="s">
        <v>339</v>
      </c>
      <c r="E3675" t="s">
        <v>616</v>
      </c>
    </row>
    <row r="3676" spans="8:8">
      <c r="B3676" t="s">
        <v>5649</v>
      </c>
      <c r="C3676">
        <v>507894.0</v>
      </c>
      <c r="D3676" t="s">
        <v>339</v>
      </c>
      <c r="E3676" t="s">
        <v>616</v>
      </c>
    </row>
    <row r="3677" spans="8:8">
      <c r="B3677" t="s">
        <v>5650</v>
      </c>
      <c r="C3677">
        <v>505790.0</v>
      </c>
      <c r="D3677" t="s">
        <v>5651</v>
      </c>
      <c r="E3677" t="s">
        <v>347</v>
      </c>
    </row>
    <row r="3678" spans="8:8">
      <c r="B3678" t="s">
        <v>5652</v>
      </c>
      <c r="C3678">
        <v>505790.0</v>
      </c>
      <c r="D3678" t="s">
        <v>5651</v>
      </c>
      <c r="E3678" t="s">
        <v>347</v>
      </c>
    </row>
    <row r="3679" spans="8:8">
      <c r="B3679" t="s">
        <v>5653</v>
      </c>
      <c r="C3679">
        <v>534139.0</v>
      </c>
      <c r="D3679" t="s">
        <v>5654</v>
      </c>
      <c r="E3679" t="s">
        <v>382</v>
      </c>
    </row>
    <row r="3680" spans="8:8">
      <c r="B3680" t="s">
        <v>5655</v>
      </c>
      <c r="C3680">
        <v>538857.0</v>
      </c>
      <c r="D3680" t="s">
        <v>339</v>
      </c>
      <c r="E3680" t="s">
        <v>356</v>
      </c>
    </row>
    <row r="3681" spans="8:8">
      <c r="B3681" t="s">
        <v>5656</v>
      </c>
      <c r="C3681">
        <v>505141.0</v>
      </c>
      <c r="D3681" t="s">
        <v>339</v>
      </c>
      <c r="E3681" t="s">
        <v>996</v>
      </c>
    </row>
    <row r="3682" spans="8:8">
      <c r="B3682" t="s">
        <v>5657</v>
      </c>
      <c r="C3682">
        <v>505141.0</v>
      </c>
      <c r="D3682" t="s">
        <v>339</v>
      </c>
      <c r="E3682" t="s">
        <v>996</v>
      </c>
    </row>
    <row r="3683" spans="8:8">
      <c r="B3683" t="s">
        <v>5658</v>
      </c>
      <c r="C3683">
        <v>530361.0</v>
      </c>
      <c r="D3683" t="s">
        <v>339</v>
      </c>
      <c r="E3683" t="s">
        <v>399</v>
      </c>
    </row>
    <row r="3684" spans="8:8">
      <c r="B3684" t="s">
        <v>5659</v>
      </c>
      <c r="C3684">
        <v>533268.0</v>
      </c>
      <c r="D3684" t="s">
        <v>339</v>
      </c>
      <c r="E3684" t="s">
        <v>1077</v>
      </c>
    </row>
    <row r="3685" spans="8:8">
      <c r="B3685" t="s">
        <v>5660</v>
      </c>
      <c r="C3685">
        <v>526807.0</v>
      </c>
      <c r="D3685" t="s">
        <v>5661</v>
      </c>
      <c r="E3685" t="s">
        <v>1586</v>
      </c>
    </row>
    <row r="3686" spans="8:8">
      <c r="B3686" t="s">
        <v>5662</v>
      </c>
      <c r="C3686">
        <v>521182.0</v>
      </c>
      <c r="D3686" t="s">
        <v>339</v>
      </c>
      <c r="E3686" t="s">
        <v>361</v>
      </c>
    </row>
    <row r="3687" spans="8:8">
      <c r="B3687" t="s">
        <v>5663</v>
      </c>
      <c r="C3687">
        <v>514264.0</v>
      </c>
      <c r="D3687" t="s">
        <v>339</v>
      </c>
      <c r="E3687" t="s">
        <v>354</v>
      </c>
    </row>
    <row r="3688" spans="8:8">
      <c r="B3688" t="s">
        <v>5664</v>
      </c>
      <c r="C3688" t="s">
        <v>339</v>
      </c>
      <c r="D3688" t="s">
        <v>5665</v>
      </c>
      <c r="E3688" t="s">
        <v>350</v>
      </c>
    </row>
    <row r="3689" spans="8:8">
      <c r="B3689" t="s">
        <v>5666</v>
      </c>
      <c r="C3689">
        <v>540673.0</v>
      </c>
      <c r="D3689" t="s">
        <v>5667</v>
      </c>
      <c r="E3689" t="s">
        <v>3119</v>
      </c>
    </row>
    <row r="3690" spans="8:8">
      <c r="B3690" t="s">
        <v>5668</v>
      </c>
      <c r="C3690">
        <v>540673.0</v>
      </c>
      <c r="D3690" t="s">
        <v>5667</v>
      </c>
      <c r="E3690" t="s">
        <v>3119</v>
      </c>
    </row>
    <row r="3691" spans="8:8">
      <c r="B3691" t="s">
        <v>5669</v>
      </c>
      <c r="C3691">
        <v>532886.0</v>
      </c>
      <c r="D3691" t="s">
        <v>5670</v>
      </c>
      <c r="E3691" t="s">
        <v>354</v>
      </c>
    </row>
    <row r="3692" spans="8:8">
      <c r="B3692" t="s">
        <v>5671</v>
      </c>
      <c r="C3692">
        <v>530075.0</v>
      </c>
      <c r="D3692" t="s">
        <v>5672</v>
      </c>
      <c r="E3692" t="s">
        <v>402</v>
      </c>
    </row>
    <row r="3693" spans="8:8">
      <c r="B3693" t="s">
        <v>5673</v>
      </c>
      <c r="C3693">
        <v>538875.0</v>
      </c>
      <c r="D3693" t="s">
        <v>339</v>
      </c>
      <c r="E3693" t="s">
        <v>760</v>
      </c>
    </row>
    <row r="3694" spans="8:8">
      <c r="B3694" t="s">
        <v>5674</v>
      </c>
      <c r="C3694">
        <v>532021.0</v>
      </c>
      <c r="D3694" t="s">
        <v>339</v>
      </c>
      <c r="E3694" t="s">
        <v>377</v>
      </c>
    </row>
    <row r="3695" spans="8:8">
      <c r="B3695" t="s">
        <v>5675</v>
      </c>
      <c r="C3695">
        <v>531980.0</v>
      </c>
      <c r="D3695" t="s">
        <v>339</v>
      </c>
      <c r="E3695" t="s">
        <v>325</v>
      </c>
    </row>
    <row r="3696" spans="8:8">
      <c r="B3696" t="s">
        <v>5676</v>
      </c>
      <c r="C3696">
        <v>512529.0</v>
      </c>
      <c r="D3696" t="s">
        <v>5677</v>
      </c>
      <c r="E3696" t="s">
        <v>377</v>
      </c>
    </row>
    <row r="3697" spans="8:8">
      <c r="B3697" t="s">
        <v>5678</v>
      </c>
      <c r="C3697" t="s">
        <v>339</v>
      </c>
      <c r="D3697" t="s">
        <v>5679</v>
      </c>
      <c r="E3697" t="s">
        <v>350</v>
      </c>
    </row>
    <row r="3698" spans="8:8">
      <c r="B3698" t="s">
        <v>5680</v>
      </c>
      <c r="C3698">
        <v>502450.0</v>
      </c>
      <c r="D3698" t="s">
        <v>5681</v>
      </c>
      <c r="E3698" t="s">
        <v>333</v>
      </c>
    </row>
    <row r="3699" spans="8:8">
      <c r="B3699" t="s">
        <v>5682</v>
      </c>
      <c r="C3699">
        <v>505075.0</v>
      </c>
      <c r="D3699" t="s">
        <v>5683</v>
      </c>
      <c r="E3699" t="s">
        <v>694</v>
      </c>
    </row>
    <row r="3700" spans="8:8">
      <c r="B3700" t="s">
        <v>5684</v>
      </c>
      <c r="C3700">
        <v>511760.0</v>
      </c>
      <c r="D3700" t="s">
        <v>339</v>
      </c>
      <c r="E3700" t="s">
        <v>356</v>
      </c>
    </row>
    <row r="3701" spans="8:8">
      <c r="B3701" t="s">
        <v>5685</v>
      </c>
      <c r="C3701">
        <v>524324.0</v>
      </c>
      <c r="D3701" t="s">
        <v>339</v>
      </c>
      <c r="E3701" t="s">
        <v>499</v>
      </c>
    </row>
    <row r="3702" spans="8:8">
      <c r="B3702" t="s">
        <v>5686</v>
      </c>
      <c r="C3702">
        <v>532993.0</v>
      </c>
      <c r="D3702" t="s">
        <v>5687</v>
      </c>
      <c r="E3702" t="s">
        <v>867</v>
      </c>
    </row>
    <row r="3703" spans="8:8">
      <c r="B3703" t="s">
        <v>5688</v>
      </c>
      <c r="C3703">
        <v>530867.0</v>
      </c>
      <c r="D3703" t="s">
        <v>339</v>
      </c>
      <c r="E3703" t="s">
        <v>322</v>
      </c>
    </row>
    <row r="3704" spans="8:8">
      <c r="B3704" t="s">
        <v>5689</v>
      </c>
      <c r="C3704">
        <v>524546.0</v>
      </c>
      <c r="D3704" t="s">
        <v>339</v>
      </c>
      <c r="E3704" t="s">
        <v>377</v>
      </c>
    </row>
    <row r="3705" spans="8:8">
      <c r="B3705" t="s">
        <v>5690</v>
      </c>
      <c r="C3705">
        <v>513436.0</v>
      </c>
      <c r="D3705" t="s">
        <v>5691</v>
      </c>
      <c r="E3705" t="s">
        <v>371</v>
      </c>
    </row>
    <row r="3706" spans="8:8">
      <c r="B3706" t="s">
        <v>5692</v>
      </c>
      <c r="C3706">
        <v>509870.0</v>
      </c>
      <c r="D3706" t="s">
        <v>339</v>
      </c>
      <c r="E3706" t="s">
        <v>425</v>
      </c>
    </row>
    <row r="3707" spans="8:8">
      <c r="B3707" t="s">
        <v>5693</v>
      </c>
      <c r="C3707">
        <v>519031.0</v>
      </c>
      <c r="D3707" t="s">
        <v>339</v>
      </c>
      <c r="E3707" t="s">
        <v>399</v>
      </c>
    </row>
    <row r="3708" spans="8:8">
      <c r="B3708" t="s">
        <v>5694</v>
      </c>
      <c r="C3708">
        <v>526508.0</v>
      </c>
      <c r="D3708" t="s">
        <v>339</v>
      </c>
      <c r="E3708" t="s">
        <v>1586</v>
      </c>
    </row>
    <row r="3709" spans="8:8">
      <c r="B3709" t="s">
        <v>5695</v>
      </c>
      <c r="C3709">
        <v>539520.0</v>
      </c>
      <c r="D3709" t="s">
        <v>339</v>
      </c>
      <c r="E3709" t="s">
        <v>361</v>
      </c>
    </row>
    <row r="3710" spans="8:8">
      <c r="B3710" t="s">
        <v>5696</v>
      </c>
      <c r="C3710">
        <v>501423.0</v>
      </c>
      <c r="D3710" t="s">
        <v>339</v>
      </c>
      <c r="E3710" t="s">
        <v>459</v>
      </c>
    </row>
    <row r="3711" spans="8:8">
      <c r="B3711" t="s">
        <v>5697</v>
      </c>
      <c r="C3711" t="s">
        <v>339</v>
      </c>
      <c r="D3711" t="s">
        <v>5698</v>
      </c>
      <c r="E3711" t="s">
        <v>350</v>
      </c>
    </row>
    <row r="3712" spans="8:8">
      <c r="B3712" t="s">
        <v>5699</v>
      </c>
      <c r="C3712">
        <v>531431.0</v>
      </c>
      <c r="D3712" t="s">
        <v>5700</v>
      </c>
      <c r="E3712" t="s">
        <v>347</v>
      </c>
    </row>
    <row r="3713" spans="8:8">
      <c r="B3713" t="s">
        <v>5701</v>
      </c>
      <c r="C3713">
        <v>531431.0</v>
      </c>
      <c r="D3713" t="s">
        <v>5700</v>
      </c>
      <c r="E3713" t="s">
        <v>347</v>
      </c>
    </row>
    <row r="3714" spans="8:8">
      <c r="B3714" t="s">
        <v>5702</v>
      </c>
      <c r="C3714">
        <v>540797.0</v>
      </c>
      <c r="D3714" t="s">
        <v>5703</v>
      </c>
      <c r="E3714" t="s">
        <v>809</v>
      </c>
    </row>
    <row r="3715" spans="8:8">
      <c r="B3715" t="s">
        <v>5704</v>
      </c>
      <c r="C3715">
        <v>511754.0</v>
      </c>
      <c r="D3715" t="s">
        <v>339</v>
      </c>
      <c r="E3715" t="s">
        <v>356</v>
      </c>
    </row>
    <row r="3716" spans="8:8">
      <c r="B3716" t="s">
        <v>5705</v>
      </c>
      <c r="C3716">
        <v>539895.0</v>
      </c>
      <c r="D3716" t="s">
        <v>339</v>
      </c>
      <c r="E3716" t="s">
        <v>322</v>
      </c>
    </row>
    <row r="3717" spans="8:8">
      <c r="B3717" t="s">
        <v>5706</v>
      </c>
      <c r="C3717">
        <v>509874.0</v>
      </c>
      <c r="D3717" t="s">
        <v>5707</v>
      </c>
      <c r="E3717" t="s">
        <v>616</v>
      </c>
    </row>
    <row r="3718" spans="8:8">
      <c r="B3718" t="s">
        <v>5708</v>
      </c>
      <c r="C3718">
        <v>512499.0</v>
      </c>
      <c r="D3718" t="s">
        <v>339</v>
      </c>
      <c r="E3718" t="s">
        <v>322</v>
      </c>
    </row>
    <row r="3719" spans="8:8">
      <c r="B3719" t="s">
        <v>5709</v>
      </c>
      <c r="C3719">
        <v>532455.0</v>
      </c>
      <c r="D3719" t="s">
        <v>339</v>
      </c>
      <c r="E3719" t="s">
        <v>413</v>
      </c>
    </row>
    <row r="3720" spans="8:8">
      <c r="B3720" t="s">
        <v>5710</v>
      </c>
      <c r="C3720">
        <v>540259.0</v>
      </c>
      <c r="D3720" t="s">
        <v>339</v>
      </c>
      <c r="E3720" t="s">
        <v>3119</v>
      </c>
    </row>
    <row r="3721" spans="8:8">
      <c r="B3721" t="s">
        <v>5711</v>
      </c>
      <c r="C3721">
        <v>542232.0</v>
      </c>
      <c r="D3721" t="s">
        <v>5712</v>
      </c>
      <c r="E3721" t="s">
        <v>705</v>
      </c>
    </row>
    <row r="3722" spans="8:8">
      <c r="B3722" t="s">
        <v>5713</v>
      </c>
      <c r="C3722">
        <v>540425.0</v>
      </c>
      <c r="D3722" t="s">
        <v>5714</v>
      </c>
      <c r="E3722" t="s">
        <v>662</v>
      </c>
    </row>
    <row r="3723" spans="8:8">
      <c r="B3723" t="s">
        <v>5715</v>
      </c>
      <c r="C3723">
        <v>512297.0</v>
      </c>
      <c r="D3723" t="s">
        <v>339</v>
      </c>
      <c r="E3723" t="s">
        <v>347</v>
      </c>
    </row>
    <row r="3724" spans="8:8">
      <c r="B3724" t="s">
        <v>5716</v>
      </c>
      <c r="C3724">
        <v>531925.0</v>
      </c>
      <c r="D3724" t="s">
        <v>339</v>
      </c>
      <c r="E3724" t="s">
        <v>399</v>
      </c>
    </row>
    <row r="3725" spans="8:8">
      <c r="B3725" t="s">
        <v>5717</v>
      </c>
      <c r="C3725">
        <v>522034.0</v>
      </c>
      <c r="D3725" t="s">
        <v>5718</v>
      </c>
      <c r="E3725" t="s">
        <v>694</v>
      </c>
    </row>
    <row r="3726" spans="8:8">
      <c r="B3726" t="s">
        <v>5719</v>
      </c>
      <c r="C3726">
        <v>539921.0</v>
      </c>
      <c r="D3726" t="s">
        <v>339</v>
      </c>
      <c r="E3726" t="s">
        <v>444</v>
      </c>
    </row>
    <row r="3727" spans="8:8">
      <c r="B3727" t="s">
        <v>5720</v>
      </c>
      <c r="C3727" t="s">
        <v>339</v>
      </c>
      <c r="D3727" t="s">
        <v>5721</v>
      </c>
      <c r="E3727" t="s">
        <v>350</v>
      </c>
    </row>
    <row r="3728" spans="8:8">
      <c r="B3728" t="s">
        <v>5722</v>
      </c>
      <c r="C3728" t="s">
        <v>339</v>
      </c>
      <c r="D3728" t="s">
        <v>5721</v>
      </c>
      <c r="E3728" t="s">
        <v>350</v>
      </c>
    </row>
    <row r="3729" spans="8:8">
      <c r="B3729" t="s">
        <v>5723</v>
      </c>
      <c r="C3729">
        <v>514402.0</v>
      </c>
      <c r="D3729" t="s">
        <v>339</v>
      </c>
      <c r="E3729" t="s">
        <v>354</v>
      </c>
    </row>
    <row r="3730" spans="8:8">
      <c r="B3730" t="s">
        <v>5724</v>
      </c>
      <c r="C3730">
        <v>539584.0</v>
      </c>
      <c r="D3730" t="s">
        <v>339</v>
      </c>
      <c r="E3730" t="s">
        <v>361</v>
      </c>
    </row>
    <row r="3731" spans="8:8">
      <c r="B3731" t="s">
        <v>5725</v>
      </c>
      <c r="C3731">
        <v>538666.0</v>
      </c>
      <c r="D3731" t="s">
        <v>5726</v>
      </c>
      <c r="E3731" t="s">
        <v>483</v>
      </c>
    </row>
    <row r="3732" spans="8:8">
      <c r="B3732" t="s">
        <v>5727</v>
      </c>
      <c r="C3732">
        <v>513548.0</v>
      </c>
      <c r="D3732" t="s">
        <v>339</v>
      </c>
      <c r="E3732" t="s">
        <v>371</v>
      </c>
    </row>
    <row r="3733" spans="8:8">
      <c r="B3733" t="s">
        <v>5728</v>
      </c>
      <c r="C3733">
        <v>535602.0</v>
      </c>
      <c r="D3733" t="s">
        <v>5729</v>
      </c>
      <c r="E3733" t="s">
        <v>694</v>
      </c>
    </row>
    <row r="3734" spans="8:8">
      <c r="B3734" t="s">
        <v>5730</v>
      </c>
      <c r="C3734">
        <v>512393.0</v>
      </c>
      <c r="D3734" t="s">
        <v>339</v>
      </c>
      <c r="E3734" t="s">
        <v>322</v>
      </c>
    </row>
    <row r="3735" spans="8:8">
      <c r="B3735" t="s">
        <v>5731</v>
      </c>
      <c r="C3735">
        <v>540725.0</v>
      </c>
      <c r="D3735" t="s">
        <v>339</v>
      </c>
      <c r="E3735" t="s">
        <v>322</v>
      </c>
    </row>
    <row r="3736" spans="8:8">
      <c r="B3736" t="s">
        <v>5732</v>
      </c>
      <c r="C3736">
        <v>540786.0</v>
      </c>
      <c r="D3736" t="s">
        <v>339</v>
      </c>
      <c r="E3736" t="s">
        <v>637</v>
      </c>
    </row>
    <row r="3737" spans="8:8">
      <c r="B3737" t="s">
        <v>5733</v>
      </c>
      <c r="C3737">
        <v>532908.0</v>
      </c>
      <c r="D3737" t="s">
        <v>5734</v>
      </c>
      <c r="E3737" t="s">
        <v>377</v>
      </c>
    </row>
    <row r="3738" spans="8:8">
      <c r="B3738" t="s">
        <v>5735</v>
      </c>
      <c r="C3738">
        <v>523449.0</v>
      </c>
      <c r="D3738" t="s">
        <v>339</v>
      </c>
      <c r="E3738" t="s">
        <v>708</v>
      </c>
    </row>
    <row r="3739" spans="8:8">
      <c r="B3739" t="s">
        <v>5736</v>
      </c>
      <c r="C3739">
        <v>523449.0</v>
      </c>
      <c r="D3739" t="s">
        <v>339</v>
      </c>
      <c r="E3739" t="s">
        <v>708</v>
      </c>
    </row>
    <row r="3740" spans="8:8">
      <c r="B3740" t="s">
        <v>5737</v>
      </c>
      <c r="C3740">
        <v>538212.0</v>
      </c>
      <c r="D3740" t="s">
        <v>339</v>
      </c>
      <c r="E3740" t="s">
        <v>356</v>
      </c>
    </row>
    <row r="3741" spans="8:8">
      <c r="B3741" t="s">
        <v>5738</v>
      </c>
      <c r="C3741">
        <v>540221.0</v>
      </c>
      <c r="D3741" t="s">
        <v>339</v>
      </c>
      <c r="E3741" t="s">
        <v>361</v>
      </c>
    </row>
    <row r="3742" spans="8:8">
      <c r="B3742" t="s">
        <v>5739</v>
      </c>
      <c r="C3742">
        <v>540147.0</v>
      </c>
      <c r="D3742" t="s">
        <v>339</v>
      </c>
      <c r="E3742" t="s">
        <v>737</v>
      </c>
    </row>
    <row r="3743" spans="8:8">
      <c r="B3743" t="s">
        <v>5740</v>
      </c>
      <c r="C3743">
        <v>540203.0</v>
      </c>
      <c r="D3743" t="s">
        <v>5741</v>
      </c>
      <c r="E3743" t="s">
        <v>616</v>
      </c>
    </row>
    <row r="3744" spans="8:8">
      <c r="B3744" t="s">
        <v>5742</v>
      </c>
      <c r="C3744">
        <v>540757.0</v>
      </c>
      <c r="D3744" t="s">
        <v>339</v>
      </c>
      <c r="E3744" t="s">
        <v>399</v>
      </c>
    </row>
    <row r="3745" spans="8:8">
      <c r="B3745" t="s">
        <v>5743</v>
      </c>
      <c r="C3745">
        <v>530525.0</v>
      </c>
      <c r="D3745" t="s">
        <v>339</v>
      </c>
      <c r="E3745" t="s">
        <v>453</v>
      </c>
    </row>
    <row r="3746" spans="8:8">
      <c r="B3746" t="s">
        <v>5744</v>
      </c>
      <c r="C3746">
        <v>533301.0</v>
      </c>
      <c r="D3746" t="s">
        <v>5745</v>
      </c>
      <c r="E3746" t="s">
        <v>354</v>
      </c>
    </row>
    <row r="3747" spans="8:8">
      <c r="B3747" t="s">
        <v>5746</v>
      </c>
      <c r="C3747">
        <v>526839.0</v>
      </c>
      <c r="D3747" t="s">
        <v>339</v>
      </c>
      <c r="E3747" t="s">
        <v>737</v>
      </c>
    </row>
    <row r="3748" spans="8:8">
      <c r="B3748" t="s">
        <v>5747</v>
      </c>
      <c r="C3748">
        <v>538685.0</v>
      </c>
      <c r="D3748" t="s">
        <v>5748</v>
      </c>
      <c r="E3748" t="s">
        <v>342</v>
      </c>
    </row>
    <row r="3749" spans="8:8">
      <c r="B3749" t="s">
        <v>5749</v>
      </c>
      <c r="C3749">
        <v>512367.0</v>
      </c>
      <c r="D3749" t="s">
        <v>339</v>
      </c>
      <c r="E3749" t="s">
        <v>322</v>
      </c>
    </row>
    <row r="3750" spans="8:8">
      <c r="B3750" t="s">
        <v>5750</v>
      </c>
      <c r="C3750">
        <v>526117.0</v>
      </c>
      <c r="D3750" t="s">
        <v>339</v>
      </c>
      <c r="E3750" t="s">
        <v>885</v>
      </c>
    </row>
    <row r="3751" spans="8:8">
      <c r="B3751" t="s">
        <v>5751</v>
      </c>
      <c r="C3751">
        <v>539111.0</v>
      </c>
      <c r="D3751" t="s">
        <v>339</v>
      </c>
      <c r="E3751" t="s">
        <v>354</v>
      </c>
    </row>
    <row r="3752" spans="8:8">
      <c r="B3752" t="s">
        <v>5752</v>
      </c>
      <c r="C3752">
        <v>526137.0</v>
      </c>
      <c r="D3752" t="s">
        <v>339</v>
      </c>
      <c r="E3752" t="s">
        <v>534</v>
      </c>
    </row>
    <row r="3753" spans="8:8">
      <c r="B3753" t="s">
        <v>5753</v>
      </c>
      <c r="C3753">
        <v>507952.0</v>
      </c>
      <c r="D3753" t="s">
        <v>339</v>
      </c>
      <c r="E3753" t="s">
        <v>356</v>
      </c>
    </row>
    <row r="3754" spans="8:8">
      <c r="B3754" t="s">
        <v>5754</v>
      </c>
      <c r="C3754">
        <v>531201.0</v>
      </c>
      <c r="D3754" t="s">
        <v>339</v>
      </c>
      <c r="E3754" t="s">
        <v>637</v>
      </c>
    </row>
    <row r="3755" spans="8:8">
      <c r="B3755" t="s">
        <v>5755</v>
      </c>
      <c r="C3755">
        <v>513709.0</v>
      </c>
      <c r="D3755" t="s">
        <v>339</v>
      </c>
      <c r="E3755" t="s">
        <v>347</v>
      </c>
    </row>
    <row r="3756" spans="8:8">
      <c r="B3756" t="s">
        <v>5756</v>
      </c>
      <c r="C3756">
        <v>530549.0</v>
      </c>
      <c r="D3756" t="s">
        <v>5757</v>
      </c>
      <c r="E3756" t="s">
        <v>377</v>
      </c>
    </row>
    <row r="3757" spans="8:8">
      <c r="B3757" t="s">
        <v>5758</v>
      </c>
      <c r="C3757">
        <v>533389.0</v>
      </c>
      <c r="D3757" t="s">
        <v>5759</v>
      </c>
      <c r="E3757" t="s">
        <v>637</v>
      </c>
    </row>
    <row r="3758" spans="8:8">
      <c r="B3758" t="s">
        <v>5760</v>
      </c>
      <c r="C3758">
        <v>523598.0</v>
      </c>
      <c r="D3758" t="s">
        <v>5761</v>
      </c>
      <c r="E3758" t="s">
        <v>1586</v>
      </c>
    </row>
    <row r="3759" spans="8:8">
      <c r="B3759" t="s">
        <v>5762</v>
      </c>
      <c r="C3759">
        <v>523598.0</v>
      </c>
      <c r="D3759" t="s">
        <v>5761</v>
      </c>
      <c r="E3759" t="s">
        <v>1586</v>
      </c>
    </row>
    <row r="3760" spans="8:8">
      <c r="B3760" t="s">
        <v>5763</v>
      </c>
      <c r="C3760">
        <v>512289.0</v>
      </c>
      <c r="D3760" t="s">
        <v>5764</v>
      </c>
      <c r="E3760" t="s">
        <v>2586</v>
      </c>
    </row>
    <row r="3761" spans="8:8">
      <c r="B3761" t="s">
        <v>5765</v>
      </c>
      <c r="C3761">
        <v>540693.0</v>
      </c>
      <c r="D3761" t="s">
        <v>339</v>
      </c>
      <c r="E3761" t="s">
        <v>459</v>
      </c>
    </row>
    <row r="3762" spans="8:8">
      <c r="B3762" t="s">
        <v>5766</v>
      </c>
      <c r="C3762">
        <v>532323.0</v>
      </c>
      <c r="D3762" t="s">
        <v>339</v>
      </c>
      <c r="E3762" t="s">
        <v>352</v>
      </c>
    </row>
    <row r="3763" spans="8:8">
      <c r="B3763" t="s">
        <v>5767</v>
      </c>
      <c r="C3763">
        <v>530433.0</v>
      </c>
      <c r="D3763" t="s">
        <v>339</v>
      </c>
      <c r="E3763" t="s">
        <v>847</v>
      </c>
    </row>
    <row r="3764" spans="8:8">
      <c r="B3764" t="s">
        <v>5768</v>
      </c>
      <c r="C3764">
        <v>540072.0</v>
      </c>
      <c r="D3764" t="s">
        <v>339</v>
      </c>
      <c r="E3764" t="s">
        <v>867</v>
      </c>
    </row>
    <row r="3765" spans="8:8">
      <c r="B3765" t="s">
        <v>5769</v>
      </c>
      <c r="C3765">
        <v>524602.0</v>
      </c>
      <c r="D3765" t="s">
        <v>5770</v>
      </c>
      <c r="E3765" t="s">
        <v>528</v>
      </c>
    </row>
    <row r="3766" spans="8:8">
      <c r="B3766" t="s">
        <v>5771</v>
      </c>
      <c r="C3766">
        <v>540961.0</v>
      </c>
      <c r="D3766" t="s">
        <v>5772</v>
      </c>
      <c r="E3766" t="s">
        <v>354</v>
      </c>
    </row>
    <row r="3767" spans="8:8">
      <c r="B3767" t="s">
        <v>5773</v>
      </c>
      <c r="C3767">
        <v>521003.0</v>
      </c>
      <c r="D3767" t="s">
        <v>339</v>
      </c>
      <c r="E3767" t="s">
        <v>361</v>
      </c>
    </row>
    <row r="3768" spans="8:8">
      <c r="B3768" t="s">
        <v>5774</v>
      </c>
      <c r="C3768">
        <v>511108.0</v>
      </c>
      <c r="D3768" t="s">
        <v>5775</v>
      </c>
      <c r="E3768" t="s">
        <v>354</v>
      </c>
    </row>
    <row r="3769" spans="8:8">
      <c r="B3769" t="s">
        <v>5776</v>
      </c>
      <c r="C3769">
        <v>522237.0</v>
      </c>
      <c r="D3769" t="s">
        <v>339</v>
      </c>
      <c r="E3769" t="s">
        <v>347</v>
      </c>
    </row>
    <row r="3770" spans="8:8">
      <c r="B3770" t="s">
        <v>5777</v>
      </c>
      <c r="C3770">
        <v>513097.0</v>
      </c>
      <c r="D3770" t="s">
        <v>339</v>
      </c>
      <c r="E3770" t="s">
        <v>881</v>
      </c>
    </row>
    <row r="3771" spans="8:8">
      <c r="B3771" t="s">
        <v>5778</v>
      </c>
      <c r="C3771">
        <v>539148.0</v>
      </c>
      <c r="D3771" t="s">
        <v>339</v>
      </c>
      <c r="E3771" t="s">
        <v>483</v>
      </c>
    </row>
    <row r="3772" spans="8:8">
      <c r="B3772" t="s">
        <v>5779</v>
      </c>
      <c r="C3772">
        <v>532776.0</v>
      </c>
      <c r="D3772" t="s">
        <v>5780</v>
      </c>
      <c r="E3772" t="s">
        <v>694</v>
      </c>
    </row>
    <row r="3773" spans="8:8">
      <c r="B3773" t="s">
        <v>5781</v>
      </c>
      <c r="C3773">
        <v>539593.0</v>
      </c>
      <c r="D3773" t="s">
        <v>339</v>
      </c>
      <c r="E3773" t="s">
        <v>322</v>
      </c>
    </row>
    <row r="3774" spans="8:8">
      <c r="B3774" t="s">
        <v>5782</v>
      </c>
      <c r="C3774">
        <v>539683.0</v>
      </c>
      <c r="D3774" t="s">
        <v>339</v>
      </c>
      <c r="E3774" t="s">
        <v>356</v>
      </c>
    </row>
    <row r="3775" spans="8:8">
      <c r="B3775" t="s">
        <v>5783</v>
      </c>
      <c r="C3775">
        <v>539833.0</v>
      </c>
      <c r="D3775" t="s">
        <v>339</v>
      </c>
      <c r="E3775" t="s">
        <v>356</v>
      </c>
    </row>
    <row r="3776" spans="8:8">
      <c r="B3776" t="s">
        <v>5784</v>
      </c>
      <c r="C3776">
        <v>532638.0</v>
      </c>
      <c r="D3776" t="s">
        <v>5785</v>
      </c>
      <c r="E3776" t="s">
        <v>508</v>
      </c>
    </row>
    <row r="3777" spans="8:8">
      <c r="B3777" t="s">
        <v>5786</v>
      </c>
      <c r="C3777" t="s">
        <v>339</v>
      </c>
      <c r="D3777" t="s">
        <v>5787</v>
      </c>
      <c r="E3777" t="s">
        <v>350</v>
      </c>
    </row>
    <row r="3778" spans="8:8">
      <c r="B3778" t="s">
        <v>5788</v>
      </c>
      <c r="C3778">
        <v>538795.0</v>
      </c>
      <c r="D3778" t="s">
        <v>339</v>
      </c>
      <c r="E3778" t="s">
        <v>333</v>
      </c>
    </row>
    <row r="3779" spans="8:8">
      <c r="B3779" t="s">
        <v>5789</v>
      </c>
      <c r="C3779">
        <v>521131.0</v>
      </c>
      <c r="D3779" t="s">
        <v>339</v>
      </c>
      <c r="E3779" t="s">
        <v>354</v>
      </c>
    </row>
    <row r="3780" spans="8:8">
      <c r="B3780" t="s">
        <v>5790</v>
      </c>
      <c r="C3780">
        <v>502563.0</v>
      </c>
      <c r="D3780" t="s">
        <v>339</v>
      </c>
      <c r="E3780" t="s">
        <v>333</v>
      </c>
    </row>
    <row r="3781" spans="8:8">
      <c r="B3781" t="s">
        <v>5791</v>
      </c>
      <c r="C3781">
        <v>500387.0</v>
      </c>
      <c r="D3781" t="s">
        <v>5792</v>
      </c>
      <c r="E3781" t="s">
        <v>352</v>
      </c>
    </row>
    <row r="3782" spans="8:8">
      <c r="B3782" t="s">
        <v>5793</v>
      </c>
      <c r="C3782">
        <v>502180.0</v>
      </c>
      <c r="D3782" t="s">
        <v>339</v>
      </c>
      <c r="E3782" t="s">
        <v>352</v>
      </c>
    </row>
    <row r="3783" spans="8:8">
      <c r="B3783" t="s">
        <v>5794</v>
      </c>
      <c r="C3783">
        <v>539470.0</v>
      </c>
      <c r="D3783" t="s">
        <v>339</v>
      </c>
      <c r="E3783" t="s">
        <v>677</v>
      </c>
    </row>
    <row r="3784" spans="8:8">
      <c r="B3784" t="s">
        <v>5795</v>
      </c>
      <c r="C3784">
        <v>539470.0</v>
      </c>
      <c r="D3784" t="s">
        <v>339</v>
      </c>
      <c r="E3784" t="s">
        <v>677</v>
      </c>
    </row>
    <row r="3785" spans="8:8">
      <c r="B3785" t="s">
        <v>5796</v>
      </c>
      <c r="C3785">
        <v>530797.0</v>
      </c>
      <c r="D3785" t="s">
        <v>339</v>
      </c>
      <c r="E3785" t="s">
        <v>361</v>
      </c>
    </row>
    <row r="3786" spans="8:8">
      <c r="B3786" t="s">
        <v>5797</v>
      </c>
      <c r="C3786">
        <v>532643.0</v>
      </c>
      <c r="D3786" t="s">
        <v>5798</v>
      </c>
      <c r="E3786" t="s">
        <v>1258</v>
      </c>
    </row>
    <row r="3787" spans="8:8">
      <c r="B3787" t="s">
        <v>5799</v>
      </c>
      <c r="C3787">
        <v>540737.0</v>
      </c>
      <c r="D3787" t="s">
        <v>339</v>
      </c>
      <c r="E3787" t="s">
        <v>377</v>
      </c>
    </row>
    <row r="3788" spans="8:8">
      <c r="B3788" t="s">
        <v>5800</v>
      </c>
      <c r="C3788">
        <v>512463.0</v>
      </c>
      <c r="D3788" t="s">
        <v>339</v>
      </c>
      <c r="E3788" t="s">
        <v>356</v>
      </c>
    </row>
    <row r="3789" spans="8:8">
      <c r="B3789" t="s">
        <v>5801</v>
      </c>
      <c r="C3789">
        <v>524336.0</v>
      </c>
      <c r="D3789" t="s">
        <v>339</v>
      </c>
      <c r="E3789" t="s">
        <v>387</v>
      </c>
    </row>
    <row r="3790" spans="8:8">
      <c r="B3790" t="s">
        <v>5802</v>
      </c>
      <c r="C3790">
        <v>516106.0</v>
      </c>
      <c r="D3790" t="s">
        <v>339</v>
      </c>
      <c r="E3790" t="s">
        <v>333</v>
      </c>
    </row>
    <row r="3791" spans="8:8">
      <c r="B3791" t="s">
        <v>5803</v>
      </c>
      <c r="C3791">
        <v>542146.0</v>
      </c>
      <c r="D3791" t="s">
        <v>339</v>
      </c>
      <c r="E3791" t="s">
        <v>425</v>
      </c>
    </row>
    <row r="3792" spans="8:8">
      <c r="B3792" t="s">
        <v>5804</v>
      </c>
      <c r="C3792">
        <v>500388.0</v>
      </c>
      <c r="D3792" t="s">
        <v>339</v>
      </c>
      <c r="E3792" t="s">
        <v>333</v>
      </c>
    </row>
    <row r="3793" spans="8:8">
      <c r="B3793" t="s">
        <v>5805</v>
      </c>
      <c r="C3793">
        <v>503863.0</v>
      </c>
      <c r="D3793" t="s">
        <v>339</v>
      </c>
      <c r="E3793" t="s">
        <v>354</v>
      </c>
    </row>
    <row r="3794" spans="8:8">
      <c r="B3794" t="s">
        <v>5806</v>
      </c>
      <c r="C3794">
        <v>531962.0</v>
      </c>
      <c r="D3794" t="s">
        <v>339</v>
      </c>
      <c r="E3794" t="s">
        <v>356</v>
      </c>
    </row>
    <row r="3795" spans="8:8">
      <c r="B3795" t="s">
        <v>5807</v>
      </c>
      <c r="C3795">
        <v>540253.0</v>
      </c>
      <c r="D3795" t="s">
        <v>339</v>
      </c>
      <c r="E3795" t="s">
        <v>322</v>
      </c>
    </row>
    <row r="3796" spans="8:8">
      <c r="B3796" t="s">
        <v>5808</v>
      </c>
      <c r="C3796">
        <v>506180.0</v>
      </c>
      <c r="D3796" t="s">
        <v>339</v>
      </c>
      <c r="E3796" t="s">
        <v>361</v>
      </c>
    </row>
    <row r="3797" spans="8:8">
      <c r="B3797" t="s">
        <v>5809</v>
      </c>
      <c r="C3797">
        <v>527005.0</v>
      </c>
      <c r="D3797" t="s">
        <v>339</v>
      </c>
      <c r="E3797" t="s">
        <v>1303</v>
      </c>
    </row>
    <row r="3798" spans="8:8">
      <c r="B3798" t="s">
        <v>5810</v>
      </c>
      <c r="C3798">
        <v>533110.0</v>
      </c>
      <c r="D3798" t="s">
        <v>339</v>
      </c>
      <c r="E3798" t="s">
        <v>662</v>
      </c>
    </row>
    <row r="3799" spans="8:8">
      <c r="B3799" t="s">
        <v>5811</v>
      </c>
      <c r="C3799">
        <v>539334.0</v>
      </c>
      <c r="D3799" t="s">
        <v>5812</v>
      </c>
      <c r="E3799" t="s">
        <v>499</v>
      </c>
    </row>
    <row r="3800" spans="8:8">
      <c r="B3800" t="s">
        <v>5813</v>
      </c>
      <c r="C3800">
        <v>503837.0</v>
      </c>
      <c r="D3800" t="s">
        <v>339</v>
      </c>
      <c r="E3800" t="s">
        <v>354</v>
      </c>
    </row>
    <row r="3801" spans="8:8">
      <c r="B3801" t="s">
        <v>5814</v>
      </c>
      <c r="C3801">
        <v>516086.0</v>
      </c>
      <c r="D3801" t="s">
        <v>339</v>
      </c>
      <c r="E3801" t="s">
        <v>333</v>
      </c>
    </row>
    <row r="3802" spans="8:8">
      <c r="B3802" t="s">
        <v>5815</v>
      </c>
      <c r="C3802" t="s">
        <v>339</v>
      </c>
      <c r="D3802" t="s">
        <v>5816</v>
      </c>
      <c r="E3802" t="s">
        <v>350</v>
      </c>
    </row>
    <row r="3803" spans="8:8">
      <c r="B3803" t="s">
        <v>5817</v>
      </c>
      <c r="C3803">
        <v>532310.0</v>
      </c>
      <c r="D3803" t="s">
        <v>5818</v>
      </c>
      <c r="E3803" t="s">
        <v>534</v>
      </c>
    </row>
    <row r="3804" spans="8:8">
      <c r="B3804" t="s">
        <v>5819</v>
      </c>
      <c r="C3804">
        <v>500356.0</v>
      </c>
      <c r="D3804" t="s">
        <v>5820</v>
      </c>
      <c r="E3804" t="s">
        <v>333</v>
      </c>
    </row>
    <row r="3805" spans="8:8">
      <c r="B3805" t="s">
        <v>5821</v>
      </c>
      <c r="C3805">
        <v>532670.0</v>
      </c>
      <c r="D3805" t="s">
        <v>5822</v>
      </c>
      <c r="E3805" t="s">
        <v>1037</v>
      </c>
    </row>
    <row r="3806" spans="8:8">
      <c r="B3806" t="s">
        <v>5823</v>
      </c>
      <c r="C3806">
        <v>503635.0</v>
      </c>
      <c r="D3806" t="s">
        <v>339</v>
      </c>
      <c r="E3806" t="s">
        <v>322</v>
      </c>
    </row>
    <row r="3807" spans="8:8">
      <c r="B3807" t="s">
        <v>5824</v>
      </c>
      <c r="C3807">
        <v>538975.0</v>
      </c>
      <c r="D3807" t="s">
        <v>339</v>
      </c>
      <c r="E3807" t="s">
        <v>356</v>
      </c>
    </row>
    <row r="3808" spans="8:8">
      <c r="B3808" t="s">
        <v>5825</v>
      </c>
      <c r="C3808">
        <v>513488.0</v>
      </c>
      <c r="D3808" t="s">
        <v>339</v>
      </c>
      <c r="E3808" t="s">
        <v>662</v>
      </c>
    </row>
    <row r="3809" spans="8:8">
      <c r="B3809" t="s">
        <v>5826</v>
      </c>
      <c r="C3809">
        <v>531667.0</v>
      </c>
      <c r="D3809" t="s">
        <v>339</v>
      </c>
      <c r="E3809" t="s">
        <v>361</v>
      </c>
    </row>
    <row r="3810" spans="8:8">
      <c r="B3810" t="s">
        <v>5827</v>
      </c>
      <c r="C3810" t="s">
        <v>339</v>
      </c>
      <c r="D3810" t="s">
        <v>5828</v>
      </c>
      <c r="E3810" t="s">
        <v>350</v>
      </c>
    </row>
    <row r="3811" spans="8:8">
      <c r="B3811" t="s">
        <v>5829</v>
      </c>
      <c r="C3811">
        <v>590128.0</v>
      </c>
      <c r="D3811" t="s">
        <v>339</v>
      </c>
      <c r="E3811" t="s">
        <v>325</v>
      </c>
    </row>
    <row r="3812" spans="8:8">
      <c r="B3812" t="s">
        <v>5830</v>
      </c>
      <c r="C3812" t="s">
        <v>339</v>
      </c>
      <c r="D3812" t="s">
        <v>5831</v>
      </c>
      <c r="E3812" t="s">
        <v>350</v>
      </c>
    </row>
    <row r="3813" spans="8:8">
      <c r="B3813" t="s">
        <v>5832</v>
      </c>
      <c r="C3813">
        <v>541358.0</v>
      </c>
      <c r="D3813" t="s">
        <v>339</v>
      </c>
      <c r="E3813" t="s">
        <v>356</v>
      </c>
    </row>
    <row r="3814" spans="8:8">
      <c r="B3814" t="s">
        <v>5833</v>
      </c>
      <c r="C3814">
        <v>540738.0</v>
      </c>
      <c r="D3814" t="s">
        <v>339</v>
      </c>
      <c r="E3814" t="s">
        <v>660</v>
      </c>
    </row>
    <row r="3815" spans="8:8">
      <c r="B3815" t="s">
        <v>5834</v>
      </c>
      <c r="C3815">
        <v>503696.0</v>
      </c>
      <c r="D3815" t="s">
        <v>339</v>
      </c>
      <c r="E3815" t="s">
        <v>760</v>
      </c>
    </row>
    <row r="3816" spans="8:8">
      <c r="B3816" t="s">
        <v>5835</v>
      </c>
      <c r="C3816" t="s">
        <v>339</v>
      </c>
      <c r="D3816" t="s">
        <v>5836</v>
      </c>
      <c r="E3816" t="s">
        <v>350</v>
      </c>
    </row>
    <row r="3817" spans="8:8">
      <c r="B3817" t="s">
        <v>5837</v>
      </c>
      <c r="C3817">
        <v>541112.0</v>
      </c>
      <c r="D3817" t="s">
        <v>339</v>
      </c>
      <c r="E3817" t="s">
        <v>737</v>
      </c>
    </row>
    <row r="3818" spans="8:8">
      <c r="B3818" t="s">
        <v>5838</v>
      </c>
      <c r="C3818">
        <v>532007.0</v>
      </c>
      <c r="D3818" t="s">
        <v>339</v>
      </c>
      <c r="E3818" t="s">
        <v>760</v>
      </c>
    </row>
    <row r="3819" spans="8:8">
      <c r="B3819" t="s">
        <v>5839</v>
      </c>
      <c r="C3819" t="s">
        <v>339</v>
      </c>
      <c r="D3819" t="s">
        <v>5840</v>
      </c>
      <c r="E3819" t="s">
        <v>350</v>
      </c>
    </row>
    <row r="3820" spans="8:8">
      <c r="B3820" t="s">
        <v>5841</v>
      </c>
      <c r="C3820">
        <v>516016.0</v>
      </c>
      <c r="D3820" t="s">
        <v>5842</v>
      </c>
      <c r="E3820" t="s">
        <v>333</v>
      </c>
    </row>
    <row r="3821" spans="8:8">
      <c r="B3821" t="s">
        <v>5843</v>
      </c>
      <c r="C3821">
        <v>526335.0</v>
      </c>
      <c r="D3821" t="s">
        <v>339</v>
      </c>
      <c r="E3821" t="s">
        <v>387</v>
      </c>
    </row>
    <row r="3822" spans="8:8">
      <c r="B3822" t="s">
        <v>5844</v>
      </c>
      <c r="C3822">
        <v>520151.0</v>
      </c>
      <c r="D3822" t="s">
        <v>5845</v>
      </c>
      <c r="E3822" t="s">
        <v>1586</v>
      </c>
    </row>
    <row r="3823" spans="8:8">
      <c r="B3823" t="s">
        <v>5846</v>
      </c>
      <c r="C3823">
        <v>526981.0</v>
      </c>
      <c r="D3823" t="s">
        <v>339</v>
      </c>
      <c r="E3823" t="s">
        <v>662</v>
      </c>
    </row>
    <row r="3824" spans="8:8">
      <c r="B3824" t="s">
        <v>5847</v>
      </c>
      <c r="C3824">
        <v>530841.0</v>
      </c>
      <c r="D3824" t="s">
        <v>339</v>
      </c>
      <c r="E3824" t="s">
        <v>616</v>
      </c>
    </row>
    <row r="3825" spans="8:8">
      <c r="B3825" t="s">
        <v>5848</v>
      </c>
      <c r="C3825">
        <v>503804.0</v>
      </c>
      <c r="D3825" t="s">
        <v>339</v>
      </c>
      <c r="E3825" t="s">
        <v>354</v>
      </c>
    </row>
    <row r="3826" spans="8:8">
      <c r="B3826" t="s">
        <v>5849</v>
      </c>
      <c r="C3826">
        <v>512453.0</v>
      </c>
      <c r="D3826" t="s">
        <v>339</v>
      </c>
      <c r="E3826" t="s">
        <v>534</v>
      </c>
    </row>
    <row r="3827" spans="8:8">
      <c r="B3827" t="s">
        <v>5850</v>
      </c>
      <c r="C3827">
        <v>532083.0</v>
      </c>
      <c r="D3827" t="s">
        <v>339</v>
      </c>
      <c r="E3827" t="s">
        <v>760</v>
      </c>
    </row>
    <row r="3828" spans="8:8">
      <c r="B3828" t="s">
        <v>5851</v>
      </c>
      <c r="C3828">
        <v>530977.0</v>
      </c>
      <c r="D3828" t="s">
        <v>339</v>
      </c>
      <c r="E3828" t="s">
        <v>352</v>
      </c>
    </row>
    <row r="3829" spans="8:8">
      <c r="B3829" t="s">
        <v>5852</v>
      </c>
      <c r="C3829">
        <v>531080.0</v>
      </c>
      <c r="D3829" t="s">
        <v>339</v>
      </c>
      <c r="E3829" t="s">
        <v>425</v>
      </c>
    </row>
    <row r="3830" spans="8:8">
      <c r="B3830" t="s">
        <v>5853</v>
      </c>
      <c r="C3830">
        <v>538897.0</v>
      </c>
      <c r="D3830" t="s">
        <v>339</v>
      </c>
      <c r="E3830" t="s">
        <v>356</v>
      </c>
    </row>
    <row r="3831" spans="8:8">
      <c r="B3831" t="s">
        <v>5854</v>
      </c>
      <c r="C3831" t="s">
        <v>339</v>
      </c>
      <c r="D3831" t="s">
        <v>5855</v>
      </c>
      <c r="E3831" t="s">
        <v>350</v>
      </c>
    </row>
    <row r="3832" spans="8:8">
      <c r="B3832" t="s">
        <v>5856</v>
      </c>
      <c r="C3832">
        <v>508961.0</v>
      </c>
      <c r="D3832" t="s">
        <v>339</v>
      </c>
      <c r="E3832" t="s">
        <v>356</v>
      </c>
    </row>
    <row r="3833" spans="8:8">
      <c r="B3833" t="s">
        <v>5857</v>
      </c>
      <c r="C3833">
        <v>531359.0</v>
      </c>
      <c r="D3833" t="s">
        <v>339</v>
      </c>
      <c r="E3833" t="s">
        <v>2744</v>
      </c>
    </row>
    <row r="3834" spans="8:8">
      <c r="B3834" t="s">
        <v>5858</v>
      </c>
      <c r="C3834">
        <v>532498.0</v>
      </c>
      <c r="D3834" t="s">
        <v>5859</v>
      </c>
      <c r="E3834" t="s">
        <v>356</v>
      </c>
    </row>
    <row r="3835" spans="8:8">
      <c r="B3835" t="s">
        <v>5860</v>
      </c>
      <c r="C3835">
        <v>532945.0</v>
      </c>
      <c r="D3835" t="s">
        <v>5861</v>
      </c>
      <c r="E3835" t="s">
        <v>737</v>
      </c>
    </row>
    <row r="3836" spans="8:8">
      <c r="B3836" t="s">
        <v>5862</v>
      </c>
      <c r="C3836" t="s">
        <v>339</v>
      </c>
      <c r="D3836" t="s">
        <v>5863</v>
      </c>
      <c r="E3836" t="s">
        <v>430</v>
      </c>
    </row>
    <row r="3837" spans="8:8">
      <c r="B3837" t="s">
        <v>5864</v>
      </c>
      <c r="C3837">
        <v>511218.0</v>
      </c>
      <c r="D3837" t="s">
        <v>5865</v>
      </c>
      <c r="E3837" t="s">
        <v>356</v>
      </c>
    </row>
    <row r="3838" spans="8:8">
      <c r="B3838" t="s">
        <v>5866</v>
      </c>
      <c r="C3838">
        <v>511411.0</v>
      </c>
      <c r="D3838" t="s">
        <v>339</v>
      </c>
      <c r="E3838" t="s">
        <v>737</v>
      </c>
    </row>
    <row r="3839" spans="8:8">
      <c r="B3839" t="s">
        <v>5867</v>
      </c>
      <c r="C3839">
        <v>542019.0</v>
      </c>
      <c r="D3839" t="s">
        <v>339</v>
      </c>
      <c r="E3839" t="s">
        <v>354</v>
      </c>
    </row>
    <row r="3840" spans="8:8">
      <c r="B3840" t="s">
        <v>5868</v>
      </c>
      <c r="C3840" t="s">
        <v>339</v>
      </c>
      <c r="D3840" t="s">
        <v>5869</v>
      </c>
      <c r="E3840" t="s">
        <v>350</v>
      </c>
    </row>
    <row r="3841" spans="8:8">
      <c r="B3841" t="s">
        <v>5870</v>
      </c>
      <c r="C3841">
        <v>531506.0</v>
      </c>
      <c r="D3841" t="s">
        <v>5871</v>
      </c>
      <c r="E3841" t="s">
        <v>760</v>
      </c>
    </row>
    <row r="3842" spans="8:8">
      <c r="B3842" t="s">
        <v>5872</v>
      </c>
      <c r="C3842">
        <v>523790.0</v>
      </c>
      <c r="D3842" t="s">
        <v>339</v>
      </c>
      <c r="E3842" t="s">
        <v>453</v>
      </c>
    </row>
    <row r="3843" spans="8:8">
      <c r="B3843" t="s">
        <v>5873</v>
      </c>
      <c r="C3843">
        <v>524632.0</v>
      </c>
      <c r="D3843" t="s">
        <v>339</v>
      </c>
      <c r="E3843" t="s">
        <v>377</v>
      </c>
    </row>
    <row r="3844" spans="8:8">
      <c r="B3844" t="s">
        <v>5874</v>
      </c>
      <c r="C3844">
        <v>539252.0</v>
      </c>
      <c r="D3844" t="s">
        <v>5875</v>
      </c>
      <c r="E3844" t="s">
        <v>371</v>
      </c>
    </row>
    <row r="3845" spans="8:8">
      <c r="B3845" t="s">
        <v>5876</v>
      </c>
      <c r="C3845">
        <v>517411.0</v>
      </c>
      <c r="D3845" t="s">
        <v>5877</v>
      </c>
      <c r="E3845" t="s">
        <v>485</v>
      </c>
    </row>
    <row r="3846" spans="8:8">
      <c r="B3846" t="s">
        <v>5878</v>
      </c>
      <c r="C3846">
        <v>531219.0</v>
      </c>
      <c r="D3846" t="s">
        <v>339</v>
      </c>
      <c r="E3846" t="s">
        <v>377</v>
      </c>
    </row>
    <row r="3847" spans="8:8">
      <c r="B3847" t="s">
        <v>5879</v>
      </c>
      <c r="C3847">
        <v>505515.0</v>
      </c>
      <c r="D3847" t="s">
        <v>339</v>
      </c>
      <c r="E3847" t="s">
        <v>322</v>
      </c>
    </row>
    <row r="3848" spans="8:8">
      <c r="B3848" t="s">
        <v>5880</v>
      </c>
      <c r="C3848">
        <v>530907.0</v>
      </c>
      <c r="D3848" t="s">
        <v>339</v>
      </c>
      <c r="E3848" t="s">
        <v>760</v>
      </c>
    </row>
    <row r="3849" spans="8:8">
      <c r="B3849" t="s">
        <v>5881</v>
      </c>
      <c r="C3849">
        <v>520141.0</v>
      </c>
      <c r="D3849" t="s">
        <v>339</v>
      </c>
      <c r="E3849" t="s">
        <v>694</v>
      </c>
    </row>
    <row r="3850" spans="8:8">
      <c r="B3850" t="s">
        <v>5882</v>
      </c>
      <c r="C3850">
        <v>533014.0</v>
      </c>
      <c r="D3850" t="s">
        <v>5883</v>
      </c>
      <c r="E3850" t="s">
        <v>361</v>
      </c>
    </row>
    <row r="3851" spans="8:8">
      <c r="B3851" t="s">
        <v>5884</v>
      </c>
      <c r="C3851">
        <v>533014.0</v>
      </c>
      <c r="D3851" t="s">
        <v>5883</v>
      </c>
      <c r="E3851" t="s">
        <v>361</v>
      </c>
    </row>
    <row r="3852" spans="8:8">
      <c r="B3852" t="s">
        <v>5885</v>
      </c>
      <c r="C3852">
        <v>520086.0</v>
      </c>
      <c r="D3852" t="s">
        <v>5886</v>
      </c>
      <c r="E3852" t="s">
        <v>660</v>
      </c>
    </row>
    <row r="3853" spans="8:8">
      <c r="B3853" t="s">
        <v>5887</v>
      </c>
      <c r="C3853">
        <v>540736.0</v>
      </c>
      <c r="D3853" t="s">
        <v>339</v>
      </c>
      <c r="E3853" t="s">
        <v>444</v>
      </c>
    </row>
    <row r="3854" spans="8:8">
      <c r="B3854" t="s">
        <v>5888</v>
      </c>
      <c r="C3854">
        <v>539983.0</v>
      </c>
      <c r="D3854" t="s">
        <v>339</v>
      </c>
      <c r="E3854" t="s">
        <v>322</v>
      </c>
    </row>
    <row r="3855" spans="8:8">
      <c r="B3855" t="s">
        <v>5889</v>
      </c>
      <c r="C3855">
        <v>532217.0</v>
      </c>
      <c r="D3855" t="s">
        <v>339</v>
      </c>
      <c r="E3855" t="s">
        <v>322</v>
      </c>
    </row>
    <row r="3856" spans="8:8">
      <c r="B3856" t="s">
        <v>5890</v>
      </c>
      <c r="C3856">
        <v>500550.0</v>
      </c>
      <c r="D3856" t="s">
        <v>5891</v>
      </c>
      <c r="E3856" t="s">
        <v>382</v>
      </c>
    </row>
    <row r="3857" spans="8:8">
      <c r="B3857" t="s">
        <v>5892</v>
      </c>
      <c r="C3857">
        <v>512131.0</v>
      </c>
      <c r="D3857" t="s">
        <v>5893</v>
      </c>
      <c r="E3857" t="s">
        <v>459</v>
      </c>
    </row>
    <row r="3858" spans="8:8">
      <c r="B3858" t="s">
        <v>5894</v>
      </c>
      <c r="C3858">
        <v>523606.0</v>
      </c>
      <c r="D3858" t="s">
        <v>339</v>
      </c>
      <c r="E3858" t="s">
        <v>812</v>
      </c>
    </row>
    <row r="3859" spans="8:8">
      <c r="B3859" t="s">
        <v>5895</v>
      </c>
      <c r="C3859" t="s">
        <v>339</v>
      </c>
      <c r="D3859" t="s">
        <v>5896</v>
      </c>
      <c r="E3859" t="s">
        <v>350</v>
      </c>
    </row>
    <row r="3860" spans="8:8">
      <c r="B3860" t="s">
        <v>5897</v>
      </c>
      <c r="C3860">
        <v>524642.0</v>
      </c>
      <c r="D3860" t="s">
        <v>339</v>
      </c>
      <c r="E3860" t="s">
        <v>425</v>
      </c>
    </row>
    <row r="3861" spans="8:8">
      <c r="B3861" t="s">
        <v>5898</v>
      </c>
      <c r="C3861">
        <v>521194.0</v>
      </c>
      <c r="D3861" t="s">
        <v>5899</v>
      </c>
      <c r="E3861" t="s">
        <v>322</v>
      </c>
    </row>
    <row r="3862" spans="8:8">
      <c r="B3862" t="s">
        <v>5900</v>
      </c>
      <c r="C3862" t="s">
        <v>339</v>
      </c>
      <c r="D3862" t="s">
        <v>5901</v>
      </c>
      <c r="E3862" t="s">
        <v>350</v>
      </c>
    </row>
    <row r="3863" spans="8:8">
      <c r="B3863" t="s">
        <v>5902</v>
      </c>
      <c r="C3863" t="s">
        <v>339</v>
      </c>
      <c r="D3863" t="s">
        <v>5903</v>
      </c>
      <c r="E3863" t="s">
        <v>350</v>
      </c>
    </row>
    <row r="3864" spans="8:8">
      <c r="B3864" t="s">
        <v>5904</v>
      </c>
      <c r="C3864">
        <v>531635.0</v>
      </c>
      <c r="D3864" t="s">
        <v>339</v>
      </c>
      <c r="E3864" t="s">
        <v>970</v>
      </c>
    </row>
    <row r="3865" spans="8:8">
      <c r="B3865" t="s">
        <v>5905</v>
      </c>
      <c r="C3865">
        <v>512197.0</v>
      </c>
      <c r="D3865" t="s">
        <v>339</v>
      </c>
      <c r="E3865" t="s">
        <v>356</v>
      </c>
    </row>
    <row r="3866" spans="8:8">
      <c r="B3866" t="s">
        <v>5906</v>
      </c>
      <c r="C3866">
        <v>531635.0</v>
      </c>
      <c r="D3866" t="s">
        <v>339</v>
      </c>
      <c r="E3866" t="s">
        <v>970</v>
      </c>
    </row>
    <row r="3867" spans="8:8">
      <c r="B3867" t="s">
        <v>5907</v>
      </c>
      <c r="C3867" t="s">
        <v>339</v>
      </c>
      <c r="D3867" t="s">
        <v>5908</v>
      </c>
      <c r="E3867" t="s">
        <v>350</v>
      </c>
    </row>
    <row r="3868" spans="8:8">
      <c r="B3868" t="s">
        <v>5909</v>
      </c>
      <c r="C3868">
        <v>536073.0</v>
      </c>
      <c r="D3868" t="s">
        <v>339</v>
      </c>
      <c r="E3868" t="s">
        <v>737</v>
      </c>
    </row>
    <row r="3869" spans="8:8">
      <c r="B3869" t="s">
        <v>5910</v>
      </c>
      <c r="C3869">
        <v>539742.0</v>
      </c>
      <c r="D3869" t="s">
        <v>5911</v>
      </c>
      <c r="E3869" t="s">
        <v>1037</v>
      </c>
    </row>
    <row r="3870" spans="8:8">
      <c r="B3870" t="s">
        <v>5912</v>
      </c>
      <c r="C3870">
        <v>507998.0</v>
      </c>
      <c r="D3870" t="s">
        <v>339</v>
      </c>
      <c r="E3870" t="s">
        <v>694</v>
      </c>
    </row>
    <row r="3871" spans="8:8">
      <c r="B3871" t="s">
        <v>5913</v>
      </c>
      <c r="C3871">
        <v>513472.0</v>
      </c>
      <c r="D3871" t="s">
        <v>339</v>
      </c>
      <c r="E3871" t="s">
        <v>1258</v>
      </c>
    </row>
    <row r="3872" spans="8:8">
      <c r="B3872" t="s">
        <v>5914</v>
      </c>
      <c r="C3872">
        <v>523838.0</v>
      </c>
      <c r="D3872" t="s">
        <v>5915</v>
      </c>
      <c r="E3872" t="s">
        <v>737</v>
      </c>
    </row>
    <row r="3873" spans="8:8">
      <c r="B3873" t="s">
        <v>5916</v>
      </c>
      <c r="C3873">
        <v>533018.0</v>
      </c>
      <c r="D3873" t="s">
        <v>339</v>
      </c>
      <c r="E3873" t="s">
        <v>354</v>
      </c>
    </row>
    <row r="3874" spans="8:8">
      <c r="B3874" t="s">
        <v>5917</v>
      </c>
      <c r="C3874">
        <v>533019.0</v>
      </c>
      <c r="D3874" t="s">
        <v>339</v>
      </c>
      <c r="E3874" t="s">
        <v>333</v>
      </c>
    </row>
    <row r="3875" spans="8:8">
      <c r="B3875" t="s">
        <v>5918</v>
      </c>
      <c r="C3875">
        <v>503229.0</v>
      </c>
      <c r="D3875" t="s">
        <v>339</v>
      </c>
      <c r="E3875" t="s">
        <v>425</v>
      </c>
    </row>
    <row r="3876" spans="8:8">
      <c r="B3876" t="s">
        <v>5919</v>
      </c>
      <c r="C3876">
        <v>519566.0</v>
      </c>
      <c r="D3876" t="s">
        <v>339</v>
      </c>
      <c r="E3876" t="s">
        <v>399</v>
      </c>
    </row>
    <row r="3877" spans="8:8">
      <c r="B3877" t="s">
        <v>5920</v>
      </c>
      <c r="C3877">
        <v>523023.0</v>
      </c>
      <c r="D3877" t="s">
        <v>339</v>
      </c>
      <c r="E3877" t="s">
        <v>540</v>
      </c>
    </row>
    <row r="3878" spans="8:8">
      <c r="B3878" t="s">
        <v>5921</v>
      </c>
      <c r="C3878">
        <v>532029.0</v>
      </c>
      <c r="D3878" t="s">
        <v>339</v>
      </c>
      <c r="E3878" t="s">
        <v>760</v>
      </c>
    </row>
    <row r="3879" spans="8:8">
      <c r="B3879" t="s">
        <v>5922</v>
      </c>
      <c r="C3879">
        <v>505504.0</v>
      </c>
      <c r="D3879" t="s">
        <v>339</v>
      </c>
      <c r="E3879" t="s">
        <v>325</v>
      </c>
    </row>
    <row r="3880" spans="8:8">
      <c r="B3880" t="s">
        <v>5923</v>
      </c>
      <c r="C3880">
        <v>505729.0</v>
      </c>
      <c r="D3880" t="s">
        <v>339</v>
      </c>
      <c r="E3880" t="s">
        <v>347</v>
      </c>
    </row>
    <row r="3881" spans="8:8">
      <c r="B3881" t="s">
        <v>5924</v>
      </c>
      <c r="C3881">
        <v>505729.0</v>
      </c>
      <c r="D3881" t="s">
        <v>339</v>
      </c>
      <c r="E3881" t="s">
        <v>347</v>
      </c>
    </row>
    <row r="3882" spans="8:8">
      <c r="B3882" t="s">
        <v>5925</v>
      </c>
      <c r="C3882">
        <v>509887.0</v>
      </c>
      <c r="D3882" t="s">
        <v>339</v>
      </c>
      <c r="E3882" t="s">
        <v>2509</v>
      </c>
    </row>
    <row r="3883" spans="8:8">
      <c r="B3883" t="s">
        <v>5926</v>
      </c>
      <c r="C3883">
        <v>539410.0</v>
      </c>
      <c r="D3883" t="s">
        <v>339</v>
      </c>
      <c r="E3883" t="s">
        <v>361</v>
      </c>
    </row>
    <row r="3884" spans="8:8">
      <c r="B3884" t="s">
        <v>5927</v>
      </c>
      <c r="C3884">
        <v>539410.0</v>
      </c>
      <c r="D3884" t="s">
        <v>339</v>
      </c>
      <c r="E3884" t="s">
        <v>361</v>
      </c>
    </row>
    <row r="3885" spans="8:8">
      <c r="B3885" t="s">
        <v>5928</v>
      </c>
      <c r="C3885" t="s">
        <v>339</v>
      </c>
      <c r="D3885" t="s">
        <v>5929</v>
      </c>
      <c r="E3885" t="s">
        <v>350</v>
      </c>
    </row>
    <row r="3886" spans="8:8">
      <c r="B3886" t="s">
        <v>5930</v>
      </c>
      <c r="C3886" t="s">
        <v>339</v>
      </c>
      <c r="D3886" t="s">
        <v>5929</v>
      </c>
      <c r="E3886" t="s">
        <v>350</v>
      </c>
    </row>
    <row r="3887" spans="8:8">
      <c r="B3887" t="s">
        <v>5931</v>
      </c>
      <c r="C3887">
        <v>502742.0</v>
      </c>
      <c r="D3887" t="s">
        <v>5932</v>
      </c>
      <c r="E3887" t="s">
        <v>354</v>
      </c>
    </row>
    <row r="3888" spans="8:8">
      <c r="B3888" t="s">
        <v>5933</v>
      </c>
      <c r="C3888">
        <v>540653.0</v>
      </c>
      <c r="D3888" t="s">
        <v>5934</v>
      </c>
      <c r="E3888" t="s">
        <v>459</v>
      </c>
    </row>
    <row r="3889" spans="8:8">
      <c r="B3889" t="s">
        <v>5935</v>
      </c>
      <c r="C3889">
        <v>523164.0</v>
      </c>
      <c r="D3889" t="s">
        <v>339</v>
      </c>
      <c r="E3889" t="s">
        <v>537</v>
      </c>
    </row>
    <row r="3890" spans="8:8">
      <c r="B3890" t="s">
        <v>5936</v>
      </c>
      <c r="C3890">
        <v>532879.0</v>
      </c>
      <c r="D3890" t="s">
        <v>339</v>
      </c>
      <c r="E3890" t="s">
        <v>1037</v>
      </c>
    </row>
    <row r="3891" spans="8:8">
      <c r="B3891" t="s">
        <v>5937</v>
      </c>
      <c r="C3891" t="s">
        <v>339</v>
      </c>
      <c r="D3891" t="s">
        <v>5938</v>
      </c>
      <c r="E3891" t="s">
        <v>350</v>
      </c>
    </row>
    <row r="3892" spans="8:8">
      <c r="B3892" t="s">
        <v>5939</v>
      </c>
      <c r="C3892" t="s">
        <v>339</v>
      </c>
      <c r="D3892" t="s">
        <v>5938</v>
      </c>
      <c r="E3892" t="s">
        <v>350</v>
      </c>
    </row>
    <row r="3893" spans="8:8">
      <c r="B3893" t="s">
        <v>5940</v>
      </c>
      <c r="C3893">
        <v>538667.0</v>
      </c>
      <c r="D3893" t="s">
        <v>339</v>
      </c>
      <c r="E3893" t="s">
        <v>361</v>
      </c>
    </row>
    <row r="3894" spans="8:8">
      <c r="B3894" t="s">
        <v>5941</v>
      </c>
      <c r="C3894">
        <v>512589.0</v>
      </c>
      <c r="D3894" t="s">
        <v>339</v>
      </c>
      <c r="E3894" t="s">
        <v>361</v>
      </c>
    </row>
    <row r="3895" spans="8:8">
      <c r="B3895" t="s">
        <v>5942</v>
      </c>
      <c r="C3895">
        <v>532961.0</v>
      </c>
      <c r="D3895" t="s">
        <v>5943</v>
      </c>
      <c r="E3895" t="s">
        <v>419</v>
      </c>
    </row>
    <row r="3896" spans="8:8">
      <c r="B3896" t="s">
        <v>5944</v>
      </c>
      <c r="C3896">
        <v>532795.0</v>
      </c>
      <c r="D3896" t="s">
        <v>5945</v>
      </c>
      <c r="E3896" t="s">
        <v>1077</v>
      </c>
    </row>
    <row r="3897" spans="8:8">
      <c r="B3897" t="s">
        <v>5946</v>
      </c>
      <c r="C3897">
        <v>503811.0</v>
      </c>
      <c r="D3897" t="s">
        <v>5947</v>
      </c>
      <c r="E3897" t="s">
        <v>354</v>
      </c>
    </row>
    <row r="3898" spans="8:8">
      <c r="B3898" t="s">
        <v>5948</v>
      </c>
      <c r="C3898">
        <v>504398.0</v>
      </c>
      <c r="D3898" t="s">
        <v>339</v>
      </c>
      <c r="E3898" t="s">
        <v>453</v>
      </c>
    </row>
    <row r="3899" spans="8:8">
      <c r="B3899" t="s">
        <v>5949</v>
      </c>
      <c r="C3899">
        <v>533206.0</v>
      </c>
      <c r="D3899" t="s">
        <v>5950</v>
      </c>
      <c r="E3899" t="s">
        <v>478</v>
      </c>
    </row>
    <row r="3900" spans="8:8">
      <c r="B3900" t="s">
        <v>5951</v>
      </c>
      <c r="C3900">
        <v>500472.0</v>
      </c>
      <c r="D3900" t="s">
        <v>5952</v>
      </c>
      <c r="E3900" t="s">
        <v>524</v>
      </c>
    </row>
    <row r="3901" spans="8:8">
      <c r="B3901" t="s">
        <v>5953</v>
      </c>
      <c r="C3901">
        <v>500472.0</v>
      </c>
      <c r="D3901" t="s">
        <v>5954</v>
      </c>
      <c r="E3901" t="s">
        <v>524</v>
      </c>
    </row>
    <row r="3902" spans="8:8">
      <c r="B3902" t="s">
        <v>5955</v>
      </c>
      <c r="C3902">
        <v>539861.0</v>
      </c>
      <c r="D3902" t="s">
        <v>5956</v>
      </c>
      <c r="E3902" t="s">
        <v>737</v>
      </c>
    </row>
    <row r="3903" spans="8:8">
      <c r="B3903" t="s">
        <v>5957</v>
      </c>
      <c r="C3903">
        <v>538562.0</v>
      </c>
      <c r="D3903" t="s">
        <v>5958</v>
      </c>
      <c r="E3903" t="s">
        <v>737</v>
      </c>
    </row>
    <row r="3904" spans="8:8">
      <c r="B3904" t="s">
        <v>5959</v>
      </c>
      <c r="C3904">
        <v>532143.0</v>
      </c>
      <c r="D3904" t="s">
        <v>5960</v>
      </c>
      <c r="E3904" t="s">
        <v>419</v>
      </c>
    </row>
    <row r="3905" spans="8:8">
      <c r="B3905" t="s">
        <v>5961</v>
      </c>
      <c r="C3905">
        <v>532143.0</v>
      </c>
      <c r="D3905" t="s">
        <v>5960</v>
      </c>
      <c r="E3905" t="s">
        <v>419</v>
      </c>
    </row>
    <row r="3906" spans="8:8">
      <c r="B3906" t="s">
        <v>5962</v>
      </c>
      <c r="C3906">
        <v>531169.0</v>
      </c>
      <c r="D3906" t="s">
        <v>339</v>
      </c>
      <c r="E3906" t="s">
        <v>356</v>
      </c>
    </row>
    <row r="3907" spans="8:8">
      <c r="B3907" t="s">
        <v>5963</v>
      </c>
      <c r="C3907" t="s">
        <v>339</v>
      </c>
      <c r="D3907" t="s">
        <v>5964</v>
      </c>
      <c r="E3907" t="s">
        <v>350</v>
      </c>
    </row>
    <row r="3908" spans="8:8">
      <c r="B3908" t="s">
        <v>5965</v>
      </c>
      <c r="C3908">
        <v>541967.0</v>
      </c>
      <c r="D3908" t="s">
        <v>339</v>
      </c>
      <c r="E3908" t="s">
        <v>453</v>
      </c>
    </row>
    <row r="3909" spans="8:8">
      <c r="B3909" t="s">
        <v>5966</v>
      </c>
      <c r="C3909">
        <v>526479.0</v>
      </c>
      <c r="D3909" t="s">
        <v>339</v>
      </c>
      <c r="E3909" t="s">
        <v>354</v>
      </c>
    </row>
    <row r="3910" spans="8:8">
      <c r="B3910" t="s">
        <v>5967</v>
      </c>
      <c r="C3910">
        <v>505650.0</v>
      </c>
      <c r="D3910" t="s">
        <v>339</v>
      </c>
      <c r="E3910" t="s">
        <v>417</v>
      </c>
    </row>
    <row r="3911" spans="8:8">
      <c r="B3911" t="s">
        <v>5968</v>
      </c>
      <c r="C3911">
        <v>538919.0</v>
      </c>
      <c r="D3911" t="s">
        <v>339</v>
      </c>
      <c r="E3911" t="s">
        <v>425</v>
      </c>
    </row>
    <row r="3912" spans="8:8">
      <c r="B3912" t="s">
        <v>5969</v>
      </c>
      <c r="C3912">
        <v>538919.0</v>
      </c>
      <c r="D3912" t="s">
        <v>339</v>
      </c>
      <c r="E3912" t="s">
        <v>425</v>
      </c>
    </row>
    <row r="3913" spans="8:8">
      <c r="B3913" t="s">
        <v>5970</v>
      </c>
      <c r="C3913">
        <v>539494.0</v>
      </c>
      <c r="D3913" t="s">
        <v>339</v>
      </c>
      <c r="E3913" t="s">
        <v>356</v>
      </c>
    </row>
    <row r="3914" spans="8:8">
      <c r="B3914" t="s">
        <v>5971</v>
      </c>
      <c r="C3914">
        <v>532419.0</v>
      </c>
      <c r="D3914" t="s">
        <v>5972</v>
      </c>
      <c r="E3914" t="s">
        <v>1965</v>
      </c>
    </row>
    <row r="3915" spans="8:8">
      <c r="B3915" t="s">
        <v>5973</v>
      </c>
      <c r="C3915">
        <v>508905.0</v>
      </c>
      <c r="D3915" t="s">
        <v>339</v>
      </c>
      <c r="E3915" t="s">
        <v>322</v>
      </c>
    </row>
    <row r="3916" spans="8:8">
      <c r="B3916" t="s">
        <v>5974</v>
      </c>
      <c r="C3916">
        <v>505192.0</v>
      </c>
      <c r="D3916" t="s">
        <v>5975</v>
      </c>
      <c r="E3916" t="s">
        <v>417</v>
      </c>
    </row>
    <row r="3917" spans="8:8">
      <c r="B3917" t="s">
        <v>5976</v>
      </c>
      <c r="C3917">
        <v>540686.0</v>
      </c>
      <c r="D3917" t="s">
        <v>339</v>
      </c>
      <c r="E3917" t="s">
        <v>377</v>
      </c>
    </row>
    <row r="3918" spans="8:8">
      <c r="B3918" t="s">
        <v>5977</v>
      </c>
      <c r="C3918">
        <v>540679.0</v>
      </c>
      <c r="D3918" t="s">
        <v>5978</v>
      </c>
      <c r="E3918" t="s">
        <v>377</v>
      </c>
    </row>
    <row r="3919" spans="8:8">
      <c r="B3919" t="s">
        <v>5979</v>
      </c>
      <c r="C3919">
        <v>540679.0</v>
      </c>
      <c r="D3919" t="s">
        <v>5978</v>
      </c>
      <c r="E3919" t="s">
        <v>377</v>
      </c>
    </row>
    <row r="3920" spans="8:8">
      <c r="B3920" t="s">
        <v>5980</v>
      </c>
      <c r="C3920">
        <v>532815.0</v>
      </c>
      <c r="D3920" t="s">
        <v>5981</v>
      </c>
      <c r="E3920" t="s">
        <v>377</v>
      </c>
    </row>
    <row r="3921" spans="8:8">
      <c r="B3921" t="s">
        <v>5982</v>
      </c>
      <c r="C3921" t="s">
        <v>339</v>
      </c>
      <c r="D3921" t="s">
        <v>5983</v>
      </c>
      <c r="E3921" t="s">
        <v>350</v>
      </c>
    </row>
    <row r="3922" spans="8:8">
      <c r="B3922" t="s">
        <v>5984</v>
      </c>
      <c r="C3922">
        <v>505827.0</v>
      </c>
      <c r="D3922" t="s">
        <v>339</v>
      </c>
      <c r="E3922" t="s">
        <v>524</v>
      </c>
    </row>
    <row r="3923" spans="8:8">
      <c r="B3923" t="s">
        <v>5985</v>
      </c>
      <c r="C3923">
        <v>538635.0</v>
      </c>
      <c r="D3923" t="s">
        <v>5986</v>
      </c>
      <c r="E3923" t="s">
        <v>660</v>
      </c>
    </row>
    <row r="3924" spans="8:8">
      <c r="B3924" t="s">
        <v>5987</v>
      </c>
      <c r="C3924">
        <v>532784.0</v>
      </c>
      <c r="D3924" t="s">
        <v>5988</v>
      </c>
      <c r="E3924" t="s">
        <v>425</v>
      </c>
    </row>
    <row r="3925" spans="8:8">
      <c r="B3925" t="s">
        <v>5989</v>
      </c>
      <c r="C3925">
        <v>512014.0</v>
      </c>
      <c r="D3925" t="s">
        <v>339</v>
      </c>
      <c r="E3925" t="s">
        <v>760</v>
      </c>
    </row>
    <row r="3926" spans="8:8">
      <c r="B3926" t="s">
        <v>5990</v>
      </c>
      <c r="C3926">
        <v>538923.0</v>
      </c>
      <c r="D3926" t="s">
        <v>339</v>
      </c>
      <c r="E3926" t="s">
        <v>325</v>
      </c>
    </row>
    <row r="3927" spans="8:8">
      <c r="B3927" t="s">
        <v>5991</v>
      </c>
      <c r="C3927">
        <v>504375.0</v>
      </c>
      <c r="D3927" t="s">
        <v>339</v>
      </c>
      <c r="E3927" t="s">
        <v>325</v>
      </c>
    </row>
    <row r="3928" spans="8:8">
      <c r="B3928" t="s">
        <v>5992</v>
      </c>
      <c r="C3928">
        <v>532344.0</v>
      </c>
      <c r="D3928" t="s">
        <v>339</v>
      </c>
      <c r="E3928" t="s">
        <v>432</v>
      </c>
    </row>
    <row r="3929" spans="8:8">
      <c r="B3929" t="s">
        <v>5993</v>
      </c>
      <c r="C3929">
        <v>532344.0</v>
      </c>
      <c r="D3929" t="s">
        <v>339</v>
      </c>
      <c r="E3929" t="s">
        <v>432</v>
      </c>
    </row>
    <row r="3930" spans="8:8">
      <c r="B3930" t="s">
        <v>5994</v>
      </c>
      <c r="C3930" t="s">
        <v>339</v>
      </c>
      <c r="D3930" t="s">
        <v>5995</v>
      </c>
      <c r="E3930" t="s">
        <v>350</v>
      </c>
    </row>
    <row r="3931" spans="8:8">
      <c r="B3931" t="s">
        <v>5996</v>
      </c>
      <c r="C3931">
        <v>532725.0</v>
      </c>
      <c r="D3931" t="s">
        <v>5997</v>
      </c>
      <c r="E3931" t="s">
        <v>499</v>
      </c>
    </row>
    <row r="3932" spans="8:8">
      <c r="B3932" t="s">
        <v>5998</v>
      </c>
      <c r="C3932">
        <v>532725.0</v>
      </c>
      <c r="D3932" t="s">
        <v>5997</v>
      </c>
      <c r="E3932" t="s">
        <v>499</v>
      </c>
    </row>
    <row r="3933" spans="8:8">
      <c r="B3933" t="s">
        <v>5999</v>
      </c>
      <c r="C3933">
        <v>541540.0</v>
      </c>
      <c r="D3933" t="s">
        <v>6000</v>
      </c>
      <c r="E3933" t="s">
        <v>377</v>
      </c>
    </row>
    <row r="3934" spans="8:8">
      <c r="B3934" t="s">
        <v>6001</v>
      </c>
      <c r="C3934" t="s">
        <v>339</v>
      </c>
      <c r="D3934" t="s">
        <v>6002</v>
      </c>
      <c r="E3934" t="s">
        <v>350</v>
      </c>
    </row>
    <row r="3935" spans="8:8">
      <c r="B3935" t="s">
        <v>6003</v>
      </c>
      <c r="C3935">
        <v>500394.0</v>
      </c>
      <c r="D3935" t="s">
        <v>339</v>
      </c>
      <c r="E3935" t="s">
        <v>524</v>
      </c>
    </row>
    <row r="3936" spans="8:8">
      <c r="B3936" t="s">
        <v>6004</v>
      </c>
      <c r="C3936">
        <v>502460.0</v>
      </c>
      <c r="D3936" t="s">
        <v>339</v>
      </c>
      <c r="E3936" t="s">
        <v>333</v>
      </c>
    </row>
    <row r="3937" spans="8:8">
      <c r="B3937" t="s">
        <v>6005</v>
      </c>
      <c r="C3937">
        <v>513699.0</v>
      </c>
      <c r="D3937" t="s">
        <v>339</v>
      </c>
      <c r="E3937" t="s">
        <v>867</v>
      </c>
    </row>
    <row r="3938" spans="8:8">
      <c r="B3938" t="s">
        <v>6006</v>
      </c>
      <c r="C3938">
        <v>538575.0</v>
      </c>
      <c r="D3938" t="s">
        <v>339</v>
      </c>
      <c r="E3938" t="s">
        <v>361</v>
      </c>
    </row>
    <row r="3939" spans="8:8">
      <c r="B3939" t="s">
        <v>6007</v>
      </c>
      <c r="C3939">
        <v>522152.0</v>
      </c>
      <c r="D3939" t="s">
        <v>339</v>
      </c>
      <c r="E3939" t="s">
        <v>347</v>
      </c>
    </row>
    <row r="3940" spans="8:8">
      <c r="B3940" t="s">
        <v>6008</v>
      </c>
      <c r="C3940">
        <v>511571.0</v>
      </c>
      <c r="D3940" t="s">
        <v>339</v>
      </c>
      <c r="E3940" t="s">
        <v>356</v>
      </c>
    </row>
    <row r="3941" spans="8:8">
      <c r="B3941" t="s">
        <v>6009</v>
      </c>
      <c r="C3941">
        <v>507514.0</v>
      </c>
      <c r="D3941" t="s">
        <v>6010</v>
      </c>
      <c r="E3941" t="s">
        <v>970</v>
      </c>
    </row>
    <row r="3942" spans="8:8">
      <c r="B3942" t="s">
        <v>6011</v>
      </c>
      <c r="C3942">
        <v>521034.0</v>
      </c>
      <c r="D3942" t="s">
        <v>6012</v>
      </c>
      <c r="E3942" t="s">
        <v>354</v>
      </c>
    </row>
    <row r="3943" spans="8:8">
      <c r="B3943" t="s">
        <v>6013</v>
      </c>
      <c r="C3943">
        <v>531548.0</v>
      </c>
      <c r="D3943" t="s">
        <v>6014</v>
      </c>
      <c r="E3943" t="s">
        <v>616</v>
      </c>
    </row>
    <row r="3944" spans="8:8">
      <c r="B3944" t="s">
        <v>6015</v>
      </c>
      <c r="C3944">
        <v>533001.0</v>
      </c>
      <c r="D3944" t="s">
        <v>6016</v>
      </c>
      <c r="E3944" t="s">
        <v>347</v>
      </c>
    </row>
    <row r="3945" spans="8:8">
      <c r="B3945" t="s">
        <v>6017</v>
      </c>
      <c r="C3945">
        <v>526901.0</v>
      </c>
      <c r="D3945" t="s">
        <v>339</v>
      </c>
      <c r="E3945" t="s">
        <v>387</v>
      </c>
    </row>
    <row r="3946" spans="8:8">
      <c r="B3946" t="s">
        <v>6018</v>
      </c>
      <c r="C3946">
        <v>538943.0</v>
      </c>
      <c r="D3946" t="s">
        <v>339</v>
      </c>
      <c r="E3946" t="s">
        <v>356</v>
      </c>
    </row>
    <row r="3947" spans="8:8">
      <c r="B3947" t="s">
        <v>6019</v>
      </c>
      <c r="C3947" t="s">
        <v>339</v>
      </c>
      <c r="D3947" t="s">
        <v>6020</v>
      </c>
      <c r="E3947" t="s">
        <v>350</v>
      </c>
    </row>
    <row r="3948" spans="8:8">
      <c r="B3948" t="s">
        <v>6021</v>
      </c>
      <c r="C3948">
        <v>532221.0</v>
      </c>
      <c r="D3948" t="s">
        <v>6022</v>
      </c>
      <c r="E3948" t="s">
        <v>325</v>
      </c>
    </row>
    <row r="3949" spans="8:8">
      <c r="B3949" t="s">
        <v>6023</v>
      </c>
      <c r="C3949">
        <v>539378.0</v>
      </c>
      <c r="D3949" t="s">
        <v>339</v>
      </c>
      <c r="E3949" t="s">
        <v>809</v>
      </c>
    </row>
    <row r="3950" spans="8:8">
      <c r="B3950" t="s">
        <v>6024</v>
      </c>
      <c r="C3950" t="s">
        <v>339</v>
      </c>
      <c r="D3950" t="s">
        <v>6025</v>
      </c>
      <c r="E3950" t="s">
        <v>350</v>
      </c>
    </row>
    <row r="3951" spans="8:8">
      <c r="B3951" t="s">
        <v>6026</v>
      </c>
      <c r="C3951">
        <v>541633.0</v>
      </c>
      <c r="D3951" t="s">
        <v>339</v>
      </c>
      <c r="E3951" t="s">
        <v>333</v>
      </c>
    </row>
    <row r="3952" spans="8:8">
      <c r="B3952" t="s">
        <v>6027</v>
      </c>
      <c r="C3952">
        <v>532679.0</v>
      </c>
      <c r="D3952" t="s">
        <v>6028</v>
      </c>
      <c r="E3952" t="s">
        <v>328</v>
      </c>
    </row>
    <row r="3953" spans="8:8">
      <c r="B3953" t="s">
        <v>6029</v>
      </c>
      <c r="C3953">
        <v>521036.0</v>
      </c>
      <c r="D3953" t="s">
        <v>339</v>
      </c>
      <c r="E3953" t="s">
        <v>354</v>
      </c>
    </row>
    <row r="3954" spans="8:8">
      <c r="B3954" t="s">
        <v>6030</v>
      </c>
      <c r="C3954">
        <v>521036.0</v>
      </c>
      <c r="D3954" t="s">
        <v>339</v>
      </c>
      <c r="E3954" t="s">
        <v>354</v>
      </c>
    </row>
    <row r="3955" spans="8:8">
      <c r="B3955" t="s">
        <v>6031</v>
      </c>
      <c r="C3955">
        <v>531398.0</v>
      </c>
      <c r="D3955" t="s">
        <v>339</v>
      </c>
      <c r="E3955" t="s">
        <v>377</v>
      </c>
    </row>
    <row r="3956" spans="8:8">
      <c r="B3956" t="s">
        <v>6032</v>
      </c>
      <c r="C3956">
        <v>526477.0</v>
      </c>
      <c r="D3956" t="s">
        <v>339</v>
      </c>
      <c r="E3956" t="s">
        <v>517</v>
      </c>
    </row>
    <row r="3957" spans="8:8">
      <c r="B3957" t="s">
        <v>6033</v>
      </c>
      <c r="C3957">
        <v>516108.0</v>
      </c>
      <c r="D3957" t="s">
        <v>339</v>
      </c>
      <c r="E3957" t="s">
        <v>333</v>
      </c>
    </row>
    <row r="3958" spans="8:8">
      <c r="B3958" t="s">
        <v>6034</v>
      </c>
      <c r="C3958">
        <v>538891.0</v>
      </c>
      <c r="D3958" t="s">
        <v>339</v>
      </c>
      <c r="E3958" t="s">
        <v>356</v>
      </c>
    </row>
    <row r="3959" spans="8:8">
      <c r="B3959" t="s">
        <v>6035</v>
      </c>
      <c r="C3959" t="s">
        <v>339</v>
      </c>
      <c r="D3959" t="s">
        <v>6036</v>
      </c>
      <c r="E3959" t="s">
        <v>350</v>
      </c>
    </row>
    <row r="3960" spans="8:8">
      <c r="B3960" t="s">
        <v>6037</v>
      </c>
      <c r="C3960">
        <v>509910.0</v>
      </c>
      <c r="D3960" t="s">
        <v>339</v>
      </c>
      <c r="E3960" t="s">
        <v>387</v>
      </c>
    </row>
    <row r="3961" spans="8:8">
      <c r="B3961" t="s">
        <v>6038</v>
      </c>
      <c r="C3961">
        <v>540174.0</v>
      </c>
      <c r="D3961" t="s">
        <v>339</v>
      </c>
      <c r="E3961" t="s">
        <v>325</v>
      </c>
    </row>
    <row r="3962" spans="8:8">
      <c r="B3962" t="s">
        <v>6039</v>
      </c>
      <c r="C3962">
        <v>514454.0</v>
      </c>
      <c r="D3962" t="s">
        <v>339</v>
      </c>
      <c r="E3962" t="s">
        <v>354</v>
      </c>
    </row>
    <row r="3963" spans="8:8">
      <c r="B3963" t="s">
        <v>6040</v>
      </c>
      <c r="C3963">
        <v>513498.0</v>
      </c>
      <c r="D3963" t="s">
        <v>339</v>
      </c>
      <c r="E3963" t="s">
        <v>319</v>
      </c>
    </row>
    <row r="3964" spans="8:8">
      <c r="B3964" t="s">
        <v>6041</v>
      </c>
      <c r="C3964">
        <v>532669.0</v>
      </c>
      <c r="D3964" t="s">
        <v>339</v>
      </c>
      <c r="E3964" t="s">
        <v>387</v>
      </c>
    </row>
    <row r="3965" spans="8:8">
      <c r="B3965" t="s">
        <v>6042</v>
      </c>
      <c r="C3965">
        <v>590030.0</v>
      </c>
      <c r="D3965" t="s">
        <v>6043</v>
      </c>
      <c r="E3965" t="s">
        <v>847</v>
      </c>
    </row>
    <row r="3966" spans="8:8">
      <c r="B3966" t="s">
        <v>6044</v>
      </c>
      <c r="C3966">
        <v>523826.0</v>
      </c>
      <c r="D3966" t="s">
        <v>339</v>
      </c>
      <c r="E3966" t="s">
        <v>453</v>
      </c>
    </row>
    <row r="3967" spans="8:8">
      <c r="B3967" t="s">
        <v>6045</v>
      </c>
      <c r="C3967">
        <v>532025.0</v>
      </c>
      <c r="D3967" t="s">
        <v>339</v>
      </c>
      <c r="E3967" t="s">
        <v>342</v>
      </c>
    </row>
    <row r="3968" spans="8:8">
      <c r="B3968" t="s">
        <v>6046</v>
      </c>
      <c r="C3968">
        <v>530289.0</v>
      </c>
      <c r="D3968" t="s">
        <v>339</v>
      </c>
      <c r="E3968" t="s">
        <v>760</v>
      </c>
    </row>
    <row r="3969" spans="8:8">
      <c r="B3969" t="s">
        <v>6047</v>
      </c>
      <c r="C3969">
        <v>542376.0</v>
      </c>
      <c r="D3969" t="s">
        <v>6048</v>
      </c>
      <c r="E3969" t="s">
        <v>322</v>
      </c>
    </row>
    <row r="3970" spans="8:8">
      <c r="B3970" t="s">
        <v>6049</v>
      </c>
      <c r="C3970">
        <v>541890.0</v>
      </c>
      <c r="D3970" t="s">
        <v>339</v>
      </c>
      <c r="E3970" t="s">
        <v>325</v>
      </c>
    </row>
    <row r="3971" spans="8:8">
      <c r="B3971" t="s">
        <v>6050</v>
      </c>
      <c r="C3971">
        <v>538920.0</v>
      </c>
      <c r="D3971" t="s">
        <v>339</v>
      </c>
      <c r="E3971" t="s">
        <v>361</v>
      </c>
    </row>
    <row r="3972" spans="8:8">
      <c r="B3972" t="s">
        <v>6051</v>
      </c>
      <c r="C3972" t="s">
        <v>339</v>
      </c>
      <c r="D3972" t="s">
        <v>6052</v>
      </c>
      <c r="E3972" t="s">
        <v>430</v>
      </c>
    </row>
    <row r="3973" spans="8:8">
      <c r="B3973" t="s">
        <v>6053</v>
      </c>
      <c r="C3973" t="s">
        <v>339</v>
      </c>
      <c r="D3973" t="s">
        <v>6052</v>
      </c>
      <c r="E3973" t="s">
        <v>430</v>
      </c>
    </row>
    <row r="3974" spans="8:8">
      <c r="B3974" t="s">
        <v>6054</v>
      </c>
      <c r="C3974">
        <v>524727.0</v>
      </c>
      <c r="D3974" t="s">
        <v>339</v>
      </c>
      <c r="E3974" t="s">
        <v>377</v>
      </c>
    </row>
    <row r="3975" spans="8:8">
      <c r="B3975" t="s">
        <v>6055</v>
      </c>
      <c r="C3975">
        <v>531370.0</v>
      </c>
      <c r="D3975" t="s">
        <v>339</v>
      </c>
      <c r="E3975" t="s">
        <v>325</v>
      </c>
    </row>
    <row r="3976" spans="8:8">
      <c r="B3976" t="s">
        <v>6056</v>
      </c>
      <c r="C3976">
        <v>540211.0</v>
      </c>
      <c r="D3976" t="s">
        <v>339</v>
      </c>
      <c r="E3976" t="s">
        <v>356</v>
      </c>
    </row>
    <row r="3977" spans="8:8">
      <c r="B3977" t="s">
        <v>6057</v>
      </c>
      <c r="C3977">
        <v>534425.0</v>
      </c>
      <c r="D3977" t="s">
        <v>6058</v>
      </c>
      <c r="E3977" t="s">
        <v>828</v>
      </c>
    </row>
    <row r="3978" spans="8:8">
      <c r="B3978" t="s">
        <v>6059</v>
      </c>
      <c r="C3978">
        <v>513687.0</v>
      </c>
      <c r="D3978" t="s">
        <v>339</v>
      </c>
      <c r="E3978" t="s">
        <v>694</v>
      </c>
    </row>
    <row r="3979" spans="8:8">
      <c r="B3979" t="s">
        <v>6060</v>
      </c>
      <c r="C3979" t="s">
        <v>339</v>
      </c>
      <c r="D3979" t="s">
        <v>6061</v>
      </c>
      <c r="E3979" t="s">
        <v>350</v>
      </c>
    </row>
    <row r="3980" spans="8:8">
      <c r="B3980" t="s">
        <v>6062</v>
      </c>
      <c r="C3980">
        <v>531982.0</v>
      </c>
      <c r="D3980" t="s">
        <v>339</v>
      </c>
      <c r="E3980" t="s">
        <v>419</v>
      </c>
    </row>
    <row r="3981" spans="8:8">
      <c r="B3981" t="s">
        <v>6063</v>
      </c>
      <c r="C3981">
        <v>512153.0</v>
      </c>
      <c r="D3981" t="s">
        <v>339</v>
      </c>
      <c r="E3981" t="s">
        <v>760</v>
      </c>
    </row>
    <row r="3982" spans="8:8">
      <c r="B3982" t="s">
        <v>6064</v>
      </c>
      <c r="C3982">
        <v>512291.0</v>
      </c>
      <c r="D3982" t="s">
        <v>339</v>
      </c>
      <c r="E3982" t="s">
        <v>322</v>
      </c>
    </row>
    <row r="3983" spans="8:8">
      <c r="B3983" t="s">
        <v>6065</v>
      </c>
      <c r="C3983">
        <v>517166.0</v>
      </c>
      <c r="D3983" t="s">
        <v>339</v>
      </c>
      <c r="E3983" t="s">
        <v>881</v>
      </c>
    </row>
    <row r="3984" spans="8:8">
      <c r="B3984" t="s">
        <v>6066</v>
      </c>
      <c r="C3984">
        <v>542337.0</v>
      </c>
      <c r="D3984" t="s">
        <v>6067</v>
      </c>
      <c r="E3984" t="s">
        <v>508</v>
      </c>
    </row>
    <row r="3985" spans="8:8">
      <c r="B3985" t="s">
        <v>6068</v>
      </c>
      <c r="C3985" t="s">
        <v>339</v>
      </c>
      <c r="D3985" t="s">
        <v>6069</v>
      </c>
      <c r="E3985" t="s">
        <v>508</v>
      </c>
    </row>
    <row r="3986" spans="8:8">
      <c r="B3986" t="s">
        <v>6070</v>
      </c>
      <c r="C3986">
        <v>526161.0</v>
      </c>
      <c r="D3986" t="s">
        <v>339</v>
      </c>
      <c r="E3986" t="s">
        <v>453</v>
      </c>
    </row>
    <row r="3987" spans="8:8">
      <c r="B3987" t="s">
        <v>6071</v>
      </c>
      <c r="C3987">
        <v>521082.0</v>
      </c>
      <c r="D3987" t="s">
        <v>6072</v>
      </c>
      <c r="E3987" t="s">
        <v>354</v>
      </c>
    </row>
    <row r="3988" spans="8:8">
      <c r="B3988" t="s">
        <v>6073</v>
      </c>
      <c r="C3988">
        <v>526827.0</v>
      </c>
      <c r="D3988" t="s">
        <v>339</v>
      </c>
      <c r="E3988" t="s">
        <v>453</v>
      </c>
    </row>
    <row r="3989" spans="8:8">
      <c r="B3989" t="s">
        <v>6074</v>
      </c>
      <c r="C3989">
        <v>517214.0</v>
      </c>
      <c r="D3989" t="s">
        <v>6075</v>
      </c>
      <c r="E3989" t="s">
        <v>485</v>
      </c>
    </row>
    <row r="3990" spans="8:8">
      <c r="B3990" t="s">
        <v>6076</v>
      </c>
      <c r="C3990">
        <v>500285.0</v>
      </c>
      <c r="D3990" t="s">
        <v>339</v>
      </c>
      <c r="E3990" t="s">
        <v>2476</v>
      </c>
    </row>
    <row r="3991" spans="8:8">
      <c r="B3991" t="s">
        <v>6077</v>
      </c>
      <c r="C3991">
        <v>540084.0</v>
      </c>
      <c r="D3991" t="s">
        <v>339</v>
      </c>
      <c r="E3991" t="s">
        <v>342</v>
      </c>
    </row>
    <row r="3992" spans="8:8">
      <c r="B3992" t="s">
        <v>6078</v>
      </c>
      <c r="C3992">
        <v>532651.0</v>
      </c>
      <c r="D3992" t="s">
        <v>6079</v>
      </c>
      <c r="E3992" t="s">
        <v>453</v>
      </c>
    </row>
    <row r="3993" spans="8:8">
      <c r="B3993" t="s">
        <v>6080</v>
      </c>
      <c r="C3993">
        <v>513414.0</v>
      </c>
      <c r="D3993" t="s">
        <v>6081</v>
      </c>
      <c r="E3993" t="s">
        <v>371</v>
      </c>
    </row>
    <row r="3994" spans="8:8">
      <c r="B3994" t="s">
        <v>6082</v>
      </c>
      <c r="C3994">
        <v>500402.0</v>
      </c>
      <c r="D3994" t="s">
        <v>6083</v>
      </c>
      <c r="E3994" t="s">
        <v>737</v>
      </c>
    </row>
    <row r="3995" spans="8:8">
      <c r="B3995" t="s">
        <v>6084</v>
      </c>
      <c r="C3995">
        <v>539221.0</v>
      </c>
      <c r="D3995" t="s">
        <v>339</v>
      </c>
      <c r="E3995" t="s">
        <v>354</v>
      </c>
    </row>
    <row r="3996" spans="8:8">
      <c r="B3996" t="s">
        <v>6085</v>
      </c>
      <c r="C3996">
        <v>539221.0</v>
      </c>
      <c r="D3996" t="s">
        <v>339</v>
      </c>
      <c r="E3996" t="s">
        <v>354</v>
      </c>
    </row>
    <row r="3997" spans="8:8">
      <c r="B3997" t="s">
        <v>6086</v>
      </c>
      <c r="C3997">
        <v>540079.0</v>
      </c>
      <c r="D3997" t="s">
        <v>339</v>
      </c>
      <c r="E3997" t="s">
        <v>1258</v>
      </c>
    </row>
    <row r="3998" spans="8:8">
      <c r="B3998" t="s">
        <v>6087</v>
      </c>
      <c r="C3998">
        <v>540570.0</v>
      </c>
      <c r="D3998" t="s">
        <v>6088</v>
      </c>
      <c r="E3998" t="s">
        <v>5157</v>
      </c>
    </row>
    <row r="3999" spans="8:8">
      <c r="B3999" t="s">
        <v>6089</v>
      </c>
      <c r="C3999">
        <v>538402.0</v>
      </c>
      <c r="D3999" t="s">
        <v>339</v>
      </c>
      <c r="E3999" t="s">
        <v>356</v>
      </c>
    </row>
    <row r="4000" spans="8:8">
      <c r="B4000" t="s">
        <v>6090</v>
      </c>
      <c r="C4000">
        <v>530177.0</v>
      </c>
      <c r="D4000" t="s">
        <v>339</v>
      </c>
      <c r="E4000" t="s">
        <v>361</v>
      </c>
    </row>
    <row r="4001" spans="8:8">
      <c r="B4001" t="s">
        <v>6091</v>
      </c>
      <c r="C4001">
        <v>533121.0</v>
      </c>
      <c r="D4001" t="s">
        <v>6092</v>
      </c>
      <c r="E4001" t="s">
        <v>325</v>
      </c>
    </row>
    <row r="4002" spans="8:8">
      <c r="B4002" t="s">
        <v>6093</v>
      </c>
      <c r="C4002">
        <v>526532.0</v>
      </c>
      <c r="D4002" t="s">
        <v>339</v>
      </c>
      <c r="E4002" t="s">
        <v>387</v>
      </c>
    </row>
    <row r="4003" spans="8:8">
      <c r="B4003" t="s">
        <v>6094</v>
      </c>
      <c r="C4003">
        <v>526532.0</v>
      </c>
      <c r="D4003" t="s">
        <v>339</v>
      </c>
      <c r="E4003" t="s">
        <v>387</v>
      </c>
    </row>
    <row r="4004" spans="8:8">
      <c r="B4004" t="s">
        <v>6095</v>
      </c>
      <c r="C4004">
        <v>530037.0</v>
      </c>
      <c r="D4004" t="s">
        <v>339</v>
      </c>
      <c r="E4004" t="s">
        <v>354</v>
      </c>
    </row>
    <row r="4005" spans="8:8">
      <c r="B4005" t="s">
        <v>6096</v>
      </c>
      <c r="C4005">
        <v>532842.0</v>
      </c>
      <c r="D4005" t="s">
        <v>6097</v>
      </c>
      <c r="E4005" t="s">
        <v>387</v>
      </c>
    </row>
    <row r="4006" spans="8:8">
      <c r="B4006" t="s">
        <v>6098</v>
      </c>
      <c r="C4006">
        <v>514248.0</v>
      </c>
      <c r="D4006" t="s">
        <v>339</v>
      </c>
      <c r="E4006" t="s">
        <v>387</v>
      </c>
    </row>
    <row r="4007" spans="8:8">
      <c r="B4007" t="s">
        <v>6099</v>
      </c>
      <c r="C4007">
        <v>535601.0</v>
      </c>
      <c r="D4007" t="s">
        <v>6100</v>
      </c>
      <c r="E4007" t="s">
        <v>765</v>
      </c>
    </row>
    <row r="4008" spans="8:8">
      <c r="B4008" t="s">
        <v>6101</v>
      </c>
      <c r="C4008">
        <v>523756.0</v>
      </c>
      <c r="D4008" t="s">
        <v>6102</v>
      </c>
      <c r="E4008" t="s">
        <v>356</v>
      </c>
    </row>
    <row r="4009" spans="8:8">
      <c r="B4009" t="s">
        <v>6103</v>
      </c>
      <c r="C4009">
        <v>539217.0</v>
      </c>
      <c r="D4009" t="s">
        <v>339</v>
      </c>
      <c r="E4009" t="s">
        <v>359</v>
      </c>
    </row>
    <row r="4010" spans="8:8">
      <c r="B4010" t="s">
        <v>6104</v>
      </c>
      <c r="C4010">
        <v>503806.0</v>
      </c>
      <c r="D4010" t="s">
        <v>6105</v>
      </c>
      <c r="E4010" t="s">
        <v>354</v>
      </c>
    </row>
    <row r="4011" spans="8:8">
      <c r="B4011" t="s">
        <v>6106</v>
      </c>
      <c r="C4011">
        <v>534680.0</v>
      </c>
      <c r="D4011" t="s">
        <v>339</v>
      </c>
      <c r="E4011" t="s">
        <v>397</v>
      </c>
    </row>
    <row r="4012" spans="8:8">
      <c r="B4012" t="s">
        <v>6107</v>
      </c>
      <c r="C4012">
        <v>530943.0</v>
      </c>
      <c r="D4012" t="s">
        <v>6108</v>
      </c>
      <c r="E4012" t="s">
        <v>342</v>
      </c>
    </row>
    <row r="4013" spans="8:8">
      <c r="B4013" t="s">
        <v>6109</v>
      </c>
      <c r="C4013">
        <v>538863.0</v>
      </c>
      <c r="D4013" t="s">
        <v>339</v>
      </c>
      <c r="E4013" t="s">
        <v>356</v>
      </c>
    </row>
    <row r="4014" spans="8:8">
      <c r="B4014" t="s">
        <v>6110</v>
      </c>
      <c r="C4014">
        <v>531322.0</v>
      </c>
      <c r="D4014" t="s">
        <v>6111</v>
      </c>
      <c r="E4014" t="s">
        <v>549</v>
      </c>
    </row>
    <row r="4015" spans="8:8">
      <c r="B4015" t="s">
        <v>6112</v>
      </c>
      <c r="C4015">
        <v>514442.0</v>
      </c>
      <c r="D4015" t="s">
        <v>339</v>
      </c>
      <c r="E4015" t="s">
        <v>459</v>
      </c>
    </row>
    <row r="4016" spans="8:8">
      <c r="B4016" t="s">
        <v>6113</v>
      </c>
      <c r="C4016">
        <v>539363.0</v>
      </c>
      <c r="D4016" t="s">
        <v>339</v>
      </c>
      <c r="E4016" t="s">
        <v>425</v>
      </c>
    </row>
    <row r="4017" spans="8:8">
      <c r="B4017" t="s">
        <v>6114</v>
      </c>
      <c r="C4017">
        <v>539363.0</v>
      </c>
      <c r="D4017" t="s">
        <v>339</v>
      </c>
      <c r="E4017" t="s">
        <v>425</v>
      </c>
    </row>
    <row r="4018" spans="8:8">
      <c r="B4018" t="s">
        <v>6115</v>
      </c>
      <c r="C4018" t="s">
        <v>339</v>
      </c>
      <c r="D4018" t="s">
        <v>6116</v>
      </c>
      <c r="E4018" t="s">
        <v>350</v>
      </c>
    </row>
    <row r="4019" spans="8:8">
      <c r="B4019" t="s">
        <v>6117</v>
      </c>
      <c r="C4019">
        <v>521161.0</v>
      </c>
      <c r="D4019" t="s">
        <v>339</v>
      </c>
      <c r="E4019" t="s">
        <v>354</v>
      </c>
    </row>
    <row r="4020" spans="8:8">
      <c r="B4020" t="s">
        <v>6118</v>
      </c>
      <c r="C4020">
        <v>521234.0</v>
      </c>
      <c r="D4020" t="s">
        <v>339</v>
      </c>
      <c r="E4020" t="s">
        <v>354</v>
      </c>
    </row>
    <row r="4021" spans="8:8">
      <c r="B4021" t="s">
        <v>6119</v>
      </c>
      <c r="C4021">
        <v>521178.0</v>
      </c>
      <c r="D4021" t="s">
        <v>339</v>
      </c>
      <c r="E4021" t="s">
        <v>354</v>
      </c>
    </row>
    <row r="4022" spans="8:8">
      <c r="B4022" t="s">
        <v>6120</v>
      </c>
      <c r="C4022">
        <v>515081.0</v>
      </c>
      <c r="D4022" t="s">
        <v>339</v>
      </c>
      <c r="E4022" t="s">
        <v>867</v>
      </c>
    </row>
    <row r="4023" spans="8:8">
      <c r="B4023" t="s">
        <v>6121</v>
      </c>
      <c r="C4023">
        <v>513605.0</v>
      </c>
      <c r="D4023" t="s">
        <v>6122</v>
      </c>
      <c r="E4023" t="s">
        <v>662</v>
      </c>
    </row>
    <row r="4024" spans="8:8">
      <c r="B4024" t="s">
        <v>6123</v>
      </c>
      <c r="C4024">
        <v>523222.0</v>
      </c>
      <c r="D4024" t="s">
        <v>339</v>
      </c>
      <c r="E4024" t="s">
        <v>478</v>
      </c>
    </row>
    <row r="4025" spans="8:8">
      <c r="B4025" t="s">
        <v>6124</v>
      </c>
      <c r="C4025">
        <v>536799.0</v>
      </c>
      <c r="D4025" t="s">
        <v>339</v>
      </c>
      <c r="E4025" t="s">
        <v>356</v>
      </c>
    </row>
    <row r="4026" spans="8:8">
      <c r="B4026" t="s">
        <v>6125</v>
      </c>
      <c r="C4026">
        <v>533569.0</v>
      </c>
      <c r="D4026" t="s">
        <v>6126</v>
      </c>
      <c r="E4026" t="s">
        <v>453</v>
      </c>
    </row>
    <row r="4027" spans="8:8">
      <c r="B4027" t="s">
        <v>6127</v>
      </c>
      <c r="C4027">
        <v>540914.0</v>
      </c>
      <c r="D4027" t="s">
        <v>339</v>
      </c>
      <c r="E4027" t="s">
        <v>361</v>
      </c>
    </row>
    <row r="4028" spans="8:8">
      <c r="B4028" t="s">
        <v>6128</v>
      </c>
      <c r="C4028">
        <v>524636.0</v>
      </c>
      <c r="D4028" t="s">
        <v>339</v>
      </c>
      <c r="E4028" t="s">
        <v>377</v>
      </c>
    </row>
    <row r="4029" spans="8:8">
      <c r="B4029" t="s">
        <v>6129</v>
      </c>
      <c r="C4029">
        <v>530821.0</v>
      </c>
      <c r="D4029" t="s">
        <v>339</v>
      </c>
      <c r="E4029" t="s">
        <v>425</v>
      </c>
    </row>
    <row r="4030" spans="8:8">
      <c r="B4030" t="s">
        <v>6130</v>
      </c>
      <c r="C4030">
        <v>539026.0</v>
      </c>
      <c r="D4030" t="s">
        <v>339</v>
      </c>
      <c r="E4030" t="s">
        <v>322</v>
      </c>
    </row>
    <row r="4031" spans="8:8">
      <c r="B4031" t="s">
        <v>6131</v>
      </c>
      <c r="C4031">
        <v>531723.0</v>
      </c>
      <c r="D4031" t="s">
        <v>6132</v>
      </c>
      <c r="E4031" t="s">
        <v>322</v>
      </c>
    </row>
    <row r="4032" spans="8:8">
      <c r="B4032" t="s">
        <v>6131</v>
      </c>
      <c r="C4032">
        <v>570005.0</v>
      </c>
      <c r="D4032" t="s">
        <v>6133</v>
      </c>
      <c r="E4032" t="s">
        <v>322</v>
      </c>
    </row>
    <row r="4033" spans="8:8">
      <c r="B4033" t="s">
        <v>6134</v>
      </c>
      <c r="C4033">
        <v>504180.0</v>
      </c>
      <c r="D4033" t="s">
        <v>339</v>
      </c>
      <c r="E4033" t="s">
        <v>356</v>
      </c>
    </row>
    <row r="4034" spans="8:8">
      <c r="B4034" t="s">
        <v>6135</v>
      </c>
      <c r="C4034">
        <v>511700.0</v>
      </c>
      <c r="D4034" t="s">
        <v>339</v>
      </c>
      <c r="E4034" t="s">
        <v>356</v>
      </c>
    </row>
    <row r="4035" spans="8:8">
      <c r="B4035" t="s">
        <v>6136</v>
      </c>
      <c r="C4035">
        <v>580001.0</v>
      </c>
      <c r="D4035" t="s">
        <v>339</v>
      </c>
      <c r="E4035" t="s">
        <v>657</v>
      </c>
    </row>
    <row r="4036" spans="8:8">
      <c r="B4036" t="s">
        <v>6137</v>
      </c>
      <c r="C4036">
        <v>530017.0</v>
      </c>
      <c r="D4036" t="s">
        <v>6138</v>
      </c>
      <c r="E4036" t="s">
        <v>387</v>
      </c>
    </row>
    <row r="4037" spans="8:8">
      <c r="B4037" t="s">
        <v>6139</v>
      </c>
      <c r="C4037">
        <v>523351.0</v>
      </c>
      <c r="D4037" t="s">
        <v>339</v>
      </c>
      <c r="E4037" t="s">
        <v>499</v>
      </c>
    </row>
    <row r="4038" spans="8:8">
      <c r="B4038" t="s">
        <v>6140</v>
      </c>
      <c r="C4038">
        <v>523351.0</v>
      </c>
      <c r="D4038" t="s">
        <v>339</v>
      </c>
      <c r="E4038" t="s">
        <v>499</v>
      </c>
    </row>
    <row r="4039" spans="8:8">
      <c r="B4039" t="s">
        <v>6141</v>
      </c>
      <c r="C4039">
        <v>526231.0</v>
      </c>
      <c r="D4039" t="s">
        <v>339</v>
      </c>
      <c r="E4039" t="s">
        <v>387</v>
      </c>
    </row>
    <row r="4040" spans="8:8">
      <c r="B4040" t="s">
        <v>6142</v>
      </c>
      <c r="C4040">
        <v>530931.0</v>
      </c>
      <c r="D4040" t="s">
        <v>339</v>
      </c>
      <c r="E4040" t="s">
        <v>534</v>
      </c>
    </row>
    <row r="4041" spans="8:8">
      <c r="B4041" t="s">
        <v>6143</v>
      </c>
      <c r="C4041">
        <v>530931.0</v>
      </c>
      <c r="D4041" t="s">
        <v>339</v>
      </c>
      <c r="E4041" t="s">
        <v>534</v>
      </c>
    </row>
    <row r="4042" spans="8:8">
      <c r="B4042" t="s">
        <v>6144</v>
      </c>
      <c r="C4042">
        <v>506105.0</v>
      </c>
      <c r="D4042" t="s">
        <v>339</v>
      </c>
      <c r="E4042" t="s">
        <v>359</v>
      </c>
    </row>
    <row r="4043" spans="8:8">
      <c r="B4043" t="s">
        <v>6145</v>
      </c>
      <c r="C4043">
        <v>540575.0</v>
      </c>
      <c r="D4043" t="s">
        <v>6146</v>
      </c>
      <c r="E4043" t="s">
        <v>352</v>
      </c>
    </row>
    <row r="4044" spans="8:8">
      <c r="B4044" t="s">
        <v>6147</v>
      </c>
      <c r="C4044">
        <v>539255.0</v>
      </c>
      <c r="D4044" t="s">
        <v>339</v>
      </c>
      <c r="E4044" t="s">
        <v>382</v>
      </c>
    </row>
    <row r="4045" spans="8:8">
      <c r="B4045" t="s">
        <v>6148</v>
      </c>
      <c r="C4045">
        <v>516022.0</v>
      </c>
      <c r="D4045" t="s">
        <v>6149</v>
      </c>
      <c r="E4045" t="s">
        <v>333</v>
      </c>
    </row>
    <row r="4046" spans="8:8">
      <c r="B4046" t="s">
        <v>6150</v>
      </c>
      <c r="C4046">
        <v>531616.0</v>
      </c>
      <c r="D4046" t="s">
        <v>339</v>
      </c>
      <c r="E4046" t="s">
        <v>325</v>
      </c>
    </row>
    <row r="4047" spans="8:8">
      <c r="B4047" t="s">
        <v>6151</v>
      </c>
      <c r="C4047">
        <v>538733.0</v>
      </c>
      <c r="D4047" t="s">
        <v>339</v>
      </c>
      <c r="E4047" t="s">
        <v>2586</v>
      </c>
    </row>
    <row r="4048" spans="8:8">
      <c r="B4048" t="s">
        <v>6152</v>
      </c>
      <c r="C4048">
        <v>517548.0</v>
      </c>
      <c r="D4048" t="s">
        <v>339</v>
      </c>
      <c r="E4048" t="s">
        <v>361</v>
      </c>
    </row>
    <row r="4049" spans="8:8">
      <c r="B4049" t="s">
        <v>6153</v>
      </c>
      <c r="C4049">
        <v>520155.0</v>
      </c>
      <c r="D4049" t="s">
        <v>339</v>
      </c>
      <c r="E4049" t="s">
        <v>475</v>
      </c>
    </row>
    <row r="4050" spans="8:8">
      <c r="B4050" t="s">
        <v>6154</v>
      </c>
      <c r="C4050">
        <v>500112.0</v>
      </c>
      <c r="D4050" t="s">
        <v>6155</v>
      </c>
      <c r="E4050" t="s">
        <v>657</v>
      </c>
    </row>
    <row r="4051" spans="8:8">
      <c r="B4051" t="s">
        <v>6156</v>
      </c>
      <c r="C4051">
        <v>500113.0</v>
      </c>
      <c r="D4051" t="s">
        <v>6157</v>
      </c>
      <c r="E4051" t="s">
        <v>371</v>
      </c>
    </row>
    <row r="4052" spans="8:8">
      <c r="B4052" t="s">
        <v>6158</v>
      </c>
      <c r="C4052">
        <v>500113.0</v>
      </c>
      <c r="D4052" t="s">
        <v>6157</v>
      </c>
      <c r="E4052" t="s">
        <v>371</v>
      </c>
    </row>
    <row r="4053" spans="8:8">
      <c r="B4053" t="s">
        <v>6159</v>
      </c>
      <c r="C4053" t="s">
        <v>339</v>
      </c>
      <c r="D4053" t="s">
        <v>6160</v>
      </c>
      <c r="E4053" t="s">
        <v>350</v>
      </c>
    </row>
    <row r="4054" spans="8:8">
      <c r="B4054" t="s">
        <v>6161</v>
      </c>
      <c r="C4054">
        <v>534748.0</v>
      </c>
      <c r="D4054" t="s">
        <v>6162</v>
      </c>
      <c r="E4054" t="s">
        <v>371</v>
      </c>
    </row>
    <row r="4055" spans="8:8">
      <c r="B4055" t="s">
        <v>6163</v>
      </c>
      <c r="C4055">
        <v>534748.0</v>
      </c>
      <c r="D4055" t="s">
        <v>6162</v>
      </c>
      <c r="E4055" t="s">
        <v>371</v>
      </c>
    </row>
    <row r="4056" spans="8:8">
      <c r="B4056" t="s">
        <v>6164</v>
      </c>
      <c r="C4056">
        <v>513173.0</v>
      </c>
      <c r="D4056" t="s">
        <v>339</v>
      </c>
      <c r="E4056" t="s">
        <v>425</v>
      </c>
    </row>
    <row r="4057" spans="8:8">
      <c r="B4057" t="s">
        <v>6165</v>
      </c>
      <c r="C4057">
        <v>504717.0</v>
      </c>
      <c r="D4057" t="s">
        <v>6166</v>
      </c>
      <c r="E4057" t="s">
        <v>4213</v>
      </c>
    </row>
    <row r="4058" spans="8:8">
      <c r="B4058" t="s">
        <v>6167</v>
      </c>
      <c r="C4058">
        <v>513262.0</v>
      </c>
      <c r="D4058" t="s">
        <v>6168</v>
      </c>
      <c r="E4058" t="s">
        <v>694</v>
      </c>
    </row>
    <row r="4059" spans="8:8">
      <c r="B4059" t="s">
        <v>6169</v>
      </c>
      <c r="C4059">
        <v>513517.0</v>
      </c>
      <c r="D4059" t="s">
        <v>339</v>
      </c>
      <c r="E4059" t="s">
        <v>1258</v>
      </c>
    </row>
    <row r="4060" spans="8:8">
      <c r="B4060" t="s">
        <v>6170</v>
      </c>
      <c r="C4060">
        <v>500399.0</v>
      </c>
      <c r="D4060" t="s">
        <v>339</v>
      </c>
      <c r="E4060" t="s">
        <v>371</v>
      </c>
    </row>
    <row r="4061" spans="8:8">
      <c r="B4061" t="s">
        <v>6171</v>
      </c>
      <c r="C4061">
        <v>533316.0</v>
      </c>
      <c r="D4061" t="s">
        <v>6172</v>
      </c>
      <c r="E4061" t="s">
        <v>505</v>
      </c>
    </row>
    <row r="4062" spans="8:8">
      <c r="B4062" t="s">
        <v>6173</v>
      </c>
      <c r="C4062">
        <v>526071.0</v>
      </c>
      <c r="D4062" t="s">
        <v>339</v>
      </c>
      <c r="E4062" t="s">
        <v>322</v>
      </c>
    </row>
    <row r="4063" spans="8:8">
      <c r="B4063" t="s">
        <v>6174</v>
      </c>
      <c r="C4063">
        <v>526071.0</v>
      </c>
      <c r="D4063" t="s">
        <v>339</v>
      </c>
      <c r="E4063" t="s">
        <v>322</v>
      </c>
    </row>
    <row r="4064" spans="8:8">
      <c r="B4064" t="s">
        <v>6175</v>
      </c>
      <c r="C4064">
        <v>536738.0</v>
      </c>
      <c r="D4064" t="s">
        <v>339</v>
      </c>
      <c r="E4064" t="s">
        <v>322</v>
      </c>
    </row>
    <row r="4065" spans="8:8">
      <c r="B4065" t="s">
        <v>6176</v>
      </c>
      <c r="C4065">
        <v>531509.0</v>
      </c>
      <c r="D4065" t="s">
        <v>339</v>
      </c>
      <c r="E4065" t="s">
        <v>322</v>
      </c>
    </row>
    <row r="4066" spans="8:8">
      <c r="B4066" t="s">
        <v>6177</v>
      </c>
      <c r="C4066">
        <v>526500.0</v>
      </c>
      <c r="D4066" t="s">
        <v>339</v>
      </c>
      <c r="E4066" t="s">
        <v>540</v>
      </c>
    </row>
    <row r="4067" spans="8:8">
      <c r="B4067" t="s">
        <v>6178</v>
      </c>
      <c r="C4067">
        <v>508963.0</v>
      </c>
      <c r="D4067" t="s">
        <v>6179</v>
      </c>
      <c r="E4067" t="s">
        <v>356</v>
      </c>
    </row>
    <row r="4068" spans="8:8">
      <c r="B4068" t="s">
        <v>6180</v>
      </c>
      <c r="C4068">
        <v>531628.0</v>
      </c>
      <c r="D4068" t="s">
        <v>339</v>
      </c>
      <c r="E4068" t="s">
        <v>354</v>
      </c>
    </row>
    <row r="4069" spans="8:8">
      <c r="B4069" t="s">
        <v>6181</v>
      </c>
      <c r="C4069">
        <v>530759.0</v>
      </c>
      <c r="D4069" t="s">
        <v>6182</v>
      </c>
      <c r="E4069" t="s">
        <v>694</v>
      </c>
    </row>
    <row r="4070" spans="8:8">
      <c r="B4070" t="s">
        <v>6183</v>
      </c>
      <c r="C4070">
        <v>532374.0</v>
      </c>
      <c r="D4070" t="s">
        <v>6184</v>
      </c>
      <c r="E4070" t="s">
        <v>1285</v>
      </c>
    </row>
    <row r="4071" spans="8:8">
      <c r="B4071" t="s">
        <v>6185</v>
      </c>
      <c r="C4071">
        <v>513151.0</v>
      </c>
      <c r="D4071" t="s">
        <v>6186</v>
      </c>
      <c r="E4071" t="s">
        <v>354</v>
      </c>
    </row>
    <row r="4072" spans="8:8">
      <c r="B4072" t="s">
        <v>6187</v>
      </c>
      <c r="C4072">
        <v>513151.0</v>
      </c>
      <c r="D4072" t="s">
        <v>6188</v>
      </c>
      <c r="E4072" t="s">
        <v>354</v>
      </c>
    </row>
    <row r="4073" spans="8:8">
      <c r="B4073" t="s">
        <v>6189</v>
      </c>
      <c r="C4073">
        <v>532730.0</v>
      </c>
      <c r="D4073" t="s">
        <v>6190</v>
      </c>
      <c r="E4073" t="s">
        <v>354</v>
      </c>
    </row>
    <row r="4074" spans="8:8">
      <c r="B4074" t="s">
        <v>6191</v>
      </c>
      <c r="C4074">
        <v>504959.0</v>
      </c>
      <c r="D4074" t="s">
        <v>339</v>
      </c>
      <c r="E4074" t="s">
        <v>347</v>
      </c>
    </row>
    <row r="4075" spans="8:8">
      <c r="B4075" t="s">
        <v>6192</v>
      </c>
      <c r="C4075">
        <v>530495.0</v>
      </c>
      <c r="D4075" t="s">
        <v>339</v>
      </c>
      <c r="E4075" t="s">
        <v>361</v>
      </c>
    </row>
    <row r="4076" spans="8:8">
      <c r="B4076" t="s">
        <v>6193</v>
      </c>
      <c r="C4076">
        <v>532531.0</v>
      </c>
      <c r="D4076" t="s">
        <v>6194</v>
      </c>
      <c r="E4076" t="s">
        <v>377</v>
      </c>
    </row>
    <row r="4077" spans="8:8">
      <c r="B4077" t="s">
        <v>6195</v>
      </c>
      <c r="C4077">
        <v>530611.0</v>
      </c>
      <c r="D4077" t="s">
        <v>339</v>
      </c>
      <c r="E4077" t="s">
        <v>459</v>
      </c>
    </row>
    <row r="4078" spans="8:8">
      <c r="B4078" t="s">
        <v>6196</v>
      </c>
      <c r="C4078">
        <v>526951.0</v>
      </c>
      <c r="D4078" t="s">
        <v>339</v>
      </c>
      <c r="E4078" t="s">
        <v>834</v>
      </c>
    </row>
    <row r="4079" spans="8:8">
      <c r="B4079" t="s">
        <v>6197</v>
      </c>
      <c r="C4079" t="s">
        <v>339</v>
      </c>
      <c r="D4079" t="s">
        <v>6198</v>
      </c>
      <c r="E4079" t="s">
        <v>834</v>
      </c>
    </row>
    <row r="4080" spans="8:8">
      <c r="B4080" t="s">
        <v>6199</v>
      </c>
      <c r="C4080">
        <v>532348.0</v>
      </c>
      <c r="D4080" t="s">
        <v>339</v>
      </c>
      <c r="E4080" t="s">
        <v>432</v>
      </c>
    </row>
    <row r="4081" spans="8:8">
      <c r="B4081" t="s">
        <v>6200</v>
      </c>
      <c r="C4081">
        <v>530231.0</v>
      </c>
      <c r="D4081" t="s">
        <v>339</v>
      </c>
      <c r="E4081" t="s">
        <v>354</v>
      </c>
    </row>
    <row r="4082" spans="8:8">
      <c r="B4082" t="s">
        <v>6201</v>
      </c>
      <c r="C4082">
        <v>517168.0</v>
      </c>
      <c r="D4082" t="s">
        <v>6202</v>
      </c>
      <c r="E4082" t="s">
        <v>694</v>
      </c>
    </row>
    <row r="4083" spans="8:8">
      <c r="B4083" t="s">
        <v>6203</v>
      </c>
      <c r="C4083">
        <v>511024.0</v>
      </c>
      <c r="D4083" t="s">
        <v>339</v>
      </c>
      <c r="E4083" t="s">
        <v>760</v>
      </c>
    </row>
    <row r="4084" spans="8:8">
      <c r="B4084" t="s">
        <v>6204</v>
      </c>
      <c r="C4084">
        <v>538714.0</v>
      </c>
      <c r="D4084" t="s">
        <v>339</v>
      </c>
      <c r="E4084" t="s">
        <v>356</v>
      </c>
    </row>
    <row r="4085" spans="8:8">
      <c r="B4085" t="s">
        <v>6205</v>
      </c>
      <c r="C4085">
        <v>506003.0</v>
      </c>
      <c r="D4085" t="s">
        <v>339</v>
      </c>
      <c r="E4085" t="s">
        <v>644</v>
      </c>
    </row>
    <row r="4086" spans="8:8">
      <c r="B4086" t="s">
        <v>6206</v>
      </c>
      <c r="C4086">
        <v>506655.0</v>
      </c>
      <c r="D4086" t="s">
        <v>6207</v>
      </c>
      <c r="E4086" t="s">
        <v>499</v>
      </c>
    </row>
    <row r="4087" spans="8:8">
      <c r="B4087" t="s">
        <v>6208</v>
      </c>
      <c r="C4087">
        <v>521113.0</v>
      </c>
      <c r="D4087" t="s">
        <v>339</v>
      </c>
      <c r="E4087" t="s">
        <v>354</v>
      </c>
    </row>
    <row r="4088" spans="8:8">
      <c r="B4088" t="s">
        <v>6209</v>
      </c>
      <c r="C4088">
        <v>540318.0</v>
      </c>
      <c r="D4088" t="s">
        <v>339</v>
      </c>
      <c r="E4088" t="s">
        <v>354</v>
      </c>
    </row>
    <row r="4089" spans="8:8">
      <c r="B4089" t="s">
        <v>6210</v>
      </c>
      <c r="C4089">
        <v>511654.0</v>
      </c>
      <c r="D4089" t="s">
        <v>339</v>
      </c>
      <c r="E4089" t="s">
        <v>356</v>
      </c>
    </row>
    <row r="4090" spans="8:8">
      <c r="B4090" t="s">
        <v>6211</v>
      </c>
      <c r="C4090">
        <v>542683.0</v>
      </c>
      <c r="D4090" t="s">
        <v>6212</v>
      </c>
      <c r="E4090" t="s">
        <v>485</v>
      </c>
    </row>
    <row r="4091" spans="8:8">
      <c r="B4091" t="s">
        <v>6213</v>
      </c>
      <c r="C4091">
        <v>539117.0</v>
      </c>
      <c r="D4091" t="s">
        <v>339</v>
      </c>
      <c r="E4091" t="s">
        <v>356</v>
      </c>
    </row>
    <row r="4092" spans="8:8">
      <c r="B4092" t="s">
        <v>6214</v>
      </c>
      <c r="C4092">
        <v>517224.0</v>
      </c>
      <c r="D4092" t="s">
        <v>6215</v>
      </c>
      <c r="E4092" t="s">
        <v>1258</v>
      </c>
    </row>
    <row r="4093" spans="8:8">
      <c r="B4093" t="s">
        <v>6216</v>
      </c>
      <c r="C4093">
        <v>524542.0</v>
      </c>
      <c r="D4093" t="s">
        <v>339</v>
      </c>
      <c r="E4093" t="s">
        <v>537</v>
      </c>
    </row>
    <row r="4094" spans="8:8">
      <c r="B4094" t="s">
        <v>6217</v>
      </c>
      <c r="C4094">
        <v>508969.0</v>
      </c>
      <c r="D4094" t="s">
        <v>339</v>
      </c>
      <c r="E4094" t="s">
        <v>356</v>
      </c>
    </row>
    <row r="4095" spans="8:8">
      <c r="B4095" t="s">
        <v>6218</v>
      </c>
      <c r="C4095">
        <v>530419.0</v>
      </c>
      <c r="D4095" t="s">
        <v>339</v>
      </c>
      <c r="E4095" t="s">
        <v>322</v>
      </c>
    </row>
    <row r="4096" spans="8:8">
      <c r="B4096" t="s">
        <v>6219</v>
      </c>
      <c r="C4096">
        <v>514211.0</v>
      </c>
      <c r="D4096" t="s">
        <v>6220</v>
      </c>
      <c r="E4096" t="s">
        <v>354</v>
      </c>
    </row>
    <row r="4097" spans="8:8">
      <c r="B4097" t="s">
        <v>6221</v>
      </c>
      <c r="C4097">
        <v>530445.0</v>
      </c>
      <c r="D4097" t="s">
        <v>339</v>
      </c>
      <c r="E4097" t="s">
        <v>361</v>
      </c>
    </row>
    <row r="4098" spans="8:8">
      <c r="B4098" t="s">
        <v>6222</v>
      </c>
      <c r="C4098" t="s">
        <v>339</v>
      </c>
      <c r="D4098" t="s">
        <v>6223</v>
      </c>
      <c r="E4098" t="s">
        <v>350</v>
      </c>
    </row>
    <row r="4099" spans="8:8">
      <c r="B4099" t="s">
        <v>6224</v>
      </c>
      <c r="C4099">
        <v>533306.0</v>
      </c>
      <c r="D4099" t="s">
        <v>6225</v>
      </c>
      <c r="E4099" t="s">
        <v>359</v>
      </c>
    </row>
    <row r="4100" spans="8:8">
      <c r="B4100" t="s">
        <v>6226</v>
      </c>
      <c r="C4100">
        <v>532154.0</v>
      </c>
      <c r="D4100" t="s">
        <v>339</v>
      </c>
      <c r="E4100" t="s">
        <v>760</v>
      </c>
    </row>
    <row r="4101" spans="8:8">
      <c r="B4101" t="s">
        <v>6227</v>
      </c>
      <c r="C4101">
        <v>532872.0</v>
      </c>
      <c r="D4101" t="s">
        <v>6228</v>
      </c>
      <c r="E4101" t="s">
        <v>377</v>
      </c>
    </row>
    <row r="4102" spans="8:8">
      <c r="B4102" t="s">
        <v>6229</v>
      </c>
      <c r="C4102">
        <v>524715.0</v>
      </c>
      <c r="D4102" t="s">
        <v>6230</v>
      </c>
      <c r="E4102" t="s">
        <v>377</v>
      </c>
    </row>
    <row r="4103" spans="8:8">
      <c r="B4103" t="s">
        <v>6231</v>
      </c>
      <c r="C4103">
        <v>542025.0</v>
      </c>
      <c r="D4103" t="s">
        <v>339</v>
      </c>
      <c r="E4103" t="s">
        <v>361</v>
      </c>
    </row>
    <row r="4104" spans="8:8">
      <c r="B4104" t="s">
        <v>6232</v>
      </c>
      <c r="C4104">
        <v>517403.0</v>
      </c>
      <c r="D4104" t="s">
        <v>339</v>
      </c>
      <c r="E4104" t="s">
        <v>478</v>
      </c>
    </row>
    <row r="4105" spans="8:8">
      <c r="B4105" t="s">
        <v>6233</v>
      </c>
      <c r="C4105">
        <v>517403.0</v>
      </c>
      <c r="D4105" t="s">
        <v>339</v>
      </c>
      <c r="E4105" t="s">
        <v>478</v>
      </c>
    </row>
    <row r="4106" spans="8:8">
      <c r="B4106" t="s">
        <v>6234</v>
      </c>
      <c r="C4106">
        <v>531752.0</v>
      </c>
      <c r="D4106" t="s">
        <v>339</v>
      </c>
      <c r="E4106" t="s">
        <v>361</v>
      </c>
    </row>
    <row r="4107" spans="8:8">
      <c r="B4107" t="s">
        <v>6235</v>
      </c>
      <c r="C4107">
        <v>532733.0</v>
      </c>
      <c r="D4107" t="s">
        <v>6236</v>
      </c>
      <c r="E4107" t="s">
        <v>1077</v>
      </c>
    </row>
    <row r="4108" spans="8:8">
      <c r="B4108" t="s">
        <v>6237</v>
      </c>
      <c r="C4108">
        <v>539526.0</v>
      </c>
      <c r="D4108" t="s">
        <v>339</v>
      </c>
      <c r="E4108" t="s">
        <v>373</v>
      </c>
    </row>
    <row r="4109" spans="8:8">
      <c r="B4109" t="s">
        <v>6238</v>
      </c>
      <c r="C4109">
        <v>530795.0</v>
      </c>
      <c r="D4109" t="s">
        <v>339</v>
      </c>
      <c r="E4109" t="s">
        <v>354</v>
      </c>
    </row>
    <row r="4110" spans="8:8">
      <c r="B4110" t="s">
        <v>6239</v>
      </c>
      <c r="C4110">
        <v>590072.0</v>
      </c>
      <c r="D4110" t="s">
        <v>6240</v>
      </c>
      <c r="E4110" t="s">
        <v>694</v>
      </c>
    </row>
    <row r="4111" spans="8:8">
      <c r="B4111" t="s">
        <v>6241</v>
      </c>
      <c r="C4111">
        <v>520056.0</v>
      </c>
      <c r="D4111" t="s">
        <v>6242</v>
      </c>
      <c r="E4111" t="s">
        <v>694</v>
      </c>
    </row>
    <row r="4112" spans="8:8">
      <c r="B4112" t="s">
        <v>6243</v>
      </c>
      <c r="C4112" t="s">
        <v>339</v>
      </c>
      <c r="D4112" t="s">
        <v>6244</v>
      </c>
      <c r="E4112" t="s">
        <v>430</v>
      </c>
    </row>
    <row r="4113" spans="8:8">
      <c r="B4113" t="s">
        <v>6245</v>
      </c>
      <c r="C4113">
        <v>590071.0</v>
      </c>
      <c r="D4113" t="s">
        <v>6246</v>
      </c>
      <c r="E4113" t="s">
        <v>356</v>
      </c>
    </row>
    <row r="4114" spans="8:8">
      <c r="B4114" t="s">
        <v>6247</v>
      </c>
      <c r="C4114">
        <v>533166.0</v>
      </c>
      <c r="D4114" t="s">
        <v>6248</v>
      </c>
      <c r="E4114" t="s">
        <v>2331</v>
      </c>
    </row>
    <row r="4115" spans="8:8">
      <c r="B4115" t="s">
        <v>6249</v>
      </c>
      <c r="C4115">
        <v>500403.0</v>
      </c>
      <c r="D4115" t="s">
        <v>6250</v>
      </c>
      <c r="E4115" t="s">
        <v>694</v>
      </c>
    </row>
    <row r="4116" spans="8:8">
      <c r="B4116" t="s">
        <v>6251</v>
      </c>
      <c r="C4116">
        <v>500404.0</v>
      </c>
      <c r="D4116" t="s">
        <v>6252</v>
      </c>
      <c r="E4116" t="s">
        <v>371</v>
      </c>
    </row>
    <row r="4117" spans="8:8">
      <c r="B4117" t="s">
        <v>6253</v>
      </c>
      <c r="C4117">
        <v>531433.0</v>
      </c>
      <c r="D4117" t="s">
        <v>339</v>
      </c>
      <c r="E4117" t="s">
        <v>356</v>
      </c>
    </row>
    <row r="4118" spans="8:8">
      <c r="B4118" t="s">
        <v>6254</v>
      </c>
      <c r="C4118">
        <v>541799.0</v>
      </c>
      <c r="D4118" t="s">
        <v>339</v>
      </c>
      <c r="E4118" t="s">
        <v>1941</v>
      </c>
    </row>
    <row r="4119" spans="8:8">
      <c r="B4119" t="s">
        <v>6255</v>
      </c>
      <c r="C4119">
        <v>530953.0</v>
      </c>
      <c r="D4119" t="s">
        <v>339</v>
      </c>
      <c r="E4119" t="s">
        <v>399</v>
      </c>
    </row>
    <row r="4120" spans="8:8">
      <c r="B4120" t="s">
        <v>6256</v>
      </c>
      <c r="C4120">
        <v>537253.0</v>
      </c>
      <c r="D4120" t="s">
        <v>339</v>
      </c>
      <c r="E4120" t="s">
        <v>377</v>
      </c>
    </row>
    <row r="4121" spans="8:8">
      <c r="B4121" t="s">
        <v>6257</v>
      </c>
      <c r="C4121">
        <v>532711.0</v>
      </c>
      <c r="D4121" t="s">
        <v>6258</v>
      </c>
      <c r="E4121" t="s">
        <v>737</v>
      </c>
    </row>
    <row r="4122" spans="8:8">
      <c r="B4122" t="s">
        <v>6259</v>
      </c>
      <c r="C4122">
        <v>521232.0</v>
      </c>
      <c r="D4122" t="s">
        <v>339</v>
      </c>
      <c r="E4122" t="s">
        <v>361</v>
      </c>
    </row>
    <row r="4123" spans="8:8">
      <c r="B4123" t="s">
        <v>6260</v>
      </c>
      <c r="C4123">
        <v>523425.0</v>
      </c>
      <c r="D4123" t="s">
        <v>6261</v>
      </c>
      <c r="E4123" t="s">
        <v>895</v>
      </c>
    </row>
    <row r="4124" spans="8:8">
      <c r="B4124" t="s">
        <v>6262</v>
      </c>
      <c r="C4124">
        <v>501110.0</v>
      </c>
      <c r="D4124" t="s">
        <v>339</v>
      </c>
      <c r="E4124" t="s">
        <v>322</v>
      </c>
    </row>
    <row r="4125" spans="8:8">
      <c r="B4125" t="s">
        <v>6263</v>
      </c>
      <c r="C4125">
        <v>530845.0</v>
      </c>
      <c r="D4125" t="s">
        <v>339</v>
      </c>
      <c r="E4125" t="s">
        <v>387</v>
      </c>
    </row>
    <row r="4126" spans="8:8">
      <c r="B4126" t="s">
        <v>6264</v>
      </c>
      <c r="C4126">
        <v>539574.0</v>
      </c>
      <c r="D4126" t="s">
        <v>339</v>
      </c>
      <c r="E4126" t="s">
        <v>356</v>
      </c>
    </row>
    <row r="4127" spans="8:8">
      <c r="B4127" t="s">
        <v>6265</v>
      </c>
      <c r="C4127">
        <v>535141.0</v>
      </c>
      <c r="D4127" t="s">
        <v>339</v>
      </c>
      <c r="E4127" t="s">
        <v>425</v>
      </c>
    </row>
    <row r="4128" spans="8:8">
      <c r="B4128" t="s">
        <v>6266</v>
      </c>
      <c r="C4128">
        <v>512179.0</v>
      </c>
      <c r="D4128" t="s">
        <v>6267</v>
      </c>
      <c r="E4128" t="s">
        <v>425</v>
      </c>
    </row>
    <row r="4129" spans="8:8">
      <c r="B4129" t="s">
        <v>6268</v>
      </c>
      <c r="C4129">
        <v>530735.0</v>
      </c>
      <c r="D4129" t="s">
        <v>339</v>
      </c>
      <c r="E4129" t="s">
        <v>399</v>
      </c>
    </row>
    <row r="4130" spans="8:8">
      <c r="B4130" t="s">
        <v>6269</v>
      </c>
      <c r="C4130">
        <v>530735.0</v>
      </c>
      <c r="D4130" t="s">
        <v>339</v>
      </c>
      <c r="E4130" t="s">
        <v>399</v>
      </c>
    </row>
    <row r="4131" spans="8:8">
      <c r="B4131" t="s">
        <v>6270</v>
      </c>
      <c r="C4131">
        <v>530883.0</v>
      </c>
      <c r="D4131" t="s">
        <v>339</v>
      </c>
      <c r="E4131" t="s">
        <v>483</v>
      </c>
    </row>
    <row r="4132" spans="8:8">
      <c r="B4132" t="s">
        <v>6271</v>
      </c>
      <c r="C4132">
        <v>531699.0</v>
      </c>
      <c r="D4132" t="s">
        <v>339</v>
      </c>
      <c r="E4132" t="s">
        <v>1103</v>
      </c>
    </row>
    <row r="4133" spans="8:8">
      <c r="B4133" t="s">
        <v>6272</v>
      </c>
      <c r="C4133">
        <v>540269.0</v>
      </c>
      <c r="D4133" t="s">
        <v>339</v>
      </c>
      <c r="E4133" t="s">
        <v>453</v>
      </c>
    </row>
    <row r="4134" spans="8:8">
      <c r="B4134" t="s">
        <v>6273</v>
      </c>
      <c r="C4134">
        <v>512527.0</v>
      </c>
      <c r="D4134" t="s">
        <v>339</v>
      </c>
      <c r="E4134" t="s">
        <v>354</v>
      </c>
    </row>
    <row r="4135" spans="8:8">
      <c r="B4135" t="s">
        <v>6274</v>
      </c>
      <c r="C4135">
        <v>512527.0</v>
      </c>
      <c r="D4135" t="s">
        <v>339</v>
      </c>
      <c r="E4135" t="s">
        <v>354</v>
      </c>
    </row>
    <row r="4136" spans="8:8">
      <c r="B4136" t="s">
        <v>6275</v>
      </c>
      <c r="C4136">
        <v>521180.0</v>
      </c>
      <c r="D4136" t="s">
        <v>6276</v>
      </c>
      <c r="E4136" t="s">
        <v>354</v>
      </c>
    </row>
    <row r="4137" spans="8:8">
      <c r="B4137" t="s">
        <v>6277</v>
      </c>
      <c r="C4137">
        <v>523842.0</v>
      </c>
      <c r="D4137" t="s">
        <v>339</v>
      </c>
      <c r="E4137" t="s">
        <v>453</v>
      </c>
    </row>
    <row r="4138" spans="8:8">
      <c r="B4138" t="s">
        <v>6278</v>
      </c>
      <c r="C4138">
        <v>532070.0</v>
      </c>
      <c r="D4138" t="s">
        <v>339</v>
      </c>
      <c r="E4138" t="s">
        <v>333</v>
      </c>
    </row>
    <row r="4139" spans="8:8">
      <c r="B4139" t="s">
        <v>6279</v>
      </c>
      <c r="C4139">
        <v>523283.0</v>
      </c>
      <c r="D4139" t="s">
        <v>6280</v>
      </c>
      <c r="E4139" t="s">
        <v>765</v>
      </c>
    </row>
    <row r="4140" spans="8:8">
      <c r="B4140" t="s">
        <v>6281</v>
      </c>
      <c r="C4140">
        <v>539835.0</v>
      </c>
      <c r="D4140" t="s">
        <v>339</v>
      </c>
      <c r="E4140" t="s">
        <v>356</v>
      </c>
    </row>
    <row r="4141" spans="8:8">
      <c r="B4141" t="s">
        <v>6282</v>
      </c>
      <c r="C4141">
        <v>519234.0</v>
      </c>
      <c r="D4141" t="s">
        <v>6283</v>
      </c>
      <c r="E4141" t="s">
        <v>588</v>
      </c>
    </row>
    <row r="4142" spans="8:8">
      <c r="B4142" t="s">
        <v>6284</v>
      </c>
      <c r="C4142">
        <v>780008.0</v>
      </c>
      <c r="D4142" t="s">
        <v>339</v>
      </c>
      <c r="E4142" t="s">
        <v>430</v>
      </c>
    </row>
    <row r="4143" spans="8:8">
      <c r="B4143" t="s">
        <v>6285</v>
      </c>
      <c r="C4143">
        <v>541701.0</v>
      </c>
      <c r="D4143" t="s">
        <v>339</v>
      </c>
      <c r="E4143" t="s">
        <v>662</v>
      </c>
    </row>
    <row r="4144" spans="8:8">
      <c r="B4144" t="s">
        <v>6286</v>
      </c>
      <c r="C4144">
        <v>526133.0</v>
      </c>
      <c r="D4144" t="s">
        <v>339</v>
      </c>
      <c r="E4144" t="s">
        <v>354</v>
      </c>
    </row>
    <row r="4145" spans="8:8">
      <c r="B4145" t="s">
        <v>6287</v>
      </c>
      <c r="C4145">
        <v>540168.0</v>
      </c>
      <c r="D4145" t="s">
        <v>339</v>
      </c>
      <c r="E4145" t="s">
        <v>356</v>
      </c>
    </row>
    <row r="4146" spans="8:8">
      <c r="B4146" t="s">
        <v>6288</v>
      </c>
      <c r="C4146">
        <v>511539.0</v>
      </c>
      <c r="D4146" t="s">
        <v>339</v>
      </c>
      <c r="E4146" t="s">
        <v>322</v>
      </c>
    </row>
    <row r="4147" spans="8:8">
      <c r="B4147" t="s">
        <v>6289</v>
      </c>
      <c r="C4147">
        <v>532509.0</v>
      </c>
      <c r="D4147" t="s">
        <v>6290</v>
      </c>
      <c r="E4147" t="s">
        <v>694</v>
      </c>
    </row>
    <row r="4148" spans="8:8">
      <c r="B4148" t="s">
        <v>6291</v>
      </c>
      <c r="C4148" t="s">
        <v>339</v>
      </c>
      <c r="D4148" t="s">
        <v>6292</v>
      </c>
      <c r="E4148" t="s">
        <v>350</v>
      </c>
    </row>
    <row r="4149" spans="8:8">
      <c r="B4149" t="s">
        <v>6293</v>
      </c>
      <c r="C4149">
        <v>530677.0</v>
      </c>
      <c r="D4149" t="s">
        <v>339</v>
      </c>
      <c r="E4149" t="s">
        <v>425</v>
      </c>
    </row>
    <row r="4150" spans="8:8">
      <c r="B4150" t="s">
        <v>6294</v>
      </c>
      <c r="C4150">
        <v>530677.0</v>
      </c>
      <c r="D4150" t="s">
        <v>339</v>
      </c>
      <c r="E4150" t="s">
        <v>425</v>
      </c>
    </row>
    <row r="4151" spans="8:8">
      <c r="B4151" t="s">
        <v>6295</v>
      </c>
      <c r="C4151" t="s">
        <v>339</v>
      </c>
      <c r="D4151" t="s">
        <v>6296</v>
      </c>
      <c r="E4151" t="s">
        <v>350</v>
      </c>
    </row>
    <row r="4152" spans="8:8">
      <c r="B4152" t="s">
        <v>6297</v>
      </c>
      <c r="C4152">
        <v>509930.0</v>
      </c>
      <c r="D4152" t="s">
        <v>6298</v>
      </c>
      <c r="E4152" t="s">
        <v>459</v>
      </c>
    </row>
    <row r="4153" spans="8:8">
      <c r="B4153" t="s">
        <v>6299</v>
      </c>
      <c r="C4153">
        <v>532904.0</v>
      </c>
      <c r="D4153" t="s">
        <v>6300</v>
      </c>
      <c r="E4153" t="s">
        <v>737</v>
      </c>
    </row>
    <row r="4154" spans="8:8">
      <c r="B4154" t="s">
        <v>6301</v>
      </c>
      <c r="C4154">
        <v>532904.0</v>
      </c>
      <c r="D4154" t="s">
        <v>6300</v>
      </c>
      <c r="E4154" t="s">
        <v>737</v>
      </c>
    </row>
    <row r="4155" spans="8:8">
      <c r="B4155" t="s">
        <v>6302</v>
      </c>
      <c r="C4155">
        <v>500405.0</v>
      </c>
      <c r="D4155" t="s">
        <v>6303</v>
      </c>
      <c r="E4155" t="s">
        <v>553</v>
      </c>
    </row>
    <row r="4156" spans="8:8">
      <c r="B4156" t="s">
        <v>6304</v>
      </c>
      <c r="C4156">
        <v>534733.0</v>
      </c>
      <c r="D4156" t="s">
        <v>339</v>
      </c>
      <c r="E4156" t="s">
        <v>371</v>
      </c>
    </row>
    <row r="4157" spans="8:8">
      <c r="B4157" t="s">
        <v>6305</v>
      </c>
      <c r="C4157">
        <v>531638.0</v>
      </c>
      <c r="D4157" t="s">
        <v>339</v>
      </c>
      <c r="E4157" t="s">
        <v>662</v>
      </c>
    </row>
    <row r="4158" spans="8:8">
      <c r="B4158" t="s">
        <v>6306</v>
      </c>
      <c r="C4158">
        <v>518075.0</v>
      </c>
      <c r="D4158" t="s">
        <v>339</v>
      </c>
      <c r="E4158" t="s">
        <v>371</v>
      </c>
    </row>
    <row r="4159" spans="8:8">
      <c r="B4159" t="s">
        <v>6307</v>
      </c>
      <c r="C4159">
        <v>533298.0</v>
      </c>
      <c r="D4159" t="s">
        <v>6308</v>
      </c>
      <c r="E4159" t="s">
        <v>881</v>
      </c>
    </row>
    <row r="4160" spans="8:8">
      <c r="B4160" t="s">
        <v>6309</v>
      </c>
      <c r="C4160">
        <v>517530.0</v>
      </c>
      <c r="D4160" t="s">
        <v>6310</v>
      </c>
      <c r="E4160" t="s">
        <v>609</v>
      </c>
    </row>
    <row r="4161" spans="8:8">
      <c r="B4161" t="s">
        <v>6311</v>
      </c>
      <c r="C4161">
        <v>530185.0</v>
      </c>
      <c r="D4161" t="s">
        <v>339</v>
      </c>
      <c r="E4161" t="s">
        <v>354</v>
      </c>
    </row>
    <row r="4162" spans="8:8">
      <c r="B4162" t="s">
        <v>6312</v>
      </c>
      <c r="C4162" t="s">
        <v>339</v>
      </c>
      <c r="D4162" t="s">
        <v>6313</v>
      </c>
      <c r="E4162" t="s">
        <v>350</v>
      </c>
    </row>
    <row r="4163" spans="8:8">
      <c r="B4163" t="s">
        <v>6314</v>
      </c>
      <c r="C4163">
        <v>539253.0</v>
      </c>
      <c r="D4163" t="s">
        <v>339</v>
      </c>
      <c r="E4163" t="s">
        <v>356</v>
      </c>
    </row>
    <row r="4164" spans="8:8">
      <c r="B4164" t="s">
        <v>6315</v>
      </c>
      <c r="C4164">
        <v>539253.0</v>
      </c>
      <c r="D4164" t="s">
        <v>339</v>
      </c>
      <c r="E4164" t="s">
        <v>356</v>
      </c>
    </row>
    <row r="4165" spans="8:8">
      <c r="B4165" t="s">
        <v>6316</v>
      </c>
      <c r="C4165">
        <v>500336.0</v>
      </c>
      <c r="D4165" t="s">
        <v>6317</v>
      </c>
      <c r="E4165" t="s">
        <v>328</v>
      </c>
    </row>
    <row r="4166" spans="8:8">
      <c r="B4166" t="s">
        <v>6318</v>
      </c>
      <c r="C4166">
        <v>533101.0</v>
      </c>
      <c r="D4166" t="s">
        <v>339</v>
      </c>
      <c r="E4166" t="s">
        <v>354</v>
      </c>
    </row>
    <row r="4167" spans="8:8">
      <c r="B4167" t="s">
        <v>6319</v>
      </c>
      <c r="C4167">
        <v>532874.0</v>
      </c>
      <c r="D4167" t="s">
        <v>339</v>
      </c>
      <c r="E4167" t="s">
        <v>478</v>
      </c>
    </row>
    <row r="4168" spans="8:8">
      <c r="B4168" t="s">
        <v>6320</v>
      </c>
      <c r="C4168">
        <v>511185.0</v>
      </c>
      <c r="D4168" t="s">
        <v>339</v>
      </c>
      <c r="E4168" t="s">
        <v>660</v>
      </c>
    </row>
    <row r="4169" spans="8:8">
      <c r="B4169" t="s">
        <v>6321</v>
      </c>
      <c r="C4169">
        <v>521200.0</v>
      </c>
      <c r="D4169" t="s">
        <v>6322</v>
      </c>
      <c r="E4169" t="s">
        <v>354</v>
      </c>
    </row>
    <row r="4170" spans="8:8">
      <c r="B4170" t="s">
        <v>6323</v>
      </c>
      <c r="C4170">
        <v>514138.0</v>
      </c>
      <c r="D4170" t="s">
        <v>339</v>
      </c>
      <c r="E4170" t="s">
        <v>354</v>
      </c>
    </row>
    <row r="4171" spans="8:8">
      <c r="B4171" t="s">
        <v>6324</v>
      </c>
      <c r="C4171">
        <v>514140.0</v>
      </c>
      <c r="D4171" t="s">
        <v>339</v>
      </c>
      <c r="E4171" t="s">
        <v>354</v>
      </c>
    </row>
    <row r="4172" spans="8:8">
      <c r="B4172" t="s">
        <v>6325</v>
      </c>
      <c r="C4172">
        <v>519604.0</v>
      </c>
      <c r="D4172" t="s">
        <v>6326</v>
      </c>
      <c r="E4172" t="s">
        <v>399</v>
      </c>
    </row>
    <row r="4173" spans="8:8">
      <c r="B4173" t="s">
        <v>6327</v>
      </c>
      <c r="C4173">
        <v>532782.0</v>
      </c>
      <c r="D4173" t="s">
        <v>6328</v>
      </c>
      <c r="E4173" t="s">
        <v>354</v>
      </c>
    </row>
    <row r="4174" spans="8:8">
      <c r="B4174" t="s">
        <v>6329</v>
      </c>
      <c r="C4174" t="s">
        <v>339</v>
      </c>
      <c r="D4174" t="s">
        <v>6330</v>
      </c>
      <c r="E4174" t="s">
        <v>350</v>
      </c>
    </row>
    <row r="4175" spans="8:8">
      <c r="B4175" t="s">
        <v>6331</v>
      </c>
      <c r="C4175">
        <v>530239.0</v>
      </c>
      <c r="D4175" t="s">
        <v>6332</v>
      </c>
      <c r="E4175" t="s">
        <v>377</v>
      </c>
    </row>
    <row r="4176" spans="8:8">
      <c r="B4176" t="s">
        <v>6333</v>
      </c>
      <c r="C4176">
        <v>531640.0</v>
      </c>
      <c r="D4176" t="s">
        <v>339</v>
      </c>
      <c r="E4176" t="s">
        <v>425</v>
      </c>
    </row>
    <row r="4177" spans="8:8">
      <c r="B4177" t="s">
        <v>6334</v>
      </c>
      <c r="C4177">
        <v>537259.0</v>
      </c>
      <c r="D4177" t="s">
        <v>339</v>
      </c>
      <c r="E4177" t="s">
        <v>1285</v>
      </c>
    </row>
    <row r="4178" spans="8:8">
      <c r="B4178" t="s">
        <v>6335</v>
      </c>
      <c r="C4178">
        <v>532667.0</v>
      </c>
      <c r="D4178" t="s">
        <v>6336</v>
      </c>
      <c r="E4178" t="s">
        <v>382</v>
      </c>
    </row>
    <row r="4179" spans="8:8">
      <c r="B4179" t="s">
        <v>6337</v>
      </c>
      <c r="C4179">
        <v>531885.0</v>
      </c>
      <c r="D4179" t="s">
        <v>339</v>
      </c>
      <c r="E4179" t="s">
        <v>361</v>
      </c>
    </row>
    <row r="4180" spans="8:8">
      <c r="B4180" t="s">
        <v>6338</v>
      </c>
      <c r="C4180">
        <v>531885.0</v>
      </c>
      <c r="D4180" t="s">
        <v>339</v>
      </c>
      <c r="E4180" t="s">
        <v>361</v>
      </c>
    </row>
    <row r="4181" spans="8:8">
      <c r="B4181" t="s">
        <v>6339</v>
      </c>
      <c r="C4181">
        <v>523722.0</v>
      </c>
      <c r="D4181" t="s">
        <v>339</v>
      </c>
      <c r="E4181" t="s">
        <v>432</v>
      </c>
    </row>
    <row r="4182" spans="8:8">
      <c r="B4182" t="s">
        <v>6340</v>
      </c>
      <c r="C4182">
        <v>503624.0</v>
      </c>
      <c r="D4182" t="s">
        <v>339</v>
      </c>
      <c r="E4182" t="s">
        <v>322</v>
      </c>
    </row>
    <row r="4183" spans="8:8">
      <c r="B4183" t="s">
        <v>6341</v>
      </c>
      <c r="C4183">
        <v>539911.0</v>
      </c>
      <c r="D4183" t="s">
        <v>339</v>
      </c>
      <c r="E4183" t="s">
        <v>361</v>
      </c>
    </row>
    <row r="4184" spans="8:8">
      <c r="B4184" t="s">
        <v>6342</v>
      </c>
      <c r="C4184">
        <v>524488.0</v>
      </c>
      <c r="D4184" t="s">
        <v>6343</v>
      </c>
      <c r="E4184" t="s">
        <v>387</v>
      </c>
    </row>
    <row r="4185" spans="8:8">
      <c r="B4185" t="s">
        <v>6344</v>
      </c>
      <c r="C4185">
        <v>512449.0</v>
      </c>
      <c r="D4185" t="s">
        <v>339</v>
      </c>
      <c r="E4185" t="s">
        <v>319</v>
      </c>
    </row>
    <row r="4186" spans="8:8">
      <c r="B4186" t="s">
        <v>6345</v>
      </c>
      <c r="C4186">
        <v>505590.0</v>
      </c>
      <c r="D4186" t="s">
        <v>339</v>
      </c>
      <c r="E4186" t="s">
        <v>354</v>
      </c>
    </row>
    <row r="4187" spans="8:8">
      <c r="B4187" t="s">
        <v>6346</v>
      </c>
      <c r="C4187">
        <v>539041.0</v>
      </c>
      <c r="D4187" t="s">
        <v>339</v>
      </c>
      <c r="E4187" t="s">
        <v>361</v>
      </c>
    </row>
    <row r="4188" spans="8:8">
      <c r="B4188" t="s">
        <v>6347</v>
      </c>
      <c r="C4188">
        <v>503659.0</v>
      </c>
      <c r="D4188" t="s">
        <v>339</v>
      </c>
      <c r="E4188" t="s">
        <v>760</v>
      </c>
    </row>
    <row r="4189" spans="8:8">
      <c r="B4189" t="s">
        <v>6348</v>
      </c>
      <c r="C4189">
        <v>506863.0</v>
      </c>
      <c r="D4189" t="s">
        <v>339</v>
      </c>
      <c r="E4189" t="s">
        <v>534</v>
      </c>
    </row>
    <row r="4190" spans="8:8">
      <c r="B4190" t="s">
        <v>6349</v>
      </c>
      <c r="C4190">
        <v>503816.0</v>
      </c>
      <c r="D4190" t="s">
        <v>339</v>
      </c>
      <c r="E4190" t="s">
        <v>354</v>
      </c>
    </row>
    <row r="4191" spans="8:8">
      <c r="B4191" t="s">
        <v>6350</v>
      </c>
      <c r="C4191">
        <v>531909.0</v>
      </c>
      <c r="D4191" t="s">
        <v>339</v>
      </c>
      <c r="E4191" t="s">
        <v>425</v>
      </c>
    </row>
    <row r="4192" spans="8:8">
      <c r="B4192" t="s">
        <v>6351</v>
      </c>
      <c r="C4192">
        <v>539406.0</v>
      </c>
      <c r="D4192" t="s">
        <v>339</v>
      </c>
      <c r="E4192" t="s">
        <v>361</v>
      </c>
    </row>
    <row r="4193" spans="8:8">
      <c r="B4193" t="s">
        <v>6352</v>
      </c>
      <c r="C4193">
        <v>503310.0</v>
      </c>
      <c r="D4193" t="s">
        <v>6353</v>
      </c>
      <c r="E4193" t="s">
        <v>354</v>
      </c>
    </row>
    <row r="4194" spans="8:8">
      <c r="B4194" t="s">
        <v>6354</v>
      </c>
      <c r="C4194">
        <v>539353.0</v>
      </c>
      <c r="D4194" t="s">
        <v>339</v>
      </c>
      <c r="E4194" t="s">
        <v>694</v>
      </c>
    </row>
    <row r="4195" spans="8:8">
      <c r="B4195" t="s">
        <v>6355</v>
      </c>
      <c r="C4195">
        <v>500407.0</v>
      </c>
      <c r="D4195" t="s">
        <v>6356</v>
      </c>
      <c r="E4195" t="s">
        <v>694</v>
      </c>
    </row>
    <row r="4196" spans="8:8">
      <c r="B4196" t="s">
        <v>6357</v>
      </c>
      <c r="C4196">
        <v>531003.0</v>
      </c>
      <c r="D4196" t="s">
        <v>339</v>
      </c>
      <c r="E4196" t="s">
        <v>356</v>
      </c>
    </row>
    <row r="4197" spans="8:8">
      <c r="B4197" t="s">
        <v>6358</v>
      </c>
      <c r="C4197">
        <v>526365.0</v>
      </c>
      <c r="D4197" t="s">
        <v>339</v>
      </c>
      <c r="E4197" t="s">
        <v>453</v>
      </c>
    </row>
    <row r="4198" spans="8:8">
      <c r="B4198" t="s">
        <v>6359</v>
      </c>
      <c r="C4198">
        <v>512257.0</v>
      </c>
      <c r="D4198" t="s">
        <v>339</v>
      </c>
      <c r="E4198" t="s">
        <v>328</v>
      </c>
    </row>
    <row r="4199" spans="8:8">
      <c r="B4199" t="s">
        <v>6360</v>
      </c>
      <c r="C4199">
        <v>510245.0</v>
      </c>
      <c r="D4199" t="s">
        <v>339</v>
      </c>
      <c r="E4199" t="s">
        <v>361</v>
      </c>
    </row>
    <row r="4200" spans="8:8">
      <c r="B4200" t="s">
        <v>6361</v>
      </c>
      <c r="C4200">
        <v>501386.0</v>
      </c>
      <c r="D4200" t="s">
        <v>339</v>
      </c>
      <c r="E4200" t="s">
        <v>322</v>
      </c>
    </row>
    <row r="4201" spans="8:8">
      <c r="B4201" t="s">
        <v>6362</v>
      </c>
      <c r="C4201">
        <v>530585.0</v>
      </c>
      <c r="D4201" t="s">
        <v>339</v>
      </c>
      <c r="E4201" t="s">
        <v>322</v>
      </c>
    </row>
    <row r="4202" spans="8:8">
      <c r="B4202" t="s">
        <v>6363</v>
      </c>
      <c r="C4202">
        <v>532051.0</v>
      </c>
      <c r="D4202" t="s">
        <v>6364</v>
      </c>
      <c r="E4202" t="s">
        <v>382</v>
      </c>
    </row>
    <row r="4203" spans="8:8">
      <c r="B4203" t="s">
        <v>6365</v>
      </c>
      <c r="C4203">
        <v>522215.0</v>
      </c>
      <c r="D4203" t="s">
        <v>339</v>
      </c>
      <c r="E4203" t="s">
        <v>347</v>
      </c>
    </row>
    <row r="4204" spans="8:8">
      <c r="B4204" t="s">
        <v>6366</v>
      </c>
      <c r="C4204">
        <v>517201.0</v>
      </c>
      <c r="D4204" t="s">
        <v>339</v>
      </c>
      <c r="E4204" t="s">
        <v>881</v>
      </c>
    </row>
    <row r="4205" spans="8:8">
      <c r="B4205" t="s">
        <v>6367</v>
      </c>
      <c r="C4205">
        <v>531637.0</v>
      </c>
      <c r="D4205" t="s">
        <v>339</v>
      </c>
      <c r="E4205" t="s">
        <v>377</v>
      </c>
    </row>
    <row r="4206" spans="8:8">
      <c r="B4206" t="s">
        <v>6368</v>
      </c>
      <c r="C4206">
        <v>512359.0</v>
      </c>
      <c r="D4206" t="s">
        <v>339</v>
      </c>
      <c r="E4206" t="s">
        <v>361</v>
      </c>
    </row>
    <row r="4207" spans="8:8">
      <c r="B4207" t="s">
        <v>6369</v>
      </c>
      <c r="C4207">
        <v>531499.0</v>
      </c>
      <c r="D4207" t="s">
        <v>339</v>
      </c>
      <c r="E4207" t="s">
        <v>354</v>
      </c>
    </row>
    <row r="4208" spans="8:8">
      <c r="B4208" t="s">
        <v>6370</v>
      </c>
      <c r="C4208">
        <v>539682.0</v>
      </c>
      <c r="D4208" t="s">
        <v>339</v>
      </c>
      <c r="E4208" t="s">
        <v>444</v>
      </c>
    </row>
    <row r="4209" spans="8:8">
      <c r="B4209" t="s">
        <v>6371</v>
      </c>
      <c r="C4209">
        <v>511447.0</v>
      </c>
      <c r="D4209" t="s">
        <v>339</v>
      </c>
      <c r="E4209" t="s">
        <v>345</v>
      </c>
    </row>
    <row r="4210" spans="8:8">
      <c r="B4210" t="s">
        <v>6372</v>
      </c>
      <c r="C4210">
        <v>539278.0</v>
      </c>
      <c r="D4210" t="s">
        <v>339</v>
      </c>
      <c r="E4210" t="s">
        <v>322</v>
      </c>
    </row>
    <row r="4211" spans="8:8">
      <c r="B4211" t="s">
        <v>6373</v>
      </c>
      <c r="C4211">
        <v>517385.0</v>
      </c>
      <c r="D4211" t="s">
        <v>6374</v>
      </c>
      <c r="E4211" t="s">
        <v>708</v>
      </c>
    </row>
    <row r="4212" spans="8:8">
      <c r="B4212" t="s">
        <v>6375</v>
      </c>
      <c r="C4212">
        <v>524470.0</v>
      </c>
      <c r="D4212" t="s">
        <v>339</v>
      </c>
      <c r="E4212" t="s">
        <v>377</v>
      </c>
    </row>
    <row r="4213" spans="8:8">
      <c r="B4213" t="s">
        <v>6376</v>
      </c>
      <c r="C4213">
        <v>524470.0</v>
      </c>
      <c r="D4213" t="s">
        <v>339</v>
      </c>
      <c r="E4213" t="s">
        <v>377</v>
      </c>
    </row>
    <row r="4214" spans="8:8">
      <c r="B4214" t="s">
        <v>6377</v>
      </c>
      <c r="C4214">
        <v>533157.0</v>
      </c>
      <c r="D4214" t="s">
        <v>6378</v>
      </c>
      <c r="E4214" t="s">
        <v>377</v>
      </c>
    </row>
    <row r="4215" spans="8:8">
      <c r="B4215" t="s">
        <v>6379</v>
      </c>
      <c r="C4215">
        <v>532276.0</v>
      </c>
      <c r="D4215" t="s">
        <v>6380</v>
      </c>
      <c r="E4215" t="s">
        <v>657</v>
      </c>
    </row>
    <row r="4216" spans="8:8">
      <c r="B4216" t="s">
        <v>6381</v>
      </c>
      <c r="C4216">
        <v>541929.0</v>
      </c>
      <c r="D4216" t="s">
        <v>339</v>
      </c>
      <c r="E4216" t="s">
        <v>1258</v>
      </c>
    </row>
    <row r="4217" spans="8:8">
      <c r="B4217" t="s">
        <v>6382</v>
      </c>
      <c r="C4217">
        <v>539268.0</v>
      </c>
      <c r="D4217" t="s">
        <v>6383</v>
      </c>
      <c r="E4217" t="s">
        <v>377</v>
      </c>
    </row>
    <row r="4218" spans="8:8">
      <c r="B4218" t="s">
        <v>6384</v>
      </c>
      <c r="C4218">
        <v>513307.0</v>
      </c>
      <c r="D4218" t="s">
        <v>339</v>
      </c>
      <c r="E4218" t="s">
        <v>644</v>
      </c>
    </row>
    <row r="4219" spans="8:8">
      <c r="B4219" t="s">
        <v>6385</v>
      </c>
      <c r="C4219">
        <v>531173.0</v>
      </c>
      <c r="D4219" t="s">
        <v>339</v>
      </c>
      <c r="E4219" t="s">
        <v>377</v>
      </c>
    </row>
    <row r="4220" spans="8:8">
      <c r="B4220" t="s">
        <v>6386</v>
      </c>
      <c r="C4220">
        <v>531173.0</v>
      </c>
      <c r="D4220" t="s">
        <v>339</v>
      </c>
      <c r="E4220" t="s">
        <v>377</v>
      </c>
    </row>
    <row r="4221" spans="8:8">
      <c r="B4221" t="s">
        <v>6387</v>
      </c>
      <c r="C4221">
        <v>539842.0</v>
      </c>
      <c r="D4221" t="s">
        <v>339</v>
      </c>
      <c r="E4221" t="s">
        <v>534</v>
      </c>
    </row>
    <row r="4222" spans="8:8">
      <c r="B4222" t="s">
        <v>6388</v>
      </c>
      <c r="C4222">
        <v>526506.0</v>
      </c>
      <c r="D4222" t="s">
        <v>339</v>
      </c>
      <c r="E4222" t="s">
        <v>322</v>
      </c>
    </row>
    <row r="4223" spans="8:8">
      <c r="B4223" t="s">
        <v>6389</v>
      </c>
      <c r="C4223">
        <v>531432.0</v>
      </c>
      <c r="D4223" t="s">
        <v>339</v>
      </c>
      <c r="E4223" t="s">
        <v>356</v>
      </c>
    </row>
    <row r="4224" spans="8:8">
      <c r="B4224" t="s">
        <v>6390</v>
      </c>
      <c r="C4224">
        <v>522294.0</v>
      </c>
      <c r="D4224" t="s">
        <v>339</v>
      </c>
      <c r="E4224" t="s">
        <v>347</v>
      </c>
    </row>
    <row r="4225" spans="8:8">
      <c r="B4225" t="s">
        <v>6391</v>
      </c>
      <c r="C4225">
        <v>533553.0</v>
      </c>
      <c r="D4225" t="s">
        <v>339</v>
      </c>
      <c r="E4225" t="s">
        <v>382</v>
      </c>
    </row>
    <row r="4226" spans="8:8">
      <c r="B4226" t="s">
        <v>6392</v>
      </c>
      <c r="C4226">
        <v>532444.0</v>
      </c>
      <c r="D4226" t="s">
        <v>339</v>
      </c>
      <c r="E4226" t="s">
        <v>432</v>
      </c>
    </row>
    <row r="4227" spans="8:8">
      <c r="B4227" t="s">
        <v>6393</v>
      </c>
      <c r="C4227">
        <v>514142.0</v>
      </c>
      <c r="D4227" t="s">
        <v>6394</v>
      </c>
      <c r="E4227" t="s">
        <v>354</v>
      </c>
    </row>
    <row r="4228" spans="8:8">
      <c r="B4228" t="s">
        <v>6395</v>
      </c>
      <c r="C4228">
        <v>539956.0</v>
      </c>
      <c r="D4228" t="s">
        <v>339</v>
      </c>
      <c r="E4228" t="s">
        <v>2476</v>
      </c>
    </row>
    <row r="4229" spans="8:8">
      <c r="B4229" t="s">
        <v>6396</v>
      </c>
      <c r="C4229">
        <v>537392.0</v>
      </c>
      <c r="D4229" t="s">
        <v>339</v>
      </c>
      <c r="E4229" t="s">
        <v>508</v>
      </c>
    </row>
    <row r="4230" spans="8:8">
      <c r="B4230" t="s">
        <v>6397</v>
      </c>
      <c r="C4230">
        <v>519483.0</v>
      </c>
      <c r="D4230" t="s">
        <v>339</v>
      </c>
      <c r="E4230" t="s">
        <v>361</v>
      </c>
    </row>
    <row r="4231" spans="8:8">
      <c r="B4231" t="s">
        <v>6398</v>
      </c>
      <c r="C4231">
        <v>507785.0</v>
      </c>
      <c r="D4231" t="s">
        <v>6399</v>
      </c>
      <c r="E4231" t="s">
        <v>459</v>
      </c>
    </row>
    <row r="4232" spans="8:8">
      <c r="B4232" t="s">
        <v>6400</v>
      </c>
      <c r="C4232">
        <v>532390.0</v>
      </c>
      <c r="D4232" t="s">
        <v>6401</v>
      </c>
      <c r="E4232" t="s">
        <v>540</v>
      </c>
    </row>
    <row r="4233" spans="8:8">
      <c r="B4233" t="s">
        <v>6402</v>
      </c>
      <c r="C4233">
        <v>532890.0</v>
      </c>
      <c r="D4233" t="s">
        <v>6403</v>
      </c>
      <c r="E4233" t="s">
        <v>325</v>
      </c>
    </row>
    <row r="4234" spans="8:8">
      <c r="B4234" t="s">
        <v>6404</v>
      </c>
      <c r="C4234">
        <v>505160.0</v>
      </c>
      <c r="D4234" t="s">
        <v>6405</v>
      </c>
      <c r="E4234" t="s">
        <v>694</v>
      </c>
    </row>
    <row r="4235" spans="8:8">
      <c r="B4235" t="s">
        <v>6406</v>
      </c>
      <c r="C4235">
        <v>538987.0</v>
      </c>
      <c r="D4235" t="s">
        <v>339</v>
      </c>
      <c r="E4235" t="s">
        <v>694</v>
      </c>
    </row>
    <row r="4236" spans="8:8">
      <c r="B4236" t="s">
        <v>6407</v>
      </c>
      <c r="C4236">
        <v>533200.0</v>
      </c>
      <c r="D4236" t="s">
        <v>6408</v>
      </c>
      <c r="E4236" t="s">
        <v>517</v>
      </c>
    </row>
    <row r="4237" spans="8:8">
      <c r="B4237" t="s">
        <v>6409</v>
      </c>
      <c r="C4237">
        <v>541545.0</v>
      </c>
      <c r="D4237" t="s">
        <v>6410</v>
      </c>
      <c r="E4237" t="s">
        <v>517</v>
      </c>
    </row>
    <row r="4238" spans="8:8">
      <c r="B4238" t="s">
        <v>6411</v>
      </c>
      <c r="C4238">
        <v>533170.0</v>
      </c>
      <c r="D4238" t="s">
        <v>339</v>
      </c>
      <c r="E4238" t="s">
        <v>359</v>
      </c>
    </row>
    <row r="4239" spans="8:8">
      <c r="B4239" t="s">
        <v>6412</v>
      </c>
      <c r="C4239">
        <v>531426.0</v>
      </c>
      <c r="D4239" t="s">
        <v>6413</v>
      </c>
      <c r="E4239" t="s">
        <v>333</v>
      </c>
    </row>
    <row r="4240" spans="8:8">
      <c r="B4240" t="s">
        <v>6414</v>
      </c>
      <c r="C4240">
        <v>521038.0</v>
      </c>
      <c r="D4240" t="s">
        <v>339</v>
      </c>
      <c r="E4240" t="s">
        <v>354</v>
      </c>
    </row>
    <row r="4241" spans="8:8">
      <c r="B4241" t="s">
        <v>6415</v>
      </c>
      <c r="C4241">
        <v>500777.0</v>
      </c>
      <c r="D4241" t="s">
        <v>6416</v>
      </c>
      <c r="E4241" t="s">
        <v>387</v>
      </c>
    </row>
    <row r="4242" spans="8:8">
      <c r="B4242" t="s">
        <v>6417</v>
      </c>
      <c r="C4242">
        <v>513540.0</v>
      </c>
      <c r="D4242" t="s">
        <v>339</v>
      </c>
      <c r="E4242" t="s">
        <v>662</v>
      </c>
    </row>
    <row r="4243" spans="8:8">
      <c r="B4243" t="s">
        <v>6418</v>
      </c>
      <c r="C4243">
        <v>523419.0</v>
      </c>
      <c r="D4243" t="s">
        <v>6419</v>
      </c>
      <c r="E4243" t="s">
        <v>609</v>
      </c>
    </row>
    <row r="4244" spans="8:8">
      <c r="B4244" t="s">
        <v>6420</v>
      </c>
      <c r="C4244">
        <v>522229.0</v>
      </c>
      <c r="D4244" t="s">
        <v>339</v>
      </c>
      <c r="E4244" t="s">
        <v>2823</v>
      </c>
    </row>
    <row r="4245" spans="8:8">
      <c r="B4245" t="s">
        <v>6421</v>
      </c>
      <c r="C4245">
        <v>506854.0</v>
      </c>
      <c r="D4245" t="s">
        <v>339</v>
      </c>
      <c r="E4245" t="s">
        <v>387</v>
      </c>
    </row>
    <row r="4246" spans="8:8">
      <c r="B4246" t="s">
        <v>6422</v>
      </c>
      <c r="C4246">
        <v>532790.0</v>
      </c>
      <c r="D4246" t="s">
        <v>6423</v>
      </c>
      <c r="E4246" t="s">
        <v>432</v>
      </c>
    </row>
    <row r="4247" spans="8:8">
      <c r="B4247" t="s">
        <v>6424</v>
      </c>
      <c r="C4247">
        <v>532738.0</v>
      </c>
      <c r="D4247" t="s">
        <v>6425</v>
      </c>
      <c r="E4247" t="s">
        <v>737</v>
      </c>
    </row>
    <row r="4248" spans="8:8">
      <c r="B4248" t="s">
        <v>6426</v>
      </c>
      <c r="C4248">
        <v>540332.0</v>
      </c>
      <c r="D4248" t="s">
        <v>339</v>
      </c>
      <c r="E4248" t="s">
        <v>361</v>
      </c>
    </row>
    <row r="4249" spans="8:8">
      <c r="B4249" t="s">
        <v>6427</v>
      </c>
      <c r="C4249">
        <v>540332.0</v>
      </c>
      <c r="D4249" t="s">
        <v>339</v>
      </c>
      <c r="E4249" t="s">
        <v>361</v>
      </c>
    </row>
    <row r="4250" spans="8:8">
      <c r="B4250" t="s">
        <v>6428</v>
      </c>
      <c r="C4250">
        <v>505685.0</v>
      </c>
      <c r="D4250" t="s">
        <v>339</v>
      </c>
      <c r="E4250" t="s">
        <v>662</v>
      </c>
    </row>
    <row r="4251" spans="8:8">
      <c r="B4251" t="s">
        <v>6429</v>
      </c>
      <c r="C4251" t="s">
        <v>339</v>
      </c>
      <c r="D4251" t="s">
        <v>6430</v>
      </c>
      <c r="E4251" t="s">
        <v>350</v>
      </c>
    </row>
    <row r="4252" spans="8:8">
      <c r="B4252" t="s">
        <v>6431</v>
      </c>
      <c r="C4252">
        <v>534756.0</v>
      </c>
      <c r="D4252" t="s">
        <v>6432</v>
      </c>
      <c r="E4252" t="s">
        <v>453</v>
      </c>
    </row>
    <row r="4253" spans="8:8">
      <c r="B4253" t="s">
        <v>6433</v>
      </c>
      <c r="C4253">
        <v>519285.0</v>
      </c>
      <c r="D4253" t="s">
        <v>339</v>
      </c>
      <c r="E4253" t="s">
        <v>537</v>
      </c>
    </row>
    <row r="4254" spans="8:8">
      <c r="B4254" t="s">
        <v>6434</v>
      </c>
      <c r="C4254">
        <v>533203.0</v>
      </c>
      <c r="D4254" t="s">
        <v>6435</v>
      </c>
      <c r="E4254" t="s">
        <v>382</v>
      </c>
    </row>
    <row r="4255" spans="8:8">
      <c r="B4255" t="s">
        <v>6436</v>
      </c>
      <c r="C4255">
        <v>538496.0</v>
      </c>
      <c r="D4255" t="s">
        <v>339</v>
      </c>
      <c r="E4255" t="s">
        <v>423</v>
      </c>
    </row>
    <row r="4256" spans="8:8">
      <c r="B4256" t="s">
        <v>6437</v>
      </c>
      <c r="C4256">
        <v>532869.0</v>
      </c>
      <c r="D4256" t="s">
        <v>6438</v>
      </c>
      <c r="E4256" t="s">
        <v>737</v>
      </c>
    </row>
    <row r="4257" spans="8:8">
      <c r="B4257" t="s">
        <v>6439</v>
      </c>
      <c r="C4257">
        <v>512271.0</v>
      </c>
      <c r="D4257" t="s">
        <v>339</v>
      </c>
      <c r="E4257" t="s">
        <v>760</v>
      </c>
    </row>
    <row r="4258" spans="8:8">
      <c r="B4258" t="s">
        <v>6440</v>
      </c>
      <c r="C4258">
        <v>512271.0</v>
      </c>
      <c r="D4258" t="s">
        <v>339</v>
      </c>
      <c r="E4258" t="s">
        <v>760</v>
      </c>
    </row>
    <row r="4259" spans="8:8">
      <c r="B4259" t="s">
        <v>6441</v>
      </c>
      <c r="C4259">
        <v>519091.0</v>
      </c>
      <c r="D4259" t="s">
        <v>6442</v>
      </c>
      <c r="E4259" t="s">
        <v>399</v>
      </c>
    </row>
    <row r="4260" spans="8:8">
      <c r="B4260" t="s">
        <v>6443</v>
      </c>
      <c r="C4260">
        <v>540955.0</v>
      </c>
      <c r="D4260" t="s">
        <v>339</v>
      </c>
      <c r="E4260" t="s">
        <v>399</v>
      </c>
    </row>
    <row r="4261" spans="8:8">
      <c r="B4261" t="s">
        <v>6444</v>
      </c>
      <c r="C4261">
        <v>500770.0</v>
      </c>
      <c r="D4261" t="s">
        <v>6445</v>
      </c>
      <c r="E4261" t="s">
        <v>387</v>
      </c>
    </row>
    <row r="4262" spans="8:8">
      <c r="B4262" t="s">
        <v>6446</v>
      </c>
      <c r="C4262">
        <v>532301.0</v>
      </c>
      <c r="D4262" t="s">
        <v>6447</v>
      </c>
      <c r="E4262" t="s">
        <v>746</v>
      </c>
    </row>
    <row r="4263" spans="8:8">
      <c r="B4263" t="s">
        <v>6448</v>
      </c>
      <c r="C4263">
        <v>500483.0</v>
      </c>
      <c r="D4263" t="s">
        <v>6449</v>
      </c>
      <c r="E4263" t="s">
        <v>6450</v>
      </c>
    </row>
    <row r="4264" spans="8:8">
      <c r="B4264" t="s">
        <v>6451</v>
      </c>
      <c r="C4264">
        <v>532540.0</v>
      </c>
      <c r="D4264" t="s">
        <v>6452</v>
      </c>
      <c r="E4264" t="s">
        <v>325</v>
      </c>
    </row>
    <row r="4265" spans="8:8">
      <c r="B4265" t="s">
        <v>6453</v>
      </c>
      <c r="C4265">
        <v>500408.0</v>
      </c>
      <c r="D4265" t="s">
        <v>6454</v>
      </c>
      <c r="E4265" t="s">
        <v>432</v>
      </c>
    </row>
    <row r="4266" spans="8:8">
      <c r="B4266" t="s">
        <v>6455</v>
      </c>
      <c r="C4266">
        <v>500800.0</v>
      </c>
      <c r="D4266" t="s">
        <v>6456</v>
      </c>
      <c r="E4266" t="s">
        <v>746</v>
      </c>
    </row>
    <row r="4267" spans="8:8">
      <c r="B4267" t="s">
        <v>6457</v>
      </c>
      <c r="C4267">
        <v>501301.0</v>
      </c>
      <c r="D4267" t="s">
        <v>6458</v>
      </c>
      <c r="E4267" t="s">
        <v>505</v>
      </c>
    </row>
    <row r="4268" spans="8:8">
      <c r="B4268" t="s">
        <v>6459</v>
      </c>
      <c r="C4268">
        <v>513434.0</v>
      </c>
      <c r="D4268" t="s">
        <v>6460</v>
      </c>
      <c r="E4268" t="s">
        <v>371</v>
      </c>
    </row>
    <row r="4269" spans="8:8">
      <c r="B4269" t="s">
        <v>6461</v>
      </c>
      <c r="C4269">
        <v>500570.0</v>
      </c>
      <c r="D4269" t="s">
        <v>6462</v>
      </c>
      <c r="E4269" t="s">
        <v>417</v>
      </c>
    </row>
    <row r="4270" spans="8:8">
      <c r="B4270" t="s">
        <v>6461</v>
      </c>
      <c r="C4270">
        <v>570001.0</v>
      </c>
      <c r="D4270" t="s">
        <v>6463</v>
      </c>
      <c r="E4270" t="s">
        <v>417</v>
      </c>
    </row>
    <row r="4271" spans="8:8">
      <c r="B4271" t="s">
        <v>6464</v>
      </c>
      <c r="C4271">
        <v>500400.0</v>
      </c>
      <c r="D4271" t="s">
        <v>6465</v>
      </c>
      <c r="E4271" t="s">
        <v>478</v>
      </c>
    </row>
    <row r="4272" spans="8:8">
      <c r="B4272" t="s">
        <v>6466</v>
      </c>
      <c r="C4272">
        <v>513010.0</v>
      </c>
      <c r="D4272" t="s">
        <v>6467</v>
      </c>
      <c r="E4272" t="s">
        <v>371</v>
      </c>
    </row>
    <row r="4273" spans="8:8">
      <c r="B4273" t="s">
        <v>6468</v>
      </c>
      <c r="C4273" t="s">
        <v>339</v>
      </c>
      <c r="D4273" t="s">
        <v>6469</v>
      </c>
      <c r="E4273" t="s">
        <v>371</v>
      </c>
    </row>
    <row r="4274" spans="8:8">
      <c r="B4274" t="s">
        <v>6470</v>
      </c>
      <c r="C4274">
        <v>500470.0</v>
      </c>
      <c r="D4274" t="s">
        <v>6471</v>
      </c>
      <c r="E4274" t="s">
        <v>371</v>
      </c>
    </row>
    <row r="4275" spans="8:8">
      <c r="B4275" t="s">
        <v>6472</v>
      </c>
      <c r="C4275">
        <v>532371.0</v>
      </c>
      <c r="D4275" t="s">
        <v>6473</v>
      </c>
      <c r="E4275" t="s">
        <v>1282</v>
      </c>
    </row>
    <row r="4276" spans="8:8">
      <c r="B4276" t="s">
        <v>6474</v>
      </c>
      <c r="C4276">
        <v>521228.0</v>
      </c>
      <c r="D4276" t="s">
        <v>339</v>
      </c>
      <c r="E4276" t="s">
        <v>453</v>
      </c>
    </row>
    <row r="4277" spans="8:8">
      <c r="B4277" t="s">
        <v>6475</v>
      </c>
      <c r="C4277">
        <v>531190.0</v>
      </c>
      <c r="D4277" t="s">
        <v>339</v>
      </c>
      <c r="E4277" t="s">
        <v>354</v>
      </c>
    </row>
    <row r="4278" spans="8:8">
      <c r="B4278" t="s">
        <v>6476</v>
      </c>
      <c r="C4278">
        <v>541228.0</v>
      </c>
      <c r="D4278" t="s">
        <v>339</v>
      </c>
      <c r="E4278" t="s">
        <v>347</v>
      </c>
    </row>
    <row r="4279" spans="8:8">
      <c r="B4279" t="s">
        <v>6477</v>
      </c>
      <c r="C4279">
        <v>504961.0</v>
      </c>
      <c r="D4279" t="s">
        <v>339</v>
      </c>
      <c r="E4279" t="s">
        <v>371</v>
      </c>
    </row>
    <row r="4280" spans="8:8">
      <c r="B4280" t="s">
        <v>6478</v>
      </c>
      <c r="C4280">
        <v>532284.0</v>
      </c>
      <c r="D4280" t="s">
        <v>339</v>
      </c>
      <c r="E4280" t="s">
        <v>322</v>
      </c>
    </row>
    <row r="4281" spans="8:8">
      <c r="B4281" t="s">
        <v>6479</v>
      </c>
      <c r="C4281">
        <v>533393.0</v>
      </c>
      <c r="D4281" t="s">
        <v>6480</v>
      </c>
      <c r="E4281" t="s">
        <v>425</v>
      </c>
    </row>
    <row r="4282" spans="8:8">
      <c r="B4282" t="s">
        <v>6481</v>
      </c>
      <c r="C4282">
        <v>540212.0</v>
      </c>
      <c r="D4282" t="s">
        <v>6482</v>
      </c>
      <c r="E4282" t="s">
        <v>660</v>
      </c>
    </row>
    <row r="4283" spans="8:8">
      <c r="B4283" t="s">
        <v>6483</v>
      </c>
      <c r="C4283">
        <v>501242.0</v>
      </c>
      <c r="D4283" t="s">
        <v>6484</v>
      </c>
      <c r="E4283" t="s">
        <v>356</v>
      </c>
    </row>
    <row r="4284" spans="8:8">
      <c r="B4284" t="s">
        <v>6485</v>
      </c>
      <c r="C4284">
        <v>532262.0</v>
      </c>
      <c r="D4284" t="s">
        <v>339</v>
      </c>
      <c r="E4284" t="s">
        <v>660</v>
      </c>
    </row>
    <row r="4285" spans="8:8">
      <c r="B4285" t="s">
        <v>6486</v>
      </c>
      <c r="C4285">
        <v>524156.0</v>
      </c>
      <c r="D4285" t="s">
        <v>339</v>
      </c>
      <c r="E4285" t="s">
        <v>387</v>
      </c>
    </row>
    <row r="4286" spans="8:8">
      <c r="B4286" t="s">
        <v>6487</v>
      </c>
      <c r="C4286">
        <v>541700.0</v>
      </c>
      <c r="D4286" t="s">
        <v>6488</v>
      </c>
      <c r="E4286" t="s">
        <v>453</v>
      </c>
    </row>
    <row r="4287" spans="8:8">
      <c r="B4287" t="s">
        <v>6489</v>
      </c>
      <c r="C4287">
        <v>523301.0</v>
      </c>
      <c r="D4287" t="s">
        <v>6490</v>
      </c>
      <c r="E4287" t="s">
        <v>333</v>
      </c>
    </row>
    <row r="4288" spans="8:8">
      <c r="B4288" t="s">
        <v>6491</v>
      </c>
      <c r="C4288" t="s">
        <v>339</v>
      </c>
      <c r="D4288" t="s">
        <v>6492</v>
      </c>
      <c r="E4288" t="s">
        <v>430</v>
      </c>
    </row>
    <row r="4289" spans="8:8">
      <c r="B4289" t="s">
        <v>6493</v>
      </c>
      <c r="C4289">
        <v>512011.0</v>
      </c>
      <c r="D4289" t="s">
        <v>339</v>
      </c>
      <c r="E4289" t="s">
        <v>361</v>
      </c>
    </row>
    <row r="4290" spans="8:8">
      <c r="B4290" t="s">
        <v>6494</v>
      </c>
      <c r="C4290">
        <v>539658.0</v>
      </c>
      <c r="D4290" t="s">
        <v>6495</v>
      </c>
      <c r="E4290" t="s">
        <v>3119</v>
      </c>
    </row>
    <row r="4291" spans="8:8">
      <c r="B4291" t="s">
        <v>6496</v>
      </c>
      <c r="C4291">
        <v>532755.0</v>
      </c>
      <c r="D4291" t="s">
        <v>6497</v>
      </c>
      <c r="E4291" t="s">
        <v>325</v>
      </c>
    </row>
    <row r="4292" spans="8:8">
      <c r="B4292" t="s">
        <v>6498</v>
      </c>
      <c r="C4292">
        <v>526576.0</v>
      </c>
      <c r="D4292" t="s">
        <v>6499</v>
      </c>
      <c r="E4292" t="s">
        <v>537</v>
      </c>
    </row>
    <row r="4293" spans="8:8">
      <c r="B4293" t="s">
        <v>6500</v>
      </c>
      <c r="C4293">
        <v>542141.0</v>
      </c>
      <c r="D4293" t="s">
        <v>6501</v>
      </c>
      <c r="E4293" t="s">
        <v>737</v>
      </c>
    </row>
    <row r="4294" spans="8:8">
      <c r="B4294" t="s">
        <v>6502</v>
      </c>
      <c r="C4294">
        <v>532804.0</v>
      </c>
      <c r="D4294" t="s">
        <v>6503</v>
      </c>
      <c r="E4294" t="s">
        <v>662</v>
      </c>
    </row>
    <row r="4295" spans="8:8">
      <c r="B4295" t="s">
        <v>6504</v>
      </c>
      <c r="C4295">
        <v>532804.0</v>
      </c>
      <c r="D4295" t="s">
        <v>6503</v>
      </c>
      <c r="E4295" t="s">
        <v>662</v>
      </c>
    </row>
    <row r="4296" spans="8:8">
      <c r="B4296" t="s">
        <v>6505</v>
      </c>
      <c r="C4296">
        <v>533216.0</v>
      </c>
      <c r="D4296" t="s">
        <v>6506</v>
      </c>
      <c r="E4296" t="s">
        <v>737</v>
      </c>
    </row>
    <row r="4297" spans="8:8">
      <c r="B4297" t="s">
        <v>6507</v>
      </c>
      <c r="C4297">
        <v>509917.0</v>
      </c>
      <c r="D4297" t="s">
        <v>339</v>
      </c>
      <c r="E4297" t="s">
        <v>881</v>
      </c>
    </row>
    <row r="4298" spans="8:8">
      <c r="B4298" t="s">
        <v>6508</v>
      </c>
      <c r="C4298">
        <v>501421.0</v>
      </c>
      <c r="D4298" t="s">
        <v>339</v>
      </c>
      <c r="E4298" t="s">
        <v>432</v>
      </c>
    </row>
    <row r="4299" spans="8:8">
      <c r="B4299" t="s">
        <v>6509</v>
      </c>
      <c r="C4299">
        <v>524204.0</v>
      </c>
      <c r="D4299" t="s">
        <v>339</v>
      </c>
      <c r="E4299" t="s">
        <v>847</v>
      </c>
    </row>
    <row r="4300" spans="8:8">
      <c r="B4300" t="s">
        <v>6510</v>
      </c>
      <c r="C4300">
        <v>540595.0</v>
      </c>
      <c r="D4300" t="s">
        <v>6511</v>
      </c>
      <c r="E4300" t="s">
        <v>1285</v>
      </c>
    </row>
    <row r="4301" spans="8:8">
      <c r="B4301" t="s">
        <v>6512</v>
      </c>
      <c r="C4301">
        <v>539428.0</v>
      </c>
      <c r="D4301" t="s">
        <v>339</v>
      </c>
      <c r="E4301" t="s">
        <v>809</v>
      </c>
    </row>
    <row r="4302" spans="8:8">
      <c r="B4302" t="s">
        <v>6513</v>
      </c>
      <c r="C4302">
        <v>530595.0</v>
      </c>
      <c r="D4302" t="s">
        <v>339</v>
      </c>
      <c r="E4302" t="s">
        <v>432</v>
      </c>
    </row>
    <row r="4303" spans="8:8">
      <c r="B4303" t="s">
        <v>6514</v>
      </c>
      <c r="C4303">
        <v>533982.0</v>
      </c>
      <c r="D4303" t="s">
        <v>6515</v>
      </c>
      <c r="E4303" t="s">
        <v>325</v>
      </c>
    </row>
    <row r="4304" spans="8:8">
      <c r="B4304" t="s">
        <v>6516</v>
      </c>
      <c r="C4304">
        <v>530533.0</v>
      </c>
      <c r="D4304" t="s">
        <v>339</v>
      </c>
      <c r="E4304" t="s">
        <v>746</v>
      </c>
    </row>
    <row r="4305" spans="8:8">
      <c r="B4305" t="s">
        <v>6517</v>
      </c>
      <c r="C4305">
        <v>506162.0</v>
      </c>
      <c r="D4305" t="s">
        <v>339</v>
      </c>
      <c r="E4305" t="s">
        <v>322</v>
      </c>
    </row>
    <row r="4306" spans="8:8">
      <c r="B4306" t="s">
        <v>6518</v>
      </c>
      <c r="C4306">
        <v>512157.0</v>
      </c>
      <c r="D4306" t="s">
        <v>339</v>
      </c>
      <c r="E4306" t="s">
        <v>760</v>
      </c>
    </row>
    <row r="4307" spans="8:8">
      <c r="B4307" t="s">
        <v>6519</v>
      </c>
      <c r="C4307">
        <v>505400.0</v>
      </c>
      <c r="D4307" t="s">
        <v>6520</v>
      </c>
      <c r="E4307" t="s">
        <v>425</v>
      </c>
    </row>
    <row r="4308" spans="8:8">
      <c r="B4308" t="s">
        <v>6521</v>
      </c>
      <c r="C4308">
        <v>533326.0</v>
      </c>
      <c r="D4308" t="s">
        <v>6522</v>
      </c>
      <c r="E4308" t="s">
        <v>737</v>
      </c>
    </row>
    <row r="4309" spans="8:8">
      <c r="B4309" t="s">
        <v>6523</v>
      </c>
      <c r="C4309">
        <v>533164.0</v>
      </c>
      <c r="D4309" t="s">
        <v>6524</v>
      </c>
      <c r="E4309" t="s">
        <v>459</v>
      </c>
    </row>
    <row r="4310" spans="8:8">
      <c r="B4310" t="s">
        <v>6525</v>
      </c>
      <c r="C4310">
        <v>532845.0</v>
      </c>
      <c r="D4310" t="s">
        <v>6526</v>
      </c>
      <c r="E4310" t="s">
        <v>540</v>
      </c>
    </row>
    <row r="4311" spans="8:8">
      <c r="B4311" t="s">
        <v>6527</v>
      </c>
      <c r="C4311">
        <v>507753.0</v>
      </c>
      <c r="D4311" t="s">
        <v>339</v>
      </c>
      <c r="E4311" t="s">
        <v>387</v>
      </c>
    </row>
    <row r="4312" spans="8:8">
      <c r="B4312" t="s">
        <v>6528</v>
      </c>
      <c r="C4312">
        <v>509945.0</v>
      </c>
      <c r="D4312" t="s">
        <v>339</v>
      </c>
      <c r="E4312" t="s">
        <v>322</v>
      </c>
    </row>
    <row r="4313" spans="8:8">
      <c r="B4313" t="s">
        <v>6529</v>
      </c>
      <c r="C4313">
        <v>526654.0</v>
      </c>
      <c r="D4313" t="s">
        <v>339</v>
      </c>
      <c r="E4313" t="s">
        <v>425</v>
      </c>
    </row>
    <row r="4314" spans="8:8">
      <c r="B4314" t="s">
        <v>6530</v>
      </c>
      <c r="C4314">
        <v>509015.0</v>
      </c>
      <c r="D4314" t="s">
        <v>339</v>
      </c>
      <c r="E4314" t="s">
        <v>881</v>
      </c>
    </row>
    <row r="4315" spans="8:8">
      <c r="B4315" t="s">
        <v>6531</v>
      </c>
      <c r="C4315">
        <v>509015.0</v>
      </c>
      <c r="D4315" t="s">
        <v>339</v>
      </c>
      <c r="E4315" t="s">
        <v>881</v>
      </c>
    </row>
    <row r="4316" spans="8:8">
      <c r="B4316" t="s">
        <v>6532</v>
      </c>
      <c r="C4316">
        <v>514484.0</v>
      </c>
      <c r="D4316" t="s">
        <v>339</v>
      </c>
      <c r="E4316" t="s">
        <v>354</v>
      </c>
    </row>
    <row r="4317" spans="8:8">
      <c r="B4317" t="s">
        <v>6533</v>
      </c>
      <c r="C4317">
        <v>533158.0</v>
      </c>
      <c r="D4317" t="s">
        <v>6534</v>
      </c>
      <c r="E4317" t="s">
        <v>453</v>
      </c>
    </row>
    <row r="4318" spans="8:8">
      <c r="B4318" t="s">
        <v>6535</v>
      </c>
      <c r="C4318">
        <v>590062.0</v>
      </c>
      <c r="D4318" t="s">
        <v>6536</v>
      </c>
      <c r="E4318" t="s">
        <v>387</v>
      </c>
    </row>
    <row r="4319" spans="8:8">
      <c r="B4319" t="s">
        <v>6537</v>
      </c>
      <c r="C4319">
        <v>542460.0</v>
      </c>
      <c r="D4319" t="s">
        <v>6538</v>
      </c>
      <c r="E4319" t="s">
        <v>347</v>
      </c>
    </row>
    <row r="4320" spans="8:8">
      <c r="B4320" t="s">
        <v>6539</v>
      </c>
      <c r="C4320">
        <v>531373.0</v>
      </c>
      <c r="D4320" t="s">
        <v>6540</v>
      </c>
      <c r="E4320" t="s">
        <v>540</v>
      </c>
    </row>
    <row r="4321" spans="8:8">
      <c r="B4321" t="s">
        <v>6541</v>
      </c>
      <c r="C4321">
        <v>500469.0</v>
      </c>
      <c r="D4321" t="s">
        <v>6542</v>
      </c>
      <c r="E4321" t="s">
        <v>657</v>
      </c>
    </row>
    <row r="4322" spans="8:8">
      <c r="B4322" t="s">
        <v>6543</v>
      </c>
      <c r="C4322">
        <v>500620.0</v>
      </c>
      <c r="D4322" t="s">
        <v>6544</v>
      </c>
      <c r="E4322" t="s">
        <v>1586</v>
      </c>
    </row>
    <row r="4323" spans="8:8">
      <c r="B4323" t="s">
        <v>6545</v>
      </c>
      <c r="C4323" t="s">
        <v>339</v>
      </c>
      <c r="D4323" t="s">
        <v>6546</v>
      </c>
      <c r="E4323" t="s">
        <v>430</v>
      </c>
    </row>
    <row r="4324" spans="8:8">
      <c r="B4324" t="s">
        <v>6547</v>
      </c>
      <c r="C4324">
        <v>522073.0</v>
      </c>
      <c r="D4324" t="s">
        <v>6548</v>
      </c>
      <c r="E4324" t="s">
        <v>694</v>
      </c>
    </row>
    <row r="4325" spans="8:8">
      <c r="B4325" t="s">
        <v>6549</v>
      </c>
      <c r="C4325">
        <v>530005.0</v>
      </c>
      <c r="D4325" t="s">
        <v>6550</v>
      </c>
      <c r="E4325" t="s">
        <v>352</v>
      </c>
    </row>
    <row r="4326" spans="8:8">
      <c r="B4326" t="s">
        <v>6551</v>
      </c>
      <c r="C4326">
        <v>500850.0</v>
      </c>
      <c r="D4326" t="s">
        <v>6552</v>
      </c>
      <c r="E4326" t="s">
        <v>540</v>
      </c>
    </row>
    <row r="4327" spans="8:8">
      <c r="B4327" t="s">
        <v>6553</v>
      </c>
      <c r="C4327">
        <v>540954.0</v>
      </c>
      <c r="D4327" t="s">
        <v>339</v>
      </c>
      <c r="E4327" t="s">
        <v>834</v>
      </c>
    </row>
    <row r="4328" spans="8:8">
      <c r="B4328" t="s">
        <v>6554</v>
      </c>
      <c r="C4328">
        <v>530023.0</v>
      </c>
      <c r="D4328" t="s">
        <v>6555</v>
      </c>
      <c r="E4328" t="s">
        <v>356</v>
      </c>
    </row>
    <row r="4329" spans="8:8">
      <c r="B4329" t="s">
        <v>6556</v>
      </c>
      <c r="C4329">
        <v>530023.0</v>
      </c>
      <c r="D4329" t="s">
        <v>6555</v>
      </c>
      <c r="E4329" t="s">
        <v>356</v>
      </c>
    </row>
    <row r="4330" spans="8:8">
      <c r="B4330" t="s">
        <v>6557</v>
      </c>
      <c r="C4330">
        <v>532209.0</v>
      </c>
      <c r="D4330" t="s">
        <v>6558</v>
      </c>
      <c r="E4330" t="s">
        <v>657</v>
      </c>
    </row>
    <row r="4331" spans="8:8">
      <c r="B4331" t="s">
        <v>6559</v>
      </c>
      <c r="C4331">
        <v>532652.0</v>
      </c>
      <c r="D4331" t="s">
        <v>6560</v>
      </c>
      <c r="E4331" t="s">
        <v>657</v>
      </c>
    </row>
    <row r="4332" spans="8:8">
      <c r="B4332" t="s">
        <v>6561</v>
      </c>
      <c r="C4332">
        <v>540210.0</v>
      </c>
      <c r="D4332" t="s">
        <v>6562</v>
      </c>
      <c r="E4332" t="s">
        <v>340</v>
      </c>
    </row>
    <row r="4333" spans="8:8">
      <c r="B4333" t="s">
        <v>6563</v>
      </c>
      <c r="C4333">
        <v>501343.0</v>
      </c>
      <c r="D4333" t="s">
        <v>6564</v>
      </c>
      <c r="E4333" t="s">
        <v>356</v>
      </c>
    </row>
    <row r="4334" spans="8:8">
      <c r="B4334" t="s">
        <v>6565</v>
      </c>
      <c r="C4334">
        <v>540769.0</v>
      </c>
      <c r="D4334" t="s">
        <v>6566</v>
      </c>
      <c r="E4334" t="s">
        <v>2421</v>
      </c>
    </row>
    <row r="4335" spans="8:8">
      <c r="B4335" t="s">
        <v>6567</v>
      </c>
      <c r="C4335">
        <v>590086.0</v>
      </c>
      <c r="D4335" t="s">
        <v>6568</v>
      </c>
      <c r="E4335" t="s">
        <v>319</v>
      </c>
    </row>
    <row r="4336" spans="8:8">
      <c r="B4336" t="s">
        <v>6569</v>
      </c>
      <c r="C4336" t="s">
        <v>339</v>
      </c>
      <c r="D4336" t="s">
        <v>6570</v>
      </c>
      <c r="E4336" t="s">
        <v>430</v>
      </c>
    </row>
    <row r="4337" spans="8:8">
      <c r="B4337" t="s">
        <v>6571</v>
      </c>
      <c r="C4337">
        <v>503100.0</v>
      </c>
      <c r="D4337" t="s">
        <v>6572</v>
      </c>
      <c r="E4337" t="s">
        <v>425</v>
      </c>
    </row>
    <row r="4338" spans="8:8">
      <c r="B4338" t="s">
        <v>6573</v>
      </c>
      <c r="C4338">
        <v>542123.0</v>
      </c>
      <c r="D4338" t="s">
        <v>339</v>
      </c>
      <c r="E4338" t="s">
        <v>847</v>
      </c>
    </row>
    <row r="4339" spans="8:8">
      <c r="B4339" t="s">
        <v>6574</v>
      </c>
      <c r="C4339">
        <v>500260.0</v>
      </c>
      <c r="D4339" t="s">
        <v>6575</v>
      </c>
      <c r="E4339" t="s">
        <v>352</v>
      </c>
    </row>
    <row r="4340" spans="8:8">
      <c r="B4340" t="s">
        <v>6576</v>
      </c>
      <c r="C4340">
        <v>503169.0</v>
      </c>
      <c r="D4340" t="s">
        <v>6577</v>
      </c>
      <c r="E4340" t="s">
        <v>354</v>
      </c>
    </row>
    <row r="4341" spans="8:8">
      <c r="B4341" t="s">
        <v>6578</v>
      </c>
      <c r="C4341">
        <v>526725.0</v>
      </c>
      <c r="D4341" t="s">
        <v>6579</v>
      </c>
      <c r="E4341" t="s">
        <v>863</v>
      </c>
    </row>
    <row r="4342" spans="8:8">
      <c r="B4342" t="s">
        <v>6580</v>
      </c>
      <c r="C4342">
        <v>532218.0</v>
      </c>
      <c r="D4342" t="s">
        <v>6581</v>
      </c>
      <c r="E4342" t="s">
        <v>657</v>
      </c>
    </row>
    <row r="4343" spans="8:8">
      <c r="B4343" t="s">
        <v>6582</v>
      </c>
      <c r="C4343">
        <v>512531.0</v>
      </c>
      <c r="D4343" t="s">
        <v>6583</v>
      </c>
      <c r="E4343" t="s">
        <v>361</v>
      </c>
    </row>
    <row r="4344" spans="8:8">
      <c r="B4344" t="s">
        <v>6584</v>
      </c>
      <c r="C4344">
        <v>512531.0</v>
      </c>
      <c r="D4344" t="s">
        <v>6585</v>
      </c>
      <c r="E4344" t="s">
        <v>361</v>
      </c>
    </row>
    <row r="4345" spans="8:8">
      <c r="B4345" t="s">
        <v>6586</v>
      </c>
      <c r="C4345">
        <v>504966.0</v>
      </c>
      <c r="D4345" t="s">
        <v>6587</v>
      </c>
      <c r="E4345" t="s">
        <v>534</v>
      </c>
    </row>
    <row r="4346" spans="8:8">
      <c r="B4346" t="s">
        <v>6588</v>
      </c>
      <c r="C4346">
        <v>504966.0</v>
      </c>
      <c r="D4346" t="s">
        <v>6587</v>
      </c>
      <c r="E4346" t="s">
        <v>534</v>
      </c>
    </row>
    <row r="4347" spans="8:8">
      <c r="B4347" t="s">
        <v>6589</v>
      </c>
      <c r="C4347">
        <v>530363.0</v>
      </c>
      <c r="D4347" t="s">
        <v>6590</v>
      </c>
      <c r="E4347" t="s">
        <v>1037</v>
      </c>
    </row>
    <row r="4348" spans="8:8">
      <c r="B4348" t="s">
        <v>6591</v>
      </c>
      <c r="C4348" t="s">
        <v>339</v>
      </c>
      <c r="D4348" t="s">
        <v>6592</v>
      </c>
      <c r="E4348" t="s">
        <v>430</v>
      </c>
    </row>
    <row r="4349" spans="8:8">
      <c r="B4349" t="s">
        <v>6593</v>
      </c>
      <c r="C4349" t="s">
        <v>339</v>
      </c>
      <c r="D4349" t="s">
        <v>6594</v>
      </c>
      <c r="E4349" t="s">
        <v>430</v>
      </c>
    </row>
    <row r="4350" spans="8:8">
      <c r="B4350" t="s">
        <v>6595</v>
      </c>
      <c r="C4350">
        <v>540980.0</v>
      </c>
      <c r="D4350" t="s">
        <v>339</v>
      </c>
      <c r="E4350" t="s">
        <v>361</v>
      </c>
    </row>
    <row r="4351" spans="8:8">
      <c r="B4351" t="s">
        <v>6596</v>
      </c>
      <c r="C4351" t="s">
        <v>339</v>
      </c>
      <c r="D4351" t="s">
        <v>6597</v>
      </c>
      <c r="E4351" t="s">
        <v>350</v>
      </c>
    </row>
    <row r="4352" spans="8:8">
      <c r="B4352" t="s">
        <v>6598</v>
      </c>
      <c r="C4352">
        <v>530199.0</v>
      </c>
      <c r="D4352" t="s">
        <v>6599</v>
      </c>
      <c r="E4352" t="s">
        <v>377</v>
      </c>
    </row>
    <row r="4353" spans="8:8">
      <c r="B4353" t="s">
        <v>6600</v>
      </c>
      <c r="C4353">
        <v>500411.0</v>
      </c>
      <c r="D4353" t="s">
        <v>6601</v>
      </c>
      <c r="E4353" t="s">
        <v>382</v>
      </c>
    </row>
    <row r="4354" spans="8:8">
      <c r="B4354" t="s">
        <v>6602</v>
      </c>
      <c r="C4354">
        <v>539310.0</v>
      </c>
      <c r="D4354" t="s">
        <v>339</v>
      </c>
      <c r="E4354" t="s">
        <v>1941</v>
      </c>
    </row>
    <row r="4355" spans="8:8">
      <c r="B4355" t="s">
        <v>6603</v>
      </c>
      <c r="C4355">
        <v>538464.0</v>
      </c>
      <c r="D4355" t="s">
        <v>339</v>
      </c>
      <c r="E4355" t="s">
        <v>356</v>
      </c>
    </row>
    <row r="4356" spans="8:8">
      <c r="B4356" t="s">
        <v>6604</v>
      </c>
      <c r="C4356">
        <v>531652.0</v>
      </c>
      <c r="D4356" t="s">
        <v>339</v>
      </c>
      <c r="E4356" t="s">
        <v>356</v>
      </c>
    </row>
    <row r="4357" spans="8:8">
      <c r="B4357" t="s">
        <v>6605</v>
      </c>
      <c r="C4357">
        <v>507450.0</v>
      </c>
      <c r="D4357" t="s">
        <v>6606</v>
      </c>
      <c r="E4357" t="s">
        <v>1037</v>
      </c>
    </row>
    <row r="4358" spans="8:8">
      <c r="B4358" t="s">
        <v>6607</v>
      </c>
      <c r="C4358">
        <v>500412.0</v>
      </c>
      <c r="D4358" t="s">
        <v>6608</v>
      </c>
      <c r="E4358" t="s">
        <v>387</v>
      </c>
    </row>
    <row r="4359" spans="8:8">
      <c r="B4359" t="s">
        <v>6609</v>
      </c>
      <c r="C4359">
        <v>500413.0</v>
      </c>
      <c r="D4359" t="s">
        <v>6610</v>
      </c>
      <c r="E4359" t="s">
        <v>1341</v>
      </c>
    </row>
    <row r="4360" spans="8:8">
      <c r="B4360" t="s">
        <v>6611</v>
      </c>
      <c r="C4360">
        <v>500413.0</v>
      </c>
      <c r="D4360" t="s">
        <v>6610</v>
      </c>
      <c r="E4360" t="s">
        <v>1341</v>
      </c>
    </row>
    <row r="4361" spans="8:8">
      <c r="B4361" t="s">
        <v>6612</v>
      </c>
      <c r="C4361">
        <v>533941.0</v>
      </c>
      <c r="D4361" t="s">
        <v>6613</v>
      </c>
      <c r="E4361" t="s">
        <v>453</v>
      </c>
    </row>
    <row r="4362" spans="8:8">
      <c r="B4362" t="s">
        <v>6614</v>
      </c>
      <c r="C4362">
        <v>533941.0</v>
      </c>
      <c r="D4362" t="s">
        <v>6613</v>
      </c>
      <c r="E4362" t="s">
        <v>453</v>
      </c>
    </row>
    <row r="4363" spans="8:8">
      <c r="B4363" t="s">
        <v>6615</v>
      </c>
      <c r="C4363">
        <v>539871.0</v>
      </c>
      <c r="D4363" t="s">
        <v>6616</v>
      </c>
      <c r="E4363" t="s">
        <v>528</v>
      </c>
    </row>
    <row r="4364" spans="8:8">
      <c r="B4364" t="s">
        <v>6617</v>
      </c>
      <c r="C4364">
        <v>504973.0</v>
      </c>
      <c r="D4364" t="s">
        <v>6618</v>
      </c>
      <c r="E4364" t="s">
        <v>694</v>
      </c>
    </row>
    <row r="4365" spans="8:8">
      <c r="B4365" t="s">
        <v>6619</v>
      </c>
      <c r="C4365">
        <v>540108.0</v>
      </c>
      <c r="D4365" t="s">
        <v>339</v>
      </c>
      <c r="E4365" t="s">
        <v>322</v>
      </c>
    </row>
    <row r="4366" spans="8:8">
      <c r="B4366" t="s">
        <v>6620</v>
      </c>
      <c r="C4366">
        <v>590005.0</v>
      </c>
      <c r="D4366" t="s">
        <v>6621</v>
      </c>
      <c r="E4366" t="s">
        <v>549</v>
      </c>
    </row>
    <row r="4367" spans="8:8">
      <c r="B4367" t="s">
        <v>6622</v>
      </c>
      <c r="C4367">
        <v>590005.0</v>
      </c>
      <c r="D4367" t="s">
        <v>6621</v>
      </c>
      <c r="E4367" t="s">
        <v>549</v>
      </c>
    </row>
    <row r="4368" spans="8:8">
      <c r="B4368" t="s">
        <v>6623</v>
      </c>
      <c r="C4368">
        <v>536264.0</v>
      </c>
      <c r="D4368" t="s">
        <v>339</v>
      </c>
      <c r="E4368" t="s">
        <v>660</v>
      </c>
    </row>
    <row r="4369" spans="8:8">
      <c r="B4369" t="s">
        <v>6624</v>
      </c>
      <c r="C4369">
        <v>536264.0</v>
      </c>
      <c r="D4369" t="s">
        <v>339</v>
      </c>
      <c r="E4369" t="s">
        <v>660</v>
      </c>
    </row>
    <row r="4370" spans="8:8">
      <c r="B4370" t="s">
        <v>6625</v>
      </c>
      <c r="C4370">
        <v>533629.0</v>
      </c>
      <c r="D4370" t="s">
        <v>6626</v>
      </c>
      <c r="E4370" t="s">
        <v>459</v>
      </c>
    </row>
    <row r="4371" spans="8:8">
      <c r="B4371" t="s">
        <v>6627</v>
      </c>
      <c r="C4371">
        <v>505196.0</v>
      </c>
      <c r="D4371" t="s">
        <v>6628</v>
      </c>
      <c r="E4371" t="s">
        <v>462</v>
      </c>
    </row>
    <row r="4372" spans="8:8">
      <c r="B4372" t="s">
        <v>6629</v>
      </c>
      <c r="C4372">
        <v>503663.0</v>
      </c>
      <c r="D4372" t="s">
        <v>6630</v>
      </c>
      <c r="E4372" t="s">
        <v>359</v>
      </c>
    </row>
    <row r="4373" spans="8:8">
      <c r="B4373" t="s">
        <v>6631</v>
      </c>
      <c r="C4373">
        <v>507205.0</v>
      </c>
      <c r="D4373" t="s">
        <v>6632</v>
      </c>
      <c r="E4373" t="s">
        <v>970</v>
      </c>
    </row>
    <row r="4374" spans="8:8">
      <c r="B4374" t="s">
        <v>6633</v>
      </c>
      <c r="C4374">
        <v>532856.0</v>
      </c>
      <c r="D4374" t="s">
        <v>6634</v>
      </c>
      <c r="E4374" t="s">
        <v>459</v>
      </c>
    </row>
    <row r="4375" spans="8:8">
      <c r="B4375" t="s">
        <v>6635</v>
      </c>
      <c r="C4375">
        <v>511559.0</v>
      </c>
      <c r="D4375" t="s">
        <v>6636</v>
      </c>
      <c r="E4375" t="s">
        <v>356</v>
      </c>
    </row>
    <row r="4376" spans="8:8">
      <c r="B4376" t="s">
        <v>6637</v>
      </c>
      <c r="C4376">
        <v>500414.0</v>
      </c>
      <c r="D4376" t="s">
        <v>339</v>
      </c>
      <c r="E4376" t="s">
        <v>453</v>
      </c>
    </row>
    <row r="4377" spans="8:8">
      <c r="B4377" t="s">
        <v>6638</v>
      </c>
      <c r="C4377">
        <v>500414.0</v>
      </c>
      <c r="D4377" t="s">
        <v>339</v>
      </c>
      <c r="E4377" t="s">
        <v>453</v>
      </c>
    </row>
    <row r="4378" spans="8:8">
      <c r="B4378" t="s">
        <v>6639</v>
      </c>
      <c r="C4378">
        <v>522113.0</v>
      </c>
      <c r="D4378" t="s">
        <v>6640</v>
      </c>
      <c r="E4378" t="s">
        <v>347</v>
      </c>
    </row>
    <row r="4379" spans="8:8">
      <c r="B4379" t="s">
        <v>6641</v>
      </c>
      <c r="C4379">
        <v>522113.0</v>
      </c>
      <c r="D4379" t="s">
        <v>6640</v>
      </c>
      <c r="E4379" t="s">
        <v>347</v>
      </c>
    </row>
    <row r="4380" spans="8:8">
      <c r="B4380" t="s">
        <v>6642</v>
      </c>
      <c r="C4380">
        <v>530475.0</v>
      </c>
      <c r="D4380" t="s">
        <v>339</v>
      </c>
      <c r="E4380" t="s">
        <v>499</v>
      </c>
    </row>
    <row r="4381" spans="8:8">
      <c r="B4381" t="s">
        <v>6643</v>
      </c>
      <c r="C4381">
        <v>541741.0</v>
      </c>
      <c r="D4381" t="s">
        <v>339</v>
      </c>
      <c r="E4381" t="s">
        <v>361</v>
      </c>
    </row>
    <row r="4382" spans="8:8">
      <c r="B4382" t="s">
        <v>6644</v>
      </c>
      <c r="C4382">
        <v>532375.0</v>
      </c>
      <c r="D4382" t="s">
        <v>6645</v>
      </c>
      <c r="E4382" t="s">
        <v>342</v>
      </c>
    </row>
    <row r="4383" spans="8:8">
      <c r="B4383" t="s">
        <v>6646</v>
      </c>
      <c r="C4383">
        <v>539488.0</v>
      </c>
      <c r="D4383" t="s">
        <v>339</v>
      </c>
      <c r="E4383" t="s">
        <v>359</v>
      </c>
    </row>
    <row r="4384" spans="8:8">
      <c r="B4384" t="s">
        <v>6647</v>
      </c>
      <c r="C4384">
        <v>540904.0</v>
      </c>
      <c r="D4384" t="s">
        <v>339</v>
      </c>
      <c r="E4384" t="s">
        <v>616</v>
      </c>
    </row>
    <row r="4385" spans="8:8">
      <c r="B4385" t="s">
        <v>6648</v>
      </c>
      <c r="C4385" t="s">
        <v>339</v>
      </c>
      <c r="D4385" t="s">
        <v>6649</v>
      </c>
      <c r="E4385" t="s">
        <v>350</v>
      </c>
    </row>
    <row r="4386" spans="8:8">
      <c r="B4386" t="s">
        <v>6650</v>
      </c>
      <c r="C4386">
        <v>531547.0</v>
      </c>
      <c r="D4386" t="s">
        <v>339</v>
      </c>
      <c r="E4386" t="s">
        <v>537</v>
      </c>
    </row>
    <row r="4387" spans="8:8">
      <c r="B4387" t="s">
        <v>6651</v>
      </c>
      <c r="C4387">
        <v>531547.0</v>
      </c>
      <c r="D4387" t="s">
        <v>339</v>
      </c>
      <c r="E4387" t="s">
        <v>537</v>
      </c>
    </row>
    <row r="4388" spans="8:8">
      <c r="B4388" t="s">
        <v>6652</v>
      </c>
      <c r="C4388">
        <v>531814.0</v>
      </c>
      <c r="D4388" t="s">
        <v>339</v>
      </c>
      <c r="E4388" t="s">
        <v>425</v>
      </c>
    </row>
    <row r="4389" spans="8:8">
      <c r="B4389" t="s">
        <v>6653</v>
      </c>
      <c r="C4389">
        <v>524582.0</v>
      </c>
      <c r="D4389" t="s">
        <v>339</v>
      </c>
      <c r="E4389" t="s">
        <v>419</v>
      </c>
    </row>
    <row r="4390" spans="8:8">
      <c r="B4390" t="s">
        <v>6654</v>
      </c>
      <c r="C4390">
        <v>539040.0</v>
      </c>
      <c r="D4390" t="s">
        <v>339</v>
      </c>
      <c r="E4390" t="s">
        <v>819</v>
      </c>
    </row>
    <row r="4391" spans="8:8">
      <c r="B4391" t="s">
        <v>6655</v>
      </c>
      <c r="C4391">
        <v>539985.0</v>
      </c>
      <c r="D4391" t="s">
        <v>339</v>
      </c>
      <c r="E4391" t="s">
        <v>354</v>
      </c>
    </row>
    <row r="4392" spans="8:8">
      <c r="B4392" t="s">
        <v>6656</v>
      </c>
      <c r="C4392">
        <v>532966.0</v>
      </c>
      <c r="D4392" t="s">
        <v>6657</v>
      </c>
      <c r="E4392" t="s">
        <v>417</v>
      </c>
    </row>
    <row r="4393" spans="8:8">
      <c r="B4393" t="s">
        <v>6658</v>
      </c>
      <c r="C4393">
        <v>524717.0</v>
      </c>
      <c r="D4393" t="s">
        <v>339</v>
      </c>
      <c r="E4393" t="s">
        <v>499</v>
      </c>
    </row>
    <row r="4394" spans="8:8">
      <c r="B4394" t="s">
        <v>6659</v>
      </c>
      <c r="C4394">
        <v>500114.0</v>
      </c>
      <c r="D4394" t="s">
        <v>6660</v>
      </c>
      <c r="E4394" t="s">
        <v>453</v>
      </c>
    </row>
    <row r="4395" spans="8:8">
      <c r="B4395" t="s">
        <v>6661</v>
      </c>
      <c r="C4395">
        <v>530045.0</v>
      </c>
      <c r="D4395" t="s">
        <v>339</v>
      </c>
      <c r="E4395" t="s">
        <v>356</v>
      </c>
    </row>
    <row r="4396" spans="8:8">
      <c r="B4396" t="s">
        <v>6662</v>
      </c>
      <c r="C4396">
        <v>511096.0</v>
      </c>
      <c r="D4396" t="s">
        <v>339</v>
      </c>
      <c r="E4396" t="s">
        <v>425</v>
      </c>
    </row>
    <row r="4397" spans="8:8">
      <c r="B4397" t="s">
        <v>6663</v>
      </c>
      <c r="C4397">
        <v>531830.0</v>
      </c>
      <c r="D4397" t="s">
        <v>6664</v>
      </c>
      <c r="E4397" t="s">
        <v>885</v>
      </c>
    </row>
    <row r="4398" spans="8:8">
      <c r="B4398" t="s">
        <v>6665</v>
      </c>
      <c r="C4398">
        <v>531644.0</v>
      </c>
      <c r="D4398" t="s">
        <v>339</v>
      </c>
      <c r="E4398" t="s">
        <v>356</v>
      </c>
    </row>
    <row r="4399" spans="8:8">
      <c r="B4399" t="s">
        <v>6666</v>
      </c>
      <c r="C4399">
        <v>500418.0</v>
      </c>
      <c r="D4399" t="s">
        <v>6667</v>
      </c>
      <c r="E4399" t="s">
        <v>459</v>
      </c>
    </row>
    <row r="4400" spans="8:8">
      <c r="B4400" t="s">
        <v>6668</v>
      </c>
      <c r="C4400">
        <v>500420.0</v>
      </c>
      <c r="D4400" t="s">
        <v>6669</v>
      </c>
      <c r="E4400" t="s">
        <v>377</v>
      </c>
    </row>
    <row r="4401" spans="8:8">
      <c r="B4401" t="s">
        <v>6670</v>
      </c>
      <c r="C4401">
        <v>532779.0</v>
      </c>
      <c r="D4401" t="s">
        <v>6671</v>
      </c>
      <c r="E4401" t="s">
        <v>478</v>
      </c>
    </row>
    <row r="4402" spans="8:8">
      <c r="B4402" t="s">
        <v>6672</v>
      </c>
      <c r="C4402">
        <v>523878.0</v>
      </c>
      <c r="D4402" t="s">
        <v>339</v>
      </c>
      <c r="E4402" t="s">
        <v>664</v>
      </c>
    </row>
    <row r="4403" spans="8:8">
      <c r="B4403" t="s">
        <v>6673</v>
      </c>
      <c r="C4403" t="s">
        <v>339</v>
      </c>
      <c r="D4403" t="s">
        <v>6674</v>
      </c>
      <c r="E4403" t="s">
        <v>350</v>
      </c>
    </row>
    <row r="4404" spans="8:8">
      <c r="B4404" t="s">
        <v>6675</v>
      </c>
      <c r="C4404" t="s">
        <v>339</v>
      </c>
      <c r="D4404" t="s">
        <v>6676</v>
      </c>
      <c r="E4404" t="s">
        <v>350</v>
      </c>
    </row>
    <row r="4405" spans="8:8">
      <c r="B4405" t="s">
        <v>6677</v>
      </c>
      <c r="C4405">
        <v>526650.0</v>
      </c>
      <c r="D4405" t="s">
        <v>6678</v>
      </c>
      <c r="E4405" t="s">
        <v>2671</v>
      </c>
    </row>
    <row r="4406" spans="8:8">
      <c r="B4406" t="s">
        <v>6679</v>
      </c>
      <c r="C4406">
        <v>526650.0</v>
      </c>
      <c r="D4406" t="s">
        <v>6678</v>
      </c>
      <c r="E4406" t="s">
        <v>2671</v>
      </c>
    </row>
    <row r="4407" spans="8:8">
      <c r="B4407" t="s">
        <v>6680</v>
      </c>
      <c r="C4407">
        <v>531771.0</v>
      </c>
      <c r="D4407" t="s">
        <v>339</v>
      </c>
      <c r="E4407" t="s">
        <v>637</v>
      </c>
    </row>
    <row r="4408" spans="8:8">
      <c r="B4408" t="s">
        <v>6681</v>
      </c>
      <c r="C4408">
        <v>538607.0</v>
      </c>
      <c r="D4408" t="s">
        <v>339</v>
      </c>
      <c r="E4408" t="s">
        <v>322</v>
      </c>
    </row>
    <row r="4409" spans="8:8">
      <c r="B4409" t="s">
        <v>6682</v>
      </c>
      <c r="C4409">
        <v>500421.0</v>
      </c>
      <c r="D4409" t="s">
        <v>339</v>
      </c>
      <c r="E4409" t="s">
        <v>534</v>
      </c>
    </row>
    <row r="4410" spans="8:8">
      <c r="B4410" t="s">
        <v>6683</v>
      </c>
      <c r="C4410">
        <v>500421.0</v>
      </c>
      <c r="D4410" t="s">
        <v>339</v>
      </c>
      <c r="E4410" t="s">
        <v>534</v>
      </c>
    </row>
    <row r="4411" spans="8:8">
      <c r="B4411" t="s">
        <v>6684</v>
      </c>
      <c r="C4411">
        <v>526582.0</v>
      </c>
      <c r="D4411" t="s">
        <v>6685</v>
      </c>
      <c r="E4411" t="s">
        <v>459</v>
      </c>
    </row>
    <row r="4412" spans="8:8">
      <c r="B4412" t="s">
        <v>6686</v>
      </c>
      <c r="C4412">
        <v>509953.0</v>
      </c>
      <c r="D4412" t="s">
        <v>339</v>
      </c>
      <c r="E4412" t="s">
        <v>1341</v>
      </c>
    </row>
    <row r="4413" spans="8:8">
      <c r="B4413" t="s">
        <v>6687</v>
      </c>
      <c r="C4413">
        <v>530783.0</v>
      </c>
      <c r="D4413" t="s">
        <v>339</v>
      </c>
      <c r="E4413" t="s">
        <v>377</v>
      </c>
    </row>
    <row r="4414" spans="8:8">
      <c r="B4414" t="s">
        <v>6688</v>
      </c>
      <c r="C4414">
        <v>526961.0</v>
      </c>
      <c r="D4414" t="s">
        <v>6689</v>
      </c>
      <c r="E4414" t="s">
        <v>356</v>
      </c>
    </row>
    <row r="4415" spans="8:8">
      <c r="B4415" t="s">
        <v>6690</v>
      </c>
      <c r="C4415">
        <v>500422.0</v>
      </c>
      <c r="D4415" t="s">
        <v>339</v>
      </c>
      <c r="E4415" t="s">
        <v>377</v>
      </c>
    </row>
    <row r="4416" spans="8:8">
      <c r="B4416" t="s">
        <v>6691</v>
      </c>
      <c r="C4416">
        <v>532410.0</v>
      </c>
      <c r="D4416" t="s">
        <v>339</v>
      </c>
      <c r="E4416" t="s">
        <v>322</v>
      </c>
    </row>
    <row r="4417" spans="8:8">
      <c r="B4417" t="s">
        <v>6692</v>
      </c>
      <c r="C4417">
        <v>532928.0</v>
      </c>
      <c r="D4417" t="s">
        <v>6693</v>
      </c>
      <c r="E4417" t="s">
        <v>382</v>
      </c>
    </row>
    <row r="4418" spans="8:8">
      <c r="B4418" t="s">
        <v>6694</v>
      </c>
      <c r="C4418">
        <v>532928.0</v>
      </c>
      <c r="D4418" t="s">
        <v>6693</v>
      </c>
      <c r="E4418" t="s">
        <v>382</v>
      </c>
    </row>
    <row r="4419" spans="8:8">
      <c r="B4419" t="s">
        <v>6695</v>
      </c>
      <c r="C4419">
        <v>513063.0</v>
      </c>
      <c r="D4419" t="s">
        <v>339</v>
      </c>
      <c r="E4419" t="s">
        <v>662</v>
      </c>
    </row>
    <row r="4420" spans="8:8">
      <c r="B4420" t="s">
        <v>6696</v>
      </c>
      <c r="C4420">
        <v>526139.0</v>
      </c>
      <c r="D4420" t="s">
        <v>339</v>
      </c>
      <c r="E4420" t="s">
        <v>528</v>
      </c>
    </row>
    <row r="4421" spans="8:8">
      <c r="B4421" t="s">
        <v>6697</v>
      </c>
      <c r="C4421">
        <v>519367.0</v>
      </c>
      <c r="D4421" t="s">
        <v>339</v>
      </c>
      <c r="E4421" t="s">
        <v>774</v>
      </c>
    </row>
    <row r="4422" spans="8:8">
      <c r="B4422" t="s">
        <v>6698</v>
      </c>
      <c r="C4422">
        <v>509003.0</v>
      </c>
      <c r="D4422" t="s">
        <v>339</v>
      </c>
      <c r="E4422" t="s">
        <v>760</v>
      </c>
    </row>
    <row r="4423" spans="8:8">
      <c r="B4423" t="s">
        <v>6699</v>
      </c>
      <c r="C4423">
        <v>506687.0</v>
      </c>
      <c r="D4423" t="s">
        <v>339</v>
      </c>
      <c r="E4423" t="s">
        <v>387</v>
      </c>
    </row>
    <row r="4424" spans="8:8">
      <c r="B4424" t="s">
        <v>6700</v>
      </c>
      <c r="C4424">
        <v>532349.0</v>
      </c>
      <c r="D4424" t="s">
        <v>6701</v>
      </c>
      <c r="E4424" t="s">
        <v>411</v>
      </c>
    </row>
    <row r="4425" spans="8:8">
      <c r="B4425" t="s">
        <v>6702</v>
      </c>
      <c r="C4425">
        <v>532349.0</v>
      </c>
      <c r="D4425" t="s">
        <v>6701</v>
      </c>
      <c r="E4425" t="s">
        <v>411</v>
      </c>
    </row>
    <row r="4426" spans="8:8">
      <c r="B4426" t="s">
        <v>6703</v>
      </c>
      <c r="C4426">
        <v>532812.0</v>
      </c>
      <c r="D4426" t="s">
        <v>6704</v>
      </c>
      <c r="E4426" t="s">
        <v>356</v>
      </c>
    </row>
    <row r="4427" spans="8:8">
      <c r="B4427" t="s">
        <v>6705</v>
      </c>
      <c r="C4427" t="s">
        <v>339</v>
      </c>
      <c r="D4427" t="s">
        <v>6706</v>
      </c>
      <c r="E4427" t="s">
        <v>350</v>
      </c>
    </row>
    <row r="4428" spans="8:8">
      <c r="B4428" t="s">
        <v>6707</v>
      </c>
      <c r="C4428">
        <v>533540.0</v>
      </c>
      <c r="D4428" t="s">
        <v>6708</v>
      </c>
      <c r="E4428" t="s">
        <v>444</v>
      </c>
    </row>
    <row r="4429" spans="8:8">
      <c r="B4429" t="s">
        <v>6709</v>
      </c>
      <c r="C4429">
        <v>542233.0</v>
      </c>
      <c r="D4429" t="s">
        <v>6710</v>
      </c>
      <c r="E4429" t="s">
        <v>1535</v>
      </c>
    </row>
    <row r="4430" spans="8:8">
      <c r="B4430" t="s">
        <v>6711</v>
      </c>
      <c r="C4430">
        <v>500251.0</v>
      </c>
      <c r="D4430" t="s">
        <v>6712</v>
      </c>
      <c r="E4430" t="s">
        <v>340</v>
      </c>
    </row>
    <row r="4431" spans="8:8">
      <c r="B4431" t="s">
        <v>6713</v>
      </c>
      <c r="C4431">
        <v>532159.0</v>
      </c>
      <c r="D4431" t="s">
        <v>339</v>
      </c>
      <c r="E4431" t="s">
        <v>322</v>
      </c>
    </row>
    <row r="4432" spans="8:8">
      <c r="B4432" t="s">
        <v>6714</v>
      </c>
      <c r="C4432">
        <v>505854.0</v>
      </c>
      <c r="D4432" t="s">
        <v>6715</v>
      </c>
      <c r="E4432" t="s">
        <v>347</v>
      </c>
    </row>
    <row r="4433" spans="8:8">
      <c r="B4433" t="s">
        <v>6716</v>
      </c>
      <c r="C4433">
        <v>534369.0</v>
      </c>
      <c r="D4433" t="s">
        <v>6717</v>
      </c>
      <c r="E4433" t="s">
        <v>453</v>
      </c>
    </row>
    <row r="4434" spans="8:8">
      <c r="B4434" t="s">
        <v>6718</v>
      </c>
      <c r="C4434">
        <v>531716.0</v>
      </c>
      <c r="D4434" t="s">
        <v>339</v>
      </c>
      <c r="E4434" t="s">
        <v>419</v>
      </c>
    </row>
    <row r="4435" spans="8:8">
      <c r="B4435" t="s">
        <v>6719</v>
      </c>
      <c r="C4435">
        <v>521064.0</v>
      </c>
      <c r="D4435" t="s">
        <v>6720</v>
      </c>
      <c r="E4435" t="s">
        <v>354</v>
      </c>
    </row>
    <row r="4436" spans="8:8">
      <c r="B4436" t="s">
        <v>6721</v>
      </c>
      <c r="C4436">
        <v>540726.0</v>
      </c>
      <c r="D4436" t="s">
        <v>339</v>
      </c>
      <c r="E4436" t="s">
        <v>361</v>
      </c>
    </row>
    <row r="4437" spans="8:8">
      <c r="B4437" t="s">
        <v>6722</v>
      </c>
      <c r="C4437">
        <v>531972.0</v>
      </c>
      <c r="D4437" t="s">
        <v>339</v>
      </c>
      <c r="E4437" t="s">
        <v>524</v>
      </c>
    </row>
    <row r="4438" spans="8:8">
      <c r="B4438" t="s">
        <v>6723</v>
      </c>
      <c r="C4438">
        <v>517562.0</v>
      </c>
      <c r="D4438" t="s">
        <v>6724</v>
      </c>
      <c r="E4438" t="s">
        <v>325</v>
      </c>
    </row>
    <row r="4439" spans="8:8">
      <c r="B4439" t="s">
        <v>6725</v>
      </c>
      <c r="C4439">
        <v>531658.0</v>
      </c>
      <c r="D4439" t="s">
        <v>339</v>
      </c>
      <c r="E4439" t="s">
        <v>356</v>
      </c>
    </row>
    <row r="4440" spans="8:8">
      <c r="B4440" t="s">
        <v>6726</v>
      </c>
      <c r="C4440">
        <v>536565.0</v>
      </c>
      <c r="D4440" t="s">
        <v>339</v>
      </c>
      <c r="E4440" t="s">
        <v>6727</v>
      </c>
    </row>
    <row r="4441" spans="8:8">
      <c r="B4441" t="s">
        <v>6728</v>
      </c>
      <c r="C4441">
        <v>531846.0</v>
      </c>
      <c r="D4441" t="s">
        <v>339</v>
      </c>
      <c r="E4441" t="s">
        <v>322</v>
      </c>
    </row>
    <row r="4442" spans="8:8">
      <c r="B4442" t="s">
        <v>6729</v>
      </c>
      <c r="C4442">
        <v>531846.0</v>
      </c>
      <c r="D4442" t="s">
        <v>339</v>
      </c>
      <c r="E4442" t="s">
        <v>322</v>
      </c>
    </row>
    <row r="4443" spans="8:8">
      <c r="B4443" t="s">
        <v>6730</v>
      </c>
      <c r="C4443">
        <v>534755.0</v>
      </c>
      <c r="D4443" t="s">
        <v>6731</v>
      </c>
      <c r="E4443" t="s">
        <v>322</v>
      </c>
    </row>
    <row r="4444" spans="8:8">
      <c r="B4444" t="s">
        <v>6732</v>
      </c>
      <c r="C4444">
        <v>512101.0</v>
      </c>
      <c r="D4444" t="s">
        <v>339</v>
      </c>
      <c r="E4444" t="s">
        <v>377</v>
      </c>
    </row>
    <row r="4445" spans="8:8">
      <c r="B4445" t="s">
        <v>6733</v>
      </c>
      <c r="C4445">
        <v>531279.0</v>
      </c>
      <c r="D4445" t="s">
        <v>339</v>
      </c>
      <c r="E4445" t="s">
        <v>356</v>
      </c>
    </row>
    <row r="4446" spans="8:8">
      <c r="B4446" t="s">
        <v>6734</v>
      </c>
      <c r="C4446">
        <v>523387.0</v>
      </c>
      <c r="D4446" t="s">
        <v>339</v>
      </c>
      <c r="E4446" t="s">
        <v>453</v>
      </c>
    </row>
    <row r="4447" spans="8:8">
      <c r="B4447" t="s">
        <v>6735</v>
      </c>
      <c r="C4447">
        <v>505978.0</v>
      </c>
      <c r="D4447" t="s">
        <v>339</v>
      </c>
      <c r="E4447" t="s">
        <v>694</v>
      </c>
    </row>
    <row r="4448" spans="8:8">
      <c r="B4448" t="s">
        <v>6736</v>
      </c>
      <c r="C4448">
        <v>532356.0</v>
      </c>
      <c r="D4448" t="s">
        <v>6737</v>
      </c>
      <c r="E4448" t="s">
        <v>1037</v>
      </c>
    </row>
    <row r="4449" spans="8:8">
      <c r="B4449" t="s">
        <v>6738</v>
      </c>
      <c r="C4449">
        <v>538569.0</v>
      </c>
      <c r="D4449" t="s">
        <v>6739</v>
      </c>
      <c r="E4449" t="s">
        <v>705</v>
      </c>
    </row>
    <row r="4450" spans="8:8">
      <c r="B4450" t="s">
        <v>6740</v>
      </c>
      <c r="C4450">
        <v>502281.0</v>
      </c>
      <c r="D4450" t="s">
        <v>339</v>
      </c>
      <c r="E4450" t="s">
        <v>867</v>
      </c>
    </row>
    <row r="4451" spans="8:8">
      <c r="B4451" t="s">
        <v>6741</v>
      </c>
      <c r="C4451">
        <v>533655.0</v>
      </c>
      <c r="D4451" t="s">
        <v>6742</v>
      </c>
      <c r="E4451" t="s">
        <v>382</v>
      </c>
    </row>
    <row r="4452" spans="8:8">
      <c r="B4452" t="s">
        <v>6743</v>
      </c>
      <c r="C4452">
        <v>538579.0</v>
      </c>
      <c r="D4452" t="s">
        <v>339</v>
      </c>
      <c r="E4452" t="s">
        <v>361</v>
      </c>
    </row>
    <row r="4453" spans="8:8">
      <c r="B4453" t="s">
        <v>6744</v>
      </c>
      <c r="C4453">
        <v>519303.0</v>
      </c>
      <c r="D4453" t="s">
        <v>339</v>
      </c>
      <c r="E4453" t="s">
        <v>588</v>
      </c>
    </row>
    <row r="4454" spans="8:8">
      <c r="B4454" t="s">
        <v>6745</v>
      </c>
      <c r="C4454">
        <v>538597.0</v>
      </c>
      <c r="D4454" t="s">
        <v>339</v>
      </c>
      <c r="E4454" t="s">
        <v>356</v>
      </c>
    </row>
    <row r="4455" spans="8:8">
      <c r="B4455" t="s">
        <v>6746</v>
      </c>
      <c r="C4455">
        <v>507747.0</v>
      </c>
      <c r="D4455" t="s">
        <v>6747</v>
      </c>
      <c r="E4455" t="s">
        <v>377</v>
      </c>
    </row>
    <row r="4456" spans="8:8">
      <c r="B4456" t="s">
        <v>6748</v>
      </c>
      <c r="C4456">
        <v>517506.0</v>
      </c>
      <c r="D4456" t="s">
        <v>6749</v>
      </c>
      <c r="E4456" t="s">
        <v>1384</v>
      </c>
    </row>
    <row r="4457" spans="8:8">
      <c r="B4457" t="s">
        <v>6750</v>
      </c>
      <c r="C4457">
        <v>514236.0</v>
      </c>
      <c r="D4457" t="s">
        <v>6751</v>
      </c>
      <c r="E4457" t="s">
        <v>705</v>
      </c>
    </row>
    <row r="4458" spans="8:8">
      <c r="B4458" t="s">
        <v>6752</v>
      </c>
      <c r="C4458">
        <v>540762.0</v>
      </c>
      <c r="D4458" t="s">
        <v>6753</v>
      </c>
      <c r="E4458" t="s">
        <v>694</v>
      </c>
    </row>
    <row r="4459" spans="8:8">
      <c r="B4459" t="s">
        <v>6754</v>
      </c>
      <c r="C4459">
        <v>540762.0</v>
      </c>
      <c r="D4459" t="s">
        <v>6755</v>
      </c>
      <c r="E4459" t="s">
        <v>694</v>
      </c>
    </row>
    <row r="4460" spans="8:8">
      <c r="B4460" t="s">
        <v>6756</v>
      </c>
      <c r="C4460">
        <v>524514.0</v>
      </c>
      <c r="D4460" t="s">
        <v>339</v>
      </c>
      <c r="E4460" t="s">
        <v>387</v>
      </c>
    </row>
    <row r="4461" spans="8:8">
      <c r="B4461" t="s">
        <v>6757</v>
      </c>
      <c r="C4461">
        <v>531088.0</v>
      </c>
      <c r="D4461" t="s">
        <v>339</v>
      </c>
      <c r="E4461" t="s">
        <v>356</v>
      </c>
    </row>
    <row r="4462" spans="8:8">
      <c r="B4462" t="s">
        <v>6758</v>
      </c>
      <c r="C4462">
        <v>505285.0</v>
      </c>
      <c r="D4462" t="s">
        <v>339</v>
      </c>
      <c r="E4462" t="s">
        <v>524</v>
      </c>
    </row>
    <row r="4463" spans="8:8">
      <c r="B4463" t="s">
        <v>6759</v>
      </c>
      <c r="C4463">
        <v>532948.0</v>
      </c>
      <c r="D4463" t="s">
        <v>6760</v>
      </c>
      <c r="E4463" t="s">
        <v>459</v>
      </c>
    </row>
    <row r="4464" spans="8:8">
      <c r="B4464" t="s">
        <v>6761</v>
      </c>
      <c r="C4464">
        <v>504273.0</v>
      </c>
      <c r="D4464" t="s">
        <v>339</v>
      </c>
      <c r="E4464" t="s">
        <v>637</v>
      </c>
    </row>
    <row r="4465" spans="8:8">
      <c r="B4465" t="s">
        <v>6762</v>
      </c>
      <c r="C4465">
        <v>531411.0</v>
      </c>
      <c r="D4465" t="s">
        <v>339</v>
      </c>
      <c r="E4465" t="s">
        <v>354</v>
      </c>
    </row>
    <row r="4466" spans="8:8">
      <c r="B4466" t="s">
        <v>6763</v>
      </c>
      <c r="C4466">
        <v>506808.0</v>
      </c>
      <c r="D4466" t="s">
        <v>339</v>
      </c>
      <c r="E4466" t="s">
        <v>387</v>
      </c>
    </row>
    <row r="4467" spans="8:8">
      <c r="B4467" t="s">
        <v>6764</v>
      </c>
      <c r="C4467">
        <v>532515.0</v>
      </c>
      <c r="D4467" t="s">
        <v>6765</v>
      </c>
      <c r="E4467" t="s">
        <v>1077</v>
      </c>
    </row>
    <row r="4468" spans="8:8">
      <c r="B4468" t="s">
        <v>6766</v>
      </c>
      <c r="C4468">
        <v>540083.0</v>
      </c>
      <c r="D4468" t="s">
        <v>6767</v>
      </c>
      <c r="E4468" t="s">
        <v>1077</v>
      </c>
    </row>
    <row r="4469" spans="8:8">
      <c r="B4469" t="s">
        <v>6768</v>
      </c>
      <c r="C4469">
        <v>532800.0</v>
      </c>
      <c r="D4469" t="s">
        <v>6769</v>
      </c>
      <c r="E4469" t="s">
        <v>1077</v>
      </c>
    </row>
    <row r="4470" spans="8:8">
      <c r="B4470" t="s">
        <v>6770</v>
      </c>
      <c r="C4470">
        <v>532513.0</v>
      </c>
      <c r="D4470" t="s">
        <v>6771</v>
      </c>
      <c r="E4470" t="s">
        <v>436</v>
      </c>
    </row>
    <row r="4471" spans="8:8">
      <c r="B4471" t="s">
        <v>6772</v>
      </c>
      <c r="C4471">
        <v>532343.0</v>
      </c>
      <c r="D4471" t="s">
        <v>6773</v>
      </c>
      <c r="E4471" t="s">
        <v>996</v>
      </c>
    </row>
    <row r="4472" spans="8:8">
      <c r="B4472" t="s">
        <v>6774</v>
      </c>
      <c r="C4472">
        <v>509243.0</v>
      </c>
      <c r="D4472" t="s">
        <v>6775</v>
      </c>
      <c r="E4472" t="s">
        <v>819</v>
      </c>
    </row>
    <row r="4473" spans="8:8">
      <c r="B4473" t="s">
        <v>6776</v>
      </c>
      <c r="C4473">
        <v>512117.0</v>
      </c>
      <c r="D4473" t="s">
        <v>339</v>
      </c>
      <c r="E4473" t="s">
        <v>760</v>
      </c>
    </row>
    <row r="4474" spans="8:8">
      <c r="B4474" t="s">
        <v>6777</v>
      </c>
      <c r="C4474">
        <v>531917.0</v>
      </c>
      <c r="D4474" t="s">
        <v>339</v>
      </c>
      <c r="E4474" t="s">
        <v>432</v>
      </c>
    </row>
    <row r="4475" spans="8:8">
      <c r="B4475" t="s">
        <v>6778</v>
      </c>
      <c r="C4475">
        <v>532384.0</v>
      </c>
      <c r="D4475" t="s">
        <v>339</v>
      </c>
      <c r="E4475" t="s">
        <v>377</v>
      </c>
    </row>
    <row r="4476" spans="8:8">
      <c r="B4476" t="s">
        <v>6779</v>
      </c>
      <c r="C4476">
        <v>539468.0</v>
      </c>
      <c r="D4476" t="s">
        <v>339</v>
      </c>
      <c r="E4476" t="s">
        <v>356</v>
      </c>
    </row>
    <row r="4477" spans="8:8">
      <c r="B4477" t="s">
        <v>6780</v>
      </c>
      <c r="C4477">
        <v>512307.0</v>
      </c>
      <c r="D4477" t="s">
        <v>339</v>
      </c>
      <c r="E4477" t="s">
        <v>354</v>
      </c>
    </row>
    <row r="4478" spans="8:8">
      <c r="B4478" t="s">
        <v>6781</v>
      </c>
      <c r="C4478">
        <v>526945.0</v>
      </c>
      <c r="D4478" t="s">
        <v>339</v>
      </c>
      <c r="E4478" t="s">
        <v>746</v>
      </c>
    </row>
    <row r="4479" spans="8:8">
      <c r="B4479" t="s">
        <v>6782</v>
      </c>
      <c r="C4479">
        <v>541338.0</v>
      </c>
      <c r="D4479" t="s">
        <v>339</v>
      </c>
      <c r="E4479" t="s">
        <v>453</v>
      </c>
    </row>
    <row r="4480" spans="8:8">
      <c r="B4480" t="s">
        <v>6783</v>
      </c>
      <c r="C4480">
        <v>500464.0</v>
      </c>
      <c r="D4480" t="s">
        <v>6784</v>
      </c>
      <c r="E4480" t="s">
        <v>694</v>
      </c>
    </row>
    <row r="4481" spans="8:8">
      <c r="B4481" t="s">
        <v>6785</v>
      </c>
      <c r="C4481">
        <v>532505.0</v>
      </c>
      <c r="D4481" t="s">
        <v>6786</v>
      </c>
      <c r="E4481" t="s">
        <v>657</v>
      </c>
    </row>
    <row r="4482" spans="8:8">
      <c r="B4482" t="s">
        <v>6787</v>
      </c>
      <c r="C4482">
        <v>530131.0</v>
      </c>
      <c r="D4482" t="s">
        <v>339</v>
      </c>
      <c r="E4482" t="s">
        <v>352</v>
      </c>
    </row>
    <row r="4483" spans="8:8">
      <c r="B4483" t="s">
        <v>6788</v>
      </c>
      <c r="C4483">
        <v>539518.0</v>
      </c>
      <c r="D4483" t="s">
        <v>339</v>
      </c>
      <c r="E4483" t="s">
        <v>373</v>
      </c>
    </row>
    <row r="4484" spans="8:8">
      <c r="B4484" t="s">
        <v>6789</v>
      </c>
      <c r="C4484">
        <v>500148.0</v>
      </c>
      <c r="D4484" t="s">
        <v>6790</v>
      </c>
      <c r="E4484" t="s">
        <v>534</v>
      </c>
    </row>
    <row r="4485" spans="8:8">
      <c r="B4485" t="s">
        <v>6791</v>
      </c>
      <c r="C4485">
        <v>539141.0</v>
      </c>
      <c r="D4485" t="s">
        <v>6792</v>
      </c>
      <c r="E4485" t="s">
        <v>1077</v>
      </c>
    </row>
    <row r="4486" spans="8:8">
      <c r="B4486" t="s">
        <v>6793</v>
      </c>
      <c r="C4486">
        <v>539141.0</v>
      </c>
      <c r="D4486" t="s">
        <v>6792</v>
      </c>
      <c r="E4486" t="s">
        <v>1077</v>
      </c>
    </row>
    <row r="4487" spans="8:8">
      <c r="B4487" t="s">
        <v>6794</v>
      </c>
      <c r="C4487">
        <v>511742.0</v>
      </c>
      <c r="D4487" t="s">
        <v>339</v>
      </c>
      <c r="E4487" t="s">
        <v>356</v>
      </c>
    </row>
    <row r="4488" spans="8:8">
      <c r="B4488" t="s">
        <v>6795</v>
      </c>
      <c r="C4488">
        <v>533644.0</v>
      </c>
      <c r="D4488" t="s">
        <v>6796</v>
      </c>
      <c r="E4488" t="s">
        <v>382</v>
      </c>
    </row>
    <row r="4489" spans="8:8">
      <c r="B4489" t="s">
        <v>6797</v>
      </c>
      <c r="C4489">
        <v>539874.0</v>
      </c>
      <c r="D4489" t="s">
        <v>6798</v>
      </c>
      <c r="E4489" t="s">
        <v>356</v>
      </c>
    </row>
    <row r="4490" spans="8:8">
      <c r="B4490" t="s">
        <v>6799</v>
      </c>
      <c r="C4490" t="s">
        <v>339</v>
      </c>
      <c r="D4490" t="s">
        <v>6800</v>
      </c>
      <c r="E4490" t="s">
        <v>350</v>
      </c>
    </row>
    <row r="4491" spans="8:8">
      <c r="B4491" t="s">
        <v>6801</v>
      </c>
      <c r="C4491">
        <v>538706.0</v>
      </c>
      <c r="D4491" t="s">
        <v>339</v>
      </c>
      <c r="E4491" t="s">
        <v>637</v>
      </c>
    </row>
    <row r="4492" spans="8:8">
      <c r="B4492" t="s">
        <v>6802</v>
      </c>
      <c r="C4492">
        <v>538706.0</v>
      </c>
      <c r="D4492" t="s">
        <v>339</v>
      </c>
      <c r="E4492" t="s">
        <v>637</v>
      </c>
    </row>
    <row r="4493" spans="8:8">
      <c r="B4493" t="s">
        <v>6803</v>
      </c>
      <c r="C4493">
        <v>506685.0</v>
      </c>
      <c r="D4493" t="s">
        <v>339</v>
      </c>
      <c r="E4493" t="s">
        <v>499</v>
      </c>
    </row>
    <row r="4494" spans="8:8">
      <c r="B4494" t="s">
        <v>6804</v>
      </c>
      <c r="C4494">
        <v>532538.0</v>
      </c>
      <c r="D4494" t="s">
        <v>6805</v>
      </c>
      <c r="E4494" t="s">
        <v>352</v>
      </c>
    </row>
    <row r="4495" spans="8:8">
      <c r="B4495" t="s">
        <v>6806</v>
      </c>
      <c r="C4495">
        <v>500231.0</v>
      </c>
      <c r="D4495" t="s">
        <v>6807</v>
      </c>
      <c r="E4495" t="s">
        <v>399</v>
      </c>
    </row>
    <row r="4496" spans="8:8">
      <c r="B4496" t="s">
        <v>6808</v>
      </c>
      <c r="C4496">
        <v>539798.0</v>
      </c>
      <c r="D4496" t="s">
        <v>339</v>
      </c>
      <c r="E4496" t="s">
        <v>662</v>
      </c>
    </row>
    <row r="4497" spans="8:8">
      <c r="B4497" t="s">
        <v>6809</v>
      </c>
      <c r="C4497">
        <v>504605.0</v>
      </c>
      <c r="D4497" t="s">
        <v>339</v>
      </c>
      <c r="E4497" t="s">
        <v>662</v>
      </c>
    </row>
    <row r="4498" spans="8:8">
      <c r="B4498" t="s">
        <v>6810</v>
      </c>
      <c r="C4498">
        <v>506690.0</v>
      </c>
      <c r="D4498" t="s">
        <v>6811</v>
      </c>
      <c r="E4498" t="s">
        <v>377</v>
      </c>
    </row>
    <row r="4499" spans="8:8">
      <c r="B4499" t="s">
        <v>6812</v>
      </c>
      <c r="C4499">
        <v>541503.0</v>
      </c>
      <c r="D4499" t="s">
        <v>339</v>
      </c>
      <c r="E4499" t="s">
        <v>2331</v>
      </c>
    </row>
    <row r="4500" spans="8:8">
      <c r="B4500" t="s">
        <v>6813</v>
      </c>
      <c r="C4500" t="s">
        <v>339</v>
      </c>
      <c r="D4500" t="s">
        <v>6814</v>
      </c>
      <c r="E4500" t="s">
        <v>350</v>
      </c>
    </row>
    <row r="4501" spans="8:8">
      <c r="B4501" t="s">
        <v>6815</v>
      </c>
      <c r="C4501">
        <v>503671.0</v>
      </c>
      <c r="D4501" t="s">
        <v>339</v>
      </c>
      <c r="E4501" t="s">
        <v>322</v>
      </c>
    </row>
    <row r="4502" spans="8:8">
      <c r="B4502" t="s">
        <v>6816</v>
      </c>
      <c r="C4502">
        <v>512595.0</v>
      </c>
      <c r="D4502" t="s">
        <v>6817</v>
      </c>
      <c r="E4502" t="s">
        <v>895</v>
      </c>
    </row>
    <row r="4503" spans="8:8">
      <c r="B4503" t="s">
        <v>6818</v>
      </c>
      <c r="C4503">
        <v>532477.0</v>
      </c>
      <c r="D4503" t="s">
        <v>6819</v>
      </c>
      <c r="E4503" t="s">
        <v>657</v>
      </c>
    </row>
    <row r="4504" spans="8:8">
      <c r="B4504" t="s">
        <v>6820</v>
      </c>
      <c r="C4504">
        <v>526799.0</v>
      </c>
      <c r="D4504" t="s">
        <v>339</v>
      </c>
      <c r="E4504" t="s">
        <v>534</v>
      </c>
    </row>
    <row r="4505" spans="8:8">
      <c r="B4505" t="s">
        <v>6821</v>
      </c>
      <c r="C4505">
        <v>500429.0</v>
      </c>
      <c r="D4505" t="s">
        <v>6822</v>
      </c>
      <c r="E4505" t="s">
        <v>361</v>
      </c>
    </row>
    <row r="4506" spans="8:8">
      <c r="B4506" t="s">
        <v>6823</v>
      </c>
      <c r="C4506">
        <v>526957.0</v>
      </c>
      <c r="D4506" t="s">
        <v>339</v>
      </c>
      <c r="E4506" t="s">
        <v>834</v>
      </c>
    </row>
    <row r="4507" spans="8:8">
      <c r="B4507" t="s">
        <v>6824</v>
      </c>
      <c r="C4507">
        <v>532646.0</v>
      </c>
      <c r="D4507" t="s">
        <v>6825</v>
      </c>
      <c r="E4507" t="s">
        <v>834</v>
      </c>
    </row>
    <row r="4508" spans="8:8">
      <c r="B4508" t="s">
        <v>6826</v>
      </c>
      <c r="C4508">
        <v>530997.0</v>
      </c>
      <c r="D4508" t="s">
        <v>339</v>
      </c>
      <c r="E4508" t="s">
        <v>537</v>
      </c>
    </row>
    <row r="4509" spans="8:8">
      <c r="B4509" t="s">
        <v>6827</v>
      </c>
      <c r="C4509">
        <v>521226.0</v>
      </c>
      <c r="D4509" t="s">
        <v>339</v>
      </c>
      <c r="E4509" t="s">
        <v>354</v>
      </c>
    </row>
    <row r="4510" spans="8:8">
      <c r="B4510" t="s">
        <v>6828</v>
      </c>
      <c r="C4510">
        <v>526113.0</v>
      </c>
      <c r="D4510" t="s">
        <v>339</v>
      </c>
      <c r="E4510" t="s">
        <v>399</v>
      </c>
    </row>
    <row r="4511" spans="8:8">
      <c r="B4511" t="s">
        <v>6829</v>
      </c>
      <c r="C4511">
        <v>537582.0</v>
      </c>
      <c r="D4511" t="s">
        <v>339</v>
      </c>
      <c r="E4511" t="s">
        <v>425</v>
      </c>
    </row>
    <row r="4512" spans="8:8">
      <c r="B4512" t="s">
        <v>6830</v>
      </c>
      <c r="C4512">
        <v>538610.0</v>
      </c>
      <c r="D4512" t="s">
        <v>339</v>
      </c>
      <c r="E4512" t="s">
        <v>662</v>
      </c>
    </row>
    <row r="4513" spans="8:8">
      <c r="B4513" t="s">
        <v>6831</v>
      </c>
      <c r="C4513">
        <v>532035.0</v>
      </c>
      <c r="D4513" t="s">
        <v>339</v>
      </c>
      <c r="E4513" t="s">
        <v>356</v>
      </c>
    </row>
    <row r="4514" spans="8:8">
      <c r="B4514" t="s">
        <v>6832</v>
      </c>
      <c r="C4514">
        <v>531831.0</v>
      </c>
      <c r="D4514" t="s">
        <v>339</v>
      </c>
      <c r="E4514" t="s">
        <v>397</v>
      </c>
    </row>
    <row r="4515" spans="8:8">
      <c r="B4515" t="s">
        <v>6833</v>
      </c>
      <c r="C4515">
        <v>531867.0</v>
      </c>
      <c r="D4515" t="s">
        <v>339</v>
      </c>
      <c r="E4515" t="s">
        <v>361</v>
      </c>
    </row>
    <row r="4516" spans="8:8">
      <c r="B4516" t="s">
        <v>6834</v>
      </c>
      <c r="C4516">
        <v>507878.0</v>
      </c>
      <c r="D4516" t="s">
        <v>6835</v>
      </c>
      <c r="E4516" t="s">
        <v>425</v>
      </c>
    </row>
    <row r="4517" spans="8:8">
      <c r="B4517" t="s">
        <v>6836</v>
      </c>
      <c r="C4517">
        <v>533171.0</v>
      </c>
      <c r="D4517" t="s">
        <v>6837</v>
      </c>
      <c r="E4517" t="s">
        <v>657</v>
      </c>
    </row>
    <row r="4518" spans="8:8">
      <c r="B4518" t="s">
        <v>6838</v>
      </c>
      <c r="C4518">
        <v>532478.0</v>
      </c>
      <c r="D4518" t="s">
        <v>6839</v>
      </c>
      <c r="E4518" t="s">
        <v>970</v>
      </c>
    </row>
    <row r="4519" spans="8:8">
      <c r="B4519" t="s">
        <v>6840</v>
      </c>
      <c r="C4519">
        <v>531091.0</v>
      </c>
      <c r="D4519" t="s">
        <v>339</v>
      </c>
      <c r="E4519" t="s">
        <v>356</v>
      </c>
    </row>
    <row r="4520" spans="8:8">
      <c r="B4520" t="s">
        <v>6841</v>
      </c>
      <c r="C4520">
        <v>522014.0</v>
      </c>
      <c r="D4520" t="s">
        <v>339</v>
      </c>
      <c r="E4520" t="s">
        <v>524</v>
      </c>
    </row>
    <row r="4521" spans="8:8">
      <c r="B4521" t="s">
        <v>6842</v>
      </c>
      <c r="C4521">
        <v>502893.0</v>
      </c>
      <c r="D4521" t="s">
        <v>339</v>
      </c>
      <c r="E4521" t="s">
        <v>345</v>
      </c>
    </row>
    <row r="4522" spans="8:8">
      <c r="B4522" t="s">
        <v>6843</v>
      </c>
      <c r="C4522">
        <v>507808.0</v>
      </c>
      <c r="D4522" t="s">
        <v>339</v>
      </c>
      <c r="E4522" t="s">
        <v>356</v>
      </c>
    </row>
    <row r="4523" spans="8:8">
      <c r="B4523" t="s">
        <v>6844</v>
      </c>
      <c r="C4523" t="s">
        <v>339</v>
      </c>
      <c r="D4523" t="s">
        <v>6845</v>
      </c>
      <c r="E4523" t="s">
        <v>350</v>
      </c>
    </row>
    <row r="4524" spans="8:8">
      <c r="B4524" t="s">
        <v>6846</v>
      </c>
      <c r="C4524">
        <v>532432.0</v>
      </c>
      <c r="D4524" t="s">
        <v>6847</v>
      </c>
      <c r="E4524" t="s">
        <v>970</v>
      </c>
    </row>
    <row r="4525" spans="8:8">
      <c r="B4525" t="s">
        <v>6848</v>
      </c>
      <c r="C4525">
        <v>521188.0</v>
      </c>
      <c r="D4525" t="s">
        <v>339</v>
      </c>
      <c r="E4525" t="s">
        <v>354</v>
      </c>
    </row>
    <row r="4526" spans="8:8">
      <c r="B4526" t="s">
        <v>6849</v>
      </c>
      <c r="C4526">
        <v>522091.0</v>
      </c>
      <c r="D4526" t="s">
        <v>339</v>
      </c>
      <c r="E4526" t="s">
        <v>382</v>
      </c>
    </row>
    <row r="4527" spans="8:8">
      <c r="B4527" t="s">
        <v>6850</v>
      </c>
      <c r="C4527">
        <v>532746.0</v>
      </c>
      <c r="D4527" t="s">
        <v>6851</v>
      </c>
      <c r="E4527" t="s">
        <v>737</v>
      </c>
    </row>
    <row r="4528" spans="8:8">
      <c r="B4528" t="s">
        <v>6852</v>
      </c>
      <c r="C4528" t="s">
        <v>339</v>
      </c>
      <c r="D4528" t="s">
        <v>6853</v>
      </c>
      <c r="E4528" t="s">
        <v>350</v>
      </c>
    </row>
    <row r="4529" spans="8:8">
      <c r="B4529" t="s">
        <v>6854</v>
      </c>
      <c r="C4529" t="s">
        <v>339</v>
      </c>
      <c r="D4529" t="s">
        <v>6853</v>
      </c>
      <c r="E4529" t="s">
        <v>350</v>
      </c>
    </row>
    <row r="4530" spans="8:8">
      <c r="B4530" t="s">
        <v>6855</v>
      </c>
      <c r="C4530">
        <v>532378.0</v>
      </c>
      <c r="D4530" t="s">
        <v>339</v>
      </c>
      <c r="E4530" t="s">
        <v>342</v>
      </c>
    </row>
    <row r="4531" spans="8:8">
      <c r="B4531" t="s">
        <v>6856</v>
      </c>
      <c r="C4531">
        <v>539314.0</v>
      </c>
      <c r="D4531" t="s">
        <v>339</v>
      </c>
      <c r="E4531" t="s">
        <v>694</v>
      </c>
    </row>
    <row r="4532" spans="8:8">
      <c r="B4532" t="s">
        <v>6857</v>
      </c>
      <c r="C4532">
        <v>504212.0</v>
      </c>
      <c r="D4532" t="s">
        <v>6858</v>
      </c>
      <c r="E4532" t="s">
        <v>637</v>
      </c>
    </row>
    <row r="4533" spans="8:8">
      <c r="B4533" t="s">
        <v>6859</v>
      </c>
      <c r="C4533">
        <v>531963.0</v>
      </c>
      <c r="D4533" t="s">
        <v>339</v>
      </c>
      <c r="E4533" t="s">
        <v>760</v>
      </c>
    </row>
    <row r="4534" spans="8:8">
      <c r="B4534" t="s">
        <v>6860</v>
      </c>
      <c r="C4534">
        <v>523519.0</v>
      </c>
      <c r="D4534" t="s">
        <v>339</v>
      </c>
      <c r="E4534" t="s">
        <v>361</v>
      </c>
    </row>
    <row r="4535" spans="8:8">
      <c r="B4535" t="s">
        <v>6861</v>
      </c>
      <c r="C4535">
        <v>504673.0</v>
      </c>
      <c r="D4535" t="s">
        <v>339</v>
      </c>
      <c r="E4535" t="s">
        <v>644</v>
      </c>
    </row>
    <row r="4536" spans="8:8">
      <c r="B4536" t="s">
        <v>6862</v>
      </c>
      <c r="C4536">
        <v>524408.0</v>
      </c>
      <c r="D4536" t="s">
        <v>339</v>
      </c>
      <c r="E4536" t="s">
        <v>387</v>
      </c>
    </row>
    <row r="4537" spans="8:8">
      <c r="B4537" t="s">
        <v>6863</v>
      </c>
      <c r="C4537">
        <v>514144.0</v>
      </c>
      <c r="D4537" t="s">
        <v>339</v>
      </c>
      <c r="E4537" t="s">
        <v>354</v>
      </c>
    </row>
    <row r="4538" spans="8:8">
      <c r="B4538" t="s">
        <v>6864</v>
      </c>
      <c r="C4538">
        <v>512408.0</v>
      </c>
      <c r="D4538" t="s">
        <v>339</v>
      </c>
      <c r="E4538" t="s">
        <v>354</v>
      </c>
    </row>
    <row r="4539" spans="8:8">
      <c r="B4539" t="s">
        <v>6865</v>
      </c>
      <c r="C4539">
        <v>531762.0</v>
      </c>
      <c r="D4539" t="s">
        <v>339</v>
      </c>
      <c r="E4539" t="s">
        <v>377</v>
      </c>
    </row>
    <row r="4540" spans="8:8">
      <c r="B4540" t="s">
        <v>6866</v>
      </c>
      <c r="C4540">
        <v>511764.0</v>
      </c>
      <c r="D4540" t="s">
        <v>339</v>
      </c>
      <c r="E4540" t="s">
        <v>356</v>
      </c>
    </row>
    <row r="4541" spans="8:8">
      <c r="B4541" t="s">
        <v>6867</v>
      </c>
      <c r="C4541">
        <v>512070.0</v>
      </c>
      <c r="D4541" t="s">
        <v>6868</v>
      </c>
      <c r="E4541" t="s">
        <v>483</v>
      </c>
    </row>
    <row r="4542" spans="8:8">
      <c r="B4542" t="s">
        <v>6869</v>
      </c>
      <c r="C4542">
        <v>531390.0</v>
      </c>
      <c r="D4542" t="s">
        <v>339</v>
      </c>
      <c r="E4542" t="s">
        <v>356</v>
      </c>
    </row>
    <row r="4543" spans="8:8">
      <c r="B4543" t="s">
        <v>6870</v>
      </c>
      <c r="C4543" t="s">
        <v>339</v>
      </c>
      <c r="D4543" t="s">
        <v>6871</v>
      </c>
      <c r="E4543" t="s">
        <v>350</v>
      </c>
    </row>
    <row r="4544" spans="8:8">
      <c r="B4544" t="s">
        <v>6872</v>
      </c>
      <c r="C4544">
        <v>526987.0</v>
      </c>
      <c r="D4544" t="s">
        <v>6873</v>
      </c>
      <c r="E4544" t="s">
        <v>361</v>
      </c>
    </row>
    <row r="4545" spans="8:8">
      <c r="B4545" t="s">
        <v>6874</v>
      </c>
      <c r="C4545">
        <v>532402.0</v>
      </c>
      <c r="D4545" t="s">
        <v>339</v>
      </c>
      <c r="E4545" t="s">
        <v>432</v>
      </c>
    </row>
    <row r="4546" spans="8:8">
      <c r="B4546" t="s">
        <v>6875</v>
      </c>
      <c r="C4546">
        <v>532398.0</v>
      </c>
      <c r="D4546" t="s">
        <v>6876</v>
      </c>
      <c r="E4546" t="s">
        <v>432</v>
      </c>
    </row>
    <row r="4547" spans="8:8">
      <c r="B4547" t="s">
        <v>6877</v>
      </c>
      <c r="C4547">
        <v>517146.0</v>
      </c>
      <c r="D4547" t="s">
        <v>6878</v>
      </c>
      <c r="E4547" t="s">
        <v>662</v>
      </c>
    </row>
    <row r="4548" spans="8:8">
      <c r="B4548" t="s">
        <v>6879</v>
      </c>
      <c r="C4548">
        <v>511507.0</v>
      </c>
      <c r="D4548" t="s">
        <v>339</v>
      </c>
      <c r="E4548" t="s">
        <v>356</v>
      </c>
    </row>
    <row r="4549" spans="8:8">
      <c r="B4549" t="s">
        <v>6880</v>
      </c>
      <c r="C4549" t="s">
        <v>339</v>
      </c>
      <c r="D4549" t="s">
        <v>6881</v>
      </c>
      <c r="E4549" t="s">
        <v>350</v>
      </c>
    </row>
    <row r="4550" spans="8:8">
      <c r="B4550" t="s">
        <v>6882</v>
      </c>
      <c r="C4550">
        <v>511736.0</v>
      </c>
      <c r="D4550" t="s">
        <v>339</v>
      </c>
      <c r="E4550" t="s">
        <v>361</v>
      </c>
    </row>
    <row r="4551" spans="8:8">
      <c r="B4551" t="s">
        <v>6883</v>
      </c>
      <c r="C4551">
        <v>532765.0</v>
      </c>
      <c r="D4551" t="s">
        <v>6884</v>
      </c>
      <c r="E4551" t="s">
        <v>537</v>
      </c>
    </row>
    <row r="4552" spans="8:8">
      <c r="B4552" t="s">
        <v>6885</v>
      </c>
      <c r="C4552">
        <v>590101.0</v>
      </c>
      <c r="D4552" t="s">
        <v>6886</v>
      </c>
      <c r="E4552" t="s">
        <v>322</v>
      </c>
    </row>
    <row r="4553" spans="8:8">
      <c r="B4553" t="s">
        <v>6887</v>
      </c>
      <c r="C4553">
        <v>500426.0</v>
      </c>
      <c r="D4553" t="s">
        <v>339</v>
      </c>
      <c r="E4553" t="s">
        <v>425</v>
      </c>
    </row>
    <row r="4554" spans="8:8">
      <c r="B4554" t="s">
        <v>6888</v>
      </c>
      <c r="C4554">
        <v>513216.0</v>
      </c>
      <c r="D4554" t="s">
        <v>6889</v>
      </c>
      <c r="E4554" t="s">
        <v>371</v>
      </c>
    </row>
    <row r="4555" spans="8:8">
      <c r="B4555" t="s">
        <v>6890</v>
      </c>
      <c r="C4555">
        <v>532729.0</v>
      </c>
      <c r="D4555" t="s">
        <v>6891</v>
      </c>
      <c r="E4555" t="s">
        <v>1037</v>
      </c>
    </row>
    <row r="4556" spans="8:8">
      <c r="B4556" t="s">
        <v>6892</v>
      </c>
      <c r="C4556">
        <v>500254.0</v>
      </c>
      <c r="D4556" t="s">
        <v>6893</v>
      </c>
      <c r="E4556" t="s">
        <v>371</v>
      </c>
    </row>
    <row r="4557" spans="8:8">
      <c r="B4557" t="s">
        <v>6894</v>
      </c>
      <c r="C4557">
        <v>511110.0</v>
      </c>
      <c r="D4557" t="s">
        <v>339</v>
      </c>
      <c r="E4557" t="s">
        <v>322</v>
      </c>
    </row>
    <row r="4558" spans="8:8">
      <c r="B4558" t="s">
        <v>6895</v>
      </c>
      <c r="C4558">
        <v>539123.0</v>
      </c>
      <c r="D4558" t="s">
        <v>339</v>
      </c>
      <c r="E4558" t="s">
        <v>359</v>
      </c>
    </row>
    <row r="4559" spans="8:8">
      <c r="B4559" t="s">
        <v>6896</v>
      </c>
      <c r="C4559">
        <v>542654.0</v>
      </c>
      <c r="D4559" t="s">
        <v>6897</v>
      </c>
      <c r="E4559" t="s">
        <v>340</v>
      </c>
    </row>
    <row r="4560" spans="8:8">
      <c r="B4560" t="s">
        <v>6898</v>
      </c>
      <c r="C4560">
        <v>523888.0</v>
      </c>
      <c r="D4560" t="s">
        <v>339</v>
      </c>
      <c r="E4560" t="s">
        <v>819</v>
      </c>
    </row>
    <row r="4561" spans="8:8">
      <c r="B4561" t="s">
        <v>6899</v>
      </c>
      <c r="C4561">
        <v>531266.0</v>
      </c>
      <c r="D4561" t="s">
        <v>6900</v>
      </c>
      <c r="E4561" t="s">
        <v>417</v>
      </c>
    </row>
    <row r="4562" spans="8:8">
      <c r="B4562" t="s">
        <v>6901</v>
      </c>
      <c r="C4562">
        <v>532867.0</v>
      </c>
      <c r="D4562" t="s">
        <v>6902</v>
      </c>
      <c r="E4562" t="s">
        <v>508</v>
      </c>
    </row>
    <row r="4563" spans="8:8">
      <c r="B4563" t="s">
        <v>6903</v>
      </c>
      <c r="C4563">
        <v>533269.0</v>
      </c>
      <c r="D4563" t="s">
        <v>6904</v>
      </c>
      <c r="E4563" t="s">
        <v>364</v>
      </c>
    </row>
    <row r="4564" spans="8:8">
      <c r="B4564" t="s">
        <v>6905</v>
      </c>
      <c r="C4564">
        <v>532320.0</v>
      </c>
      <c r="D4564" t="s">
        <v>339</v>
      </c>
      <c r="E4564" t="s">
        <v>356</v>
      </c>
    </row>
    <row r="4565" spans="8:8">
      <c r="B4565" t="s">
        <v>6906</v>
      </c>
      <c r="C4565">
        <v>519152.0</v>
      </c>
      <c r="D4565" t="s">
        <v>339</v>
      </c>
      <c r="E4565" t="s">
        <v>361</v>
      </c>
    </row>
    <row r="4566" spans="8:8">
      <c r="B4566" t="s">
        <v>6907</v>
      </c>
      <c r="C4566">
        <v>519156.0</v>
      </c>
      <c r="D4566" t="s">
        <v>6908</v>
      </c>
      <c r="E4566" t="s">
        <v>399</v>
      </c>
    </row>
    <row r="4567" spans="8:8">
      <c r="B4567" t="s">
        <v>6909</v>
      </c>
      <c r="C4567" t="s">
        <v>339</v>
      </c>
      <c r="D4567" t="s">
        <v>6910</v>
      </c>
      <c r="E4567" t="s">
        <v>350</v>
      </c>
    </row>
    <row r="4568" spans="8:8">
      <c r="B4568" t="s">
        <v>6911</v>
      </c>
      <c r="C4568">
        <v>531676.0</v>
      </c>
      <c r="D4568" t="s">
        <v>339</v>
      </c>
      <c r="E4568" t="s">
        <v>399</v>
      </c>
    </row>
    <row r="4569" spans="8:8">
      <c r="B4569" t="s">
        <v>6912</v>
      </c>
      <c r="C4569">
        <v>532156.0</v>
      </c>
      <c r="D4569" t="s">
        <v>6913</v>
      </c>
      <c r="E4569" t="s">
        <v>453</v>
      </c>
    </row>
    <row r="4570" spans="8:8">
      <c r="B4570" t="s">
        <v>6914</v>
      </c>
      <c r="C4570" t="s">
        <v>339</v>
      </c>
      <c r="D4570" t="s">
        <v>6915</v>
      </c>
      <c r="E4570" t="s">
        <v>350</v>
      </c>
    </row>
    <row r="4571" spans="8:8">
      <c r="B4571" t="s">
        <v>6916</v>
      </c>
      <c r="C4571">
        <v>511431.0</v>
      </c>
      <c r="D4571" t="s">
        <v>6917</v>
      </c>
      <c r="E4571" t="s">
        <v>340</v>
      </c>
    </row>
    <row r="4572" spans="8:8">
      <c r="B4572" t="s">
        <v>6918</v>
      </c>
      <c r="C4572">
        <v>539402.0</v>
      </c>
      <c r="D4572" t="s">
        <v>339</v>
      </c>
      <c r="E4572" t="s">
        <v>537</v>
      </c>
    </row>
    <row r="4573" spans="8:8">
      <c r="B4573" t="s">
        <v>6919</v>
      </c>
      <c r="C4573">
        <v>526775.0</v>
      </c>
      <c r="D4573" t="s">
        <v>339</v>
      </c>
      <c r="E4573" t="s">
        <v>485</v>
      </c>
    </row>
    <row r="4574" spans="8:8">
      <c r="B4574" t="s">
        <v>6920</v>
      </c>
      <c r="C4574">
        <v>540145.0</v>
      </c>
      <c r="D4574" t="s">
        <v>339</v>
      </c>
      <c r="E4574" t="s">
        <v>377</v>
      </c>
    </row>
    <row r="4575" spans="8:8">
      <c r="B4575" t="s">
        <v>6921</v>
      </c>
      <c r="C4575">
        <v>530403.0</v>
      </c>
      <c r="D4575" t="s">
        <v>339</v>
      </c>
      <c r="E4575" t="s">
        <v>534</v>
      </c>
    </row>
    <row r="4576" spans="8:8">
      <c r="B4576" t="s">
        <v>6922</v>
      </c>
      <c r="C4576">
        <v>513397.0</v>
      </c>
      <c r="D4576" t="s">
        <v>339</v>
      </c>
      <c r="E4576" t="s">
        <v>662</v>
      </c>
    </row>
    <row r="4577" spans="8:8">
      <c r="B4577" t="s">
        <v>6923</v>
      </c>
      <c r="C4577">
        <v>539543.0</v>
      </c>
      <c r="D4577" t="s">
        <v>339</v>
      </c>
      <c r="E4577" t="s">
        <v>359</v>
      </c>
    </row>
    <row r="4578" spans="8:8">
      <c r="B4578" t="s">
        <v>6924</v>
      </c>
      <c r="C4578">
        <v>530459.0</v>
      </c>
      <c r="D4578" t="s">
        <v>339</v>
      </c>
      <c r="E4578" t="s">
        <v>354</v>
      </c>
    </row>
    <row r="4579" spans="8:8">
      <c r="B4579" t="s">
        <v>6925</v>
      </c>
      <c r="C4579">
        <v>512175.0</v>
      </c>
      <c r="D4579" t="s">
        <v>339</v>
      </c>
      <c r="E4579" t="s">
        <v>325</v>
      </c>
    </row>
    <row r="4580" spans="8:8">
      <c r="B4580" t="s">
        <v>6926</v>
      </c>
      <c r="C4580">
        <v>530369.0</v>
      </c>
      <c r="D4580" t="s">
        <v>339</v>
      </c>
      <c r="E4580" t="s">
        <v>819</v>
      </c>
    </row>
    <row r="4581" spans="8:8">
      <c r="B4581" t="s">
        <v>6927</v>
      </c>
      <c r="C4581">
        <v>532090.0</v>
      </c>
      <c r="D4581" t="s">
        <v>339</v>
      </c>
      <c r="E4581" t="s">
        <v>354</v>
      </c>
    </row>
    <row r="4582" spans="8:8">
      <c r="B4582" t="s">
        <v>6928</v>
      </c>
      <c r="C4582">
        <v>538918.0</v>
      </c>
      <c r="D4582" t="s">
        <v>339</v>
      </c>
      <c r="E4582" t="s">
        <v>356</v>
      </c>
    </row>
    <row r="4583" spans="8:8">
      <c r="B4583" t="s">
        <v>6929</v>
      </c>
      <c r="C4583">
        <v>540729.0</v>
      </c>
      <c r="D4583" t="s">
        <v>339</v>
      </c>
      <c r="E4583" t="s">
        <v>377</v>
      </c>
    </row>
    <row r="4584" spans="8:8">
      <c r="B4584" t="s">
        <v>6930</v>
      </c>
      <c r="C4584">
        <v>539761.0</v>
      </c>
      <c r="D4584" t="s">
        <v>339</v>
      </c>
      <c r="E4584" t="s">
        <v>444</v>
      </c>
    </row>
    <row r="4585" spans="8:8">
      <c r="B4585" t="s">
        <v>6931</v>
      </c>
      <c r="C4585">
        <v>502589.0</v>
      </c>
      <c r="D4585" t="s">
        <v>339</v>
      </c>
      <c r="E4585" t="s">
        <v>333</v>
      </c>
    </row>
    <row r="4586" spans="8:8">
      <c r="B4586" t="s">
        <v>6932</v>
      </c>
      <c r="C4586">
        <v>524796.0</v>
      </c>
      <c r="D4586" t="s">
        <v>339</v>
      </c>
      <c r="E4586" t="s">
        <v>377</v>
      </c>
    </row>
    <row r="4587" spans="8:8">
      <c r="B4587" t="s">
        <v>6933</v>
      </c>
      <c r="C4587" t="s">
        <v>339</v>
      </c>
      <c r="D4587" t="s">
        <v>6934</v>
      </c>
      <c r="E4587" t="s">
        <v>430</v>
      </c>
    </row>
    <row r="4588" spans="8:8">
      <c r="B4588" t="s">
        <v>6935</v>
      </c>
      <c r="C4588">
        <v>531444.0</v>
      </c>
      <c r="D4588" t="s">
        <v>339</v>
      </c>
      <c r="E4588" t="s">
        <v>352</v>
      </c>
    </row>
    <row r="4589" spans="8:8">
      <c r="B4589" t="s">
        <v>6936</v>
      </c>
      <c r="C4589">
        <v>500439.0</v>
      </c>
      <c r="D4589" t="s">
        <v>6937</v>
      </c>
      <c r="E4589" t="s">
        <v>356</v>
      </c>
    </row>
    <row r="4590" spans="8:8">
      <c r="B4590" t="s">
        <v>6938</v>
      </c>
      <c r="C4590">
        <v>513534.0</v>
      </c>
      <c r="D4590" t="s">
        <v>339</v>
      </c>
      <c r="E4590" t="s">
        <v>371</v>
      </c>
    </row>
    <row r="4591" spans="8:8">
      <c r="B4591" t="s">
        <v>6939</v>
      </c>
      <c r="C4591">
        <v>514175.0</v>
      </c>
      <c r="D4591" t="s">
        <v>6940</v>
      </c>
      <c r="E4591" t="s">
        <v>354</v>
      </c>
    </row>
    <row r="4592" spans="8:8">
      <c r="B4592" t="s">
        <v>6941</v>
      </c>
      <c r="C4592">
        <v>534392.0</v>
      </c>
      <c r="D4592" t="s">
        <v>6942</v>
      </c>
      <c r="E4592" t="s">
        <v>662</v>
      </c>
    </row>
    <row r="4593" spans="8:8">
      <c r="B4593" t="s">
        <v>6943</v>
      </c>
      <c r="C4593">
        <v>502986.0</v>
      </c>
      <c r="D4593" t="s">
        <v>6944</v>
      </c>
      <c r="E4593" t="s">
        <v>354</v>
      </c>
    </row>
    <row r="4594" spans="8:8">
      <c r="B4594" t="s">
        <v>6945</v>
      </c>
      <c r="C4594">
        <v>541578.0</v>
      </c>
      <c r="D4594" t="s">
        <v>6946</v>
      </c>
      <c r="E4594" t="s">
        <v>694</v>
      </c>
    </row>
    <row r="4595" spans="8:8">
      <c r="B4595" t="s">
        <v>6947</v>
      </c>
      <c r="C4595">
        <v>540180.0</v>
      </c>
      <c r="D4595" t="s">
        <v>6948</v>
      </c>
      <c r="E4595" t="s">
        <v>534</v>
      </c>
    </row>
    <row r="4596" spans="8:8">
      <c r="B4596" t="s">
        <v>6949</v>
      </c>
      <c r="C4596">
        <v>512511.0</v>
      </c>
      <c r="D4596" t="s">
        <v>339</v>
      </c>
      <c r="E4596" t="s">
        <v>760</v>
      </c>
    </row>
    <row r="4597" spans="8:8">
      <c r="B4597" t="s">
        <v>6950</v>
      </c>
      <c r="C4597">
        <v>531574.0</v>
      </c>
      <c r="D4597" t="s">
        <v>339</v>
      </c>
      <c r="E4597" t="s">
        <v>425</v>
      </c>
    </row>
    <row r="4598" spans="8:8">
      <c r="B4598" t="s">
        <v>6951</v>
      </c>
      <c r="C4598" t="s">
        <v>339</v>
      </c>
      <c r="D4598" t="s">
        <v>6952</v>
      </c>
      <c r="E4598" t="s">
        <v>350</v>
      </c>
    </row>
    <row r="4599" spans="8:8">
      <c r="B4599" t="s">
        <v>6953</v>
      </c>
      <c r="C4599">
        <v>533156.0</v>
      </c>
      <c r="D4599" t="s">
        <v>6954</v>
      </c>
      <c r="E4599" t="s">
        <v>425</v>
      </c>
    </row>
    <row r="4600" spans="8:8">
      <c r="B4600" t="s">
        <v>6955</v>
      </c>
      <c r="C4600">
        <v>538634.0</v>
      </c>
      <c r="D4600" t="s">
        <v>339</v>
      </c>
      <c r="E4600" t="s">
        <v>377</v>
      </c>
    </row>
    <row r="4601" spans="8:8">
      <c r="B4601" t="s">
        <v>6956</v>
      </c>
      <c r="C4601">
        <v>533576.0</v>
      </c>
      <c r="D4601" t="s">
        <v>6957</v>
      </c>
      <c r="E4601" t="s">
        <v>371</v>
      </c>
    </row>
    <row r="4602" spans="8:8">
      <c r="B4602" t="s">
        <v>6958</v>
      </c>
      <c r="C4602">
        <v>531650.0</v>
      </c>
      <c r="D4602" t="s">
        <v>339</v>
      </c>
      <c r="E4602" t="s">
        <v>760</v>
      </c>
    </row>
    <row r="4603" spans="8:8">
      <c r="B4603" t="s">
        <v>6959</v>
      </c>
      <c r="C4603">
        <v>513005.0</v>
      </c>
      <c r="D4603" t="s">
        <v>339</v>
      </c>
      <c r="E4603" t="s">
        <v>371</v>
      </c>
    </row>
    <row r="4604" spans="8:8">
      <c r="B4604" t="s">
        <v>6960</v>
      </c>
      <c r="C4604">
        <v>511493.0</v>
      </c>
      <c r="D4604" t="s">
        <v>339</v>
      </c>
      <c r="E4604" t="s">
        <v>356</v>
      </c>
    </row>
    <row r="4605" spans="8:8">
      <c r="B4605" t="s">
        <v>6961</v>
      </c>
      <c r="C4605">
        <v>536672.0</v>
      </c>
      <c r="D4605" t="s">
        <v>339</v>
      </c>
      <c r="E4605" t="s">
        <v>1965</v>
      </c>
    </row>
    <row r="4606" spans="8:8">
      <c r="B4606" t="s">
        <v>6962</v>
      </c>
      <c r="C4606">
        <v>500295.0</v>
      </c>
      <c r="D4606" t="s">
        <v>6963</v>
      </c>
      <c r="E4606" t="s">
        <v>2854</v>
      </c>
    </row>
    <row r="4607" spans="8:8">
      <c r="B4607" t="s">
        <v>6964</v>
      </c>
      <c r="C4607">
        <v>533056.0</v>
      </c>
      <c r="D4607" t="s">
        <v>339</v>
      </c>
      <c r="E4607" t="s">
        <v>345</v>
      </c>
    </row>
    <row r="4608" spans="8:8">
      <c r="B4608" t="s">
        <v>6965</v>
      </c>
      <c r="C4608">
        <v>522267.0</v>
      </c>
      <c r="D4608" t="s">
        <v>339</v>
      </c>
      <c r="E4608" t="s">
        <v>347</v>
      </c>
    </row>
    <row r="4609" spans="8:8">
      <c r="B4609" t="s">
        <v>6966</v>
      </c>
      <c r="C4609">
        <v>503657.0</v>
      </c>
      <c r="D4609" t="s">
        <v>339</v>
      </c>
      <c r="E4609" t="s">
        <v>478</v>
      </c>
    </row>
    <row r="4610" spans="8:8">
      <c r="B4610" t="s">
        <v>6967</v>
      </c>
      <c r="C4610">
        <v>542046.0</v>
      </c>
      <c r="D4610" t="s">
        <v>339</v>
      </c>
      <c r="E4610" t="s">
        <v>425</v>
      </c>
    </row>
    <row r="4611" spans="8:8">
      <c r="B4611" t="s">
        <v>6968</v>
      </c>
      <c r="C4611">
        <v>540252.0</v>
      </c>
      <c r="D4611" t="s">
        <v>339</v>
      </c>
      <c r="E4611" t="s">
        <v>453</v>
      </c>
    </row>
    <row r="4612" spans="8:8">
      <c r="B4612" t="s">
        <v>6969</v>
      </c>
      <c r="C4612">
        <v>511523.0</v>
      </c>
      <c r="D4612" t="s">
        <v>339</v>
      </c>
      <c r="E4612" t="s">
        <v>377</v>
      </c>
    </row>
    <row r="4613" spans="8:8">
      <c r="B4613" t="s">
        <v>6970</v>
      </c>
      <c r="C4613">
        <v>539132.0</v>
      </c>
      <c r="D4613" t="s">
        <v>339</v>
      </c>
      <c r="E4613" t="s">
        <v>588</v>
      </c>
    </row>
    <row r="4614" spans="8:8">
      <c r="B4614" t="s">
        <v>6971</v>
      </c>
      <c r="C4614">
        <v>526755.0</v>
      </c>
      <c r="D4614" t="s">
        <v>339</v>
      </c>
      <c r="E4614" t="s">
        <v>540</v>
      </c>
    </row>
    <row r="4615" spans="8:8">
      <c r="B4615" t="s">
        <v>6972</v>
      </c>
      <c r="C4615">
        <v>505232.0</v>
      </c>
      <c r="D4615" t="s">
        <v>339</v>
      </c>
      <c r="E4615" t="s">
        <v>694</v>
      </c>
    </row>
    <row r="4616" spans="8:8">
      <c r="B4616" t="s">
        <v>6973</v>
      </c>
      <c r="C4616">
        <v>523261.0</v>
      </c>
      <c r="D4616" t="s">
        <v>6974</v>
      </c>
      <c r="E4616" t="s">
        <v>399</v>
      </c>
    </row>
    <row r="4617" spans="8:8">
      <c r="B4617" t="s">
        <v>6975</v>
      </c>
      <c r="C4617">
        <v>523261.0</v>
      </c>
      <c r="D4617" t="s">
        <v>6974</v>
      </c>
      <c r="E4617" t="s">
        <v>399</v>
      </c>
    </row>
    <row r="4618" spans="8:8">
      <c r="B4618" t="s">
        <v>6976</v>
      </c>
      <c r="C4618">
        <v>524038.0</v>
      </c>
      <c r="D4618" t="s">
        <v>339</v>
      </c>
      <c r="E4618" t="s">
        <v>387</v>
      </c>
    </row>
    <row r="4619" spans="8:8">
      <c r="B4619" t="s">
        <v>6977</v>
      </c>
      <c r="C4619">
        <v>512060.0</v>
      </c>
      <c r="D4619" t="s">
        <v>6978</v>
      </c>
      <c r="E4619" t="s">
        <v>760</v>
      </c>
    </row>
    <row r="4620" spans="8:8">
      <c r="B4620" t="s">
        <v>6979</v>
      </c>
      <c r="C4620">
        <v>516098.0</v>
      </c>
      <c r="D4620" t="s">
        <v>339</v>
      </c>
      <c r="E4620" t="s">
        <v>354</v>
      </c>
    </row>
    <row r="4621" spans="8:8">
      <c r="B4621" t="s">
        <v>6980</v>
      </c>
      <c r="C4621">
        <v>526953.0</v>
      </c>
      <c r="D4621" t="s">
        <v>6981</v>
      </c>
      <c r="E4621" t="s">
        <v>377</v>
      </c>
    </row>
    <row r="4622" spans="8:8">
      <c r="B4622" t="s">
        <v>6982</v>
      </c>
      <c r="C4622" t="s">
        <v>339</v>
      </c>
      <c r="D4622" t="s">
        <v>6983</v>
      </c>
      <c r="E4622" t="s">
        <v>350</v>
      </c>
    </row>
    <row r="4623" spans="8:8">
      <c r="B4623" t="s">
        <v>6984</v>
      </c>
      <c r="C4623">
        <v>512229.0</v>
      </c>
      <c r="D4623" t="s">
        <v>339</v>
      </c>
      <c r="E4623" t="s">
        <v>361</v>
      </c>
    </row>
    <row r="4624" spans="8:8">
      <c r="B4624" t="s">
        <v>6985</v>
      </c>
      <c r="C4624">
        <v>512229.0</v>
      </c>
      <c r="D4624" t="s">
        <v>339</v>
      </c>
      <c r="E4624" t="s">
        <v>361</v>
      </c>
    </row>
    <row r="4625" spans="8:8">
      <c r="B4625" t="s">
        <v>6986</v>
      </c>
      <c r="C4625">
        <v>531695.0</v>
      </c>
      <c r="D4625" t="s">
        <v>339</v>
      </c>
      <c r="E4625" t="s">
        <v>342</v>
      </c>
    </row>
    <row r="4626" spans="8:8">
      <c r="B4626" t="s">
        <v>6987</v>
      </c>
      <c r="C4626">
        <v>531950.0</v>
      </c>
      <c r="D4626" t="s">
        <v>339</v>
      </c>
      <c r="E4626" t="s">
        <v>322</v>
      </c>
    </row>
    <row r="4627" spans="8:8">
      <c r="B4627" t="s">
        <v>6988</v>
      </c>
      <c r="C4627">
        <v>515099.0</v>
      </c>
      <c r="D4627" t="s">
        <v>339</v>
      </c>
      <c r="E4627" t="s">
        <v>867</v>
      </c>
    </row>
    <row r="4628" spans="8:8">
      <c r="B4628" t="s">
        <v>6989</v>
      </c>
      <c r="C4628" t="s">
        <v>339</v>
      </c>
      <c r="D4628" t="s">
        <v>6990</v>
      </c>
      <c r="E4628" t="s">
        <v>350</v>
      </c>
    </row>
    <row r="4629" spans="8:8">
      <c r="B4629" t="s">
        <v>6991</v>
      </c>
      <c r="C4629">
        <v>520113.0</v>
      </c>
      <c r="D4629" t="s">
        <v>6992</v>
      </c>
      <c r="E4629" t="s">
        <v>524</v>
      </c>
    </row>
    <row r="4630" spans="8:8">
      <c r="B4630" t="s">
        <v>6993</v>
      </c>
      <c r="C4630">
        <v>520113.0</v>
      </c>
      <c r="D4630" t="s">
        <v>6992</v>
      </c>
      <c r="E4630" t="s">
        <v>524</v>
      </c>
    </row>
    <row r="4631" spans="8:8">
      <c r="B4631" t="s">
        <v>6994</v>
      </c>
      <c r="C4631">
        <v>539331.0</v>
      </c>
      <c r="D4631" t="s">
        <v>6995</v>
      </c>
      <c r="E4631" t="s">
        <v>637</v>
      </c>
    </row>
    <row r="4632" spans="8:8">
      <c r="B4632" t="s">
        <v>6996</v>
      </c>
      <c r="C4632">
        <v>532953.0</v>
      </c>
      <c r="D4632" t="s">
        <v>6997</v>
      </c>
      <c r="E4632" t="s">
        <v>637</v>
      </c>
    </row>
    <row r="4633" spans="8:8">
      <c r="B4633" t="s">
        <v>6998</v>
      </c>
      <c r="C4633">
        <v>537524.0</v>
      </c>
      <c r="D4633" t="s">
        <v>339</v>
      </c>
      <c r="E4633" t="s">
        <v>1384</v>
      </c>
    </row>
    <row r="4634" spans="8:8">
      <c r="B4634" t="s">
        <v>6999</v>
      </c>
      <c r="C4634">
        <v>538732.0</v>
      </c>
      <c r="D4634" t="s">
        <v>339</v>
      </c>
      <c r="E4634" t="s">
        <v>356</v>
      </c>
    </row>
    <row r="4635" spans="8:8">
      <c r="B4635" t="s">
        <v>7000</v>
      </c>
      <c r="C4635">
        <v>523796.0</v>
      </c>
      <c r="D4635" t="s">
        <v>7001</v>
      </c>
      <c r="E4635" t="s">
        <v>540</v>
      </c>
    </row>
    <row r="4636" spans="8:8">
      <c r="B4636" t="s">
        <v>7002</v>
      </c>
      <c r="C4636">
        <v>503349.0</v>
      </c>
      <c r="D4636" t="s">
        <v>339</v>
      </c>
      <c r="E4636" t="s">
        <v>354</v>
      </c>
    </row>
    <row r="4637" spans="8:8">
      <c r="B4637" t="s">
        <v>7003</v>
      </c>
      <c r="C4637">
        <v>531234.0</v>
      </c>
      <c r="D4637" t="s">
        <v>339</v>
      </c>
      <c r="E4637" t="s">
        <v>333</v>
      </c>
    </row>
    <row r="4638" spans="8:8">
      <c r="B4638" t="s">
        <v>7004</v>
      </c>
      <c r="C4638">
        <v>531234.0</v>
      </c>
      <c r="D4638" t="s">
        <v>339</v>
      </c>
      <c r="E4638" t="s">
        <v>333</v>
      </c>
    </row>
    <row r="4639" spans="8:8">
      <c r="B4639" t="s">
        <v>7005</v>
      </c>
      <c r="C4639">
        <v>511389.0</v>
      </c>
      <c r="D4639" t="s">
        <v>7006</v>
      </c>
      <c r="E4639" t="s">
        <v>708</v>
      </c>
    </row>
    <row r="4640" spans="8:8">
      <c r="B4640" t="s">
        <v>7007</v>
      </c>
      <c r="C4640">
        <v>531717.0</v>
      </c>
      <c r="D4640" t="s">
        <v>7008</v>
      </c>
      <c r="E4640" t="s">
        <v>499</v>
      </c>
    </row>
    <row r="4641" spans="8:8">
      <c r="B4641" t="s">
        <v>7009</v>
      </c>
      <c r="C4641">
        <v>539659.0</v>
      </c>
      <c r="D4641" t="s">
        <v>339</v>
      </c>
      <c r="E4641" t="s">
        <v>828</v>
      </c>
    </row>
    <row r="4642" spans="8:8">
      <c r="B4642" t="s">
        <v>7010</v>
      </c>
      <c r="C4642">
        <v>523724.0</v>
      </c>
      <c r="D4642" t="s">
        <v>7011</v>
      </c>
      <c r="E4642" t="s">
        <v>425</v>
      </c>
    </row>
    <row r="4643" spans="8:8">
      <c r="B4643" t="s">
        <v>7012</v>
      </c>
      <c r="C4643">
        <v>531069.0</v>
      </c>
      <c r="D4643" t="s">
        <v>339</v>
      </c>
      <c r="E4643" t="s">
        <v>588</v>
      </c>
    </row>
    <row r="4644" spans="8:8">
      <c r="B4644" t="s">
        <v>7013</v>
      </c>
      <c r="C4644">
        <v>530151.0</v>
      </c>
      <c r="D4644" t="s">
        <v>339</v>
      </c>
      <c r="E4644" t="s">
        <v>361</v>
      </c>
    </row>
    <row r="4645" spans="8:8">
      <c r="B4645" t="s">
        <v>7014</v>
      </c>
      <c r="C4645">
        <v>532401.0</v>
      </c>
      <c r="D4645" t="s">
        <v>7015</v>
      </c>
      <c r="E4645" t="s">
        <v>657</v>
      </c>
    </row>
    <row r="4646" spans="8:8">
      <c r="B4646" t="s">
        <v>7016</v>
      </c>
      <c r="C4646">
        <v>537820.0</v>
      </c>
      <c r="D4646" t="s">
        <v>7017</v>
      </c>
      <c r="E4646" t="s">
        <v>356</v>
      </c>
    </row>
    <row r="4647" spans="8:8">
      <c r="B4647" t="s">
        <v>7018</v>
      </c>
      <c r="C4647">
        <v>531334.0</v>
      </c>
      <c r="D4647" t="s">
        <v>339</v>
      </c>
      <c r="E4647" t="s">
        <v>760</v>
      </c>
    </row>
    <row r="4648" spans="8:8">
      <c r="B4648" t="s">
        <v>7019</v>
      </c>
      <c r="C4648">
        <v>530961.0</v>
      </c>
      <c r="D4648" t="s">
        <v>7020</v>
      </c>
      <c r="E4648" t="s">
        <v>499</v>
      </c>
    </row>
    <row r="4649" spans="8:8">
      <c r="B4649" t="s">
        <v>7021</v>
      </c>
      <c r="C4649">
        <v>542655.0</v>
      </c>
      <c r="D4649" t="s">
        <v>7022</v>
      </c>
      <c r="E4649" t="s">
        <v>705</v>
      </c>
    </row>
    <row r="4650" spans="8:8">
      <c r="B4650" t="s">
        <v>7023</v>
      </c>
      <c r="C4650">
        <v>531518.0</v>
      </c>
      <c r="D4650" t="s">
        <v>339</v>
      </c>
      <c r="E4650" t="s">
        <v>537</v>
      </c>
    </row>
    <row r="4651" spans="8:8">
      <c r="B4651" t="s">
        <v>7024</v>
      </c>
      <c r="C4651">
        <v>519307.0</v>
      </c>
      <c r="D4651" t="s">
        <v>339</v>
      </c>
      <c r="E4651" t="s">
        <v>499</v>
      </c>
    </row>
    <row r="4652" spans="8:8">
      <c r="B4652" t="s">
        <v>7025</v>
      </c>
      <c r="C4652">
        <v>530477.0</v>
      </c>
      <c r="D4652" t="s">
        <v>339</v>
      </c>
      <c r="E4652" t="s">
        <v>377</v>
      </c>
    </row>
    <row r="4653" spans="8:8">
      <c r="B4653" t="s">
        <v>7026</v>
      </c>
      <c r="C4653">
        <v>530477.0</v>
      </c>
      <c r="D4653" t="s">
        <v>339</v>
      </c>
      <c r="E4653" t="s">
        <v>377</v>
      </c>
    </row>
    <row r="4654" spans="8:8">
      <c r="B4654" t="s">
        <v>7027</v>
      </c>
      <c r="C4654">
        <v>506196.0</v>
      </c>
      <c r="D4654" t="s">
        <v>339</v>
      </c>
      <c r="E4654" t="s">
        <v>361</v>
      </c>
    </row>
    <row r="4655" spans="8:8">
      <c r="B4655" t="s">
        <v>7028</v>
      </c>
      <c r="C4655">
        <v>519373.0</v>
      </c>
      <c r="D4655" t="s">
        <v>7029</v>
      </c>
      <c r="E4655" t="s">
        <v>588</v>
      </c>
    </row>
    <row r="4656" spans="8:8">
      <c r="B4656" t="s">
        <v>7030</v>
      </c>
      <c r="C4656">
        <v>524394.0</v>
      </c>
      <c r="D4656" t="s">
        <v>7031</v>
      </c>
      <c r="E4656" t="s">
        <v>528</v>
      </c>
    </row>
    <row r="4657" spans="8:8">
      <c r="B4657" t="s">
        <v>7032</v>
      </c>
      <c r="C4657">
        <v>504380.0</v>
      </c>
      <c r="D4657" t="s">
        <v>339</v>
      </c>
      <c r="E4657" t="s">
        <v>361</v>
      </c>
    </row>
    <row r="4658" spans="8:8">
      <c r="B4658" t="s">
        <v>7033</v>
      </c>
      <c r="C4658">
        <v>524200.0</v>
      </c>
      <c r="D4658" t="s">
        <v>7034</v>
      </c>
      <c r="E4658" t="s">
        <v>387</v>
      </c>
    </row>
    <row r="4659" spans="8:8">
      <c r="B4659" t="s">
        <v>7035</v>
      </c>
      <c r="C4659">
        <v>534639.0</v>
      </c>
      <c r="D4659" t="s">
        <v>339</v>
      </c>
      <c r="E4659" t="s">
        <v>534</v>
      </c>
    </row>
    <row r="4660" spans="8:8">
      <c r="B4660" t="s">
        <v>7036</v>
      </c>
      <c r="C4660">
        <v>517015.0</v>
      </c>
      <c r="D4660" t="s">
        <v>7037</v>
      </c>
      <c r="E4660" t="s">
        <v>609</v>
      </c>
    </row>
    <row r="4661" spans="8:8">
      <c r="B4661" t="s">
        <v>7038</v>
      </c>
      <c r="C4661" t="s">
        <v>339</v>
      </c>
      <c r="D4661" t="s">
        <v>7039</v>
      </c>
      <c r="E4661" t="s">
        <v>350</v>
      </c>
    </row>
    <row r="4662" spans="8:8">
      <c r="B4662" t="s">
        <v>7040</v>
      </c>
      <c r="C4662">
        <v>531051.0</v>
      </c>
      <c r="D4662" t="s">
        <v>339</v>
      </c>
      <c r="E4662" t="s">
        <v>356</v>
      </c>
    </row>
    <row r="4663" spans="8:8">
      <c r="B4663" t="s">
        <v>7041</v>
      </c>
      <c r="C4663">
        <v>524129.0</v>
      </c>
      <c r="D4663" t="s">
        <v>7042</v>
      </c>
      <c r="E4663" t="s">
        <v>716</v>
      </c>
    </row>
    <row r="4664" spans="8:8">
      <c r="B4664" t="s">
        <v>7043</v>
      </c>
      <c r="C4664">
        <v>524129.0</v>
      </c>
      <c r="D4664" t="s">
        <v>7044</v>
      </c>
      <c r="E4664" t="s">
        <v>716</v>
      </c>
    </row>
    <row r="4665" spans="8:8">
      <c r="B4665" t="s">
        <v>7045</v>
      </c>
      <c r="C4665">
        <v>530401.0</v>
      </c>
      <c r="D4665" t="s">
        <v>339</v>
      </c>
      <c r="E4665" t="s">
        <v>387</v>
      </c>
    </row>
    <row r="4666" spans="8:8">
      <c r="B4666" t="s">
        <v>7046</v>
      </c>
      <c r="C4666">
        <v>532613.0</v>
      </c>
      <c r="D4666" t="s">
        <v>7047</v>
      </c>
      <c r="E4666" t="s">
        <v>361</v>
      </c>
    </row>
    <row r="4667" spans="8:8">
      <c r="B4667" t="s">
        <v>7048</v>
      </c>
      <c r="C4667">
        <v>507880.0</v>
      </c>
      <c r="D4667" t="s">
        <v>7049</v>
      </c>
      <c r="E4667" t="s">
        <v>453</v>
      </c>
    </row>
    <row r="4668" spans="8:8">
      <c r="B4668" t="s">
        <v>7050</v>
      </c>
      <c r="C4668">
        <v>514302.0</v>
      </c>
      <c r="D4668" t="s">
        <v>339</v>
      </c>
      <c r="E4668" t="s">
        <v>354</v>
      </c>
    </row>
    <row r="4669" spans="8:8">
      <c r="B4669" t="s">
        <v>7051</v>
      </c>
      <c r="C4669">
        <v>511726.0</v>
      </c>
      <c r="D4669" t="s">
        <v>7052</v>
      </c>
      <c r="E4669" t="s">
        <v>425</v>
      </c>
    </row>
    <row r="4670" spans="8:8">
      <c r="B4670" t="s">
        <v>7053</v>
      </c>
      <c r="C4670">
        <v>530627.0</v>
      </c>
      <c r="D4670" t="s">
        <v>339</v>
      </c>
      <c r="E4670" t="s">
        <v>499</v>
      </c>
    </row>
    <row r="4671" spans="8:8">
      <c r="B4671" t="s">
        <v>7054</v>
      </c>
      <c r="C4671">
        <v>519457.0</v>
      </c>
      <c r="D4671" t="s">
        <v>339</v>
      </c>
      <c r="E4671" t="s">
        <v>399</v>
      </c>
    </row>
    <row r="4672" spans="8:8">
      <c r="B4672" t="s">
        <v>7055</v>
      </c>
      <c r="C4672">
        <v>530521.0</v>
      </c>
      <c r="D4672" t="s">
        <v>339</v>
      </c>
      <c r="E4672" t="s">
        <v>453</v>
      </c>
    </row>
    <row r="4673" spans="8:8">
      <c r="B4673" t="s">
        <v>7056</v>
      </c>
      <c r="C4673">
        <v>539167.0</v>
      </c>
      <c r="D4673" t="s">
        <v>339</v>
      </c>
      <c r="E4673" t="s">
        <v>356</v>
      </c>
    </row>
    <row r="4674" spans="8:8">
      <c r="B4674" t="s">
        <v>7057</v>
      </c>
      <c r="C4674">
        <v>532354.0</v>
      </c>
      <c r="D4674" t="s">
        <v>339</v>
      </c>
      <c r="E4674" t="s">
        <v>432</v>
      </c>
    </row>
    <row r="4675" spans="8:8">
      <c r="B4675" t="s">
        <v>7058</v>
      </c>
      <c r="C4675">
        <v>532372.0</v>
      </c>
      <c r="D4675" t="s">
        <v>339</v>
      </c>
      <c r="E4675" t="s">
        <v>432</v>
      </c>
    </row>
    <row r="4676" spans="8:8">
      <c r="B4676" t="s">
        <v>7059</v>
      </c>
      <c r="C4676">
        <v>534741.0</v>
      </c>
      <c r="D4676" t="s">
        <v>339</v>
      </c>
      <c r="E4676" t="s">
        <v>444</v>
      </c>
    </row>
    <row r="4677" spans="8:8">
      <c r="B4677" t="s">
        <v>7060</v>
      </c>
      <c r="C4677">
        <v>531126.0</v>
      </c>
      <c r="D4677" t="s">
        <v>339</v>
      </c>
      <c r="E4677" t="s">
        <v>432</v>
      </c>
    </row>
    <row r="4678" spans="8:8">
      <c r="B4678" t="s">
        <v>7061</v>
      </c>
      <c r="C4678">
        <v>532721.0</v>
      </c>
      <c r="D4678" t="s">
        <v>7062</v>
      </c>
      <c r="E4678" t="s">
        <v>371</v>
      </c>
    </row>
    <row r="4679" spans="8:8">
      <c r="B4679" t="s">
        <v>7063</v>
      </c>
      <c r="C4679">
        <v>531025.0</v>
      </c>
      <c r="D4679" t="s">
        <v>339</v>
      </c>
      <c r="E4679" t="s">
        <v>322</v>
      </c>
    </row>
    <row r="4680" spans="8:8">
      <c r="B4680" t="s">
        <v>7064</v>
      </c>
      <c r="C4680">
        <v>506146.0</v>
      </c>
      <c r="D4680" t="s">
        <v>7065</v>
      </c>
      <c r="E4680" t="s">
        <v>354</v>
      </c>
    </row>
    <row r="4681" spans="8:8">
      <c r="B4681" t="s">
        <v>7066</v>
      </c>
      <c r="C4681">
        <v>509055.0</v>
      </c>
      <c r="D4681" t="s">
        <v>7067</v>
      </c>
      <c r="E4681" t="s">
        <v>352</v>
      </c>
    </row>
    <row r="4682" spans="8:8">
      <c r="B4682" t="s">
        <v>7068</v>
      </c>
      <c r="C4682">
        <v>540097.0</v>
      </c>
      <c r="D4682" t="s">
        <v>339</v>
      </c>
      <c r="E4682" t="s">
        <v>322</v>
      </c>
    </row>
    <row r="4683" spans="8:8">
      <c r="B4683" t="s">
        <v>7069</v>
      </c>
      <c r="C4683">
        <v>532411.0</v>
      </c>
      <c r="D4683" t="s">
        <v>7070</v>
      </c>
      <c r="E4683" t="s">
        <v>432</v>
      </c>
    </row>
    <row r="4684" spans="8:8">
      <c r="B4684" t="s">
        <v>7071</v>
      </c>
      <c r="C4684">
        <v>539398.0</v>
      </c>
      <c r="D4684" t="s">
        <v>339</v>
      </c>
      <c r="E4684" t="s">
        <v>347</v>
      </c>
    </row>
    <row r="4685" spans="8:8">
      <c r="B4685" t="s">
        <v>7072</v>
      </c>
      <c r="C4685">
        <v>538598.0</v>
      </c>
      <c r="D4685" t="s">
        <v>339</v>
      </c>
      <c r="E4685" t="s">
        <v>354</v>
      </c>
    </row>
    <row r="4686" spans="8:8">
      <c r="B4686" t="s">
        <v>7073</v>
      </c>
      <c r="C4686">
        <v>516072.0</v>
      </c>
      <c r="D4686" t="s">
        <v>7074</v>
      </c>
      <c r="E4686" t="s">
        <v>387</v>
      </c>
    </row>
    <row r="4687" spans="8:8">
      <c r="B4687" t="s">
        <v>7075</v>
      </c>
      <c r="C4687">
        <v>512064.0</v>
      </c>
      <c r="D4687" t="s">
        <v>7076</v>
      </c>
      <c r="E4687" t="s">
        <v>760</v>
      </c>
    </row>
    <row r="4688" spans="8:8">
      <c r="B4688" t="s">
        <v>7077</v>
      </c>
      <c r="C4688">
        <v>526441.0</v>
      </c>
      <c r="D4688" t="s">
        <v>339</v>
      </c>
      <c r="E4688" t="s">
        <v>1941</v>
      </c>
    </row>
    <row r="4689" spans="8:8">
      <c r="B4689" t="s">
        <v>7078</v>
      </c>
      <c r="C4689">
        <v>531668.0</v>
      </c>
      <c r="D4689" t="s">
        <v>339</v>
      </c>
      <c r="E4689" t="s">
        <v>342</v>
      </c>
    </row>
    <row r="4690" spans="8:8">
      <c r="B4690" t="s">
        <v>7079</v>
      </c>
      <c r="C4690">
        <v>524711.0</v>
      </c>
      <c r="D4690" t="s">
        <v>339</v>
      </c>
      <c r="E4690" t="s">
        <v>377</v>
      </c>
    </row>
    <row r="4691" spans="8:8">
      <c r="B4691" t="s">
        <v>7080</v>
      </c>
      <c r="C4691">
        <v>538565.0</v>
      </c>
      <c r="D4691" t="s">
        <v>339</v>
      </c>
      <c r="E4691" t="s">
        <v>356</v>
      </c>
    </row>
    <row r="4692" spans="8:8">
      <c r="B4692" t="s">
        <v>7081</v>
      </c>
      <c r="C4692">
        <v>540823.0</v>
      </c>
      <c r="D4692" t="s">
        <v>339</v>
      </c>
      <c r="E4692" t="s">
        <v>361</v>
      </c>
    </row>
    <row r="4693" spans="8:8">
      <c r="B4693" t="s">
        <v>7082</v>
      </c>
      <c r="C4693">
        <v>541735.0</v>
      </c>
      <c r="D4693" t="s">
        <v>339</v>
      </c>
      <c r="E4693" t="s">
        <v>737</v>
      </c>
    </row>
    <row r="4694" spans="8:8">
      <c r="B4694" t="s">
        <v>7083</v>
      </c>
      <c r="C4694">
        <v>530057.0</v>
      </c>
      <c r="D4694" t="s">
        <v>339</v>
      </c>
      <c r="E4694" t="s">
        <v>377</v>
      </c>
    </row>
    <row r="4695" spans="8:8">
      <c r="B4695" t="s">
        <v>7084</v>
      </c>
      <c r="C4695">
        <v>524576.0</v>
      </c>
      <c r="D4695" t="s">
        <v>339</v>
      </c>
      <c r="E4695" t="s">
        <v>387</v>
      </c>
    </row>
    <row r="4696" spans="8:8">
      <c r="B4696" t="s">
        <v>7085</v>
      </c>
      <c r="C4696">
        <v>532660.0</v>
      </c>
      <c r="D4696" t="s">
        <v>7086</v>
      </c>
      <c r="E4696" t="s">
        <v>377</v>
      </c>
    </row>
    <row r="4697" spans="8:8">
      <c r="B4697" t="s">
        <v>7087</v>
      </c>
      <c r="C4697">
        <v>511509.0</v>
      </c>
      <c r="D4697" t="s">
        <v>339</v>
      </c>
      <c r="E4697" t="s">
        <v>677</v>
      </c>
    </row>
    <row r="4698" spans="8:8">
      <c r="B4698" t="s">
        <v>7088</v>
      </c>
      <c r="C4698">
        <v>509026.0</v>
      </c>
      <c r="D4698" t="s">
        <v>339</v>
      </c>
      <c r="E4698" t="s">
        <v>444</v>
      </c>
    </row>
    <row r="4699" spans="8:8">
      <c r="B4699" t="s">
        <v>7089</v>
      </c>
      <c r="C4699">
        <v>536128.0</v>
      </c>
      <c r="D4699" t="s">
        <v>339</v>
      </c>
      <c r="E4699" t="s">
        <v>737</v>
      </c>
    </row>
    <row r="4700" spans="8:8">
      <c r="B4700" t="s">
        <v>7090</v>
      </c>
      <c r="C4700">
        <v>511333.0</v>
      </c>
      <c r="D4700" t="s">
        <v>7091</v>
      </c>
      <c r="E4700" t="s">
        <v>322</v>
      </c>
    </row>
    <row r="4701" spans="8:8">
      <c r="B4701" t="s">
        <v>7092</v>
      </c>
      <c r="C4701">
        <v>534976.0</v>
      </c>
      <c r="D4701" t="s">
        <v>7093</v>
      </c>
      <c r="E4701" t="s">
        <v>508</v>
      </c>
    </row>
    <row r="4702" spans="8:8">
      <c r="B4702" t="s">
        <v>7094</v>
      </c>
      <c r="C4702">
        <v>533427.0</v>
      </c>
      <c r="D4702" t="s">
        <v>339</v>
      </c>
      <c r="E4702" t="s">
        <v>475</v>
      </c>
    </row>
    <row r="4703" spans="8:8">
      <c r="B4703" t="s">
        <v>7095</v>
      </c>
      <c r="C4703">
        <v>539222.0</v>
      </c>
      <c r="D4703" t="s">
        <v>339</v>
      </c>
      <c r="E4703" t="s">
        <v>1341</v>
      </c>
    </row>
    <row r="4704" spans="8:8">
      <c r="B4704" t="s">
        <v>7096</v>
      </c>
      <c r="C4704">
        <v>532822.0</v>
      </c>
      <c r="D4704" t="s">
        <v>7097</v>
      </c>
      <c r="E4704" t="s">
        <v>1282</v>
      </c>
    </row>
    <row r="4705" spans="8:8">
      <c r="B4705" t="s">
        <v>7098</v>
      </c>
      <c r="C4705">
        <v>522122.0</v>
      </c>
      <c r="D4705" t="s">
        <v>339</v>
      </c>
      <c r="E4705" t="s">
        <v>354</v>
      </c>
    </row>
    <row r="4706" spans="8:8">
      <c r="B4706" t="s">
        <v>7099</v>
      </c>
      <c r="C4706">
        <v>522122.0</v>
      </c>
      <c r="D4706" t="s">
        <v>339</v>
      </c>
      <c r="E4706" t="s">
        <v>354</v>
      </c>
    </row>
    <row r="4707" spans="8:8">
      <c r="B4707" t="s">
        <v>7100</v>
      </c>
      <c r="C4707">
        <v>509038.0</v>
      </c>
      <c r="D4707" t="s">
        <v>339</v>
      </c>
      <c r="E4707" t="s">
        <v>356</v>
      </c>
    </row>
    <row r="4708" spans="8:8">
      <c r="B4708" t="s">
        <v>7101</v>
      </c>
      <c r="C4708">
        <v>532757.0</v>
      </c>
      <c r="D4708" t="s">
        <v>7102</v>
      </c>
      <c r="E4708" t="s">
        <v>382</v>
      </c>
    </row>
    <row r="4709" spans="8:8">
      <c r="B4709" t="s">
        <v>7103</v>
      </c>
      <c r="C4709">
        <v>500575.0</v>
      </c>
      <c r="D4709" t="s">
        <v>7104</v>
      </c>
      <c r="E4709" t="s">
        <v>708</v>
      </c>
    </row>
    <row r="4710" spans="8:8">
      <c r="B4710" t="s">
        <v>7105</v>
      </c>
      <c r="C4710">
        <v>512215.0</v>
      </c>
      <c r="D4710" t="s">
        <v>339</v>
      </c>
      <c r="E4710" t="s">
        <v>322</v>
      </c>
    </row>
    <row r="4711" spans="8:8">
      <c r="B4711" t="s">
        <v>7106</v>
      </c>
      <c r="C4711">
        <v>539118.0</v>
      </c>
      <c r="D4711" t="s">
        <v>7107</v>
      </c>
      <c r="E4711" t="s">
        <v>660</v>
      </c>
    </row>
    <row r="4712" spans="8:8">
      <c r="B4712" t="s">
        <v>7108</v>
      </c>
      <c r="C4712">
        <v>519331.0</v>
      </c>
      <c r="D4712" t="s">
        <v>339</v>
      </c>
      <c r="E4712" t="s">
        <v>737</v>
      </c>
    </row>
    <row r="4713" spans="8:8">
      <c r="B4713" t="s">
        <v>7109</v>
      </c>
      <c r="C4713">
        <v>509966.0</v>
      </c>
      <c r="D4713" t="s">
        <v>7110</v>
      </c>
      <c r="E4713" t="s">
        <v>2509</v>
      </c>
    </row>
    <row r="4714" spans="8:8">
      <c r="B4714" t="s">
        <v>7111</v>
      </c>
      <c r="C4714">
        <v>532893.0</v>
      </c>
      <c r="D4714" t="s">
        <v>339</v>
      </c>
      <c r="E4714" t="s">
        <v>354</v>
      </c>
    </row>
    <row r="4715" spans="8:8">
      <c r="B4715" t="s">
        <v>7112</v>
      </c>
      <c r="C4715">
        <v>517399.0</v>
      </c>
      <c r="D4715" t="s">
        <v>7113</v>
      </c>
      <c r="E4715" t="s">
        <v>708</v>
      </c>
    </row>
    <row r="4716" spans="8:8">
      <c r="B4716" t="s">
        <v>7114</v>
      </c>
      <c r="C4716">
        <v>506142.0</v>
      </c>
      <c r="D4716" t="s">
        <v>339</v>
      </c>
      <c r="E4716" t="s">
        <v>322</v>
      </c>
    </row>
    <row r="4717" spans="8:8">
      <c r="B4717" t="s">
        <v>7115</v>
      </c>
      <c r="C4717">
        <v>501391.0</v>
      </c>
      <c r="D4717" t="s">
        <v>339</v>
      </c>
      <c r="E4717" t="s">
        <v>361</v>
      </c>
    </row>
    <row r="4718" spans="8:8">
      <c r="B4718" t="s">
        <v>7116</v>
      </c>
      <c r="C4718">
        <v>504220.0</v>
      </c>
      <c r="D4718" t="s">
        <v>339</v>
      </c>
      <c r="E4718" t="s">
        <v>347</v>
      </c>
    </row>
    <row r="4719" spans="8:8">
      <c r="B4719" t="s">
        <v>7117</v>
      </c>
      <c r="C4719" t="s">
        <v>339</v>
      </c>
      <c r="D4719" t="s">
        <v>7118</v>
      </c>
      <c r="E4719" t="s">
        <v>430</v>
      </c>
    </row>
    <row r="4720" spans="8:8">
      <c r="B4720" t="s">
        <v>7119</v>
      </c>
      <c r="C4720">
        <v>504220.0</v>
      </c>
      <c r="D4720" t="s">
        <v>339</v>
      </c>
      <c r="E4720" t="s">
        <v>347</v>
      </c>
    </row>
    <row r="4721" spans="8:8">
      <c r="B4721" t="s">
        <v>7120</v>
      </c>
      <c r="C4721">
        <v>505583.0</v>
      </c>
      <c r="D4721" t="s">
        <v>339</v>
      </c>
      <c r="E4721" t="s">
        <v>425</v>
      </c>
    </row>
    <row r="4722" spans="8:8">
      <c r="B4722" t="s">
        <v>7121</v>
      </c>
      <c r="C4722">
        <v>541445.0</v>
      </c>
      <c r="D4722" t="s">
        <v>339</v>
      </c>
      <c r="E4722" t="s">
        <v>637</v>
      </c>
    </row>
    <row r="4723" spans="8:8">
      <c r="B4723" t="s">
        <v>7122</v>
      </c>
      <c r="C4723">
        <v>533023.0</v>
      </c>
      <c r="D4723" t="s">
        <v>7123</v>
      </c>
      <c r="E4723" t="s">
        <v>694</v>
      </c>
    </row>
    <row r="4724" spans="8:8">
      <c r="B4724" t="s">
        <v>7124</v>
      </c>
      <c r="C4724">
        <v>533023.0</v>
      </c>
      <c r="D4724" t="s">
        <v>7125</v>
      </c>
      <c r="E4724" t="s">
        <v>694</v>
      </c>
    </row>
    <row r="4725" spans="8:8">
      <c r="B4725" t="s">
        <v>7126</v>
      </c>
      <c r="C4725">
        <v>503675.0</v>
      </c>
      <c r="D4725" t="s">
        <v>339</v>
      </c>
      <c r="E4725" t="s">
        <v>760</v>
      </c>
    </row>
    <row r="4726" spans="8:8">
      <c r="B4726" t="s">
        <v>7127</v>
      </c>
      <c r="C4726">
        <v>501370.0</v>
      </c>
      <c r="D4726" t="s">
        <v>339</v>
      </c>
      <c r="E4726" t="s">
        <v>423</v>
      </c>
    </row>
    <row r="4727" spans="8:8">
      <c r="B4727" t="s">
        <v>7128</v>
      </c>
      <c r="C4727">
        <v>507410.0</v>
      </c>
      <c r="D4727" t="s">
        <v>7129</v>
      </c>
      <c r="E4727" t="s">
        <v>328</v>
      </c>
    </row>
    <row r="4728" spans="8:8">
      <c r="B4728" t="s">
        <v>7130</v>
      </c>
      <c r="C4728">
        <v>511147.0</v>
      </c>
      <c r="D4728" t="s">
        <v>339</v>
      </c>
      <c r="E4728" t="s">
        <v>356</v>
      </c>
    </row>
    <row r="4729" spans="8:8">
      <c r="B4729" t="s">
        <v>7131</v>
      </c>
      <c r="C4729">
        <v>532053.0</v>
      </c>
      <c r="D4729" t="s">
        <v>339</v>
      </c>
      <c r="E4729" t="s">
        <v>322</v>
      </c>
    </row>
    <row r="4730" spans="8:8">
      <c r="B4730" t="s">
        <v>7132</v>
      </c>
      <c r="C4730">
        <v>524212.0</v>
      </c>
      <c r="D4730" t="s">
        <v>7133</v>
      </c>
      <c r="E4730" t="s">
        <v>377</v>
      </c>
    </row>
    <row r="4731" spans="8:8">
      <c r="B4731" t="s">
        <v>7134</v>
      </c>
      <c r="C4731">
        <v>511690.0</v>
      </c>
      <c r="D4731" t="s">
        <v>339</v>
      </c>
      <c r="E4731" t="s">
        <v>356</v>
      </c>
    </row>
    <row r="4732" spans="8:8">
      <c r="B4732" t="s">
        <v>7135</v>
      </c>
      <c r="C4732">
        <v>508494.0</v>
      </c>
      <c r="D4732" t="s">
        <v>339</v>
      </c>
      <c r="E4732" t="s">
        <v>746</v>
      </c>
    </row>
    <row r="4733" spans="8:8">
      <c r="B4733" t="s">
        <v>7136</v>
      </c>
      <c r="C4733">
        <v>523660.0</v>
      </c>
      <c r="D4733" t="s">
        <v>339</v>
      </c>
      <c r="E4733" t="s">
        <v>419</v>
      </c>
    </row>
    <row r="4734" spans="8:8">
      <c r="B4734" t="s">
        <v>7137</v>
      </c>
      <c r="C4734" t="s">
        <v>339</v>
      </c>
      <c r="D4734" t="s">
        <v>7138</v>
      </c>
      <c r="E4734" t="s">
        <v>350</v>
      </c>
    </row>
    <row r="4735" spans="8:8">
      <c r="B4735" t="s">
        <v>7139</v>
      </c>
      <c r="C4735">
        <v>780016.0</v>
      </c>
      <c r="D4735" t="s">
        <v>339</v>
      </c>
      <c r="E4735" t="s">
        <v>430</v>
      </c>
    </row>
    <row r="4736" spans="8:8">
      <c r="B4736" t="s">
        <v>7140</v>
      </c>
      <c r="C4736">
        <v>517498.0</v>
      </c>
      <c r="D4736" t="s">
        <v>7141</v>
      </c>
      <c r="E4736" t="s">
        <v>637</v>
      </c>
    </row>
    <row r="4737" spans="8:8">
      <c r="B4737" t="s">
        <v>7142</v>
      </c>
      <c r="C4737">
        <v>511074.0</v>
      </c>
      <c r="D4737" t="s">
        <v>339</v>
      </c>
      <c r="E4737" t="s">
        <v>356</v>
      </c>
    </row>
    <row r="4738" spans="8:8">
      <c r="B4738" t="s">
        <v>7143</v>
      </c>
      <c r="C4738">
        <v>533452.0</v>
      </c>
      <c r="D4738" t="s">
        <v>7144</v>
      </c>
      <c r="E4738" t="s">
        <v>322</v>
      </c>
    </row>
    <row r="4739" spans="8:8">
      <c r="B4739" t="s">
        <v>7145</v>
      </c>
      <c r="C4739">
        <v>523011.0</v>
      </c>
      <c r="D4739" t="s">
        <v>7146</v>
      </c>
      <c r="E4739" t="s">
        <v>361</v>
      </c>
    </row>
    <row r="4740" spans="8:8">
      <c r="B4740" t="s">
        <v>7147</v>
      </c>
      <c r="C4740">
        <v>504988.0</v>
      </c>
      <c r="D4740" t="s">
        <v>339</v>
      </c>
      <c r="E4740" t="s">
        <v>1258</v>
      </c>
    </row>
    <row r="4741" spans="8:8">
      <c r="B4741" t="s">
        <v>7148</v>
      </c>
      <c r="C4741">
        <v>524661.0</v>
      </c>
      <c r="D4741" t="s">
        <v>339</v>
      </c>
      <c r="E4741" t="s">
        <v>377</v>
      </c>
    </row>
    <row r="4742" spans="8:8">
      <c r="B4742" t="s">
        <v>7149</v>
      </c>
      <c r="C4742">
        <v>532016.0</v>
      </c>
      <c r="D4742" t="s">
        <v>339</v>
      </c>
      <c r="E4742" t="s">
        <v>425</v>
      </c>
    </row>
    <row r="4743" spans="8:8">
      <c r="B4743" t="s">
        <v>7150</v>
      </c>
      <c r="C4743">
        <v>531211.0</v>
      </c>
      <c r="D4743" t="s">
        <v>339</v>
      </c>
      <c r="E4743" t="s">
        <v>322</v>
      </c>
    </row>
    <row r="4744" spans="8:8">
      <c r="B4744" t="s">
        <v>7151</v>
      </c>
      <c r="C4744">
        <v>514162.0</v>
      </c>
      <c r="D4744" t="s">
        <v>7152</v>
      </c>
      <c r="E4744" t="s">
        <v>354</v>
      </c>
    </row>
    <row r="4745" spans="8:8">
      <c r="B4745" t="s">
        <v>7153</v>
      </c>
      <c r="C4745">
        <v>532144.0</v>
      </c>
      <c r="D4745" t="s">
        <v>7154</v>
      </c>
      <c r="E4745" t="s">
        <v>737</v>
      </c>
    </row>
    <row r="4746" spans="8:8">
      <c r="B4746" t="s">
        <v>7155</v>
      </c>
      <c r="C4746">
        <v>532553.0</v>
      </c>
      <c r="D4746" t="s">
        <v>7156</v>
      </c>
      <c r="E4746" t="s">
        <v>737</v>
      </c>
    </row>
    <row r="4747" spans="8:8">
      <c r="B4747" t="s">
        <v>7157</v>
      </c>
      <c r="C4747">
        <v>514162.0</v>
      </c>
      <c r="D4747" t="s">
        <v>7152</v>
      </c>
      <c r="E4747" t="s">
        <v>354</v>
      </c>
    </row>
    <row r="4748" spans="8:8">
      <c r="B4748" t="s">
        <v>7158</v>
      </c>
      <c r="C4748">
        <v>533252.0</v>
      </c>
      <c r="D4748" t="s">
        <v>7159</v>
      </c>
      <c r="E4748" t="s">
        <v>322</v>
      </c>
    </row>
    <row r="4749" spans="8:8">
      <c r="B4749" t="s">
        <v>7160</v>
      </c>
      <c r="C4749">
        <v>526431.0</v>
      </c>
      <c r="D4749" t="s">
        <v>339</v>
      </c>
      <c r="E4749" t="s">
        <v>765</v>
      </c>
    </row>
    <row r="4750" spans="8:8">
      <c r="B4750" t="s">
        <v>7161</v>
      </c>
      <c r="C4750">
        <v>505412.0</v>
      </c>
      <c r="D4750" t="s">
        <v>7162</v>
      </c>
      <c r="E4750" t="s">
        <v>347</v>
      </c>
    </row>
    <row r="4751" spans="8:8">
      <c r="B4751" t="s">
        <v>7163</v>
      </c>
      <c r="C4751">
        <v>505412.0</v>
      </c>
      <c r="D4751" t="s">
        <v>7162</v>
      </c>
      <c r="E4751" t="s">
        <v>347</v>
      </c>
    </row>
    <row r="4752" spans="8:8">
      <c r="B4752" t="s">
        <v>7164</v>
      </c>
      <c r="C4752">
        <v>532373.0</v>
      </c>
      <c r="D4752" t="s">
        <v>339</v>
      </c>
      <c r="E4752" t="s">
        <v>361</v>
      </c>
    </row>
    <row r="4753" spans="8:8">
      <c r="B4753" t="s">
        <v>7165</v>
      </c>
      <c r="C4753">
        <v>500444.0</v>
      </c>
      <c r="D4753" t="s">
        <v>7166</v>
      </c>
      <c r="E4753" t="s">
        <v>333</v>
      </c>
    </row>
    <row r="4754" spans="8:8">
      <c r="B4754" t="s">
        <v>7167</v>
      </c>
      <c r="C4754">
        <v>538382.0</v>
      </c>
      <c r="D4754" t="s">
        <v>339</v>
      </c>
      <c r="E4754" t="s">
        <v>361</v>
      </c>
    </row>
    <row r="4755" spans="8:8">
      <c r="B4755" t="s">
        <v>7168</v>
      </c>
      <c r="C4755">
        <v>504998.0</v>
      </c>
      <c r="D4755" t="s">
        <v>339</v>
      </c>
      <c r="E4755" t="s">
        <v>371</v>
      </c>
    </row>
    <row r="4756" spans="8:8">
      <c r="B4756" t="s">
        <v>7169</v>
      </c>
      <c r="C4756">
        <v>505533.0</v>
      </c>
      <c r="D4756" t="s">
        <v>339</v>
      </c>
      <c r="E4756" t="s">
        <v>828</v>
      </c>
    </row>
    <row r="4757" spans="8:8">
      <c r="B4757" t="s">
        <v>7170</v>
      </c>
      <c r="C4757">
        <v>590073.0</v>
      </c>
      <c r="D4757" t="s">
        <v>7171</v>
      </c>
      <c r="E4757" t="s">
        <v>694</v>
      </c>
    </row>
    <row r="4758" spans="8:8">
      <c r="B4758" t="s">
        <v>7172</v>
      </c>
      <c r="C4758">
        <v>590073.0</v>
      </c>
      <c r="D4758" t="s">
        <v>7171</v>
      </c>
      <c r="E4758" t="s">
        <v>694</v>
      </c>
    </row>
    <row r="4759" spans="8:8">
      <c r="B4759" t="s">
        <v>7173</v>
      </c>
      <c r="C4759">
        <v>500238.0</v>
      </c>
      <c r="D4759" t="s">
        <v>7174</v>
      </c>
      <c r="E4759" t="s">
        <v>708</v>
      </c>
    </row>
    <row r="4760" spans="8:8">
      <c r="B4760" t="s">
        <v>7175</v>
      </c>
      <c r="C4760">
        <v>500238.0</v>
      </c>
      <c r="D4760" t="s">
        <v>7174</v>
      </c>
      <c r="E4760" t="s">
        <v>708</v>
      </c>
    </row>
    <row r="4761" spans="8:8">
      <c r="B4761" t="s">
        <v>7176</v>
      </c>
      <c r="C4761">
        <v>513713.0</v>
      </c>
      <c r="D4761" t="s">
        <v>339</v>
      </c>
      <c r="E4761" t="s">
        <v>453</v>
      </c>
    </row>
    <row r="4762" spans="8:8">
      <c r="B4762" t="s">
        <v>7177</v>
      </c>
      <c r="C4762">
        <v>542667.0</v>
      </c>
      <c r="D4762" t="s">
        <v>7178</v>
      </c>
      <c r="E4762" t="s">
        <v>705</v>
      </c>
    </row>
    <row r="4763" spans="8:8">
      <c r="B4763" t="s">
        <v>7179</v>
      </c>
      <c r="C4763">
        <v>519214.0</v>
      </c>
      <c r="D4763" t="s">
        <v>339</v>
      </c>
      <c r="E4763" t="s">
        <v>356</v>
      </c>
    </row>
    <row r="4764" spans="8:8">
      <c r="B4764" t="s">
        <v>7180</v>
      </c>
      <c r="C4764">
        <v>519224.0</v>
      </c>
      <c r="D4764" t="s">
        <v>7181</v>
      </c>
      <c r="E4764" t="s">
        <v>361</v>
      </c>
    </row>
    <row r="4765" spans="8:8">
      <c r="B4765" t="s">
        <v>7182</v>
      </c>
      <c r="C4765">
        <v>526586.0</v>
      </c>
      <c r="D4765" t="s">
        <v>339</v>
      </c>
      <c r="E4765" t="s">
        <v>459</v>
      </c>
    </row>
    <row r="4766" spans="8:8">
      <c r="B4766" t="s">
        <v>7183</v>
      </c>
      <c r="C4766">
        <v>522029.0</v>
      </c>
      <c r="D4766" t="s">
        <v>7184</v>
      </c>
      <c r="E4766" t="s">
        <v>347</v>
      </c>
    </row>
    <row r="4767" spans="8:8">
      <c r="B4767" t="s">
        <v>7185</v>
      </c>
      <c r="C4767">
        <v>512022.0</v>
      </c>
      <c r="D4767" t="s">
        <v>339</v>
      </c>
      <c r="E4767" t="s">
        <v>322</v>
      </c>
    </row>
    <row r="4768" spans="8:8">
      <c r="B4768" t="s">
        <v>7186</v>
      </c>
      <c r="C4768">
        <v>512022.0</v>
      </c>
      <c r="D4768" t="s">
        <v>339</v>
      </c>
      <c r="E4768" t="s">
        <v>322</v>
      </c>
    </row>
    <row r="4769" spans="8:8">
      <c r="B4769" t="s">
        <v>7187</v>
      </c>
      <c r="C4769">
        <v>526471.0</v>
      </c>
      <c r="D4769" t="s">
        <v>339</v>
      </c>
      <c r="E4769" t="s">
        <v>970</v>
      </c>
    </row>
    <row r="4770" spans="8:8">
      <c r="B4770" t="s">
        <v>7188</v>
      </c>
      <c r="C4770">
        <v>514470.0</v>
      </c>
      <c r="D4770" t="s">
        <v>339</v>
      </c>
      <c r="E4770" t="s">
        <v>354</v>
      </c>
    </row>
    <row r="4771" spans="8:8">
      <c r="B4771" t="s">
        <v>7189</v>
      </c>
      <c r="C4771">
        <v>514348.0</v>
      </c>
      <c r="D4771" t="s">
        <v>7190</v>
      </c>
      <c r="E4771" t="s">
        <v>354</v>
      </c>
    </row>
    <row r="4772" spans="8:8">
      <c r="B4772" t="s">
        <v>7191</v>
      </c>
      <c r="C4772">
        <v>524758.0</v>
      </c>
      <c r="D4772" t="s">
        <v>339</v>
      </c>
      <c r="E4772" t="s">
        <v>377</v>
      </c>
    </row>
    <row r="4773" spans="8:8">
      <c r="B4773" t="s">
        <v>7192</v>
      </c>
      <c r="C4773">
        <v>538873.0</v>
      </c>
      <c r="D4773" t="s">
        <v>339</v>
      </c>
      <c r="E4773" t="s">
        <v>356</v>
      </c>
    </row>
    <row r="4774" spans="8:8">
      <c r="B4774" t="s">
        <v>7193</v>
      </c>
      <c r="C4774">
        <v>507685.0</v>
      </c>
      <c r="D4774" t="s">
        <v>7194</v>
      </c>
      <c r="E4774" t="s">
        <v>325</v>
      </c>
    </row>
    <row r="4775" spans="8:8">
      <c r="B4775" t="s">
        <v>7195</v>
      </c>
      <c r="C4775">
        <v>507817.0</v>
      </c>
      <c r="D4775" t="s">
        <v>339</v>
      </c>
      <c r="E4775" t="s">
        <v>354</v>
      </c>
    </row>
    <row r="4776" spans="8:8">
      <c r="B4776" t="s">
        <v>7196</v>
      </c>
      <c r="C4776">
        <v>511642.0</v>
      </c>
      <c r="D4776" t="s">
        <v>339</v>
      </c>
      <c r="E4776" t="s">
        <v>356</v>
      </c>
    </row>
    <row r="4777" spans="8:8">
      <c r="B4777" t="s">
        <v>7197</v>
      </c>
      <c r="C4777">
        <v>532300.0</v>
      </c>
      <c r="D4777" t="s">
        <v>7198</v>
      </c>
      <c r="E4777" t="s">
        <v>377</v>
      </c>
    </row>
    <row r="4778" spans="8:8">
      <c r="B4778" t="s">
        <v>7199</v>
      </c>
      <c r="C4778">
        <v>531396.0</v>
      </c>
      <c r="D4778" t="s">
        <v>339</v>
      </c>
      <c r="E4778" t="s">
        <v>432</v>
      </c>
    </row>
    <row r="4779" spans="8:8">
      <c r="B4779" t="s">
        <v>7200</v>
      </c>
      <c r="C4779">
        <v>538128.0</v>
      </c>
      <c r="D4779" t="s">
        <v>339</v>
      </c>
      <c r="E4779" t="s">
        <v>453</v>
      </c>
    </row>
    <row r="4780" spans="8:8">
      <c r="B4780" t="s">
        <v>7201</v>
      </c>
      <c r="C4780">
        <v>538268.0</v>
      </c>
      <c r="D4780" t="s">
        <v>7202</v>
      </c>
      <c r="E4780" t="s">
        <v>517</v>
      </c>
    </row>
    <row r="4781" spans="8:8">
      <c r="B4781" t="s">
        <v>7203</v>
      </c>
      <c r="C4781">
        <v>526959.0</v>
      </c>
      <c r="D4781" t="s">
        <v>339</v>
      </c>
      <c r="E4781" t="s">
        <v>540</v>
      </c>
    </row>
    <row r="4782" spans="8:8">
      <c r="B4782" t="s">
        <v>7204</v>
      </c>
      <c r="C4782">
        <v>526525.0</v>
      </c>
      <c r="D4782" t="s">
        <v>339</v>
      </c>
      <c r="E4782" t="s">
        <v>453</v>
      </c>
    </row>
    <row r="4783" spans="8:8">
      <c r="B4783" t="s">
        <v>7205</v>
      </c>
      <c r="C4783">
        <v>538451.0</v>
      </c>
      <c r="D4783" t="s">
        <v>339</v>
      </c>
      <c r="E4783" t="s">
        <v>359</v>
      </c>
    </row>
    <row r="4784" spans="8:8">
      <c r="B4784" t="s">
        <v>7206</v>
      </c>
      <c r="C4784" t="s">
        <v>339</v>
      </c>
      <c r="D4784" t="s">
        <v>7207</v>
      </c>
      <c r="E4784" t="s">
        <v>350</v>
      </c>
    </row>
    <row r="4785" spans="8:8">
      <c r="B4785" t="s">
        <v>7208</v>
      </c>
      <c r="C4785">
        <v>505872.0</v>
      </c>
      <c r="D4785" t="s">
        <v>339</v>
      </c>
      <c r="E4785" t="s">
        <v>347</v>
      </c>
    </row>
    <row r="4786" spans="8:8">
      <c r="B4786" t="s">
        <v>7209</v>
      </c>
      <c r="C4786">
        <v>532616.0</v>
      </c>
      <c r="D4786" t="s">
        <v>7210</v>
      </c>
      <c r="E4786" t="s">
        <v>669</v>
      </c>
    </row>
    <row r="4787" spans="8:8">
      <c r="B4787" t="s">
        <v>7211</v>
      </c>
      <c r="C4787">
        <v>542367.0</v>
      </c>
      <c r="D4787" t="s">
        <v>7212</v>
      </c>
      <c r="E4787" t="s">
        <v>5463</v>
      </c>
    </row>
    <row r="4788" spans="8:8">
      <c r="B4788" t="s">
        <v>7213</v>
      </c>
      <c r="C4788">
        <v>532788.0</v>
      </c>
      <c r="D4788" t="s">
        <v>7214</v>
      </c>
      <c r="E4788" t="s">
        <v>485</v>
      </c>
    </row>
    <row r="4789" spans="8:8">
      <c r="B4789" t="s">
        <v>7215</v>
      </c>
      <c r="C4789">
        <v>590013.0</v>
      </c>
      <c r="D4789" t="s">
        <v>7216</v>
      </c>
      <c r="E4789" t="s">
        <v>387</v>
      </c>
    </row>
    <row r="4790" spans="8:8">
      <c r="B4790" t="s">
        <v>7217</v>
      </c>
      <c r="C4790">
        <v>590013.0</v>
      </c>
      <c r="D4790" t="s">
        <v>7218</v>
      </c>
      <c r="E4790" t="s">
        <v>387</v>
      </c>
    </row>
    <row r="4791" spans="8:8">
      <c r="B4791" t="s">
        <v>7219</v>
      </c>
      <c r="C4791">
        <v>511012.0</v>
      </c>
      <c r="D4791" t="s">
        <v>339</v>
      </c>
      <c r="E4791" t="s">
        <v>359</v>
      </c>
    </row>
    <row r="4792" spans="8:8">
      <c r="B4792" t="s">
        <v>7220</v>
      </c>
      <c r="C4792">
        <v>514378.0</v>
      </c>
      <c r="D4792" t="s">
        <v>339</v>
      </c>
      <c r="E4792" t="s">
        <v>361</v>
      </c>
    </row>
    <row r="4793" spans="8:8">
      <c r="B4793" t="s">
        <v>7221</v>
      </c>
      <c r="C4793">
        <v>539939.0</v>
      </c>
      <c r="D4793" t="s">
        <v>339</v>
      </c>
      <c r="E4793" t="s">
        <v>499</v>
      </c>
    </row>
    <row r="4794" spans="8:8">
      <c r="B4794" t="s">
        <v>7222</v>
      </c>
      <c r="C4794">
        <v>511601.0</v>
      </c>
      <c r="D4794" t="s">
        <v>339</v>
      </c>
      <c r="E4794" t="s">
        <v>361</v>
      </c>
    </row>
    <row r="4795" spans="8:8">
      <c r="B4795" t="s">
        <v>7223</v>
      </c>
      <c r="C4795">
        <v>516030.0</v>
      </c>
      <c r="D4795" t="s">
        <v>339</v>
      </c>
      <c r="E4795" t="s">
        <v>333</v>
      </c>
    </row>
    <row r="4796" spans="8:8">
      <c r="B4796" t="s">
        <v>7224</v>
      </c>
      <c r="C4796">
        <v>541167.0</v>
      </c>
      <c r="D4796" t="s">
        <v>339</v>
      </c>
      <c r="E4796" t="s">
        <v>499</v>
      </c>
    </row>
    <row r="4797" spans="8:8">
      <c r="B4797" t="s">
        <v>7225</v>
      </c>
      <c r="C4797">
        <v>530063.0</v>
      </c>
      <c r="D4797" t="s">
        <v>339</v>
      </c>
      <c r="E4797" t="s">
        <v>534</v>
      </c>
    </row>
    <row r="4798" spans="8:8">
      <c r="B4798" t="s">
        <v>7226</v>
      </c>
      <c r="C4798">
        <v>532648.0</v>
      </c>
      <c r="D4798" t="s">
        <v>7227</v>
      </c>
      <c r="E4798" t="s">
        <v>657</v>
      </c>
    </row>
    <row r="4799" spans="8:8">
      <c r="B4799" t="s">
        <v>7228</v>
      </c>
      <c r="C4799">
        <v>531260.0</v>
      </c>
      <c r="D4799" t="s">
        <v>339</v>
      </c>
      <c r="E4799" t="s">
        <v>399</v>
      </c>
    </row>
    <row r="4800" spans="8:8">
      <c r="B4800" t="s">
        <v>7229</v>
      </c>
      <c r="C4800">
        <v>522209.0</v>
      </c>
      <c r="D4800" t="s">
        <v>339</v>
      </c>
      <c r="E4800" t="s">
        <v>322</v>
      </c>
    </row>
    <row r="4801" spans="8:8">
      <c r="B4801" t="s">
        <v>7230</v>
      </c>
      <c r="C4801">
        <v>522209.0</v>
      </c>
      <c r="D4801" t="s">
        <v>339</v>
      </c>
      <c r="E4801" t="s">
        <v>322</v>
      </c>
    </row>
    <row r="4802" spans="8:8">
      <c r="B4802" t="s">
        <v>7231</v>
      </c>
      <c r="C4802">
        <v>539097.0</v>
      </c>
      <c r="D4802" t="s">
        <v>339</v>
      </c>
      <c r="E4802" t="s">
        <v>361</v>
      </c>
    </row>
    <row r="4803" spans="8:8">
      <c r="B4803" t="s">
        <v>7232</v>
      </c>
      <c r="C4803">
        <v>530675.0</v>
      </c>
      <c r="D4803" t="s">
        <v>339</v>
      </c>
      <c r="E4803" t="s">
        <v>453</v>
      </c>
    </row>
    <row r="4804" spans="8:8">
      <c r="B4804" t="s">
        <v>7233</v>
      </c>
      <c r="C4804">
        <v>540550.0</v>
      </c>
      <c r="D4804" t="s">
        <v>339</v>
      </c>
      <c r="E4804" t="s">
        <v>499</v>
      </c>
    </row>
    <row r="4805" spans="8:8">
      <c r="B4805" t="s">
        <v>7234</v>
      </c>
      <c r="C4805">
        <v>522108.0</v>
      </c>
      <c r="D4805" t="s">
        <v>339</v>
      </c>
      <c r="E4805" t="s">
        <v>694</v>
      </c>
    </row>
    <row r="4806" spans="8:8">
      <c r="B4806" t="s">
        <v>7235</v>
      </c>
      <c r="C4806">
        <v>522108.0</v>
      </c>
      <c r="D4806" t="s">
        <v>339</v>
      </c>
      <c r="E4806" t="s">
        <v>694</v>
      </c>
    </row>
    <row r="4807" spans="8:8">
      <c r="B4807" t="s">
        <v>7236</v>
      </c>
      <c r="C4807">
        <v>536846.0</v>
      </c>
      <c r="D4807" t="s">
        <v>339</v>
      </c>
      <c r="E4807" t="s">
        <v>737</v>
      </c>
    </row>
    <row r="4808" spans="8:8">
      <c r="B4808" t="s">
        <v>7237</v>
      </c>
      <c r="C4808">
        <v>531663.0</v>
      </c>
      <c r="D4808" t="s">
        <v>7238</v>
      </c>
      <c r="E4808" t="s">
        <v>2157</v>
      </c>
    </row>
    <row r="4809" spans="8:8">
      <c r="B4809" t="s">
        <v>7239</v>
      </c>
      <c r="C4809">
        <v>505163.0</v>
      </c>
      <c r="D4809" t="s">
        <v>339</v>
      </c>
      <c r="E4809" t="s">
        <v>694</v>
      </c>
    </row>
    <row r="4810" spans="8:8">
      <c r="B4810" t="s">
        <v>7240</v>
      </c>
      <c r="C4810">
        <v>505163.0</v>
      </c>
      <c r="D4810" t="s">
        <v>339</v>
      </c>
      <c r="E4810" t="s">
        <v>694</v>
      </c>
    </row>
    <row r="4811" spans="8:8">
      <c r="B4811" t="s">
        <v>7241</v>
      </c>
      <c r="C4811">
        <v>539963.0</v>
      </c>
      <c r="D4811" t="s">
        <v>339</v>
      </c>
      <c r="E4811" t="s">
        <v>419</v>
      </c>
    </row>
    <row r="4812" spans="8:8">
      <c r="B4812" t="s">
        <v>7242</v>
      </c>
      <c r="C4812">
        <v>505537.0</v>
      </c>
      <c r="D4812" t="s">
        <v>7243</v>
      </c>
      <c r="E4812" t="s">
        <v>1077</v>
      </c>
    </row>
    <row r="4813" spans="8:8">
      <c r="B4813" t="s">
        <v>7244</v>
      </c>
      <c r="C4813">
        <v>533287.0</v>
      </c>
      <c r="D4813" t="s">
        <v>7245</v>
      </c>
      <c r="E4813" t="s">
        <v>444</v>
      </c>
    </row>
    <row r="4814" spans="8:8">
      <c r="B4814" t="s">
        <v>7246</v>
      </c>
      <c r="C4814">
        <v>532794.0</v>
      </c>
      <c r="D4814" t="s">
        <v>7247</v>
      </c>
      <c r="E4814" t="s">
        <v>1077</v>
      </c>
    </row>
    <row r="4815" spans="8:8">
      <c r="B4815" t="s">
        <v>7248</v>
      </c>
      <c r="C4815">
        <v>533339.0</v>
      </c>
      <c r="D4815" t="s">
        <v>7249</v>
      </c>
      <c r="E4815" t="s">
        <v>432</v>
      </c>
    </row>
    <row r="4816" spans="8:8">
      <c r="B4816" t="s">
        <v>7250</v>
      </c>
      <c r="C4816">
        <v>531845.0</v>
      </c>
      <c r="D4816" t="s">
        <v>7251</v>
      </c>
      <c r="E4816" t="s">
        <v>737</v>
      </c>
    </row>
    <row r="4817" spans="8:8">
      <c r="B4817" t="s">
        <v>7252</v>
      </c>
      <c r="C4817">
        <v>531845.0</v>
      </c>
      <c r="D4817" t="s">
        <v>7251</v>
      </c>
      <c r="E4817" t="s">
        <v>737</v>
      </c>
    </row>
    <row r="4818" spans="8:8">
      <c r="B4818" t="s">
        <v>7253</v>
      </c>
      <c r="C4818">
        <v>512553.0</v>
      </c>
      <c r="D4818" t="s">
        <v>7254</v>
      </c>
      <c r="E4818" t="s">
        <v>354</v>
      </c>
    </row>
    <row r="4819" spans="8:8">
      <c r="B4819" t="s">
        <v>7255</v>
      </c>
      <c r="C4819">
        <v>514266.0</v>
      </c>
      <c r="D4819" t="s">
        <v>339</v>
      </c>
      <c r="E4819" t="s">
        <v>354</v>
      </c>
    </row>
    <row r="4820" spans="8:8">
      <c r="B4820" t="s">
        <v>7256</v>
      </c>
      <c r="C4820">
        <v>530665.0</v>
      </c>
      <c r="D4820" t="s">
        <v>339</v>
      </c>
      <c r="E4820" t="s">
        <v>377</v>
      </c>
    </row>
    <row r="4821" spans="8:8">
      <c r="B4821" t="s">
        <v>7257</v>
      </c>
      <c r="C4821">
        <v>530697.0</v>
      </c>
      <c r="D4821" t="s">
        <v>339</v>
      </c>
      <c r="E4821" t="s">
        <v>760</v>
      </c>
    </row>
    <row r="4822" spans="8:8">
      <c r="B4822" t="s">
        <v>7258</v>
      </c>
      <c r="C4822">
        <v>532039.0</v>
      </c>
      <c r="D4822" t="s">
        <v>339</v>
      </c>
      <c r="E4822" t="s">
        <v>377</v>
      </c>
    </row>
    <row r="4823" spans="8:8">
      <c r="B4823" t="s">
        <v>7259</v>
      </c>
      <c r="C4823">
        <v>504067.0</v>
      </c>
      <c r="D4823" t="s">
        <v>7260</v>
      </c>
      <c r="E4823" t="s">
        <v>325</v>
      </c>
    </row>
    <row r="4824" spans="8:8">
      <c r="B4824" t="s">
        <v>7261</v>
      </c>
      <c r="C4824">
        <v>531404.0</v>
      </c>
      <c r="D4824" t="s">
        <v>7262</v>
      </c>
      <c r="E4824" t="s">
        <v>881</v>
      </c>
    </row>
    <row r="4825" spans="8:8">
      <c r="B4825" t="s">
        <v>7263</v>
      </c>
      <c r="C4825">
        <v>541400.0</v>
      </c>
      <c r="D4825" t="s">
        <v>339</v>
      </c>
      <c r="E4825" t="s">
        <v>377</v>
      </c>
    </row>
    <row r="4826" spans="8:8">
      <c r="B4826" t="s">
        <v>7264</v>
      </c>
      <c r="C4826">
        <v>521163.0</v>
      </c>
      <c r="D4826" t="s">
        <v>7265</v>
      </c>
      <c r="E4826" t="s">
        <v>453</v>
      </c>
    </row>
    <row r="4827" spans="8:8">
      <c r="B4827" t="s">
        <v>7266</v>
      </c>
      <c r="C4827" t="s">
        <v>339</v>
      </c>
      <c r="D4827" t="s">
        <v>7267</v>
      </c>
      <c r="E4827" t="s">
        <v>350</v>
      </c>
    </row>
    <row r="4828" spans="8:8">
      <c r="B4828" t="s">
        <v>7268</v>
      </c>
      <c r="C4828">
        <v>512587.0</v>
      </c>
      <c r="D4828" t="s">
        <v>7269</v>
      </c>
      <c r="E4828" t="s">
        <v>453</v>
      </c>
    </row>
    <row r="4829" spans="8:8">
      <c r="B4829" t="s">
        <v>7270</v>
      </c>
      <c r="C4829">
        <v>503641.0</v>
      </c>
      <c r="D4829" t="s">
        <v>7271</v>
      </c>
      <c r="E4829" t="s">
        <v>423</v>
      </c>
    </row>
    <row r="4830" spans="8:8">
      <c r="B4830" t="s">
        <v>7272</v>
      </c>
      <c r="C4830" t="s">
        <v>339</v>
      </c>
      <c r="D4830" t="s">
        <v>7273</v>
      </c>
      <c r="E4830" t="s">
        <v>350</v>
      </c>
    </row>
    <row r="4831" spans="8:8">
      <c r="B4831" t="s">
        <v>7274</v>
      </c>
      <c r="C4831">
        <v>534742.0</v>
      </c>
      <c r="D4831" t="s">
        <v>7275</v>
      </c>
      <c r="E4831" t="s">
        <v>847</v>
      </c>
    </row>
    <row r="4832" spans="8:8">
      <c r="B4832" t="s">
        <v>7276</v>
      </c>
      <c r="C4832">
        <v>500780.0</v>
      </c>
      <c r="D4832" t="s">
        <v>7277</v>
      </c>
      <c r="E4832" t="s">
        <v>847</v>
      </c>
    </row>
    <row r="4833" spans="8:8">
      <c r="B4833" t="s">
        <v>7278</v>
      </c>
      <c r="C4833">
        <v>531335.0</v>
      </c>
      <c r="D4833" t="s">
        <v>7279</v>
      </c>
      <c r="E4833" t="s">
        <v>399</v>
      </c>
    </row>
    <row r="4834" spans="8:8">
      <c r="B4834" t="s">
        <v>7280</v>
      </c>
      <c r="C4834">
        <v>532883.0</v>
      </c>
      <c r="D4834" t="s">
        <v>7281</v>
      </c>
      <c r="E4834" t="s">
        <v>432</v>
      </c>
    </row>
    <row r="4835" spans="8:8">
      <c r="B4835" t="s">
        <v>7282</v>
      </c>
      <c r="C4835">
        <v>500202.0</v>
      </c>
      <c r="D4835" t="s">
        <v>7283</v>
      </c>
      <c r="E4835" t="s">
        <v>356</v>
      </c>
    </row>
    <row r="4836" spans="8:8">
      <c r="B4836" t="s">
        <v>7284</v>
      </c>
      <c r="C4836">
        <v>500458.0</v>
      </c>
      <c r="D4836" t="s">
        <v>7285</v>
      </c>
      <c r="E4836" t="s">
        <v>419</v>
      </c>
    </row>
    <row r="4837" spans="8:8">
      <c r="B4837" t="s">
        <v>7286</v>
      </c>
      <c r="C4837">
        <v>501111.0</v>
      </c>
      <c r="D4837" t="s">
        <v>7287</v>
      </c>
      <c r="E4837" t="s">
        <v>361</v>
      </c>
    </row>
    <row r="4838" spans="8:8">
      <c r="B4838" t="s">
        <v>7288</v>
      </c>
      <c r="C4838">
        <v>501151.0</v>
      </c>
      <c r="D4838" t="s">
        <v>7289</v>
      </c>
      <c r="E4838" t="s">
        <v>322</v>
      </c>
    </row>
    <row r="4839" spans="8:8">
      <c r="B4839" t="s">
        <v>7290</v>
      </c>
      <c r="C4839">
        <v>501311.0</v>
      </c>
      <c r="D4839" t="s">
        <v>7291</v>
      </c>
      <c r="E4839" t="s">
        <v>356</v>
      </c>
    </row>
    <row r="4840" spans="8:8">
      <c r="B4840" t="s">
        <v>7292</v>
      </c>
      <c r="C4840">
        <v>501622.0</v>
      </c>
      <c r="D4840" t="s">
        <v>7293</v>
      </c>
      <c r="E4840" t="s">
        <v>7294</v>
      </c>
    </row>
    <row r="4841" spans="8:8">
      <c r="B4841" t="s">
        <v>7295</v>
      </c>
      <c r="C4841">
        <v>502850.0</v>
      </c>
      <c r="D4841" t="s">
        <v>7296</v>
      </c>
      <c r="E4841" t="s">
        <v>354</v>
      </c>
    </row>
    <row r="4842" spans="8:8">
      <c r="B4842" t="s">
        <v>7297</v>
      </c>
      <c r="C4842">
        <v>503669.0</v>
      </c>
      <c r="D4842" t="s">
        <v>7298</v>
      </c>
      <c r="E4842" t="s">
        <v>7294</v>
      </c>
    </row>
    <row r="4843" spans="8:8">
      <c r="B4843" t="s">
        <v>7299</v>
      </c>
      <c r="C4843">
        <v>506975.0</v>
      </c>
      <c r="D4843" t="s">
        <v>7300</v>
      </c>
      <c r="E4843" t="s">
        <v>354</v>
      </c>
    </row>
    <row r="4844" spans="8:8">
      <c r="B4844" t="s">
        <v>7301</v>
      </c>
      <c r="C4844">
        <v>508924.0</v>
      </c>
      <c r="D4844" t="s">
        <v>7302</v>
      </c>
      <c r="E4844" t="s">
        <v>7294</v>
      </c>
    </row>
    <row r="4845" spans="8:8">
      <c r="B4845" t="s">
        <v>7303</v>
      </c>
      <c r="C4845">
        <v>511260.0</v>
      </c>
      <c r="D4845" t="s">
        <v>7304</v>
      </c>
      <c r="E4845" t="s">
        <v>322</v>
      </c>
    </row>
    <row r="4846" spans="8:8">
      <c r="B4846" t="s">
        <v>7305</v>
      </c>
      <c r="C4846">
        <v>511730.0</v>
      </c>
      <c r="D4846" t="s">
        <v>7306</v>
      </c>
      <c r="E4846" t="s">
        <v>356</v>
      </c>
    </row>
    <row r="4847" spans="8:8">
      <c r="B4847" t="s">
        <v>7307</v>
      </c>
      <c r="C4847">
        <v>512221.0</v>
      </c>
      <c r="D4847" t="s">
        <v>7308</v>
      </c>
      <c r="E4847" t="s">
        <v>356</v>
      </c>
    </row>
    <row r="4848" spans="8:8">
      <c r="B4848" t="s">
        <v>7309</v>
      </c>
      <c r="C4848">
        <v>512344.0</v>
      </c>
      <c r="D4848" t="s">
        <v>7310</v>
      </c>
      <c r="E4848" t="s">
        <v>361</v>
      </c>
    </row>
    <row r="4849" spans="8:8">
      <c r="B4849" t="s">
        <v>7311</v>
      </c>
      <c r="C4849">
        <v>512345.0</v>
      </c>
      <c r="D4849" t="s">
        <v>7312</v>
      </c>
      <c r="E4849" t="s">
        <v>322</v>
      </c>
    </row>
    <row r="4850" spans="8:8">
      <c r="B4850" t="s">
        <v>7313</v>
      </c>
      <c r="C4850">
        <v>512479.0</v>
      </c>
      <c r="D4850" t="s">
        <v>7314</v>
      </c>
      <c r="E4850" t="s">
        <v>425</v>
      </c>
    </row>
    <row r="4851" spans="8:8">
      <c r="B4851" t="s">
        <v>7315</v>
      </c>
      <c r="C4851">
        <v>513343.0</v>
      </c>
      <c r="D4851" t="s">
        <v>7316</v>
      </c>
      <c r="E4851" t="s">
        <v>662</v>
      </c>
    </row>
    <row r="4852" spans="8:8">
      <c r="B4852" t="s">
        <v>7317</v>
      </c>
      <c r="C4852">
        <v>513418.0</v>
      </c>
      <c r="D4852" t="s">
        <v>7318</v>
      </c>
      <c r="E4852" t="s">
        <v>1258</v>
      </c>
    </row>
    <row r="4853" spans="8:8">
      <c r="B4853" t="s">
        <v>7319</v>
      </c>
      <c r="C4853">
        <v>515008.0</v>
      </c>
      <c r="D4853" t="s">
        <v>7320</v>
      </c>
      <c r="E4853" t="s">
        <v>637</v>
      </c>
    </row>
    <row r="4854" spans="8:8">
      <c r="B4854" t="s">
        <v>7321</v>
      </c>
      <c r="C4854">
        <v>517273.0</v>
      </c>
      <c r="D4854" t="s">
        <v>7322</v>
      </c>
      <c r="E4854" t="s">
        <v>637</v>
      </c>
    </row>
    <row r="4855" spans="8:8">
      <c r="B4855" t="s">
        <v>7323</v>
      </c>
      <c r="C4855">
        <v>517360.0</v>
      </c>
      <c r="D4855" t="s">
        <v>7324</v>
      </c>
      <c r="E4855" t="s">
        <v>361</v>
      </c>
    </row>
    <row r="4856" spans="8:8">
      <c r="B4856" t="s">
        <v>7325</v>
      </c>
      <c r="C4856">
        <v>517393.0</v>
      </c>
      <c r="D4856" t="s">
        <v>7326</v>
      </c>
      <c r="E4856" t="s">
        <v>664</v>
      </c>
    </row>
    <row r="4857" spans="8:8">
      <c r="B4857" t="s">
        <v>7327</v>
      </c>
      <c r="C4857">
        <v>519397.0</v>
      </c>
      <c r="D4857" t="s">
        <v>7328</v>
      </c>
      <c r="E4857" t="s">
        <v>399</v>
      </c>
    </row>
    <row r="4858" spans="8:8">
      <c r="B4858" t="s">
        <v>7329</v>
      </c>
      <c r="C4858">
        <v>519500.0</v>
      </c>
      <c r="D4858" t="s">
        <v>7330</v>
      </c>
      <c r="E4858" t="s">
        <v>399</v>
      </c>
    </row>
    <row r="4859" spans="8:8">
      <c r="B4859" t="s">
        <v>7331</v>
      </c>
      <c r="C4859">
        <v>522171.0</v>
      </c>
      <c r="D4859" t="s">
        <v>7332</v>
      </c>
      <c r="E4859" t="s">
        <v>347</v>
      </c>
    </row>
    <row r="4860" spans="8:8">
      <c r="B4860" t="s">
        <v>7333</v>
      </c>
      <c r="C4860">
        <v>524572.0</v>
      </c>
      <c r="D4860" t="s">
        <v>7334</v>
      </c>
      <c r="E4860" t="s">
        <v>377</v>
      </c>
    </row>
    <row r="4861" spans="8:8">
      <c r="B4861" t="s">
        <v>7335</v>
      </c>
      <c r="C4861">
        <v>526211.0</v>
      </c>
      <c r="D4861" t="s">
        <v>7336</v>
      </c>
      <c r="E4861" t="s">
        <v>588</v>
      </c>
    </row>
    <row r="4862" spans="8:8">
      <c r="B4862" t="s">
        <v>7337</v>
      </c>
      <c r="C4862">
        <v>526638.0</v>
      </c>
      <c r="D4862" t="s">
        <v>7338</v>
      </c>
      <c r="E4862" t="s">
        <v>459</v>
      </c>
    </row>
    <row r="4863" spans="8:8">
      <c r="B4863" t="s">
        <v>7339</v>
      </c>
      <c r="C4863">
        <v>530291.0</v>
      </c>
      <c r="D4863" t="s">
        <v>7340</v>
      </c>
      <c r="E4863" t="s">
        <v>588</v>
      </c>
    </row>
    <row r="4864" spans="8:8">
      <c r="B4864" t="s">
        <v>7341</v>
      </c>
      <c r="C4864">
        <v>530439.0</v>
      </c>
      <c r="D4864" t="s">
        <v>7342</v>
      </c>
      <c r="E4864" t="s">
        <v>356</v>
      </c>
    </row>
    <row r="4865" spans="8:8">
      <c r="B4865" t="s">
        <v>7343</v>
      </c>
      <c r="C4865">
        <v>530443.0</v>
      </c>
      <c r="D4865" t="s">
        <v>7344</v>
      </c>
      <c r="E4865" t="s">
        <v>354</v>
      </c>
    </row>
    <row r="4866" spans="8:8">
      <c r="B4866" t="s">
        <v>7345</v>
      </c>
      <c r="C4866">
        <v>531205.0</v>
      </c>
      <c r="D4866" t="s">
        <v>7346</v>
      </c>
      <c r="E4866" t="s">
        <v>361</v>
      </c>
    </row>
    <row r="4867" spans="8:8">
      <c r="B4867" t="s">
        <v>7347</v>
      </c>
      <c r="C4867">
        <v>531225.0</v>
      </c>
      <c r="D4867" t="s">
        <v>7348</v>
      </c>
      <c r="E4867" t="s">
        <v>432</v>
      </c>
    </row>
    <row r="4868" spans="8:8">
      <c r="B4868" t="s">
        <v>7349</v>
      </c>
      <c r="C4868">
        <v>531436.0</v>
      </c>
      <c r="D4868" t="s">
        <v>7350</v>
      </c>
      <c r="E4868" t="s">
        <v>333</v>
      </c>
    </row>
    <row r="4869" spans="8:8">
      <c r="B4869" t="s">
        <v>7351</v>
      </c>
      <c r="C4869">
        <v>531621.0</v>
      </c>
      <c r="D4869" t="s">
        <v>7352</v>
      </c>
      <c r="E4869" t="s">
        <v>345</v>
      </c>
    </row>
    <row r="4870" spans="8:8">
      <c r="B4870" t="s">
        <v>7353</v>
      </c>
      <c r="C4870">
        <v>531944.0</v>
      </c>
      <c r="D4870" t="s">
        <v>7354</v>
      </c>
      <c r="E4870" t="s">
        <v>347</v>
      </c>
    </row>
    <row r="4871" spans="8:8">
      <c r="B4871" t="s">
        <v>7355</v>
      </c>
      <c r="C4871">
        <v>532138.0</v>
      </c>
      <c r="D4871" t="s">
        <v>7356</v>
      </c>
      <c r="E4871" t="s">
        <v>356</v>
      </c>
    </row>
    <row r="4872" spans="8:8">
      <c r="B4872" t="s">
        <v>7357</v>
      </c>
      <c r="C4872">
        <v>533093.0</v>
      </c>
      <c r="D4872" t="s">
        <v>7358</v>
      </c>
      <c r="E4872" t="s">
        <v>588</v>
      </c>
    </row>
    <row r="4873" spans="8:8">
      <c r="B4873" t="s">
        <v>7359</v>
      </c>
      <c r="C4873">
        <v>533570.0</v>
      </c>
      <c r="D4873" t="s">
        <v>7360</v>
      </c>
      <c r="E4873" t="s">
        <v>38</v>
      </c>
    </row>
    <row r="4874" spans="8:8">
      <c r="B4874" t="s">
        <v>7361</v>
      </c>
      <c r="C4874">
        <v>533719.0</v>
      </c>
      <c r="D4874" t="s">
        <v>7362</v>
      </c>
      <c r="E4874" t="s">
        <v>38</v>
      </c>
    </row>
    <row r="4875" spans="8:8">
      <c r="B4875" t="s">
        <v>7363</v>
      </c>
      <c r="C4875">
        <v>535276.0</v>
      </c>
      <c r="D4875" t="s">
        <v>7364</v>
      </c>
      <c r="E4875" t="s">
        <v>38</v>
      </c>
    </row>
    <row r="4876" spans="8:8">
      <c r="B4876" t="s">
        <v>7365</v>
      </c>
      <c r="C4876">
        <v>536960.0</v>
      </c>
      <c r="D4876" t="s">
        <v>7366</v>
      </c>
      <c r="E4876" t="s">
        <v>38</v>
      </c>
    </row>
    <row r="4877" spans="8:8">
      <c r="B4877" t="s">
        <v>7367</v>
      </c>
      <c r="C4877">
        <v>537007.0</v>
      </c>
      <c r="D4877" t="s">
        <v>7368</v>
      </c>
      <c r="E4877" t="s">
        <v>38</v>
      </c>
    </row>
    <row r="4878" spans="8:8">
      <c r="B4878" t="s">
        <v>7369</v>
      </c>
      <c r="C4878">
        <v>537008.0</v>
      </c>
      <c r="D4878" t="s">
        <v>7370</v>
      </c>
      <c r="E4878" t="s">
        <v>38</v>
      </c>
    </row>
    <row r="4879" spans="8:8">
      <c r="B4879" t="s">
        <v>7371</v>
      </c>
      <c r="C4879">
        <v>537483.0</v>
      </c>
      <c r="D4879" t="s">
        <v>7372</v>
      </c>
      <c r="E4879" t="s">
        <v>38</v>
      </c>
    </row>
    <row r="4880" spans="8:8">
      <c r="B4880" t="s">
        <v>7373</v>
      </c>
      <c r="C4880">
        <v>537708.0</v>
      </c>
      <c r="D4880" t="s">
        <v>7374</v>
      </c>
      <c r="E4880" t="s">
        <v>38</v>
      </c>
    </row>
    <row r="4881" spans="8:8">
      <c r="B4881" t="s">
        <v>7375</v>
      </c>
      <c r="C4881">
        <v>538057.0</v>
      </c>
      <c r="D4881" t="s">
        <v>7376</v>
      </c>
      <c r="E4881" t="s">
        <v>38</v>
      </c>
    </row>
    <row r="4882" spans="8:8">
      <c r="B4882" t="s">
        <v>7377</v>
      </c>
      <c r="C4882">
        <v>538273.0</v>
      </c>
      <c r="D4882" t="s">
        <v>7378</v>
      </c>
      <c r="E4882" t="s">
        <v>432</v>
      </c>
    </row>
    <row r="4883" spans="8:8">
      <c r="B4883" t="s">
        <v>7379</v>
      </c>
      <c r="C4883">
        <v>538452.0</v>
      </c>
      <c r="D4883" t="s">
        <v>7380</v>
      </c>
      <c r="E4883" t="s">
        <v>361</v>
      </c>
    </row>
    <row r="4884" spans="8:8">
      <c r="B4884" t="s">
        <v>7381</v>
      </c>
      <c r="C4884">
        <v>538501.0</v>
      </c>
      <c r="D4884" t="s">
        <v>7382</v>
      </c>
      <c r="E4884" t="s">
        <v>38</v>
      </c>
    </row>
    <row r="4885" spans="8:8">
      <c r="B4885" t="s">
        <v>7383</v>
      </c>
      <c r="C4885">
        <v>538502.0</v>
      </c>
      <c r="D4885" t="s">
        <v>7384</v>
      </c>
      <c r="E4885" t="s">
        <v>38</v>
      </c>
    </row>
    <row r="4886" spans="8:8">
      <c r="B4886" t="s">
        <v>7385</v>
      </c>
      <c r="C4886">
        <v>538577.0</v>
      </c>
      <c r="D4886" t="s">
        <v>7386</v>
      </c>
      <c r="E4886" t="s">
        <v>38</v>
      </c>
    </row>
    <row r="4887" spans="8:8">
      <c r="B4887" t="s">
        <v>7387</v>
      </c>
      <c r="C4887">
        <v>538578.0</v>
      </c>
      <c r="D4887" t="s">
        <v>7388</v>
      </c>
      <c r="E4887" t="s">
        <v>38</v>
      </c>
    </row>
    <row r="4888" spans="8:8">
      <c r="B4888" t="s">
        <v>7389</v>
      </c>
      <c r="C4888">
        <v>538646.0</v>
      </c>
      <c r="D4888" t="s">
        <v>7390</v>
      </c>
      <c r="E4888" t="s">
        <v>356</v>
      </c>
    </row>
    <row r="4889" spans="8:8">
      <c r="B4889" t="s">
        <v>7391</v>
      </c>
      <c r="C4889">
        <v>538683.0</v>
      </c>
      <c r="D4889" t="s">
        <v>7392</v>
      </c>
      <c r="E4889" t="s">
        <v>38</v>
      </c>
    </row>
    <row r="4890" spans="8:8">
      <c r="B4890" t="s">
        <v>7393</v>
      </c>
      <c r="C4890">
        <v>538728.0</v>
      </c>
      <c r="D4890" t="s">
        <v>7394</v>
      </c>
      <c r="E4890" t="s">
        <v>38</v>
      </c>
    </row>
    <row r="4891" spans="8:8">
      <c r="B4891" t="s">
        <v>7395</v>
      </c>
      <c r="C4891">
        <v>538729.0</v>
      </c>
      <c r="D4891" t="s">
        <v>7396</v>
      </c>
      <c r="E4891" t="s">
        <v>38</v>
      </c>
    </row>
    <row r="4892" spans="8:8">
      <c r="B4892" t="s">
        <v>7397</v>
      </c>
      <c r="C4892">
        <v>538808.0</v>
      </c>
      <c r="D4892" t="s">
        <v>7398</v>
      </c>
      <c r="E4892" t="s">
        <v>38</v>
      </c>
    </row>
    <row r="4893" spans="8:8">
      <c r="B4893" t="s">
        <v>7399</v>
      </c>
      <c r="C4893">
        <v>538809.0</v>
      </c>
      <c r="D4893" t="s">
        <v>7400</v>
      </c>
      <c r="E4893" t="s">
        <v>38</v>
      </c>
    </row>
    <row r="4894" spans="8:8">
      <c r="B4894" t="s">
        <v>7401</v>
      </c>
      <c r="C4894">
        <v>538810.0</v>
      </c>
      <c r="D4894" t="s">
        <v>7402</v>
      </c>
      <c r="E4894" t="s">
        <v>38</v>
      </c>
    </row>
    <row r="4895" spans="8:8">
      <c r="B4895" t="s">
        <v>7403</v>
      </c>
      <c r="C4895">
        <v>538811.0</v>
      </c>
      <c r="D4895" t="s">
        <v>7404</v>
      </c>
      <c r="E4895" t="s">
        <v>38</v>
      </c>
    </row>
    <row r="4896" spans="8:8">
      <c r="B4896" t="s">
        <v>7405</v>
      </c>
      <c r="C4896">
        <v>539031.0</v>
      </c>
      <c r="D4896" t="s">
        <v>7406</v>
      </c>
      <c r="E4896" t="s">
        <v>38</v>
      </c>
    </row>
    <row r="4897" spans="8:8">
      <c r="B4897" t="s">
        <v>7407</v>
      </c>
      <c r="C4897">
        <v>539090.0</v>
      </c>
      <c r="D4897" t="s">
        <v>7408</v>
      </c>
      <c r="E4897" t="s">
        <v>356</v>
      </c>
    </row>
    <row r="4898" spans="8:8">
      <c r="B4898" t="s">
        <v>7409</v>
      </c>
      <c r="C4898">
        <v>539142.0</v>
      </c>
      <c r="D4898" t="s">
        <v>7410</v>
      </c>
      <c r="E4898" t="s">
        <v>38</v>
      </c>
    </row>
    <row r="4899" spans="8:8">
      <c r="B4899" t="s">
        <v>7411</v>
      </c>
      <c r="C4899">
        <v>539274.0</v>
      </c>
      <c r="D4899" t="s">
        <v>7412</v>
      </c>
      <c r="E4899" t="s">
        <v>356</v>
      </c>
    </row>
    <row r="4900" spans="8:8">
      <c r="B4900" t="s">
        <v>7413</v>
      </c>
      <c r="C4900">
        <v>539312.0</v>
      </c>
      <c r="D4900" t="s">
        <v>7414</v>
      </c>
      <c r="E4900" t="s">
        <v>38</v>
      </c>
    </row>
    <row r="4901" spans="8:8">
      <c r="B4901" t="s">
        <v>7415</v>
      </c>
      <c r="C4901">
        <v>539313.0</v>
      </c>
      <c r="D4901" t="s">
        <v>7416</v>
      </c>
      <c r="E4901" t="s">
        <v>38</v>
      </c>
    </row>
    <row r="4902" spans="8:8">
      <c r="B4902" t="s">
        <v>7417</v>
      </c>
      <c r="C4902">
        <v>539480.0</v>
      </c>
      <c r="D4902" t="s">
        <v>7418</v>
      </c>
      <c r="E4902" t="s">
        <v>38</v>
      </c>
    </row>
    <row r="4903" spans="8:8">
      <c r="B4903" t="s">
        <v>7419</v>
      </c>
      <c r="C4903">
        <v>539487.0</v>
      </c>
      <c r="D4903" t="s">
        <v>7420</v>
      </c>
      <c r="E4903" t="s">
        <v>38</v>
      </c>
    </row>
    <row r="4904" spans="8:8">
      <c r="B4904" t="s">
        <v>7421</v>
      </c>
      <c r="C4904">
        <v>539516.0</v>
      </c>
      <c r="D4904" t="s">
        <v>7422</v>
      </c>
      <c r="E4904" t="s">
        <v>38</v>
      </c>
    </row>
    <row r="4905" spans="8:8">
      <c r="B4905" t="s">
        <v>7423</v>
      </c>
      <c r="C4905">
        <v>539517.0</v>
      </c>
      <c r="D4905" t="s">
        <v>7424</v>
      </c>
      <c r="E4905" t="s">
        <v>38</v>
      </c>
    </row>
    <row r="4906" spans="8:8">
      <c r="B4906" t="s">
        <v>7425</v>
      </c>
      <c r="C4906">
        <v>539561.0</v>
      </c>
      <c r="D4906" t="s">
        <v>7426</v>
      </c>
      <c r="E4906" t="s">
        <v>361</v>
      </c>
    </row>
    <row r="4907" spans="8:8">
      <c r="B4907" t="s">
        <v>7427</v>
      </c>
      <c r="C4907">
        <v>539784.0</v>
      </c>
      <c r="D4907" t="s">
        <v>7428</v>
      </c>
      <c r="E4907" t="s">
        <v>38</v>
      </c>
    </row>
    <row r="4908" spans="8:8">
      <c r="B4908" t="s">
        <v>7429</v>
      </c>
      <c r="C4908">
        <v>539945.0</v>
      </c>
      <c r="D4908" t="s">
        <v>7430</v>
      </c>
      <c r="E4908" t="s">
        <v>38</v>
      </c>
    </row>
    <row r="4909" spans="8:8">
      <c r="B4909" t="s">
        <v>7431</v>
      </c>
      <c r="C4909">
        <v>539980.0</v>
      </c>
      <c r="D4909" t="s">
        <v>7432</v>
      </c>
      <c r="E4909" t="s">
        <v>38</v>
      </c>
    </row>
    <row r="4910" spans="8:8">
      <c r="B4910" t="s">
        <v>7433</v>
      </c>
      <c r="C4910">
        <v>540008.0</v>
      </c>
      <c r="D4910" t="s">
        <v>7434</v>
      </c>
      <c r="E4910" t="s">
        <v>38</v>
      </c>
    </row>
    <row r="4911" spans="8:8">
      <c r="B4911" t="s">
        <v>7435</v>
      </c>
      <c r="C4911">
        <v>540154.0</v>
      </c>
      <c r="D4911" t="s">
        <v>7436</v>
      </c>
      <c r="E4911" t="s">
        <v>38</v>
      </c>
    </row>
    <row r="4912" spans="8:8">
      <c r="B4912" t="s">
        <v>7437</v>
      </c>
      <c r="C4912">
        <v>540333.0</v>
      </c>
      <c r="D4912" t="s">
        <v>7438</v>
      </c>
      <c r="E4912" t="s">
        <v>38</v>
      </c>
    </row>
    <row r="4913" spans="8:8">
      <c r="B4913" t="s">
        <v>7439</v>
      </c>
      <c r="C4913">
        <v>540334.0</v>
      </c>
      <c r="D4913" t="s">
        <v>7440</v>
      </c>
      <c r="E4913" t="s">
        <v>38</v>
      </c>
    </row>
    <row r="4914" spans="8:8">
      <c r="B4914" t="s">
        <v>7441</v>
      </c>
      <c r="C4914">
        <v>540335.0</v>
      </c>
      <c r="D4914" t="s">
        <v>7442</v>
      </c>
      <c r="E4914" t="s">
        <v>38</v>
      </c>
    </row>
    <row r="4915" spans="8:8">
      <c r="B4915" t="s">
        <v>7443</v>
      </c>
      <c r="C4915">
        <v>540336.0</v>
      </c>
      <c r="D4915" t="s">
        <v>7444</v>
      </c>
      <c r="E4915" t="s">
        <v>38</v>
      </c>
    </row>
    <row r="4916" spans="8:8">
      <c r="B4916" t="s">
        <v>7445</v>
      </c>
      <c r="C4916">
        <v>540469.0</v>
      </c>
      <c r="D4916" t="s">
        <v>7446</v>
      </c>
      <c r="E4916" t="s">
        <v>38</v>
      </c>
    </row>
    <row r="4917" spans="8:8">
      <c r="B4917" t="s">
        <v>7447</v>
      </c>
      <c r="C4917">
        <v>540470.0</v>
      </c>
      <c r="D4917" t="s">
        <v>7448</v>
      </c>
      <c r="E4917" t="s">
        <v>38</v>
      </c>
    </row>
    <row r="4918" spans="8:8">
      <c r="B4918" t="s">
        <v>7449</v>
      </c>
      <c r="C4918">
        <v>540538.0</v>
      </c>
      <c r="D4918" t="s">
        <v>7450</v>
      </c>
      <c r="E4918" t="s">
        <v>38</v>
      </c>
    </row>
    <row r="4919" spans="8:8">
      <c r="B4919" t="s">
        <v>7451</v>
      </c>
      <c r="C4919">
        <v>540539.0</v>
      </c>
      <c r="D4919" t="s">
        <v>7452</v>
      </c>
      <c r="E4919" t="s">
        <v>38</v>
      </c>
    </row>
    <row r="4920" spans="8:8">
      <c r="B4920" t="s">
        <v>7453</v>
      </c>
      <c r="C4920">
        <v>540551.0</v>
      </c>
      <c r="D4920" t="s">
        <v>7454</v>
      </c>
      <c r="E4920" t="s">
        <v>38</v>
      </c>
    </row>
    <row r="4921" spans="8:8">
      <c r="B4921" t="s">
        <v>7455</v>
      </c>
      <c r="C4921">
        <v>540552.0</v>
      </c>
      <c r="D4921" t="s">
        <v>7456</v>
      </c>
      <c r="E4921" t="s">
        <v>38</v>
      </c>
    </row>
    <row r="4922" spans="8:8">
      <c r="B4922" t="s">
        <v>7457</v>
      </c>
      <c r="C4922">
        <v>540586.0</v>
      </c>
      <c r="D4922" t="s">
        <v>7458</v>
      </c>
      <c r="E4922" t="s">
        <v>38</v>
      </c>
    </row>
    <row r="4923" spans="8:8">
      <c r="B4923" t="s">
        <v>7459</v>
      </c>
      <c r="C4923">
        <v>540587.0</v>
      </c>
      <c r="D4923" t="s">
        <v>7460</v>
      </c>
      <c r="E4923" t="s">
        <v>38</v>
      </c>
    </row>
    <row r="4924" spans="8:8">
      <c r="B4924" t="s">
        <v>7461</v>
      </c>
      <c r="C4924">
        <v>540588.0</v>
      </c>
      <c r="D4924" t="s">
        <v>7462</v>
      </c>
      <c r="E4924" t="s">
        <v>38</v>
      </c>
    </row>
    <row r="4925" spans="8:8">
      <c r="B4925" t="s">
        <v>7463</v>
      </c>
      <c r="C4925">
        <v>540589.0</v>
      </c>
      <c r="D4925" t="s">
        <v>7464</v>
      </c>
      <c r="E4925" t="s">
        <v>38</v>
      </c>
    </row>
    <row r="4926" spans="8:8">
      <c r="B4926" t="s">
        <v>7465</v>
      </c>
      <c r="C4926">
        <v>540591.0</v>
      </c>
      <c r="D4926" t="s">
        <v>7466</v>
      </c>
      <c r="E4926" t="s">
        <v>38</v>
      </c>
    </row>
    <row r="4927" spans="8:8">
      <c r="B4927" t="s">
        <v>7467</v>
      </c>
      <c r="C4927">
        <v>540592.0</v>
      </c>
      <c r="D4927" t="s">
        <v>7468</v>
      </c>
      <c r="E4927" t="s">
        <v>38</v>
      </c>
    </row>
    <row r="4928" spans="8:8">
      <c r="B4928" t="s">
        <v>7469</v>
      </c>
      <c r="C4928">
        <v>540593.0</v>
      </c>
      <c r="D4928" t="s">
        <v>7470</v>
      </c>
      <c r="E4928" t="s">
        <v>38</v>
      </c>
    </row>
    <row r="4929" spans="8:8">
      <c r="B4929" t="s">
        <v>7471</v>
      </c>
      <c r="C4929">
        <v>540594.0</v>
      </c>
      <c r="D4929" t="s">
        <v>7472</v>
      </c>
      <c r="E4929" t="s">
        <v>38</v>
      </c>
    </row>
    <row r="4930" spans="8:8">
      <c r="B4930" t="s">
        <v>7473</v>
      </c>
      <c r="C4930">
        <v>540612.0</v>
      </c>
      <c r="D4930" t="s">
        <v>7474</v>
      </c>
      <c r="E4930" t="s">
        <v>38</v>
      </c>
    </row>
    <row r="4931" spans="8:8">
      <c r="B4931" t="s">
        <v>7475</v>
      </c>
      <c r="C4931">
        <v>540617.0</v>
      </c>
      <c r="D4931" t="s">
        <v>7476</v>
      </c>
      <c r="E4931" t="s">
        <v>38</v>
      </c>
    </row>
    <row r="4932" spans="8:8">
      <c r="B4932" t="s">
        <v>7477</v>
      </c>
      <c r="C4932">
        <v>540618.0</v>
      </c>
      <c r="D4932" t="s">
        <v>7478</v>
      </c>
      <c r="E4932" t="s">
        <v>38</v>
      </c>
    </row>
    <row r="4933" spans="8:8">
      <c r="B4933" t="s">
        <v>7479</v>
      </c>
      <c r="C4933">
        <v>540619.0</v>
      </c>
      <c r="D4933" t="s">
        <v>7480</v>
      </c>
      <c r="E4933" t="s">
        <v>38</v>
      </c>
    </row>
    <row r="4934" spans="8:8">
      <c r="B4934" t="s">
        <v>7481</v>
      </c>
      <c r="C4934">
        <v>540620.0</v>
      </c>
      <c r="D4934" t="s">
        <v>7482</v>
      </c>
      <c r="E4934" t="s">
        <v>38</v>
      </c>
    </row>
    <row r="4935" spans="8:8">
      <c r="B4935" t="s">
        <v>7483</v>
      </c>
      <c r="C4935">
        <v>540626.0</v>
      </c>
      <c r="D4935" t="s">
        <v>7484</v>
      </c>
      <c r="E4935" t="s">
        <v>38</v>
      </c>
    </row>
    <row r="4936" spans="8:8">
      <c r="B4936" t="s">
        <v>7485</v>
      </c>
      <c r="C4936">
        <v>540627.0</v>
      </c>
      <c r="D4936" t="s">
        <v>7486</v>
      </c>
      <c r="E4936" t="s">
        <v>38</v>
      </c>
    </row>
    <row r="4937" spans="8:8">
      <c r="B4937" t="s">
        <v>7487</v>
      </c>
      <c r="C4937">
        <v>540629.0</v>
      </c>
      <c r="D4937" t="s">
        <v>7488</v>
      </c>
      <c r="E4937" t="s">
        <v>38</v>
      </c>
    </row>
    <row r="4938" spans="8:8">
      <c r="B4938" t="s">
        <v>7489</v>
      </c>
      <c r="C4938">
        <v>540631.0</v>
      </c>
      <c r="D4938" t="s">
        <v>7490</v>
      </c>
      <c r="E4938" t="s">
        <v>38</v>
      </c>
    </row>
    <row r="4939" spans="8:8">
      <c r="B4939" t="s">
        <v>7491</v>
      </c>
      <c r="C4939">
        <v>540634.0</v>
      </c>
      <c r="D4939" t="s">
        <v>7492</v>
      </c>
      <c r="E4939" t="s">
        <v>38</v>
      </c>
    </row>
    <row r="4940" spans="8:8">
      <c r="B4940" t="s">
        <v>7493</v>
      </c>
      <c r="C4940">
        <v>540635.0</v>
      </c>
      <c r="D4940" t="s">
        <v>7494</v>
      </c>
      <c r="E4940" t="s">
        <v>38</v>
      </c>
    </row>
    <row r="4941" spans="8:8">
      <c r="B4941" t="s">
        <v>7495</v>
      </c>
      <c r="C4941">
        <v>540636.0</v>
      </c>
      <c r="D4941" t="s">
        <v>7496</v>
      </c>
      <c r="E4941" t="s">
        <v>38</v>
      </c>
    </row>
    <row r="4942" spans="8:8">
      <c r="B4942" t="s">
        <v>7497</v>
      </c>
      <c r="C4942">
        <v>540637.0</v>
      </c>
      <c r="D4942" t="s">
        <v>7498</v>
      </c>
      <c r="E4942" t="s">
        <v>38</v>
      </c>
    </row>
    <row r="4943" spans="8:8">
      <c r="B4943" t="s">
        <v>7499</v>
      </c>
      <c r="C4943">
        <v>540669.0</v>
      </c>
      <c r="D4943" t="s">
        <v>7500</v>
      </c>
      <c r="E4943" t="s">
        <v>38</v>
      </c>
    </row>
    <row r="4944" spans="8:8">
      <c r="B4944" t="s">
        <v>7501</v>
      </c>
      <c r="C4944">
        <v>540671.0</v>
      </c>
      <c r="D4944" t="s">
        <v>7502</v>
      </c>
      <c r="E4944" t="s">
        <v>38</v>
      </c>
    </row>
    <row r="4945" spans="8:8">
      <c r="B4945" t="s">
        <v>7503</v>
      </c>
      <c r="C4945">
        <v>540672.0</v>
      </c>
      <c r="D4945" t="s">
        <v>7504</v>
      </c>
      <c r="E4945" t="s">
        <v>38</v>
      </c>
    </row>
    <row r="4946" spans="8:8">
      <c r="B4946" t="s">
        <v>7505</v>
      </c>
      <c r="C4946">
        <v>540682.0</v>
      </c>
      <c r="D4946" t="s">
        <v>7506</v>
      </c>
      <c r="E4946" t="s">
        <v>38</v>
      </c>
    </row>
    <row r="4947" spans="8:8">
      <c r="B4947" t="s">
        <v>7507</v>
      </c>
      <c r="C4947">
        <v>540683.0</v>
      </c>
      <c r="D4947" t="s">
        <v>7508</v>
      </c>
      <c r="E4947" t="s">
        <v>38</v>
      </c>
    </row>
    <row r="4948" spans="8:8">
      <c r="B4948" t="s">
        <v>7509</v>
      </c>
      <c r="C4948">
        <v>540684.0</v>
      </c>
      <c r="D4948" t="s">
        <v>7510</v>
      </c>
      <c r="E4948" t="s">
        <v>38</v>
      </c>
    </row>
    <row r="4949" spans="8:8">
      <c r="B4949" t="s">
        <v>7511</v>
      </c>
      <c r="C4949">
        <v>540685.0</v>
      </c>
      <c r="D4949" t="s">
        <v>7512</v>
      </c>
      <c r="E4949" t="s">
        <v>38</v>
      </c>
    </row>
    <row r="4950" spans="8:8">
      <c r="B4950" t="s">
        <v>7513</v>
      </c>
      <c r="C4950">
        <v>540711.0</v>
      </c>
      <c r="D4950" t="s">
        <v>7514</v>
      </c>
      <c r="E4950" t="s">
        <v>38</v>
      </c>
    </row>
    <row r="4951" spans="8:8">
      <c r="B4951" t="s">
        <v>7515</v>
      </c>
      <c r="C4951">
        <v>540712.0</v>
      </c>
      <c r="D4951" t="s">
        <v>7516</v>
      </c>
      <c r="E4951" t="s">
        <v>38</v>
      </c>
    </row>
    <row r="4952" spans="8:8">
      <c r="B4952" t="s">
        <v>7517</v>
      </c>
      <c r="C4952">
        <v>540713.0</v>
      </c>
      <c r="D4952" t="s">
        <v>7518</v>
      </c>
      <c r="E4952" t="s">
        <v>38</v>
      </c>
    </row>
    <row r="4953" spans="8:8">
      <c r="B4953" t="s">
        <v>7519</v>
      </c>
      <c r="C4953">
        <v>540714.0</v>
      </c>
      <c r="D4953" t="s">
        <v>7520</v>
      </c>
      <c r="E4953" t="s">
        <v>38</v>
      </c>
    </row>
    <row r="4954" spans="8:8">
      <c r="B4954" t="s">
        <v>7521</v>
      </c>
      <c r="C4954">
        <v>540739.0</v>
      </c>
      <c r="D4954" t="s">
        <v>7522</v>
      </c>
      <c r="E4954" t="s">
        <v>38</v>
      </c>
    </row>
    <row r="4955" spans="8:8">
      <c r="B4955" t="s">
        <v>7523</v>
      </c>
      <c r="C4955">
        <v>540740.0</v>
      </c>
      <c r="D4955" t="s">
        <v>7524</v>
      </c>
      <c r="E4955" t="s">
        <v>38</v>
      </c>
    </row>
    <row r="4956" spans="8:8">
      <c r="B4956" t="s">
        <v>7525</v>
      </c>
      <c r="C4956">
        <v>540741.0</v>
      </c>
      <c r="D4956" t="s">
        <v>7526</v>
      </c>
      <c r="E4956" t="s">
        <v>38</v>
      </c>
    </row>
    <row r="4957" spans="8:8">
      <c r="B4957" t="s">
        <v>7527</v>
      </c>
      <c r="C4957">
        <v>540742.0</v>
      </c>
      <c r="D4957" t="s">
        <v>7528</v>
      </c>
      <c r="E4957" t="s">
        <v>38</v>
      </c>
    </row>
    <row r="4958" spans="8:8">
      <c r="B4958" t="s">
        <v>7529</v>
      </c>
      <c r="C4958">
        <v>540763.0</v>
      </c>
      <c r="D4958" t="s">
        <v>7530</v>
      </c>
      <c r="E4958" t="s">
        <v>38</v>
      </c>
    </row>
    <row r="4959" spans="8:8">
      <c r="B4959" t="s">
        <v>7531</v>
      </c>
      <c r="C4959">
        <v>540764.0</v>
      </c>
      <c r="D4959" t="s">
        <v>7532</v>
      </c>
      <c r="E4959" t="s">
        <v>38</v>
      </c>
    </row>
    <row r="4960" spans="8:8">
      <c r="B4960" t="s">
        <v>7533</v>
      </c>
      <c r="C4960">
        <v>540765.0</v>
      </c>
      <c r="D4960" t="s">
        <v>7534</v>
      </c>
      <c r="E4960" t="s">
        <v>38</v>
      </c>
    </row>
    <row r="4961" spans="8:8">
      <c r="B4961" t="s">
        <v>7535</v>
      </c>
      <c r="C4961">
        <v>540766.0</v>
      </c>
      <c r="D4961" t="s">
        <v>7536</v>
      </c>
      <c r="E4961" t="s">
        <v>38</v>
      </c>
    </row>
    <row r="4962" spans="8:8">
      <c r="B4962" t="s">
        <v>7537</v>
      </c>
      <c r="C4962">
        <v>540778.0</v>
      </c>
      <c r="D4962" t="s">
        <v>7538</v>
      </c>
      <c r="E4962" t="s">
        <v>38</v>
      </c>
    </row>
    <row r="4963" spans="8:8">
      <c r="B4963" t="s">
        <v>7539</v>
      </c>
      <c r="C4963">
        <v>540779.0</v>
      </c>
      <c r="D4963" t="s">
        <v>7540</v>
      </c>
      <c r="E4963" t="s">
        <v>38</v>
      </c>
    </row>
    <row r="4964" spans="8:8">
      <c r="B4964" t="s">
        <v>7541</v>
      </c>
      <c r="C4964">
        <v>540780.0</v>
      </c>
      <c r="D4964" t="s">
        <v>7542</v>
      </c>
      <c r="E4964" t="s">
        <v>38</v>
      </c>
    </row>
    <row r="4965" spans="8:8">
      <c r="B4965" t="s">
        <v>7543</v>
      </c>
      <c r="C4965">
        <v>540781.0</v>
      </c>
      <c r="D4965" t="s">
        <v>7544</v>
      </c>
      <c r="E4965" t="s">
        <v>38</v>
      </c>
    </row>
    <row r="4966" spans="8:8">
      <c r="B4966" t="s">
        <v>7545</v>
      </c>
      <c r="C4966">
        <v>540787.0</v>
      </c>
      <c r="D4966" t="s">
        <v>7546</v>
      </c>
      <c r="E4966" t="s">
        <v>38</v>
      </c>
    </row>
    <row r="4967" spans="8:8">
      <c r="B4967" t="s">
        <v>7547</v>
      </c>
      <c r="C4967">
        <v>540791.0</v>
      </c>
      <c r="D4967" t="s">
        <v>7548</v>
      </c>
      <c r="E4967" t="s">
        <v>38</v>
      </c>
    </row>
    <row r="4968" spans="8:8">
      <c r="B4968" t="s">
        <v>7549</v>
      </c>
      <c r="C4968">
        <v>540792.0</v>
      </c>
      <c r="D4968" t="s">
        <v>7550</v>
      </c>
      <c r="E4968" t="s">
        <v>38</v>
      </c>
    </row>
    <row r="4969" spans="8:8">
      <c r="B4969" t="s">
        <v>7551</v>
      </c>
      <c r="C4969">
        <v>540793.0</v>
      </c>
      <c r="D4969" t="s">
        <v>7552</v>
      </c>
      <c r="E4969" t="s">
        <v>38</v>
      </c>
    </row>
    <row r="4970" spans="8:8">
      <c r="B4970" t="s">
        <v>7553</v>
      </c>
      <c r="C4970">
        <v>540794.0</v>
      </c>
      <c r="D4970" t="s">
        <v>7554</v>
      </c>
      <c r="E4970" t="s">
        <v>38</v>
      </c>
    </row>
    <row r="4971" spans="8:8">
      <c r="B4971" t="s">
        <v>7555</v>
      </c>
      <c r="C4971">
        <v>540799.0</v>
      </c>
      <c r="D4971" t="s">
        <v>7556</v>
      </c>
      <c r="E4971" t="s">
        <v>38</v>
      </c>
    </row>
    <row r="4972" spans="8:8">
      <c r="B4972" t="s">
        <v>7557</v>
      </c>
      <c r="C4972">
        <v>540800.0</v>
      </c>
      <c r="D4972" t="s">
        <v>7558</v>
      </c>
      <c r="E4972" t="s">
        <v>38</v>
      </c>
    </row>
    <row r="4973" spans="8:8">
      <c r="B4973" t="s">
        <v>7559</v>
      </c>
      <c r="C4973">
        <v>540801.0</v>
      </c>
      <c r="D4973" t="s">
        <v>7560</v>
      </c>
      <c r="E4973" t="s">
        <v>38</v>
      </c>
    </row>
    <row r="4974" spans="8:8">
      <c r="B4974" t="s">
        <v>7561</v>
      </c>
      <c r="C4974">
        <v>540802.0</v>
      </c>
      <c r="D4974" t="s">
        <v>7562</v>
      </c>
      <c r="E4974" t="s">
        <v>38</v>
      </c>
    </row>
    <row r="4975" spans="8:8">
      <c r="B4975" t="s">
        <v>7563</v>
      </c>
      <c r="C4975">
        <v>540825.0</v>
      </c>
      <c r="D4975" t="s">
        <v>7564</v>
      </c>
      <c r="E4975" t="s">
        <v>38</v>
      </c>
    </row>
    <row r="4976" spans="8:8">
      <c r="B4976" t="s">
        <v>7565</v>
      </c>
      <c r="C4976">
        <v>540826.0</v>
      </c>
      <c r="D4976" t="s">
        <v>7566</v>
      </c>
      <c r="E4976" t="s">
        <v>38</v>
      </c>
    </row>
    <row r="4977" spans="8:8">
      <c r="B4977" t="s">
        <v>7567</v>
      </c>
      <c r="C4977">
        <v>540827.0</v>
      </c>
      <c r="D4977" t="s">
        <v>7568</v>
      </c>
      <c r="E4977" t="s">
        <v>38</v>
      </c>
    </row>
    <row r="4978" spans="8:8">
      <c r="B4978" t="s">
        <v>7569</v>
      </c>
      <c r="C4978">
        <v>540828.0</v>
      </c>
      <c r="D4978" t="s">
        <v>7570</v>
      </c>
      <c r="E4978" t="s">
        <v>38</v>
      </c>
    </row>
    <row r="4979" spans="8:8">
      <c r="B4979" t="s">
        <v>7571</v>
      </c>
      <c r="C4979">
        <v>540861.0</v>
      </c>
      <c r="D4979" t="s">
        <v>7572</v>
      </c>
      <c r="E4979" t="s">
        <v>38</v>
      </c>
    </row>
    <row r="4980" spans="8:8">
      <c r="B4980" t="s">
        <v>7573</v>
      </c>
      <c r="C4980">
        <v>540862.0</v>
      </c>
      <c r="D4980" t="s">
        <v>7574</v>
      </c>
      <c r="E4980" t="s">
        <v>38</v>
      </c>
    </row>
    <row r="4981" spans="8:8">
      <c r="B4981" t="s">
        <v>7575</v>
      </c>
      <c r="C4981">
        <v>540863.0</v>
      </c>
      <c r="D4981" t="s">
        <v>7576</v>
      </c>
      <c r="E4981" t="s">
        <v>38</v>
      </c>
    </row>
    <row r="4982" spans="8:8">
      <c r="B4982" t="s">
        <v>7577</v>
      </c>
      <c r="C4982">
        <v>540864.0</v>
      </c>
      <c r="D4982" t="s">
        <v>7578</v>
      </c>
      <c r="E4982" t="s">
        <v>38</v>
      </c>
    </row>
    <row r="4983" spans="8:8">
      <c r="B4983" t="s">
        <v>7579</v>
      </c>
      <c r="C4983">
        <v>540896.0</v>
      </c>
      <c r="D4983" t="s">
        <v>7580</v>
      </c>
      <c r="E4983" t="s">
        <v>38</v>
      </c>
    </row>
    <row r="4984" spans="8:8">
      <c r="B4984" t="s">
        <v>7581</v>
      </c>
      <c r="C4984">
        <v>540897.0</v>
      </c>
      <c r="D4984" t="s">
        <v>7582</v>
      </c>
      <c r="E4984" t="s">
        <v>38</v>
      </c>
    </row>
    <row r="4985" spans="8:8">
      <c r="B4985" t="s">
        <v>7583</v>
      </c>
      <c r="C4985">
        <v>540898.0</v>
      </c>
      <c r="D4985" t="s">
        <v>7584</v>
      </c>
      <c r="E4985" t="s">
        <v>38</v>
      </c>
    </row>
    <row r="4986" spans="8:8">
      <c r="B4986" t="s">
        <v>7585</v>
      </c>
      <c r="C4986">
        <v>540899.0</v>
      </c>
      <c r="D4986" t="s">
        <v>7586</v>
      </c>
      <c r="E4986" t="s">
        <v>38</v>
      </c>
    </row>
    <row r="4987" spans="8:8">
      <c r="B4987" t="s">
        <v>7587</v>
      </c>
      <c r="C4987">
        <v>540947.0</v>
      </c>
      <c r="D4987" t="s">
        <v>7588</v>
      </c>
      <c r="E4987" t="s">
        <v>38</v>
      </c>
    </row>
    <row r="4988" spans="8:8">
      <c r="B4988" t="s">
        <v>7589</v>
      </c>
      <c r="C4988">
        <v>540949.0</v>
      </c>
      <c r="D4988" t="s">
        <v>7590</v>
      </c>
      <c r="E4988" t="s">
        <v>38</v>
      </c>
    </row>
    <row r="4989" spans="8:8">
      <c r="B4989" t="s">
        <v>7591</v>
      </c>
      <c r="C4989">
        <v>540950.0</v>
      </c>
      <c r="D4989" t="s">
        <v>7592</v>
      </c>
      <c r="E4989" t="s">
        <v>38</v>
      </c>
    </row>
    <row r="4990" spans="8:8">
      <c r="B4990" t="s">
        <v>7593</v>
      </c>
      <c r="C4990">
        <v>540951.0</v>
      </c>
      <c r="D4990" t="s">
        <v>7594</v>
      </c>
      <c r="E4990" t="s">
        <v>38</v>
      </c>
    </row>
    <row r="4991" spans="8:8">
      <c r="B4991" t="s">
        <v>7595</v>
      </c>
      <c r="C4991">
        <v>540981.0</v>
      </c>
      <c r="D4991" t="s">
        <v>7596</v>
      </c>
      <c r="E4991" t="s">
        <v>38</v>
      </c>
    </row>
    <row r="4992" spans="8:8">
      <c r="B4992" t="s">
        <v>7597</v>
      </c>
      <c r="C4992">
        <v>540982.0</v>
      </c>
      <c r="D4992" t="s">
        <v>7598</v>
      </c>
      <c r="E4992" t="s">
        <v>38</v>
      </c>
    </row>
    <row r="4993" spans="8:8">
      <c r="B4993" t="s">
        <v>7599</v>
      </c>
      <c r="C4993">
        <v>540983.0</v>
      </c>
      <c r="D4993" t="s">
        <v>7600</v>
      </c>
      <c r="E4993" t="s">
        <v>38</v>
      </c>
    </row>
    <row r="4994" spans="8:8">
      <c r="B4994" t="s">
        <v>7601</v>
      </c>
      <c r="C4994">
        <v>540984.0</v>
      </c>
      <c r="D4994" t="s">
        <v>7602</v>
      </c>
      <c r="E4994" t="s">
        <v>38</v>
      </c>
    </row>
    <row r="4995" spans="8:8">
      <c r="B4995" t="s">
        <v>7603</v>
      </c>
      <c r="C4995">
        <v>541068.0</v>
      </c>
      <c r="D4995" t="s">
        <v>7604</v>
      </c>
      <c r="E4995" t="s">
        <v>38</v>
      </c>
    </row>
    <row r="4996" spans="8:8">
      <c r="B4996" t="s">
        <v>7605</v>
      </c>
      <c r="C4996">
        <v>541069.0</v>
      </c>
      <c r="D4996" t="s">
        <v>7606</v>
      </c>
      <c r="E4996" t="s">
        <v>38</v>
      </c>
    </row>
    <row r="4997" spans="8:8">
      <c r="B4997" t="s">
        <v>7607</v>
      </c>
      <c r="C4997">
        <v>541070.0</v>
      </c>
      <c r="D4997" t="s">
        <v>7608</v>
      </c>
      <c r="E4997" t="s">
        <v>38</v>
      </c>
    </row>
    <row r="4998" spans="8:8">
      <c r="B4998" t="s">
        <v>7609</v>
      </c>
      <c r="C4998">
        <v>541071.0</v>
      </c>
      <c r="D4998" t="s">
        <v>7610</v>
      </c>
      <c r="E4998" t="s">
        <v>38</v>
      </c>
    </row>
    <row r="4999" spans="8:8">
      <c r="B4999" t="s">
        <v>7611</v>
      </c>
      <c r="C4999">
        <v>541084.0</v>
      </c>
      <c r="D4999" t="s">
        <v>7612</v>
      </c>
      <c r="E4999" t="s">
        <v>38</v>
      </c>
    </row>
    <row r="5000" spans="8:8">
      <c r="B5000" t="s">
        <v>7613</v>
      </c>
      <c r="C5000">
        <v>541085.0</v>
      </c>
      <c r="D5000" t="s">
        <v>7614</v>
      </c>
      <c r="E5000" t="s">
        <v>38</v>
      </c>
    </row>
    <row r="5001" spans="8:8">
      <c r="B5001" t="s">
        <v>7615</v>
      </c>
      <c r="C5001">
        <v>541086.0</v>
      </c>
      <c r="D5001" t="s">
        <v>7616</v>
      </c>
      <c r="E5001" t="s">
        <v>38</v>
      </c>
    </row>
    <row r="5002" spans="8:8">
      <c r="B5002" t="s">
        <v>7617</v>
      </c>
      <c r="C5002">
        <v>541087.0</v>
      </c>
      <c r="D5002" t="s">
        <v>7618</v>
      </c>
      <c r="E5002" t="s">
        <v>38</v>
      </c>
    </row>
    <row r="5003" spans="8:8">
      <c r="B5003" t="s">
        <v>7619</v>
      </c>
      <c r="C5003">
        <v>541092.0</v>
      </c>
      <c r="D5003" t="s">
        <v>7620</v>
      </c>
      <c r="E5003" t="s">
        <v>38</v>
      </c>
    </row>
    <row r="5004" spans="8:8">
      <c r="B5004" t="s">
        <v>7621</v>
      </c>
      <c r="C5004">
        <v>541093.0</v>
      </c>
      <c r="D5004" t="s">
        <v>7622</v>
      </c>
      <c r="E5004" t="s">
        <v>38</v>
      </c>
    </row>
    <row r="5005" spans="8:8">
      <c r="B5005" t="s">
        <v>7623</v>
      </c>
      <c r="C5005">
        <v>541094.0</v>
      </c>
      <c r="D5005" t="s">
        <v>7624</v>
      </c>
      <c r="E5005" t="s">
        <v>38</v>
      </c>
    </row>
    <row r="5006" spans="8:8">
      <c r="B5006" t="s">
        <v>7625</v>
      </c>
      <c r="C5006">
        <v>541095.0</v>
      </c>
      <c r="D5006" t="s">
        <v>7626</v>
      </c>
      <c r="E5006" t="s">
        <v>38</v>
      </c>
    </row>
    <row r="5007" spans="8:8">
      <c r="B5007" t="s">
        <v>7627</v>
      </c>
      <c r="C5007">
        <v>541252.0</v>
      </c>
      <c r="D5007" t="s">
        <v>7628</v>
      </c>
      <c r="E5007" t="s">
        <v>38</v>
      </c>
    </row>
    <row r="5008" spans="8:8">
      <c r="B5008" t="s">
        <v>7629</v>
      </c>
      <c r="C5008">
        <v>541253.0</v>
      </c>
      <c r="D5008" t="s">
        <v>7630</v>
      </c>
      <c r="E5008" t="s">
        <v>38</v>
      </c>
    </row>
    <row r="5009" spans="8:8">
      <c r="B5009" t="s">
        <v>7631</v>
      </c>
      <c r="C5009">
        <v>541254.0</v>
      </c>
      <c r="D5009" t="s">
        <v>7632</v>
      </c>
      <c r="E5009" t="s">
        <v>38</v>
      </c>
    </row>
    <row r="5010" spans="8:8">
      <c r="B5010" t="s">
        <v>7633</v>
      </c>
      <c r="C5010">
        <v>541255.0</v>
      </c>
      <c r="D5010" t="s">
        <v>7634</v>
      </c>
      <c r="E5010" t="s">
        <v>38</v>
      </c>
    </row>
    <row r="5011" spans="8:8">
      <c r="B5011" t="s">
        <v>7635</v>
      </c>
      <c r="C5011">
        <v>541300.0</v>
      </c>
      <c r="D5011" t="s">
        <v>7636</v>
      </c>
      <c r="E5011" t="s">
        <v>38</v>
      </c>
    </row>
    <row r="5012" spans="8:8">
      <c r="B5012" t="s">
        <v>7637</v>
      </c>
      <c r="C5012">
        <v>541309.0</v>
      </c>
      <c r="D5012" t="s">
        <v>7638</v>
      </c>
      <c r="E5012" t="s">
        <v>38</v>
      </c>
    </row>
    <row r="5013" spans="8:8">
      <c r="B5013" t="s">
        <v>7639</v>
      </c>
      <c r="C5013">
        <v>541310.0</v>
      </c>
      <c r="D5013" t="s">
        <v>7640</v>
      </c>
      <c r="E5013" t="s">
        <v>38</v>
      </c>
    </row>
    <row r="5014" spans="8:8">
      <c r="B5014" t="s">
        <v>7641</v>
      </c>
      <c r="C5014">
        <v>541311.0</v>
      </c>
      <c r="D5014" t="s">
        <v>7642</v>
      </c>
      <c r="E5014" t="s">
        <v>38</v>
      </c>
    </row>
    <row r="5015" spans="8:8">
      <c r="B5015" t="s">
        <v>7643</v>
      </c>
      <c r="C5015">
        <v>541312.0</v>
      </c>
      <c r="D5015" t="s">
        <v>7644</v>
      </c>
      <c r="E5015" t="s">
        <v>38</v>
      </c>
    </row>
    <row r="5016" spans="8:8">
      <c r="B5016" t="s">
        <v>7645</v>
      </c>
      <c r="C5016">
        <v>541313.0</v>
      </c>
      <c r="D5016" t="s">
        <v>7646</v>
      </c>
      <c r="E5016" t="s">
        <v>38</v>
      </c>
    </row>
    <row r="5017" spans="8:8">
      <c r="B5017" t="s">
        <v>7647</v>
      </c>
      <c r="C5017">
        <v>541341.0</v>
      </c>
      <c r="D5017" t="s">
        <v>7648</v>
      </c>
      <c r="E5017" t="s">
        <v>38</v>
      </c>
    </row>
    <row r="5018" spans="8:8">
      <c r="B5018" t="s">
        <v>7649</v>
      </c>
      <c r="C5018">
        <v>541343.0</v>
      </c>
      <c r="D5018" t="s">
        <v>7650</v>
      </c>
      <c r="E5018" t="s">
        <v>38</v>
      </c>
    </row>
    <row r="5019" spans="8:8">
      <c r="B5019" t="s">
        <v>7651</v>
      </c>
      <c r="C5019">
        <v>541345.0</v>
      </c>
      <c r="D5019" t="s">
        <v>7652</v>
      </c>
      <c r="E5019" t="s">
        <v>38</v>
      </c>
    </row>
    <row r="5020" spans="8:8">
      <c r="B5020" t="s">
        <v>7653</v>
      </c>
      <c r="C5020">
        <v>541346.0</v>
      </c>
      <c r="D5020" t="s">
        <v>7654</v>
      </c>
      <c r="E5020" t="s">
        <v>38</v>
      </c>
    </row>
    <row r="5021" spans="8:8">
      <c r="B5021" t="s">
        <v>7655</v>
      </c>
      <c r="C5021">
        <v>541672.0</v>
      </c>
      <c r="D5021" t="s">
        <v>7656</v>
      </c>
      <c r="E5021" t="s">
        <v>38</v>
      </c>
    </row>
    <row r="5022" spans="8:8">
      <c r="B5022" t="s">
        <v>7657</v>
      </c>
      <c r="C5022">
        <v>541673.0</v>
      </c>
      <c r="D5022" t="s">
        <v>7658</v>
      </c>
      <c r="E5022" t="s">
        <v>38</v>
      </c>
    </row>
    <row r="5023" spans="8:8">
      <c r="B5023" t="s">
        <v>7659</v>
      </c>
      <c r="C5023">
        <v>541674.0</v>
      </c>
      <c r="D5023" t="s">
        <v>7660</v>
      </c>
      <c r="E5023" t="s">
        <v>38</v>
      </c>
    </row>
    <row r="5024" spans="8:8">
      <c r="B5024" t="s">
        <v>7661</v>
      </c>
      <c r="C5024">
        <v>541675.0</v>
      </c>
      <c r="D5024" t="s">
        <v>7662</v>
      </c>
      <c r="E5024" t="s">
        <v>38</v>
      </c>
    </row>
    <row r="5025" spans="8:8">
      <c r="B5025" t="s">
        <v>7663</v>
      </c>
      <c r="C5025">
        <v>541676.0</v>
      </c>
      <c r="D5025" t="s">
        <v>7664</v>
      </c>
      <c r="E5025" t="s">
        <v>38</v>
      </c>
    </row>
    <row r="5026" spans="8:8">
      <c r="B5026" t="s">
        <v>7665</v>
      </c>
      <c r="C5026">
        <v>541677.0</v>
      </c>
      <c r="D5026" t="s">
        <v>7666</v>
      </c>
      <c r="E5026" t="s">
        <v>38</v>
      </c>
    </row>
    <row r="5027" spans="8:8">
      <c r="B5027" t="s">
        <v>7667</v>
      </c>
      <c r="C5027">
        <v>541678.0</v>
      </c>
      <c r="D5027" t="s">
        <v>7668</v>
      </c>
      <c r="E5027" t="s">
        <v>38</v>
      </c>
    </row>
    <row r="5028" spans="8:8">
      <c r="B5028" t="s">
        <v>7669</v>
      </c>
      <c r="C5028">
        <v>541679.0</v>
      </c>
      <c r="D5028" t="s">
        <v>7670</v>
      </c>
      <c r="E5028" t="s">
        <v>38</v>
      </c>
    </row>
    <row r="5029" spans="8:8">
      <c r="B5029" t="s">
        <v>7671</v>
      </c>
      <c r="C5029">
        <v>541725.0</v>
      </c>
      <c r="D5029" t="s">
        <v>7672</v>
      </c>
      <c r="E5029" t="s">
        <v>38</v>
      </c>
    </row>
    <row r="5030" spans="8:8">
      <c r="B5030" t="s">
        <v>7673</v>
      </c>
      <c r="C5030">
        <v>541726.0</v>
      </c>
      <c r="D5030" t="s">
        <v>7674</v>
      </c>
      <c r="E5030" t="s">
        <v>38</v>
      </c>
    </row>
    <row r="5031" spans="8:8">
      <c r="B5031" t="s">
        <v>7675</v>
      </c>
      <c r="C5031">
        <v>541727.0</v>
      </c>
      <c r="D5031" t="s">
        <v>7676</v>
      </c>
      <c r="E5031" t="s">
        <v>38</v>
      </c>
    </row>
    <row r="5032" spans="8:8">
      <c r="B5032" t="s">
        <v>7677</v>
      </c>
      <c r="C5032">
        <v>541728.0</v>
      </c>
      <c r="D5032" t="s">
        <v>7678</v>
      </c>
      <c r="E5032" t="s">
        <v>38</v>
      </c>
    </row>
    <row r="5033" spans="8:8">
      <c r="B5033" t="s">
        <v>7679</v>
      </c>
      <c r="C5033">
        <v>541742.0</v>
      </c>
      <c r="D5033" t="s">
        <v>7680</v>
      </c>
      <c r="E5033" t="s">
        <v>38</v>
      </c>
    </row>
    <row r="5034" spans="8:8">
      <c r="B5034" t="s">
        <v>7681</v>
      </c>
      <c r="C5034">
        <v>541743.0</v>
      </c>
      <c r="D5034" t="s">
        <v>7682</v>
      </c>
      <c r="E5034" t="s">
        <v>38</v>
      </c>
    </row>
    <row r="5035" spans="8:8">
      <c r="B5035" t="s">
        <v>7683</v>
      </c>
      <c r="C5035">
        <v>541744.0</v>
      </c>
      <c r="D5035" t="s">
        <v>7684</v>
      </c>
      <c r="E5035" t="s">
        <v>38</v>
      </c>
    </row>
    <row r="5036" spans="8:8">
      <c r="B5036" t="s">
        <v>7685</v>
      </c>
      <c r="C5036">
        <v>541745.0</v>
      </c>
      <c r="D5036" t="s">
        <v>7686</v>
      </c>
      <c r="E5036" t="s">
        <v>38</v>
      </c>
    </row>
    <row r="5037" spans="8:8">
      <c r="B5037" t="s">
        <v>7687</v>
      </c>
      <c r="C5037">
        <v>541804.0</v>
      </c>
      <c r="D5037" t="s">
        <v>7688</v>
      </c>
      <c r="E5037" t="s">
        <v>38</v>
      </c>
    </row>
    <row r="5038" spans="8:8">
      <c r="B5038" t="s">
        <v>7689</v>
      </c>
      <c r="C5038">
        <v>541805.0</v>
      </c>
      <c r="D5038" t="s">
        <v>7690</v>
      </c>
      <c r="E5038" t="s">
        <v>38</v>
      </c>
    </row>
    <row r="5039" spans="8:8">
      <c r="B5039" t="s">
        <v>7691</v>
      </c>
      <c r="C5039">
        <v>541806.0</v>
      </c>
      <c r="D5039" t="s">
        <v>7692</v>
      </c>
      <c r="E5039" t="s">
        <v>38</v>
      </c>
    </row>
    <row r="5040" spans="8:8">
      <c r="B5040" t="s">
        <v>7693</v>
      </c>
      <c r="C5040">
        <v>541807.0</v>
      </c>
      <c r="D5040" t="s">
        <v>7694</v>
      </c>
      <c r="E5040" t="s">
        <v>38</v>
      </c>
    </row>
    <row r="5041" spans="8:8">
      <c r="B5041" t="s">
        <v>7695</v>
      </c>
      <c r="C5041">
        <v>541809.0</v>
      </c>
      <c r="D5041" t="s">
        <v>7696</v>
      </c>
      <c r="E5041" t="s">
        <v>38</v>
      </c>
    </row>
    <row r="5042" spans="8:8">
      <c r="B5042" t="s">
        <v>7697</v>
      </c>
      <c r="C5042">
        <v>541879.0</v>
      </c>
      <c r="D5042" t="s">
        <v>7698</v>
      </c>
      <c r="E5042" t="s">
        <v>38</v>
      </c>
    </row>
    <row r="5043" spans="8:8">
      <c r="B5043" t="s">
        <v>7699</v>
      </c>
      <c r="C5043">
        <v>541881.0</v>
      </c>
      <c r="D5043" t="s">
        <v>7700</v>
      </c>
      <c r="E5043" t="s">
        <v>38</v>
      </c>
    </row>
    <row r="5044" spans="8:8">
      <c r="B5044" t="s">
        <v>7701</v>
      </c>
      <c r="C5044">
        <v>541882.0</v>
      </c>
      <c r="D5044" t="s">
        <v>7702</v>
      </c>
      <c r="E5044" t="s">
        <v>38</v>
      </c>
    </row>
    <row r="5045" spans="8:8">
      <c r="B5045" t="s">
        <v>7703</v>
      </c>
      <c r="C5045">
        <v>541884.0</v>
      </c>
      <c r="D5045" t="s">
        <v>7704</v>
      </c>
      <c r="E5045" t="s">
        <v>38</v>
      </c>
    </row>
    <row r="5046" spans="8:8">
      <c r="B5046" t="s">
        <v>7705</v>
      </c>
      <c r="C5046">
        <v>541972.0</v>
      </c>
      <c r="D5046" t="s">
        <v>7706</v>
      </c>
      <c r="E5046" t="s">
        <v>38</v>
      </c>
    </row>
    <row r="5047" spans="8:8">
      <c r="B5047" t="s">
        <v>7707</v>
      </c>
      <c r="C5047">
        <v>541984.0</v>
      </c>
      <c r="D5047" t="s">
        <v>7708</v>
      </c>
      <c r="E5047" t="s">
        <v>38</v>
      </c>
    </row>
    <row r="5048" spans="8:8">
      <c r="B5048" t="s">
        <v>7709</v>
      </c>
      <c r="C5048">
        <v>541985.0</v>
      </c>
      <c r="D5048" t="s">
        <v>7710</v>
      </c>
      <c r="E5048" t="s">
        <v>38</v>
      </c>
    </row>
    <row r="5049" spans="8:8">
      <c r="B5049" t="s">
        <v>7711</v>
      </c>
      <c r="C5049">
        <v>541986.0</v>
      </c>
      <c r="D5049" t="s">
        <v>7712</v>
      </c>
      <c r="E5049" t="s">
        <v>38</v>
      </c>
    </row>
    <row r="5050" spans="8:8">
      <c r="B5050" t="s">
        <v>7713</v>
      </c>
      <c r="C5050">
        <v>541987.0</v>
      </c>
      <c r="D5050" t="s">
        <v>7714</v>
      </c>
      <c r="E5050" t="s">
        <v>38</v>
      </c>
    </row>
    <row r="5051" spans="8:8">
      <c r="B5051" t="s">
        <v>7715</v>
      </c>
      <c r="C5051">
        <v>542131.0</v>
      </c>
      <c r="D5051" t="s">
        <v>7716</v>
      </c>
      <c r="E5051" t="s">
        <v>38</v>
      </c>
    </row>
    <row r="5052" spans="8:8">
      <c r="B5052" t="s">
        <v>7717</v>
      </c>
      <c r="C5052">
        <v>542156.0</v>
      </c>
      <c r="D5052" t="s">
        <v>7718</v>
      </c>
      <c r="E5052" t="s">
        <v>38</v>
      </c>
    </row>
    <row r="5053" spans="8:8">
      <c r="B5053" t="s">
        <v>7719</v>
      </c>
      <c r="C5053">
        <v>542158.0</v>
      </c>
      <c r="D5053" t="s">
        <v>7720</v>
      </c>
      <c r="E5053" t="s">
        <v>38</v>
      </c>
    </row>
    <row r="5054" spans="8:8">
      <c r="B5054" t="s">
        <v>7721</v>
      </c>
      <c r="C5054">
        <v>542160.0</v>
      </c>
      <c r="D5054" t="s">
        <v>7722</v>
      </c>
      <c r="E5054" t="s">
        <v>38</v>
      </c>
    </row>
    <row r="5055" spans="8:8">
      <c r="B5055" t="s">
        <v>7723</v>
      </c>
      <c r="C5055">
        <v>542163.0</v>
      </c>
      <c r="D5055" t="s">
        <v>7724</v>
      </c>
      <c r="E5055" t="s">
        <v>38</v>
      </c>
    </row>
    <row r="5056" spans="8:8">
      <c r="B5056" t="s">
        <v>7725</v>
      </c>
      <c r="C5056">
        <v>542230.0</v>
      </c>
      <c r="D5056" t="s">
        <v>7726</v>
      </c>
      <c r="E5056" t="s">
        <v>38</v>
      </c>
    </row>
    <row r="5057" spans="8:8">
      <c r="B5057" t="s">
        <v>7727</v>
      </c>
      <c r="C5057">
        <v>542244.0</v>
      </c>
      <c r="D5057" t="s">
        <v>7728</v>
      </c>
      <c r="E5057" t="s">
        <v>38</v>
      </c>
    </row>
    <row r="5058" spans="8:8">
      <c r="B5058" t="s">
        <v>7729</v>
      </c>
      <c r="C5058">
        <v>542245.0</v>
      </c>
      <c r="D5058" t="s">
        <v>7730</v>
      </c>
      <c r="E5058" t="s">
        <v>38</v>
      </c>
    </row>
    <row r="5059" spans="8:8">
      <c r="B5059" t="s">
        <v>7731</v>
      </c>
      <c r="C5059">
        <v>542246.0</v>
      </c>
      <c r="D5059" t="s">
        <v>7732</v>
      </c>
      <c r="E5059" t="s">
        <v>38</v>
      </c>
    </row>
    <row r="5060" spans="8:8">
      <c r="B5060" t="s">
        <v>7733</v>
      </c>
      <c r="C5060">
        <v>542247.0</v>
      </c>
      <c r="D5060" t="s">
        <v>7734</v>
      </c>
      <c r="E5060" t="s">
        <v>38</v>
      </c>
    </row>
    <row r="5061" spans="8:8">
      <c r="B5061" t="s">
        <v>7735</v>
      </c>
      <c r="C5061">
        <v>542513.0</v>
      </c>
      <c r="D5061" t="s">
        <v>7736</v>
      </c>
      <c r="E5061" t="s">
        <v>38</v>
      </c>
    </row>
    <row r="5062" spans="8:8">
      <c r="B5062" t="s">
        <v>7737</v>
      </c>
      <c r="C5062">
        <v>542543.0</v>
      </c>
      <c r="D5062" t="s">
        <v>7738</v>
      </c>
      <c r="E5062" t="s">
        <v>38</v>
      </c>
    </row>
    <row r="5063" spans="8:8">
      <c r="B5063" t="s">
        <v>7739</v>
      </c>
      <c r="C5063">
        <v>542694.0</v>
      </c>
      <c r="D5063" t="s">
        <v>7740</v>
      </c>
      <c r="E5063" t="s">
        <v>361</v>
      </c>
    </row>
    <row r="5064" spans="8:8">
      <c r="B5064" t="s">
        <v>7741</v>
      </c>
      <c r="C5064">
        <v>542721.0</v>
      </c>
      <c r="D5064" t="s">
        <v>7742</v>
      </c>
      <c r="E5064" t="s">
        <v>361</v>
      </c>
    </row>
    <row r="5065" spans="8:8">
      <c r="B5065" t="s">
        <v>7743</v>
      </c>
      <c r="C5065">
        <v>542724.0</v>
      </c>
      <c r="D5065" t="s">
        <v>7744</v>
      </c>
      <c r="E5065" t="s">
        <v>377</v>
      </c>
    </row>
    <row r="5066" spans="8:8">
      <c r="B5066" t="s">
        <v>7745</v>
      </c>
      <c r="C5066">
        <v>542725.0</v>
      </c>
      <c r="D5066" t="s">
        <v>7746</v>
      </c>
      <c r="E5066" t="s">
        <v>453</v>
      </c>
    </row>
    <row r="5067" spans="8:8">
      <c r="B5067" t="s">
        <v>7747</v>
      </c>
      <c r="C5067">
        <v>542726.0</v>
      </c>
      <c r="D5067" t="s">
        <v>7748</v>
      </c>
      <c r="E5067" t="s">
        <v>345</v>
      </c>
    </row>
    <row r="5068" spans="8:8">
      <c r="B5068" t="s">
        <v>7749</v>
      </c>
      <c r="C5068">
        <v>542727.0</v>
      </c>
      <c r="D5068" t="s">
        <v>7750</v>
      </c>
      <c r="E5068" t="s">
        <v>340</v>
      </c>
    </row>
    <row r="5069" spans="8:8">
      <c r="B5069" t="s">
        <v>7751</v>
      </c>
      <c r="C5069">
        <v>542728.0</v>
      </c>
      <c r="D5069" t="s">
        <v>7752</v>
      </c>
      <c r="E5069" t="s">
        <v>453</v>
      </c>
    </row>
    <row r="5070" spans="8:8">
      <c r="B5070" t="s">
        <v>7753</v>
      </c>
      <c r="C5070">
        <v>542729.0</v>
      </c>
      <c r="D5070" t="s">
        <v>7754</v>
      </c>
      <c r="E5070" t="s">
        <v>354</v>
      </c>
    </row>
    <row r="5071" spans="8:8">
      <c r="B5071" t="s">
        <v>7755</v>
      </c>
      <c r="C5071">
        <v>542730.0</v>
      </c>
      <c r="D5071" t="s">
        <v>7756</v>
      </c>
      <c r="E5071" t="s">
        <v>38</v>
      </c>
    </row>
    <row r="5072" spans="8:8">
      <c r="B5072" t="s">
        <v>7757</v>
      </c>
      <c r="C5072">
        <v>542747.0</v>
      </c>
      <c r="D5072" t="s">
        <v>7758</v>
      </c>
      <c r="E5072" t="s">
        <v>38</v>
      </c>
    </row>
    <row r="5073" spans="8:8">
      <c r="B5073" t="s">
        <v>7759</v>
      </c>
      <c r="C5073">
        <v>542752.0</v>
      </c>
      <c r="D5073" t="s">
        <v>7760</v>
      </c>
      <c r="E5073" t="s">
        <v>1941</v>
      </c>
    </row>
    <row r="5074" spans="8:8">
      <c r="B5074" t="s">
        <v>7761</v>
      </c>
      <c r="C5074">
        <v>542753.0</v>
      </c>
      <c r="D5074" t="s">
        <v>7762</v>
      </c>
      <c r="E5074" t="s">
        <v>373</v>
      </c>
    </row>
    <row r="5075" spans="8:8">
      <c r="B5075" t="s">
        <v>7763</v>
      </c>
      <c r="C5075">
        <v>542758.0</v>
      </c>
      <c r="D5075" t="s">
        <v>7764</v>
      </c>
      <c r="E5075" t="s">
        <v>38</v>
      </c>
    </row>
    <row r="5076" spans="8:8">
      <c r="B5076" t="s">
        <v>7765</v>
      </c>
      <c r="C5076">
        <v>542759.0</v>
      </c>
      <c r="D5076" t="s">
        <v>7766</v>
      </c>
      <c r="E5076" t="s">
        <v>356</v>
      </c>
    </row>
    <row r="5077" spans="8:8">
      <c r="B5077" t="s">
        <v>7767</v>
      </c>
      <c r="C5077">
        <v>542760.0</v>
      </c>
      <c r="D5077" t="s">
        <v>7768</v>
      </c>
      <c r="E5077" t="s">
        <v>382</v>
      </c>
    </row>
    <row r="5078" spans="8:8">
      <c r="B5078" t="s">
        <v>7769</v>
      </c>
      <c r="C5078">
        <v>542765.0</v>
      </c>
      <c r="D5078" t="s">
        <v>7770</v>
      </c>
      <c r="E5078" t="s">
        <v>1505</v>
      </c>
    </row>
    <row r="5079" spans="8:8">
      <c r="B5079" t="s">
        <v>7771</v>
      </c>
      <c r="C5079">
        <v>542770.0</v>
      </c>
      <c r="D5079" t="s">
        <v>7772</v>
      </c>
      <c r="E5079" t="s">
        <v>325</v>
      </c>
    </row>
    <row r="5080" spans="8:8">
      <c r="B5080" t="s">
        <v>7773</v>
      </c>
      <c r="C5080">
        <v>542771.0</v>
      </c>
      <c r="D5080" t="s">
        <v>7774</v>
      </c>
      <c r="E5080" t="s">
        <v>521</v>
      </c>
    </row>
    <row r="5081" spans="8:8">
      <c r="B5081" t="s">
        <v>7775</v>
      </c>
      <c r="C5081">
        <v>542772.0</v>
      </c>
      <c r="D5081" t="s">
        <v>7776</v>
      </c>
      <c r="E5081" t="s">
        <v>322</v>
      </c>
    </row>
    <row r="5082" spans="8:8">
      <c r="B5082" t="s">
        <v>7777</v>
      </c>
      <c r="C5082">
        <v>542773.0</v>
      </c>
      <c r="D5082" t="s">
        <v>7778</v>
      </c>
      <c r="E5082" t="s">
        <v>322</v>
      </c>
    </row>
    <row r="5083" spans="8:8">
      <c r="B5083" t="s">
        <v>7779</v>
      </c>
      <c r="C5083">
        <v>542774.0</v>
      </c>
      <c r="D5083" t="s">
        <v>7780</v>
      </c>
      <c r="E5083" t="s">
        <v>356</v>
      </c>
    </row>
    <row r="5084" spans="8:8">
      <c r="B5084" t="s">
        <v>7781</v>
      </c>
      <c r="C5084">
        <v>542801.0</v>
      </c>
      <c r="D5084" t="s">
        <v>7782</v>
      </c>
      <c r="E5084" t="s">
        <v>347</v>
      </c>
    </row>
    <row r="5085" spans="8:8">
      <c r="B5085" t="s">
        <v>7783</v>
      </c>
      <c r="C5085">
        <v>542802.0</v>
      </c>
      <c r="D5085" t="s">
        <v>7784</v>
      </c>
      <c r="E5085" t="s">
        <v>322</v>
      </c>
    </row>
    <row r="5086" spans="8:8">
      <c r="B5086" t="s">
        <v>7785</v>
      </c>
      <c r="C5086">
        <v>542803.0</v>
      </c>
      <c r="D5086" t="s">
        <v>7786</v>
      </c>
      <c r="E5086" t="s">
        <v>361</v>
      </c>
    </row>
    <row r="5087" spans="8:8">
      <c r="B5087" t="s">
        <v>7787</v>
      </c>
      <c r="C5087">
        <v>542804.0</v>
      </c>
      <c r="D5087" t="s">
        <v>7788</v>
      </c>
      <c r="E5087" t="s">
        <v>38</v>
      </c>
    </row>
    <row r="5088" spans="8:8">
      <c r="B5088" t="s">
        <v>7789</v>
      </c>
      <c r="C5088">
        <v>542805.0</v>
      </c>
      <c r="D5088" t="s">
        <v>7790</v>
      </c>
      <c r="E5088" t="s">
        <v>38</v>
      </c>
    </row>
    <row r="5089" spans="8:8">
      <c r="B5089" t="s">
        <v>7791</v>
      </c>
      <c r="C5089">
        <v>542806.0</v>
      </c>
      <c r="D5089" t="s">
        <v>7792</v>
      </c>
      <c r="E5089" t="s">
        <v>38</v>
      </c>
    </row>
    <row r="5090" spans="8:8">
      <c r="B5090" t="s">
        <v>7793</v>
      </c>
      <c r="C5090">
        <v>542807.0</v>
      </c>
      <c r="D5090" t="s">
        <v>7794</v>
      </c>
      <c r="E5090" t="s">
        <v>38</v>
      </c>
    </row>
    <row r="5091" spans="8:8">
      <c r="B5091" t="s">
        <v>7795</v>
      </c>
      <c r="C5091">
        <v>542808.0</v>
      </c>
      <c r="D5091" t="s">
        <v>7796</v>
      </c>
      <c r="E5091" t="s">
        <v>38</v>
      </c>
    </row>
    <row r="5092" spans="8:8">
      <c r="B5092" t="s">
        <v>7797</v>
      </c>
      <c r="C5092">
        <v>542809.0</v>
      </c>
      <c r="D5092" t="s">
        <v>7798</v>
      </c>
      <c r="E5092" t="s">
        <v>38</v>
      </c>
    </row>
    <row r="5093" spans="8:8">
      <c r="B5093" t="s">
        <v>7799</v>
      </c>
      <c r="C5093">
        <v>542810.0</v>
      </c>
      <c r="D5093" t="s">
        <v>7800</v>
      </c>
      <c r="E5093" t="s">
        <v>38</v>
      </c>
    </row>
    <row r="5094" spans="8:8">
      <c r="B5094" t="s">
        <v>7801</v>
      </c>
      <c r="C5094">
        <v>542811.0</v>
      </c>
      <c r="D5094" t="s">
        <v>7802</v>
      </c>
      <c r="E5094" t="s">
        <v>38</v>
      </c>
    </row>
    <row r="5095" spans="8:8">
      <c r="B5095" t="s">
        <v>7803</v>
      </c>
      <c r="C5095">
        <v>542812.0</v>
      </c>
      <c r="D5095" t="s">
        <v>7804</v>
      </c>
      <c r="E5095" t="s">
        <v>499</v>
      </c>
    </row>
    <row r="5096" spans="8:8">
      <c r="B5096" t="s">
        <v>7805</v>
      </c>
      <c r="C5096">
        <v>542813.0</v>
      </c>
      <c r="D5096" t="s">
        <v>7806</v>
      </c>
      <c r="E5096" t="s">
        <v>38</v>
      </c>
    </row>
    <row r="5097" spans="8:8">
      <c r="B5097" t="s">
        <v>7807</v>
      </c>
      <c r="C5097">
        <v>542814.0</v>
      </c>
      <c r="D5097" t="s">
        <v>7808</v>
      </c>
      <c r="E5097" t="s">
        <v>38</v>
      </c>
    </row>
    <row r="5098" spans="8:8">
      <c r="B5098" t="s">
        <v>7809</v>
      </c>
      <c r="C5098">
        <v>542815.0</v>
      </c>
      <c r="D5098" t="s">
        <v>7810</v>
      </c>
      <c r="E5098" t="s">
        <v>38</v>
      </c>
    </row>
    <row r="5099" spans="8:8">
      <c r="B5099" t="s">
        <v>7811</v>
      </c>
      <c r="C5099">
        <v>542816.0</v>
      </c>
      <c r="D5099" t="s">
        <v>7812</v>
      </c>
      <c r="E5099" t="s">
        <v>38</v>
      </c>
    </row>
    <row r="5100" spans="8:8">
      <c r="B5100" t="s">
        <v>7813</v>
      </c>
      <c r="C5100">
        <v>542817.0</v>
      </c>
      <c r="D5100" t="s">
        <v>7814</v>
      </c>
      <c r="E5100" t="s">
        <v>38</v>
      </c>
    </row>
    <row r="5101" spans="8:8">
      <c r="B5101" t="s">
        <v>7815</v>
      </c>
      <c r="C5101">
        <v>542818.0</v>
      </c>
      <c r="D5101" t="s">
        <v>7816</v>
      </c>
      <c r="E5101" t="s">
        <v>38</v>
      </c>
    </row>
    <row r="5102" spans="8:8">
      <c r="B5102" t="s">
        <v>7817</v>
      </c>
      <c r="C5102">
        <v>542819.0</v>
      </c>
      <c r="D5102" t="s">
        <v>7818</v>
      </c>
      <c r="E5102" t="s">
        <v>38</v>
      </c>
    </row>
    <row r="5103" spans="8:8">
      <c r="B5103" t="s">
        <v>7819</v>
      </c>
      <c r="C5103">
        <v>542820.0</v>
      </c>
      <c r="D5103" t="s">
        <v>7820</v>
      </c>
      <c r="E5103" t="s">
        <v>38</v>
      </c>
    </row>
    <row r="5104" spans="8:8">
      <c r="B5104" t="s">
        <v>7821</v>
      </c>
      <c r="C5104">
        <v>542830.0</v>
      </c>
      <c r="D5104" t="s">
        <v>7822</v>
      </c>
      <c r="E5104" t="s">
        <v>1341</v>
      </c>
    </row>
    <row r="5105" spans="8:8">
      <c r="B5105" t="s">
        <v>7823</v>
      </c>
      <c r="C5105">
        <v>542836.0</v>
      </c>
      <c r="D5105" t="s">
        <v>7824</v>
      </c>
      <c r="E5105" t="s">
        <v>38</v>
      </c>
    </row>
    <row r="5106" spans="8:8">
      <c r="B5106" t="s">
        <v>7825</v>
      </c>
      <c r="C5106">
        <v>542837.0</v>
      </c>
      <c r="D5106" t="s">
        <v>7826</v>
      </c>
      <c r="E5106" t="s">
        <v>38</v>
      </c>
    </row>
    <row r="5107" spans="8:8">
      <c r="B5107" t="s">
        <v>7827</v>
      </c>
      <c r="C5107">
        <v>542838.0</v>
      </c>
      <c r="D5107" t="s">
        <v>7828</v>
      </c>
      <c r="E5107" t="s">
        <v>38</v>
      </c>
    </row>
    <row r="5108" spans="8:8">
      <c r="B5108" t="s">
        <v>7829</v>
      </c>
      <c r="C5108">
        <v>542839.0</v>
      </c>
      <c r="D5108" t="s">
        <v>7830</v>
      </c>
      <c r="E5108" t="s">
        <v>38</v>
      </c>
    </row>
    <row r="5109" spans="8:8">
      <c r="B5109" t="s">
        <v>7831</v>
      </c>
      <c r="C5109">
        <v>542840.0</v>
      </c>
      <c r="D5109" t="s">
        <v>7832</v>
      </c>
      <c r="E5109" t="s">
        <v>38</v>
      </c>
    </row>
    <row r="5110" spans="8:8">
      <c r="B5110" t="s">
        <v>7833</v>
      </c>
      <c r="C5110">
        <v>542841.0</v>
      </c>
      <c r="D5110" t="s">
        <v>7834</v>
      </c>
      <c r="E5110" t="s">
        <v>38</v>
      </c>
    </row>
    <row r="5111" spans="8:8">
      <c r="B5111" t="s">
        <v>7835</v>
      </c>
      <c r="C5111">
        <v>542842.0</v>
      </c>
      <c r="D5111" t="s">
        <v>7836</v>
      </c>
      <c r="E5111" t="s">
        <v>38</v>
      </c>
    </row>
    <row r="5112" spans="8:8">
      <c r="B5112" t="s">
        <v>7837</v>
      </c>
      <c r="C5112">
        <v>542843.0</v>
      </c>
      <c r="D5112" t="s">
        <v>7838</v>
      </c>
      <c r="E5112" t="s">
        <v>38</v>
      </c>
    </row>
    <row r="5113" spans="8:8">
      <c r="B5113" t="s">
        <v>7839</v>
      </c>
      <c r="C5113">
        <v>542844.0</v>
      </c>
      <c r="D5113" t="s">
        <v>7840</v>
      </c>
      <c r="E5113" t="s">
        <v>38</v>
      </c>
    </row>
    <row r="5114" spans="8:8">
      <c r="B5114" t="s">
        <v>7841</v>
      </c>
      <c r="C5114">
        <v>542845.0</v>
      </c>
      <c r="D5114" t="s">
        <v>7842</v>
      </c>
      <c r="E5114" t="s">
        <v>38</v>
      </c>
    </row>
    <row r="5115" spans="8:8">
      <c r="B5115" t="s">
        <v>7843</v>
      </c>
      <c r="C5115">
        <v>542846.0</v>
      </c>
      <c r="D5115" t="s">
        <v>7844</v>
      </c>
      <c r="E5115" t="s">
        <v>38</v>
      </c>
    </row>
    <row r="5116" spans="8:8">
      <c r="B5116" t="s">
        <v>7845</v>
      </c>
      <c r="C5116">
        <v>542847.0</v>
      </c>
      <c r="D5116" t="s">
        <v>7846</v>
      </c>
      <c r="E5116" t="s">
        <v>38</v>
      </c>
    </row>
    <row r="5117" spans="8:8">
      <c r="B5117" t="s">
        <v>7847</v>
      </c>
      <c r="C5117">
        <v>542848.0</v>
      </c>
      <c r="D5117" t="s">
        <v>7848</v>
      </c>
      <c r="E5117" t="s">
        <v>38</v>
      </c>
    </row>
    <row r="5118" spans="8:8">
      <c r="B5118" t="s">
        <v>7849</v>
      </c>
      <c r="C5118">
        <v>542849.0</v>
      </c>
      <c r="D5118" t="s">
        <v>7850</v>
      </c>
      <c r="E5118" t="s">
        <v>38</v>
      </c>
    </row>
    <row r="5119" spans="8:8">
      <c r="B5119" t="s">
        <v>7851</v>
      </c>
      <c r="C5119">
        <v>542850.0</v>
      </c>
      <c r="D5119" t="s">
        <v>7852</v>
      </c>
      <c r="E5119" t="s">
        <v>453</v>
      </c>
    </row>
    <row r="5120" spans="8:8">
      <c r="B5120" t="s">
        <v>7853</v>
      </c>
      <c r="C5120">
        <v>542851.0</v>
      </c>
      <c r="D5120" t="s">
        <v>7854</v>
      </c>
      <c r="E5120" t="s">
        <v>423</v>
      </c>
    </row>
    <row r="5121" spans="8:8">
      <c r="B5121" t="s">
        <v>7855</v>
      </c>
      <c r="C5121">
        <v>542852.0</v>
      </c>
      <c r="D5121" t="s">
        <v>7856</v>
      </c>
      <c r="E5121" t="s">
        <v>1037</v>
      </c>
    </row>
    <row r="5122" spans="8:8">
      <c r="B5122" t="s">
        <v>7857</v>
      </c>
      <c r="C5122">
        <v>542857.0</v>
      </c>
      <c r="D5122" t="s">
        <v>7858</v>
      </c>
      <c r="E5122" t="s">
        <v>834</v>
      </c>
    </row>
    <row r="5123" spans="8:8">
      <c r="B5123" t="s">
        <v>7859</v>
      </c>
      <c r="C5123">
        <v>542862.0</v>
      </c>
      <c r="D5123" t="s">
        <v>7860</v>
      </c>
      <c r="E5123" t="s">
        <v>354</v>
      </c>
    </row>
    <row r="5124" spans="8:8">
      <c r="B5124" t="s">
        <v>7861</v>
      </c>
      <c r="C5124">
        <v>542863.0</v>
      </c>
      <c r="D5124" t="s">
        <v>7862</v>
      </c>
      <c r="E5124" t="s">
        <v>38</v>
      </c>
    </row>
    <row r="5125" spans="8:8">
      <c r="B5125" t="s">
        <v>7863</v>
      </c>
      <c r="C5125">
        <v>542864.0</v>
      </c>
      <c r="D5125" t="s">
        <v>7864</v>
      </c>
      <c r="E5125" t="s">
        <v>425</v>
      </c>
    </row>
    <row r="5126" spans="8:8">
      <c r="B5126" t="s">
        <v>7865</v>
      </c>
      <c r="C5126">
        <v>542865.0</v>
      </c>
      <c r="D5126" t="s">
        <v>7866</v>
      </c>
      <c r="E5126" t="s">
        <v>534</v>
      </c>
    </row>
    <row r="5127" spans="8:8">
      <c r="B5127" t="s">
        <v>7867</v>
      </c>
      <c r="C5127">
        <v>542866.0</v>
      </c>
      <c r="D5127" t="s">
        <v>7868</v>
      </c>
      <c r="E5127" t="s">
        <v>322</v>
      </c>
    </row>
    <row r="5128" spans="8:8">
      <c r="B5128" t="s">
        <v>7869</v>
      </c>
      <c r="C5128">
        <v>542867.0</v>
      </c>
      <c r="D5128" t="s">
        <v>7870</v>
      </c>
      <c r="E5128" t="s">
        <v>657</v>
      </c>
    </row>
    <row r="5129" spans="8:8">
      <c r="B5129" t="s">
        <v>7871</v>
      </c>
      <c r="C5129">
        <v>542904.0</v>
      </c>
      <c r="D5129" t="s">
        <v>7872</v>
      </c>
      <c r="E5129" t="s">
        <v>657</v>
      </c>
    </row>
    <row r="5130" spans="8:8">
      <c r="B5130" t="s">
        <v>7873</v>
      </c>
      <c r="C5130">
        <v>542905.0</v>
      </c>
      <c r="D5130" t="s">
        <v>7874</v>
      </c>
      <c r="E5130" t="s">
        <v>637</v>
      </c>
    </row>
    <row r="5131" spans="8:8">
      <c r="B5131" t="s">
        <v>7875</v>
      </c>
      <c r="C5131">
        <v>542906.0</v>
      </c>
      <c r="D5131" t="s">
        <v>7876</v>
      </c>
      <c r="E5131" t="s">
        <v>356</v>
      </c>
    </row>
    <row r="5132" spans="8:8">
      <c r="B5132" t="s">
        <v>7877</v>
      </c>
      <c r="C5132">
        <v>542907.0</v>
      </c>
      <c r="D5132" t="s">
        <v>7878</v>
      </c>
      <c r="E5132" t="s">
        <v>459</v>
      </c>
    </row>
    <row r="5133" spans="8:8">
      <c r="B5133" t="s">
        <v>7879</v>
      </c>
      <c r="C5133">
        <v>542910.0</v>
      </c>
      <c r="D5133" t="s">
        <v>7880</v>
      </c>
      <c r="E5133" t="s">
        <v>774</v>
      </c>
    </row>
    <row r="5134" spans="8:8">
      <c r="B5134" t="s">
        <v>7881</v>
      </c>
      <c r="C5134">
        <v>542911.0</v>
      </c>
      <c r="D5134" t="s">
        <v>7882</v>
      </c>
      <c r="E5134" t="s">
        <v>356</v>
      </c>
    </row>
    <row r="5135" spans="8:8">
      <c r="B5135" t="s">
        <v>7883</v>
      </c>
      <c r="C5135">
        <v>542918.0</v>
      </c>
      <c r="D5135" t="s">
        <v>7884</v>
      </c>
      <c r="E5135" t="s">
        <v>528</v>
      </c>
    </row>
    <row r="5136" spans="8:8">
      <c r="B5136" t="s">
        <v>7885</v>
      </c>
      <c r="C5136">
        <v>542919.0</v>
      </c>
      <c r="D5136" t="s">
        <v>7886</v>
      </c>
      <c r="E5136" t="s">
        <v>528</v>
      </c>
    </row>
    <row r="5137" spans="8:8">
      <c r="B5137" t="s">
        <v>7887</v>
      </c>
      <c r="C5137">
        <v>542920.0</v>
      </c>
      <c r="D5137" t="s">
        <v>7888</v>
      </c>
      <c r="E5137" t="s">
        <v>483</v>
      </c>
    </row>
    <row r="5138" spans="8:8">
      <c r="B5138" t="s">
        <v>7889</v>
      </c>
      <c r="C5138">
        <v>542921.0</v>
      </c>
      <c r="D5138" t="s">
        <v>7890</v>
      </c>
      <c r="E5138" t="s">
        <v>38</v>
      </c>
    </row>
    <row r="5139" spans="8:8">
      <c r="B5139" t="s">
        <v>7891</v>
      </c>
      <c r="C5139">
        <v>542922.0</v>
      </c>
      <c r="D5139" t="s">
        <v>7892</v>
      </c>
      <c r="E5139" t="s">
        <v>38</v>
      </c>
    </row>
    <row r="5140" spans="8:8">
      <c r="B5140" t="s">
        <v>7893</v>
      </c>
      <c r="C5140">
        <v>542923.0</v>
      </c>
      <c r="D5140" t="s">
        <v>7894</v>
      </c>
      <c r="E5140" t="s">
        <v>325</v>
      </c>
    </row>
    <row r="5141" spans="8:8">
      <c r="B5141" t="s">
        <v>7895</v>
      </c>
      <c r="C5141">
        <v>542924.0</v>
      </c>
      <c r="D5141" t="s">
        <v>7896</v>
      </c>
      <c r="E5141" t="s">
        <v>328</v>
      </c>
    </row>
    <row r="5142" spans="8:8">
      <c r="B5142" t="s">
        <v>7897</v>
      </c>
      <c r="C5142">
        <v>542931.0</v>
      </c>
      <c r="D5142" t="s">
        <v>7898</v>
      </c>
      <c r="E5142" t="s">
        <v>356</v>
      </c>
    </row>
    <row r="5143" spans="8:8">
      <c r="B5143" t="s">
        <v>7899</v>
      </c>
      <c r="C5143">
        <v>542932.0</v>
      </c>
      <c r="D5143" t="s">
        <v>7900</v>
      </c>
      <c r="E5143" t="s">
        <v>819</v>
      </c>
    </row>
    <row r="5144" spans="8:8">
      <c r="B5144" t="s">
        <v>7901</v>
      </c>
      <c r="C5144">
        <v>542933.0</v>
      </c>
      <c r="D5144" t="s">
        <v>7902</v>
      </c>
      <c r="E5144" t="s">
        <v>1577</v>
      </c>
    </row>
    <row r="5145" spans="8:8">
      <c r="B5145" t="s">
        <v>7903</v>
      </c>
      <c r="C5145">
        <v>542934.0</v>
      </c>
      <c r="D5145" t="s">
        <v>7904</v>
      </c>
      <c r="E5145" t="s">
        <v>377</v>
      </c>
    </row>
    <row r="5146" spans="8:8">
      <c r="B5146" t="s">
        <v>7905</v>
      </c>
      <c r="C5146">
        <v>542935.0</v>
      </c>
      <c r="D5146" t="s">
        <v>7906</v>
      </c>
      <c r="E5146" t="s">
        <v>399</v>
      </c>
    </row>
    <row r="5147" spans="8:8">
      <c r="B5147" t="s">
        <v>7907</v>
      </c>
      <c r="C5147">
        <v>542938.0</v>
      </c>
      <c r="D5147" t="s">
        <v>7908</v>
      </c>
      <c r="E5147" t="s">
        <v>746</v>
      </c>
    </row>
    <row r="5148" spans="8:8">
      <c r="B5148" t="s">
        <v>7909</v>
      </c>
      <c r="C5148">
        <v>543064.0</v>
      </c>
      <c r="D5148" t="s">
        <v>7910</v>
      </c>
      <c r="E5148" t="s">
        <v>377</v>
      </c>
    </row>
    <row r="5149" spans="8:8">
      <c r="B5149" t="s">
        <v>7911</v>
      </c>
      <c r="C5149">
        <v>543065.0</v>
      </c>
      <c r="D5149" t="s">
        <v>7912</v>
      </c>
      <c r="E5149" t="s">
        <v>524</v>
      </c>
    </row>
    <row r="5150" spans="8:8">
      <c r="B5150" t="s">
        <v>7913</v>
      </c>
      <c r="C5150">
        <v>543066.0</v>
      </c>
      <c r="D5150" t="s">
        <v>7914</v>
      </c>
      <c r="E5150" t="s">
        <v>356</v>
      </c>
    </row>
    <row r="5151" spans="8:8">
      <c r="B5151" t="s">
        <v>7915</v>
      </c>
      <c r="C5151">
        <v>543144.0</v>
      </c>
      <c r="D5151" t="s">
        <v>7916</v>
      </c>
      <c r="E5151" t="s">
        <v>38</v>
      </c>
    </row>
    <row r="5152" spans="8:8">
      <c r="B5152" t="s">
        <v>7917</v>
      </c>
      <c r="C5152">
        <v>543145.0</v>
      </c>
      <c r="D5152" t="s">
        <v>7918</v>
      </c>
      <c r="E5152" t="s">
        <v>38</v>
      </c>
    </row>
    <row r="5153" spans="8:8">
      <c r="B5153" t="s">
        <v>7915</v>
      </c>
      <c r="C5153">
        <v>543146.0</v>
      </c>
      <c r="D5153" t="s">
        <v>7919</v>
      </c>
      <c r="E5153" t="s">
        <v>38</v>
      </c>
    </row>
    <row r="5154" spans="8:8">
      <c r="B5154" t="s">
        <v>7920</v>
      </c>
      <c r="C5154">
        <v>543147.0</v>
      </c>
      <c r="D5154" t="s">
        <v>7921</v>
      </c>
      <c r="E5154" t="s">
        <v>38</v>
      </c>
    </row>
    <row r="5155" spans="8:8">
      <c r="B5155" t="s">
        <v>7920</v>
      </c>
      <c r="C5155">
        <v>543148.0</v>
      </c>
      <c r="D5155" t="s">
        <v>7922</v>
      </c>
      <c r="E5155" t="s">
        <v>38</v>
      </c>
    </row>
    <row r="5156" spans="8:8">
      <c r="B5156" t="s">
        <v>7923</v>
      </c>
      <c r="C5156">
        <v>543149.0</v>
      </c>
      <c r="D5156" t="s">
        <v>7924</v>
      </c>
      <c r="E5156" t="s">
        <v>38</v>
      </c>
    </row>
    <row r="5157" spans="8:8">
      <c r="B5157" t="s">
        <v>7925</v>
      </c>
      <c r="C5157">
        <v>543150.0</v>
      </c>
      <c r="D5157" t="s">
        <v>7926</v>
      </c>
      <c r="E5157" t="s">
        <v>38</v>
      </c>
    </row>
    <row r="5158" spans="8:8">
      <c r="B5158" t="s">
        <v>7927</v>
      </c>
      <c r="C5158">
        <v>543151.0</v>
      </c>
      <c r="D5158" t="s">
        <v>7928</v>
      </c>
      <c r="E5158" t="s">
        <v>38</v>
      </c>
    </row>
    <row r="5159" spans="8:8">
      <c r="B5159" t="s">
        <v>7929</v>
      </c>
      <c r="C5159">
        <v>543152.0</v>
      </c>
      <c r="D5159" t="s">
        <v>7930</v>
      </c>
      <c r="E5159" t="s">
        <v>38</v>
      </c>
    </row>
    <row r="5160" spans="8:8">
      <c r="B5160" t="s">
        <v>7931</v>
      </c>
      <c r="C5160">
        <v>543153.0</v>
      </c>
      <c r="D5160" t="s">
        <v>7932</v>
      </c>
      <c r="E5160" t="s">
        <v>38</v>
      </c>
    </row>
    <row r="5161" spans="8:8">
      <c r="B5161" t="s">
        <v>7929</v>
      </c>
      <c r="C5161">
        <v>543154.0</v>
      </c>
      <c r="D5161" t="s">
        <v>7933</v>
      </c>
      <c r="E5161" t="s">
        <v>38</v>
      </c>
    </row>
    <row r="5162" spans="8:8">
      <c r="B5162" t="s">
        <v>7934</v>
      </c>
      <c r="C5162">
        <v>543155.0</v>
      </c>
      <c r="D5162" t="s">
        <v>7935</v>
      </c>
      <c r="E5162" t="s">
        <v>38</v>
      </c>
    </row>
    <row r="5163" spans="8:8">
      <c r="B5163" t="s">
        <v>7936</v>
      </c>
      <c r="C5163">
        <v>543156.0</v>
      </c>
      <c r="D5163" t="s">
        <v>7937</v>
      </c>
      <c r="E5163" t="s">
        <v>38</v>
      </c>
    </row>
    <row r="5164" spans="8:8">
      <c r="B5164" t="s">
        <v>7934</v>
      </c>
      <c r="C5164">
        <v>543168.0</v>
      </c>
      <c r="D5164" t="s">
        <v>7938</v>
      </c>
      <c r="E5164" t="s">
        <v>38</v>
      </c>
    </row>
    <row r="5165" spans="8:8">
      <c r="B5165" t="s">
        <v>7936</v>
      </c>
      <c r="C5165">
        <v>543169.0</v>
      </c>
      <c r="D5165" t="s">
        <v>7939</v>
      </c>
      <c r="E5165" t="s">
        <v>38</v>
      </c>
    </row>
    <row r="5166" spans="8:8">
      <c r="B5166" t="s">
        <v>7917</v>
      </c>
      <c r="C5166">
        <v>543170.0</v>
      </c>
      <c r="D5166" t="s">
        <v>7940</v>
      </c>
      <c r="E5166" t="s">
        <v>38</v>
      </c>
    </row>
    <row r="5167" spans="8:8">
      <c r="B5167" t="s">
        <v>7941</v>
      </c>
      <c r="C5167">
        <v>543171.0</v>
      </c>
      <c r="D5167" t="s">
        <v>7942</v>
      </c>
      <c r="E5167" t="s">
        <v>453</v>
      </c>
    </row>
    <row r="5168" spans="8:8">
      <c r="B5168" t="s">
        <v>7943</v>
      </c>
      <c r="C5168">
        <v>543172.0</v>
      </c>
      <c r="D5168" t="s">
        <v>7944</v>
      </c>
      <c r="E5168" t="s">
        <v>347</v>
      </c>
    </row>
    <row r="5169" spans="8:8">
      <c r="B5169" t="s">
        <v>7945</v>
      </c>
      <c r="C5169">
        <v>543173.0</v>
      </c>
      <c r="D5169" t="s">
        <v>7946</v>
      </c>
      <c r="E5169" t="s">
        <v>38</v>
      </c>
    </row>
    <row r="5170" spans="8:8">
      <c r="B5170" t="s">
        <v>7947</v>
      </c>
      <c r="C5170">
        <v>543174.0</v>
      </c>
      <c r="D5170" t="s">
        <v>7948</v>
      </c>
      <c r="E5170" t="s">
        <v>38</v>
      </c>
    </row>
    <row r="5171" spans="8:8">
      <c r="B5171" t="s">
        <v>7949</v>
      </c>
      <c r="C5171">
        <v>543175.0</v>
      </c>
      <c r="D5171" t="s">
        <v>7950</v>
      </c>
      <c r="E5171" t="s">
        <v>38</v>
      </c>
    </row>
    <row r="5172" spans="8:8">
      <c r="B5172" t="s">
        <v>7951</v>
      </c>
      <c r="C5172">
        <v>543176.0</v>
      </c>
      <c r="D5172" t="s">
        <v>7952</v>
      </c>
      <c r="E5172" t="s">
        <v>38</v>
      </c>
    </row>
    <row r="5173" spans="8:8">
      <c r="B5173" t="s">
        <v>7953</v>
      </c>
      <c r="C5173">
        <v>543177.0</v>
      </c>
      <c r="D5173" t="s">
        <v>7954</v>
      </c>
      <c r="E5173" t="s">
        <v>38</v>
      </c>
    </row>
    <row r="5174" spans="8:8">
      <c r="B5174" t="s">
        <v>7955</v>
      </c>
      <c r="C5174">
        <v>543178.0</v>
      </c>
      <c r="D5174" t="s">
        <v>7956</v>
      </c>
      <c r="E5174" t="s">
        <v>38</v>
      </c>
    </row>
    <row r="5175" spans="8:8">
      <c r="B5175" t="s">
        <v>7957</v>
      </c>
      <c r="C5175">
        <v>543179.0</v>
      </c>
      <c r="D5175" t="s">
        <v>7958</v>
      </c>
      <c r="E5175" t="s">
        <v>38</v>
      </c>
    </row>
    <row r="5176" spans="8:8">
      <c r="B5176" t="s">
        <v>7959</v>
      </c>
      <c r="C5176">
        <v>543180.0</v>
      </c>
      <c r="D5176" t="s">
        <v>7960</v>
      </c>
      <c r="E5176" t="s">
        <v>38</v>
      </c>
    </row>
    <row r="5177" spans="8:8">
      <c r="B5177" t="s">
        <v>7961</v>
      </c>
      <c r="C5177">
        <v>543181.0</v>
      </c>
      <c r="D5177" t="s">
        <v>7962</v>
      </c>
      <c r="E5177" t="s">
        <v>38</v>
      </c>
    </row>
    <row r="5178" spans="8:8">
      <c r="B5178" t="s">
        <v>7963</v>
      </c>
      <c r="C5178">
        <v>543182.0</v>
      </c>
      <c r="D5178" t="s">
        <v>7964</v>
      </c>
      <c r="E5178" t="s">
        <v>38</v>
      </c>
    </row>
    <row r="5179" spans="8:8">
      <c r="B5179" t="s">
        <v>7965</v>
      </c>
      <c r="C5179">
        <v>543183.0</v>
      </c>
      <c r="D5179" t="s">
        <v>7966</v>
      </c>
      <c r="E5179" t="s">
        <v>38</v>
      </c>
    </row>
    <row r="5180" spans="8:8">
      <c r="B5180" t="s">
        <v>7967</v>
      </c>
      <c r="C5180">
        <v>543184.0</v>
      </c>
      <c r="D5180" t="s">
        <v>7968</v>
      </c>
      <c r="E5180" t="s">
        <v>38</v>
      </c>
    </row>
    <row r="5181" spans="8:8">
      <c r="B5181" t="s">
        <v>7969</v>
      </c>
      <c r="C5181">
        <v>543185.0</v>
      </c>
      <c r="D5181" t="s">
        <v>7970</v>
      </c>
      <c r="E5181" t="s">
        <v>38</v>
      </c>
    </row>
    <row r="5182" spans="8:8">
      <c r="B5182" t="s">
        <v>7971</v>
      </c>
      <c r="C5182">
        <v>543186.0</v>
      </c>
      <c r="D5182" t="s">
        <v>7972</v>
      </c>
      <c r="E5182" t="s">
        <v>38</v>
      </c>
    </row>
    <row r="5183" spans="8:8">
      <c r="B5183" t="s">
        <v>7973</v>
      </c>
      <c r="C5183">
        <v>543187.0</v>
      </c>
      <c r="D5183" t="s">
        <v>7974</v>
      </c>
      <c r="E5183" t="s">
        <v>382</v>
      </c>
    </row>
    <row r="5184" spans="8:8">
      <c r="B5184" t="s">
        <v>7975</v>
      </c>
      <c r="C5184">
        <v>543193.0</v>
      </c>
      <c r="D5184" t="s">
        <v>7976</v>
      </c>
      <c r="E5184" t="s">
        <v>660</v>
      </c>
    </row>
    <row r="5185" spans="8:8">
      <c r="B5185" t="s">
        <v>7977</v>
      </c>
      <c r="C5185">
        <v>543194.0</v>
      </c>
      <c r="D5185" t="s">
        <v>7978</v>
      </c>
      <c r="E5185" t="s">
        <v>7294</v>
      </c>
    </row>
    <row r="5186" spans="8:8">
      <c r="B5186" t="s">
        <v>7979</v>
      </c>
      <c r="C5186">
        <v>543207.0</v>
      </c>
      <c r="D5186" t="s">
        <v>7980</v>
      </c>
      <c r="E5186" t="s">
        <v>483</v>
      </c>
    </row>
    <row r="5187" spans="8:8">
      <c r="B5187" t="s">
        <v>7981</v>
      </c>
      <c r="C5187">
        <v>543208.0</v>
      </c>
      <c r="D5187" t="s">
        <v>7982</v>
      </c>
      <c r="E5187" t="s">
        <v>356</v>
      </c>
    </row>
    <row r="5188" spans="8:8">
      <c r="B5188" t="s">
        <v>7983</v>
      </c>
      <c r="C5188">
        <v>543209.0</v>
      </c>
      <c r="D5188" t="s">
        <v>7984</v>
      </c>
      <c r="E5188" t="s">
        <v>328</v>
      </c>
    </row>
    <row r="5189" spans="8:8">
      <c r="B5189" t="s">
        <v>7985</v>
      </c>
      <c r="C5189">
        <v>543210.0</v>
      </c>
      <c r="D5189" t="s">
        <v>7986</v>
      </c>
      <c r="E5189" t="s">
        <v>499</v>
      </c>
    </row>
    <row r="5190" spans="8:8">
      <c r="B5190" t="s">
        <v>7987</v>
      </c>
      <c r="C5190">
        <v>543211.0</v>
      </c>
      <c r="D5190" t="s">
        <v>7988</v>
      </c>
      <c r="E5190" t="s">
        <v>1258</v>
      </c>
    </row>
    <row r="5191" spans="8:8">
      <c r="B5191" t="s">
        <v>7989</v>
      </c>
      <c r="C5191">
        <v>543212.0</v>
      </c>
      <c r="D5191" t="s">
        <v>7990</v>
      </c>
      <c r="E5191" t="s">
        <v>1384</v>
      </c>
    </row>
    <row r="5192" spans="8:8">
      <c r="B5192" t="s">
        <v>7991</v>
      </c>
      <c r="C5192">
        <v>543213.0</v>
      </c>
      <c r="D5192" t="s">
        <v>7992</v>
      </c>
      <c r="E5192" t="s">
        <v>499</v>
      </c>
    </row>
    <row r="5193" spans="8:8">
      <c r="B5193" t="s">
        <v>7993</v>
      </c>
      <c r="C5193">
        <v>543214.0</v>
      </c>
      <c r="D5193" t="s">
        <v>7994</v>
      </c>
      <c r="E5193" t="s">
        <v>694</v>
      </c>
    </row>
    <row r="5194" spans="8:8">
      <c r="B5194" t="s">
        <v>7995</v>
      </c>
      <c r="C5194">
        <v>543217.0</v>
      </c>
      <c r="D5194" t="s">
        <v>7996</v>
      </c>
      <c r="E5194" t="s">
        <v>38</v>
      </c>
    </row>
    <row r="5195" spans="8:8">
      <c r="B5195" t="s">
        <v>7997</v>
      </c>
      <c r="C5195">
        <v>543218.0</v>
      </c>
      <c r="D5195" t="s">
        <v>7998</v>
      </c>
      <c r="E5195" t="s">
        <v>425</v>
      </c>
    </row>
    <row r="5196" spans="8:8">
      <c r="B5196" t="s">
        <v>7999</v>
      </c>
      <c r="C5196">
        <v>543219.0</v>
      </c>
      <c r="D5196" t="s">
        <v>8000</v>
      </c>
      <c r="E5196" t="s">
        <v>38</v>
      </c>
    </row>
    <row r="5197" spans="8:8">
      <c r="B5197" t="s">
        <v>8001</v>
      </c>
      <c r="C5197">
        <v>543220.0</v>
      </c>
      <c r="D5197" t="s">
        <v>8002</v>
      </c>
      <c r="E5197" t="s">
        <v>809</v>
      </c>
    </row>
    <row r="5198" spans="8:8">
      <c r="B5198" t="s">
        <v>8003</v>
      </c>
      <c r="C5198">
        <v>543221.0</v>
      </c>
      <c r="D5198" t="s">
        <v>8004</v>
      </c>
      <c r="E5198" t="s">
        <v>38</v>
      </c>
    </row>
    <row r="5199" spans="8:8">
      <c r="B5199" t="s">
        <v>8005</v>
      </c>
      <c r="C5199">
        <v>543222.0</v>
      </c>
      <c r="D5199" t="s">
        <v>8006</v>
      </c>
      <c r="E5199" t="s">
        <v>462</v>
      </c>
    </row>
    <row r="5200" spans="8:8">
      <c r="B5200" t="s">
        <v>8007</v>
      </c>
      <c r="C5200">
        <v>543223.0</v>
      </c>
      <c r="D5200" t="s">
        <v>4059</v>
      </c>
      <c r="E5200" t="s">
        <v>505</v>
      </c>
    </row>
    <row r="5201" spans="8:8">
      <c r="B5201" t="s">
        <v>8008</v>
      </c>
      <c r="C5201">
        <v>543224.0</v>
      </c>
      <c r="D5201" t="s">
        <v>8009</v>
      </c>
      <c r="E5201" t="s">
        <v>38</v>
      </c>
    </row>
    <row r="5202" spans="8:8">
      <c r="B5202" t="s">
        <v>8010</v>
      </c>
      <c r="C5202">
        <v>543225.0</v>
      </c>
      <c r="D5202" t="s">
        <v>8011</v>
      </c>
      <c r="E5202" t="s">
        <v>38</v>
      </c>
    </row>
    <row r="5203" spans="8:8">
      <c r="B5203" t="s">
        <v>8012</v>
      </c>
      <c r="C5203">
        <v>543226.0</v>
      </c>
      <c r="D5203" t="s">
        <v>8013</v>
      </c>
      <c r="E5203" t="s">
        <v>38</v>
      </c>
    </row>
    <row r="5204" spans="8:8">
      <c r="B5204" t="s">
        <v>8014</v>
      </c>
      <c r="C5204">
        <v>543227.0</v>
      </c>
      <c r="D5204" t="s">
        <v>8015</v>
      </c>
      <c r="E5204" t="s">
        <v>325</v>
      </c>
    </row>
    <row r="5205" spans="8:8">
      <c r="B5205" t="s">
        <v>8016</v>
      </c>
      <c r="C5205">
        <v>543228.0</v>
      </c>
      <c r="D5205" t="s">
        <v>8017</v>
      </c>
      <c r="E5205" t="s">
        <v>345</v>
      </c>
    </row>
    <row r="5206" spans="8:8">
      <c r="B5206" t="s">
        <v>8018</v>
      </c>
      <c r="C5206">
        <v>543230.0</v>
      </c>
      <c r="D5206" t="s">
        <v>8019</v>
      </c>
      <c r="E5206" t="s">
        <v>637</v>
      </c>
    </row>
    <row r="5207" spans="8:8">
      <c r="B5207" t="s">
        <v>8020</v>
      </c>
      <c r="C5207">
        <v>543231.0</v>
      </c>
      <c r="D5207" t="s">
        <v>8021</v>
      </c>
      <c r="E5207" t="s">
        <v>834</v>
      </c>
    </row>
    <row r="5208" spans="8:8">
      <c r="B5208" t="s">
        <v>8022</v>
      </c>
      <c r="C5208">
        <v>543232.0</v>
      </c>
      <c r="D5208" t="s">
        <v>8023</v>
      </c>
      <c r="E5208" t="s">
        <v>322</v>
      </c>
    </row>
    <row r="5209" spans="8:8">
      <c r="B5209" t="s">
        <v>8024</v>
      </c>
      <c r="C5209">
        <v>543233.0</v>
      </c>
      <c r="D5209" t="s">
        <v>8025</v>
      </c>
      <c r="E5209" t="s">
        <v>499</v>
      </c>
    </row>
    <row r="5210" spans="8:8">
      <c r="B5210" t="s">
        <v>8026</v>
      </c>
      <c r="C5210">
        <v>543234.0</v>
      </c>
      <c r="D5210" t="s">
        <v>8027</v>
      </c>
      <c r="E5210" t="s">
        <v>325</v>
      </c>
    </row>
    <row r="5211" spans="8:8">
      <c r="B5211" t="s">
        <v>8028</v>
      </c>
      <c r="C5211">
        <v>543235.0</v>
      </c>
      <c r="D5211" t="s">
        <v>8029</v>
      </c>
      <c r="E5211" t="s">
        <v>322</v>
      </c>
    </row>
    <row r="5212" spans="8:8">
      <c r="B5212" t="s">
        <v>8030</v>
      </c>
      <c r="C5212">
        <v>543236.0</v>
      </c>
      <c r="D5212" t="s">
        <v>8031</v>
      </c>
      <c r="E5212" t="s">
        <v>347</v>
      </c>
    </row>
    <row r="5213" spans="8:8">
      <c r="B5213" t="s">
        <v>8032</v>
      </c>
      <c r="C5213">
        <v>543237.0</v>
      </c>
      <c r="D5213" t="s">
        <v>8033</v>
      </c>
      <c r="E5213" t="s">
        <v>812</v>
      </c>
    </row>
    <row r="5214" spans="8:8">
      <c r="B5214" t="s">
        <v>8034</v>
      </c>
      <c r="C5214">
        <v>543238.0</v>
      </c>
      <c r="D5214" t="s">
        <v>8035</v>
      </c>
      <c r="E5214" t="s">
        <v>2744</v>
      </c>
    </row>
    <row r="5215" spans="8:8">
      <c r="B5215" t="s">
        <v>8036</v>
      </c>
      <c r="C5215">
        <v>543239.0</v>
      </c>
      <c r="D5215" t="s">
        <v>8037</v>
      </c>
      <c r="E5215" t="s">
        <v>459</v>
      </c>
    </row>
    <row r="5216" spans="8:8">
      <c r="B5216" t="s">
        <v>8038</v>
      </c>
      <c r="C5216">
        <v>543240.0</v>
      </c>
      <c r="D5216" t="s">
        <v>8039</v>
      </c>
      <c r="E5216" t="s">
        <v>737</v>
      </c>
    </row>
    <row r="5217" spans="8:8">
      <c r="B5217" t="s">
        <v>8040</v>
      </c>
      <c r="C5217">
        <v>543241.0</v>
      </c>
      <c r="D5217" t="s">
        <v>8041</v>
      </c>
      <c r="E5217" t="s">
        <v>425</v>
      </c>
    </row>
    <row r="5218" spans="8:8">
      <c r="B5218" t="s">
        <v>8042</v>
      </c>
      <c r="C5218">
        <v>543242.0</v>
      </c>
      <c r="D5218" t="s">
        <v>8043</v>
      </c>
      <c r="E5218" t="s">
        <v>425</v>
      </c>
    </row>
    <row r="5219" spans="8:8">
      <c r="B5219" t="s">
        <v>8044</v>
      </c>
      <c r="C5219">
        <v>543243.0</v>
      </c>
      <c r="D5219" t="s">
        <v>8045</v>
      </c>
      <c r="E5219" t="s">
        <v>657</v>
      </c>
    </row>
    <row r="5220" spans="8:8">
      <c r="B5220" t="s">
        <v>8046</v>
      </c>
      <c r="C5220">
        <v>543244.0</v>
      </c>
      <c r="D5220" t="s">
        <v>8047</v>
      </c>
      <c r="E5220" t="s">
        <v>354</v>
      </c>
    </row>
    <row r="5221" spans="8:8">
      <c r="B5221" t="s">
        <v>8048</v>
      </c>
      <c r="C5221">
        <v>500270.0</v>
      </c>
      <c r="D5221" t="s">
        <v>8049</v>
      </c>
      <c r="E5221" t="s">
        <v>8050</v>
      </c>
    </row>
    <row r="5222" spans="8:8">
      <c r="B5222" t="s">
        <v>8051</v>
      </c>
      <c r="C5222">
        <v>503685.0</v>
      </c>
      <c r="D5222" t="s">
        <v>8052</v>
      </c>
      <c r="E5222" t="s">
        <v>8053</v>
      </c>
    </row>
    <row r="5223" spans="8:8">
      <c r="B5223" t="s">
        <v>8054</v>
      </c>
      <c r="C5223">
        <v>505100.0</v>
      </c>
      <c r="D5223" t="s">
        <v>8055</v>
      </c>
      <c r="E5223" t="s">
        <v>8056</v>
      </c>
    </row>
    <row r="5224" spans="8:8">
      <c r="B5224" t="s">
        <v>8057</v>
      </c>
      <c r="C5224">
        <v>506580.0</v>
      </c>
      <c r="D5224" t="s">
        <v>8058</v>
      </c>
      <c r="E5224" t="s">
        <v>8059</v>
      </c>
    </row>
    <row r="5225" spans="8:8">
      <c r="B5225" t="s">
        <v>8060</v>
      </c>
      <c r="C5225">
        <v>509069.0</v>
      </c>
      <c r="D5225" t="s">
        <v>8061</v>
      </c>
      <c r="E5225" t="s">
        <v>8062</v>
      </c>
    </row>
    <row r="5226" spans="8:8">
      <c r="B5226" t="s">
        <v>8063</v>
      </c>
      <c r="C5226">
        <v>509960.0</v>
      </c>
      <c r="D5226" t="s">
        <v>8064</v>
      </c>
      <c r="E5226" t="s">
        <v>8065</v>
      </c>
    </row>
    <row r="5227" spans="8:8">
      <c r="B5227" t="s">
        <v>8066</v>
      </c>
      <c r="C5227">
        <v>511016.0</v>
      </c>
      <c r="D5227" t="s">
        <v>8067</v>
      </c>
      <c r="E5227" t="s">
        <v>8068</v>
      </c>
    </row>
    <row r="5228" spans="8:8">
      <c r="B5228" t="s">
        <v>8069</v>
      </c>
      <c r="C5228">
        <v>511194.0</v>
      </c>
      <c r="D5228" t="s">
        <v>8070</v>
      </c>
      <c r="E5228" t="s">
        <v>7294</v>
      </c>
    </row>
    <row r="5229" spans="8:8">
      <c r="B5229" t="s">
        <v>8071</v>
      </c>
      <c r="C5229">
        <v>512097.0</v>
      </c>
      <c r="D5229" t="s">
        <v>8072</v>
      </c>
      <c r="E5229" t="s">
        <v>8073</v>
      </c>
    </row>
    <row r="5230" spans="8:8">
      <c r="B5230" t="s">
        <v>8074</v>
      </c>
      <c r="C5230">
        <v>512115.0</v>
      </c>
      <c r="D5230" t="s">
        <v>8075</v>
      </c>
      <c r="E5230" t="s">
        <v>8073</v>
      </c>
    </row>
    <row r="5231" spans="8:8">
      <c r="B5231" t="s">
        <v>8076</v>
      </c>
      <c r="C5231">
        <v>514260.0</v>
      </c>
      <c r="D5231" t="s">
        <v>8077</v>
      </c>
      <c r="E5231" t="s">
        <v>8050</v>
      </c>
    </row>
    <row r="5232" spans="8:8">
      <c r="B5232" t="s">
        <v>8078</v>
      </c>
      <c r="C5232">
        <v>523309.0</v>
      </c>
      <c r="D5232" t="s">
        <v>8079</v>
      </c>
      <c r="E5232" t="s">
        <v>8080</v>
      </c>
    </row>
    <row r="5233" spans="8:8">
      <c r="B5233" t="s">
        <v>8081</v>
      </c>
      <c r="C5233">
        <v>523868.0</v>
      </c>
      <c r="D5233" t="s">
        <v>8082</v>
      </c>
      <c r="E5233" t="s">
        <v>347</v>
      </c>
    </row>
    <row r="5234" spans="8:8">
      <c r="B5234" t="s">
        <v>8083</v>
      </c>
      <c r="C5234">
        <v>524046.0</v>
      </c>
      <c r="D5234" t="s">
        <v>8084</v>
      </c>
      <c r="E5234" t="s">
        <v>8085</v>
      </c>
    </row>
    <row r="5235" spans="8:8">
      <c r="B5235" t="s">
        <v>8086</v>
      </c>
      <c r="C5235">
        <v>526345.0</v>
      </c>
      <c r="D5235" t="s">
        <v>8087</v>
      </c>
      <c r="E5235" t="s">
        <v>399</v>
      </c>
    </row>
    <row r="5236" spans="8:8">
      <c r="B5236" t="s">
        <v>8088</v>
      </c>
      <c r="C5236">
        <v>526468.0</v>
      </c>
      <c r="D5236" t="s">
        <v>8089</v>
      </c>
      <c r="E5236" t="s">
        <v>8090</v>
      </c>
    </row>
    <row r="5237" spans="8:8">
      <c r="B5237" t="s">
        <v>8091</v>
      </c>
      <c r="C5237">
        <v>526677.0</v>
      </c>
      <c r="D5237" t="s">
        <v>8092</v>
      </c>
      <c r="E5237" t="s">
        <v>444</v>
      </c>
    </row>
    <row r="5238" spans="8:8">
      <c r="B5238" t="s">
        <v>8093</v>
      </c>
      <c r="C5238">
        <v>526877.0</v>
      </c>
      <c r="D5238" t="s">
        <v>8094</v>
      </c>
      <c r="E5238" t="s">
        <v>8073</v>
      </c>
    </row>
    <row r="5239" spans="8:8">
      <c r="B5239" t="s">
        <v>8095</v>
      </c>
      <c r="C5239">
        <v>530027.0</v>
      </c>
      <c r="D5239" t="s">
        <v>8096</v>
      </c>
      <c r="E5239" t="s">
        <v>553</v>
      </c>
    </row>
    <row r="5240" spans="8:8">
      <c r="B5240" t="s">
        <v>8097</v>
      </c>
      <c r="C5240">
        <v>531240.0</v>
      </c>
      <c r="D5240" t="s">
        <v>8098</v>
      </c>
      <c r="E5240" t="s">
        <v>8073</v>
      </c>
    </row>
    <row r="5241" spans="8:8">
      <c r="B5241" t="s">
        <v>8099</v>
      </c>
      <c r="C5241">
        <v>531399.0</v>
      </c>
      <c r="D5241" t="s">
        <v>8100</v>
      </c>
      <c r="E5241" t="s">
        <v>8056</v>
      </c>
    </row>
    <row r="5242" spans="8:8">
      <c r="B5242" t="s">
        <v>8101</v>
      </c>
      <c r="C5242">
        <v>531812.0</v>
      </c>
      <c r="D5242" t="s">
        <v>8102</v>
      </c>
      <c r="E5242" t="s">
        <v>8068</v>
      </c>
    </row>
    <row r="5243" spans="8:8">
      <c r="B5243" t="s">
        <v>8103</v>
      </c>
      <c r="C5243">
        <v>532019.0</v>
      </c>
      <c r="D5243" t="s">
        <v>8104</v>
      </c>
      <c r="E5243" t="s">
        <v>8105</v>
      </c>
    </row>
    <row r="5244" spans="8:8">
      <c r="B5244" t="s">
        <v>8106</v>
      </c>
      <c r="C5244">
        <v>532335.0</v>
      </c>
      <c r="D5244" t="s">
        <v>8107</v>
      </c>
      <c r="E5244" t="s">
        <v>2157</v>
      </c>
    </row>
    <row r="5245" spans="8:8">
      <c r="B5245" t="s">
        <v>8108</v>
      </c>
      <c r="C5245">
        <v>537709.0</v>
      </c>
      <c r="D5245" t="s">
        <v>8109</v>
      </c>
      <c r="E5245" t="s">
        <v>1037</v>
      </c>
    </row>
    <row r="5246" spans="8:8">
      <c r="B5246" t="s">
        <v>8110</v>
      </c>
      <c r="C5246">
        <v>543229.0</v>
      </c>
      <c r="D5246" t="s">
        <v>8111</v>
      </c>
      <c r="E5246" t="s">
        <v>8112</v>
      </c>
    </row>
    <row r="5247" spans="8:8">
      <c r="B5247" t="s">
        <v>8113</v>
      </c>
      <c r="C5247">
        <v>543245.0</v>
      </c>
      <c r="D5247" t="s">
        <v>8114</v>
      </c>
      <c r="E5247" t="s">
        <v>377</v>
      </c>
    </row>
    <row r="5248" spans="8:8">
      <c r="B5248" t="s">
        <v>8115</v>
      </c>
      <c r="C5248">
        <v>543246.0</v>
      </c>
      <c r="D5248" t="s">
        <v>8116</v>
      </c>
      <c r="E5248" t="s">
        <v>38</v>
      </c>
    </row>
    <row r="5249" spans="8:8">
      <c r="B5249" t="s">
        <v>8117</v>
      </c>
      <c r="C5249">
        <v>543247.0</v>
      </c>
      <c r="D5249" t="s">
        <v>8118</v>
      </c>
      <c r="E5249" t="s">
        <v>8053</v>
      </c>
    </row>
    <row r="5250" spans="8:8">
      <c r="B5250" t="s">
        <v>8119</v>
      </c>
      <c r="C5250">
        <v>543248.0</v>
      </c>
      <c r="D5250" t="s">
        <v>8120</v>
      </c>
      <c r="E5250" t="s">
        <v>828</v>
      </c>
    </row>
    <row r="5251" spans="8:8">
      <c r="B5251" t="s">
        <v>8121</v>
      </c>
      <c r="C5251">
        <v>543249.0</v>
      </c>
      <c r="D5251" t="s">
        <v>8122</v>
      </c>
      <c r="E5251" t="s">
        <v>8123</v>
      </c>
    </row>
    <row r="5252" spans="8:8">
      <c r="B5252" t="s">
        <v>8124</v>
      </c>
      <c r="C5252">
        <v>543251.0</v>
      </c>
      <c r="D5252" t="s">
        <v>8125</v>
      </c>
      <c r="E5252" t="s">
        <v>8123</v>
      </c>
    </row>
    <row r="5253" spans="8:8">
      <c r="B5253" t="s">
        <v>8126</v>
      </c>
      <c r="C5253">
        <v>543252.0</v>
      </c>
      <c r="D5253" t="s">
        <v>8127</v>
      </c>
      <c r="E5253" t="s">
        <v>499</v>
      </c>
    </row>
    <row r="5254" spans="8:8">
      <c r="B5254" t="s">
        <v>8128</v>
      </c>
      <c r="C5254">
        <v>543253.0</v>
      </c>
      <c r="D5254" t="s">
        <v>8129</v>
      </c>
      <c r="E5254" t="s">
        <v>399</v>
      </c>
    </row>
    <row r="5255" spans="8:8">
      <c r="B5255" t="s">
        <v>8130</v>
      </c>
      <c r="C5255">
        <v>543254.0</v>
      </c>
      <c r="D5255" t="s">
        <v>8131</v>
      </c>
      <c r="E5255" t="s">
        <v>8132</v>
      </c>
    </row>
    <row r="5256" spans="8:8">
      <c r="B5256" t="s">
        <v>8133</v>
      </c>
      <c r="C5256">
        <v>543255.0</v>
      </c>
      <c r="D5256" t="s">
        <v>8134</v>
      </c>
      <c r="E5256" t="s">
        <v>38</v>
      </c>
    </row>
    <row r="5257" spans="8:8">
      <c r="B5257" t="s">
        <v>8135</v>
      </c>
      <c r="C5257">
        <v>543256.0</v>
      </c>
      <c r="D5257" t="s">
        <v>8136</v>
      </c>
      <c r="E5257" t="s">
        <v>8137</v>
      </c>
    </row>
    <row r="5258" spans="8:8">
      <c r="B5258" t="s">
        <v>8138</v>
      </c>
      <c r="C5258">
        <v>543257.0</v>
      </c>
      <c r="D5258" t="s">
        <v>8139</v>
      </c>
      <c r="E5258" t="s">
        <v>8140</v>
      </c>
    </row>
    <row r="5259" spans="8:8">
      <c r="B5259" t="s">
        <v>8141</v>
      </c>
      <c r="C5259">
        <v>543258.0</v>
      </c>
      <c r="D5259" t="s">
        <v>8142</v>
      </c>
      <c r="E5259" t="s">
        <v>8143</v>
      </c>
    </row>
    <row r="5260" spans="8:8">
      <c r="B5260" t="s">
        <v>8144</v>
      </c>
      <c r="C5260">
        <v>543259.0</v>
      </c>
      <c r="D5260" t="s">
        <v>8145</v>
      </c>
      <c r="E5260" t="s">
        <v>8146</v>
      </c>
    </row>
    <row r="5261" spans="8:8">
      <c r="B5261" t="s">
        <v>8147</v>
      </c>
      <c r="C5261">
        <v>543260.0</v>
      </c>
      <c r="D5261" t="s">
        <v>8148</v>
      </c>
      <c r="E5261" t="s">
        <v>1103</v>
      </c>
    </row>
    <row r="5262" spans="8:8">
      <c r="B5262" t="s">
        <v>8149</v>
      </c>
      <c r="C5262">
        <v>543261.0</v>
      </c>
      <c r="D5262" t="s">
        <v>8150</v>
      </c>
      <c r="E5262" t="s">
        <v>8151</v>
      </c>
    </row>
    <row r="5263" spans="8:8">
      <c r="B5263" t="s">
        <v>8152</v>
      </c>
      <c r="C5263">
        <v>543262.0</v>
      </c>
      <c r="D5263" t="s">
        <v>8153</v>
      </c>
      <c r="E5263" t="s">
        <v>373</v>
      </c>
    </row>
    <row r="5264" spans="8:8">
      <c r="B5264" t="s">
        <v>8154</v>
      </c>
      <c r="C5264">
        <v>543263.0</v>
      </c>
      <c r="D5264" t="s">
        <v>8155</v>
      </c>
      <c r="E5264" t="s">
        <v>8156</v>
      </c>
    </row>
    <row r="5265" spans="8:8">
      <c r="B5265" t="s">
        <v>8157</v>
      </c>
      <c r="C5265">
        <v>543264.0</v>
      </c>
      <c r="D5265" t="s">
        <v>8158</v>
      </c>
      <c r="E5265" t="s">
        <v>8159</v>
      </c>
    </row>
    <row r="5266" spans="8:8">
      <c r="B5266" t="s">
        <v>8160</v>
      </c>
      <c r="C5266">
        <v>543265.0</v>
      </c>
      <c r="D5266" t="s">
        <v>8161</v>
      </c>
      <c r="E5266" t="s">
        <v>1285</v>
      </c>
    </row>
    <row r="5267" spans="8:8">
      <c r="B5267" t="s">
        <v>8162</v>
      </c>
      <c r="C5267">
        <v>543266.0</v>
      </c>
      <c r="D5267" t="s">
        <v>8163</v>
      </c>
      <c r="E5267" t="s">
        <v>8059</v>
      </c>
    </row>
    <row r="5268" spans="8:8">
      <c r="B5268" t="s">
        <v>8164</v>
      </c>
      <c r="C5268">
        <v>543267.0</v>
      </c>
      <c r="D5268" t="s">
        <v>8165</v>
      </c>
      <c r="E5268" t="s">
        <v>1037</v>
      </c>
    </row>
    <row r="5269" spans="8:8">
      <c r="B5269" t="s">
        <v>8166</v>
      </c>
      <c r="C5269">
        <v>543269.0</v>
      </c>
      <c r="D5269" t="s">
        <v>8167</v>
      </c>
      <c r="E5269" t="s">
        <v>8168</v>
      </c>
    </row>
    <row r="5270" spans="8:8">
      <c r="B5270" t="s">
        <v>8169</v>
      </c>
      <c r="C5270">
        <v>543270.0</v>
      </c>
      <c r="D5270" t="s">
        <v>8170</v>
      </c>
      <c r="E5270" t="s">
        <v>8171</v>
      </c>
    </row>
    <row r="5271" spans="8:8">
      <c r="B5271" t="s">
        <v>8172</v>
      </c>
      <c r="C5271">
        <v>543271.0</v>
      </c>
      <c r="D5271" t="s">
        <v>8173</v>
      </c>
      <c r="E5271" t="s">
        <v>499</v>
      </c>
    </row>
    <row r="5272" spans="8:8">
      <c r="B5272" t="s">
        <v>8174</v>
      </c>
      <c r="C5272">
        <v>543272.0</v>
      </c>
      <c r="D5272" t="s">
        <v>8175</v>
      </c>
      <c r="E5272" t="s">
        <v>8176</v>
      </c>
    </row>
    <row r="5273" spans="8:8">
      <c r="B5273" t="s">
        <v>8177</v>
      </c>
      <c r="C5273">
        <v>543273.0</v>
      </c>
      <c r="D5273" t="s">
        <v>8178</v>
      </c>
      <c r="E5273" t="s">
        <v>1586</v>
      </c>
    </row>
    <row r="5274" spans="8:8">
      <c r="B5274" t="s">
        <v>8179</v>
      </c>
      <c r="C5274">
        <v>543274.0</v>
      </c>
      <c r="D5274" t="s">
        <v>8180</v>
      </c>
      <c r="E5274" t="s">
        <v>8050</v>
      </c>
    </row>
    <row r="5275" spans="8:8">
      <c r="B5275" t="s">
        <v>8181</v>
      </c>
      <c r="C5275">
        <v>543275.0</v>
      </c>
      <c r="D5275" t="s">
        <v>8182</v>
      </c>
      <c r="E5275" t="s">
        <v>499</v>
      </c>
    </row>
    <row r="5276" spans="8:8">
      <c r="B5276" t="s">
        <v>8183</v>
      </c>
      <c r="C5276">
        <v>543276.0</v>
      </c>
      <c r="D5276" t="s">
        <v>8184</v>
      </c>
      <c r="E5276" t="s">
        <v>8056</v>
      </c>
    </row>
    <row r="5277" spans="8:8">
      <c r="B5277" t="s">
        <v>8185</v>
      </c>
      <c r="C5277">
        <v>543277.0</v>
      </c>
      <c r="D5277" t="s">
        <v>8186</v>
      </c>
      <c r="E5277" t="s">
        <v>499</v>
      </c>
    </row>
    <row r="5278" spans="8:8">
      <c r="B5278" t="s">
        <v>8187</v>
      </c>
      <c r="C5278">
        <v>543278.0</v>
      </c>
      <c r="D5278" t="s">
        <v>8188</v>
      </c>
      <c r="E5278" t="s">
        <v>8090</v>
      </c>
    </row>
    <row r="5279" spans="8:8">
      <c r="B5279" t="s">
        <v>8189</v>
      </c>
      <c r="C5279">
        <v>543279.0</v>
      </c>
      <c r="D5279" t="s">
        <v>8190</v>
      </c>
      <c r="E5279" t="s">
        <v>8191</v>
      </c>
    </row>
    <row r="5280" spans="8:8">
      <c r="B5280" t="s">
        <v>8192</v>
      </c>
      <c r="C5280">
        <v>543280.0</v>
      </c>
      <c r="D5280" t="s">
        <v>8193</v>
      </c>
      <c r="E5280" t="s">
        <v>8194</v>
      </c>
    </row>
    <row r="5281" spans="8:8">
      <c r="B5281" t="s">
        <v>8195</v>
      </c>
      <c r="C5281">
        <v>543281.0</v>
      </c>
      <c r="D5281" t="s">
        <v>8196</v>
      </c>
      <c r="E5281" t="s">
        <v>8197</v>
      </c>
    </row>
    <row r="5282" spans="8:8">
      <c r="B5282" t="s">
        <v>8198</v>
      </c>
      <c r="C5282">
        <v>543282.0</v>
      </c>
      <c r="D5282" t="s">
        <v>8199</v>
      </c>
      <c r="E5282" t="s">
        <v>8168</v>
      </c>
    </row>
    <row r="5283" spans="8:8">
      <c r="B5283" t="s">
        <v>8200</v>
      </c>
      <c r="C5283">
        <v>543283.0</v>
      </c>
      <c r="D5283" t="s">
        <v>8201</v>
      </c>
      <c r="E5283" t="s">
        <v>828</v>
      </c>
    </row>
    <row r="5284" spans="8:8">
      <c r="B5284" t="s">
        <v>8202</v>
      </c>
      <c r="C5284">
        <v>543284.0</v>
      </c>
      <c r="D5284" t="s">
        <v>8203</v>
      </c>
      <c r="E5284" t="s">
        <v>423</v>
      </c>
    </row>
    <row r="5285" spans="8:8">
      <c r="B5285" t="s">
        <v>8204</v>
      </c>
      <c r="C5285">
        <v>543285.0</v>
      </c>
      <c r="D5285" t="s">
        <v>8205</v>
      </c>
      <c r="E5285" t="s">
        <v>8206</v>
      </c>
    </row>
    <row r="5286" spans="8:8">
      <c r="B5286" t="s">
        <v>8207</v>
      </c>
      <c r="C5286">
        <v>543286.0</v>
      </c>
      <c r="D5286" t="s">
        <v>8208</v>
      </c>
      <c r="E5286" t="s">
        <v>419</v>
      </c>
    </row>
    <row r="5287" spans="8:8">
      <c r="B5287" t="s">
        <v>8209</v>
      </c>
      <c r="C5287">
        <v>543287.0</v>
      </c>
      <c r="D5287" t="s">
        <v>8210</v>
      </c>
      <c r="E5287" t="s">
        <v>8123</v>
      </c>
    </row>
    <row r="5288" spans="8:8">
      <c r="B5288" t="s">
        <v>8211</v>
      </c>
      <c r="C5288">
        <v>543288.0</v>
      </c>
      <c r="D5288" t="s">
        <v>1847</v>
      </c>
      <c r="E5288" t="s">
        <v>8212</v>
      </c>
    </row>
    <row r="5289" spans="8:8">
      <c r="B5289" t="s">
        <v>8213</v>
      </c>
      <c r="C5289">
        <v>543289.0</v>
      </c>
      <c r="D5289" t="s">
        <v>8214</v>
      </c>
      <c r="E5289" t="s">
        <v>444</v>
      </c>
    </row>
    <row r="5290" spans="8:8">
      <c r="B5290" t="s">
        <v>8215</v>
      </c>
      <c r="C5290">
        <v>543290.0</v>
      </c>
      <c r="D5290" t="s">
        <v>8216</v>
      </c>
      <c r="E5290" t="s">
        <v>8217</v>
      </c>
    </row>
    <row r="5291" spans="8:8">
      <c r="B5291" t="s">
        <v>8218</v>
      </c>
      <c r="C5291">
        <v>543291.0</v>
      </c>
      <c r="D5291" t="s">
        <v>8219</v>
      </c>
      <c r="E5291" t="s">
        <v>38</v>
      </c>
    </row>
    <row r="5292" spans="8:8">
      <c r="B5292" t="s">
        <v>8220</v>
      </c>
      <c r="C5292">
        <v>543292.0</v>
      </c>
      <c r="D5292" t="s">
        <v>8221</v>
      </c>
      <c r="E5292" t="s">
        <v>38</v>
      </c>
    </row>
    <row r="5293" spans="8:8">
      <c r="B5293" t="s">
        <v>8222</v>
      </c>
      <c r="C5293">
        <v>543297.0</v>
      </c>
      <c r="D5293" t="s">
        <v>8223</v>
      </c>
      <c r="E5293" t="s">
        <v>382</v>
      </c>
    </row>
    <row r="5294" spans="8:8">
      <c r="B5294" t="s">
        <v>8224</v>
      </c>
      <c r="C5294">
        <v>543298.0</v>
      </c>
      <c r="D5294" t="s">
        <v>8225</v>
      </c>
      <c r="E5294" t="s">
        <v>377</v>
      </c>
    </row>
    <row r="5295" spans="8:8">
      <c r="B5295" t="s">
        <v>8226</v>
      </c>
      <c r="C5295">
        <v>543299.0</v>
      </c>
      <c r="D5295" t="s">
        <v>8227</v>
      </c>
      <c r="E5295" t="s">
        <v>8228</v>
      </c>
    </row>
    <row r="5296" spans="8:8">
      <c r="B5296" t="s">
        <v>8229</v>
      </c>
      <c r="C5296">
        <v>543300.0</v>
      </c>
      <c r="D5296" t="s">
        <v>8230</v>
      </c>
      <c r="E5296" t="s">
        <v>8056</v>
      </c>
    </row>
    <row r="5297" spans="8:8">
      <c r="B5297" t="s">
        <v>8231</v>
      </c>
      <c r="C5297">
        <v>543305.0</v>
      </c>
      <c r="D5297" t="s">
        <v>8232</v>
      </c>
      <c r="E5297" t="s">
        <v>423</v>
      </c>
    </row>
    <row r="5298" spans="8:8">
      <c r="B5298" t="s">
        <v>8233</v>
      </c>
      <c r="C5298">
        <v>543306.0</v>
      </c>
      <c r="D5298" t="s">
        <v>8234</v>
      </c>
      <c r="E5298" t="s">
        <v>8235</v>
      </c>
    </row>
    <row r="5299" spans="8:8">
      <c r="B5299" t="s">
        <v>8236</v>
      </c>
      <c r="C5299">
        <v>543308.0</v>
      </c>
      <c r="D5299" t="s">
        <v>8237</v>
      </c>
      <c r="E5299" t="s">
        <v>8238</v>
      </c>
    </row>
    <row r="5300" spans="8:8">
      <c r="B5300" t="s">
        <v>8239</v>
      </c>
      <c r="C5300">
        <v>543309.0</v>
      </c>
      <c r="D5300" t="s">
        <v>8240</v>
      </c>
      <c r="E5300" t="s">
        <v>8241</v>
      </c>
    </row>
    <row r="5301" spans="8:8">
      <c r="B5301" t="s">
        <v>8242</v>
      </c>
      <c r="C5301">
        <v>543310.0</v>
      </c>
      <c r="D5301" t="s">
        <v>8243</v>
      </c>
      <c r="E5301" t="s">
        <v>537</v>
      </c>
    </row>
    <row r="5302" spans="8:8">
      <c r="B5302" t="s">
        <v>8244</v>
      </c>
      <c r="C5302">
        <v>543311.0</v>
      </c>
      <c r="D5302" t="s">
        <v>8245</v>
      </c>
      <c r="E5302" t="s">
        <v>8059</v>
      </c>
    </row>
    <row r="5303" spans="8:8">
      <c r="B5303" t="s">
        <v>8246</v>
      </c>
      <c r="C5303">
        <v>543312.0</v>
      </c>
      <c r="D5303" t="s">
        <v>2262</v>
      </c>
      <c r="E5303" t="s">
        <v>8168</v>
      </c>
    </row>
    <row r="5304" spans="8:8">
      <c r="B5304" t="s">
        <v>8247</v>
      </c>
      <c r="C5304">
        <v>543317.0</v>
      </c>
      <c r="D5304" t="s">
        <v>8248</v>
      </c>
      <c r="E5304" t="s">
        <v>8249</v>
      </c>
    </row>
    <row r="5305" spans="8:8">
      <c r="B5305" t="s">
        <v>8250</v>
      </c>
      <c r="C5305">
        <v>543318.0</v>
      </c>
      <c r="D5305" t="s">
        <v>8251</v>
      </c>
      <c r="E5305" t="s">
        <v>387</v>
      </c>
    </row>
    <row r="5306" spans="8:8">
      <c r="B5306" t="s">
        <v>8252</v>
      </c>
      <c r="C5306">
        <v>543319.0</v>
      </c>
      <c r="D5306" t="s">
        <v>8253</v>
      </c>
      <c r="E5306" t="s">
        <v>8073</v>
      </c>
    </row>
    <row r="5307" spans="8:8">
      <c r="B5307" t="s">
        <v>8254</v>
      </c>
      <c r="C5307">
        <v>543320.0</v>
      </c>
      <c r="D5307" t="s">
        <v>8255</v>
      </c>
      <c r="E5307" t="s">
        <v>8256</v>
      </c>
    </row>
    <row r="5308" spans="8:8">
      <c r="B5308" t="s">
        <v>8257</v>
      </c>
      <c r="C5308">
        <v>543321.0</v>
      </c>
      <c r="D5308" t="s">
        <v>8258</v>
      </c>
      <c r="E5308" t="s">
        <v>499</v>
      </c>
    </row>
    <row r="5309" spans="8:8">
      <c r="B5309" t="s">
        <v>8259</v>
      </c>
      <c r="C5309">
        <v>543322.0</v>
      </c>
      <c r="D5309" t="s">
        <v>8260</v>
      </c>
      <c r="E5309" t="s">
        <v>377</v>
      </c>
    </row>
    <row r="5310" spans="8:8">
      <c r="B5310" t="s">
        <v>8261</v>
      </c>
      <c r="C5310">
        <v>543323.0</v>
      </c>
      <c r="D5310" t="s">
        <v>8262</v>
      </c>
      <c r="E5310" t="s">
        <v>38</v>
      </c>
    </row>
    <row r="5311" spans="8:8">
      <c r="B5311" t="s">
        <v>8263</v>
      </c>
      <c r="C5311">
        <v>543324.0</v>
      </c>
      <c r="D5311" t="s">
        <v>8264</v>
      </c>
      <c r="E5311" t="s">
        <v>8265</v>
      </c>
    </row>
    <row r="5312" spans="8:8">
      <c r="B5312" t="s">
        <v>8266</v>
      </c>
      <c r="C5312">
        <v>543325.0</v>
      </c>
      <c r="D5312" t="s">
        <v>8267</v>
      </c>
      <c r="E5312" t="s">
        <v>8056</v>
      </c>
    </row>
    <row r="5313" spans="8:8">
      <c r="B5313" t="s">
        <v>8268</v>
      </c>
      <c r="C5313">
        <v>543326.0</v>
      </c>
      <c r="D5313" t="s">
        <v>8269</v>
      </c>
      <c r="E5313" t="s">
        <v>38</v>
      </c>
    </row>
    <row r="5314" spans="8:8">
      <c r="B5314" t="s">
        <v>8270</v>
      </c>
      <c r="C5314">
        <v>543327.0</v>
      </c>
      <c r="D5314" t="s">
        <v>8271</v>
      </c>
      <c r="E5314" t="s">
        <v>8272</v>
      </c>
    </row>
    <row r="5315" spans="8:8">
      <c r="B5315" t="s">
        <v>8273</v>
      </c>
      <c r="C5315">
        <v>543328.0</v>
      </c>
      <c r="D5315" t="s">
        <v>8274</v>
      </c>
      <c r="E5315" t="s">
        <v>8275</v>
      </c>
    </row>
    <row r="5316" spans="8:8">
      <c r="B5316" t="s">
        <v>8276</v>
      </c>
      <c r="C5316">
        <v>543329.0</v>
      </c>
      <c r="D5316" t="s">
        <v>8277</v>
      </c>
      <c r="E5316" t="s">
        <v>377</v>
      </c>
    </row>
    <row r="5317" spans="8:8">
      <c r="B5317" t="s">
        <v>8278</v>
      </c>
      <c r="C5317">
        <v>543330.0</v>
      </c>
      <c r="D5317" t="s">
        <v>8279</v>
      </c>
      <c r="E5317" t="s">
        <v>828</v>
      </c>
    </row>
    <row r="5318" spans="8:8">
      <c r="B5318" t="s">
        <v>8280</v>
      </c>
      <c r="C5318">
        <v>543331.0</v>
      </c>
      <c r="D5318" t="s">
        <v>8281</v>
      </c>
      <c r="E5318" t="s">
        <v>8059</v>
      </c>
    </row>
    <row r="5319" spans="8:8">
      <c r="B5319" t="s">
        <v>8282</v>
      </c>
      <c r="C5319">
        <v>543332.0</v>
      </c>
      <c r="D5319" t="s">
        <v>8283</v>
      </c>
      <c r="E5319" t="s">
        <v>499</v>
      </c>
    </row>
    <row r="5320" spans="8:8">
      <c r="B5320" t="s">
        <v>8284</v>
      </c>
      <c r="C5320">
        <v>543333.0</v>
      </c>
      <c r="D5320" t="s">
        <v>8285</v>
      </c>
      <c r="E5320" t="s">
        <v>8256</v>
      </c>
    </row>
    <row r="5321" spans="8:8">
      <c r="B5321" t="s">
        <v>8286</v>
      </c>
      <c r="C5321">
        <v>543334.0</v>
      </c>
      <c r="D5321" t="s">
        <v>8287</v>
      </c>
      <c r="E5321" t="s">
        <v>352</v>
      </c>
    </row>
    <row r="5322" spans="8:8">
      <c r="B5322" t="s">
        <v>8288</v>
      </c>
      <c r="C5322">
        <v>543335.0</v>
      </c>
      <c r="D5322" t="s">
        <v>8289</v>
      </c>
      <c r="E5322" t="s">
        <v>8146</v>
      </c>
    </row>
    <row r="5323" spans="8:8">
      <c r="B5323" t="s">
        <v>8290</v>
      </c>
      <c r="C5323">
        <v>543336.0</v>
      </c>
      <c r="D5323" t="s">
        <v>8291</v>
      </c>
      <c r="E5323" t="s">
        <v>387</v>
      </c>
    </row>
    <row r="5324" spans="8:8">
      <c r="B5324" t="s">
        <v>8292</v>
      </c>
      <c r="C5324">
        <v>543341.0</v>
      </c>
      <c r="D5324" t="s">
        <v>8293</v>
      </c>
      <c r="E5324" t="s">
        <v>8294</v>
      </c>
    </row>
    <row r="5325" spans="8:8">
      <c r="B5325" t="s">
        <v>8295</v>
      </c>
      <c r="C5325">
        <v>543346.0</v>
      </c>
      <c r="D5325" t="s">
        <v>8296</v>
      </c>
      <c r="E5325" t="s">
        <v>8238</v>
      </c>
    </row>
    <row r="5326" spans="8:8">
      <c r="B5326" t="s">
        <v>8297</v>
      </c>
      <c r="C5326">
        <v>543347.0</v>
      </c>
      <c r="D5326" t="s">
        <v>8298</v>
      </c>
      <c r="E5326" t="s">
        <v>38</v>
      </c>
    </row>
    <row r="5327" spans="8:8">
      <c r="B5327" t="s">
        <v>8299</v>
      </c>
      <c r="C5327">
        <v>543348.0</v>
      </c>
      <c r="D5327" t="s">
        <v>8300</v>
      </c>
      <c r="E5327" t="s">
        <v>38</v>
      </c>
    </row>
    <row r="5328" spans="8:8">
      <c r="B5328" t="s">
        <v>8301</v>
      </c>
      <c r="C5328">
        <v>543349.0</v>
      </c>
      <c r="D5328" t="s">
        <v>8302</v>
      </c>
      <c r="E5328" t="s">
        <v>377</v>
      </c>
    </row>
    <row r="5329" spans="8:8">
      <c r="B5329" t="s">
        <v>8303</v>
      </c>
      <c r="C5329">
        <v>543350.0</v>
      </c>
      <c r="D5329" t="s">
        <v>8304</v>
      </c>
      <c r="E5329" t="s">
        <v>8275</v>
      </c>
    </row>
    <row r="5330" spans="8:8">
      <c r="B5330" t="s">
        <v>8305</v>
      </c>
      <c r="C5330">
        <v>543351.0</v>
      </c>
      <c r="D5330" t="s">
        <v>8306</v>
      </c>
      <c r="E5330" t="s">
        <v>8168</v>
      </c>
    </row>
    <row r="5331" spans="8:8">
      <c r="B5331" t="s">
        <v>8307</v>
      </c>
      <c r="C5331">
        <v>543352.0</v>
      </c>
      <c r="D5331" t="s">
        <v>8308</v>
      </c>
      <c r="E5331" t="s">
        <v>8309</v>
      </c>
    </row>
    <row r="5332" spans="8:8">
      <c r="B5332" t="s">
        <v>8310</v>
      </c>
      <c r="C5332">
        <v>543357.0</v>
      </c>
      <c r="D5332" t="s">
        <v>8311</v>
      </c>
      <c r="E5332" t="s">
        <v>38</v>
      </c>
    </row>
    <row r="5333" spans="8:8">
      <c r="B5333" t="s">
        <v>8312</v>
      </c>
      <c r="C5333">
        <v>543358.0</v>
      </c>
      <c r="D5333" t="s">
        <v>8313</v>
      </c>
      <c r="E5333" t="s">
        <v>8056</v>
      </c>
    </row>
    <row r="5334" spans="8:8">
      <c r="B5334" t="s">
        <v>8314</v>
      </c>
      <c r="C5334">
        <v>543363.0</v>
      </c>
      <c r="D5334" t="s">
        <v>8315</v>
      </c>
      <c r="E5334" t="s">
        <v>8159</v>
      </c>
    </row>
    <row r="5335" spans="8:8">
      <c r="B5335" t="s">
        <v>8316</v>
      </c>
      <c r="C5335">
        <v>543364.0</v>
      </c>
      <c r="D5335" t="s">
        <v>8317</v>
      </c>
      <c r="E5335" t="s">
        <v>8249</v>
      </c>
    </row>
    <row r="5336" spans="8:8">
      <c r="B5336" t="s">
        <v>8318</v>
      </c>
      <c r="C5336">
        <v>543365.0</v>
      </c>
      <c r="D5336" t="s">
        <v>8319</v>
      </c>
      <c r="E5336" t="s">
        <v>38</v>
      </c>
    </row>
    <row r="5337" spans="8:8">
      <c r="B5337" t="s">
        <v>8320</v>
      </c>
      <c r="C5337">
        <v>543366.0</v>
      </c>
      <c r="D5337" t="s">
        <v>8321</v>
      </c>
      <c r="E5337" t="s">
        <v>8123</v>
      </c>
    </row>
    <row r="5338" spans="8:8">
      <c r="B5338" t="s">
        <v>8322</v>
      </c>
      <c r="C5338">
        <v>543367.0</v>
      </c>
      <c r="D5338" t="s">
        <v>8323</v>
      </c>
      <c r="E5338" t="s">
        <v>8171</v>
      </c>
    </row>
    <row r="5339" spans="8:8">
      <c r="B5339" t="s">
        <v>8324</v>
      </c>
      <c r="C5339">
        <v>543372.0</v>
      </c>
      <c r="D5339" t="s">
        <v>8325</v>
      </c>
      <c r="E5339" t="s">
        <v>8326</v>
      </c>
    </row>
    <row r="5340" spans="8:8">
      <c r="B5340" t="s">
        <v>8327</v>
      </c>
      <c r="C5340">
        <v>543373.0</v>
      </c>
      <c r="D5340" t="s">
        <v>8328</v>
      </c>
      <c r="E5340" t="s">
        <v>8080</v>
      </c>
    </row>
    <row r="5341" spans="8:8">
      <c r="B5341" t="s">
        <v>8329</v>
      </c>
      <c r="C5341">
        <v>543374.0</v>
      </c>
      <c r="D5341" t="s">
        <v>8330</v>
      </c>
      <c r="E5341" t="s">
        <v>8331</v>
      </c>
    </row>
    <row r="5342" spans="8:8">
      <c r="B5342" t="s">
        <v>8332</v>
      </c>
      <c r="C5342">
        <v>543375.0</v>
      </c>
      <c r="D5342" t="s">
        <v>8333</v>
      </c>
      <c r="E5342" t="s">
        <v>8334</v>
      </c>
    </row>
    <row r="5343" spans="8:8">
      <c r="B5343" t="s">
        <v>8335</v>
      </c>
      <c r="C5343">
        <v>543376.0</v>
      </c>
      <c r="D5343" t="s">
        <v>8336</v>
      </c>
      <c r="E5343" t="s">
        <v>8123</v>
      </c>
    </row>
    <row r="5344" spans="8:8">
      <c r="B5344" t="s">
        <v>8337</v>
      </c>
      <c r="C5344">
        <v>543377.0</v>
      </c>
      <c r="D5344" t="s">
        <v>8338</v>
      </c>
      <c r="E5344" t="s">
        <v>662</v>
      </c>
    </row>
    <row r="5345" spans="8:8">
      <c r="B5345" t="s">
        <v>8339</v>
      </c>
      <c r="C5345">
        <v>543378.0</v>
      </c>
      <c r="D5345" t="s">
        <v>8340</v>
      </c>
      <c r="E5345" t="s">
        <v>708</v>
      </c>
    </row>
    <row r="5346" spans="8:8">
      <c r="B5346" t="s">
        <v>8341</v>
      </c>
      <c r="C5346">
        <v>543383.0</v>
      </c>
      <c r="D5346" t="s">
        <v>8342</v>
      </c>
      <c r="E5346" t="s">
        <v>38</v>
      </c>
    </row>
    <row r="5347" spans="8:8">
      <c r="B5347" t="s">
        <v>8343</v>
      </c>
      <c r="C5347">
        <v>543384.0</v>
      </c>
      <c r="D5347" t="s">
        <v>8344</v>
      </c>
      <c r="E5347" t="s">
        <v>8256</v>
      </c>
    </row>
    <row r="5348" spans="8:8">
      <c r="B5348" t="s">
        <v>8345</v>
      </c>
      <c r="C5348">
        <v>543385.0</v>
      </c>
      <c r="D5348" t="s">
        <v>8346</v>
      </c>
      <c r="E5348" t="s">
        <v>8249</v>
      </c>
    </row>
    <row r="5349" spans="8:8">
      <c r="B5349" t="s">
        <v>8347</v>
      </c>
      <c r="C5349">
        <v>543386.0</v>
      </c>
      <c r="D5349" t="s">
        <v>8348</v>
      </c>
      <c r="E5349" t="s">
        <v>8191</v>
      </c>
    </row>
    <row r="5350" spans="8:8">
      <c r="B5350" t="s">
        <v>8349</v>
      </c>
      <c r="C5350">
        <v>543387.0</v>
      </c>
      <c r="D5350" t="s">
        <v>8350</v>
      </c>
      <c r="E5350" t="s">
        <v>8056</v>
      </c>
    </row>
    <row r="5351" spans="8:8">
      <c r="B5351" t="s">
        <v>8351</v>
      </c>
      <c r="C5351">
        <v>543388.0</v>
      </c>
      <c r="D5351" t="s">
        <v>8352</v>
      </c>
      <c r="E5351" t="s">
        <v>38</v>
      </c>
    </row>
    <row r="5352" spans="8:8">
      <c r="B5352" t="s">
        <v>8353</v>
      </c>
      <c r="C5352">
        <v>543389.0</v>
      </c>
      <c r="D5352" t="s">
        <v>8354</v>
      </c>
      <c r="E5352" t="s">
        <v>377</v>
      </c>
    </row>
    <row r="5353" spans="8:8">
      <c r="B5353" t="s">
        <v>8355</v>
      </c>
      <c r="C5353">
        <v>543390.0</v>
      </c>
      <c r="D5353" t="s">
        <v>8356</v>
      </c>
      <c r="E5353" t="s">
        <v>8197</v>
      </c>
    </row>
    <row r="5354" spans="8:8">
      <c r="B5354" t="s">
        <v>8357</v>
      </c>
      <c r="C5354">
        <v>543391.0</v>
      </c>
      <c r="D5354" t="s">
        <v>8358</v>
      </c>
      <c r="E5354" t="s">
        <v>8249</v>
      </c>
    </row>
    <row r="5355" spans="8:8">
      <c r="B5355" t="s">
        <v>8359</v>
      </c>
      <c r="C5355">
        <v>543396.0</v>
      </c>
      <c r="D5355" t="s">
        <v>8360</v>
      </c>
      <c r="E5355" t="s">
        <v>8197</v>
      </c>
    </row>
    <row r="5356" spans="8:8">
      <c r="B5356" t="s">
        <v>8361</v>
      </c>
      <c r="C5356">
        <v>543397.0</v>
      </c>
      <c r="D5356" t="s">
        <v>8362</v>
      </c>
      <c r="E5356" t="s">
        <v>828</v>
      </c>
    </row>
    <row r="5357" spans="8:8">
      <c r="B5357" t="s">
        <v>8363</v>
      </c>
      <c r="C5357">
        <v>543398.0</v>
      </c>
      <c r="D5357" t="s">
        <v>8364</v>
      </c>
      <c r="E5357" t="s">
        <v>8168</v>
      </c>
    </row>
    <row r="5358" spans="8:8">
      <c r="B5358" t="s">
        <v>8365</v>
      </c>
      <c r="C5358">
        <v>543399.0</v>
      </c>
      <c r="D5358" t="s">
        <v>8366</v>
      </c>
      <c r="E5358" t="s">
        <v>8159</v>
      </c>
    </row>
    <row r="5359" spans="8:8">
      <c r="B5359" t="s">
        <v>8367</v>
      </c>
      <c r="C5359">
        <v>543400.0</v>
      </c>
      <c r="D5359" t="s">
        <v>8368</v>
      </c>
      <c r="E5359" t="s">
        <v>8369</v>
      </c>
    </row>
    <row r="5360" spans="8:8">
      <c r="B5360" t="s">
        <v>8370</v>
      </c>
      <c r="C5360">
        <v>543401.0</v>
      </c>
      <c r="D5360" t="s">
        <v>8371</v>
      </c>
      <c r="E5360" t="s">
        <v>8372</v>
      </c>
    </row>
    <row r="5361" spans="8:8">
      <c r="B5361" t="s">
        <v>8373</v>
      </c>
      <c r="C5361">
        <v>543410.0</v>
      </c>
      <c r="D5361" t="s">
        <v>8374</v>
      </c>
      <c r="E5361" t="s">
        <v>423</v>
      </c>
    </row>
    <row r="5362" spans="8:8">
      <c r="B5362" t="s">
        <v>8375</v>
      </c>
      <c r="C5362">
        <v>543411.0</v>
      </c>
      <c r="D5362" t="s">
        <v>2868</v>
      </c>
      <c r="E5362" t="s">
        <v>662</v>
      </c>
    </row>
    <row r="5363" spans="8:8">
      <c r="B5363" t="s">
        <v>8376</v>
      </c>
      <c r="C5363">
        <v>543412.0</v>
      </c>
      <c r="D5363" t="s">
        <v>8377</v>
      </c>
      <c r="E5363" t="s">
        <v>2421</v>
      </c>
    </row>
    <row r="5364" spans="8:8">
      <c r="B5364" t="s">
        <v>8378</v>
      </c>
      <c r="C5364">
        <v>543413.0</v>
      </c>
      <c r="D5364" t="s">
        <v>8379</v>
      </c>
      <c r="E5364" t="s">
        <v>8380</v>
      </c>
    </row>
    <row r="5365" spans="8:8">
      <c r="B5365" t="s">
        <v>8381</v>
      </c>
      <c r="C5365">
        <v>543414.0</v>
      </c>
      <c r="D5365" t="s">
        <v>8382</v>
      </c>
      <c r="E5365" t="s">
        <v>38</v>
      </c>
    </row>
    <row r="5366" spans="8:8">
      <c r="B5366" t="s">
        <v>8383</v>
      </c>
      <c r="C5366">
        <v>543415.0</v>
      </c>
      <c r="D5366" t="s">
        <v>8384</v>
      </c>
      <c r="E5366" t="s">
        <v>8385</v>
      </c>
    </row>
    <row r="5367" spans="8:8">
      <c r="B5367" t="s">
        <v>8386</v>
      </c>
      <c r="C5367">
        <v>543416.0</v>
      </c>
      <c r="D5367" t="s">
        <v>7267</v>
      </c>
      <c r="E5367" t="s">
        <v>8334</v>
      </c>
    </row>
    <row r="5368" spans="8:8">
      <c r="B5368" t="s">
        <v>8387</v>
      </c>
      <c r="C5368">
        <v>543417.0</v>
      </c>
      <c r="D5368" t="s">
        <v>8388</v>
      </c>
      <c r="E5368" t="s">
        <v>8168</v>
      </c>
    </row>
    <row r="5369" spans="8:8">
      <c r="B5369" t="s">
        <v>8389</v>
      </c>
      <c r="C5369">
        <v>543419.0</v>
      </c>
      <c r="D5369" t="s">
        <v>8390</v>
      </c>
      <c r="E5369" t="s">
        <v>8123</v>
      </c>
    </row>
    <row r="5370" spans="8:8">
      <c r="B5370" t="s">
        <v>8391</v>
      </c>
      <c r="C5370">
        <v>543420.0</v>
      </c>
      <c r="D5370" t="s">
        <v>3313</v>
      </c>
      <c r="E5370" t="s">
        <v>8392</v>
      </c>
    </row>
    <row r="5371" spans="8:8">
      <c r="B5371" t="s">
        <v>8393</v>
      </c>
      <c r="C5371">
        <v>543425.0</v>
      </c>
      <c r="D5371" t="s">
        <v>8394</v>
      </c>
      <c r="E5371" t="s">
        <v>8395</v>
      </c>
    </row>
    <row r="5372" spans="8:8">
      <c r="B5372" t="s">
        <v>8396</v>
      </c>
      <c r="C5372">
        <v>543426.0</v>
      </c>
      <c r="D5372" t="s">
        <v>8397</v>
      </c>
      <c r="E5372" t="s">
        <v>765</v>
      </c>
    </row>
    <row r="5373" spans="8:8">
      <c r="B5373" t="s">
        <v>8398</v>
      </c>
      <c r="C5373">
        <v>543427.0</v>
      </c>
      <c r="D5373" t="s">
        <v>8399</v>
      </c>
      <c r="E5373" t="s">
        <v>8400</v>
      </c>
    </row>
    <row r="5374" spans="8:8">
      <c r="B5374" t="s">
        <v>8401</v>
      </c>
      <c r="C5374">
        <v>543428.0</v>
      </c>
      <c r="D5374" t="s">
        <v>8402</v>
      </c>
      <c r="E5374" t="s">
        <v>8171</v>
      </c>
    </row>
    <row r="5375" spans="8:8">
      <c r="B5375" t="s">
        <v>8403</v>
      </c>
      <c r="C5375">
        <v>543433.0</v>
      </c>
      <c r="D5375" t="s">
        <v>8404</v>
      </c>
      <c r="E5375" t="s">
        <v>499</v>
      </c>
    </row>
    <row r="5376" spans="8:8">
      <c r="B5376" t="s">
        <v>8405</v>
      </c>
      <c r="C5376">
        <v>543434.0</v>
      </c>
      <c r="D5376" t="s">
        <v>8406</v>
      </c>
      <c r="E5376" t="s">
        <v>377</v>
      </c>
    </row>
    <row r="5377" spans="8:8">
      <c r="B5377" t="s">
        <v>8407</v>
      </c>
      <c r="C5377">
        <v>543435.0</v>
      </c>
      <c r="D5377" t="s">
        <v>8408</v>
      </c>
      <c r="E5377" t="s">
        <v>8206</v>
      </c>
    </row>
    <row r="5378" spans="8:8">
      <c r="B5378" t="s">
        <v>8409</v>
      </c>
      <c r="C5378">
        <v>543436.0</v>
      </c>
      <c r="D5378" t="s">
        <v>8410</v>
      </c>
      <c r="E5378" t="s">
        <v>8168</v>
      </c>
    </row>
    <row r="5379" spans="8:8">
      <c r="B5379" t="s">
        <v>8411</v>
      </c>
      <c r="C5379">
        <v>543437.0</v>
      </c>
      <c r="D5379" t="s">
        <v>8412</v>
      </c>
      <c r="E5379" t="s">
        <v>38</v>
      </c>
    </row>
    <row r="5380" spans="8:8">
      <c r="B5380" t="s">
        <v>8413</v>
      </c>
      <c r="C5380">
        <v>543438.0</v>
      </c>
      <c r="D5380" t="s">
        <v>8414</v>
      </c>
      <c r="E5380" t="s">
        <v>38</v>
      </c>
    </row>
    <row r="5381" spans="8:8">
      <c r="B5381" t="s">
        <v>8415</v>
      </c>
      <c r="C5381">
        <v>543439.0</v>
      </c>
      <c r="D5381" t="s">
        <v>8416</v>
      </c>
      <c r="E5381" t="s">
        <v>8294</v>
      </c>
    </row>
    <row r="5382" spans="8:8">
      <c r="B5382" t="s">
        <v>8417</v>
      </c>
      <c r="C5382">
        <v>543440.0</v>
      </c>
      <c r="D5382" t="s">
        <v>8418</v>
      </c>
      <c r="E5382" t="s">
        <v>38</v>
      </c>
    </row>
    <row r="5383" spans="8:8">
      <c r="B5383" t="s">
        <v>8419</v>
      </c>
      <c r="C5383">
        <v>543441.0</v>
      </c>
      <c r="D5383" t="s">
        <v>8420</v>
      </c>
      <c r="E5383" t="s">
        <v>7294</v>
      </c>
    </row>
    <row r="5384" spans="8:8">
      <c r="B5384" t="s">
        <v>8421</v>
      </c>
      <c r="C5384">
        <v>543442.0</v>
      </c>
      <c r="D5384" t="s">
        <v>1395</v>
      </c>
      <c r="E5384" t="s">
        <v>8372</v>
      </c>
    </row>
    <row r="5385" spans="8:8">
      <c r="B5385" t="s">
        <v>8422</v>
      </c>
      <c r="C5385">
        <v>543443.0</v>
      </c>
      <c r="D5385" t="s">
        <v>8423</v>
      </c>
      <c r="E5385" t="s">
        <v>444</v>
      </c>
    </row>
    <row r="5386" spans="8:8">
      <c r="B5386" t="s">
        <v>8424</v>
      </c>
      <c r="C5386">
        <v>543444.0</v>
      </c>
      <c r="D5386" t="s">
        <v>8425</v>
      </c>
      <c r="E5386" t="s">
        <v>377</v>
      </c>
    </row>
    <row r="5387" spans="8:8">
      <c r="B5387" t="s">
        <v>8426</v>
      </c>
      <c r="C5387">
        <v>543449.0</v>
      </c>
      <c r="D5387" t="s">
        <v>8427</v>
      </c>
      <c r="E5387" t="s">
        <v>1103</v>
      </c>
    </row>
    <row r="5388" spans="8:8">
      <c r="B5388" t="s">
        <v>8428</v>
      </c>
      <c r="C5388">
        <v>543450.0</v>
      </c>
      <c r="D5388" t="s">
        <v>8429</v>
      </c>
      <c r="E5388" t="s">
        <v>38</v>
      </c>
    </row>
    <row r="5389" spans="8:8">
      <c r="B5389" t="s">
        <v>8430</v>
      </c>
      <c r="C5389">
        <v>543451.0</v>
      </c>
      <c r="D5389" t="s">
        <v>8431</v>
      </c>
      <c r="E5389" t="s">
        <v>7294</v>
      </c>
    </row>
    <row r="5390" spans="8:8">
      <c r="B5390" t="s">
        <v>8432</v>
      </c>
      <c r="C5390">
        <v>543452.0</v>
      </c>
      <c r="D5390" t="s">
        <v>8433</v>
      </c>
      <c r="E5390" t="s">
        <v>38</v>
      </c>
    </row>
    <row r="5391" spans="8:8">
      <c r="B5391" t="s">
        <v>8434</v>
      </c>
      <c r="C5391">
        <v>543453.0</v>
      </c>
      <c r="D5391" t="s">
        <v>8435</v>
      </c>
      <c r="E5391" t="s">
        <v>8436</v>
      </c>
    </row>
    <row r="5392" spans="8:8">
      <c r="B5392" t="s">
        <v>8437</v>
      </c>
      <c r="C5392">
        <v>543454.0</v>
      </c>
      <c r="D5392" t="s">
        <v>8438</v>
      </c>
      <c r="E5392" t="s">
        <v>38</v>
      </c>
    </row>
    <row r="5393" spans="8:8">
      <c r="B5393" t="s">
        <v>8439</v>
      </c>
      <c r="C5393">
        <v>543458.0</v>
      </c>
      <c r="D5393" t="s">
        <v>8440</v>
      </c>
      <c r="E5393" t="s">
        <v>8080</v>
      </c>
    </row>
    <row r="5394" spans="8:8">
      <c r="B5394" t="s">
        <v>8441</v>
      </c>
      <c r="C5394">
        <v>543460.0</v>
      </c>
      <c r="D5394" t="s">
        <v>8442</v>
      </c>
      <c r="E5394" t="s">
        <v>347</v>
      </c>
    </row>
    <row r="5395" spans="8:8">
      <c r="B5395" t="s">
        <v>8443</v>
      </c>
      <c r="C5395">
        <v>543461.0</v>
      </c>
      <c r="D5395" t="s">
        <v>8444</v>
      </c>
      <c r="E5395" t="s">
        <v>8073</v>
      </c>
    </row>
    <row r="5396" spans="8:8">
      <c r="B5396" t="s">
        <v>8445</v>
      </c>
      <c r="C5396">
        <v>543462.0</v>
      </c>
      <c r="D5396" t="s">
        <v>1870</v>
      </c>
      <c r="E5396" t="s">
        <v>8446</v>
      </c>
    </row>
    <row r="5397" spans="8:8">
      <c r="B5397" t="s">
        <v>8447</v>
      </c>
      <c r="C5397">
        <v>543463.0</v>
      </c>
      <c r="D5397" t="s">
        <v>8448</v>
      </c>
      <c r="E5397" t="s">
        <v>8372</v>
      </c>
    </row>
    <row r="5398" spans="8:8">
      <c r="B5398" t="s">
        <v>8449</v>
      </c>
      <c r="C5398">
        <v>543464.0</v>
      </c>
      <c r="D5398" t="s">
        <v>8450</v>
      </c>
      <c r="E5398" t="s">
        <v>1384</v>
      </c>
    </row>
    <row r="5399" spans="8:8">
      <c r="B5399" t="s">
        <v>8451</v>
      </c>
      <c r="C5399">
        <v>543465.0</v>
      </c>
      <c r="D5399" t="s">
        <v>8452</v>
      </c>
      <c r="E5399" t="s">
        <v>38</v>
      </c>
    </row>
    <row r="5400" spans="8:8">
      <c r="B5400" t="s">
        <v>8453</v>
      </c>
      <c r="C5400">
        <v>543470.0</v>
      </c>
      <c r="D5400" t="s">
        <v>5995</v>
      </c>
      <c r="E5400" t="s">
        <v>8168</v>
      </c>
    </row>
    <row r="5401" spans="8:8">
      <c r="B5401" t="s">
        <v>8454</v>
      </c>
      <c r="C5401">
        <v>543471.0</v>
      </c>
      <c r="D5401" t="s">
        <v>8455</v>
      </c>
      <c r="E5401" t="s">
        <v>38</v>
      </c>
    </row>
    <row r="5402" spans="8:8">
      <c r="B5402" t="s">
        <v>8456</v>
      </c>
      <c r="C5402">
        <v>543472.0</v>
      </c>
      <c r="D5402" t="s">
        <v>8457</v>
      </c>
      <c r="E5402" t="s">
        <v>38</v>
      </c>
    </row>
    <row r="5403" spans="8:8">
      <c r="B5403" t="s">
        <v>8458</v>
      </c>
      <c r="C5403">
        <v>543473.0</v>
      </c>
      <c r="D5403" t="s">
        <v>8459</v>
      </c>
      <c r="E5403" t="s">
        <v>38</v>
      </c>
    </row>
    <row r="5404" spans="8:8">
      <c r="B5404" t="s">
        <v>8460</v>
      </c>
      <c r="C5404">
        <v>543474.0</v>
      </c>
      <c r="D5404" t="s">
        <v>8461</v>
      </c>
      <c r="E5404" t="s">
        <v>38</v>
      </c>
    </row>
    <row r="5405" spans="8:8">
      <c r="B5405" t="s">
        <v>8462</v>
      </c>
      <c r="C5405">
        <v>543475.0</v>
      </c>
      <c r="D5405" t="s">
        <v>8463</v>
      </c>
      <c r="E5405" t="s">
        <v>8446</v>
      </c>
    </row>
    <row r="5406" spans="8:8">
      <c r="B5406" t="s">
        <v>8464</v>
      </c>
      <c r="C5406">
        <v>543481.0</v>
      </c>
      <c r="D5406" t="s">
        <v>8465</v>
      </c>
      <c r="E5406" t="s">
        <v>38</v>
      </c>
    </row>
    <row r="5407" spans="8:8">
      <c r="B5407" t="s">
        <v>8466</v>
      </c>
      <c r="C5407">
        <v>543482.0</v>
      </c>
      <c r="D5407" t="s">
        <v>8467</v>
      </c>
      <c r="E5407" t="s">
        <v>1103</v>
      </c>
    </row>
    <row r="5408" spans="8:8">
      <c r="B5408" t="s">
        <v>8468</v>
      </c>
      <c r="C5408">
        <v>543489.0</v>
      </c>
      <c r="D5408" t="s">
        <v>8469</v>
      </c>
      <c r="E5408" t="s">
        <v>8392</v>
      </c>
    </row>
    <row r="5409" spans="8:8">
      <c r="B5409" t="s">
        <v>8470</v>
      </c>
      <c r="C5409">
        <v>543490.0</v>
      </c>
      <c r="D5409" t="s">
        <v>8471</v>
      </c>
      <c r="E5409" t="s">
        <v>8334</v>
      </c>
    </row>
    <row r="5410" spans="8:8">
      <c r="B5410" t="s">
        <v>8472</v>
      </c>
      <c r="C5410">
        <v>543497.0</v>
      </c>
      <c r="D5410" t="s">
        <v>8473</v>
      </c>
      <c r="E5410" t="s">
        <v>499</v>
      </c>
    </row>
    <row r="5411" spans="8:8">
      <c r="B5411" t="s">
        <v>8474</v>
      </c>
      <c r="C5411">
        <v>543498.0</v>
      </c>
      <c r="D5411" t="s">
        <v>8475</v>
      </c>
      <c r="E5411" t="s">
        <v>8056</v>
      </c>
    </row>
    <row r="5412" spans="8:8">
      <c r="B5412" t="s">
        <v>8476</v>
      </c>
      <c r="C5412">
        <v>543499.0</v>
      </c>
      <c r="D5412" t="s">
        <v>8477</v>
      </c>
      <c r="E5412" t="s">
        <v>377</v>
      </c>
    </row>
    <row r="5413" spans="8:8">
      <c r="B5413" t="s">
        <v>8478</v>
      </c>
      <c r="C5413">
        <v>543500.0</v>
      </c>
      <c r="D5413" t="s">
        <v>8479</v>
      </c>
      <c r="E5413" t="s">
        <v>8073</v>
      </c>
    </row>
    <row r="5414" spans="8:8">
      <c r="B5414" t="s">
        <v>8480</v>
      </c>
      <c r="C5414">
        <v>543501.0</v>
      </c>
      <c r="D5414" t="s">
        <v>8481</v>
      </c>
      <c r="E5414" t="s">
        <v>38</v>
      </c>
    </row>
    <row r="5415" spans="8:8">
      <c r="B5415" t="s">
        <v>8482</v>
      </c>
      <c r="C5415">
        <v>543512.0</v>
      </c>
      <c r="D5415" t="s">
        <v>8483</v>
      </c>
      <c r="E5415" t="s">
        <v>8484</v>
      </c>
    </row>
    <row r="5416" spans="8:8">
      <c r="B5416" t="s">
        <v>8485</v>
      </c>
      <c r="C5416">
        <v>543513.0</v>
      </c>
      <c r="D5416" t="s">
        <v>8486</v>
      </c>
      <c r="E5416" t="s">
        <v>8073</v>
      </c>
    </row>
    <row r="5417" spans="8:8">
      <c r="B5417" t="s">
        <v>8487</v>
      </c>
      <c r="C5417">
        <v>543514.0</v>
      </c>
      <c r="D5417" t="s">
        <v>8488</v>
      </c>
      <c r="E5417" t="s">
        <v>8105</v>
      </c>
    </row>
    <row r="5418" spans="8:8">
      <c r="B5418" t="s">
        <v>8489</v>
      </c>
      <c r="C5418">
        <v>543515.0</v>
      </c>
      <c r="D5418" t="s">
        <v>8490</v>
      </c>
      <c r="E5418" t="s">
        <v>8073</v>
      </c>
    </row>
    <row r="5419" spans="8:8">
      <c r="B5419" t="s">
        <v>8491</v>
      </c>
      <c r="C5419">
        <v>543516.0</v>
      </c>
      <c r="D5419" t="s">
        <v>8492</v>
      </c>
      <c r="E5419" t="s">
        <v>8073</v>
      </c>
    </row>
    <row r="5420" spans="8:8">
      <c r="B5420" t="s">
        <v>8493</v>
      </c>
      <c r="C5420">
        <v>543517.0</v>
      </c>
      <c r="D5420" t="s">
        <v>8494</v>
      </c>
      <c r="E5420" t="s">
        <v>662</v>
      </c>
    </row>
    <row r="5421" spans="8:8">
      <c r="B5421" t="s">
        <v>8495</v>
      </c>
      <c r="C5421">
        <v>543518.0</v>
      </c>
      <c r="D5421" t="s">
        <v>8496</v>
      </c>
      <c r="E5421" t="s">
        <v>8090</v>
      </c>
    </row>
    <row r="5422" spans="8:8">
      <c r="B5422" t="s">
        <v>8497</v>
      </c>
      <c r="C5422">
        <v>543519.0</v>
      </c>
      <c r="D5422" t="s">
        <v>8498</v>
      </c>
      <c r="E5422" t="s">
        <v>8272</v>
      </c>
    </row>
    <row r="5423" spans="8:8">
      <c r="B5423" t="s">
        <v>8499</v>
      </c>
      <c r="C5423">
        <v>543520.0</v>
      </c>
      <c r="D5423" t="s">
        <v>8500</v>
      </c>
      <c r="E5423" t="s">
        <v>8238</v>
      </c>
    </row>
    <row r="5424" spans="8:8">
      <c r="B5424" t="s">
        <v>8501</v>
      </c>
      <c r="C5424">
        <v>543521.0</v>
      </c>
      <c r="D5424" t="s">
        <v>8502</v>
      </c>
      <c r="E5424" t="s">
        <v>8256</v>
      </c>
    </row>
    <row r="5425" spans="8:8">
      <c r="B5425" t="s">
        <v>8503</v>
      </c>
      <c r="C5425">
        <v>543522.0</v>
      </c>
      <c r="D5425" t="s">
        <v>8504</v>
      </c>
      <c r="E5425" t="s">
        <v>8505</v>
      </c>
    </row>
    <row r="5426" spans="8:8">
      <c r="B5426" t="s">
        <v>8506</v>
      </c>
      <c r="C5426">
        <v>543523.0</v>
      </c>
      <c r="D5426" t="s">
        <v>8507</v>
      </c>
      <c r="E5426" t="s">
        <v>765</v>
      </c>
    </row>
    <row r="5427" spans="8:8">
      <c r="B5427" t="s">
        <v>8508</v>
      </c>
      <c r="C5427">
        <v>543524.0</v>
      </c>
      <c r="D5427" t="s">
        <v>8509</v>
      </c>
      <c r="E5427" t="s">
        <v>8238</v>
      </c>
    </row>
    <row r="5428" spans="8:8">
      <c r="B5428" t="s">
        <v>8510</v>
      </c>
      <c r="C5428">
        <v>543525.0</v>
      </c>
      <c r="D5428" t="s">
        <v>5908</v>
      </c>
      <c r="E5428" t="s">
        <v>8446</v>
      </c>
    </row>
    <row r="5429" spans="8:8">
      <c r="B5429" t="s">
        <v>8511</v>
      </c>
      <c r="C5429">
        <v>543526.0</v>
      </c>
      <c r="D5429" t="s">
        <v>8512</v>
      </c>
      <c r="E5429" t="s">
        <v>2751</v>
      </c>
    </row>
    <row r="5430" spans="8:8">
      <c r="B5430" t="s">
        <v>8513</v>
      </c>
      <c r="C5430">
        <v>543527.0</v>
      </c>
      <c r="D5430" t="s">
        <v>8514</v>
      </c>
      <c r="E5430" t="s">
        <v>8385</v>
      </c>
    </row>
    <row r="5431" spans="8:8">
      <c r="B5431" t="s">
        <v>8515</v>
      </c>
      <c r="C5431">
        <v>543528.0</v>
      </c>
      <c r="D5431" t="s">
        <v>8516</v>
      </c>
      <c r="E5431" t="s">
        <v>662</v>
      </c>
    </row>
    <row r="5432" spans="8:8">
      <c r="B5432" t="s">
        <v>8517</v>
      </c>
      <c r="C5432">
        <v>543529.0</v>
      </c>
      <c r="D5432" t="s">
        <v>8518</v>
      </c>
      <c r="E5432" t="s">
        <v>8392</v>
      </c>
    </row>
    <row r="5433" spans="8:8">
      <c r="B5433" t="s">
        <v>8519</v>
      </c>
      <c r="C5433">
        <v>543530.0</v>
      </c>
      <c r="D5433" t="s">
        <v>8520</v>
      </c>
      <c r="E5433" t="s">
        <v>847</v>
      </c>
    </row>
    <row r="5434" spans="8:8">
      <c r="B5434" t="s">
        <v>8521</v>
      </c>
      <c r="C5434">
        <v>543531.0</v>
      </c>
      <c r="D5434" t="s">
        <v>8522</v>
      </c>
      <c r="E5434" t="s">
        <v>537</v>
      </c>
    </row>
    <row r="5435" spans="8:8">
      <c r="B5435" t="s">
        <v>8523</v>
      </c>
      <c r="C5435">
        <v>543532.0</v>
      </c>
      <c r="D5435" t="s">
        <v>8524</v>
      </c>
      <c r="E5435" t="s">
        <v>8090</v>
      </c>
    </row>
    <row r="5436" spans="8:8">
      <c r="B5436" t="s">
        <v>8525</v>
      </c>
      <c r="C5436">
        <v>543533.0</v>
      </c>
      <c r="D5436" t="s">
        <v>8526</v>
      </c>
      <c r="E5436" t="s">
        <v>8446</v>
      </c>
    </row>
    <row r="5437" spans="8:8">
      <c r="B5437" t="s">
        <v>8527</v>
      </c>
      <c r="C5437">
        <v>543534.0</v>
      </c>
      <c r="D5437" t="s">
        <v>8528</v>
      </c>
      <c r="E5437" t="s">
        <v>499</v>
      </c>
    </row>
    <row r="5438" spans="8:8">
      <c r="B5438" t="s">
        <v>8529</v>
      </c>
      <c r="C5438">
        <v>543535.0</v>
      </c>
      <c r="D5438" t="s">
        <v>8530</v>
      </c>
      <c r="E5438" t="s">
        <v>8309</v>
      </c>
    </row>
    <row r="5439" spans="8:8">
      <c r="B5439" t="s">
        <v>8531</v>
      </c>
      <c r="C5439">
        <v>543536.0</v>
      </c>
      <c r="D5439" t="s">
        <v>8532</v>
      </c>
      <c r="E5439" t="s">
        <v>8065</v>
      </c>
    </row>
    <row r="5440" spans="8:8">
      <c r="B5440" t="s">
        <v>8533</v>
      </c>
      <c r="C5440">
        <v>590136.0</v>
      </c>
      <c r="D5440" t="s">
        <v>8534</v>
      </c>
      <c r="E5440" t="s">
        <v>38</v>
      </c>
    </row>
    <row r="5441" spans="8:8">
      <c r="B5441" t="s">
        <v>8535</v>
      </c>
      <c r="C5441">
        <v>590137.0</v>
      </c>
      <c r="D5441" t="s">
        <v>8536</v>
      </c>
      <c r="E5441" t="s">
        <v>38</v>
      </c>
    </row>
    <row r="5442" spans="8:8">
      <c r="B5442" t="s">
        <v>8537</v>
      </c>
      <c r="C5442">
        <v>590138.0</v>
      </c>
      <c r="D5442" t="s">
        <v>8538</v>
      </c>
      <c r="E5442" t="s">
        <v>38</v>
      </c>
    </row>
  </sheetData>
  <autoFilter ref="B2:E5442">
    <filterColumn colId="0" showButton="1"/>
  </autoFilter>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The Valuation School</dc:creator>
  <cp:lastModifiedBy>harshit narwat</cp:lastModifiedBy>
  <dcterms:created xsi:type="dcterms:W3CDTF">2023-02-06T09:23:36Z</dcterms:created>
  <dcterms:modified xsi:type="dcterms:W3CDTF">2026-08-27T11:30:57Z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{1EE99B22-FCBF-4602-91E6-C0830BFCF47D}</vt:lpwstr>
  </property>
  <property fmtid="{D5CDD505-2E9C-101B-9397-08002B2CF9AE}" pid="3" name="ICV">
    <vt:lpwstr>ffb5cbfc89a742ec9bf3e8003e7d7a88_23</vt:lpwstr>
  </property>
</Properties>
</file>