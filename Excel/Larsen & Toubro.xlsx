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ustomProperty1.bin" ContentType="application/vnd.openxmlformats-officedocument.spreadsheetml.customProperty"/>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f436a660e4d023c1/Desktop/Projects and other stuff/"/>
    </mc:Choice>
  </mc:AlternateContent>
  <xr:revisionPtr revIDLastSave="25" documentId="13_ncr:1_{291CF662-17C7-4A8C-8471-DD7E660C2496}" xr6:coauthVersionLast="47" xr6:coauthVersionMax="47" xr10:uidLastSave="{E2C62461-6607-4225-9DF1-EE9D00EEC8D4}"/>
  <bookViews>
    <workbookView xWindow="-120" yWindow="-120" windowWidth="20730" windowHeight="11040" tabRatio="892" firstSheet="5" activeTab="14" xr2:uid="{5ECF019B-D745-4453-A5C5-3DCD8AB4A758}"/>
  </bookViews>
  <sheets>
    <sheet name="Data&gt;" sheetId="6" r:id="rId1"/>
    <sheet name="Football Field Analysis" sheetId="17" r:id="rId2"/>
    <sheet name="VAR" sheetId="18" r:id="rId3"/>
    <sheet name="Altman Z Score" sheetId="25" r:id="rId4"/>
    <sheet name="DCF&gt;" sheetId="5" r:id="rId5"/>
    <sheet name="WACC" sheetId="1" r:id="rId6"/>
    <sheet name="Intrisic Growth" sheetId="14" r:id="rId7"/>
    <sheet name="Beta - Regression" sheetId="7" r:id="rId8"/>
    <sheet name="Relative valuation" sheetId="19" r:id="rId9"/>
    <sheet name="Beta - Comps" sheetId="8" r:id="rId10"/>
    <sheet name="Rm" sheetId="9" r:id="rId11"/>
    <sheet name="Analysis" sheetId="21" r:id="rId12"/>
    <sheet name="HistoricalFS" sheetId="10" r:id="rId13"/>
    <sheet name="Raw FS" sheetId="13" r:id="rId14"/>
    <sheet name="Data Sheet" sheetId="11" r:id="rId15"/>
    <sheet name="CFS" sheetId="26" r:id="rId16"/>
    <sheet name="Data Sheet 2" sheetId="16" r:id="rId17"/>
    <sheet name="Relative Data" sheetId="20" r:id="rId18"/>
    <sheet name="Sheet1" sheetId="28" r:id="rId19"/>
    <sheet name="List Of Stocks" sheetId="23" r:id="rId20"/>
  </sheets>
  <definedNames>
    <definedName name="_xlnm._FilterDatabase" localSheetId="7" hidden="1">'Beta - Regression'!$B$6:$D$111</definedName>
    <definedName name="_xlnm._FilterDatabase" localSheetId="19" hidden="1">'List Of Stocks'!$B$2:$E$5442</definedName>
    <definedName name="_xlnm._FilterDatabase" localSheetId="2" hidden="1">VAR!$B$3:$E$2479</definedName>
    <definedName name="_xlchart.v1.0" hidden="1">VAR!$H$4:$H$5003</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"01/26/2023 09:21:20"</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3">'Altman Z Score'!$A$1:$J$106</definedName>
    <definedName name="_xlnm.Print_Area" localSheetId="11">Analysis!$A$1:$J$130</definedName>
    <definedName name="UPDATE">'Data Sheet'!$E$1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5" l="1"/>
  <c r="J3" i="18" l="1"/>
  <c r="P9" i="17"/>
  <c r="D4" i="18" l="1"/>
  <c r="N9" i="18"/>
  <c r="N8" i="18"/>
  <c r="N7" i="18"/>
  <c r="N6" i="18"/>
  <c r="I44" i="14"/>
  <c r="H44" i="14"/>
  <c r="G44" i="14"/>
  <c r="E44" i="14"/>
  <c r="F44" i="14"/>
  <c r="H4" i="18" l="1"/>
  <c r="F5" i="8"/>
  <c r="F6" i="8"/>
  <c r="F7" i="8"/>
  <c r="F8" i="8"/>
  <c r="E5" i="8"/>
  <c r="E6" i="8"/>
  <c r="E7" i="8"/>
  <c r="E8" i="8"/>
  <c r="D5" i="8"/>
  <c r="D6" i="8"/>
  <c r="D7" i="8"/>
  <c r="D8" i="8"/>
  <c r="C6" i="8"/>
  <c r="B12" i="1" s="1"/>
  <c r="C7" i="8"/>
  <c r="B13" i="1" s="1"/>
  <c r="C8" i="8"/>
  <c r="B14" i="1" s="1"/>
  <c r="C5" i="8"/>
  <c r="B11" i="1" s="1"/>
  <c r="C4" i="8"/>
  <c r="C70" i="21"/>
  <c r="C39" i="13"/>
  <c r="D39" i="13"/>
  <c r="E39" i="13"/>
  <c r="F39" i="13"/>
  <c r="G39" i="13"/>
  <c r="H39" i="13"/>
  <c r="I39" i="13"/>
  <c r="J39" i="13"/>
  <c r="K39" i="13"/>
  <c r="L39" i="13"/>
  <c r="M39" i="13"/>
  <c r="N39" i="13"/>
  <c r="C40" i="13"/>
  <c r="D40" i="13"/>
  <c r="E40" i="13"/>
  <c r="F40" i="13"/>
  <c r="G40" i="13"/>
  <c r="H40" i="13"/>
  <c r="I40" i="13"/>
  <c r="J40" i="13"/>
  <c r="E6" i="14" s="1"/>
  <c r="K40" i="13"/>
  <c r="L40" i="13"/>
  <c r="M40" i="13"/>
  <c r="N40" i="13"/>
  <c r="C41" i="13"/>
  <c r="D41" i="13"/>
  <c r="E41" i="13"/>
  <c r="F41" i="13"/>
  <c r="G41" i="13"/>
  <c r="H41" i="13"/>
  <c r="I41" i="13"/>
  <c r="J41" i="13"/>
  <c r="K41" i="13"/>
  <c r="L41" i="13"/>
  <c r="M41" i="13"/>
  <c r="N41" i="13"/>
  <c r="C42" i="13"/>
  <c r="D42" i="13"/>
  <c r="E42" i="13"/>
  <c r="F42" i="13"/>
  <c r="G42" i="13"/>
  <c r="H42" i="13"/>
  <c r="I42" i="13"/>
  <c r="J42" i="13"/>
  <c r="K42" i="13"/>
  <c r="L42" i="13"/>
  <c r="M42" i="13"/>
  <c r="N42" i="13"/>
  <c r="C43" i="13"/>
  <c r="D43" i="13"/>
  <c r="E43" i="13"/>
  <c r="F43" i="13"/>
  <c r="G43" i="13"/>
  <c r="H43" i="13"/>
  <c r="I43" i="13"/>
  <c r="J43" i="13"/>
  <c r="K43" i="13"/>
  <c r="L43" i="13"/>
  <c r="M43" i="13"/>
  <c r="N43" i="13"/>
  <c r="B44" i="13"/>
  <c r="B39" i="13"/>
  <c r="B40" i="13"/>
  <c r="B41" i="13"/>
  <c r="B42" i="13"/>
  <c r="B43" i="13"/>
  <c r="B38" i="13"/>
  <c r="B36" i="13"/>
  <c r="N35" i="13"/>
  <c r="C35" i="13"/>
  <c r="D35" i="13"/>
  <c r="E35" i="13"/>
  <c r="F35" i="13"/>
  <c r="G35" i="13"/>
  <c r="H35" i="13"/>
  <c r="I35" i="13"/>
  <c r="J35" i="13"/>
  <c r="K35" i="13"/>
  <c r="L35" i="13"/>
  <c r="M35" i="13"/>
  <c r="C36" i="13"/>
  <c r="D36" i="13"/>
  <c r="E36" i="13"/>
  <c r="F36" i="13"/>
  <c r="G36" i="13"/>
  <c r="H36" i="13"/>
  <c r="I36" i="13"/>
  <c r="J36" i="13"/>
  <c r="K36" i="13"/>
  <c r="L36" i="13"/>
  <c r="M36" i="13"/>
  <c r="N36" i="13"/>
  <c r="B35" i="13"/>
  <c r="B32" i="13"/>
  <c r="B33" i="14" s="1"/>
  <c r="D20" i="13"/>
  <c r="E20" i="13"/>
  <c r="F20" i="13"/>
  <c r="G20" i="13"/>
  <c r="H20" i="13"/>
  <c r="I20" i="13"/>
  <c r="J20" i="13"/>
  <c r="K20" i="13"/>
  <c r="F20" i="14" s="1"/>
  <c r="L20" i="13"/>
  <c r="G20" i="14" s="1"/>
  <c r="M20" i="13"/>
  <c r="H20" i="14" s="1"/>
  <c r="N20" i="13"/>
  <c r="I20" i="14" s="1"/>
  <c r="D21" i="13"/>
  <c r="E21" i="13"/>
  <c r="F21" i="13"/>
  <c r="G21" i="13"/>
  <c r="H21" i="13"/>
  <c r="I21" i="13"/>
  <c r="J21" i="13"/>
  <c r="E21" i="14" s="1"/>
  <c r="K21" i="13"/>
  <c r="F21" i="14" s="1"/>
  <c r="L21" i="13"/>
  <c r="G21" i="14" s="1"/>
  <c r="M21" i="13"/>
  <c r="H21" i="14" s="1"/>
  <c r="N21" i="13"/>
  <c r="I21" i="14" s="1"/>
  <c r="D22" i="13"/>
  <c r="E22" i="13"/>
  <c r="F22" i="13"/>
  <c r="G22" i="13"/>
  <c r="H22" i="13"/>
  <c r="I22" i="13"/>
  <c r="J22" i="13"/>
  <c r="E22" i="14" s="1"/>
  <c r="K22" i="13"/>
  <c r="F22" i="14" s="1"/>
  <c r="L22" i="13"/>
  <c r="G22" i="14" s="1"/>
  <c r="M22" i="13"/>
  <c r="H22" i="14" s="1"/>
  <c r="N22" i="13"/>
  <c r="I22" i="14" s="1"/>
  <c r="D23" i="13"/>
  <c r="E23" i="13"/>
  <c r="F23" i="13"/>
  <c r="G23" i="13"/>
  <c r="H23" i="13"/>
  <c r="I23" i="13"/>
  <c r="J23" i="13"/>
  <c r="E23" i="14" s="1"/>
  <c r="K23" i="13"/>
  <c r="F23" i="14" s="1"/>
  <c r="L23" i="13"/>
  <c r="G23" i="14" s="1"/>
  <c r="M23" i="13"/>
  <c r="H23" i="14" s="1"/>
  <c r="N23" i="13"/>
  <c r="I23" i="14" s="1"/>
  <c r="D24" i="13"/>
  <c r="E24" i="13"/>
  <c r="F24" i="13"/>
  <c r="G24" i="13"/>
  <c r="H24" i="13"/>
  <c r="I24" i="13"/>
  <c r="J24" i="13"/>
  <c r="E24" i="14" s="1"/>
  <c r="K24" i="13"/>
  <c r="F24" i="14" s="1"/>
  <c r="L24" i="13"/>
  <c r="G24" i="14" s="1"/>
  <c r="M24" i="13"/>
  <c r="H24" i="14" s="1"/>
  <c r="N24" i="13"/>
  <c r="I24" i="14" s="1"/>
  <c r="D25" i="13"/>
  <c r="E25" i="13"/>
  <c r="F25" i="13"/>
  <c r="G25" i="13"/>
  <c r="H25" i="13"/>
  <c r="I25" i="13"/>
  <c r="J25" i="13"/>
  <c r="E25" i="14" s="1"/>
  <c r="K25" i="13"/>
  <c r="F25" i="14" s="1"/>
  <c r="L25" i="13"/>
  <c r="G25" i="14" s="1"/>
  <c r="M25" i="13"/>
  <c r="H25" i="14" s="1"/>
  <c r="N25" i="13"/>
  <c r="I25" i="14" s="1"/>
  <c r="D26" i="13"/>
  <c r="E26" i="13"/>
  <c r="F26" i="13"/>
  <c r="G26" i="13"/>
  <c r="H26" i="13"/>
  <c r="I26" i="13"/>
  <c r="J26" i="13"/>
  <c r="E26" i="14" s="1"/>
  <c r="K26" i="13"/>
  <c r="F26" i="14" s="1"/>
  <c r="L26" i="13"/>
  <c r="G26" i="14" s="1"/>
  <c r="M26" i="13"/>
  <c r="H26" i="14" s="1"/>
  <c r="N26" i="13"/>
  <c r="I26" i="14" s="1"/>
  <c r="D27" i="13"/>
  <c r="E27" i="13"/>
  <c r="F27" i="13"/>
  <c r="G27" i="13"/>
  <c r="H27" i="13"/>
  <c r="I27" i="13"/>
  <c r="J27" i="13"/>
  <c r="E27" i="14" s="1"/>
  <c r="K27" i="13"/>
  <c r="F27" i="14" s="1"/>
  <c r="L27" i="13"/>
  <c r="G27" i="14" s="1"/>
  <c r="M27" i="13"/>
  <c r="H27" i="14" s="1"/>
  <c r="N27" i="13"/>
  <c r="I27" i="14" s="1"/>
  <c r="D28" i="13"/>
  <c r="E28" i="13"/>
  <c r="F28" i="13"/>
  <c r="G28" i="13"/>
  <c r="H28" i="13"/>
  <c r="I28" i="13"/>
  <c r="J28" i="13"/>
  <c r="E28" i="14" s="1"/>
  <c r="K28" i="13"/>
  <c r="F28" i="14" s="1"/>
  <c r="L28" i="13"/>
  <c r="G28" i="14" s="1"/>
  <c r="M28" i="13"/>
  <c r="H28" i="14" s="1"/>
  <c r="N28" i="13"/>
  <c r="I28" i="14" s="1"/>
  <c r="D29" i="13"/>
  <c r="E29" i="13"/>
  <c r="F29" i="13"/>
  <c r="G29" i="13"/>
  <c r="H29" i="13"/>
  <c r="I29" i="13"/>
  <c r="J29" i="13"/>
  <c r="E29" i="14" s="1"/>
  <c r="K29" i="13"/>
  <c r="F29" i="14" s="1"/>
  <c r="L29" i="13"/>
  <c r="G29" i="14" s="1"/>
  <c r="M29" i="13"/>
  <c r="H29" i="14" s="1"/>
  <c r="N29" i="13"/>
  <c r="I29" i="14" s="1"/>
  <c r="D30" i="13"/>
  <c r="E30" i="13"/>
  <c r="F30" i="13"/>
  <c r="G30" i="13"/>
  <c r="H30" i="13"/>
  <c r="I30" i="13"/>
  <c r="J30" i="13"/>
  <c r="E30" i="14" s="1"/>
  <c r="K30" i="13"/>
  <c r="F30" i="14" s="1"/>
  <c r="L30" i="13"/>
  <c r="G30" i="14" s="1"/>
  <c r="M30" i="13"/>
  <c r="H30" i="14" s="1"/>
  <c r="N30" i="13"/>
  <c r="I30" i="14" s="1"/>
  <c r="D31" i="13"/>
  <c r="E31" i="13"/>
  <c r="F31" i="13"/>
  <c r="G31" i="13"/>
  <c r="H31" i="13"/>
  <c r="I31" i="13"/>
  <c r="J31" i="13"/>
  <c r="K31" i="13"/>
  <c r="L31" i="13"/>
  <c r="M31" i="13"/>
  <c r="N31" i="13"/>
  <c r="D32" i="13"/>
  <c r="E32" i="13"/>
  <c r="F32" i="13"/>
  <c r="G32" i="13"/>
  <c r="H32" i="13"/>
  <c r="I32" i="13"/>
  <c r="J32" i="13"/>
  <c r="E33" i="14" s="1"/>
  <c r="K32" i="13"/>
  <c r="F33" i="14" s="1"/>
  <c r="L32" i="13"/>
  <c r="G33" i="14" s="1"/>
  <c r="M32" i="13"/>
  <c r="H33" i="14" s="1"/>
  <c r="N32" i="13"/>
  <c r="I33" i="14" s="1"/>
  <c r="C21" i="13"/>
  <c r="C22" i="13"/>
  <c r="C23" i="13"/>
  <c r="C24" i="13"/>
  <c r="C25" i="13"/>
  <c r="C26" i="13"/>
  <c r="C27" i="13"/>
  <c r="C28" i="13"/>
  <c r="C29" i="13"/>
  <c r="C30" i="13"/>
  <c r="C31" i="13"/>
  <c r="C32" i="13"/>
  <c r="C20" i="13"/>
  <c r="B20" i="13"/>
  <c r="B21" i="13"/>
  <c r="B21" i="14" s="1"/>
  <c r="B22" i="13"/>
  <c r="B22" i="14" s="1"/>
  <c r="B23" i="13"/>
  <c r="B23" i="14" s="1"/>
  <c r="B24" i="13"/>
  <c r="B24" i="14" s="1"/>
  <c r="B25" i="13"/>
  <c r="B25" i="14" s="1"/>
  <c r="B26" i="13"/>
  <c r="B26" i="14" s="1"/>
  <c r="B27" i="13"/>
  <c r="B27" i="14" s="1"/>
  <c r="B28" i="13"/>
  <c r="B28" i="14" s="1"/>
  <c r="B29" i="13"/>
  <c r="B29" i="14" s="1"/>
  <c r="B30" i="13"/>
  <c r="B30" i="14" s="1"/>
  <c r="B31" i="13"/>
  <c r="B19" i="13"/>
  <c r="D4" i="13"/>
  <c r="E4" i="13"/>
  <c r="F4" i="13"/>
  <c r="G4" i="13"/>
  <c r="H4" i="13"/>
  <c r="I4" i="13"/>
  <c r="J4" i="13"/>
  <c r="K4" i="13"/>
  <c r="L4" i="13"/>
  <c r="M4" i="13"/>
  <c r="N4" i="13"/>
  <c r="D5" i="13"/>
  <c r="E5" i="13"/>
  <c r="F5" i="13"/>
  <c r="G5" i="13"/>
  <c r="H5" i="13"/>
  <c r="I5" i="13"/>
  <c r="J5" i="13"/>
  <c r="K5" i="13"/>
  <c r="L5" i="13"/>
  <c r="M5" i="13"/>
  <c r="N5" i="13"/>
  <c r="D7" i="13"/>
  <c r="E7" i="13"/>
  <c r="F7" i="13"/>
  <c r="G7" i="13"/>
  <c r="H7" i="13"/>
  <c r="I7" i="13"/>
  <c r="J7" i="13"/>
  <c r="K7" i="13"/>
  <c r="L7" i="13"/>
  <c r="M7" i="13"/>
  <c r="N7" i="13"/>
  <c r="D8" i="13"/>
  <c r="E8" i="13"/>
  <c r="F8" i="13"/>
  <c r="G8" i="13"/>
  <c r="H8" i="13"/>
  <c r="I8" i="13"/>
  <c r="J8" i="13"/>
  <c r="K8" i="13"/>
  <c r="L8" i="13"/>
  <c r="M8" i="13"/>
  <c r="N8" i="13"/>
  <c r="D9" i="13"/>
  <c r="E9" i="13"/>
  <c r="F9" i="13"/>
  <c r="G9" i="13"/>
  <c r="H9" i="13"/>
  <c r="I9" i="13"/>
  <c r="J9" i="13"/>
  <c r="K9" i="13"/>
  <c r="L9" i="13"/>
  <c r="M9" i="13"/>
  <c r="N9" i="13"/>
  <c r="D10" i="13"/>
  <c r="E10" i="13"/>
  <c r="F10" i="13"/>
  <c r="G10" i="13"/>
  <c r="H10" i="13"/>
  <c r="I10" i="13"/>
  <c r="J10" i="13"/>
  <c r="K10" i="13"/>
  <c r="L10" i="13"/>
  <c r="M10" i="13"/>
  <c r="N10" i="13"/>
  <c r="D11" i="13"/>
  <c r="E11" i="13"/>
  <c r="F11" i="13"/>
  <c r="G11" i="13"/>
  <c r="H11" i="13"/>
  <c r="I11" i="13"/>
  <c r="J11" i="13"/>
  <c r="K11" i="13"/>
  <c r="L11" i="13"/>
  <c r="M11" i="13"/>
  <c r="N11" i="13"/>
  <c r="D13" i="13"/>
  <c r="E13" i="13"/>
  <c r="F13" i="13"/>
  <c r="G13" i="13"/>
  <c r="H13" i="13"/>
  <c r="I13" i="13"/>
  <c r="J13" i="13"/>
  <c r="K13" i="13"/>
  <c r="L13" i="13"/>
  <c r="M13" i="13"/>
  <c r="N13" i="13"/>
  <c r="D14" i="13"/>
  <c r="E14" i="13"/>
  <c r="F14" i="13"/>
  <c r="G14" i="13"/>
  <c r="H14" i="13"/>
  <c r="I14" i="13"/>
  <c r="J14" i="13"/>
  <c r="E12" i="14" s="1"/>
  <c r="K14" i="13"/>
  <c r="F12" i="14" s="1"/>
  <c r="L14" i="13"/>
  <c r="G12" i="14" s="1"/>
  <c r="M14" i="13"/>
  <c r="H12" i="14" s="1"/>
  <c r="N14" i="13"/>
  <c r="I12" i="14" s="1"/>
  <c r="D15" i="13"/>
  <c r="E15" i="13"/>
  <c r="F15" i="13"/>
  <c r="G15" i="13"/>
  <c r="H15" i="13"/>
  <c r="I15" i="13"/>
  <c r="J15" i="13"/>
  <c r="E13" i="14" s="1"/>
  <c r="K15" i="13"/>
  <c r="F13" i="14" s="1"/>
  <c r="L15" i="13"/>
  <c r="G13" i="14" s="1"/>
  <c r="M15" i="13"/>
  <c r="H13" i="14" s="1"/>
  <c r="N15" i="13"/>
  <c r="I13" i="14" s="1"/>
  <c r="D16" i="13"/>
  <c r="E16" i="13"/>
  <c r="F16" i="13"/>
  <c r="G16" i="13"/>
  <c r="H16" i="13"/>
  <c r="I16" i="13"/>
  <c r="J16" i="13"/>
  <c r="E14" i="14" s="1"/>
  <c r="K16" i="13"/>
  <c r="F14" i="14" s="1"/>
  <c r="L16" i="13"/>
  <c r="G14" i="14" s="1"/>
  <c r="M16" i="13"/>
  <c r="H14" i="14" s="1"/>
  <c r="N16" i="13"/>
  <c r="I14" i="14" s="1"/>
  <c r="C5" i="13"/>
  <c r="C7" i="13"/>
  <c r="C8" i="13"/>
  <c r="C9" i="13"/>
  <c r="C10" i="13"/>
  <c r="C11" i="13"/>
  <c r="C13" i="13"/>
  <c r="C14" i="13"/>
  <c r="C15" i="13"/>
  <c r="C16" i="13"/>
  <c r="B5" i="13"/>
  <c r="B6" i="13"/>
  <c r="B7" i="13"/>
  <c r="B8" i="13"/>
  <c r="B9" i="13"/>
  <c r="B10" i="13"/>
  <c r="B11" i="13"/>
  <c r="B12" i="13"/>
  <c r="B13" i="13"/>
  <c r="B14" i="13"/>
  <c r="B12" i="14" s="1"/>
  <c r="B15" i="13"/>
  <c r="B13" i="14" s="1"/>
  <c r="B16" i="13"/>
  <c r="B14" i="14" s="1"/>
  <c r="B17" i="13"/>
  <c r="B4" i="13"/>
  <c r="D11" i="19"/>
  <c r="D12" i="19"/>
  <c r="D13" i="19"/>
  <c r="D10" i="19"/>
  <c r="B11" i="19"/>
  <c r="B12" i="19"/>
  <c r="B13" i="19"/>
  <c r="B10" i="19"/>
  <c r="E5" i="20"/>
  <c r="E11" i="19" s="1"/>
  <c r="E4" i="20"/>
  <c r="E10" i="19" s="1"/>
  <c r="M6" i="10"/>
  <c r="M9" i="10"/>
  <c r="K6" i="10"/>
  <c r="D95" i="25"/>
  <c r="E95" i="25"/>
  <c r="F95" i="25"/>
  <c r="G95" i="25"/>
  <c r="H95" i="25"/>
  <c r="I95" i="25"/>
  <c r="C95" i="25"/>
  <c r="D88" i="25"/>
  <c r="E88" i="25"/>
  <c r="F88" i="25"/>
  <c r="G88" i="25"/>
  <c r="H88" i="25"/>
  <c r="I88" i="25"/>
  <c r="C88" i="25"/>
  <c r="C87" i="25"/>
  <c r="D87" i="25"/>
  <c r="E87" i="25"/>
  <c r="F87" i="25"/>
  <c r="G87" i="25"/>
  <c r="H87" i="25"/>
  <c r="I87" i="25"/>
  <c r="B76" i="25"/>
  <c r="B82" i="25" s="1"/>
  <c r="D70" i="25"/>
  <c r="E70" i="25"/>
  <c r="E76" i="25" s="1"/>
  <c r="E82" i="25" s="1"/>
  <c r="E96" i="25" s="1"/>
  <c r="F70" i="25"/>
  <c r="G70" i="25"/>
  <c r="G76" i="25" s="1"/>
  <c r="G82" i="25" s="1"/>
  <c r="G96" i="25" s="1"/>
  <c r="H70" i="25"/>
  <c r="H76" i="25" s="1"/>
  <c r="I70" i="25"/>
  <c r="I76" i="25" s="1"/>
  <c r="I82" i="25" s="1"/>
  <c r="I96" i="25" s="1"/>
  <c r="C70" i="25"/>
  <c r="C76" i="25" s="1"/>
  <c r="C82" i="25" s="1"/>
  <c r="C96" i="25" s="1"/>
  <c r="D69" i="25"/>
  <c r="E69" i="25"/>
  <c r="F69" i="25"/>
  <c r="G69" i="25"/>
  <c r="H69" i="25"/>
  <c r="I69" i="25"/>
  <c r="C69" i="25"/>
  <c r="B5" i="25"/>
  <c r="B3" i="25"/>
  <c r="B95" i="21"/>
  <c r="C87" i="21"/>
  <c r="D87" i="21"/>
  <c r="E87" i="21"/>
  <c r="F87" i="21"/>
  <c r="G87" i="21"/>
  <c r="H87" i="21"/>
  <c r="I87" i="21"/>
  <c r="I71" i="21"/>
  <c r="G86" i="21"/>
  <c r="G106" i="21" s="1"/>
  <c r="F86" i="21"/>
  <c r="F95" i="21" s="1"/>
  <c r="E86" i="21"/>
  <c r="E106" i="21" s="1"/>
  <c r="D86" i="21"/>
  <c r="D95" i="21" s="1"/>
  <c r="C86" i="21"/>
  <c r="C95" i="21" s="1"/>
  <c r="I86" i="21"/>
  <c r="H86" i="21"/>
  <c r="H95" i="21" s="1"/>
  <c r="C82" i="21"/>
  <c r="D82" i="21"/>
  <c r="E82" i="21"/>
  <c r="F82" i="21"/>
  <c r="G82" i="21"/>
  <c r="H82" i="21"/>
  <c r="I82" i="21"/>
  <c r="D77" i="21"/>
  <c r="D81" i="21" s="1"/>
  <c r="D101" i="21" s="1"/>
  <c r="D105" i="21" s="1"/>
  <c r="E77" i="21"/>
  <c r="E81" i="21" s="1"/>
  <c r="E83" i="21" s="1"/>
  <c r="F77" i="21"/>
  <c r="F81" i="21" s="1"/>
  <c r="F101" i="21" s="1"/>
  <c r="F105" i="21" s="1"/>
  <c r="G77" i="21"/>
  <c r="G81" i="21" s="1"/>
  <c r="G83" i="21" s="1"/>
  <c r="H77" i="21"/>
  <c r="H81" i="21" s="1"/>
  <c r="H101" i="21" s="1"/>
  <c r="H105" i="21" s="1"/>
  <c r="I77" i="21"/>
  <c r="I81" i="21" s="1"/>
  <c r="I83" i="21" s="1"/>
  <c r="C77" i="21"/>
  <c r="C81" i="21" s="1"/>
  <c r="B76" i="21"/>
  <c r="C71" i="21"/>
  <c r="D71" i="21"/>
  <c r="E71" i="21"/>
  <c r="F71" i="21"/>
  <c r="G71" i="21"/>
  <c r="H71" i="21"/>
  <c r="C72" i="21"/>
  <c r="D70" i="21"/>
  <c r="D76" i="21" s="1"/>
  <c r="E70" i="21"/>
  <c r="E72" i="21" s="1"/>
  <c r="F70" i="21"/>
  <c r="F76" i="21" s="1"/>
  <c r="G70" i="21"/>
  <c r="G72" i="21" s="1"/>
  <c r="H70" i="21"/>
  <c r="H76" i="21" s="1"/>
  <c r="I70" i="21"/>
  <c r="B5" i="21"/>
  <c r="B3" i="21"/>
  <c r="B4" i="21" s="1"/>
  <c r="G5" i="8" l="1"/>
  <c r="G6" i="8"/>
  <c r="G7" i="8"/>
  <c r="G8" i="8"/>
  <c r="B9" i="19"/>
  <c r="B10" i="1"/>
  <c r="F32" i="14"/>
  <c r="N17" i="13"/>
  <c r="L17" i="13"/>
  <c r="J17" i="13"/>
  <c r="H17" i="13"/>
  <c r="F17" i="13"/>
  <c r="D17" i="13"/>
  <c r="M17" i="13"/>
  <c r="K17" i="13"/>
  <c r="I17" i="13"/>
  <c r="G17" i="13"/>
  <c r="E17" i="13"/>
  <c r="H82" i="25"/>
  <c r="H96" i="25" s="1"/>
  <c r="E71" i="25"/>
  <c r="F71" i="25"/>
  <c r="D71" i="25"/>
  <c r="F76" i="25"/>
  <c r="D76" i="25"/>
  <c r="E89" i="25"/>
  <c r="I89" i="25"/>
  <c r="C71" i="25"/>
  <c r="H71" i="25"/>
  <c r="D89" i="25"/>
  <c r="F89" i="25"/>
  <c r="H89" i="25"/>
  <c r="G71" i="25"/>
  <c r="I71" i="25"/>
  <c r="C97" i="25"/>
  <c r="G97" i="25"/>
  <c r="C89" i="25"/>
  <c r="G89" i="25"/>
  <c r="I72" i="21"/>
  <c r="E88" i="21"/>
  <c r="G95" i="21"/>
  <c r="C88" i="21"/>
  <c r="G88" i="21"/>
  <c r="I88" i="21"/>
  <c r="H88" i="21"/>
  <c r="C106" i="21"/>
  <c r="F72" i="21"/>
  <c r="E95" i="21"/>
  <c r="H106" i="21"/>
  <c r="H107" i="21" s="1"/>
  <c r="C83" i="21"/>
  <c r="C101" i="21"/>
  <c r="C105" i="21" s="1"/>
  <c r="I95" i="21"/>
  <c r="F106" i="21"/>
  <c r="F107" i="21" s="1"/>
  <c r="D106" i="21"/>
  <c r="D107" i="21" s="1"/>
  <c r="H78" i="21"/>
  <c r="F78" i="21"/>
  <c r="D78" i="21"/>
  <c r="H72" i="21"/>
  <c r="D72" i="21"/>
  <c r="H94" i="21"/>
  <c r="F94" i="21"/>
  <c r="D94" i="21"/>
  <c r="E101" i="21"/>
  <c r="E105" i="21" s="1"/>
  <c r="E107" i="21" s="1"/>
  <c r="G101" i="21"/>
  <c r="G105" i="21" s="1"/>
  <c r="G107" i="21" s="1"/>
  <c r="I101" i="21"/>
  <c r="I105" i="21" s="1"/>
  <c r="I106" i="21"/>
  <c r="C76" i="21"/>
  <c r="E76" i="21"/>
  <c r="G76" i="21"/>
  <c r="I76" i="21"/>
  <c r="H83" i="21"/>
  <c r="F83" i="21"/>
  <c r="D83" i="21"/>
  <c r="D88" i="21"/>
  <c r="F88" i="21"/>
  <c r="K27" i="18"/>
  <c r="K26" i="18"/>
  <c r="K25" i="18"/>
  <c r="K14" i="18"/>
  <c r="K15" i="18"/>
  <c r="K13" i="18"/>
  <c r="L13" i="18"/>
  <c r="N10" i="18"/>
  <c r="N22" i="18" s="1"/>
  <c r="L14" i="18"/>
  <c r="L15" i="18"/>
  <c r="D983" i="18"/>
  <c r="D1647" i="18"/>
  <c r="D1624" i="18"/>
  <c r="D2478" i="18"/>
  <c r="D2451" i="18"/>
  <c r="D740" i="18"/>
  <c r="D1724" i="18"/>
  <c r="D2272" i="18"/>
  <c r="D678" i="18"/>
  <c r="D731" i="18"/>
  <c r="D122" i="18"/>
  <c r="D337" i="18"/>
  <c r="D664" i="18"/>
  <c r="D575" i="18"/>
  <c r="D1283" i="18"/>
  <c r="D1467" i="18"/>
  <c r="D1261" i="18"/>
  <c r="D143" i="18"/>
  <c r="D814" i="18"/>
  <c r="D1122" i="18"/>
  <c r="D466" i="18"/>
  <c r="D350" i="18"/>
  <c r="D15" i="18"/>
  <c r="D1841" i="18"/>
  <c r="D1525" i="18"/>
  <c r="D134" i="18"/>
  <c r="D776" i="18"/>
  <c r="D349" i="18"/>
  <c r="D473" i="18"/>
  <c r="D89" i="18"/>
  <c r="D94" i="18"/>
  <c r="D1151" i="18"/>
  <c r="D1051" i="18"/>
  <c r="D985" i="18"/>
  <c r="D437" i="18"/>
  <c r="D534" i="18"/>
  <c r="D70" i="18"/>
  <c r="D2037" i="18"/>
  <c r="D80" i="18"/>
  <c r="D232" i="18"/>
  <c r="D2157" i="18"/>
  <c r="D2468" i="18"/>
  <c r="D1377" i="18"/>
  <c r="D2449" i="18"/>
  <c r="D999" i="18"/>
  <c r="D152" i="18"/>
  <c r="D958" i="18"/>
  <c r="D1344" i="18"/>
  <c r="D1645" i="18"/>
  <c r="D1107" i="18"/>
  <c r="D334" i="18"/>
  <c r="D1364" i="18"/>
  <c r="D1218" i="18"/>
  <c r="D818" i="18"/>
  <c r="D2225" i="18"/>
  <c r="D2372" i="18"/>
  <c r="D186" i="18"/>
  <c r="D819" i="18"/>
  <c r="D67" i="18"/>
  <c r="D2459" i="18"/>
  <c r="D770" i="18"/>
  <c r="D97" i="18"/>
  <c r="D2321" i="18"/>
  <c r="D2128" i="18"/>
  <c r="D210" i="18"/>
  <c r="D2403" i="18"/>
  <c r="D2311" i="18"/>
  <c r="D371" i="18"/>
  <c r="D2266" i="18"/>
  <c r="D356" i="18"/>
  <c r="D42" i="18"/>
  <c r="D1533" i="18"/>
  <c r="D195" i="18"/>
  <c r="D1896" i="18"/>
  <c r="D360" i="18"/>
  <c r="D560" i="18"/>
  <c r="D1055" i="18"/>
  <c r="D698" i="18"/>
  <c r="D1782" i="18"/>
  <c r="D641" i="18"/>
  <c r="D527" i="18"/>
  <c r="D1781" i="18"/>
  <c r="D1685" i="18"/>
  <c r="D1799" i="18"/>
  <c r="D389" i="18"/>
  <c r="D1065" i="18"/>
  <c r="D1362" i="18"/>
  <c r="D951" i="18"/>
  <c r="D1492" i="18"/>
  <c r="D2442" i="18"/>
  <c r="D980" i="18"/>
  <c r="D1909" i="18"/>
  <c r="D387" i="18"/>
  <c r="D926" i="18"/>
  <c r="D1571" i="18"/>
  <c r="D1290" i="18"/>
  <c r="D850" i="18"/>
  <c r="D375" i="18"/>
  <c r="D833" i="18"/>
  <c r="D1083" i="18"/>
  <c r="D121" i="18"/>
  <c r="D762" i="18"/>
  <c r="D915" i="18"/>
  <c r="D1045" i="18"/>
  <c r="D845" i="18"/>
  <c r="D900" i="18"/>
  <c r="D2165" i="18"/>
  <c r="D2055" i="18"/>
  <c r="D36" i="18"/>
  <c r="D2281" i="18"/>
  <c r="D181" i="18"/>
  <c r="D1865" i="18"/>
  <c r="D225" i="18"/>
  <c r="D1109" i="18"/>
  <c r="D2300" i="18"/>
  <c r="D594" i="18"/>
  <c r="D861" i="18"/>
  <c r="D2060" i="18"/>
  <c r="D826" i="18"/>
  <c r="D1521" i="18"/>
  <c r="D889" i="18"/>
  <c r="D1830" i="18"/>
  <c r="D1405" i="18"/>
  <c r="D1669" i="18"/>
  <c r="D848" i="18"/>
  <c r="D1353" i="18"/>
  <c r="D1626" i="18"/>
  <c r="D127" i="18"/>
  <c r="D1160" i="18"/>
  <c r="D1426" i="18"/>
  <c r="D1515" i="18"/>
  <c r="D1918" i="18"/>
  <c r="D139" i="18"/>
  <c r="D2376" i="18"/>
  <c r="D2047" i="18"/>
  <c r="D2002" i="18"/>
  <c r="D924" i="18"/>
  <c r="D112" i="18"/>
  <c r="D574" i="18"/>
  <c r="D1561" i="18"/>
  <c r="D343" i="18"/>
  <c r="D242" i="18"/>
  <c r="D1998" i="18"/>
  <c r="D120" i="18"/>
  <c r="D621" i="18"/>
  <c r="D2302" i="18"/>
  <c r="D1565" i="18"/>
  <c r="D2101" i="18"/>
  <c r="D1369" i="18"/>
  <c r="D1066" i="18"/>
  <c r="D312" i="18"/>
  <c r="D227" i="18"/>
  <c r="D241" i="18"/>
  <c r="D841" i="18"/>
  <c r="D883" i="18"/>
  <c r="D1176" i="18"/>
  <c r="D2473" i="18"/>
  <c r="D140" i="18"/>
  <c r="D1469" i="18"/>
  <c r="D606" i="18"/>
  <c r="D2463" i="18"/>
  <c r="D1081" i="18"/>
  <c r="D564" i="18"/>
  <c r="D320" i="18"/>
  <c r="D962" i="18"/>
  <c r="D1212" i="18"/>
  <c r="D2313" i="18"/>
  <c r="D975" i="18"/>
  <c r="D1266" i="18"/>
  <c r="D1901" i="18"/>
  <c r="D1806" i="18"/>
  <c r="D1898" i="18"/>
  <c r="D540" i="18"/>
  <c r="D114" i="18"/>
  <c r="D2424" i="18"/>
  <c r="D894" i="18"/>
  <c r="D281" i="18"/>
  <c r="D2108" i="18"/>
  <c r="D1957" i="18"/>
  <c r="D1987" i="18"/>
  <c r="D499" i="18"/>
  <c r="D812" i="18"/>
  <c r="D656" i="18"/>
  <c r="D597" i="18"/>
  <c r="D988" i="18"/>
  <c r="D1375" i="18"/>
  <c r="D2269" i="18"/>
  <c r="D294" i="18"/>
  <c r="D420" i="18"/>
  <c r="D1457" i="18"/>
  <c r="D1758" i="18"/>
  <c r="D716" i="18"/>
  <c r="D1371" i="18"/>
  <c r="D1999" i="18"/>
  <c r="D179" i="18"/>
  <c r="D214" i="18"/>
  <c r="D1996" i="18"/>
  <c r="D745" i="18"/>
  <c r="D157" i="18"/>
  <c r="D411" i="18"/>
  <c r="D532" i="18"/>
  <c r="D299" i="18"/>
  <c r="D1864" i="18"/>
  <c r="D2166" i="18"/>
  <c r="D1245" i="18"/>
  <c r="D2248" i="18"/>
  <c r="D570" i="18"/>
  <c r="D174" i="18"/>
  <c r="D604" i="18"/>
  <c r="D467" i="18"/>
  <c r="D2394" i="18"/>
  <c r="D1491" i="18"/>
  <c r="D74" i="18"/>
  <c r="D1118" i="18"/>
  <c r="D1293" i="18"/>
  <c r="D1067" i="18"/>
  <c r="D932" i="18"/>
  <c r="D2362" i="18"/>
  <c r="D2048" i="18"/>
  <c r="D1177" i="18"/>
  <c r="D2211" i="18"/>
  <c r="D480" i="18"/>
  <c r="D535" i="18"/>
  <c r="D2051" i="18"/>
  <c r="D1829" i="18"/>
  <c r="D2303" i="18"/>
  <c r="D1164" i="18"/>
  <c r="D1412" i="18"/>
  <c r="D1137" i="18"/>
  <c r="D2366" i="18"/>
  <c r="D893" i="18"/>
  <c r="D454" i="18"/>
  <c r="D647" i="18"/>
  <c r="D849" i="18"/>
  <c r="D1714" i="18"/>
  <c r="D2441" i="18"/>
  <c r="D1057" i="18"/>
  <c r="D212" i="18"/>
  <c r="D302" i="18"/>
  <c r="D2087" i="18"/>
  <c r="D2205" i="18"/>
  <c r="D622" i="18"/>
  <c r="D796" i="18"/>
  <c r="D1435" i="18"/>
  <c r="D1213" i="18"/>
  <c r="D1352" i="18"/>
  <c r="D525" i="18"/>
  <c r="D934" i="18"/>
  <c r="D207" i="18"/>
  <c r="D2210" i="18"/>
  <c r="D1035" i="18"/>
  <c r="D12" i="18"/>
  <c r="D1804" i="18"/>
  <c r="D982" i="18"/>
  <c r="D1087" i="18"/>
  <c r="D382" i="18"/>
  <c r="D2334" i="18"/>
  <c r="D465" i="18"/>
  <c r="D865" i="18"/>
  <c r="D1748" i="18"/>
  <c r="D2318" i="18"/>
  <c r="D538" i="18"/>
  <c r="D2022" i="18"/>
  <c r="D1890" i="18"/>
  <c r="D2443" i="18"/>
  <c r="D1947" i="18"/>
  <c r="D905" i="18"/>
  <c r="D1554" i="18"/>
  <c r="D498" i="18"/>
  <c r="D2024" i="18"/>
  <c r="D2342" i="18"/>
  <c r="D228" i="18"/>
  <c r="D2213" i="18"/>
  <c r="D99" i="18"/>
  <c r="D503" i="18"/>
  <c r="D1675" i="18"/>
  <c r="D639" i="18"/>
  <c r="D95" i="18"/>
  <c r="D887" i="18"/>
  <c r="D2287" i="18"/>
  <c r="D2437" i="18"/>
  <c r="D642" i="18"/>
  <c r="D827" i="18"/>
  <c r="D2419" i="18"/>
  <c r="D823" i="18"/>
  <c r="D1210" i="18"/>
  <c r="D1024" i="18"/>
  <c r="D274" i="18"/>
  <c r="D1485" i="18"/>
  <c r="D2137" i="18"/>
  <c r="D653" i="18"/>
  <c r="D1320" i="18"/>
  <c r="D1208" i="18"/>
  <c r="D129" i="18"/>
  <c r="D1842" i="18"/>
  <c r="D269" i="18"/>
  <c r="D1639" i="18"/>
  <c r="D153" i="18"/>
  <c r="D1582" i="18"/>
  <c r="D1967" i="18"/>
  <c r="D1820" i="18"/>
  <c r="D1834" i="18"/>
  <c r="D1776" i="18"/>
  <c r="D2271" i="18"/>
  <c r="D638" i="18"/>
  <c r="D2452" i="18"/>
  <c r="D2254" i="18"/>
  <c r="D1144" i="18"/>
  <c r="D1205" i="18"/>
  <c r="D2238" i="18"/>
  <c r="D1031" i="18"/>
  <c r="D1809" i="18"/>
  <c r="D327" i="18"/>
  <c r="D1908" i="18"/>
  <c r="D20" i="18"/>
  <c r="D2236" i="18"/>
  <c r="D2245" i="18"/>
  <c r="D629" i="18"/>
  <c r="D61" i="18"/>
  <c r="D1823" i="18"/>
  <c r="D568" i="18"/>
  <c r="D1949" i="18"/>
  <c r="D200" i="18"/>
  <c r="D459" i="18"/>
  <c r="D60" i="18"/>
  <c r="D1931" i="18"/>
  <c r="D1603" i="18"/>
  <c r="D923" i="18"/>
  <c r="D1040" i="18"/>
  <c r="D1733" i="18"/>
  <c r="D877" i="18"/>
  <c r="D2196" i="18"/>
  <c r="D1860" i="18"/>
  <c r="D2428" i="18"/>
  <c r="D1500" i="18"/>
  <c r="D937" i="18"/>
  <c r="D1184" i="18"/>
  <c r="D2008" i="18"/>
  <c r="D592" i="18"/>
  <c r="D1425" i="18"/>
  <c r="D948" i="18"/>
  <c r="D433" i="18"/>
  <c r="D317" i="18"/>
  <c r="D2093" i="18"/>
  <c r="D583" i="18"/>
  <c r="D502" i="18"/>
  <c r="D410" i="18"/>
  <c r="D368" i="18"/>
  <c r="D474" i="18"/>
  <c r="D1815" i="18"/>
  <c r="D1224" i="18"/>
  <c r="D1113" i="18"/>
  <c r="D171" i="18"/>
  <c r="D1152" i="18"/>
  <c r="D1380" i="18"/>
  <c r="D1029" i="18"/>
  <c r="D1516" i="18"/>
  <c r="D627" i="18"/>
  <c r="D1015" i="18"/>
  <c r="D1633" i="18"/>
  <c r="D1275" i="18"/>
  <c r="D1703" i="18"/>
  <c r="D196" i="18"/>
  <c r="D1790" i="18"/>
  <c r="D1788" i="18"/>
  <c r="D660" i="18"/>
  <c r="D913" i="18"/>
  <c r="D1458" i="18"/>
  <c r="D995" i="18"/>
  <c r="D2148" i="18"/>
  <c r="D2086" i="18"/>
  <c r="D1792" i="18"/>
  <c r="D1345" i="18"/>
  <c r="D2324" i="18"/>
  <c r="D2259" i="18"/>
  <c r="D322" i="18"/>
  <c r="D383" i="18"/>
  <c r="D130" i="18"/>
  <c r="D2167" i="18"/>
  <c r="D1601" i="18"/>
  <c r="D173" i="18"/>
  <c r="D795" i="18"/>
  <c r="D1941" i="18"/>
  <c r="D2314" i="18"/>
  <c r="D429" i="18"/>
  <c r="D1783" i="18"/>
  <c r="D1445" i="18"/>
  <c r="D652" i="18"/>
  <c r="D1523" i="18"/>
  <c r="D57" i="18"/>
  <c r="D1814" i="18"/>
  <c r="D253" i="18"/>
  <c r="D2091" i="18"/>
  <c r="D1061" i="18"/>
  <c r="D2282" i="18"/>
  <c r="D2294" i="18"/>
  <c r="D922" i="18"/>
  <c r="D1254" i="18"/>
  <c r="D422" i="18"/>
  <c r="D683" i="18"/>
  <c r="D1220" i="18"/>
  <c r="D747" i="18"/>
  <c r="D431" i="18"/>
  <c r="D1889" i="18"/>
  <c r="D1250" i="18"/>
  <c r="D1713" i="18"/>
  <c r="D423" i="18"/>
  <c r="D1727" i="18"/>
  <c r="D854" i="18"/>
  <c r="D2467" i="18"/>
  <c r="D576" i="18"/>
  <c r="D759" i="18"/>
  <c r="D1064" i="18"/>
  <c r="D804" i="18"/>
  <c r="D161" i="18"/>
  <c r="D677" i="18"/>
  <c r="D1599" i="18"/>
  <c r="D273" i="18"/>
  <c r="D1935" i="18"/>
  <c r="D1104" i="18"/>
  <c r="D496" i="18"/>
  <c r="D490" i="18"/>
  <c r="D250" i="18"/>
  <c r="D1562" i="18"/>
  <c r="D1979" i="18"/>
  <c r="D561" i="18"/>
  <c r="D458" i="18"/>
  <c r="D1631" i="18"/>
  <c r="D646" i="18"/>
  <c r="D1825" i="18"/>
  <c r="D2159" i="18"/>
  <c r="D2312" i="18"/>
  <c r="D2006" i="18"/>
  <c r="D412" i="18"/>
  <c r="D220" i="18"/>
  <c r="D463" i="18"/>
  <c r="D533" i="18"/>
  <c r="D1983" i="18"/>
  <c r="D815" i="18"/>
  <c r="D994" i="18"/>
  <c r="D1767" i="18"/>
  <c r="D1902" i="18"/>
  <c r="D706" i="18"/>
  <c r="D580" i="18"/>
  <c r="D2136" i="18"/>
  <c r="D1481" i="18"/>
  <c r="D1376" i="18"/>
  <c r="D1331" i="18"/>
  <c r="D1088" i="18"/>
  <c r="D635" i="18"/>
  <c r="D1925" i="18"/>
  <c r="D952" i="18"/>
  <c r="D899" i="18"/>
  <c r="D1858" i="18"/>
  <c r="D1775" i="18"/>
  <c r="D1187" i="18"/>
  <c r="D374" i="18"/>
  <c r="D2216" i="18"/>
  <c r="D308" i="18"/>
  <c r="D1206" i="18"/>
  <c r="D2348" i="18"/>
  <c r="D495" i="18"/>
  <c r="D1333" i="18"/>
  <c r="D1189" i="18"/>
  <c r="D2023" i="18"/>
  <c r="D1990" i="18"/>
  <c r="D708" i="18"/>
  <c r="D267" i="18"/>
  <c r="D873" i="18"/>
  <c r="D1501" i="18"/>
  <c r="D1551" i="18"/>
  <c r="D1465" i="18"/>
  <c r="D1712" i="18"/>
  <c r="D2341" i="18"/>
  <c r="D544" i="18"/>
  <c r="D676" i="18"/>
  <c r="D742" i="18"/>
  <c r="D2127" i="18"/>
  <c r="D1878" i="18"/>
  <c r="D1200" i="18"/>
  <c r="D593" i="18"/>
  <c r="D2057" i="18"/>
  <c r="D1827" i="18"/>
  <c r="D791" i="18"/>
  <c r="D1577" i="18"/>
  <c r="D2171" i="18"/>
  <c r="D600" i="18"/>
  <c r="D2309" i="18"/>
  <c r="D2016" i="18"/>
  <c r="D748" i="18"/>
  <c r="D2043" i="18"/>
  <c r="D1849" i="18"/>
  <c r="D549" i="18"/>
  <c r="D1954" i="18"/>
  <c r="D265" i="18"/>
  <c r="D1740" i="18"/>
  <c r="D1274" i="18"/>
  <c r="D521" i="18"/>
  <c r="D19" i="18"/>
  <c r="D584" i="18"/>
  <c r="D1537" i="18"/>
  <c r="D1915" i="18"/>
  <c r="D1277" i="18"/>
  <c r="D86" i="18"/>
  <c r="D508" i="18"/>
  <c r="D1649" i="18"/>
  <c r="D1939" i="18"/>
  <c r="D1284" i="18"/>
  <c r="D661" i="18"/>
  <c r="D1547" i="18"/>
  <c r="D2336" i="18"/>
  <c r="D2033" i="18"/>
  <c r="D2373" i="18"/>
  <c r="D2461" i="18"/>
  <c r="D2131" i="18"/>
  <c r="D1046" i="18"/>
  <c r="D428" i="18"/>
  <c r="D863" i="18"/>
  <c r="D1684" i="18"/>
  <c r="D786" i="18"/>
  <c r="D1360" i="18"/>
  <c r="D1207" i="18"/>
  <c r="D1681" i="18"/>
  <c r="D1390" i="18"/>
  <c r="D399" i="18"/>
  <c r="D1588" i="18"/>
  <c r="D233" i="18"/>
  <c r="D2406" i="18"/>
  <c r="D1566" i="18"/>
  <c r="D1961" i="18"/>
  <c r="D28" i="18"/>
  <c r="D2200" i="18"/>
  <c r="D1431" i="18"/>
  <c r="D1808" i="18"/>
  <c r="D1506" i="18"/>
  <c r="D1711" i="18"/>
  <c r="D1340" i="18"/>
  <c r="D1907" i="18"/>
  <c r="D2090" i="18"/>
  <c r="D2465" i="18"/>
  <c r="D155" i="18"/>
  <c r="D288" i="18"/>
  <c r="D2410" i="18"/>
  <c r="D1597" i="18"/>
  <c r="D2460" i="18"/>
  <c r="D243" i="18"/>
  <c r="D1605" i="18"/>
  <c r="D1840" i="18"/>
  <c r="D1843" i="18"/>
  <c r="D1812" i="18"/>
  <c r="D718" i="18"/>
  <c r="D2158" i="18"/>
  <c r="D1464" i="18"/>
  <c r="D1746" i="18"/>
  <c r="D524" i="18"/>
  <c r="D2416" i="18"/>
  <c r="D2061" i="18"/>
  <c r="D1986" i="18"/>
  <c r="D2354" i="18"/>
  <c r="D1946" i="18"/>
  <c r="D2288" i="18"/>
  <c r="D64" i="18"/>
  <c r="D1756" i="18"/>
  <c r="D2153" i="18"/>
  <c r="D2185" i="18"/>
  <c r="D1530" i="18"/>
  <c r="D834" i="18"/>
  <c r="D1721" i="18"/>
  <c r="D408" i="18"/>
  <c r="D1246" i="18"/>
  <c r="D1637" i="18"/>
  <c r="D1330" i="18"/>
  <c r="D1459" i="18"/>
  <c r="D603" i="18"/>
  <c r="D1564" i="18"/>
  <c r="D1559" i="18"/>
  <c r="D310" i="18"/>
  <c r="D2305" i="18"/>
  <c r="D1887" i="18"/>
  <c r="D1342" i="18"/>
  <c r="D166" i="18"/>
  <c r="D515" i="18"/>
  <c r="D1636" i="18"/>
  <c r="D577" i="18"/>
  <c r="D2345" i="18"/>
  <c r="D778" i="18"/>
  <c r="D1385" i="18"/>
  <c r="D435" i="18"/>
  <c r="D2335" i="18"/>
  <c r="D1071" i="18"/>
  <c r="D1868" i="18"/>
  <c r="D1232" i="18"/>
  <c r="D2381" i="18"/>
  <c r="D1927" i="18"/>
  <c r="D2423" i="18"/>
  <c r="D1583" i="18"/>
  <c r="D896" i="18"/>
  <c r="D1240" i="18"/>
  <c r="D289" i="18"/>
  <c r="D2421" i="18"/>
  <c r="D1704" i="18"/>
  <c r="D682" i="18"/>
  <c r="D1004" i="18"/>
  <c r="D925" i="18"/>
  <c r="D551" i="18"/>
  <c r="D1880" i="18"/>
  <c r="D1642" i="18"/>
  <c r="D810" i="18"/>
  <c r="D967" i="18"/>
  <c r="D1215" i="18"/>
  <c r="D2112" i="18"/>
  <c r="D2066" i="18"/>
  <c r="D1225" i="18"/>
  <c r="D1159" i="18"/>
  <c r="D950" i="18"/>
  <c r="D1486" i="18"/>
  <c r="D2253" i="18"/>
  <c r="D1870" i="18"/>
  <c r="D822" i="18"/>
  <c r="D237" i="18"/>
  <c r="D1468" i="18"/>
  <c r="D794" i="18"/>
  <c r="D832" i="18"/>
  <c r="D1490" i="18"/>
  <c r="D297" i="18"/>
  <c r="D1493" i="18"/>
  <c r="D1487" i="18"/>
  <c r="D1358" i="18"/>
  <c r="D977" i="18"/>
  <c r="D828" i="18"/>
  <c r="D566" i="18"/>
  <c r="D2117" i="18"/>
  <c r="D77" i="18"/>
  <c r="D1442" i="18"/>
  <c r="D556" i="18"/>
  <c r="D1382" i="18"/>
  <c r="D771" i="18"/>
  <c r="D1394" i="18"/>
  <c r="D1667" i="18"/>
  <c r="D624" i="18"/>
  <c r="D1384" i="18"/>
  <c r="D404" i="18"/>
  <c r="D1796" i="18"/>
  <c r="D1609" i="18"/>
  <c r="D1873" i="18"/>
  <c r="D2102" i="18"/>
  <c r="D407" i="18"/>
  <c r="D1926" i="18"/>
  <c r="D1877" i="18"/>
  <c r="D2028" i="18"/>
  <c r="D96" i="18"/>
  <c r="D450" i="18"/>
  <c r="D461" i="18"/>
  <c r="D2277" i="18"/>
  <c r="D2142" i="18"/>
  <c r="D323" i="18"/>
  <c r="D1736" i="18"/>
  <c r="D451" i="18"/>
  <c r="D2256" i="18"/>
  <c r="D9" i="18"/>
  <c r="D610" i="18"/>
  <c r="D542" i="18"/>
  <c r="D675" i="18"/>
  <c r="D2156" i="18"/>
  <c r="D1560" i="18"/>
  <c r="D1755" i="18"/>
  <c r="D2268" i="18"/>
  <c r="D2099" i="18"/>
  <c r="D605" i="18"/>
  <c r="D1483" i="18"/>
  <c r="D189" i="18"/>
  <c r="D1696" i="18"/>
  <c r="D857" i="18"/>
  <c r="D2056" i="18"/>
  <c r="D2219" i="18"/>
  <c r="D1875" i="18"/>
  <c r="D2122" i="18"/>
  <c r="D260" i="18"/>
  <c r="D2223" i="18"/>
  <c r="D864" i="18"/>
  <c r="D1317" i="18"/>
  <c r="D1572" i="18"/>
  <c r="D929" i="18"/>
  <c r="D1715" i="18"/>
  <c r="D1430" i="18"/>
  <c r="D2115" i="18"/>
  <c r="D1134" i="18"/>
  <c r="D2450" i="18"/>
  <c r="D469" i="18"/>
  <c r="D2332" i="18"/>
  <c r="D373" i="18"/>
  <c r="D1886" i="18"/>
  <c r="D1392" i="18"/>
  <c r="D1398" i="18"/>
  <c r="D175" i="18"/>
  <c r="D1534" i="18"/>
  <c r="D1569" i="18"/>
  <c r="D147" i="18"/>
  <c r="D1100" i="18"/>
  <c r="D131" i="18"/>
  <c r="D930" i="18"/>
  <c r="D2041" i="18"/>
  <c r="D1309" i="18"/>
  <c r="D1007" i="18"/>
  <c r="D1930" i="18"/>
  <c r="D353" i="18"/>
  <c r="D792" i="18"/>
  <c r="D727" i="18"/>
  <c r="D1750" i="18"/>
  <c r="D105" i="18"/>
  <c r="D244" i="18"/>
  <c r="D2316" i="18"/>
  <c r="D2249" i="18"/>
  <c r="D898" i="18"/>
  <c r="D1514" i="18"/>
  <c r="D487" i="18"/>
  <c r="D2010" i="18"/>
  <c r="D2371" i="18"/>
  <c r="D1837" i="18"/>
  <c r="D2262" i="18"/>
  <c r="D296" i="18"/>
  <c r="D1259" i="18"/>
  <c r="D2020" i="18"/>
  <c r="D1338" i="18"/>
  <c r="D2361" i="18"/>
  <c r="D1662" i="18"/>
  <c r="D1574" i="18"/>
  <c r="D1032" i="18"/>
  <c r="D673" i="18"/>
  <c r="D1988" i="18"/>
  <c r="D1897" i="18"/>
  <c r="D1615" i="18"/>
  <c r="D886" i="18"/>
  <c r="D928" i="18"/>
  <c r="D2252" i="18"/>
  <c r="D2411" i="18"/>
  <c r="D1243" i="18"/>
  <c r="D2240" i="18"/>
  <c r="D979" i="18"/>
  <c r="D1929" i="18"/>
  <c r="D1033" i="18"/>
  <c r="D1111" i="18"/>
  <c r="D1731" i="18"/>
  <c r="D93" i="18"/>
  <c r="D2242" i="18"/>
  <c r="D1575" i="18"/>
  <c r="D655" i="18"/>
  <c r="D315" i="18"/>
  <c r="D2123" i="18"/>
  <c r="D1124" i="18"/>
  <c r="D709" i="18"/>
  <c r="D2050" i="18"/>
  <c r="D2417" i="18"/>
  <c r="D115" i="18"/>
  <c r="D215" i="18"/>
  <c r="D1968" i="18"/>
  <c r="D69" i="18"/>
  <c r="D2129" i="18"/>
  <c r="D358" i="18"/>
  <c r="D2188" i="18"/>
  <c r="D32" i="18"/>
  <c r="D573" i="18"/>
  <c r="D2029" i="18"/>
  <c r="D616" i="18"/>
  <c r="D1437" i="18"/>
  <c r="D144" i="18"/>
  <c r="D2084" i="18"/>
  <c r="D133" i="18"/>
  <c r="D1821" i="18"/>
  <c r="D1764" i="18"/>
  <c r="D650" i="18"/>
  <c r="D46" i="18"/>
  <c r="D2462" i="18"/>
  <c r="D757" i="18"/>
  <c r="D128" i="18"/>
  <c r="D1844" i="18"/>
  <c r="D1096" i="18"/>
  <c r="D1838" i="18"/>
  <c r="D1872" i="18"/>
  <c r="D505" i="18"/>
  <c r="D2198" i="18"/>
  <c r="D135" i="18"/>
  <c r="D1862" i="18"/>
  <c r="D2388" i="18"/>
  <c r="D206" i="18"/>
  <c r="D1379" i="18"/>
  <c r="D1707" i="18"/>
  <c r="D2124" i="18"/>
  <c r="D1463" i="18"/>
  <c r="D252" i="18"/>
  <c r="D48" i="18"/>
  <c r="D686" i="18"/>
  <c r="D2121" i="18"/>
  <c r="D443" i="18"/>
  <c r="D1592" i="18"/>
  <c r="D406" i="18"/>
  <c r="D75" i="18"/>
  <c r="D295" i="18"/>
  <c r="D1018" i="18"/>
  <c r="D1175" i="18"/>
  <c r="D1077" i="18"/>
  <c r="D912" i="18"/>
  <c r="D1402" i="18"/>
  <c r="D741" i="18"/>
  <c r="D1341" i="18"/>
  <c r="D1403" i="18"/>
  <c r="D880" i="18"/>
  <c r="D852" i="18"/>
  <c r="D1268" i="18"/>
  <c r="D1786" i="18"/>
  <c r="D1022" i="18"/>
  <c r="D2162" i="18"/>
  <c r="D448" i="18"/>
  <c r="D2315" i="18"/>
  <c r="D1558" i="18"/>
  <c r="D692" i="18"/>
  <c r="D396" i="18"/>
  <c r="D2296" i="18"/>
  <c r="D2072" i="18"/>
  <c r="D1076" i="18"/>
  <c r="D904" i="18"/>
  <c r="D523" i="18"/>
  <c r="D1778" i="18"/>
  <c r="D276" i="18"/>
  <c r="D68" i="18"/>
  <c r="D1892" i="18"/>
  <c r="D1117" i="18"/>
  <c r="D492" i="18"/>
  <c r="D1050" i="18"/>
  <c r="D2065" i="18"/>
  <c r="D723" i="18"/>
  <c r="D1761" i="18"/>
  <c r="D2426" i="18"/>
  <c r="D1482" i="18"/>
  <c r="D446" i="18"/>
  <c r="D1147" i="18"/>
  <c r="D1678" i="18"/>
  <c r="D1082" i="18"/>
  <c r="D1480" i="18"/>
  <c r="D1171" i="18"/>
  <c r="D1411" i="18"/>
  <c r="D1602" i="18"/>
  <c r="D666" i="18"/>
  <c r="D2149" i="18"/>
  <c r="D1242" i="18"/>
  <c r="D2177" i="18"/>
  <c r="D169" i="18"/>
  <c r="D694" i="18"/>
  <c r="D1395" i="18"/>
  <c r="D1072" i="18"/>
  <c r="D1497" i="18"/>
  <c r="D720" i="18"/>
  <c r="D790" i="18"/>
  <c r="D1281" i="18"/>
  <c r="D671" i="18"/>
  <c r="D2130" i="18"/>
  <c r="D246" i="18"/>
  <c r="D2229" i="18"/>
  <c r="D409" i="18"/>
  <c r="D911" i="18"/>
  <c r="D1308" i="18"/>
  <c r="D345" i="18"/>
  <c r="D2247" i="18"/>
  <c r="D501" i="18"/>
  <c r="D1470" i="18"/>
  <c r="D2368" i="18"/>
  <c r="D681" i="18"/>
  <c r="D701" i="18"/>
  <c r="D1891" i="18"/>
  <c r="D282" i="18"/>
  <c r="D836" i="18"/>
  <c r="D2474" i="18"/>
  <c r="D2176" i="18"/>
  <c r="D401" i="18"/>
  <c r="D1694" i="18"/>
  <c r="D753" i="18"/>
  <c r="D633" i="18"/>
  <c r="D1479" i="18"/>
  <c r="D1555" i="18"/>
  <c r="D2208" i="18"/>
  <c r="D2073" i="18"/>
  <c r="D2197" i="18"/>
  <c r="D2293" i="18"/>
  <c r="D1456" i="18"/>
  <c r="D555" i="18"/>
  <c r="D41" i="18"/>
  <c r="D2384" i="18"/>
  <c r="D680" i="18"/>
  <c r="D1265" i="18"/>
  <c r="D468" i="18"/>
  <c r="D2399" i="18"/>
  <c r="D1568" i="18"/>
  <c r="D2031" i="18"/>
  <c r="D402" i="18"/>
  <c r="D203" i="18"/>
  <c r="D62" i="18"/>
  <c r="D910" i="18"/>
  <c r="D2081" i="18"/>
  <c r="D1247" i="18"/>
  <c r="D1161" i="18"/>
  <c r="D1518" i="18"/>
  <c r="D875" i="18"/>
  <c r="D2257" i="18"/>
  <c r="D2079" i="18"/>
  <c r="D2458" i="18"/>
  <c r="D1381" i="18"/>
  <c r="D637" i="18"/>
  <c r="D2009" i="18"/>
  <c r="D1963" i="18"/>
  <c r="D2201" i="18"/>
  <c r="D1651" i="18"/>
  <c r="D1544" i="18"/>
  <c r="D955" i="18"/>
  <c r="D1742" i="18"/>
  <c r="D1960" i="18"/>
  <c r="D869" i="18"/>
  <c r="D1178" i="18"/>
  <c r="D1683" i="18"/>
  <c r="D2432" i="18"/>
  <c r="D2439" i="18"/>
  <c r="D1219" i="18"/>
  <c r="D781" i="18"/>
  <c r="D208" i="18"/>
  <c r="D1919" i="18"/>
  <c r="D386" i="18"/>
  <c r="D314" i="18"/>
  <c r="D2064" i="18"/>
  <c r="D2356" i="18"/>
  <c r="D123" i="18"/>
  <c r="D263" i="18"/>
  <c r="D54" i="18"/>
  <c r="D587" i="18"/>
  <c r="D1102" i="18"/>
  <c r="D403" i="18"/>
  <c r="D1859" i="18"/>
  <c r="D712" i="18"/>
  <c r="D2138" i="18"/>
  <c r="D162" i="18"/>
  <c r="D2220" i="18"/>
  <c r="D163" i="18"/>
  <c r="D1818" i="18"/>
  <c r="D783" i="18"/>
  <c r="D892" i="18"/>
  <c r="D1936" i="18"/>
  <c r="D1368" i="18"/>
  <c r="D367" i="18"/>
  <c r="D1980" i="18"/>
  <c r="D805" i="18"/>
  <c r="D1757" i="18"/>
  <c r="D2340" i="18"/>
  <c r="D729" i="18"/>
  <c r="D589" i="18"/>
  <c r="D1233" i="18"/>
  <c r="D1260" i="18"/>
  <c r="D840" i="18"/>
  <c r="D856" i="18"/>
  <c r="D2265" i="18"/>
  <c r="D816" i="18"/>
  <c r="D973" i="18"/>
  <c r="D445" i="18"/>
  <c r="D2358" i="18"/>
  <c r="D785" i="18"/>
  <c r="D914" i="18"/>
  <c r="D481" i="18"/>
  <c r="D1302" i="18"/>
  <c r="D6" i="18"/>
  <c r="D8" i="18"/>
  <c r="D2457" i="18"/>
  <c r="D2103" i="18"/>
  <c r="D756" i="18"/>
  <c r="D1009" i="18"/>
  <c r="D1702" i="18"/>
  <c r="D1327" i="18"/>
  <c r="D2299" i="18"/>
  <c r="D2347" i="18"/>
  <c r="D1499" i="18"/>
  <c r="D148" i="18"/>
  <c r="D1060" i="18"/>
  <c r="D881" i="18"/>
  <c r="D981" i="18"/>
  <c r="D749" i="18"/>
  <c r="D194" i="18"/>
  <c r="D1183" i="18"/>
  <c r="D2027" i="18"/>
  <c r="D486" i="18"/>
  <c r="D1287" i="18"/>
  <c r="D1691" i="18"/>
  <c r="D376" i="18"/>
  <c r="D1195" i="18"/>
  <c r="D1861" i="18"/>
  <c r="D601" i="18"/>
  <c r="D1091" i="18"/>
  <c r="D866" i="18"/>
  <c r="D385" i="18"/>
  <c r="D2215" i="18"/>
  <c r="D1922" i="18"/>
  <c r="D1026" i="18"/>
  <c r="D1973" i="18"/>
  <c r="D2349" i="18"/>
  <c r="D2233" i="18"/>
  <c r="D1332" i="18"/>
  <c r="D1811" i="18"/>
  <c r="D338" i="18"/>
  <c r="D1301" i="18"/>
  <c r="D1279" i="18"/>
  <c r="D1593" i="18"/>
  <c r="D1596" i="18"/>
  <c r="D257" i="18"/>
  <c r="D1286" i="18"/>
  <c r="D2187" i="18"/>
  <c r="D1835" i="18"/>
  <c r="D1427" i="18"/>
  <c r="D1008" i="18"/>
  <c r="D1966" i="18"/>
  <c r="D430" i="18"/>
  <c r="D684" i="18"/>
  <c r="D1723" i="18"/>
  <c r="D2132" i="18"/>
  <c r="D713" i="18"/>
  <c r="D221" i="18"/>
  <c r="D462" i="18"/>
  <c r="D1406" i="18"/>
  <c r="D1153" i="18"/>
  <c r="D1522" i="18"/>
  <c r="D1407" i="18"/>
  <c r="D599" i="18"/>
  <c r="D1852" i="18"/>
  <c r="D2190" i="18"/>
  <c r="D1228" i="18"/>
  <c r="D1557" i="18"/>
  <c r="D596" i="18"/>
  <c r="D1079" i="18"/>
  <c r="D197" i="18"/>
  <c r="D516" i="18"/>
  <c r="D640" i="18"/>
  <c r="D649" i="18"/>
  <c r="D442" i="18"/>
  <c r="D1735" i="18"/>
  <c r="D1725" i="18"/>
  <c r="D612" i="18"/>
  <c r="D2472" i="18"/>
  <c r="D1595" i="18"/>
  <c r="D1003" i="18"/>
  <c r="D1388" i="18"/>
  <c r="D1774" i="18"/>
  <c r="D719" i="18"/>
  <c r="D890" i="18"/>
  <c r="D1460" i="18"/>
  <c r="D10" i="18"/>
  <c r="D434" i="18"/>
  <c r="D2000" i="18"/>
  <c r="D2151" i="18"/>
  <c r="D1511" i="18"/>
  <c r="D960" i="18"/>
  <c r="D970" i="18"/>
  <c r="D484" i="18"/>
  <c r="D2255" i="18"/>
  <c r="D1295" i="18"/>
  <c r="D1267" i="18"/>
  <c r="D2170" i="18"/>
  <c r="D547" i="18"/>
  <c r="D2398" i="18"/>
  <c r="D968" i="18"/>
  <c r="D1621" i="18"/>
  <c r="D507" i="18"/>
  <c r="D1791" i="18"/>
  <c r="D497" i="18"/>
  <c r="D136" i="18"/>
  <c r="D379" i="18"/>
  <c r="D1424" i="18"/>
  <c r="D1671" i="18"/>
  <c r="D809" i="18"/>
  <c r="D71" i="18"/>
  <c r="D2218" i="18"/>
  <c r="D109" i="18"/>
  <c r="D56" i="18"/>
  <c r="D361" i="18"/>
  <c r="D927" i="18"/>
  <c r="D2320" i="18"/>
  <c r="D29" i="18"/>
  <c r="D7" i="18"/>
  <c r="D2448" i="18"/>
  <c r="D160" i="18"/>
  <c r="D231" i="18"/>
  <c r="D247" i="18"/>
  <c r="D278" i="18"/>
  <c r="D657" i="18"/>
  <c r="D1580" i="18"/>
  <c r="D18" i="18"/>
  <c r="D989" i="18"/>
  <c r="D1090" i="18"/>
  <c r="D391" i="18"/>
  <c r="D1586" i="18"/>
  <c r="D1510" i="18"/>
  <c r="D2237" i="18"/>
  <c r="D2295" i="18"/>
  <c r="D1846" i="18"/>
  <c r="D192" i="18"/>
  <c r="D309" i="18"/>
  <c r="D1540" i="18"/>
  <c r="D1625" i="18"/>
  <c r="D17" i="18"/>
  <c r="D141" i="18"/>
  <c r="D703" i="18"/>
  <c r="D1627" i="18"/>
  <c r="D355" i="18"/>
  <c r="D362" i="18"/>
  <c r="D634" i="18"/>
  <c r="D689" i="18"/>
  <c r="D405" i="18"/>
  <c r="D1128" i="18"/>
  <c r="D1730" i="18"/>
  <c r="D918" i="18"/>
  <c r="D1670" i="18"/>
  <c r="D393" i="18"/>
  <c r="D2278" i="18"/>
  <c r="D1321" i="18"/>
  <c r="D2415" i="18"/>
  <c r="D1244" i="18"/>
  <c r="D413" i="18"/>
  <c r="D218" i="18"/>
  <c r="D264" i="18"/>
  <c r="D40" i="18"/>
  <c r="D1950" i="18"/>
  <c r="D938" i="18"/>
  <c r="D2052" i="18"/>
  <c r="D957" i="18"/>
  <c r="D1185" i="18"/>
  <c r="D996" i="18"/>
  <c r="D628" i="18"/>
  <c r="D272" i="18"/>
  <c r="D324" i="18"/>
  <c r="D2194" i="18"/>
  <c r="D1063" i="18"/>
  <c r="D2209" i="18"/>
  <c r="D2193" i="18"/>
  <c r="D578" i="18"/>
  <c r="D285" i="18"/>
  <c r="D306" i="18"/>
  <c r="D2386" i="18"/>
  <c r="D234" i="18"/>
  <c r="D2322" i="18"/>
  <c r="D51" i="18"/>
  <c r="D2082" i="18"/>
  <c r="D2179" i="18"/>
  <c r="D1383" i="18"/>
  <c r="D2374" i="18"/>
  <c r="D2143" i="18"/>
  <c r="D1017" i="18"/>
  <c r="D1155" i="18"/>
  <c r="D844" i="18"/>
  <c r="D21" i="18"/>
  <c r="D2243" i="18"/>
  <c r="D1078" i="18"/>
  <c r="D1255" i="18"/>
  <c r="D1141" i="18"/>
  <c r="D1452" i="18"/>
  <c r="D249" i="18"/>
  <c r="D198" i="18"/>
  <c r="D908" i="18"/>
  <c r="D1917" i="18"/>
  <c r="D23" i="18"/>
  <c r="D1006" i="18"/>
  <c r="D279" i="18"/>
  <c r="D2360" i="18"/>
  <c r="D860" i="18"/>
  <c r="D2155" i="18"/>
  <c r="D39" i="18"/>
  <c r="D2430" i="18"/>
  <c r="D438" i="18"/>
  <c r="D2059" i="18"/>
  <c r="D441" i="18"/>
  <c r="D2339" i="18"/>
  <c r="D567" i="18"/>
  <c r="D52" i="18"/>
  <c r="D2232" i="18"/>
  <c r="D1476" i="18"/>
  <c r="D2011" i="18"/>
  <c r="D1620" i="18"/>
  <c r="D1656" i="18"/>
  <c r="D763" i="18"/>
  <c r="D986" i="18"/>
  <c r="D2429" i="18"/>
  <c r="D737" i="18"/>
  <c r="D541" i="18"/>
  <c r="D1086" i="18"/>
  <c r="D336" i="18"/>
  <c r="D151" i="18"/>
  <c r="D1802" i="18"/>
  <c r="D111" i="18"/>
  <c r="D813" i="18"/>
  <c r="D1700" i="18"/>
  <c r="D424" i="18"/>
  <c r="D2017" i="18"/>
  <c r="D1114" i="18"/>
  <c r="D1010" i="18"/>
  <c r="D2204" i="18"/>
  <c r="D916" i="18"/>
  <c r="D158" i="18"/>
  <c r="D1977" i="18"/>
  <c r="D1851" i="18"/>
  <c r="D842" i="18"/>
  <c r="D2476" i="18"/>
  <c r="D14" i="18"/>
  <c r="D2383" i="18"/>
  <c r="D107" i="18"/>
  <c r="D1964" i="18"/>
  <c r="D2404" i="18"/>
  <c r="D2168" i="18"/>
  <c r="D738" i="18"/>
  <c r="D106" i="18"/>
  <c r="D2283" i="18"/>
  <c r="D774" i="18"/>
  <c r="D2251" i="18"/>
  <c r="D2154" i="18"/>
  <c r="D1824" i="18"/>
  <c r="D1074" i="18"/>
  <c r="D1346" i="18"/>
  <c r="D1252" i="18"/>
  <c r="D1069" i="18"/>
  <c r="D2440" i="18"/>
  <c r="D1226" i="18"/>
  <c r="D700" i="18"/>
  <c r="D707" i="18"/>
  <c r="D1322" i="18"/>
  <c r="D100" i="18"/>
  <c r="D766" i="18"/>
  <c r="D45" i="18"/>
  <c r="D44" i="18"/>
  <c r="D472" i="18"/>
  <c r="D365" i="18"/>
  <c r="D2125" i="18"/>
  <c r="D98" i="18"/>
  <c r="D803" i="18"/>
  <c r="D1876" i="18"/>
  <c r="D644" i="18"/>
  <c r="D1855" i="18"/>
  <c r="D266" i="18"/>
  <c r="D1429" i="18"/>
  <c r="D609" i="18"/>
  <c r="D258" i="18"/>
  <c r="D351" i="18"/>
  <c r="D1115" i="18"/>
  <c r="D439" i="18"/>
  <c r="D971" i="18"/>
  <c r="D425" i="18"/>
  <c r="D543" i="18"/>
  <c r="D788" i="18"/>
  <c r="D1884" i="18"/>
  <c r="D421" i="18"/>
  <c r="D1068" i="18"/>
  <c r="D1676" i="18"/>
  <c r="D332" i="18"/>
  <c r="D1419" i="18"/>
  <c r="D2469" i="18"/>
  <c r="D2447" i="18"/>
  <c r="D1527" i="18"/>
  <c r="D178" i="18"/>
  <c r="D290" i="18"/>
  <c r="D724" i="18"/>
  <c r="D1343" i="18"/>
  <c r="D2199" i="18"/>
  <c r="D256" i="18"/>
  <c r="D1143" i="18"/>
  <c r="D1660" i="18"/>
  <c r="D2274" i="18"/>
  <c r="D291" i="18"/>
  <c r="D73" i="18"/>
  <c r="D1282" i="18"/>
  <c r="D1623" i="18"/>
  <c r="D2146" i="18"/>
  <c r="D2290" i="18"/>
  <c r="D1423" i="18"/>
  <c r="D82" i="18"/>
  <c r="D2380" i="18"/>
  <c r="D1803" i="18"/>
  <c r="D1771" i="18"/>
  <c r="D1191" i="18"/>
  <c r="D63" i="18"/>
  <c r="D488" i="18"/>
  <c r="D663" i="18"/>
  <c r="D1168" i="18"/>
  <c r="D2364" i="18"/>
  <c r="D1617" i="18"/>
  <c r="D271" i="18"/>
  <c r="D1075" i="18"/>
  <c r="D2387" i="18"/>
  <c r="D25" i="18"/>
  <c r="D2163" i="18"/>
  <c r="D935" i="18"/>
  <c r="D987" i="18"/>
  <c r="D1982" i="18"/>
  <c r="D483" i="18"/>
  <c r="D16" i="18"/>
  <c r="D119" i="18"/>
  <c r="D2389" i="18"/>
  <c r="D1053" i="18"/>
  <c r="D37" i="18"/>
  <c r="D704" i="18"/>
  <c r="D721" i="18"/>
  <c r="D1992" i="18"/>
  <c r="D2438" i="18"/>
  <c r="D2144" i="18"/>
  <c r="D1179" i="18"/>
  <c r="D103" i="18"/>
  <c r="D2285" i="18"/>
  <c r="D2425" i="18"/>
  <c r="D1397" i="18"/>
  <c r="D352" i="18"/>
  <c r="D772" i="18"/>
  <c r="D321" i="18"/>
  <c r="D1420" i="18"/>
  <c r="D230" i="18"/>
  <c r="D1453" i="18"/>
  <c r="D2119" i="18"/>
  <c r="D2095" i="18"/>
  <c r="D1049" i="18"/>
  <c r="D1674" i="18"/>
  <c r="D1039" i="18"/>
  <c r="D1739" i="18"/>
  <c r="D5" i="18"/>
  <c r="D1001" i="18"/>
  <c r="D378" i="18"/>
  <c r="D1612" i="18"/>
  <c r="D2118" i="18"/>
  <c r="D400" i="18"/>
  <c r="D2001" i="18"/>
  <c r="D81" i="18"/>
  <c r="D735" i="18"/>
  <c r="D947" i="18"/>
  <c r="D1894" i="18"/>
  <c r="D479" i="18"/>
  <c r="D2367" i="18"/>
  <c r="D2133" i="18"/>
  <c r="D688" i="18"/>
  <c r="D1677" i="18"/>
  <c r="D1005" i="18"/>
  <c r="D1658" i="18"/>
  <c r="D943" i="18"/>
  <c r="D867" i="18"/>
  <c r="D1231" i="18"/>
  <c r="D1672" i="18"/>
  <c r="D88" i="18"/>
  <c r="D1945" i="18"/>
  <c r="D529" i="18"/>
  <c r="D1643" i="18"/>
  <c r="D897" i="18"/>
  <c r="D2042" i="18"/>
  <c r="D292" i="18"/>
  <c r="D2203" i="18"/>
  <c r="D1993" i="18"/>
  <c r="D871" i="18"/>
  <c r="D1538" i="18"/>
  <c r="D765" i="18"/>
  <c r="D1765" i="18"/>
  <c r="D998" i="18"/>
  <c r="D1762" i="18"/>
  <c r="D511" i="18"/>
  <c r="D1759" i="18"/>
  <c r="D1913" i="18"/>
  <c r="D1784" i="18"/>
  <c r="D1591" i="18"/>
  <c r="D1370" i="18"/>
  <c r="D1910" i="18"/>
  <c r="D1503" i="18"/>
  <c r="D1508" i="18"/>
  <c r="D11" i="18"/>
  <c r="D2089" i="18"/>
  <c r="D2012" i="18"/>
  <c r="D2298" i="18"/>
  <c r="D2111" i="18"/>
  <c r="D1773" i="18"/>
  <c r="D2140" i="18"/>
  <c r="D858" i="18"/>
  <c r="D359" i="18"/>
  <c r="D1744" i="18"/>
  <c r="D2058" i="18"/>
  <c r="D2067" i="18"/>
  <c r="D710" i="18"/>
  <c r="D1965" i="18"/>
  <c r="D1578" i="18"/>
  <c r="D1415" i="18"/>
  <c r="D1190" i="18"/>
  <c r="D1853" i="18"/>
  <c r="D301" i="18"/>
  <c r="D1826" i="18"/>
  <c r="D72" i="18"/>
  <c r="D2279" i="18"/>
  <c r="D2098" i="18"/>
  <c r="D1753" i="18"/>
  <c r="D1449" i="18"/>
  <c r="D1172" i="18"/>
  <c r="D193" i="18"/>
  <c r="D104" i="18"/>
  <c r="D83" i="18"/>
  <c r="D1136" i="18"/>
  <c r="D667" i="18"/>
  <c r="D1810" i="18"/>
  <c r="D820" i="18"/>
  <c r="D1604" i="18"/>
  <c r="D1264" i="18"/>
  <c r="D825" i="18"/>
  <c r="D1556" i="18"/>
  <c r="D1433" i="18"/>
  <c r="D1905" i="18"/>
  <c r="D2191" i="18"/>
  <c r="D2258" i="18"/>
  <c r="D456" i="18"/>
  <c r="D1354" i="18"/>
  <c r="D1150" i="18"/>
  <c r="D47" i="18"/>
  <c r="D1958" i="18"/>
  <c r="D2454" i="18"/>
  <c r="D726" i="18"/>
  <c r="D470" i="18"/>
  <c r="D2329" i="18"/>
  <c r="D177" i="18"/>
  <c r="D959" i="18"/>
  <c r="D1230" i="18"/>
  <c r="D1048" i="18"/>
  <c r="D1446" i="18"/>
  <c r="D1989" i="18"/>
  <c r="D2069" i="18"/>
  <c r="D1899" i="18"/>
  <c r="D182" i="18"/>
  <c r="D65" i="18"/>
  <c r="D608" i="18"/>
  <c r="D1688" i="18"/>
  <c r="D662" i="18"/>
  <c r="D2100" i="18"/>
  <c r="D202" i="18"/>
  <c r="D1863" i="18"/>
  <c r="D1619" i="18"/>
  <c r="D1145" i="18"/>
  <c r="D2353" i="18"/>
  <c r="D2445" i="18"/>
  <c r="D239" i="18"/>
  <c r="D471" i="18"/>
  <c r="D1706" i="18"/>
  <c r="D205" i="18"/>
  <c r="D1400" i="18"/>
  <c r="D611" i="18"/>
  <c r="D2174" i="18"/>
  <c r="D1679" i="18"/>
  <c r="D1237" i="18"/>
  <c r="D1299" i="18"/>
  <c r="D1365" i="18"/>
  <c r="D1466" i="18"/>
  <c r="D415" i="18"/>
  <c r="D1298" i="18"/>
  <c r="D172" i="18"/>
  <c r="D191" i="18"/>
  <c r="D78" i="18"/>
  <c r="D1133" i="18"/>
  <c r="D1239" i="18"/>
  <c r="D1263" i="18"/>
  <c r="D1257" i="18"/>
  <c r="D1710" i="18"/>
  <c r="D563" i="18"/>
  <c r="D1095" i="18"/>
  <c r="D1953" i="18"/>
  <c r="D972" i="18"/>
  <c r="D1416" i="18"/>
  <c r="D132" i="18"/>
  <c r="D1438" i="18"/>
  <c r="D1473" i="18"/>
  <c r="D554" i="18"/>
  <c r="D614" i="18"/>
  <c r="D460" i="18"/>
  <c r="D283" i="18"/>
  <c r="D1777" i="18"/>
  <c r="D293" i="18"/>
  <c r="D1975" i="18"/>
  <c r="D1882" i="18"/>
  <c r="D949" i="18"/>
  <c r="D921" i="18"/>
  <c r="D1869" i="18"/>
  <c r="D674" i="18"/>
  <c r="D2346" i="18"/>
  <c r="D1698" i="18"/>
  <c r="D2250" i="18"/>
  <c r="D1310" i="18"/>
  <c r="D478" i="18"/>
  <c r="D369" i="18"/>
  <c r="D1112" i="18"/>
  <c r="D1629" i="18"/>
  <c r="D545" i="18"/>
  <c r="D418" i="18"/>
  <c r="D736" i="18"/>
  <c r="D1367" i="18"/>
  <c r="D2126" i="18"/>
  <c r="D35" i="18"/>
  <c r="D2014" i="18"/>
  <c r="D1021" i="18"/>
  <c r="D1393" i="18"/>
  <c r="D1912" i="18"/>
  <c r="D2045" i="18"/>
  <c r="D811" i="18"/>
  <c r="D254" i="18"/>
  <c r="D366" i="18"/>
  <c r="D2370" i="18"/>
  <c r="D743" i="18"/>
  <c r="D13" i="18"/>
  <c r="D363" i="18"/>
  <c r="D859" i="18"/>
  <c r="D552" i="18"/>
  <c r="D758" i="18"/>
  <c r="D219" i="18"/>
  <c r="D79" i="18"/>
  <c r="D1270" i="18"/>
  <c r="D2379" i="18"/>
  <c r="D1300" i="18"/>
  <c r="D571" i="18"/>
  <c r="D2068" i="18"/>
  <c r="D941" i="18"/>
  <c r="D522" i="18"/>
  <c r="D1462" i="18"/>
  <c r="D348" i="18"/>
  <c r="D1149" i="18"/>
  <c r="D839" i="18"/>
  <c r="D1126" i="18"/>
  <c r="D1335" i="18"/>
  <c r="D255" i="18"/>
  <c r="D2226" i="18"/>
  <c r="D2412" i="18"/>
  <c r="D2363" i="18"/>
  <c r="D102" i="18"/>
  <c r="D164" i="18"/>
  <c r="D1234" i="18"/>
  <c r="D2147" i="18"/>
  <c r="D1652" i="18"/>
  <c r="D767" i="18"/>
  <c r="D85" i="18"/>
  <c r="D1546" i="18"/>
  <c r="D2344" i="18"/>
  <c r="D2035" i="18"/>
  <c r="D1666" i="18"/>
  <c r="D126" i="18"/>
  <c r="D2433" i="18"/>
  <c r="D1879" i="18"/>
  <c r="D711" i="18"/>
  <c r="D275" i="18"/>
  <c r="D384" i="18"/>
  <c r="D2475" i="18"/>
  <c r="D149" i="18"/>
  <c r="D311" i="18"/>
  <c r="D1484" i="18"/>
  <c r="D1801" i="18"/>
  <c r="D1058" i="18"/>
  <c r="D1054" i="18"/>
  <c r="D1444" i="18"/>
  <c r="D245" i="18"/>
  <c r="D2046" i="18"/>
  <c r="D2359" i="18"/>
  <c r="D1517" i="18"/>
  <c r="D775" i="18"/>
  <c r="D2189" i="18"/>
  <c r="D659" i="18"/>
  <c r="D1766" i="18"/>
  <c r="D92" i="18"/>
  <c r="D1013" i="18"/>
  <c r="D1716" i="18"/>
  <c r="D55" i="18"/>
  <c r="D1329" i="18"/>
  <c r="D223" i="18"/>
  <c r="D2164" i="18"/>
  <c r="D1606" i="18"/>
  <c r="D76" i="18"/>
  <c r="D769" i="18"/>
  <c r="D2214" i="18"/>
  <c r="D66" i="18"/>
  <c r="D557" i="18"/>
  <c r="D1749" i="18"/>
  <c r="D340" i="18"/>
  <c r="D2289" i="18"/>
  <c r="D341" i="18"/>
  <c r="D1563" i="18"/>
  <c r="D346" i="18"/>
  <c r="D489" i="18"/>
  <c r="D1505" i="18"/>
  <c r="D1772" i="18"/>
  <c r="D199" i="18"/>
  <c r="D1552" i="18"/>
  <c r="D485" i="18"/>
  <c r="D1305" i="18"/>
  <c r="D145" i="18"/>
  <c r="D117" i="18"/>
  <c r="D183" i="18"/>
  <c r="D1520" i="18"/>
  <c r="D236" i="18"/>
  <c r="D457" i="18"/>
  <c r="D843" i="18"/>
  <c r="D884" i="18"/>
  <c r="D1650" i="18"/>
  <c r="D2435" i="18"/>
  <c r="D1590" i="18"/>
  <c r="D1023" i="18"/>
  <c r="D180" i="18"/>
  <c r="D798" i="18"/>
  <c r="D1186" i="18"/>
  <c r="D2431" i="18"/>
  <c r="D1303" i="18"/>
  <c r="D870" i="18"/>
  <c r="D1816" i="18"/>
  <c r="D1807" i="18"/>
  <c r="D1253" i="18"/>
  <c r="D298" i="18"/>
  <c r="D416" i="18"/>
  <c r="D1916" i="18"/>
  <c r="D1474" i="18"/>
  <c r="D2139" i="18"/>
  <c r="D1070" i="18"/>
  <c r="D464" i="18"/>
  <c r="D1532" i="18"/>
  <c r="D1587" i="18"/>
  <c r="D1745" i="18"/>
  <c r="D1180" i="18"/>
  <c r="D2365" i="18"/>
  <c r="D1622" i="18"/>
  <c r="D216" i="18"/>
  <c r="D2276" i="18"/>
  <c r="D146" i="18"/>
  <c r="D2267" i="18"/>
  <c r="D491" i="18"/>
  <c r="D702" i="18"/>
  <c r="D110" i="18"/>
  <c r="D2184" i="18"/>
  <c r="D2357" i="18"/>
  <c r="D565" i="18"/>
  <c r="D1732" i="18"/>
  <c r="D824" i="18"/>
  <c r="D715" i="18"/>
  <c r="D2244" i="18"/>
  <c r="D2062" i="18"/>
  <c r="D1027" i="18"/>
  <c r="D789" i="18"/>
  <c r="D1822" i="18"/>
  <c r="D2477" i="18"/>
  <c r="D699" i="18"/>
  <c r="D2083" i="18"/>
  <c r="D728" i="18"/>
  <c r="D277" i="18"/>
  <c r="D303" i="18"/>
  <c r="D2019" i="18"/>
  <c r="D1103" i="18"/>
  <c r="D476" i="18"/>
  <c r="D1904" i="18"/>
  <c r="D2375" i="18"/>
  <c r="D1169" i="18"/>
  <c r="D1632" i="18"/>
  <c r="D631" i="18"/>
  <c r="D1285" i="18"/>
  <c r="D1805" i="18"/>
  <c r="D838" i="18"/>
  <c r="D1576" i="18"/>
  <c r="D1093" i="18"/>
  <c r="D1610" i="18"/>
  <c r="D945" i="18"/>
  <c r="D946" i="18"/>
  <c r="D398" i="18"/>
  <c r="D1938" i="18"/>
  <c r="D394" i="18"/>
  <c r="D1236" i="18"/>
  <c r="D2395" i="18"/>
  <c r="D793" i="18"/>
  <c r="D1297" i="18"/>
  <c r="D204" i="18"/>
  <c r="D1817" i="18"/>
  <c r="D1348" i="18"/>
  <c r="D1129" i="18"/>
  <c r="D2235" i="18"/>
  <c r="D2094" i="18"/>
  <c r="D802" i="18"/>
  <c r="D1529" i="18"/>
  <c r="D1608" i="18"/>
  <c r="D1092" i="18"/>
  <c r="D2260" i="18"/>
  <c r="D1618" i="18"/>
  <c r="D229" i="18"/>
  <c r="D1158" i="18"/>
  <c r="D1542" i="18"/>
  <c r="D1813" i="18"/>
  <c r="D2444" i="18"/>
  <c r="D1833" i="18"/>
  <c r="D1937" i="18"/>
  <c r="D1594" i="18"/>
  <c r="D2291" i="18"/>
  <c r="D1280" i="18"/>
  <c r="D1959" i="18"/>
  <c r="D2034" i="18"/>
  <c r="D2120" i="18"/>
  <c r="D1659" i="18"/>
  <c r="D1417" i="18"/>
  <c r="D669" i="18"/>
  <c r="D1142" i="18"/>
  <c r="D1408" i="18"/>
  <c r="D807" i="18"/>
  <c r="D2369" i="18"/>
  <c r="D2401" i="18"/>
  <c r="D318" i="18"/>
  <c r="D2327" i="18"/>
  <c r="D1099" i="18"/>
  <c r="D2350" i="18"/>
  <c r="D286" i="18"/>
  <c r="D1549" i="18"/>
  <c r="D1355" i="18"/>
  <c r="D1119" i="18"/>
  <c r="D329" i="18"/>
  <c r="D1779" i="18"/>
  <c r="D1962" i="18"/>
  <c r="D1697" i="18"/>
  <c r="D1014" i="18"/>
  <c r="D761" i="18"/>
  <c r="D739" i="18"/>
  <c r="D1785" i="18"/>
  <c r="D1661" i="18"/>
  <c r="D2114" i="18"/>
  <c r="D240" i="18"/>
  <c r="D1002" i="18"/>
  <c r="D108" i="18"/>
  <c r="D1271" i="18"/>
  <c r="D1705" i="18"/>
  <c r="D1414" i="18"/>
  <c r="D539" i="18"/>
  <c r="D1653" i="18"/>
  <c r="D1638" i="18"/>
  <c r="D2004" i="18"/>
  <c r="D2273" i="18"/>
  <c r="D116" i="18"/>
  <c r="D184" i="18"/>
  <c r="D2113" i="18"/>
  <c r="D1689" i="18"/>
  <c r="D2096" i="18"/>
  <c r="D1315" i="18"/>
  <c r="D1451" i="18"/>
  <c r="D917" i="18"/>
  <c r="D2246" i="18"/>
  <c r="D1871" i="18"/>
  <c r="D993" i="18"/>
  <c r="D1188" i="18"/>
  <c r="D537" i="18"/>
  <c r="D1454" i="18"/>
  <c r="D2202" i="18"/>
  <c r="D2275" i="18"/>
  <c r="D372" i="18"/>
  <c r="D902" i="18"/>
  <c r="D482" i="18"/>
  <c r="D1062" i="18"/>
  <c r="D2434" i="18"/>
  <c r="D550" i="18"/>
  <c r="D417" i="18"/>
  <c r="D1110" i="18"/>
  <c r="D1318" i="18"/>
  <c r="D1016" i="18"/>
  <c r="D1598" i="18"/>
  <c r="D965" i="18"/>
  <c r="D1366" i="18"/>
  <c r="D510" i="18"/>
  <c r="D344" i="18"/>
  <c r="D582" i="18"/>
  <c r="D1146" i="18"/>
  <c r="D760" i="18"/>
  <c r="D1194" i="18"/>
  <c r="D87" i="18"/>
  <c r="D1769" i="18"/>
  <c r="D1509" i="18"/>
  <c r="D1337" i="18"/>
  <c r="D2343" i="18"/>
  <c r="D1101" i="18"/>
  <c r="D2077" i="18"/>
  <c r="D1296" i="18"/>
  <c r="D690" i="18"/>
  <c r="D1900" i="18"/>
  <c r="D696" i="18"/>
  <c r="D1196" i="18"/>
  <c r="D1201" i="18"/>
  <c r="D1084" i="18"/>
  <c r="D319" i="18"/>
  <c r="D514" i="18"/>
  <c r="D1336" i="18"/>
  <c r="D2284" i="18"/>
  <c r="D1193" i="18"/>
  <c r="D978" i="18"/>
  <c r="D1920" i="18"/>
  <c r="D1680" i="18"/>
  <c r="D903" i="18"/>
  <c r="D251" i="18"/>
  <c r="D1148" i="18"/>
  <c r="D787" i="18"/>
  <c r="D691" i="18"/>
  <c r="D1729" i="18"/>
  <c r="D1170" i="18"/>
  <c r="D1461" i="18"/>
  <c r="D509" i="18"/>
  <c r="D1131" i="18"/>
  <c r="D956" i="18"/>
  <c r="D626" i="18"/>
  <c r="D504" i="18"/>
  <c r="D1763" i="18"/>
  <c r="D1770" i="18"/>
  <c r="D733" i="18"/>
  <c r="D750" i="18"/>
  <c r="D2397" i="18"/>
  <c r="D1648" i="18"/>
  <c r="D455" i="18"/>
  <c r="D991" i="18"/>
  <c r="D1693" i="18"/>
  <c r="D619" i="18"/>
  <c r="D546" i="18"/>
  <c r="D316" i="18"/>
  <c r="D1319" i="18"/>
  <c r="D1154" i="18"/>
  <c r="D1611" i="18"/>
  <c r="D799" i="18"/>
  <c r="D1944" i="18"/>
  <c r="D1720" i="18"/>
  <c r="D397" i="18"/>
  <c r="D1903" i="18"/>
  <c r="D2092" i="18"/>
  <c r="D1011" i="18"/>
  <c r="D2231" i="18"/>
  <c r="D1361" i="18"/>
  <c r="D1197" i="18"/>
  <c r="D1399" i="18"/>
  <c r="D1976" i="18"/>
  <c r="D2456" i="18"/>
  <c r="D966" i="18"/>
  <c r="D1690" i="18"/>
  <c r="D1839" i="18"/>
  <c r="D2030" i="18"/>
  <c r="D782" i="18"/>
  <c r="D1752" i="18"/>
  <c r="D1780" i="18"/>
  <c r="D280" i="18"/>
  <c r="D613" i="18"/>
  <c r="D1436" i="18"/>
  <c r="D670" i="18"/>
  <c r="D1350" i="18"/>
  <c r="D2109" i="18"/>
  <c r="D1036" i="18"/>
  <c r="D2015" i="18"/>
  <c r="D1579" i="18"/>
  <c r="D1722" i="18"/>
  <c r="D768" i="18"/>
  <c r="D1478" i="18"/>
  <c r="D931" i="18"/>
  <c r="D1526" i="18"/>
  <c r="D940" i="18"/>
  <c r="D2306" i="18"/>
  <c r="D2286" i="18"/>
  <c r="D1073" i="18"/>
  <c r="D1307" i="18"/>
  <c r="D548" i="18"/>
  <c r="D906" i="18"/>
  <c r="D377" i="18"/>
  <c r="D1981" i="18"/>
  <c r="D1203" i="18"/>
  <c r="D1085" i="18"/>
  <c r="D1258" i="18"/>
  <c r="D1428" i="18"/>
  <c r="D528" i="18"/>
  <c r="D1747" i="18"/>
  <c r="D2392" i="18"/>
  <c r="D1422" i="18"/>
  <c r="D1047" i="18"/>
  <c r="D1550" i="18"/>
  <c r="D1847" i="18"/>
  <c r="D2422" i="18"/>
  <c r="D1163" i="18"/>
  <c r="D2040" i="18"/>
  <c r="D1374" i="18"/>
  <c r="D1389" i="18"/>
  <c r="D2263" i="18"/>
  <c r="D1471" i="18"/>
  <c r="D1043" i="18"/>
  <c r="D1034" i="18"/>
  <c r="D617" i="18"/>
  <c r="D730" i="18"/>
  <c r="D830" i="18"/>
  <c r="D287" i="18"/>
  <c r="D1256" i="18"/>
  <c r="D238" i="18"/>
  <c r="D1663" i="18"/>
  <c r="D1701" i="18"/>
  <c r="D1278" i="18"/>
  <c r="D553" i="18"/>
  <c r="D868" i="18"/>
  <c r="D380" i="18"/>
  <c r="D2307" i="18"/>
  <c r="D1498" i="18"/>
  <c r="D1472" i="18"/>
  <c r="D1728" i="18"/>
  <c r="D1269" i="18"/>
  <c r="D847" i="18"/>
  <c r="D1204" i="18"/>
  <c r="D2351" i="18"/>
  <c r="D159" i="18"/>
  <c r="D717" i="18"/>
  <c r="D648" i="18"/>
  <c r="D695" i="18"/>
  <c r="D1311" i="18"/>
  <c r="D2070" i="18"/>
  <c r="D1545" i="18"/>
  <c r="D1614" i="18"/>
  <c r="D855" i="18"/>
  <c r="D1192" i="18"/>
  <c r="D261" i="18"/>
  <c r="D1019" i="18"/>
  <c r="D1276" i="18"/>
  <c r="D2352" i="18"/>
  <c r="D1020" i="18"/>
  <c r="D588" i="18"/>
  <c r="D426" i="18"/>
  <c r="D961" i="18"/>
  <c r="D1585" i="18"/>
  <c r="D585" i="18"/>
  <c r="D1570" i="18"/>
  <c r="D1923" i="18"/>
  <c r="D1970" i="18"/>
  <c r="D909" i="18"/>
  <c r="D2173" i="18"/>
  <c r="D2207" i="18"/>
  <c r="D817" i="18"/>
  <c r="D1699" i="18"/>
  <c r="D1489" i="18"/>
  <c r="D1589" i="18"/>
  <c r="D1012" i="18"/>
  <c r="D2464" i="18"/>
  <c r="D1373" i="18"/>
  <c r="D2085" i="18"/>
  <c r="D2328" i="18"/>
  <c r="D300" i="18"/>
  <c r="D2063" i="18"/>
  <c r="D1323" i="18"/>
  <c r="D2390" i="18"/>
  <c r="D1097" i="18"/>
  <c r="D2105" i="18"/>
  <c r="D687" i="18"/>
  <c r="D388" i="18"/>
  <c r="D705" i="18"/>
  <c r="D1351" i="18"/>
  <c r="D901" i="18"/>
  <c r="D1202" i="18"/>
  <c r="D414" i="18"/>
  <c r="D1819" i="18"/>
  <c r="D1673" i="18"/>
  <c r="D1042" i="18"/>
  <c r="D1800" i="18"/>
  <c r="D846" i="18"/>
  <c r="D2338" i="18"/>
  <c r="D1334" i="18"/>
  <c r="D447" i="18"/>
  <c r="D668" i="18"/>
  <c r="D876" i="18"/>
  <c r="D1978" i="18"/>
  <c r="D1866" i="18"/>
  <c r="D1098" i="18"/>
  <c r="D392" i="18"/>
  <c r="D1125" i="18"/>
  <c r="D1347" i="18"/>
  <c r="D2076" i="18"/>
  <c r="D494" i="18"/>
  <c r="D2053" i="18"/>
  <c r="D2297" i="18"/>
  <c r="D2326" i="18"/>
  <c r="D1182" i="18"/>
  <c r="D1356" i="18"/>
  <c r="D530" i="18"/>
  <c r="D2049" i="18"/>
  <c r="D1409" i="18"/>
  <c r="D851" i="18"/>
  <c r="D452" i="18"/>
  <c r="D1543" i="18"/>
  <c r="D1450" i="18"/>
  <c r="D333" i="18"/>
  <c r="D2317" i="18"/>
  <c r="D1238" i="18"/>
  <c r="D2152" i="18"/>
  <c r="D477" i="18"/>
  <c r="D2471" i="18"/>
  <c r="D1895" i="18"/>
  <c r="D1956" i="18"/>
  <c r="D2239" i="18"/>
  <c r="D1312" i="18"/>
  <c r="D357" i="18"/>
  <c r="D581" i="18"/>
  <c r="D1828" i="18"/>
  <c r="D1273" i="18"/>
  <c r="D1289" i="18"/>
  <c r="D632" i="18"/>
  <c r="D1227" i="18"/>
  <c r="D53" i="18"/>
  <c r="D1314" i="18"/>
  <c r="D2206" i="18"/>
  <c r="D137" i="18"/>
  <c r="D24" i="18"/>
  <c r="D1857" i="18"/>
  <c r="D1328" i="18"/>
  <c r="D1504" i="18"/>
  <c r="D1173" i="18"/>
  <c r="D453" i="18"/>
  <c r="D518" i="18"/>
  <c r="D936" i="18"/>
  <c r="D2264" i="18"/>
  <c r="D1292" i="18"/>
  <c r="D500" i="18"/>
  <c r="D1535" i="18"/>
  <c r="D2172" i="18"/>
  <c r="D1955" i="18"/>
  <c r="D1616" i="18"/>
  <c r="D2039" i="18"/>
  <c r="D59" i="18"/>
  <c r="D620" i="18"/>
  <c r="D1241" i="18"/>
  <c r="D1682" i="18"/>
  <c r="D1359" i="18"/>
  <c r="D1304" i="18"/>
  <c r="D1038" i="18"/>
  <c r="D1386" i="18"/>
  <c r="D2308" i="18"/>
  <c r="D519" i="18"/>
  <c r="D2323" i="18"/>
  <c r="D1272" i="18"/>
  <c r="D2330" i="18"/>
  <c r="D1421" i="18"/>
  <c r="D658" i="18"/>
  <c r="D335" i="18"/>
  <c r="D801" i="18"/>
  <c r="D1644" i="18"/>
  <c r="D1709" i="18"/>
  <c r="D963" i="18"/>
  <c r="D1657" i="18"/>
  <c r="D2182" i="18"/>
  <c r="D1325" i="18"/>
  <c r="D84" i="18"/>
  <c r="D784" i="18"/>
  <c r="D2261" i="18"/>
  <c r="D1052" i="18"/>
  <c r="D1850" i="18"/>
  <c r="D984" i="18"/>
  <c r="D1635" i="18"/>
  <c r="D2408" i="18"/>
  <c r="D872" i="18"/>
  <c r="D1934" i="18"/>
  <c r="D167" i="18"/>
  <c r="D1132" i="18"/>
  <c r="D328" i="18"/>
  <c r="D125" i="18"/>
  <c r="D1000" i="18"/>
  <c r="D1378" i="18"/>
  <c r="D1641" i="18"/>
  <c r="D1306" i="18"/>
  <c r="D1494" i="18"/>
  <c r="D436" i="18"/>
  <c r="D1324" i="18"/>
  <c r="D2241" i="18"/>
  <c r="D1166" i="18"/>
  <c r="D752" i="18"/>
  <c r="D651" i="18"/>
  <c r="D744" i="18"/>
  <c r="D313" i="18"/>
  <c r="D579" i="18"/>
  <c r="D2221" i="18"/>
  <c r="D891" i="18"/>
  <c r="D1567" i="18"/>
  <c r="D2310" i="18"/>
  <c r="D1760" i="18"/>
  <c r="D562" i="18"/>
  <c r="D808" i="18"/>
  <c r="D1477" i="18"/>
  <c r="D156" i="18"/>
  <c r="D1229" i="18"/>
  <c r="D586" i="18"/>
  <c r="D1216" i="18"/>
  <c r="D976" i="18"/>
  <c r="D201" i="18"/>
  <c r="D1140" i="18"/>
  <c r="D1874" i="18"/>
  <c r="D1795" i="18"/>
  <c r="D2088" i="18"/>
  <c r="D2385" i="18"/>
  <c r="D755" i="18"/>
  <c r="D1105" i="18"/>
  <c r="D2141" i="18"/>
  <c r="D2227" i="18"/>
  <c r="D1434" i="18"/>
  <c r="D654" i="18"/>
  <c r="D270" i="18"/>
  <c r="D990" i="18"/>
  <c r="D1751" i="18"/>
  <c r="D746" i="18"/>
  <c r="D1734" i="18"/>
  <c r="D1974" i="18"/>
  <c r="D2270" i="18"/>
  <c r="D1130" i="18"/>
  <c r="D598" i="18"/>
  <c r="D1235" i="18"/>
  <c r="D2180" i="18"/>
  <c r="D259" i="18"/>
  <c r="D2378" i="18"/>
  <c r="D1845" i="18"/>
  <c r="D2080" i="18"/>
  <c r="D1726" i="18"/>
  <c r="D432" i="18"/>
  <c r="D1708" i="18"/>
  <c r="D1030" i="18"/>
  <c r="D1524" i="18"/>
  <c r="D2032" i="18"/>
  <c r="D2234" i="18"/>
  <c r="D636" i="18"/>
  <c r="D1848" i="18"/>
  <c r="D933" i="18"/>
  <c r="D1396" i="18"/>
  <c r="D1413" i="18"/>
  <c r="D213" i="18"/>
  <c r="D1933" i="18"/>
  <c r="D248" i="18"/>
  <c r="D2074" i="18"/>
  <c r="D2420" i="18"/>
  <c r="D354" i="18"/>
  <c r="D1387" i="18"/>
  <c r="D1906" i="18"/>
  <c r="D1952" i="18"/>
  <c r="D1640" i="18"/>
  <c r="D2161" i="18"/>
  <c r="D1495" i="18"/>
  <c r="D506" i="18"/>
  <c r="D2418" i="18"/>
  <c r="D714" i="18"/>
  <c r="D1613" i="18"/>
  <c r="D2104" i="18"/>
  <c r="D1942" i="18"/>
  <c r="D1548" i="18"/>
  <c r="D1120" i="18"/>
  <c r="D2192" i="18"/>
  <c r="D623" i="18"/>
  <c r="D806" i="18"/>
  <c r="D1507" i="18"/>
  <c r="D672" i="18"/>
  <c r="D304" i="18"/>
  <c r="D1695" i="18"/>
  <c r="D427" i="18"/>
  <c r="D342" i="18"/>
  <c r="D997" i="18"/>
  <c r="D2414" i="18"/>
  <c r="D1502" i="18"/>
  <c r="D1893" i="18"/>
  <c r="D1991" i="18"/>
  <c r="D224" i="18"/>
  <c r="D829" i="18"/>
  <c r="D2178" i="18"/>
  <c r="D1349" i="18"/>
  <c r="D618" i="18"/>
  <c r="D2071" i="18"/>
  <c r="D1794" i="18"/>
  <c r="D1793" i="18"/>
  <c r="D2331" i="18"/>
  <c r="D449" i="18"/>
  <c r="D124" i="18"/>
  <c r="D190" i="18"/>
  <c r="D138" i="18"/>
  <c r="D1867" i="18"/>
  <c r="D1339" i="18"/>
  <c r="D1541" i="18"/>
  <c r="D2407" i="18"/>
  <c r="D1768" i="18"/>
  <c r="D1157" i="18"/>
  <c r="D1668" i="18"/>
  <c r="D512" i="18"/>
  <c r="D2134" i="18"/>
  <c r="D1199" i="18"/>
  <c r="D992" i="18"/>
  <c r="D1094" i="18"/>
  <c r="D1798" i="18"/>
  <c r="D2337" i="18"/>
  <c r="D1883" i="18"/>
  <c r="D2212" i="18"/>
  <c r="D2195" i="18"/>
  <c r="D2400" i="18"/>
  <c r="D331" i="18"/>
  <c r="D26" i="18"/>
  <c r="D1447" i="18"/>
  <c r="D907" i="18"/>
  <c r="D953" i="18"/>
  <c r="D2466" i="18"/>
  <c r="D2301" i="18"/>
  <c r="D1686" i="18"/>
  <c r="D168" i="18"/>
  <c r="D1222" i="18"/>
  <c r="D1181" i="18"/>
  <c r="D831" i="18"/>
  <c r="D665" i="18"/>
  <c r="D1156" i="18"/>
  <c r="D1787" i="18"/>
  <c r="D615" i="18"/>
  <c r="D1080" i="18"/>
  <c r="D2230" i="18"/>
  <c r="D1836" i="18"/>
  <c r="D268" i="18"/>
  <c r="D1248" i="18"/>
  <c r="D1665" i="18"/>
  <c r="D188" i="18"/>
  <c r="D780" i="18"/>
  <c r="D2160" i="18"/>
  <c r="D837" i="18"/>
  <c r="D326" i="18"/>
  <c r="D1162" i="18"/>
  <c r="D2169" i="18"/>
  <c r="D1573" i="18"/>
  <c r="D1059" i="18"/>
  <c r="D526" i="18"/>
  <c r="D2470" i="18"/>
  <c r="D440" i="18"/>
  <c r="D1539" i="18"/>
  <c r="D2026" i="18"/>
  <c r="D2186" i="18"/>
  <c r="D381" i="18"/>
  <c r="D2446" i="18"/>
  <c r="D2217" i="18"/>
  <c r="D1056" i="18"/>
  <c r="D154" i="18"/>
  <c r="D2436" i="18"/>
  <c r="D226" i="18"/>
  <c r="D559" i="18"/>
  <c r="D2106" i="18"/>
  <c r="D2396" i="18"/>
  <c r="D1106" i="18"/>
  <c r="D1654" i="18"/>
  <c r="D764" i="18"/>
  <c r="D779" i="18"/>
  <c r="D1291" i="18"/>
  <c r="D2333" i="18"/>
  <c r="D2025" i="18"/>
  <c r="D1135" i="18"/>
  <c r="D1914" i="18"/>
  <c r="D1664" i="18"/>
  <c r="D1881" i="18"/>
  <c r="D1127" i="18"/>
  <c r="D1363" i="18"/>
  <c r="D1995" i="18"/>
  <c r="D1655" i="18"/>
  <c r="D1217" i="18"/>
  <c r="D1741" i="18"/>
  <c r="D339" i="18"/>
  <c r="D591" i="18"/>
  <c r="D964" i="18"/>
  <c r="D1717" i="18"/>
  <c r="D895" i="18"/>
  <c r="D2107" i="18"/>
  <c r="D974" i="18"/>
  <c r="D1123" i="18"/>
  <c r="D1108" i="18"/>
  <c r="D58" i="18"/>
  <c r="D2183" i="18"/>
  <c r="D475" i="18"/>
  <c r="D187" i="18"/>
  <c r="D1037" i="18"/>
  <c r="D1581" i="18"/>
  <c r="D630" i="18"/>
  <c r="D307" i="18"/>
  <c r="D1138" i="18"/>
  <c r="D1911" i="18"/>
  <c r="D2393" i="18"/>
  <c r="D1972" i="18"/>
  <c r="D800" i="18"/>
  <c r="D1692" i="18"/>
  <c r="D2007" i="18"/>
  <c r="D1924" i="18"/>
  <c r="D1856" i="18"/>
  <c r="D862" i="18"/>
  <c r="D2292" i="18"/>
  <c r="D2036" i="18"/>
  <c r="D569" i="18"/>
  <c r="D235" i="18"/>
  <c r="D1028" i="18"/>
  <c r="D2078" i="18"/>
  <c r="D284" i="18"/>
  <c r="D693" i="18"/>
  <c r="D1994" i="18"/>
  <c r="D185" i="18"/>
  <c r="D777" i="18"/>
  <c r="D2391" i="18"/>
  <c r="D751" i="18"/>
  <c r="D1948" i="18"/>
  <c r="D607" i="18"/>
  <c r="D595" i="18"/>
  <c r="D170" i="18"/>
  <c r="D1738" i="18"/>
  <c r="D1789" i="18"/>
  <c r="D1634" i="18"/>
  <c r="D2044" i="18"/>
  <c r="D1607" i="18"/>
  <c r="D1313" i="18"/>
  <c r="D262" i="18"/>
  <c r="D222" i="18"/>
  <c r="D2325" i="18"/>
  <c r="D919" i="18"/>
  <c r="D878" i="18"/>
  <c r="D1209" i="18"/>
  <c r="D1211" i="18"/>
  <c r="D1139" i="18"/>
  <c r="D879" i="18"/>
  <c r="D1831" i="18"/>
  <c r="D2116" i="18"/>
  <c r="D954" i="18"/>
  <c r="D2013" i="18"/>
  <c r="D1116" i="18"/>
  <c r="D1718" i="18"/>
  <c r="D2280" i="18"/>
  <c r="D1448" i="18"/>
  <c r="D1391" i="18"/>
  <c r="D1432" i="18"/>
  <c r="D1401" i="18"/>
  <c r="D920" i="18"/>
  <c r="D1223" i="18"/>
  <c r="D1496" i="18"/>
  <c r="D2377" i="18"/>
  <c r="D835" i="18"/>
  <c r="D1249" i="18"/>
  <c r="D1441" i="18"/>
  <c r="D2409" i="18"/>
  <c r="D113" i="18"/>
  <c r="D395" i="18"/>
  <c r="D38" i="18"/>
  <c r="D1089" i="18"/>
  <c r="D1940" i="18"/>
  <c r="D1536" i="18"/>
  <c r="D1488" i="18"/>
  <c r="D821" i="18"/>
  <c r="D1754" i="18"/>
  <c r="D325" i="18"/>
  <c r="D1932" i="18"/>
  <c r="D1854" i="18"/>
  <c r="D1553" i="18"/>
  <c r="D2224" i="18"/>
  <c r="D31" i="18"/>
  <c r="D888" i="18"/>
  <c r="D330" i="18"/>
  <c r="D1288" i="18"/>
  <c r="D33" i="18"/>
  <c r="D43" i="18"/>
  <c r="D679" i="18"/>
  <c r="D2054" i="18"/>
  <c r="D732" i="18"/>
  <c r="D1737" i="18"/>
  <c r="D2228" i="18"/>
  <c r="D853" i="18"/>
  <c r="D1357" i="18"/>
  <c r="D1475" i="18"/>
  <c r="D939" i="18"/>
  <c r="D1294" i="18"/>
  <c r="D1404" i="18"/>
  <c r="D1888" i="18"/>
  <c r="D90" i="18"/>
  <c r="D1443" i="18"/>
  <c r="D1372" i="18"/>
  <c r="D1121" i="18"/>
  <c r="D2455" i="18"/>
  <c r="D1198" i="18"/>
  <c r="D2135" i="18"/>
  <c r="D2018" i="18"/>
  <c r="D882" i="18"/>
  <c r="D1041" i="18"/>
  <c r="D1646" i="18"/>
  <c r="D2097" i="18"/>
  <c r="D558" i="18"/>
  <c r="D1044" i="18"/>
  <c r="D1326" i="18"/>
  <c r="D2005" i="18"/>
  <c r="D2427" i="18"/>
  <c r="D572" i="18"/>
  <c r="D1984" i="18"/>
  <c r="D645" i="18"/>
  <c r="D1928" i="18"/>
  <c r="D725" i="18"/>
  <c r="D364" i="18"/>
  <c r="D685" i="18"/>
  <c r="D2413" i="18"/>
  <c r="D1885" i="18"/>
  <c r="D390" i="18"/>
  <c r="D142" i="18"/>
  <c r="D1951" i="18"/>
  <c r="D1969" i="18"/>
  <c r="D1921" i="18"/>
  <c r="D347" i="18"/>
  <c r="D1214" i="18"/>
  <c r="D969" i="18"/>
  <c r="D209" i="18"/>
  <c r="D536" i="18"/>
  <c r="D493" i="18"/>
  <c r="D2150" i="18"/>
  <c r="D2405" i="18"/>
  <c r="D797" i="18"/>
  <c r="D2222" i="18"/>
  <c r="D1440" i="18"/>
  <c r="D874" i="18"/>
  <c r="D419" i="18"/>
  <c r="D370" i="18"/>
  <c r="D1630" i="18"/>
  <c r="D2453" i="18"/>
  <c r="D520" i="18"/>
  <c r="D1251" i="18"/>
  <c r="D1997" i="18"/>
  <c r="D944" i="18"/>
  <c r="D2075" i="18"/>
  <c r="D2038" i="18"/>
  <c r="D2181" i="18"/>
  <c r="D1165" i="18"/>
  <c r="D1985" i="18"/>
  <c r="D118" i="18"/>
  <c r="D1743" i="18"/>
  <c r="D2402" i="18"/>
  <c r="D590" i="18"/>
  <c r="D517" i="18"/>
  <c r="D513" i="18"/>
  <c r="D754" i="18"/>
  <c r="D22" i="18"/>
  <c r="D165" i="18"/>
  <c r="D91" i="18"/>
  <c r="D697" i="18"/>
  <c r="D1418" i="18"/>
  <c r="D27" i="18"/>
  <c r="D2110" i="18"/>
  <c r="D34" i="18"/>
  <c r="D1971" i="18"/>
  <c r="D101" i="18"/>
  <c r="D722" i="18"/>
  <c r="D625" i="18"/>
  <c r="D211" i="18"/>
  <c r="D531" i="18"/>
  <c r="D734" i="18"/>
  <c r="D2319" i="18"/>
  <c r="D1513" i="18"/>
  <c r="D2175" i="18"/>
  <c r="D1519" i="18"/>
  <c r="D1528" i="18"/>
  <c r="D1221" i="18"/>
  <c r="D2145" i="18"/>
  <c r="D50" i="18"/>
  <c r="D942" i="18"/>
  <c r="D150" i="18"/>
  <c r="D2382" i="18"/>
  <c r="D30" i="18"/>
  <c r="D1262" i="18"/>
  <c r="D1832" i="18"/>
  <c r="D1512" i="18"/>
  <c r="D1628" i="18"/>
  <c r="D1439" i="18"/>
  <c r="D1584" i="18"/>
  <c r="D305" i="18"/>
  <c r="D885" i="18"/>
  <c r="D1797" i="18"/>
  <c r="D444" i="18"/>
  <c r="D1410" i="18"/>
  <c r="D602" i="18"/>
  <c r="D1455" i="18"/>
  <c r="D1600" i="18"/>
  <c r="D643" i="18"/>
  <c r="D2355" i="18"/>
  <c r="D176" i="18"/>
  <c r="D1719" i="18"/>
  <c r="D2021" i="18"/>
  <c r="D217" i="18"/>
  <c r="D1687" i="18"/>
  <c r="D1174" i="18"/>
  <c r="D1531" i="18"/>
  <c r="D1025" i="18"/>
  <c r="D1943" i="18"/>
  <c r="D1316" i="18"/>
  <c r="D1167" i="18"/>
  <c r="D2003" i="18"/>
  <c r="D773" i="18"/>
  <c r="D2304" i="18"/>
  <c r="D49" i="18"/>
  <c r="Q9" i="17"/>
  <c r="O10" i="17"/>
  <c r="Q10" i="17"/>
  <c r="B6" i="25" s="1"/>
  <c r="Q6" i="17"/>
  <c r="O6" i="17"/>
  <c r="M3" i="20"/>
  <c r="D39" i="5"/>
  <c r="M9" i="19"/>
  <c r="K9" i="19"/>
  <c r="H3" i="20"/>
  <c r="F3" i="20"/>
  <c r="D3" i="20"/>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8" i="7"/>
  <c r="M5" i="7" s="1"/>
  <c r="P7" i="17"/>
  <c r="Q7" i="17" s="1"/>
  <c r="N7" i="17"/>
  <c r="O7" i="17" s="1"/>
  <c r="N9" i="17"/>
  <c r="O9" i="17" s="1"/>
  <c r="P8" i="17"/>
  <c r="Q8" i="17" s="1"/>
  <c r="N8" i="17"/>
  <c r="O8" i="17" s="1"/>
  <c r="O3" i="20" l="1"/>
  <c r="E4" i="8"/>
  <c r="D9" i="19"/>
  <c r="D4" i="8"/>
  <c r="M6" i="7"/>
  <c r="B6" i="21"/>
  <c r="F82" i="25"/>
  <c r="D82" i="25"/>
  <c r="E97" i="25"/>
  <c r="I97" i="25"/>
  <c r="H97" i="25"/>
  <c r="D100" i="21"/>
  <c r="D102" i="21" s="1"/>
  <c r="D109" i="21" s="1"/>
  <c r="D96" i="21"/>
  <c r="H100" i="21"/>
  <c r="H102" i="21" s="1"/>
  <c r="H109" i="21" s="1"/>
  <c r="H96" i="21"/>
  <c r="F100" i="21"/>
  <c r="F102" i="21" s="1"/>
  <c r="F109" i="21" s="1"/>
  <c r="F96" i="21"/>
  <c r="H90" i="21"/>
  <c r="C107" i="21"/>
  <c r="F90" i="21"/>
  <c r="G78" i="21"/>
  <c r="G90" i="21" s="1"/>
  <c r="G94" i="21"/>
  <c r="G96" i="21" s="1"/>
  <c r="C78" i="21"/>
  <c r="C90" i="21" s="1"/>
  <c r="C94" i="21"/>
  <c r="C96" i="21" s="1"/>
  <c r="D90" i="21"/>
  <c r="I78" i="21"/>
  <c r="I90" i="21" s="1"/>
  <c r="I94" i="21"/>
  <c r="I96" i="21" s="1"/>
  <c r="E78" i="21"/>
  <c r="E90" i="21" s="1"/>
  <c r="E94" i="21"/>
  <c r="E96" i="21" s="1"/>
  <c r="I107" i="21"/>
  <c r="H5" i="18"/>
  <c r="H7" i="18"/>
  <c r="H9" i="18"/>
  <c r="H11" i="18"/>
  <c r="H13" i="18"/>
  <c r="H15" i="18"/>
  <c r="H17" i="18"/>
  <c r="H19" i="18"/>
  <c r="H21" i="18"/>
  <c r="H23" i="18"/>
  <c r="H25" i="18"/>
  <c r="H27" i="18"/>
  <c r="H29" i="18"/>
  <c r="H31" i="18"/>
  <c r="H33" i="18"/>
  <c r="H35" i="18"/>
  <c r="H37" i="18"/>
  <c r="H39" i="18"/>
  <c r="H41" i="18"/>
  <c r="H43" i="18"/>
  <c r="H45" i="18"/>
  <c r="H47" i="18"/>
  <c r="H49" i="18"/>
  <c r="H51" i="18"/>
  <c r="H53" i="18"/>
  <c r="H55" i="18"/>
  <c r="H57" i="18"/>
  <c r="H59" i="18"/>
  <c r="H61" i="18"/>
  <c r="H63" i="18"/>
  <c r="H65" i="18"/>
  <c r="H67" i="18"/>
  <c r="H69" i="18"/>
  <c r="H71" i="18"/>
  <c r="H73" i="18"/>
  <c r="H75" i="18"/>
  <c r="H77" i="18"/>
  <c r="H79" i="18"/>
  <c r="H81" i="18"/>
  <c r="H83" i="18"/>
  <c r="H85" i="18"/>
  <c r="H87" i="18"/>
  <c r="H89" i="18"/>
  <c r="H91" i="18"/>
  <c r="H93" i="18"/>
  <c r="H95" i="18"/>
  <c r="H97" i="18"/>
  <c r="H99" i="18"/>
  <c r="H101" i="18"/>
  <c r="H103" i="18"/>
  <c r="H105" i="18"/>
  <c r="H107" i="18"/>
  <c r="H109" i="18"/>
  <c r="H111" i="18"/>
  <c r="H113" i="18"/>
  <c r="H115" i="18"/>
  <c r="H117" i="18"/>
  <c r="H119" i="18"/>
  <c r="H121" i="18"/>
  <c r="H123" i="18"/>
  <c r="H125" i="18"/>
  <c r="H127" i="18"/>
  <c r="H129" i="18"/>
  <c r="H131" i="18"/>
  <c r="H133" i="18"/>
  <c r="H135" i="18"/>
  <c r="H137" i="18"/>
  <c r="H139" i="18"/>
  <c r="H141" i="18"/>
  <c r="H143" i="18"/>
  <c r="H145" i="18"/>
  <c r="H147" i="18"/>
  <c r="H149" i="18"/>
  <c r="H151" i="18"/>
  <c r="H153" i="18"/>
  <c r="H155" i="18"/>
  <c r="H157" i="18"/>
  <c r="H159" i="18"/>
  <c r="H161" i="18"/>
  <c r="H163" i="18"/>
  <c r="H165" i="18"/>
  <c r="H167" i="18"/>
  <c r="H169" i="18"/>
  <c r="H171" i="18"/>
  <c r="H173" i="18"/>
  <c r="H6" i="18"/>
  <c r="H10" i="18"/>
  <c r="H14" i="18"/>
  <c r="H18" i="18"/>
  <c r="H22" i="18"/>
  <c r="H26" i="18"/>
  <c r="H30" i="18"/>
  <c r="H34" i="18"/>
  <c r="H38" i="18"/>
  <c r="H42" i="18"/>
  <c r="H46" i="18"/>
  <c r="H50" i="18"/>
  <c r="H54" i="18"/>
  <c r="H58" i="18"/>
  <c r="H62" i="18"/>
  <c r="H66" i="18"/>
  <c r="H70" i="18"/>
  <c r="H74" i="18"/>
  <c r="H78" i="18"/>
  <c r="H82" i="18"/>
  <c r="H86" i="18"/>
  <c r="H90" i="18"/>
  <c r="H94" i="18"/>
  <c r="H98" i="18"/>
  <c r="H102" i="18"/>
  <c r="H106" i="18"/>
  <c r="H110" i="18"/>
  <c r="H114" i="18"/>
  <c r="H118" i="18"/>
  <c r="H122" i="18"/>
  <c r="H126" i="18"/>
  <c r="H130" i="18"/>
  <c r="H134" i="18"/>
  <c r="H138" i="18"/>
  <c r="H142" i="18"/>
  <c r="H146" i="18"/>
  <c r="H150" i="18"/>
  <c r="H154" i="18"/>
  <c r="H158" i="18"/>
  <c r="H162" i="18"/>
  <c r="H166" i="18"/>
  <c r="H170" i="18"/>
  <c r="H174" i="18"/>
  <c r="H176" i="18"/>
  <c r="H178" i="18"/>
  <c r="H180" i="18"/>
  <c r="H182" i="18"/>
  <c r="H184" i="18"/>
  <c r="H186" i="18"/>
  <c r="H188" i="18"/>
  <c r="H190" i="18"/>
  <c r="H192" i="18"/>
  <c r="H194" i="18"/>
  <c r="H196" i="18"/>
  <c r="H198" i="18"/>
  <c r="H200" i="18"/>
  <c r="H202" i="18"/>
  <c r="H204" i="18"/>
  <c r="H206" i="18"/>
  <c r="H208" i="18"/>
  <c r="H210" i="18"/>
  <c r="H212" i="18"/>
  <c r="H214" i="18"/>
  <c r="H216" i="18"/>
  <c r="H218" i="18"/>
  <c r="H220" i="18"/>
  <c r="H222" i="18"/>
  <c r="H224" i="18"/>
  <c r="H226" i="18"/>
  <c r="H228" i="18"/>
  <c r="H230" i="18"/>
  <c r="H232" i="18"/>
  <c r="H234" i="18"/>
  <c r="H236" i="18"/>
  <c r="H238" i="18"/>
  <c r="H240" i="18"/>
  <c r="H242" i="18"/>
  <c r="H244" i="18"/>
  <c r="H246" i="18"/>
  <c r="H248" i="18"/>
  <c r="H250" i="18"/>
  <c r="H252" i="18"/>
  <c r="H254" i="18"/>
  <c r="H256" i="18"/>
  <c r="H258" i="18"/>
  <c r="H260" i="18"/>
  <c r="H262" i="18"/>
  <c r="H264" i="18"/>
  <c r="H266" i="18"/>
  <c r="H268" i="18"/>
  <c r="H270" i="18"/>
  <c r="H272" i="18"/>
  <c r="H274" i="18"/>
  <c r="H276" i="18"/>
  <c r="H278" i="18"/>
  <c r="H280" i="18"/>
  <c r="H282" i="18"/>
  <c r="H284" i="18"/>
  <c r="H286" i="18"/>
  <c r="H288" i="18"/>
  <c r="H290" i="18"/>
  <c r="H292" i="18"/>
  <c r="H294" i="18"/>
  <c r="H296" i="18"/>
  <c r="H298" i="18"/>
  <c r="H300" i="18"/>
  <c r="H302" i="18"/>
  <c r="H304" i="18"/>
  <c r="H306" i="18"/>
  <c r="H308" i="18"/>
  <c r="H310" i="18"/>
  <c r="H312" i="18"/>
  <c r="H314" i="18"/>
  <c r="H316" i="18"/>
  <c r="H318" i="18"/>
  <c r="H320" i="18"/>
  <c r="H322" i="18"/>
  <c r="H324" i="18"/>
  <c r="H326" i="18"/>
  <c r="H328" i="18"/>
  <c r="H330" i="18"/>
  <c r="H332" i="18"/>
  <c r="H334" i="18"/>
  <c r="H336" i="18"/>
  <c r="H338" i="18"/>
  <c r="H340" i="18"/>
  <c r="H342" i="18"/>
  <c r="H344" i="18"/>
  <c r="H346" i="18"/>
  <c r="H348" i="18"/>
  <c r="H350" i="18"/>
  <c r="H352" i="18"/>
  <c r="H354" i="18"/>
  <c r="H356" i="18"/>
  <c r="H358" i="18"/>
  <c r="H360" i="18"/>
  <c r="H362" i="18"/>
  <c r="H364" i="18"/>
  <c r="H366" i="18"/>
  <c r="H368" i="18"/>
  <c r="H370" i="18"/>
  <c r="H372" i="18"/>
  <c r="H374" i="18"/>
  <c r="H376" i="18"/>
  <c r="H378" i="18"/>
  <c r="H380" i="18"/>
  <c r="H382" i="18"/>
  <c r="H384" i="18"/>
  <c r="H386" i="18"/>
  <c r="H388" i="18"/>
  <c r="H390" i="18"/>
  <c r="H392" i="18"/>
  <c r="H394" i="18"/>
  <c r="H396" i="18"/>
  <c r="H398" i="18"/>
  <c r="H400" i="18"/>
  <c r="H402" i="18"/>
  <c r="H404" i="18"/>
  <c r="H406" i="18"/>
  <c r="H408" i="18"/>
  <c r="H410" i="18"/>
  <c r="H412" i="18"/>
  <c r="H414" i="18"/>
  <c r="H416" i="18"/>
  <c r="H418" i="18"/>
  <c r="H420" i="18"/>
  <c r="H422" i="18"/>
  <c r="H424" i="18"/>
  <c r="H426" i="18"/>
  <c r="H428" i="18"/>
  <c r="H8" i="18"/>
  <c r="H16" i="18"/>
  <c r="H24" i="18"/>
  <c r="H32" i="18"/>
  <c r="H40" i="18"/>
  <c r="H48" i="18"/>
  <c r="H56" i="18"/>
  <c r="H64" i="18"/>
  <c r="H72" i="18"/>
  <c r="H80" i="18"/>
  <c r="H88" i="18"/>
  <c r="H96" i="18"/>
  <c r="H104" i="18"/>
  <c r="H112" i="18"/>
  <c r="H120" i="18"/>
  <c r="H128" i="18"/>
  <c r="H136" i="18"/>
  <c r="H144" i="18"/>
  <c r="H152" i="18"/>
  <c r="H160" i="18"/>
  <c r="H168" i="18"/>
  <c r="H175" i="18"/>
  <c r="H179" i="18"/>
  <c r="H183" i="18"/>
  <c r="H187" i="18"/>
  <c r="H191" i="18"/>
  <c r="H195" i="18"/>
  <c r="H199" i="18"/>
  <c r="H203" i="18"/>
  <c r="H207" i="18"/>
  <c r="H211" i="18"/>
  <c r="H215" i="18"/>
  <c r="H219" i="18"/>
  <c r="H223" i="18"/>
  <c r="H227" i="18"/>
  <c r="H231" i="18"/>
  <c r="H235" i="18"/>
  <c r="H239" i="18"/>
  <c r="H243" i="18"/>
  <c r="H247" i="18"/>
  <c r="H251" i="18"/>
  <c r="H255" i="18"/>
  <c r="H259" i="18"/>
  <c r="H263" i="18"/>
  <c r="H267" i="18"/>
  <c r="H271" i="18"/>
  <c r="H275" i="18"/>
  <c r="H279" i="18"/>
  <c r="H283" i="18"/>
  <c r="H287" i="18"/>
  <c r="H291" i="18"/>
  <c r="H295" i="18"/>
  <c r="H299" i="18"/>
  <c r="H303" i="18"/>
  <c r="H307" i="18"/>
  <c r="H311" i="18"/>
  <c r="H315" i="18"/>
  <c r="H319" i="18"/>
  <c r="H323" i="18"/>
  <c r="H327" i="18"/>
  <c r="H331" i="18"/>
  <c r="H335" i="18"/>
  <c r="H339" i="18"/>
  <c r="H343" i="18"/>
  <c r="H347" i="18"/>
  <c r="H351" i="18"/>
  <c r="H355" i="18"/>
  <c r="H359" i="18"/>
  <c r="H363" i="18"/>
  <c r="H367" i="18"/>
  <c r="H371" i="18"/>
  <c r="H375" i="18"/>
  <c r="H379" i="18"/>
  <c r="H383" i="18"/>
  <c r="H387" i="18"/>
  <c r="H391" i="18"/>
  <c r="H395" i="18"/>
  <c r="H399" i="18"/>
  <c r="H403" i="18"/>
  <c r="H407" i="18"/>
  <c r="H411" i="18"/>
  <c r="H415" i="18"/>
  <c r="H419" i="18"/>
  <c r="H423" i="18"/>
  <c r="H427" i="18"/>
  <c r="H430" i="18"/>
  <c r="H432" i="18"/>
  <c r="H434" i="18"/>
  <c r="H436" i="18"/>
  <c r="H438" i="18"/>
  <c r="H440" i="18"/>
  <c r="H442" i="18"/>
  <c r="H444" i="18"/>
  <c r="H446" i="18"/>
  <c r="H448" i="18"/>
  <c r="H450" i="18"/>
  <c r="H452" i="18"/>
  <c r="H454" i="18"/>
  <c r="H456" i="18"/>
  <c r="H458" i="18"/>
  <c r="H460" i="18"/>
  <c r="H462" i="18"/>
  <c r="H464" i="18"/>
  <c r="H466" i="18"/>
  <c r="H468" i="18"/>
  <c r="H470" i="18"/>
  <c r="H472" i="18"/>
  <c r="H474" i="18"/>
  <c r="H476" i="18"/>
  <c r="H478" i="18"/>
  <c r="H480" i="18"/>
  <c r="H482" i="18"/>
  <c r="H484" i="18"/>
  <c r="H486" i="18"/>
  <c r="H488" i="18"/>
  <c r="H490" i="18"/>
  <c r="H492" i="18"/>
  <c r="H494" i="18"/>
  <c r="H496" i="18"/>
  <c r="H498" i="18"/>
  <c r="H500" i="18"/>
  <c r="H502" i="18"/>
  <c r="H504" i="18"/>
  <c r="H506" i="18"/>
  <c r="H508" i="18"/>
  <c r="H510" i="18"/>
  <c r="H512" i="18"/>
  <c r="H514" i="18"/>
  <c r="H516" i="18"/>
  <c r="H518" i="18"/>
  <c r="H520" i="18"/>
  <c r="H522" i="18"/>
  <c r="H524" i="18"/>
  <c r="H526" i="18"/>
  <c r="H528" i="18"/>
  <c r="H530" i="18"/>
  <c r="H532" i="18"/>
  <c r="H534" i="18"/>
  <c r="H536" i="18"/>
  <c r="H538" i="18"/>
  <c r="H540" i="18"/>
  <c r="H542" i="18"/>
  <c r="H544" i="18"/>
  <c r="H546" i="18"/>
  <c r="H548" i="18"/>
  <c r="H550" i="18"/>
  <c r="H552" i="18"/>
  <c r="H554" i="18"/>
  <c r="H556" i="18"/>
  <c r="H558" i="18"/>
  <c r="H560" i="18"/>
  <c r="H562" i="18"/>
  <c r="H564" i="18"/>
  <c r="H566" i="18"/>
  <c r="H568" i="18"/>
  <c r="H570" i="18"/>
  <c r="H572" i="18"/>
  <c r="H574" i="18"/>
  <c r="H576" i="18"/>
  <c r="H578" i="18"/>
  <c r="H580" i="18"/>
  <c r="H582" i="18"/>
  <c r="H584" i="18"/>
  <c r="H586" i="18"/>
  <c r="H588" i="18"/>
  <c r="H590" i="18"/>
  <c r="H592" i="18"/>
  <c r="H594" i="18"/>
  <c r="H596" i="18"/>
  <c r="H598" i="18"/>
  <c r="H600" i="18"/>
  <c r="H602" i="18"/>
  <c r="H604" i="18"/>
  <c r="H606" i="18"/>
  <c r="H608" i="18"/>
  <c r="H610" i="18"/>
  <c r="H612" i="18"/>
  <c r="H614" i="18"/>
  <c r="H616" i="18"/>
  <c r="H618" i="18"/>
  <c r="H620" i="18"/>
  <c r="H622" i="18"/>
  <c r="H624" i="18"/>
  <c r="H626" i="18"/>
  <c r="H628" i="18"/>
  <c r="H630" i="18"/>
  <c r="H632" i="18"/>
  <c r="H634" i="18"/>
  <c r="H636" i="18"/>
  <c r="H638" i="18"/>
  <c r="H640" i="18"/>
  <c r="H642" i="18"/>
  <c r="H644" i="18"/>
  <c r="H646" i="18"/>
  <c r="H648" i="18"/>
  <c r="H650" i="18"/>
  <c r="H652" i="18"/>
  <c r="H654" i="18"/>
  <c r="H656" i="18"/>
  <c r="H658" i="18"/>
  <c r="H660" i="18"/>
  <c r="H662" i="18"/>
  <c r="H664" i="18"/>
  <c r="H666" i="18"/>
  <c r="H668" i="18"/>
  <c r="H670" i="18"/>
  <c r="H672" i="18"/>
  <c r="H674" i="18"/>
  <c r="H676" i="18"/>
  <c r="H678" i="18"/>
  <c r="H680" i="18"/>
  <c r="H682" i="18"/>
  <c r="H684" i="18"/>
  <c r="H686" i="18"/>
  <c r="H688" i="18"/>
  <c r="H690" i="18"/>
  <c r="H692" i="18"/>
  <c r="H694" i="18"/>
  <c r="H696" i="18"/>
  <c r="H698" i="18"/>
  <c r="H700" i="18"/>
  <c r="H702" i="18"/>
  <c r="H704" i="18"/>
  <c r="H706" i="18"/>
  <c r="H708" i="18"/>
  <c r="H710" i="18"/>
  <c r="H712" i="18"/>
  <c r="H714" i="18"/>
  <c r="H716" i="18"/>
  <c r="H718" i="18"/>
  <c r="H720" i="18"/>
  <c r="H722" i="18"/>
  <c r="H724" i="18"/>
  <c r="H726" i="18"/>
  <c r="H728" i="18"/>
  <c r="H730" i="18"/>
  <c r="H732" i="18"/>
  <c r="H734" i="18"/>
  <c r="H736" i="18"/>
  <c r="H738" i="18"/>
  <c r="H740" i="18"/>
  <c r="H742" i="18"/>
  <c r="H744" i="18"/>
  <c r="H746" i="18"/>
  <c r="H748" i="18"/>
  <c r="H750" i="18"/>
  <c r="H752" i="18"/>
  <c r="H754" i="18"/>
  <c r="H756" i="18"/>
  <c r="H758" i="18"/>
  <c r="H760" i="18"/>
  <c r="H762" i="18"/>
  <c r="H764" i="18"/>
  <c r="H766" i="18"/>
  <c r="H768" i="18"/>
  <c r="H770" i="18"/>
  <c r="H772" i="18"/>
  <c r="H774" i="18"/>
  <c r="H776" i="18"/>
  <c r="H778" i="18"/>
  <c r="H780" i="18"/>
  <c r="H782" i="18"/>
  <c r="H784" i="18"/>
  <c r="H786" i="18"/>
  <c r="H788" i="18"/>
  <c r="H790" i="18"/>
  <c r="H792" i="18"/>
  <c r="H794" i="18"/>
  <c r="H796" i="18"/>
  <c r="H798" i="18"/>
  <c r="H800" i="18"/>
  <c r="H802" i="18"/>
  <c r="H804" i="18"/>
  <c r="H806" i="18"/>
  <c r="H808" i="18"/>
  <c r="H810" i="18"/>
  <c r="H812" i="18"/>
  <c r="H814" i="18"/>
  <c r="H816" i="18"/>
  <c r="H818" i="18"/>
  <c r="H820" i="18"/>
  <c r="H822" i="18"/>
  <c r="H824" i="18"/>
  <c r="H826" i="18"/>
  <c r="H828" i="18"/>
  <c r="H830" i="18"/>
  <c r="H832" i="18"/>
  <c r="H834" i="18"/>
  <c r="H836" i="18"/>
  <c r="H838" i="18"/>
  <c r="H840" i="18"/>
  <c r="H842" i="18"/>
  <c r="H844" i="18"/>
  <c r="H846" i="18"/>
  <c r="H848" i="18"/>
  <c r="H850" i="18"/>
  <c r="H852" i="18"/>
  <c r="H854" i="18"/>
  <c r="H856" i="18"/>
  <c r="H858" i="18"/>
  <c r="H860" i="18"/>
  <c r="H862" i="18"/>
  <c r="H864" i="18"/>
  <c r="H866" i="18"/>
  <c r="H868" i="18"/>
  <c r="H870" i="18"/>
  <c r="H872" i="18"/>
  <c r="H874" i="18"/>
  <c r="H876" i="18"/>
  <c r="H878" i="18"/>
  <c r="H880" i="18"/>
  <c r="H882" i="18"/>
  <c r="H884" i="18"/>
  <c r="H886" i="18"/>
  <c r="H888" i="18"/>
  <c r="H890" i="18"/>
  <c r="H892" i="18"/>
  <c r="H894" i="18"/>
  <c r="H896" i="18"/>
  <c r="H898" i="18"/>
  <c r="H900" i="18"/>
  <c r="H902" i="18"/>
  <c r="H904" i="18"/>
  <c r="H906" i="18"/>
  <c r="H908" i="18"/>
  <c r="H910" i="18"/>
  <c r="H912" i="18"/>
  <c r="H914" i="18"/>
  <c r="H916" i="18"/>
  <c r="H918" i="18"/>
  <c r="H920" i="18"/>
  <c r="H922" i="18"/>
  <c r="H924" i="18"/>
  <c r="H926" i="18"/>
  <c r="H928" i="18"/>
  <c r="H930" i="18"/>
  <c r="H932" i="18"/>
  <c r="H934" i="18"/>
  <c r="H936" i="18"/>
  <c r="H938" i="18"/>
  <c r="H940" i="18"/>
  <c r="H12" i="18"/>
  <c r="H28" i="18"/>
  <c r="H44" i="18"/>
  <c r="H60" i="18"/>
  <c r="H76" i="18"/>
  <c r="H92" i="18"/>
  <c r="H108" i="18"/>
  <c r="H124" i="18"/>
  <c r="H140" i="18"/>
  <c r="H156" i="18"/>
  <c r="H172" i="18"/>
  <c r="H181" i="18"/>
  <c r="H189" i="18"/>
  <c r="H197" i="18"/>
  <c r="H205" i="18"/>
  <c r="H213" i="18"/>
  <c r="H221" i="18"/>
  <c r="H229" i="18"/>
  <c r="H237" i="18"/>
  <c r="H245" i="18"/>
  <c r="H253" i="18"/>
  <c r="H261" i="18"/>
  <c r="H269" i="18"/>
  <c r="H277" i="18"/>
  <c r="H285" i="18"/>
  <c r="H293" i="18"/>
  <c r="H301" i="18"/>
  <c r="H309" i="18"/>
  <c r="H317" i="18"/>
  <c r="H325" i="18"/>
  <c r="H333" i="18"/>
  <c r="H341" i="18"/>
  <c r="H349" i="18"/>
  <c r="H357" i="18"/>
  <c r="H365" i="18"/>
  <c r="H373" i="18"/>
  <c r="H381" i="18"/>
  <c r="H389" i="18"/>
  <c r="H397" i="18"/>
  <c r="H405" i="18"/>
  <c r="H413" i="18"/>
  <c r="H421" i="18"/>
  <c r="H429" i="18"/>
  <c r="H433" i="18"/>
  <c r="H437" i="18"/>
  <c r="H441" i="18"/>
  <c r="H445" i="18"/>
  <c r="H449" i="18"/>
  <c r="H453" i="18"/>
  <c r="H457" i="18"/>
  <c r="H461" i="18"/>
  <c r="H465" i="18"/>
  <c r="H469" i="18"/>
  <c r="H473" i="18"/>
  <c r="H477" i="18"/>
  <c r="H481" i="18"/>
  <c r="H485" i="18"/>
  <c r="H489" i="18"/>
  <c r="H493" i="18"/>
  <c r="H497" i="18"/>
  <c r="H501" i="18"/>
  <c r="H505" i="18"/>
  <c r="H509" i="18"/>
  <c r="H513" i="18"/>
  <c r="H517" i="18"/>
  <c r="H521" i="18"/>
  <c r="H525" i="18"/>
  <c r="H529" i="18"/>
  <c r="H533" i="18"/>
  <c r="H537" i="18"/>
  <c r="H541" i="18"/>
  <c r="H545" i="18"/>
  <c r="H549" i="18"/>
  <c r="H553" i="18"/>
  <c r="H557" i="18"/>
  <c r="H561" i="18"/>
  <c r="H565" i="18"/>
  <c r="H569" i="18"/>
  <c r="H573" i="18"/>
  <c r="H577" i="18"/>
  <c r="H581" i="18"/>
  <c r="H585" i="18"/>
  <c r="H589" i="18"/>
  <c r="H593" i="18"/>
  <c r="H597" i="18"/>
  <c r="H601" i="18"/>
  <c r="H605" i="18"/>
  <c r="H609" i="18"/>
  <c r="H613" i="18"/>
  <c r="H617" i="18"/>
  <c r="H621" i="18"/>
  <c r="H625" i="18"/>
  <c r="H629" i="18"/>
  <c r="H633" i="18"/>
  <c r="H637" i="18"/>
  <c r="H641" i="18"/>
  <c r="H645" i="18"/>
  <c r="H649" i="18"/>
  <c r="H653" i="18"/>
  <c r="H657" i="18"/>
  <c r="H661" i="18"/>
  <c r="H665" i="18"/>
  <c r="H669" i="18"/>
  <c r="H673" i="18"/>
  <c r="H677" i="18"/>
  <c r="H681" i="18"/>
  <c r="H685" i="18"/>
  <c r="H689" i="18"/>
  <c r="H693" i="18"/>
  <c r="H697" i="18"/>
  <c r="H701" i="18"/>
  <c r="H705" i="18"/>
  <c r="H709" i="18"/>
  <c r="H713" i="18"/>
  <c r="H717" i="18"/>
  <c r="H721" i="18"/>
  <c r="H725" i="18"/>
  <c r="H729" i="18"/>
  <c r="H733" i="18"/>
  <c r="H737" i="18"/>
  <c r="H741" i="18"/>
  <c r="H745" i="18"/>
  <c r="H749" i="18"/>
  <c r="H753" i="18"/>
  <c r="H757" i="18"/>
  <c r="H761" i="18"/>
  <c r="H765" i="18"/>
  <c r="H769" i="18"/>
  <c r="H773" i="18"/>
  <c r="H777" i="18"/>
  <c r="H781" i="18"/>
  <c r="H785" i="18"/>
  <c r="H789" i="18"/>
  <c r="H793" i="18"/>
  <c r="H797" i="18"/>
  <c r="H801" i="18"/>
  <c r="H805" i="18"/>
  <c r="H809" i="18"/>
  <c r="H813" i="18"/>
  <c r="H817" i="18"/>
  <c r="H821" i="18"/>
  <c r="H825" i="18"/>
  <c r="H829" i="18"/>
  <c r="H833" i="18"/>
  <c r="H837" i="18"/>
  <c r="H841" i="18"/>
  <c r="H845" i="18"/>
  <c r="H849" i="18"/>
  <c r="H853" i="18"/>
  <c r="H857" i="18"/>
  <c r="H861" i="18"/>
  <c r="H865" i="18"/>
  <c r="H869" i="18"/>
  <c r="H873" i="18"/>
  <c r="H877" i="18"/>
  <c r="H881" i="18"/>
  <c r="H885" i="18"/>
  <c r="H889" i="18"/>
  <c r="H893" i="18"/>
  <c r="H897" i="18"/>
  <c r="H901" i="18"/>
  <c r="H905" i="18"/>
  <c r="H909" i="18"/>
  <c r="H913" i="18"/>
  <c r="H917" i="18"/>
  <c r="H921" i="18"/>
  <c r="H925" i="18"/>
  <c r="H929" i="18"/>
  <c r="H933" i="18"/>
  <c r="H937" i="18"/>
  <c r="H941" i="18"/>
  <c r="H943" i="18"/>
  <c r="H945" i="18"/>
  <c r="H947" i="18"/>
  <c r="H949" i="18"/>
  <c r="H951" i="18"/>
  <c r="H953" i="18"/>
  <c r="H955" i="18"/>
  <c r="H957" i="18"/>
  <c r="H959" i="18"/>
  <c r="H961" i="18"/>
  <c r="H963" i="18"/>
  <c r="H965" i="18"/>
  <c r="H967" i="18"/>
  <c r="H969" i="18"/>
  <c r="H971" i="18"/>
  <c r="H973" i="18"/>
  <c r="H975" i="18"/>
  <c r="H977" i="18"/>
  <c r="H979" i="18"/>
  <c r="H981" i="18"/>
  <c r="H983" i="18"/>
  <c r="H985" i="18"/>
  <c r="H987" i="18"/>
  <c r="H989" i="18"/>
  <c r="H991" i="18"/>
  <c r="H993" i="18"/>
  <c r="H995" i="18"/>
  <c r="H997" i="18"/>
  <c r="H999" i="18"/>
  <c r="H1001" i="18"/>
  <c r="H1003" i="18"/>
  <c r="H1005" i="18"/>
  <c r="H1007" i="18"/>
  <c r="H1009" i="18"/>
  <c r="H1011" i="18"/>
  <c r="H1013" i="18"/>
  <c r="H1015" i="18"/>
  <c r="H1017" i="18"/>
  <c r="H1019" i="18"/>
  <c r="H1021" i="18"/>
  <c r="H1023" i="18"/>
  <c r="H1025" i="18"/>
  <c r="H1027" i="18"/>
  <c r="H1029" i="18"/>
  <c r="H1031" i="18"/>
  <c r="H1033" i="18"/>
  <c r="H1035" i="18"/>
  <c r="H1037" i="18"/>
  <c r="H1039" i="18"/>
  <c r="H1041" i="18"/>
  <c r="H1043" i="18"/>
  <c r="H1045" i="18"/>
  <c r="H1047" i="18"/>
  <c r="H1049" i="18"/>
  <c r="H1051" i="18"/>
  <c r="H1053" i="18"/>
  <c r="H1055" i="18"/>
  <c r="H1057" i="18"/>
  <c r="H1059" i="18"/>
  <c r="H1061" i="18"/>
  <c r="H1063" i="18"/>
  <c r="H1065" i="18"/>
  <c r="H1067" i="18"/>
  <c r="H1069" i="18"/>
  <c r="H1071" i="18"/>
  <c r="H1073" i="18"/>
  <c r="H1075" i="18"/>
  <c r="H1077" i="18"/>
  <c r="H1079" i="18"/>
  <c r="H1081" i="18"/>
  <c r="H1083" i="18"/>
  <c r="H1085" i="18"/>
  <c r="H1087" i="18"/>
  <c r="H1089" i="18"/>
  <c r="H1091" i="18"/>
  <c r="H1093" i="18"/>
  <c r="H1095" i="18"/>
  <c r="H1097" i="18"/>
  <c r="H1099" i="18"/>
  <c r="H1101" i="18"/>
  <c r="H1103" i="18"/>
  <c r="H1105" i="18"/>
  <c r="H1107" i="18"/>
  <c r="H1109" i="18"/>
  <c r="H1111" i="18"/>
  <c r="H1113" i="18"/>
  <c r="H1115" i="18"/>
  <c r="H1117" i="18"/>
  <c r="H1119" i="18"/>
  <c r="H1121" i="18"/>
  <c r="H1123" i="18"/>
  <c r="H1125" i="18"/>
  <c r="H1127" i="18"/>
  <c r="H1129" i="18"/>
  <c r="H1131" i="18"/>
  <c r="H1133" i="18"/>
  <c r="H1135" i="18"/>
  <c r="H1137" i="18"/>
  <c r="H1139" i="18"/>
  <c r="H1141" i="18"/>
  <c r="H1143" i="18"/>
  <c r="H1145" i="18"/>
  <c r="H1147" i="18"/>
  <c r="H1149" i="18"/>
  <c r="H1151" i="18"/>
  <c r="H1153" i="18"/>
  <c r="H1155" i="18"/>
  <c r="H1157" i="18"/>
  <c r="H1159" i="18"/>
  <c r="H1161" i="18"/>
  <c r="H1163" i="18"/>
  <c r="H1165" i="18"/>
  <c r="H1167" i="18"/>
  <c r="H1169" i="18"/>
  <c r="H1171" i="18"/>
  <c r="H1173" i="18"/>
  <c r="H1175" i="18"/>
  <c r="H1177" i="18"/>
  <c r="H1179" i="18"/>
  <c r="H1181" i="18"/>
  <c r="H1183" i="18"/>
  <c r="H1185" i="18"/>
  <c r="H1187" i="18"/>
  <c r="H1189" i="18"/>
  <c r="H1191" i="18"/>
  <c r="H1193" i="18"/>
  <c r="H1195" i="18"/>
  <c r="H1197" i="18"/>
  <c r="H1199" i="18"/>
  <c r="H1201" i="18"/>
  <c r="H1203" i="18"/>
  <c r="H1205" i="18"/>
  <c r="H1207" i="18"/>
  <c r="H1209" i="18"/>
  <c r="H1211" i="18"/>
  <c r="H1213" i="18"/>
  <c r="H1215" i="18"/>
  <c r="H1217" i="18"/>
  <c r="H1219" i="18"/>
  <c r="H1221" i="18"/>
  <c r="H1223" i="18"/>
  <c r="H1225" i="18"/>
  <c r="H1227" i="18"/>
  <c r="H1229" i="18"/>
  <c r="H1231" i="18"/>
  <c r="H1233" i="18"/>
  <c r="H1235" i="18"/>
  <c r="H1237" i="18"/>
  <c r="H1239" i="18"/>
  <c r="H1241" i="18"/>
  <c r="H1243" i="18"/>
  <c r="H1245" i="18"/>
  <c r="H1247" i="18"/>
  <c r="H1249" i="18"/>
  <c r="H1251" i="18"/>
  <c r="H1253" i="18"/>
  <c r="H1255" i="18"/>
  <c r="H1257" i="18"/>
  <c r="H1259" i="18"/>
  <c r="H1261" i="18"/>
  <c r="H1263" i="18"/>
  <c r="H1265" i="18"/>
  <c r="H1267" i="18"/>
  <c r="H1269" i="18"/>
  <c r="H1271" i="18"/>
  <c r="H1273" i="18"/>
  <c r="H1275" i="18"/>
  <c r="H1277" i="18"/>
  <c r="H1279" i="18"/>
  <c r="H1281" i="18"/>
  <c r="H1283" i="18"/>
  <c r="H1285" i="18"/>
  <c r="H1287" i="18"/>
  <c r="H1289" i="18"/>
  <c r="H1291" i="18"/>
  <c r="H1293" i="18"/>
  <c r="H1295" i="18"/>
  <c r="H1297" i="18"/>
  <c r="H1299" i="18"/>
  <c r="H1301" i="18"/>
  <c r="H1303" i="18"/>
  <c r="H1305" i="18"/>
  <c r="H1307" i="18"/>
  <c r="H1309" i="18"/>
  <c r="H1311" i="18"/>
  <c r="H1313" i="18"/>
  <c r="H1315" i="18"/>
  <c r="H1317" i="18"/>
  <c r="H1319" i="18"/>
  <c r="H1321" i="18"/>
  <c r="H1323" i="18"/>
  <c r="H1325" i="18"/>
  <c r="H1327" i="18"/>
  <c r="H1329" i="18"/>
  <c r="H1331" i="18"/>
  <c r="H1333" i="18"/>
  <c r="H1335" i="18"/>
  <c r="H1337" i="18"/>
  <c r="H1339" i="18"/>
  <c r="H1341" i="18"/>
  <c r="H1343" i="18"/>
  <c r="H1345" i="18"/>
  <c r="H1347" i="18"/>
  <c r="H1349" i="18"/>
  <c r="H1351" i="18"/>
  <c r="H1353" i="18"/>
  <c r="H1355" i="18"/>
  <c r="H1357" i="18"/>
  <c r="H1359" i="18"/>
  <c r="H1361" i="18"/>
  <c r="H1363" i="18"/>
  <c r="H1365" i="18"/>
  <c r="H1367" i="18"/>
  <c r="H1369" i="18"/>
  <c r="H1371" i="18"/>
  <c r="H1373" i="18"/>
  <c r="H1375" i="18"/>
  <c r="H1377" i="18"/>
  <c r="H1379" i="18"/>
  <c r="H1381" i="18"/>
  <c r="H1383" i="18"/>
  <c r="H1385" i="18"/>
  <c r="H1387" i="18"/>
  <c r="H1389" i="18"/>
  <c r="H1391" i="18"/>
  <c r="H1393" i="18"/>
  <c r="H1395" i="18"/>
  <c r="H1397" i="18"/>
  <c r="H1399" i="18"/>
  <c r="H1401" i="18"/>
  <c r="H1403" i="18"/>
  <c r="H1405" i="18"/>
  <c r="H1407" i="18"/>
  <c r="H1409" i="18"/>
  <c r="H1411" i="18"/>
  <c r="H1413" i="18"/>
  <c r="H1415" i="18"/>
  <c r="H1417" i="18"/>
  <c r="H1419" i="18"/>
  <c r="H1421" i="18"/>
  <c r="H1423" i="18"/>
  <c r="H1425" i="18"/>
  <c r="H1427" i="18"/>
  <c r="H1429" i="18"/>
  <c r="H1431" i="18"/>
  <c r="H1433" i="18"/>
  <c r="H1435" i="18"/>
  <c r="H1437" i="18"/>
  <c r="H1439" i="18"/>
  <c r="H1441" i="18"/>
  <c r="H1443" i="18"/>
  <c r="H1445" i="18"/>
  <c r="H1447" i="18"/>
  <c r="H1449" i="18"/>
  <c r="H1451" i="18"/>
  <c r="H1453" i="18"/>
  <c r="H1455" i="18"/>
  <c r="H1457" i="18"/>
  <c r="H1459" i="18"/>
  <c r="H1461" i="18"/>
  <c r="H1463" i="18"/>
  <c r="H1465" i="18"/>
  <c r="H1467" i="18"/>
  <c r="H1469" i="18"/>
  <c r="H1471" i="18"/>
  <c r="H1473" i="18"/>
  <c r="H1475" i="18"/>
  <c r="H1477" i="18"/>
  <c r="H1479" i="18"/>
  <c r="H1481" i="18"/>
  <c r="H1483" i="18"/>
  <c r="H1485" i="18"/>
  <c r="H1487" i="18"/>
  <c r="H1489" i="18"/>
  <c r="H1491" i="18"/>
  <c r="H1493" i="18"/>
  <c r="H1495" i="18"/>
  <c r="H1497" i="18"/>
  <c r="H1499" i="18"/>
  <c r="H1501" i="18"/>
  <c r="H1503" i="18"/>
  <c r="H1505" i="18"/>
  <c r="H1507" i="18"/>
  <c r="H1509" i="18"/>
  <c r="H1511" i="18"/>
  <c r="H1513" i="18"/>
  <c r="H1515" i="18"/>
  <c r="H1517" i="18"/>
  <c r="H1519" i="18"/>
  <c r="H1521" i="18"/>
  <c r="H1523" i="18"/>
  <c r="H1525" i="18"/>
  <c r="H1527" i="18"/>
  <c r="H1529" i="18"/>
  <c r="H1531" i="18"/>
  <c r="H1533" i="18"/>
  <c r="H1535" i="18"/>
  <c r="H1537" i="18"/>
  <c r="H1539" i="18"/>
  <c r="H1541" i="18"/>
  <c r="H1543" i="18"/>
  <c r="H1545" i="18"/>
  <c r="H1547" i="18"/>
  <c r="H1549" i="18"/>
  <c r="H1551" i="18"/>
  <c r="H1553" i="18"/>
  <c r="H1555" i="18"/>
  <c r="H1557" i="18"/>
  <c r="H1559" i="18"/>
  <c r="H1561" i="18"/>
  <c r="H1563" i="18"/>
  <c r="H1565" i="18"/>
  <c r="H1567" i="18"/>
  <c r="H1569" i="18"/>
  <c r="H1571" i="18"/>
  <c r="H1573" i="18"/>
  <c r="H1575" i="18"/>
  <c r="H1577" i="18"/>
  <c r="H1579" i="18"/>
  <c r="H1581" i="18"/>
  <c r="H1583" i="18"/>
  <c r="H1585" i="18"/>
  <c r="H1587" i="18"/>
  <c r="H1589" i="18"/>
  <c r="H1591" i="18"/>
  <c r="H1593" i="18"/>
  <c r="H1595" i="18"/>
  <c r="H1597" i="18"/>
  <c r="H1599" i="18"/>
  <c r="H1601" i="18"/>
  <c r="H1603" i="18"/>
  <c r="H1605" i="18"/>
  <c r="H1607" i="18"/>
  <c r="H1609" i="18"/>
  <c r="H1611" i="18"/>
  <c r="H1613" i="18"/>
  <c r="H1615" i="18"/>
  <c r="H1617" i="18"/>
  <c r="H1619" i="18"/>
  <c r="H1621" i="18"/>
  <c r="H1623" i="18"/>
  <c r="H1625" i="18"/>
  <c r="H1627" i="18"/>
  <c r="H1629" i="18"/>
  <c r="H1631" i="18"/>
  <c r="H1633" i="18"/>
  <c r="H1635" i="18"/>
  <c r="H1637" i="18"/>
  <c r="H1639" i="18"/>
  <c r="H1641" i="18"/>
  <c r="H1643" i="18"/>
  <c r="H1645" i="18"/>
  <c r="H1647" i="18"/>
  <c r="H1649" i="18"/>
  <c r="H1651" i="18"/>
  <c r="H1653" i="18"/>
  <c r="H1655" i="18"/>
  <c r="H1657" i="18"/>
  <c r="H1659" i="18"/>
  <c r="H1661" i="18"/>
  <c r="H1663" i="18"/>
  <c r="H1665" i="18"/>
  <c r="H1667" i="18"/>
  <c r="H1669" i="18"/>
  <c r="H1671" i="18"/>
  <c r="H1673" i="18"/>
  <c r="H1675" i="18"/>
  <c r="H1677" i="18"/>
  <c r="H1679" i="18"/>
  <c r="H1681" i="18"/>
  <c r="H1683" i="18"/>
  <c r="H1685" i="18"/>
  <c r="H1687" i="18"/>
  <c r="H1689" i="18"/>
  <c r="H1691" i="18"/>
  <c r="H1693" i="18"/>
  <c r="H1695" i="18"/>
  <c r="H1697" i="18"/>
  <c r="H1699" i="18"/>
  <c r="H1701" i="18"/>
  <c r="H1703" i="18"/>
  <c r="H1705" i="18"/>
  <c r="H1707" i="18"/>
  <c r="H1709" i="18"/>
  <c r="H1711" i="18"/>
  <c r="H1713" i="18"/>
  <c r="H1715" i="18"/>
  <c r="H1717" i="18"/>
  <c r="H1719" i="18"/>
  <c r="H1721" i="18"/>
  <c r="H1723" i="18"/>
  <c r="H1725" i="18"/>
  <c r="H1727" i="18"/>
  <c r="H1729" i="18"/>
  <c r="H1731" i="18"/>
  <c r="H1733" i="18"/>
  <c r="H1735" i="18"/>
  <c r="H1737" i="18"/>
  <c r="H1739" i="18"/>
  <c r="H1741" i="18"/>
  <c r="H1743" i="18"/>
  <c r="H1745" i="18"/>
  <c r="H1747" i="18"/>
  <c r="H1749" i="18"/>
  <c r="H1751" i="18"/>
  <c r="H1753" i="18"/>
  <c r="H1755" i="18"/>
  <c r="H1757" i="18"/>
  <c r="H1759" i="18"/>
  <c r="H1761" i="18"/>
  <c r="H1763" i="18"/>
  <c r="H1765" i="18"/>
  <c r="H1767" i="18"/>
  <c r="H1769" i="18"/>
  <c r="H1771" i="18"/>
  <c r="H1773" i="18"/>
  <c r="H1775" i="18"/>
  <c r="H1777" i="18"/>
  <c r="H1779" i="18"/>
  <c r="H1781" i="18"/>
  <c r="H1783" i="18"/>
  <c r="H1785" i="18"/>
  <c r="H1787" i="18"/>
  <c r="H1789" i="18"/>
  <c r="H1791" i="18"/>
  <c r="H1793" i="18"/>
  <c r="H1795" i="18"/>
  <c r="H1797" i="18"/>
  <c r="H1799" i="18"/>
  <c r="H1801" i="18"/>
  <c r="H1803" i="18"/>
  <c r="H1805" i="18"/>
  <c r="H1807" i="18"/>
  <c r="H1809" i="18"/>
  <c r="H1811" i="18"/>
  <c r="H1813" i="18"/>
  <c r="H1815" i="18"/>
  <c r="H1817" i="18"/>
  <c r="H1819" i="18"/>
  <c r="H1821" i="18"/>
  <c r="H1823" i="18"/>
  <c r="H1825" i="18"/>
  <c r="H1827" i="18"/>
  <c r="H1829" i="18"/>
  <c r="H1831" i="18"/>
  <c r="H1833" i="18"/>
  <c r="H1835" i="18"/>
  <c r="H1837" i="18"/>
  <c r="H1839" i="18"/>
  <c r="H1841" i="18"/>
  <c r="H1843" i="18"/>
  <c r="H1845" i="18"/>
  <c r="H1847" i="18"/>
  <c r="H1849" i="18"/>
  <c r="H1851" i="18"/>
  <c r="H1853" i="18"/>
  <c r="H1855" i="18"/>
  <c r="H1857" i="18"/>
  <c r="H1859" i="18"/>
  <c r="H1861" i="18"/>
  <c r="H1863" i="18"/>
  <c r="H1865" i="18"/>
  <c r="H1867" i="18"/>
  <c r="H1869" i="18"/>
  <c r="H1871" i="18"/>
  <c r="H1873" i="18"/>
  <c r="H1875" i="18"/>
  <c r="H1877" i="18"/>
  <c r="H1879" i="18"/>
  <c r="H1881" i="18"/>
  <c r="H1883" i="18"/>
  <c r="H1885" i="18"/>
  <c r="H1887" i="18"/>
  <c r="H1889" i="18"/>
  <c r="H1891" i="18"/>
  <c r="H1893" i="18"/>
  <c r="H1895" i="18"/>
  <c r="H1897" i="18"/>
  <c r="H1899" i="18"/>
  <c r="H1901" i="18"/>
  <c r="H1903" i="18"/>
  <c r="H1905" i="18"/>
  <c r="H1907" i="18"/>
  <c r="H1909" i="18"/>
  <c r="H1911" i="18"/>
  <c r="H1913" i="18"/>
  <c r="H1915" i="18"/>
  <c r="H1917" i="18"/>
  <c r="H1919" i="18"/>
  <c r="H1921" i="18"/>
  <c r="H1923" i="18"/>
  <c r="H1925" i="18"/>
  <c r="H1927" i="18"/>
  <c r="H1929" i="18"/>
  <c r="H1931" i="18"/>
  <c r="H1933" i="18"/>
  <c r="H1935" i="18"/>
  <c r="H1937" i="18"/>
  <c r="H1939" i="18"/>
  <c r="H1941" i="18"/>
  <c r="H1943" i="18"/>
  <c r="H1945" i="18"/>
  <c r="H1947" i="18"/>
  <c r="H1949" i="18"/>
  <c r="H1951" i="18"/>
  <c r="H1953" i="18"/>
  <c r="H1955" i="18"/>
  <c r="H1957" i="18"/>
  <c r="H1959" i="18"/>
  <c r="H1961" i="18"/>
  <c r="H1963" i="18"/>
  <c r="H20" i="18"/>
  <c r="H52" i="18"/>
  <c r="H84" i="18"/>
  <c r="H116" i="18"/>
  <c r="H148" i="18"/>
  <c r="H177" i="18"/>
  <c r="H193" i="18"/>
  <c r="H209" i="18"/>
  <c r="H225" i="18"/>
  <c r="H241" i="18"/>
  <c r="H257" i="18"/>
  <c r="H273" i="18"/>
  <c r="H289" i="18"/>
  <c r="H305" i="18"/>
  <c r="H321" i="18"/>
  <c r="H337" i="18"/>
  <c r="H353" i="18"/>
  <c r="H369" i="18"/>
  <c r="H385" i="18"/>
  <c r="H401" i="18"/>
  <c r="H417" i="18"/>
  <c r="H431" i="18"/>
  <c r="H439" i="18"/>
  <c r="H447" i="18"/>
  <c r="H455" i="18"/>
  <c r="H463" i="18"/>
  <c r="H471" i="18"/>
  <c r="H479" i="18"/>
  <c r="H487" i="18"/>
  <c r="H495" i="18"/>
  <c r="H503" i="18"/>
  <c r="H511" i="18"/>
  <c r="H519" i="18"/>
  <c r="H527" i="18"/>
  <c r="H535" i="18"/>
  <c r="H543" i="18"/>
  <c r="H551" i="18"/>
  <c r="H559" i="18"/>
  <c r="H567" i="18"/>
  <c r="H575" i="18"/>
  <c r="H583" i="18"/>
  <c r="H591" i="18"/>
  <c r="H599" i="18"/>
  <c r="H607" i="18"/>
  <c r="H615" i="18"/>
  <c r="H623" i="18"/>
  <c r="H631" i="18"/>
  <c r="H639" i="18"/>
  <c r="H647" i="18"/>
  <c r="H655" i="18"/>
  <c r="H663" i="18"/>
  <c r="H671" i="18"/>
  <c r="H679" i="18"/>
  <c r="H687" i="18"/>
  <c r="H695" i="18"/>
  <c r="H703" i="18"/>
  <c r="H711" i="18"/>
  <c r="H719" i="18"/>
  <c r="H727" i="18"/>
  <c r="H735" i="18"/>
  <c r="H743" i="18"/>
  <c r="H751" i="18"/>
  <c r="H759" i="18"/>
  <c r="H767" i="18"/>
  <c r="H775" i="18"/>
  <c r="H783" i="18"/>
  <c r="H791" i="18"/>
  <c r="H799" i="18"/>
  <c r="H807" i="18"/>
  <c r="H815" i="18"/>
  <c r="H823" i="18"/>
  <c r="H831" i="18"/>
  <c r="H839" i="18"/>
  <c r="H847" i="18"/>
  <c r="H855" i="18"/>
  <c r="H863" i="18"/>
  <c r="H871" i="18"/>
  <c r="H879" i="18"/>
  <c r="H887" i="18"/>
  <c r="H895" i="18"/>
  <c r="H903" i="18"/>
  <c r="H911" i="18"/>
  <c r="H919" i="18"/>
  <c r="H927" i="18"/>
  <c r="H935" i="18"/>
  <c r="H942" i="18"/>
  <c r="H946" i="18"/>
  <c r="H950" i="18"/>
  <c r="H954" i="18"/>
  <c r="H958" i="18"/>
  <c r="H962" i="18"/>
  <c r="H966" i="18"/>
  <c r="H970" i="18"/>
  <c r="H974" i="18"/>
  <c r="H978" i="18"/>
  <c r="H982" i="18"/>
  <c r="H986" i="18"/>
  <c r="H990" i="18"/>
  <c r="H994" i="18"/>
  <c r="H998" i="18"/>
  <c r="H1002" i="18"/>
  <c r="H1006" i="18"/>
  <c r="H1010" i="18"/>
  <c r="H1014" i="18"/>
  <c r="H1018" i="18"/>
  <c r="H1022" i="18"/>
  <c r="H1026" i="18"/>
  <c r="H1030" i="18"/>
  <c r="H1034" i="18"/>
  <c r="H1038" i="18"/>
  <c r="H1042" i="18"/>
  <c r="H1046" i="18"/>
  <c r="H1050" i="18"/>
  <c r="H1054" i="18"/>
  <c r="H1058" i="18"/>
  <c r="H1062" i="18"/>
  <c r="H1066" i="18"/>
  <c r="H1070" i="18"/>
  <c r="H1074" i="18"/>
  <c r="H1078" i="18"/>
  <c r="H1082" i="18"/>
  <c r="H1086" i="18"/>
  <c r="H1090" i="18"/>
  <c r="H1094" i="18"/>
  <c r="H1098" i="18"/>
  <c r="H1102" i="18"/>
  <c r="H1106" i="18"/>
  <c r="H1110" i="18"/>
  <c r="H1114" i="18"/>
  <c r="H1118" i="18"/>
  <c r="H1122" i="18"/>
  <c r="H1126" i="18"/>
  <c r="H1130" i="18"/>
  <c r="H1134" i="18"/>
  <c r="H1138" i="18"/>
  <c r="H1142" i="18"/>
  <c r="H1146" i="18"/>
  <c r="H1150" i="18"/>
  <c r="H1154" i="18"/>
  <c r="H1158" i="18"/>
  <c r="H1162" i="18"/>
  <c r="H1166" i="18"/>
  <c r="H1170" i="18"/>
  <c r="H1174" i="18"/>
  <c r="H1178" i="18"/>
  <c r="H1182" i="18"/>
  <c r="H1186" i="18"/>
  <c r="H1190" i="18"/>
  <c r="H1194" i="18"/>
  <c r="H1198" i="18"/>
  <c r="H1202" i="18"/>
  <c r="H1206" i="18"/>
  <c r="H1210" i="18"/>
  <c r="H1214" i="18"/>
  <c r="H1218" i="18"/>
  <c r="H1222" i="18"/>
  <c r="H1226" i="18"/>
  <c r="H1230" i="18"/>
  <c r="H1234" i="18"/>
  <c r="H1238" i="18"/>
  <c r="H1242" i="18"/>
  <c r="H1246" i="18"/>
  <c r="H1250" i="18"/>
  <c r="H1254" i="18"/>
  <c r="H1258" i="18"/>
  <c r="H1262" i="18"/>
  <c r="H1266" i="18"/>
  <c r="H1270" i="18"/>
  <c r="H1274" i="18"/>
  <c r="H1278" i="18"/>
  <c r="H1282" i="18"/>
  <c r="H1286" i="18"/>
  <c r="H1290" i="18"/>
  <c r="H1294" i="18"/>
  <c r="H1298" i="18"/>
  <c r="H1302" i="18"/>
  <c r="H1306" i="18"/>
  <c r="H1310" i="18"/>
  <c r="H1314" i="18"/>
  <c r="H1318" i="18"/>
  <c r="H1322" i="18"/>
  <c r="H1326" i="18"/>
  <c r="H1330" i="18"/>
  <c r="H1334" i="18"/>
  <c r="H1338" i="18"/>
  <c r="H1342" i="18"/>
  <c r="H1346" i="18"/>
  <c r="H1350" i="18"/>
  <c r="H1354" i="18"/>
  <c r="H1358" i="18"/>
  <c r="H1362" i="18"/>
  <c r="H1366" i="18"/>
  <c r="H1370" i="18"/>
  <c r="H1374" i="18"/>
  <c r="H1378" i="18"/>
  <c r="H1382" i="18"/>
  <c r="H1386" i="18"/>
  <c r="H1390" i="18"/>
  <c r="H1394" i="18"/>
  <c r="H1398" i="18"/>
  <c r="H1402" i="18"/>
  <c r="H1406" i="18"/>
  <c r="H1410" i="18"/>
  <c r="H1414" i="18"/>
  <c r="H1418" i="18"/>
  <c r="H1422" i="18"/>
  <c r="H1426" i="18"/>
  <c r="H1430" i="18"/>
  <c r="H1434" i="18"/>
  <c r="H1438" i="18"/>
  <c r="H1442" i="18"/>
  <c r="H1446" i="18"/>
  <c r="H1450" i="18"/>
  <c r="H1454" i="18"/>
  <c r="H1458" i="18"/>
  <c r="H1462" i="18"/>
  <c r="H1466" i="18"/>
  <c r="H1470" i="18"/>
  <c r="H1474" i="18"/>
  <c r="H1478" i="18"/>
  <c r="H1482" i="18"/>
  <c r="H1486" i="18"/>
  <c r="H1490" i="18"/>
  <c r="H1494" i="18"/>
  <c r="H1498" i="18"/>
  <c r="H1502" i="18"/>
  <c r="H1506" i="18"/>
  <c r="H1510" i="18"/>
  <c r="H1514" i="18"/>
  <c r="H1518" i="18"/>
  <c r="H1522" i="18"/>
  <c r="H1526" i="18"/>
  <c r="H1530" i="18"/>
  <c r="H1534" i="18"/>
  <c r="H1538" i="18"/>
  <c r="H1542" i="18"/>
  <c r="H1546" i="18"/>
  <c r="H1550" i="18"/>
  <c r="H1554" i="18"/>
  <c r="H1558" i="18"/>
  <c r="H1562" i="18"/>
  <c r="H1566" i="18"/>
  <c r="H1570" i="18"/>
  <c r="H1574" i="18"/>
  <c r="H1578" i="18"/>
  <c r="H1582" i="18"/>
  <c r="H1586" i="18"/>
  <c r="H1590" i="18"/>
  <c r="H1594" i="18"/>
  <c r="H1598" i="18"/>
  <c r="H1602" i="18"/>
  <c r="H1606" i="18"/>
  <c r="H1610" i="18"/>
  <c r="H1614" i="18"/>
  <c r="H1618" i="18"/>
  <c r="H1622" i="18"/>
  <c r="H1626" i="18"/>
  <c r="H1630" i="18"/>
  <c r="H1634" i="18"/>
  <c r="H1638" i="18"/>
  <c r="H1642" i="18"/>
  <c r="H1646" i="18"/>
  <c r="H1650" i="18"/>
  <c r="H1654" i="18"/>
  <c r="H1658" i="18"/>
  <c r="H1662" i="18"/>
  <c r="H1666" i="18"/>
  <c r="H1670" i="18"/>
  <c r="H1674" i="18"/>
  <c r="H1678" i="18"/>
  <c r="H1682" i="18"/>
  <c r="H1686" i="18"/>
  <c r="H1690" i="18"/>
  <c r="H1694" i="18"/>
  <c r="H1698" i="18"/>
  <c r="H1702" i="18"/>
  <c r="H1706" i="18"/>
  <c r="H1710" i="18"/>
  <c r="H1714" i="18"/>
  <c r="H1718" i="18"/>
  <c r="H1722" i="18"/>
  <c r="H1726" i="18"/>
  <c r="H1730" i="18"/>
  <c r="H1734" i="18"/>
  <c r="H1738" i="18"/>
  <c r="H1742" i="18"/>
  <c r="H1746" i="18"/>
  <c r="H1750" i="18"/>
  <c r="H1754" i="18"/>
  <c r="H1758" i="18"/>
  <c r="H1762" i="18"/>
  <c r="H1766" i="18"/>
  <c r="H1770" i="18"/>
  <c r="H1774" i="18"/>
  <c r="H1778" i="18"/>
  <c r="H1782" i="18"/>
  <c r="H1786" i="18"/>
  <c r="H1790" i="18"/>
  <c r="H1794" i="18"/>
  <c r="H1798" i="18"/>
  <c r="H1802" i="18"/>
  <c r="H1806" i="18"/>
  <c r="H1810" i="18"/>
  <c r="H1814" i="18"/>
  <c r="H1818" i="18"/>
  <c r="H1822" i="18"/>
  <c r="H1826" i="18"/>
  <c r="H1830" i="18"/>
  <c r="H1834" i="18"/>
  <c r="H1838" i="18"/>
  <c r="H1842" i="18"/>
  <c r="H1846" i="18"/>
  <c r="H1850" i="18"/>
  <c r="H1854" i="18"/>
  <c r="H1858" i="18"/>
  <c r="H1862" i="18"/>
  <c r="H1866" i="18"/>
  <c r="H1870" i="18"/>
  <c r="H1874" i="18"/>
  <c r="H1878" i="18"/>
  <c r="H1882" i="18"/>
  <c r="H1886" i="18"/>
  <c r="H1890" i="18"/>
  <c r="H1894" i="18"/>
  <c r="H1898" i="18"/>
  <c r="H1902" i="18"/>
  <c r="H1906" i="18"/>
  <c r="H1910" i="18"/>
  <c r="H1914" i="18"/>
  <c r="H1918" i="18"/>
  <c r="H1922" i="18"/>
  <c r="H1926" i="18"/>
  <c r="H1930" i="18"/>
  <c r="H1934" i="18"/>
  <c r="H1938" i="18"/>
  <c r="H1942" i="18"/>
  <c r="H1946" i="18"/>
  <c r="H1950" i="18"/>
  <c r="H1954" i="18"/>
  <c r="H1958" i="18"/>
  <c r="H1962" i="18"/>
  <c r="H1965" i="18"/>
  <c r="H1967" i="18"/>
  <c r="H1969" i="18"/>
  <c r="H1971" i="18"/>
  <c r="H1973" i="18"/>
  <c r="H1975" i="18"/>
  <c r="H1977" i="18"/>
  <c r="H1979" i="18"/>
  <c r="H1981" i="18"/>
  <c r="H1983" i="18"/>
  <c r="H1985" i="18"/>
  <c r="H1987" i="18"/>
  <c r="H1989" i="18"/>
  <c r="H1991" i="18"/>
  <c r="H1993" i="18"/>
  <c r="H1995" i="18"/>
  <c r="H1997" i="18"/>
  <c r="H1999" i="18"/>
  <c r="H2001" i="18"/>
  <c r="H2003" i="18"/>
  <c r="H2005" i="18"/>
  <c r="H2007" i="18"/>
  <c r="H2009" i="18"/>
  <c r="H2011" i="18"/>
  <c r="H2013" i="18"/>
  <c r="H2015" i="18"/>
  <c r="H2017" i="18"/>
  <c r="H2019" i="18"/>
  <c r="H2021" i="18"/>
  <c r="H2023" i="18"/>
  <c r="H2025" i="18"/>
  <c r="H2027" i="18"/>
  <c r="H2029" i="18"/>
  <c r="H2031" i="18"/>
  <c r="H2033" i="18"/>
  <c r="H2035" i="18"/>
  <c r="H2037" i="18"/>
  <c r="H2039" i="18"/>
  <c r="H2041" i="18"/>
  <c r="H2043" i="18"/>
  <c r="H2045" i="18"/>
  <c r="H2047" i="18"/>
  <c r="H2049" i="18"/>
  <c r="H2051" i="18"/>
  <c r="H2053" i="18"/>
  <c r="H2055" i="18"/>
  <c r="H2057" i="18"/>
  <c r="H2059" i="18"/>
  <c r="H2061" i="18"/>
  <c r="H2063" i="18"/>
  <c r="H2065" i="18"/>
  <c r="H2067" i="18"/>
  <c r="H2069" i="18"/>
  <c r="H2071" i="18"/>
  <c r="H2073" i="18"/>
  <c r="H2075" i="18"/>
  <c r="H2077" i="18"/>
  <c r="H2079" i="18"/>
  <c r="H2081" i="18"/>
  <c r="H2083" i="18"/>
  <c r="H2085" i="18"/>
  <c r="H2087" i="18"/>
  <c r="H2089" i="18"/>
  <c r="H2091" i="18"/>
  <c r="H2093" i="18"/>
  <c r="H2095" i="18"/>
  <c r="H2097" i="18"/>
  <c r="H2099" i="18"/>
  <c r="H2101" i="18"/>
  <c r="H2103" i="18"/>
  <c r="H2105" i="18"/>
  <c r="H2107" i="18"/>
  <c r="H2109" i="18"/>
  <c r="H2111" i="18"/>
  <c r="H2113" i="18"/>
  <c r="H2115" i="18"/>
  <c r="H2117" i="18"/>
  <c r="H2119" i="18"/>
  <c r="H2121" i="18"/>
  <c r="H2123" i="18"/>
  <c r="H2125" i="18"/>
  <c r="H2127" i="18"/>
  <c r="H2129" i="18"/>
  <c r="H2131" i="18"/>
  <c r="H2133" i="18"/>
  <c r="H2135" i="18"/>
  <c r="H2137" i="18"/>
  <c r="H2139" i="18"/>
  <c r="H2141" i="18"/>
  <c r="H2143" i="18"/>
  <c r="H2145" i="18"/>
  <c r="H2147" i="18"/>
  <c r="H2149" i="18"/>
  <c r="H2151" i="18"/>
  <c r="H2153" i="18"/>
  <c r="H2155" i="18"/>
  <c r="H2157" i="18"/>
  <c r="H2159" i="18"/>
  <c r="H2161" i="18"/>
  <c r="H2163" i="18"/>
  <c r="H2165" i="18"/>
  <c r="H2167" i="18"/>
  <c r="H2169" i="18"/>
  <c r="H2171" i="18"/>
  <c r="H2173" i="18"/>
  <c r="H2175" i="18"/>
  <c r="H2177" i="18"/>
  <c r="H2179" i="18"/>
  <c r="H2181" i="18"/>
  <c r="H2183" i="18"/>
  <c r="H2185" i="18"/>
  <c r="H2187" i="18"/>
  <c r="H2189" i="18"/>
  <c r="H2191" i="18"/>
  <c r="H2193" i="18"/>
  <c r="H2195" i="18"/>
  <c r="H2197" i="18"/>
  <c r="H2199" i="18"/>
  <c r="H2201" i="18"/>
  <c r="H2203" i="18"/>
  <c r="H2205" i="18"/>
  <c r="H2207" i="18"/>
  <c r="H2209" i="18"/>
  <c r="H2211" i="18"/>
  <c r="H2213" i="18"/>
  <c r="H2215" i="18"/>
  <c r="H2217" i="18"/>
  <c r="H2219" i="18"/>
  <c r="H2221" i="18"/>
  <c r="H2223" i="18"/>
  <c r="H2225" i="18"/>
  <c r="H2227" i="18"/>
  <c r="H2229" i="18"/>
  <c r="H2231" i="18"/>
  <c r="H2233" i="18"/>
  <c r="H2235" i="18"/>
  <c r="H2237" i="18"/>
  <c r="H2239" i="18"/>
  <c r="H2241" i="18"/>
  <c r="H2243" i="18"/>
  <c r="H2245" i="18"/>
  <c r="H2247" i="18"/>
  <c r="H2249" i="18"/>
  <c r="H2251" i="18"/>
  <c r="H2253" i="18"/>
  <c r="H2255" i="18"/>
  <c r="H2257" i="18"/>
  <c r="H2259" i="18"/>
  <c r="H2261" i="18"/>
  <c r="H2263" i="18"/>
  <c r="H2265" i="18"/>
  <c r="H2267" i="18"/>
  <c r="H2269" i="18"/>
  <c r="H2271" i="18"/>
  <c r="H2273" i="18"/>
  <c r="H2275" i="18"/>
  <c r="H2277" i="18"/>
  <c r="H2279" i="18"/>
  <c r="H2281" i="18"/>
  <c r="H2283" i="18"/>
  <c r="H2285" i="18"/>
  <c r="H2287" i="18"/>
  <c r="H2289" i="18"/>
  <c r="H2291" i="18"/>
  <c r="H2293" i="18"/>
  <c r="H2295" i="18"/>
  <c r="H2297" i="18"/>
  <c r="H2299" i="18"/>
  <c r="H2301" i="18"/>
  <c r="H2303" i="18"/>
  <c r="H2305" i="18"/>
  <c r="H2307" i="18"/>
  <c r="H2309" i="18"/>
  <c r="H2311" i="18"/>
  <c r="H2313" i="18"/>
  <c r="H2315" i="18"/>
  <c r="H2317" i="18"/>
  <c r="H2319" i="18"/>
  <c r="H2321" i="18"/>
  <c r="H2323" i="18"/>
  <c r="H2325" i="18"/>
  <c r="H2327" i="18"/>
  <c r="H2329" i="18"/>
  <c r="H2331" i="18"/>
  <c r="H2333" i="18"/>
  <c r="H2335" i="18"/>
  <c r="H2337" i="18"/>
  <c r="H2339" i="18"/>
  <c r="H2341" i="18"/>
  <c r="H2343" i="18"/>
  <c r="H2345" i="18"/>
  <c r="H2347" i="18"/>
  <c r="H2349" i="18"/>
  <c r="H2351" i="18"/>
  <c r="H2353" i="18"/>
  <c r="H2355" i="18"/>
  <c r="H2357" i="18"/>
  <c r="H2359" i="18"/>
  <c r="H2361" i="18"/>
  <c r="H2363" i="18"/>
  <c r="H2365" i="18"/>
  <c r="H2367" i="18"/>
  <c r="H2369" i="18"/>
  <c r="H2371" i="18"/>
  <c r="H2373" i="18"/>
  <c r="H2375" i="18"/>
  <c r="H2377" i="18"/>
  <c r="H2379" i="18"/>
  <c r="H2381" i="18"/>
  <c r="H2383" i="18"/>
  <c r="H2385" i="18"/>
  <c r="H2387" i="18"/>
  <c r="H2389" i="18"/>
  <c r="H2391" i="18"/>
  <c r="H2393" i="18"/>
  <c r="H2395" i="18"/>
  <c r="H2397" i="18"/>
  <c r="H2399" i="18"/>
  <c r="H2401" i="18"/>
  <c r="H2403" i="18"/>
  <c r="H2405" i="18"/>
  <c r="H2407" i="18"/>
  <c r="H2409" i="18"/>
  <c r="H2411" i="18"/>
  <c r="H2413" i="18"/>
  <c r="H2415" i="18"/>
  <c r="H2417" i="18"/>
  <c r="H2419" i="18"/>
  <c r="H2421" i="18"/>
  <c r="H2423" i="18"/>
  <c r="H2425" i="18"/>
  <c r="H2427" i="18"/>
  <c r="H2429" i="18"/>
  <c r="H2431" i="18"/>
  <c r="H2433" i="18"/>
  <c r="H2435" i="18"/>
  <c r="H2437" i="18"/>
  <c r="H2439" i="18"/>
  <c r="H2441" i="18"/>
  <c r="H2443" i="18"/>
  <c r="H2445" i="18"/>
  <c r="H2447" i="18"/>
  <c r="H2449" i="18"/>
  <c r="H2451" i="18"/>
  <c r="H2453" i="18"/>
  <c r="H2455" i="18"/>
  <c r="H2457" i="18"/>
  <c r="H2459" i="18"/>
  <c r="H2461" i="18"/>
  <c r="H2463" i="18"/>
  <c r="H2465" i="18"/>
  <c r="H2467" i="18"/>
  <c r="H2469" i="18"/>
  <c r="H2471" i="18"/>
  <c r="H2473" i="18"/>
  <c r="H2475" i="18"/>
  <c r="H2477" i="18"/>
  <c r="H2479" i="18"/>
  <c r="H2481" i="18"/>
  <c r="H2483" i="18"/>
  <c r="H2485" i="18"/>
  <c r="H2487" i="18"/>
  <c r="H2489" i="18"/>
  <c r="H2491" i="18"/>
  <c r="H2493" i="18"/>
  <c r="H2495" i="18"/>
  <c r="H2497" i="18"/>
  <c r="H2499" i="18"/>
  <c r="H2501" i="18"/>
  <c r="H2503" i="18"/>
  <c r="H2505" i="18"/>
  <c r="H2507" i="18"/>
  <c r="H2509" i="18"/>
  <c r="H2511" i="18"/>
  <c r="H2513" i="18"/>
  <c r="H2515" i="18"/>
  <c r="H2517" i="18"/>
  <c r="H2519" i="18"/>
  <c r="H2521" i="18"/>
  <c r="H2523" i="18"/>
  <c r="H2525" i="18"/>
  <c r="H2527" i="18"/>
  <c r="H2529" i="18"/>
  <c r="H2531" i="18"/>
  <c r="H2533" i="18"/>
  <c r="H2535" i="18"/>
  <c r="H2537" i="18"/>
  <c r="H2539" i="18"/>
  <c r="H2541" i="18"/>
  <c r="H2543" i="18"/>
  <c r="H2545" i="18"/>
  <c r="H2547" i="18"/>
  <c r="H2549" i="18"/>
  <c r="H2551" i="18"/>
  <c r="H2553" i="18"/>
  <c r="H2555" i="18"/>
  <c r="H2557" i="18"/>
  <c r="H2559" i="18"/>
  <c r="H2561" i="18"/>
  <c r="H2563" i="18"/>
  <c r="H2565" i="18"/>
  <c r="H2567" i="18"/>
  <c r="H2569" i="18"/>
  <c r="H2571" i="18"/>
  <c r="H2573" i="18"/>
  <c r="H2575" i="18"/>
  <c r="H2577" i="18"/>
  <c r="H2579" i="18"/>
  <c r="H2581" i="18"/>
  <c r="H2583" i="18"/>
  <c r="H2585" i="18"/>
  <c r="H2587" i="18"/>
  <c r="H2589" i="18"/>
  <c r="H2591" i="18"/>
  <c r="H2593" i="18"/>
  <c r="H2595" i="18"/>
  <c r="H2597" i="18"/>
  <c r="H2599" i="18"/>
  <c r="H2601" i="18"/>
  <c r="H2603" i="18"/>
  <c r="H2605" i="18"/>
  <c r="H2607" i="18"/>
  <c r="H2609" i="18"/>
  <c r="H2611" i="18"/>
  <c r="H2613" i="18"/>
  <c r="H2615" i="18"/>
  <c r="H2617" i="18"/>
  <c r="H2619" i="18"/>
  <c r="H2621" i="18"/>
  <c r="H2623" i="18"/>
  <c r="H2625" i="18"/>
  <c r="H2627" i="18"/>
  <c r="H2629" i="18"/>
  <c r="H2631" i="18"/>
  <c r="H2633" i="18"/>
  <c r="H2635" i="18"/>
  <c r="H2637" i="18"/>
  <c r="H2639" i="18"/>
  <c r="H2641" i="18"/>
  <c r="H2643" i="18"/>
  <c r="H2645" i="18"/>
  <c r="H2647" i="18"/>
  <c r="H2649" i="18"/>
  <c r="H2651" i="18"/>
  <c r="H2653" i="18"/>
  <c r="H2655" i="18"/>
  <c r="H2657" i="18"/>
  <c r="H2659" i="18"/>
  <c r="H2661" i="18"/>
  <c r="H2663" i="18"/>
  <c r="H2665" i="18"/>
  <c r="H2667" i="18"/>
  <c r="H2669" i="18"/>
  <c r="H2671" i="18"/>
  <c r="H2673" i="18"/>
  <c r="H2675" i="18"/>
  <c r="H2677" i="18"/>
  <c r="H2679" i="18"/>
  <c r="H2681" i="18"/>
  <c r="H2683" i="18"/>
  <c r="H2685" i="18"/>
  <c r="H2687" i="18"/>
  <c r="H2689" i="18"/>
  <c r="H2691" i="18"/>
  <c r="H2693" i="18"/>
  <c r="H2695" i="18"/>
  <c r="H2697" i="18"/>
  <c r="H2699" i="18"/>
  <c r="H2701" i="18"/>
  <c r="H2703" i="18"/>
  <c r="H2705" i="18"/>
  <c r="H2707" i="18"/>
  <c r="H2709" i="18"/>
  <c r="H2711" i="18"/>
  <c r="H2713" i="18"/>
  <c r="H2715" i="18"/>
  <c r="H2717" i="18"/>
  <c r="H2719" i="18"/>
  <c r="H2721" i="18"/>
  <c r="H2723" i="18"/>
  <c r="H2725" i="18"/>
  <c r="H2727" i="18"/>
  <c r="H2729" i="18"/>
  <c r="H2731" i="18"/>
  <c r="H2733" i="18"/>
  <c r="H2735" i="18"/>
  <c r="H2737" i="18"/>
  <c r="H2739" i="18"/>
  <c r="H2741" i="18"/>
  <c r="H2743" i="18"/>
  <c r="H2745" i="18"/>
  <c r="H2747" i="18"/>
  <c r="H2749" i="18"/>
  <c r="H2751" i="18"/>
  <c r="H2753" i="18"/>
  <c r="H2755" i="18"/>
  <c r="H2757" i="18"/>
  <c r="H2759" i="18"/>
  <c r="H2761" i="18"/>
  <c r="H2763" i="18"/>
  <c r="H2765" i="18"/>
  <c r="H2767" i="18"/>
  <c r="H2769" i="18"/>
  <c r="H2771" i="18"/>
  <c r="H2773" i="18"/>
  <c r="H2775" i="18"/>
  <c r="H2777" i="18"/>
  <c r="H2779" i="18"/>
  <c r="H2781" i="18"/>
  <c r="H2783" i="18"/>
  <c r="H2785" i="18"/>
  <c r="H2787" i="18"/>
  <c r="H2789" i="18"/>
  <c r="H2791" i="18"/>
  <c r="H2793" i="18"/>
  <c r="H2795" i="18"/>
  <c r="H2797" i="18"/>
  <c r="H2799" i="18"/>
  <c r="H2801" i="18"/>
  <c r="H2803" i="18"/>
  <c r="H2805" i="18"/>
  <c r="H2807" i="18"/>
  <c r="H2809" i="18"/>
  <c r="H2811" i="18"/>
  <c r="H2813" i="18"/>
  <c r="H2815" i="18"/>
  <c r="H2817" i="18"/>
  <c r="H2819" i="18"/>
  <c r="H2821" i="18"/>
  <c r="H2823" i="18"/>
  <c r="H2825" i="18"/>
  <c r="H2827" i="18"/>
  <c r="H2829" i="18"/>
  <c r="H2831" i="18"/>
  <c r="H2833" i="18"/>
  <c r="H2835" i="18"/>
  <c r="H2837" i="18"/>
  <c r="H2839" i="18"/>
  <c r="H2841" i="18"/>
  <c r="H2843" i="18"/>
  <c r="H2845" i="18"/>
  <c r="H2847" i="18"/>
  <c r="H2849" i="18"/>
  <c r="H2851" i="18"/>
  <c r="H2853" i="18"/>
  <c r="H2855" i="18"/>
  <c r="H2857" i="18"/>
  <c r="H2859" i="18"/>
  <c r="H2861" i="18"/>
  <c r="H2863" i="18"/>
  <c r="H2865" i="18"/>
  <c r="H2867" i="18"/>
  <c r="H2869" i="18"/>
  <c r="H2871" i="18"/>
  <c r="H2873" i="18"/>
  <c r="H2875" i="18"/>
  <c r="H2877" i="18"/>
  <c r="H2879" i="18"/>
  <c r="H2881" i="18"/>
  <c r="H2883" i="18"/>
  <c r="H2885" i="18"/>
  <c r="H2887" i="18"/>
  <c r="H2889" i="18"/>
  <c r="H2891" i="18"/>
  <c r="H2893" i="18"/>
  <c r="H2895" i="18"/>
  <c r="H2897" i="18"/>
  <c r="H2899" i="18"/>
  <c r="H2901" i="18"/>
  <c r="H2903" i="18"/>
  <c r="H2905" i="18"/>
  <c r="H2907" i="18"/>
  <c r="H2909" i="18"/>
  <c r="H2911" i="18"/>
  <c r="H2913" i="18"/>
  <c r="H2915" i="18"/>
  <c r="H2917" i="18"/>
  <c r="H2919" i="18"/>
  <c r="H2921" i="18"/>
  <c r="H2923" i="18"/>
  <c r="H2925" i="18"/>
  <c r="H2927" i="18"/>
  <c r="H2929" i="18"/>
  <c r="H2931" i="18"/>
  <c r="H2933" i="18"/>
  <c r="H2935" i="18"/>
  <c r="H2937" i="18"/>
  <c r="H2939" i="18"/>
  <c r="H2941" i="18"/>
  <c r="H2943" i="18"/>
  <c r="H2945" i="18"/>
  <c r="H2947" i="18"/>
  <c r="H2949" i="18"/>
  <c r="H2951" i="18"/>
  <c r="H2953" i="18"/>
  <c r="H2955" i="18"/>
  <c r="H2957" i="18"/>
  <c r="H2959" i="18"/>
  <c r="H2961" i="18"/>
  <c r="H2963" i="18"/>
  <c r="H2965" i="18"/>
  <c r="H2967" i="18"/>
  <c r="H2969" i="18"/>
  <c r="H2971" i="18"/>
  <c r="H2973" i="18"/>
  <c r="H2975" i="18"/>
  <c r="H2977" i="18"/>
  <c r="H2979" i="18"/>
  <c r="H2981" i="18"/>
  <c r="H2983" i="18"/>
  <c r="H2985" i="18"/>
  <c r="H2987" i="18"/>
  <c r="H2989" i="18"/>
  <c r="H2991" i="18"/>
  <c r="H2993" i="18"/>
  <c r="H2995" i="18"/>
  <c r="H2997" i="18"/>
  <c r="H2999" i="18"/>
  <c r="H3001" i="18"/>
  <c r="H3003" i="18"/>
  <c r="H3005" i="18"/>
  <c r="H3007" i="18"/>
  <c r="H3009" i="18"/>
  <c r="H3011" i="18"/>
  <c r="H3013" i="18"/>
  <c r="H3015" i="18"/>
  <c r="H3017" i="18"/>
  <c r="H3019" i="18"/>
  <c r="H3021" i="18"/>
  <c r="H3023" i="18"/>
  <c r="H3025" i="18"/>
  <c r="H3027" i="18"/>
  <c r="H3029" i="18"/>
  <c r="H3031" i="18"/>
  <c r="H3033" i="18"/>
  <c r="H3035" i="18"/>
  <c r="H3037" i="18"/>
  <c r="H3039" i="18"/>
  <c r="H3041" i="18"/>
  <c r="H3043" i="18"/>
  <c r="H3045" i="18"/>
  <c r="H3047" i="18"/>
  <c r="H3049" i="18"/>
  <c r="H3051" i="18"/>
  <c r="H3053" i="18"/>
  <c r="H3055" i="18"/>
  <c r="H3057" i="18"/>
  <c r="H3059" i="18"/>
  <c r="H3061" i="18"/>
  <c r="H3063" i="18"/>
  <c r="H3065" i="18"/>
  <c r="H3067" i="18"/>
  <c r="H3069" i="18"/>
  <c r="H3071" i="18"/>
  <c r="H3073" i="18"/>
  <c r="H3075" i="18"/>
  <c r="H3077" i="18"/>
  <c r="H3079" i="18"/>
  <c r="H3081" i="18"/>
  <c r="H3083" i="18"/>
  <c r="H3085" i="18"/>
  <c r="H3087" i="18"/>
  <c r="H3089" i="18"/>
  <c r="H3091" i="18"/>
  <c r="H3093" i="18"/>
  <c r="H3095" i="18"/>
  <c r="H3097" i="18"/>
  <c r="H3099" i="18"/>
  <c r="H3101" i="18"/>
  <c r="H3103" i="18"/>
  <c r="H3105" i="18"/>
  <c r="H3107" i="18"/>
  <c r="H3109" i="18"/>
  <c r="H3111" i="18"/>
  <c r="H3113" i="18"/>
  <c r="H3115" i="18"/>
  <c r="H3117" i="18"/>
  <c r="H3119" i="18"/>
  <c r="H3121" i="18"/>
  <c r="H3123" i="18"/>
  <c r="H3125" i="18"/>
  <c r="H3127" i="18"/>
  <c r="H3129" i="18"/>
  <c r="H3131" i="18"/>
  <c r="H3133" i="18"/>
  <c r="H3135" i="18"/>
  <c r="H3137" i="18"/>
  <c r="H3139" i="18"/>
  <c r="H3141" i="18"/>
  <c r="H3143" i="18"/>
  <c r="H3145" i="18"/>
  <c r="H3147" i="18"/>
  <c r="H3149" i="18"/>
  <c r="H3151" i="18"/>
  <c r="H3153" i="18"/>
  <c r="H3155" i="18"/>
  <c r="H3157" i="18"/>
  <c r="H3159" i="18"/>
  <c r="H3161" i="18"/>
  <c r="H3163" i="18"/>
  <c r="H3165" i="18"/>
  <c r="H3167" i="18"/>
  <c r="H3169" i="18"/>
  <c r="H3171" i="18"/>
  <c r="H3173" i="18"/>
  <c r="H3175" i="18"/>
  <c r="H3177" i="18"/>
  <c r="H3179" i="18"/>
  <c r="H3181" i="18"/>
  <c r="H3183" i="18"/>
  <c r="H3185" i="18"/>
  <c r="H3187" i="18"/>
  <c r="H3189" i="18"/>
  <c r="H3191" i="18"/>
  <c r="H3193" i="18"/>
  <c r="H3195" i="18"/>
  <c r="H3197" i="18"/>
  <c r="H3199" i="18"/>
  <c r="H3201" i="18"/>
  <c r="H3203" i="18"/>
  <c r="H3205" i="18"/>
  <c r="H3207" i="18"/>
  <c r="H3209" i="18"/>
  <c r="H3211" i="18"/>
  <c r="H3213" i="18"/>
  <c r="H3215" i="18"/>
  <c r="H3217" i="18"/>
  <c r="H3219" i="18"/>
  <c r="H3221" i="18"/>
  <c r="H3223" i="18"/>
  <c r="H3225" i="18"/>
  <c r="H3227" i="18"/>
  <c r="H3229" i="18"/>
  <c r="H3231" i="18"/>
  <c r="H3233" i="18"/>
  <c r="H3235" i="18"/>
  <c r="H3237" i="18"/>
  <c r="H3239" i="18"/>
  <c r="H3241" i="18"/>
  <c r="H3243" i="18"/>
  <c r="H3245" i="18"/>
  <c r="H3247" i="18"/>
  <c r="H3249" i="18"/>
  <c r="H3251" i="18"/>
  <c r="H3253" i="18"/>
  <c r="H3255" i="18"/>
  <c r="H3257" i="18"/>
  <c r="H3259" i="18"/>
  <c r="H3261" i="18"/>
  <c r="H3263" i="18"/>
  <c r="H3265" i="18"/>
  <c r="H3267" i="18"/>
  <c r="H3269" i="18"/>
  <c r="H3271" i="18"/>
  <c r="H3273" i="18"/>
  <c r="H3275" i="18"/>
  <c r="H3277" i="18"/>
  <c r="H3279" i="18"/>
  <c r="H3281" i="18"/>
  <c r="H3283" i="18"/>
  <c r="H3285" i="18"/>
  <c r="H3287" i="18"/>
  <c r="H3289" i="18"/>
  <c r="H3291" i="18"/>
  <c r="H3293" i="18"/>
  <c r="H3295" i="18"/>
  <c r="H3297" i="18"/>
  <c r="H3299" i="18"/>
  <c r="H3301" i="18"/>
  <c r="H3303" i="18"/>
  <c r="H3305" i="18"/>
  <c r="H3307" i="18"/>
  <c r="H3309" i="18"/>
  <c r="H3311" i="18"/>
  <c r="H3313" i="18"/>
  <c r="H3315" i="18"/>
  <c r="H3317" i="18"/>
  <c r="H3319" i="18"/>
  <c r="H3321" i="18"/>
  <c r="H3323" i="18"/>
  <c r="H3325" i="18"/>
  <c r="H3327" i="18"/>
  <c r="H3329" i="18"/>
  <c r="H3331" i="18"/>
  <c r="H3333" i="18"/>
  <c r="H3335" i="18"/>
  <c r="H3337" i="18"/>
  <c r="H3339" i="18"/>
  <c r="H3341" i="18"/>
  <c r="H3343" i="18"/>
  <c r="H3345" i="18"/>
  <c r="H3347" i="18"/>
  <c r="H3349" i="18"/>
  <c r="H3351" i="18"/>
  <c r="H3353" i="18"/>
  <c r="H3355" i="18"/>
  <c r="H3357" i="18"/>
  <c r="H3359" i="18"/>
  <c r="H3361" i="18"/>
  <c r="H3363" i="18"/>
  <c r="H3365" i="18"/>
  <c r="H3367" i="18"/>
  <c r="H3369" i="18"/>
  <c r="H3371" i="18"/>
  <c r="H3373" i="18"/>
  <c r="H3375" i="18"/>
  <c r="H3377" i="18"/>
  <c r="H3379" i="18"/>
  <c r="H3381" i="18"/>
  <c r="H3383" i="18"/>
  <c r="H3385" i="18"/>
  <c r="H3387" i="18"/>
  <c r="H3389" i="18"/>
  <c r="H3391" i="18"/>
  <c r="H3393" i="18"/>
  <c r="H3395" i="18"/>
  <c r="H3397" i="18"/>
  <c r="H3399" i="18"/>
  <c r="H3401" i="18"/>
  <c r="H3403" i="18"/>
  <c r="H3405" i="18"/>
  <c r="H3407" i="18"/>
  <c r="H3409" i="18"/>
  <c r="H3411" i="18"/>
  <c r="H3413" i="18"/>
  <c r="H3415" i="18"/>
  <c r="H3417" i="18"/>
  <c r="H3419" i="18"/>
  <c r="H3421" i="18"/>
  <c r="H3423" i="18"/>
  <c r="H3425" i="18"/>
  <c r="H3427" i="18"/>
  <c r="H3429" i="18"/>
  <c r="H3431" i="18"/>
  <c r="H3433" i="18"/>
  <c r="H3435" i="18"/>
  <c r="H3437" i="18"/>
  <c r="H3439" i="18"/>
  <c r="H3441" i="18"/>
  <c r="H3443" i="18"/>
  <c r="H3445" i="18"/>
  <c r="H3447" i="18"/>
  <c r="H3449" i="18"/>
  <c r="H3451" i="18"/>
  <c r="H3453" i="18"/>
  <c r="H3455" i="18"/>
  <c r="H3457" i="18"/>
  <c r="H3459" i="18"/>
  <c r="H3461" i="18"/>
  <c r="H3463" i="18"/>
  <c r="H3465" i="18"/>
  <c r="H3467" i="18"/>
  <c r="H3469" i="18"/>
  <c r="H3471" i="18"/>
  <c r="H3473" i="18"/>
  <c r="H3475" i="18"/>
  <c r="H3477" i="18"/>
  <c r="H3479" i="18"/>
  <c r="H3481" i="18"/>
  <c r="H3483" i="18"/>
  <c r="H3485" i="18"/>
  <c r="H3487" i="18"/>
  <c r="H3489" i="18"/>
  <c r="H3491" i="18"/>
  <c r="H3493" i="18"/>
  <c r="H3495" i="18"/>
  <c r="H3497" i="18"/>
  <c r="H3499" i="18"/>
  <c r="H3501" i="18"/>
  <c r="H3503" i="18"/>
  <c r="H3505" i="18"/>
  <c r="H3507" i="18"/>
  <c r="H3509" i="18"/>
  <c r="H3511" i="18"/>
  <c r="H3513" i="18"/>
  <c r="H3515" i="18"/>
  <c r="H3517" i="18"/>
  <c r="H3519" i="18"/>
  <c r="H3521" i="18"/>
  <c r="H3523" i="18"/>
  <c r="H3525" i="18"/>
  <c r="H3527" i="18"/>
  <c r="H3529" i="18"/>
  <c r="H3531" i="18"/>
  <c r="H3533" i="18"/>
  <c r="H3535" i="18"/>
  <c r="H3537" i="18"/>
  <c r="H3539" i="18"/>
  <c r="H3541" i="18"/>
  <c r="H3543" i="18"/>
  <c r="H3545" i="18"/>
  <c r="H3547" i="18"/>
  <c r="H3549" i="18"/>
  <c r="H3551" i="18"/>
  <c r="H3553" i="18"/>
  <c r="H3555" i="18"/>
  <c r="H3557" i="18"/>
  <c r="H3559" i="18"/>
  <c r="H3561" i="18"/>
  <c r="H3563" i="18"/>
  <c r="H3565" i="18"/>
  <c r="H3567" i="18"/>
  <c r="H3569" i="18"/>
  <c r="H3571" i="18"/>
  <c r="H3573" i="18"/>
  <c r="H3575" i="18"/>
  <c r="H3577" i="18"/>
  <c r="H3579" i="18"/>
  <c r="H3581" i="18"/>
  <c r="H3583" i="18"/>
  <c r="H3585" i="18"/>
  <c r="H3587" i="18"/>
  <c r="H3589" i="18"/>
  <c r="H3591" i="18"/>
  <c r="H3593" i="18"/>
  <c r="H3595" i="18"/>
  <c r="H3597" i="18"/>
  <c r="H3599" i="18"/>
  <c r="H3601" i="18"/>
  <c r="H3603" i="18"/>
  <c r="H3605" i="18"/>
  <c r="H3607" i="18"/>
  <c r="H3609" i="18"/>
  <c r="H3611" i="18"/>
  <c r="H3613" i="18"/>
  <c r="H3615" i="18"/>
  <c r="H3617" i="18"/>
  <c r="H3619" i="18"/>
  <c r="H3621" i="18"/>
  <c r="H3623" i="18"/>
  <c r="H3625" i="18"/>
  <c r="H3627" i="18"/>
  <c r="H3629" i="18"/>
  <c r="H3631" i="18"/>
  <c r="H3633" i="18"/>
  <c r="H3635" i="18"/>
  <c r="H3637" i="18"/>
  <c r="H3639" i="18"/>
  <c r="H3641" i="18"/>
  <c r="H3643" i="18"/>
  <c r="H3645" i="18"/>
  <c r="H3647" i="18"/>
  <c r="H3649" i="18"/>
  <c r="H3651" i="18"/>
  <c r="H3653" i="18"/>
  <c r="H3655" i="18"/>
  <c r="H3657" i="18"/>
  <c r="H3659" i="18"/>
  <c r="H3661" i="18"/>
  <c r="H3663" i="18"/>
  <c r="H3665" i="18"/>
  <c r="H3667" i="18"/>
  <c r="H3669" i="18"/>
  <c r="H3671" i="18"/>
  <c r="H3673" i="18"/>
  <c r="H3675" i="18"/>
  <c r="H3677" i="18"/>
  <c r="H3679" i="18"/>
  <c r="H3681" i="18"/>
  <c r="H3683" i="18"/>
  <c r="H3685" i="18"/>
  <c r="H3687" i="18"/>
  <c r="H3689" i="18"/>
  <c r="H3691" i="18"/>
  <c r="H3693" i="18"/>
  <c r="H3695" i="18"/>
  <c r="H3697" i="18"/>
  <c r="H3699" i="18"/>
  <c r="H3701" i="18"/>
  <c r="H3703" i="18"/>
  <c r="H3705" i="18"/>
  <c r="H3707" i="18"/>
  <c r="H3709" i="18"/>
  <c r="H3711" i="18"/>
  <c r="H3713" i="18"/>
  <c r="H3715" i="18"/>
  <c r="H3717" i="18"/>
  <c r="H3719" i="18"/>
  <c r="H3721" i="18"/>
  <c r="H3723" i="18"/>
  <c r="H3725" i="18"/>
  <c r="H3727" i="18"/>
  <c r="H3729" i="18"/>
  <c r="H3731" i="18"/>
  <c r="H3733" i="18"/>
  <c r="H3735" i="18"/>
  <c r="H3737" i="18"/>
  <c r="H3739" i="18"/>
  <c r="H3741" i="18"/>
  <c r="H3743" i="18"/>
  <c r="H3745" i="18"/>
  <c r="H3747" i="18"/>
  <c r="H3749" i="18"/>
  <c r="H3751" i="18"/>
  <c r="H3753" i="18"/>
  <c r="H3755" i="18"/>
  <c r="H3757" i="18"/>
  <c r="H3759" i="18"/>
  <c r="H3761" i="18"/>
  <c r="H3763" i="18"/>
  <c r="H3765" i="18"/>
  <c r="H3767" i="18"/>
  <c r="H3769" i="18"/>
  <c r="H3771" i="18"/>
  <c r="H3773" i="18"/>
  <c r="H3775" i="18"/>
  <c r="H3777" i="18"/>
  <c r="H3779" i="18"/>
  <c r="H3781" i="18"/>
  <c r="H3783" i="18"/>
  <c r="H3785" i="18"/>
  <c r="H3787" i="18"/>
  <c r="H3789" i="18"/>
  <c r="H3791" i="18"/>
  <c r="H3793" i="18"/>
  <c r="H3795" i="18"/>
  <c r="H3797" i="18"/>
  <c r="H3799" i="18"/>
  <c r="H3801" i="18"/>
  <c r="H3803" i="18"/>
  <c r="H3805" i="18"/>
  <c r="H3807" i="18"/>
  <c r="H3809" i="18"/>
  <c r="H3811" i="18"/>
  <c r="H3813" i="18"/>
  <c r="H3815" i="18"/>
  <c r="H3817" i="18"/>
  <c r="H3819" i="18"/>
  <c r="H3821" i="18"/>
  <c r="H3823" i="18"/>
  <c r="H3825" i="18"/>
  <c r="H3827" i="18"/>
  <c r="H3829" i="18"/>
  <c r="H3831" i="18"/>
  <c r="H3833" i="18"/>
  <c r="H3835" i="18"/>
  <c r="H3837" i="18"/>
  <c r="H3839" i="18"/>
  <c r="H3841" i="18"/>
  <c r="H3843" i="18"/>
  <c r="H3845" i="18"/>
  <c r="H3847" i="18"/>
  <c r="H3849" i="18"/>
  <c r="H3851" i="18"/>
  <c r="H3853" i="18"/>
  <c r="H3855" i="18"/>
  <c r="H3857" i="18"/>
  <c r="H3859" i="18"/>
  <c r="H3861" i="18"/>
  <c r="H3863" i="18"/>
  <c r="H3865" i="18"/>
  <c r="H3867" i="18"/>
  <c r="H3869" i="18"/>
  <c r="H3871" i="18"/>
  <c r="H3873" i="18"/>
  <c r="H3875" i="18"/>
  <c r="H3877" i="18"/>
  <c r="H3879" i="18"/>
  <c r="H3881" i="18"/>
  <c r="H3883" i="18"/>
  <c r="H3885" i="18"/>
  <c r="H3887" i="18"/>
  <c r="H3889" i="18"/>
  <c r="H3891" i="18"/>
  <c r="H3893" i="18"/>
  <c r="H3895" i="18"/>
  <c r="H3897" i="18"/>
  <c r="H3899" i="18"/>
  <c r="H3901" i="18"/>
  <c r="H3903" i="18"/>
  <c r="H3905" i="18"/>
  <c r="H3907" i="18"/>
  <c r="H3909" i="18"/>
  <c r="H3911" i="18"/>
  <c r="H3913" i="18"/>
  <c r="H3915" i="18"/>
  <c r="H3917" i="18"/>
  <c r="H3919" i="18"/>
  <c r="H3921" i="18"/>
  <c r="H3923" i="18"/>
  <c r="H3925" i="18"/>
  <c r="H3927" i="18"/>
  <c r="H3929" i="18"/>
  <c r="H3931" i="18"/>
  <c r="H3933" i="18"/>
  <c r="H3935" i="18"/>
  <c r="H3937" i="18"/>
  <c r="H3939" i="18"/>
  <c r="H3941" i="18"/>
  <c r="H3943" i="18"/>
  <c r="H3945" i="18"/>
  <c r="H3947" i="18"/>
  <c r="H3949" i="18"/>
  <c r="H3951" i="18"/>
  <c r="H3953" i="18"/>
  <c r="H3955" i="18"/>
  <c r="H3957" i="18"/>
  <c r="H3959" i="18"/>
  <c r="H3961" i="18"/>
  <c r="H3963" i="18"/>
  <c r="H3965" i="18"/>
  <c r="H3967" i="18"/>
  <c r="H3969" i="18"/>
  <c r="H3971" i="18"/>
  <c r="H3973" i="18"/>
  <c r="H3975" i="18"/>
  <c r="H3977" i="18"/>
  <c r="H3979" i="18"/>
  <c r="H3981" i="18"/>
  <c r="H3983" i="18"/>
  <c r="H3985" i="18"/>
  <c r="H3987" i="18"/>
  <c r="H3989" i="18"/>
  <c r="H3991" i="18"/>
  <c r="H3993" i="18"/>
  <c r="H3995" i="18"/>
  <c r="H3997" i="18"/>
  <c r="H3999" i="18"/>
  <c r="H4001" i="18"/>
  <c r="H4003" i="18"/>
  <c r="H4005" i="18"/>
  <c r="H4007" i="18"/>
  <c r="H4009" i="18"/>
  <c r="H4011" i="18"/>
  <c r="H5003" i="18"/>
  <c r="H5001" i="18"/>
  <c r="H4999" i="18"/>
  <c r="H4997" i="18"/>
  <c r="H4995" i="18"/>
  <c r="H4993" i="18"/>
  <c r="H4991" i="18"/>
  <c r="H4989" i="18"/>
  <c r="H4987" i="18"/>
  <c r="H4985" i="18"/>
  <c r="H4983" i="18"/>
  <c r="H4981" i="18"/>
  <c r="H4979" i="18"/>
  <c r="H4977" i="18"/>
  <c r="H4975" i="18"/>
  <c r="H4973" i="18"/>
  <c r="H4971" i="18"/>
  <c r="H4969" i="18"/>
  <c r="H4967" i="18"/>
  <c r="H4965" i="18"/>
  <c r="H4963" i="18"/>
  <c r="H4961" i="18"/>
  <c r="H4959" i="18"/>
  <c r="H4957" i="18"/>
  <c r="H4955" i="18"/>
  <c r="H4953" i="18"/>
  <c r="H4951" i="18"/>
  <c r="H4949" i="18"/>
  <c r="H4947" i="18"/>
  <c r="H4945" i="18"/>
  <c r="H4943" i="18"/>
  <c r="H4941" i="18"/>
  <c r="H4939" i="18"/>
  <c r="H4937" i="18"/>
  <c r="H4935" i="18"/>
  <c r="H4933" i="18"/>
  <c r="H4931" i="18"/>
  <c r="H4929" i="18"/>
  <c r="H4927" i="18"/>
  <c r="H4925" i="18"/>
  <c r="H4923" i="18"/>
  <c r="H4921" i="18"/>
  <c r="H4919" i="18"/>
  <c r="H4917" i="18"/>
  <c r="H4915" i="18"/>
  <c r="H4913" i="18"/>
  <c r="H4911" i="18"/>
  <c r="H4909" i="18"/>
  <c r="H4907" i="18"/>
  <c r="H4905" i="18"/>
  <c r="H4903" i="18"/>
  <c r="H4901" i="18"/>
  <c r="H4899" i="18"/>
  <c r="H4897" i="18"/>
  <c r="H4895" i="18"/>
  <c r="H4893" i="18"/>
  <c r="H4891" i="18"/>
  <c r="H4889" i="18"/>
  <c r="H4887" i="18"/>
  <c r="H4885" i="18"/>
  <c r="H4883" i="18"/>
  <c r="H4881" i="18"/>
  <c r="H4879" i="18"/>
  <c r="H4877" i="18"/>
  <c r="H4875" i="18"/>
  <c r="H4873" i="18"/>
  <c r="H4871" i="18"/>
  <c r="H4869" i="18"/>
  <c r="H4867" i="18"/>
  <c r="H4865" i="18"/>
  <c r="H4863" i="18"/>
  <c r="H4861" i="18"/>
  <c r="H4859" i="18"/>
  <c r="H4857" i="18"/>
  <c r="H4855" i="18"/>
  <c r="H4853" i="18"/>
  <c r="H4851" i="18"/>
  <c r="H4849" i="18"/>
  <c r="H4847" i="18"/>
  <c r="H4845" i="18"/>
  <c r="H4843" i="18"/>
  <c r="H4841" i="18"/>
  <c r="H4839" i="18"/>
  <c r="H4837" i="18"/>
  <c r="H4835" i="18"/>
  <c r="H4833" i="18"/>
  <c r="H4831" i="18"/>
  <c r="H4829" i="18"/>
  <c r="H4827" i="18"/>
  <c r="H4825" i="18"/>
  <c r="H4823" i="18"/>
  <c r="H4821" i="18"/>
  <c r="H4819" i="18"/>
  <c r="H4817" i="18"/>
  <c r="H4815" i="18"/>
  <c r="H4813" i="18"/>
  <c r="H4811" i="18"/>
  <c r="H4809" i="18"/>
  <c r="H4807" i="18"/>
  <c r="H4805" i="18"/>
  <c r="H4803" i="18"/>
  <c r="H4801" i="18"/>
  <c r="H4799" i="18"/>
  <c r="H4797" i="18"/>
  <c r="H4795" i="18"/>
  <c r="H4793" i="18"/>
  <c r="H4791" i="18"/>
  <c r="H4789" i="18"/>
  <c r="H4787" i="18"/>
  <c r="H4785" i="18"/>
  <c r="H4783" i="18"/>
  <c r="H4781" i="18"/>
  <c r="H4779" i="18"/>
  <c r="H4777" i="18"/>
  <c r="H4775" i="18"/>
  <c r="H4773" i="18"/>
  <c r="H4771" i="18"/>
  <c r="H4769" i="18"/>
  <c r="H4767" i="18"/>
  <c r="H4765" i="18"/>
  <c r="H4763" i="18"/>
  <c r="H4761" i="18"/>
  <c r="H4759" i="18"/>
  <c r="H4757" i="18"/>
  <c r="H4755" i="18"/>
  <c r="H4753" i="18"/>
  <c r="H4751" i="18"/>
  <c r="H4749" i="18"/>
  <c r="H4747" i="18"/>
  <c r="H4745" i="18"/>
  <c r="H4743" i="18"/>
  <c r="H4741" i="18"/>
  <c r="H4739" i="18"/>
  <c r="H4737" i="18"/>
  <c r="H4735" i="18"/>
  <c r="H4733" i="18"/>
  <c r="H4731" i="18"/>
  <c r="H4729" i="18"/>
  <c r="H4727" i="18"/>
  <c r="H4725" i="18"/>
  <c r="H4723" i="18"/>
  <c r="H4721" i="18"/>
  <c r="H4719" i="18"/>
  <c r="H4717" i="18"/>
  <c r="H4715" i="18"/>
  <c r="H4713" i="18"/>
  <c r="H4711" i="18"/>
  <c r="H4709" i="18"/>
  <c r="H4707" i="18"/>
  <c r="H4705" i="18"/>
  <c r="H4703" i="18"/>
  <c r="H4701" i="18"/>
  <c r="H4699" i="18"/>
  <c r="H4697" i="18"/>
  <c r="H4695" i="18"/>
  <c r="H4693" i="18"/>
  <c r="H4691" i="18"/>
  <c r="H4689" i="18"/>
  <c r="H4687" i="18"/>
  <c r="H4685" i="18"/>
  <c r="H4683" i="18"/>
  <c r="H4681" i="18"/>
  <c r="H4679" i="18"/>
  <c r="H4677" i="18"/>
  <c r="H4675" i="18"/>
  <c r="H4673" i="18"/>
  <c r="H4671" i="18"/>
  <c r="H4669" i="18"/>
  <c r="H4667" i="18"/>
  <c r="H4665" i="18"/>
  <c r="H4663" i="18"/>
  <c r="H4661" i="18"/>
  <c r="H4659" i="18"/>
  <c r="H4657" i="18"/>
  <c r="H4655" i="18"/>
  <c r="H4653" i="18"/>
  <c r="H4651" i="18"/>
  <c r="H4649" i="18"/>
  <c r="H4647" i="18"/>
  <c r="H4645" i="18"/>
  <c r="H4643" i="18"/>
  <c r="H4641" i="18"/>
  <c r="H4639" i="18"/>
  <c r="H4637" i="18"/>
  <c r="H4635" i="18"/>
  <c r="H4633" i="18"/>
  <c r="H4631" i="18"/>
  <c r="H4629" i="18"/>
  <c r="H4627" i="18"/>
  <c r="H4625" i="18"/>
  <c r="H4623" i="18"/>
  <c r="H4621" i="18"/>
  <c r="H4619" i="18"/>
  <c r="H4617" i="18"/>
  <c r="H4615" i="18"/>
  <c r="H4613" i="18"/>
  <c r="H4611" i="18"/>
  <c r="H4609" i="18"/>
  <c r="H4607" i="18"/>
  <c r="H4605" i="18"/>
  <c r="H4603" i="18"/>
  <c r="H4601" i="18"/>
  <c r="H4599" i="18"/>
  <c r="H4597" i="18"/>
  <c r="H4595" i="18"/>
  <c r="H4593" i="18"/>
  <c r="H4591" i="18"/>
  <c r="H4589" i="18"/>
  <c r="H4587" i="18"/>
  <c r="H4585" i="18"/>
  <c r="H4583" i="18"/>
  <c r="H4581" i="18"/>
  <c r="H4579" i="18"/>
  <c r="H4577" i="18"/>
  <c r="H4575" i="18"/>
  <c r="H4573" i="18"/>
  <c r="H4571" i="18"/>
  <c r="H4569" i="18"/>
  <c r="H4567" i="18"/>
  <c r="H4565" i="18"/>
  <c r="H4563" i="18"/>
  <c r="H4561" i="18"/>
  <c r="H4559" i="18"/>
  <c r="H4557" i="18"/>
  <c r="H4555" i="18"/>
  <c r="H4553" i="18"/>
  <c r="H4551" i="18"/>
  <c r="H4549" i="18"/>
  <c r="H4547" i="18"/>
  <c r="H4545" i="18"/>
  <c r="H4543" i="18"/>
  <c r="H4541" i="18"/>
  <c r="H4539" i="18"/>
  <c r="H4537" i="18"/>
  <c r="H4535" i="18"/>
  <c r="H4533" i="18"/>
  <c r="H4531" i="18"/>
  <c r="H4529" i="18"/>
  <c r="H4527" i="18"/>
  <c r="H4525" i="18"/>
  <c r="H4523" i="18"/>
  <c r="H4521" i="18"/>
  <c r="H4519" i="18"/>
  <c r="H4517" i="18"/>
  <c r="H4515" i="18"/>
  <c r="H4513" i="18"/>
  <c r="H4511" i="18"/>
  <c r="H4509" i="18"/>
  <c r="H4507" i="18"/>
  <c r="H4505" i="18"/>
  <c r="H4503" i="18"/>
  <c r="H4501" i="18"/>
  <c r="H4499" i="18"/>
  <c r="H4497" i="18"/>
  <c r="H4495" i="18"/>
  <c r="H4493" i="18"/>
  <c r="H4491" i="18"/>
  <c r="H4489" i="18"/>
  <c r="H4487" i="18"/>
  <c r="H4485" i="18"/>
  <c r="H4483" i="18"/>
  <c r="H4481" i="18"/>
  <c r="H4479" i="18"/>
  <c r="H4477" i="18"/>
  <c r="H4475" i="18"/>
  <c r="H4473" i="18"/>
  <c r="H4471" i="18"/>
  <c r="H4469" i="18"/>
  <c r="H4467" i="18"/>
  <c r="H4465" i="18"/>
  <c r="H4463" i="18"/>
  <c r="H4461" i="18"/>
  <c r="H4459" i="18"/>
  <c r="H4457" i="18"/>
  <c r="H4455" i="18"/>
  <c r="H4453" i="18"/>
  <c r="H4451" i="18"/>
  <c r="H4449" i="18"/>
  <c r="H4447" i="18"/>
  <c r="H4445" i="18"/>
  <c r="H4443" i="18"/>
  <c r="H4441" i="18"/>
  <c r="H4439" i="18"/>
  <c r="H4437" i="18"/>
  <c r="H4435" i="18"/>
  <c r="H4433" i="18"/>
  <c r="H4431" i="18"/>
  <c r="H4429" i="18"/>
  <c r="H4427" i="18"/>
  <c r="H4425" i="18"/>
  <c r="H4423" i="18"/>
  <c r="H4421" i="18"/>
  <c r="H4419" i="18"/>
  <c r="H4417" i="18"/>
  <c r="H4415" i="18"/>
  <c r="H4413" i="18"/>
  <c r="H4411" i="18"/>
  <c r="H4409" i="18"/>
  <c r="H4407" i="18"/>
  <c r="H4405" i="18"/>
  <c r="H4403" i="18"/>
  <c r="H4401" i="18"/>
  <c r="H4399" i="18"/>
  <c r="H4397" i="18"/>
  <c r="H4395" i="18"/>
  <c r="H4393" i="18"/>
  <c r="H4391" i="18"/>
  <c r="H4389" i="18"/>
  <c r="H4387" i="18"/>
  <c r="H4385" i="18"/>
  <c r="H4383" i="18"/>
  <c r="H4381" i="18"/>
  <c r="H4379" i="18"/>
  <c r="H4377" i="18"/>
  <c r="H4375" i="18"/>
  <c r="H4373" i="18"/>
  <c r="H4371" i="18"/>
  <c r="H4369" i="18"/>
  <c r="H4367" i="18"/>
  <c r="H4365" i="18"/>
  <c r="H4363" i="18"/>
  <c r="H4361" i="18"/>
  <c r="H4359" i="18"/>
  <c r="H4357" i="18"/>
  <c r="H4355" i="18"/>
  <c r="H4353" i="18"/>
  <c r="H4351" i="18"/>
  <c r="H4349" i="18"/>
  <c r="H4347" i="18"/>
  <c r="H4345" i="18"/>
  <c r="H4343" i="18"/>
  <c r="H4341" i="18"/>
  <c r="H4339" i="18"/>
  <c r="H4337" i="18"/>
  <c r="H4335" i="18"/>
  <c r="H4333" i="18"/>
  <c r="H4331" i="18"/>
  <c r="H4329" i="18"/>
  <c r="H4327" i="18"/>
  <c r="H4325" i="18"/>
  <c r="H4323" i="18"/>
  <c r="H4321" i="18"/>
  <c r="H4319" i="18"/>
  <c r="H4317" i="18"/>
  <c r="H4315" i="18"/>
  <c r="H4313" i="18"/>
  <c r="H4311" i="18"/>
  <c r="H4309" i="18"/>
  <c r="H4307" i="18"/>
  <c r="H4305" i="18"/>
  <c r="H4303" i="18"/>
  <c r="H4301" i="18"/>
  <c r="H4299" i="18"/>
  <c r="H4297" i="18"/>
  <c r="H4295" i="18"/>
  <c r="H4293" i="18"/>
  <c r="H4291" i="18"/>
  <c r="H4289" i="18"/>
  <c r="H4287" i="18"/>
  <c r="H4285" i="18"/>
  <c r="H4283" i="18"/>
  <c r="H4281" i="18"/>
  <c r="H4279" i="18"/>
  <c r="H4277" i="18"/>
  <c r="H4275" i="18"/>
  <c r="H4273" i="18"/>
  <c r="H4271" i="18"/>
  <c r="H4269" i="18"/>
  <c r="H4267" i="18"/>
  <c r="H4265" i="18"/>
  <c r="H4263" i="18"/>
  <c r="H4261" i="18"/>
  <c r="H4259" i="18"/>
  <c r="H4257" i="18"/>
  <c r="H4255" i="18"/>
  <c r="H4253" i="18"/>
  <c r="H4251" i="18"/>
  <c r="H4249" i="18"/>
  <c r="H4247" i="18"/>
  <c r="H4245" i="18"/>
  <c r="H4243" i="18"/>
  <c r="H4241" i="18"/>
  <c r="H4239" i="18"/>
  <c r="H4237" i="18"/>
  <c r="H4235" i="18"/>
  <c r="H4233" i="18"/>
  <c r="H4231" i="18"/>
  <c r="H4229" i="18"/>
  <c r="H4227" i="18"/>
  <c r="H4225" i="18"/>
  <c r="H4223" i="18"/>
  <c r="H4221" i="18"/>
  <c r="H4219" i="18"/>
  <c r="H4217" i="18"/>
  <c r="H4215" i="18"/>
  <c r="H4213" i="18"/>
  <c r="H4211" i="18"/>
  <c r="H4209" i="18"/>
  <c r="H4207" i="18"/>
  <c r="H4205" i="18"/>
  <c r="H4203" i="18"/>
  <c r="H4201" i="18"/>
  <c r="H4199" i="18"/>
  <c r="H4197" i="18"/>
  <c r="H4195" i="18"/>
  <c r="H4193" i="18"/>
  <c r="H4191" i="18"/>
  <c r="H4189" i="18"/>
  <c r="H4187" i="18"/>
  <c r="H4185" i="18"/>
  <c r="H4183" i="18"/>
  <c r="H4181" i="18"/>
  <c r="H4179" i="18"/>
  <c r="H4177" i="18"/>
  <c r="H4175" i="18"/>
  <c r="H4173" i="18"/>
  <c r="H4171" i="18"/>
  <c r="H4169" i="18"/>
  <c r="H4167" i="18"/>
  <c r="H4165" i="18"/>
  <c r="H4163" i="18"/>
  <c r="H4161" i="18"/>
  <c r="H4159" i="18"/>
  <c r="H4157" i="18"/>
  <c r="H4155" i="18"/>
  <c r="H4153" i="18"/>
  <c r="H4151" i="18"/>
  <c r="H4149" i="18"/>
  <c r="H4147" i="18"/>
  <c r="H4145" i="18"/>
  <c r="H4143" i="18"/>
  <c r="H4141" i="18"/>
  <c r="H4139" i="18"/>
  <c r="H4137" i="18"/>
  <c r="H4135" i="18"/>
  <c r="H4133" i="18"/>
  <c r="H4131" i="18"/>
  <c r="H4129" i="18"/>
  <c r="H4127" i="18"/>
  <c r="H4125" i="18"/>
  <c r="H4123" i="18"/>
  <c r="H4121" i="18"/>
  <c r="H4119" i="18"/>
  <c r="H4117" i="18"/>
  <c r="H4115" i="18"/>
  <c r="H4113" i="18"/>
  <c r="H4111" i="18"/>
  <c r="H4109" i="18"/>
  <c r="H4107" i="18"/>
  <c r="H4105" i="18"/>
  <c r="H4103" i="18"/>
  <c r="H4101" i="18"/>
  <c r="H4099" i="18"/>
  <c r="H4097" i="18"/>
  <c r="H4095" i="18"/>
  <c r="H4093" i="18"/>
  <c r="H4091" i="18"/>
  <c r="H4089" i="18"/>
  <c r="H4087" i="18"/>
  <c r="H4085" i="18"/>
  <c r="H4083" i="18"/>
  <c r="H4081" i="18"/>
  <c r="H4079" i="18"/>
  <c r="H4077" i="18"/>
  <c r="H4075" i="18"/>
  <c r="H4073" i="18"/>
  <c r="H4071" i="18"/>
  <c r="H4069" i="18"/>
  <c r="H4067" i="18"/>
  <c r="H4065" i="18"/>
  <c r="H4063" i="18"/>
  <c r="H4061" i="18"/>
  <c r="H4059" i="18"/>
  <c r="H4057" i="18"/>
  <c r="H4055" i="18"/>
  <c r="H4053" i="18"/>
  <c r="H4051" i="18"/>
  <c r="H4049" i="18"/>
  <c r="H4047" i="18"/>
  <c r="H4045" i="18"/>
  <c r="H4043" i="18"/>
  <c r="H4041" i="18"/>
  <c r="H4039" i="18"/>
  <c r="H4037" i="18"/>
  <c r="H4035" i="18"/>
  <c r="H4033" i="18"/>
  <c r="H4031" i="18"/>
  <c r="H4029" i="18"/>
  <c r="H4027" i="18"/>
  <c r="H4025" i="18"/>
  <c r="H4023" i="18"/>
  <c r="H4021" i="18"/>
  <c r="H4019" i="18"/>
  <c r="H4017" i="18"/>
  <c r="H4015" i="18"/>
  <c r="H4013" i="18"/>
  <c r="H4010" i="18"/>
  <c r="H4006" i="18"/>
  <c r="H4002" i="18"/>
  <c r="H3998" i="18"/>
  <c r="H3994" i="18"/>
  <c r="H3990" i="18"/>
  <c r="H3986" i="18"/>
  <c r="H3982" i="18"/>
  <c r="H3978" i="18"/>
  <c r="H3974" i="18"/>
  <c r="H3970" i="18"/>
  <c r="H3966" i="18"/>
  <c r="H3962" i="18"/>
  <c r="H3958" i="18"/>
  <c r="H3954" i="18"/>
  <c r="H3950" i="18"/>
  <c r="H3946" i="18"/>
  <c r="H3942" i="18"/>
  <c r="H3938" i="18"/>
  <c r="H3934" i="18"/>
  <c r="H3930" i="18"/>
  <c r="H3926" i="18"/>
  <c r="H3922" i="18"/>
  <c r="H3918" i="18"/>
  <c r="H3914" i="18"/>
  <c r="H3910" i="18"/>
  <c r="H3906" i="18"/>
  <c r="H3902" i="18"/>
  <c r="H3898" i="18"/>
  <c r="H3894" i="18"/>
  <c r="H3890" i="18"/>
  <c r="H3886" i="18"/>
  <c r="H3882" i="18"/>
  <c r="H3878" i="18"/>
  <c r="H3874" i="18"/>
  <c r="H3870" i="18"/>
  <c r="H3866" i="18"/>
  <c r="H3862" i="18"/>
  <c r="H3858" i="18"/>
  <c r="H3854" i="18"/>
  <c r="H3850" i="18"/>
  <c r="H3846" i="18"/>
  <c r="H3842" i="18"/>
  <c r="H3838" i="18"/>
  <c r="H3834" i="18"/>
  <c r="H3830" i="18"/>
  <c r="H3826" i="18"/>
  <c r="H3822" i="18"/>
  <c r="H3818" i="18"/>
  <c r="H3814" i="18"/>
  <c r="H3810" i="18"/>
  <c r="H3806" i="18"/>
  <c r="H3802" i="18"/>
  <c r="H3798" i="18"/>
  <c r="H3794" i="18"/>
  <c r="H3790" i="18"/>
  <c r="H3786" i="18"/>
  <c r="H3782" i="18"/>
  <c r="H3778" i="18"/>
  <c r="H3774" i="18"/>
  <c r="H3770" i="18"/>
  <c r="H3766" i="18"/>
  <c r="H3762" i="18"/>
  <c r="H3758" i="18"/>
  <c r="H3754" i="18"/>
  <c r="H3750" i="18"/>
  <c r="H3746" i="18"/>
  <c r="H3742" i="18"/>
  <c r="H3738" i="18"/>
  <c r="H3734" i="18"/>
  <c r="H3730" i="18"/>
  <c r="H3726" i="18"/>
  <c r="H3722" i="18"/>
  <c r="H3718" i="18"/>
  <c r="H3714" i="18"/>
  <c r="H3710" i="18"/>
  <c r="H3706" i="18"/>
  <c r="H3702" i="18"/>
  <c r="H3698" i="18"/>
  <c r="H3694" i="18"/>
  <c r="H3690" i="18"/>
  <c r="H3686" i="18"/>
  <c r="H3682" i="18"/>
  <c r="H3678" i="18"/>
  <c r="H3674" i="18"/>
  <c r="H3670" i="18"/>
  <c r="H3666" i="18"/>
  <c r="H3662" i="18"/>
  <c r="H3658" i="18"/>
  <c r="H3654" i="18"/>
  <c r="H3650" i="18"/>
  <c r="H3646" i="18"/>
  <c r="H3642" i="18"/>
  <c r="H3638" i="18"/>
  <c r="H3634" i="18"/>
  <c r="H3630" i="18"/>
  <c r="H3626" i="18"/>
  <c r="H3622" i="18"/>
  <c r="H3618" i="18"/>
  <c r="H3614" i="18"/>
  <c r="H3610" i="18"/>
  <c r="H3606" i="18"/>
  <c r="H3602" i="18"/>
  <c r="H3598" i="18"/>
  <c r="H3594" i="18"/>
  <c r="H3590" i="18"/>
  <c r="H3586" i="18"/>
  <c r="H3582" i="18"/>
  <c r="H3578" i="18"/>
  <c r="H3574" i="18"/>
  <c r="H3570" i="18"/>
  <c r="H3566" i="18"/>
  <c r="H3562" i="18"/>
  <c r="H3558" i="18"/>
  <c r="H3554" i="18"/>
  <c r="H3550" i="18"/>
  <c r="H3546" i="18"/>
  <c r="H3542" i="18"/>
  <c r="H3538" i="18"/>
  <c r="H3534" i="18"/>
  <c r="H3530" i="18"/>
  <c r="H3526" i="18"/>
  <c r="H3522" i="18"/>
  <c r="H3518" i="18"/>
  <c r="H3514" i="18"/>
  <c r="H3510" i="18"/>
  <c r="H3506" i="18"/>
  <c r="H3502" i="18"/>
  <c r="H3498" i="18"/>
  <c r="H3494" i="18"/>
  <c r="H3490" i="18"/>
  <c r="H3486" i="18"/>
  <c r="H3482" i="18"/>
  <c r="H3478" i="18"/>
  <c r="H3474" i="18"/>
  <c r="H3470" i="18"/>
  <c r="H3466" i="18"/>
  <c r="H3462" i="18"/>
  <c r="H3458" i="18"/>
  <c r="H3454" i="18"/>
  <c r="H3450" i="18"/>
  <c r="H3446" i="18"/>
  <c r="H3442" i="18"/>
  <c r="H3438" i="18"/>
  <c r="H3434" i="18"/>
  <c r="H3430" i="18"/>
  <c r="H3426" i="18"/>
  <c r="H3422" i="18"/>
  <c r="H3418" i="18"/>
  <c r="H3414" i="18"/>
  <c r="H3410" i="18"/>
  <c r="H3406" i="18"/>
  <c r="H3402" i="18"/>
  <c r="H3398" i="18"/>
  <c r="H3394" i="18"/>
  <c r="H3390" i="18"/>
  <c r="H3386" i="18"/>
  <c r="H3382" i="18"/>
  <c r="H3378" i="18"/>
  <c r="H3374" i="18"/>
  <c r="H3370" i="18"/>
  <c r="H3366" i="18"/>
  <c r="H3362" i="18"/>
  <c r="H3358" i="18"/>
  <c r="H3354" i="18"/>
  <c r="H3350" i="18"/>
  <c r="H3346" i="18"/>
  <c r="H3342" i="18"/>
  <c r="H3338" i="18"/>
  <c r="H3334" i="18"/>
  <c r="H3330" i="18"/>
  <c r="H3326" i="18"/>
  <c r="H3322" i="18"/>
  <c r="H3318" i="18"/>
  <c r="H3314" i="18"/>
  <c r="H3310" i="18"/>
  <c r="H3306" i="18"/>
  <c r="H3302" i="18"/>
  <c r="H3298" i="18"/>
  <c r="H3294" i="18"/>
  <c r="H3290" i="18"/>
  <c r="H3286" i="18"/>
  <c r="H3282" i="18"/>
  <c r="H3278" i="18"/>
  <c r="H3274" i="18"/>
  <c r="H3270" i="18"/>
  <c r="H3266" i="18"/>
  <c r="H3262" i="18"/>
  <c r="H3258" i="18"/>
  <c r="H3254" i="18"/>
  <c r="H3250" i="18"/>
  <c r="H3246" i="18"/>
  <c r="H3242" i="18"/>
  <c r="H3238" i="18"/>
  <c r="H3234" i="18"/>
  <c r="H3230" i="18"/>
  <c r="H3226" i="18"/>
  <c r="H3222" i="18"/>
  <c r="H3218" i="18"/>
  <c r="H3214" i="18"/>
  <c r="H3210" i="18"/>
  <c r="H3206" i="18"/>
  <c r="H3202" i="18"/>
  <c r="H3198" i="18"/>
  <c r="H3194" i="18"/>
  <c r="H3190" i="18"/>
  <c r="H3186" i="18"/>
  <c r="H3182" i="18"/>
  <c r="H3178" i="18"/>
  <c r="H3174" i="18"/>
  <c r="H3170" i="18"/>
  <c r="H3166" i="18"/>
  <c r="H3162" i="18"/>
  <c r="H3158" i="18"/>
  <c r="H3154" i="18"/>
  <c r="H3150" i="18"/>
  <c r="H3146" i="18"/>
  <c r="H3142" i="18"/>
  <c r="H3138" i="18"/>
  <c r="H3134" i="18"/>
  <c r="H3130" i="18"/>
  <c r="H3126" i="18"/>
  <c r="H3122" i="18"/>
  <c r="H3118" i="18"/>
  <c r="H3114" i="18"/>
  <c r="H3110" i="18"/>
  <c r="H3106" i="18"/>
  <c r="H3102" i="18"/>
  <c r="H3098" i="18"/>
  <c r="H3094" i="18"/>
  <c r="H3090" i="18"/>
  <c r="H3086" i="18"/>
  <c r="H3082" i="18"/>
  <c r="H3078" i="18"/>
  <c r="H3074" i="18"/>
  <c r="H3070" i="18"/>
  <c r="H3066" i="18"/>
  <c r="H3062" i="18"/>
  <c r="H3058" i="18"/>
  <c r="H3054" i="18"/>
  <c r="H3050" i="18"/>
  <c r="H3046" i="18"/>
  <c r="H3042" i="18"/>
  <c r="H3038" i="18"/>
  <c r="H3034" i="18"/>
  <c r="H3030" i="18"/>
  <c r="H3026" i="18"/>
  <c r="H3022" i="18"/>
  <c r="H3018" i="18"/>
  <c r="H3014" i="18"/>
  <c r="H3010" i="18"/>
  <c r="H3006" i="18"/>
  <c r="H3002" i="18"/>
  <c r="H2998" i="18"/>
  <c r="H2994" i="18"/>
  <c r="H2990" i="18"/>
  <c r="H2986" i="18"/>
  <c r="H2982" i="18"/>
  <c r="H2978" i="18"/>
  <c r="H2974" i="18"/>
  <c r="H2970" i="18"/>
  <c r="H2966" i="18"/>
  <c r="H2962" i="18"/>
  <c r="H2958" i="18"/>
  <c r="H2954" i="18"/>
  <c r="H2950" i="18"/>
  <c r="H2946" i="18"/>
  <c r="H2942" i="18"/>
  <c r="H2938" i="18"/>
  <c r="H2934" i="18"/>
  <c r="H2930" i="18"/>
  <c r="H2926" i="18"/>
  <c r="H2922" i="18"/>
  <c r="H2918" i="18"/>
  <c r="H2914" i="18"/>
  <c r="H2910" i="18"/>
  <c r="H2906" i="18"/>
  <c r="H2902" i="18"/>
  <c r="H2898" i="18"/>
  <c r="H2894" i="18"/>
  <c r="H2890" i="18"/>
  <c r="H2886" i="18"/>
  <c r="H2882" i="18"/>
  <c r="H2878" i="18"/>
  <c r="H2874" i="18"/>
  <c r="H2870" i="18"/>
  <c r="H2866" i="18"/>
  <c r="H2862" i="18"/>
  <c r="H2858" i="18"/>
  <c r="H2854" i="18"/>
  <c r="H2850" i="18"/>
  <c r="H2846" i="18"/>
  <c r="H2842" i="18"/>
  <c r="H2838" i="18"/>
  <c r="H2834" i="18"/>
  <c r="H2830" i="18"/>
  <c r="H2826" i="18"/>
  <c r="H2822" i="18"/>
  <c r="H2818" i="18"/>
  <c r="H2814" i="18"/>
  <c r="H2810" i="18"/>
  <c r="H2806" i="18"/>
  <c r="H2802" i="18"/>
  <c r="H2798" i="18"/>
  <c r="H2794" i="18"/>
  <c r="H2790" i="18"/>
  <c r="H2786" i="18"/>
  <c r="H2782" i="18"/>
  <c r="H2778" i="18"/>
  <c r="H2774" i="18"/>
  <c r="H2770" i="18"/>
  <c r="H2766" i="18"/>
  <c r="H2762" i="18"/>
  <c r="H2758" i="18"/>
  <c r="H2754" i="18"/>
  <c r="H2750" i="18"/>
  <c r="H2746" i="18"/>
  <c r="H2742" i="18"/>
  <c r="H2738" i="18"/>
  <c r="H2734" i="18"/>
  <c r="H2730" i="18"/>
  <c r="H2726" i="18"/>
  <c r="H2722" i="18"/>
  <c r="H2718" i="18"/>
  <c r="H2714" i="18"/>
  <c r="H2710" i="18"/>
  <c r="H2706" i="18"/>
  <c r="H2702" i="18"/>
  <c r="H2698" i="18"/>
  <c r="H2694" i="18"/>
  <c r="H2690" i="18"/>
  <c r="H2686" i="18"/>
  <c r="H2682" i="18"/>
  <c r="H2678" i="18"/>
  <c r="H2674" i="18"/>
  <c r="H2670" i="18"/>
  <c r="H2666" i="18"/>
  <c r="H2662" i="18"/>
  <c r="H2658" i="18"/>
  <c r="H2654" i="18"/>
  <c r="H2650" i="18"/>
  <c r="H2646" i="18"/>
  <c r="H2642" i="18"/>
  <c r="H2638" i="18"/>
  <c r="H2634" i="18"/>
  <c r="H2630" i="18"/>
  <c r="H2626" i="18"/>
  <c r="H2622" i="18"/>
  <c r="H2618" i="18"/>
  <c r="H2614" i="18"/>
  <c r="H2610" i="18"/>
  <c r="H2606" i="18"/>
  <c r="H2602" i="18"/>
  <c r="H2598" i="18"/>
  <c r="H2594" i="18"/>
  <c r="H2590" i="18"/>
  <c r="H2586" i="18"/>
  <c r="H2582" i="18"/>
  <c r="H2578" i="18"/>
  <c r="H2574" i="18"/>
  <c r="H2570" i="18"/>
  <c r="H2566" i="18"/>
  <c r="H2562" i="18"/>
  <c r="H2558" i="18"/>
  <c r="H2554" i="18"/>
  <c r="H2550" i="18"/>
  <c r="H2546" i="18"/>
  <c r="H2542" i="18"/>
  <c r="H2538" i="18"/>
  <c r="H2534" i="18"/>
  <c r="H2530" i="18"/>
  <c r="H2526" i="18"/>
  <c r="H2522" i="18"/>
  <c r="H2518" i="18"/>
  <c r="H2514" i="18"/>
  <c r="H2510" i="18"/>
  <c r="H2506" i="18"/>
  <c r="H2502" i="18"/>
  <c r="H2498" i="18"/>
  <c r="H2494" i="18"/>
  <c r="H2490" i="18"/>
  <c r="H2486" i="18"/>
  <c r="H2482" i="18"/>
  <c r="H2478" i="18"/>
  <c r="H2474" i="18"/>
  <c r="H2470" i="18"/>
  <c r="H2466" i="18"/>
  <c r="H2462" i="18"/>
  <c r="H2458" i="18"/>
  <c r="H2454" i="18"/>
  <c r="H2450" i="18"/>
  <c r="H2446" i="18"/>
  <c r="H2442" i="18"/>
  <c r="H2438" i="18"/>
  <c r="H2434" i="18"/>
  <c r="H2430" i="18"/>
  <c r="H2426" i="18"/>
  <c r="H2422" i="18"/>
  <c r="H2418" i="18"/>
  <c r="H2414" i="18"/>
  <c r="H2410" i="18"/>
  <c r="H2406" i="18"/>
  <c r="H2402" i="18"/>
  <c r="H2398" i="18"/>
  <c r="H2394" i="18"/>
  <c r="H2390" i="18"/>
  <c r="H2386" i="18"/>
  <c r="H2382" i="18"/>
  <c r="H2378" i="18"/>
  <c r="H2374" i="18"/>
  <c r="H2370" i="18"/>
  <c r="H2366" i="18"/>
  <c r="H2362" i="18"/>
  <c r="H2358" i="18"/>
  <c r="H2354" i="18"/>
  <c r="H2350" i="18"/>
  <c r="H2346" i="18"/>
  <c r="H2342" i="18"/>
  <c r="H2338" i="18"/>
  <c r="H2334" i="18"/>
  <c r="H2330" i="18"/>
  <c r="H2326" i="18"/>
  <c r="H2322" i="18"/>
  <c r="H2318" i="18"/>
  <c r="H2314" i="18"/>
  <c r="H2310" i="18"/>
  <c r="H2306" i="18"/>
  <c r="H2302" i="18"/>
  <c r="H2298" i="18"/>
  <c r="H2294" i="18"/>
  <c r="H2290" i="18"/>
  <c r="H2286" i="18"/>
  <c r="H2282" i="18"/>
  <c r="H2278" i="18"/>
  <c r="H2274" i="18"/>
  <c r="H2270" i="18"/>
  <c r="H2266" i="18"/>
  <c r="H2262" i="18"/>
  <c r="H2258" i="18"/>
  <c r="H2254" i="18"/>
  <c r="H2250" i="18"/>
  <c r="H2246" i="18"/>
  <c r="H2242" i="18"/>
  <c r="H2238" i="18"/>
  <c r="H2234" i="18"/>
  <c r="H2230" i="18"/>
  <c r="H2226" i="18"/>
  <c r="H2222" i="18"/>
  <c r="H2218" i="18"/>
  <c r="H2214" i="18"/>
  <c r="H2210" i="18"/>
  <c r="H2206" i="18"/>
  <c r="H2202" i="18"/>
  <c r="H2198" i="18"/>
  <c r="H2194" i="18"/>
  <c r="H2190" i="18"/>
  <c r="H2186" i="18"/>
  <c r="H2182" i="18"/>
  <c r="H2178" i="18"/>
  <c r="H2174" i="18"/>
  <c r="H2170" i="18"/>
  <c r="H2166" i="18"/>
  <c r="H2162" i="18"/>
  <c r="H2158" i="18"/>
  <c r="H2154" i="18"/>
  <c r="H2150" i="18"/>
  <c r="H2146" i="18"/>
  <c r="H2142" i="18"/>
  <c r="H2138" i="18"/>
  <c r="H2134" i="18"/>
  <c r="H2130" i="18"/>
  <c r="H2126" i="18"/>
  <c r="H2122" i="18"/>
  <c r="H2118" i="18"/>
  <c r="H2114" i="18"/>
  <c r="H2110" i="18"/>
  <c r="H2106" i="18"/>
  <c r="H2102" i="18"/>
  <c r="H2098" i="18"/>
  <c r="H2094" i="18"/>
  <c r="H2090" i="18"/>
  <c r="H2086" i="18"/>
  <c r="H2082" i="18"/>
  <c r="H2078" i="18"/>
  <c r="H2074" i="18"/>
  <c r="H2070" i="18"/>
  <c r="H2066" i="18"/>
  <c r="H2062" i="18"/>
  <c r="H2058" i="18"/>
  <c r="H2054" i="18"/>
  <c r="H2050" i="18"/>
  <c r="H2046" i="18"/>
  <c r="H2042" i="18"/>
  <c r="H2038" i="18"/>
  <c r="H2034" i="18"/>
  <c r="H2030" i="18"/>
  <c r="H2026" i="18"/>
  <c r="H2022" i="18"/>
  <c r="H2018" i="18"/>
  <c r="H2014" i="18"/>
  <c r="H2010" i="18"/>
  <c r="H2006" i="18"/>
  <c r="H2002" i="18"/>
  <c r="H1998" i="18"/>
  <c r="H1994" i="18"/>
  <c r="H1990" i="18"/>
  <c r="H1986" i="18"/>
  <c r="H1982" i="18"/>
  <c r="H1978" i="18"/>
  <c r="H1974" i="18"/>
  <c r="H1970" i="18"/>
  <c r="H1966" i="18"/>
  <c r="H1960" i="18"/>
  <c r="H1952" i="18"/>
  <c r="H1944" i="18"/>
  <c r="H1936" i="18"/>
  <c r="H1928" i="18"/>
  <c r="H1920" i="18"/>
  <c r="H1912" i="18"/>
  <c r="H1904" i="18"/>
  <c r="H1896" i="18"/>
  <c r="H1888" i="18"/>
  <c r="H1880" i="18"/>
  <c r="H1872" i="18"/>
  <c r="H1864" i="18"/>
  <c r="H1856" i="18"/>
  <c r="H1848" i="18"/>
  <c r="H1840" i="18"/>
  <c r="H1832" i="18"/>
  <c r="H1824" i="18"/>
  <c r="H1816" i="18"/>
  <c r="H1808" i="18"/>
  <c r="H1800" i="18"/>
  <c r="H1792" i="18"/>
  <c r="H1784" i="18"/>
  <c r="H1776" i="18"/>
  <c r="H1768" i="18"/>
  <c r="H1760" i="18"/>
  <c r="H1752" i="18"/>
  <c r="H1744" i="18"/>
  <c r="H1736" i="18"/>
  <c r="H1728" i="18"/>
  <c r="H1720" i="18"/>
  <c r="H1712" i="18"/>
  <c r="H1704" i="18"/>
  <c r="H1696" i="18"/>
  <c r="H1688" i="18"/>
  <c r="H1680" i="18"/>
  <c r="H1672" i="18"/>
  <c r="H1664" i="18"/>
  <c r="H1656" i="18"/>
  <c r="H1648" i="18"/>
  <c r="H1640" i="18"/>
  <c r="H1632" i="18"/>
  <c r="H1624" i="18"/>
  <c r="H1616" i="18"/>
  <c r="H1608" i="18"/>
  <c r="H1600" i="18"/>
  <c r="H1592" i="18"/>
  <c r="H1584" i="18"/>
  <c r="H1576" i="18"/>
  <c r="H1568" i="18"/>
  <c r="H1560" i="18"/>
  <c r="H1552" i="18"/>
  <c r="H1544" i="18"/>
  <c r="H1536" i="18"/>
  <c r="H1528" i="18"/>
  <c r="H1520" i="18"/>
  <c r="H1512" i="18"/>
  <c r="H1504" i="18"/>
  <c r="H1496" i="18"/>
  <c r="H1488" i="18"/>
  <c r="H1480" i="18"/>
  <c r="H1472" i="18"/>
  <c r="H1464" i="18"/>
  <c r="H1456" i="18"/>
  <c r="H1448" i="18"/>
  <c r="H1440" i="18"/>
  <c r="H1432" i="18"/>
  <c r="H1424" i="18"/>
  <c r="H1416" i="18"/>
  <c r="H1408" i="18"/>
  <c r="H1400" i="18"/>
  <c r="H1392" i="18"/>
  <c r="H1384" i="18"/>
  <c r="H1376" i="18"/>
  <c r="H1368" i="18"/>
  <c r="H1360" i="18"/>
  <c r="H1352" i="18"/>
  <c r="H1344" i="18"/>
  <c r="H1336" i="18"/>
  <c r="H1328" i="18"/>
  <c r="H1320" i="18"/>
  <c r="H1312" i="18"/>
  <c r="H1304" i="18"/>
  <c r="H1296" i="18"/>
  <c r="H1288" i="18"/>
  <c r="H1280" i="18"/>
  <c r="H1272" i="18"/>
  <c r="H1264" i="18"/>
  <c r="H1256" i="18"/>
  <c r="H1248" i="18"/>
  <c r="H1240" i="18"/>
  <c r="H1232" i="18"/>
  <c r="H1224" i="18"/>
  <c r="H1216" i="18"/>
  <c r="H1208" i="18"/>
  <c r="H1200" i="18"/>
  <c r="H1192" i="18"/>
  <c r="H1184" i="18"/>
  <c r="H1176" i="18"/>
  <c r="H1168" i="18"/>
  <c r="H1160" i="18"/>
  <c r="H1152" i="18"/>
  <c r="H1144" i="18"/>
  <c r="H1136" i="18"/>
  <c r="H1128" i="18"/>
  <c r="H1120" i="18"/>
  <c r="H1112" i="18"/>
  <c r="H1104" i="18"/>
  <c r="H1096" i="18"/>
  <c r="H1088" i="18"/>
  <c r="H1080" i="18"/>
  <c r="H1072" i="18"/>
  <c r="H1064" i="18"/>
  <c r="H1056" i="18"/>
  <c r="H1048" i="18"/>
  <c r="H1040" i="18"/>
  <c r="H1032" i="18"/>
  <c r="H1024" i="18"/>
  <c r="H1016" i="18"/>
  <c r="H1008" i="18"/>
  <c r="H1000" i="18"/>
  <c r="H992" i="18"/>
  <c r="H984" i="18"/>
  <c r="H976" i="18"/>
  <c r="H968" i="18"/>
  <c r="H960" i="18"/>
  <c r="H952" i="18"/>
  <c r="H944" i="18"/>
  <c r="H931" i="18"/>
  <c r="H915" i="18"/>
  <c r="H899" i="18"/>
  <c r="H883" i="18"/>
  <c r="H867" i="18"/>
  <c r="H851" i="18"/>
  <c r="H835" i="18"/>
  <c r="H819" i="18"/>
  <c r="H803" i="18"/>
  <c r="H787" i="18"/>
  <c r="H771" i="18"/>
  <c r="H755" i="18"/>
  <c r="H739" i="18"/>
  <c r="H723" i="18"/>
  <c r="H707" i="18"/>
  <c r="H691" i="18"/>
  <c r="H675" i="18"/>
  <c r="H659" i="18"/>
  <c r="H643" i="18"/>
  <c r="H627" i="18"/>
  <c r="H611" i="18"/>
  <c r="H595" i="18"/>
  <c r="H579" i="18"/>
  <c r="H563" i="18"/>
  <c r="H547" i="18"/>
  <c r="H531" i="18"/>
  <c r="H515" i="18"/>
  <c r="H499" i="18"/>
  <c r="H483" i="18"/>
  <c r="H467" i="18"/>
  <c r="H451" i="18"/>
  <c r="H435" i="18"/>
  <c r="H409" i="18"/>
  <c r="H377" i="18"/>
  <c r="H345" i="18"/>
  <c r="H313" i="18"/>
  <c r="H281" i="18"/>
  <c r="H249" i="18"/>
  <c r="H217" i="18"/>
  <c r="H185" i="18"/>
  <c r="H132" i="18"/>
  <c r="H68" i="18"/>
  <c r="H5002" i="18"/>
  <c r="H5000" i="18"/>
  <c r="H4998" i="18"/>
  <c r="H4996" i="18"/>
  <c r="H4994" i="18"/>
  <c r="H4992" i="18"/>
  <c r="H4990" i="18"/>
  <c r="H4988" i="18"/>
  <c r="H4986" i="18"/>
  <c r="H4984" i="18"/>
  <c r="H4982" i="18"/>
  <c r="H4980" i="18"/>
  <c r="H4978" i="18"/>
  <c r="H4976" i="18"/>
  <c r="H4974" i="18"/>
  <c r="H4972" i="18"/>
  <c r="H4970" i="18"/>
  <c r="H4968" i="18"/>
  <c r="H4966" i="18"/>
  <c r="H4964" i="18"/>
  <c r="H4962" i="18"/>
  <c r="H4960" i="18"/>
  <c r="H4958" i="18"/>
  <c r="H4956" i="18"/>
  <c r="H4954" i="18"/>
  <c r="H4952" i="18"/>
  <c r="H4950" i="18"/>
  <c r="H4948" i="18"/>
  <c r="H4946" i="18"/>
  <c r="H4944" i="18"/>
  <c r="H4942" i="18"/>
  <c r="H4940" i="18"/>
  <c r="H4938" i="18"/>
  <c r="H4936" i="18"/>
  <c r="H4934" i="18"/>
  <c r="H4932" i="18"/>
  <c r="H4930" i="18"/>
  <c r="H4928" i="18"/>
  <c r="H4926" i="18"/>
  <c r="H4924" i="18"/>
  <c r="H4922" i="18"/>
  <c r="H4920" i="18"/>
  <c r="H4918" i="18"/>
  <c r="H4916" i="18"/>
  <c r="H4914" i="18"/>
  <c r="H4912" i="18"/>
  <c r="H4910" i="18"/>
  <c r="H4908" i="18"/>
  <c r="H4906" i="18"/>
  <c r="H4904" i="18"/>
  <c r="H4902" i="18"/>
  <c r="H4900" i="18"/>
  <c r="H4898" i="18"/>
  <c r="H4896" i="18"/>
  <c r="H4894" i="18"/>
  <c r="H4892" i="18"/>
  <c r="H4890" i="18"/>
  <c r="H4888" i="18"/>
  <c r="H4886" i="18"/>
  <c r="H4884" i="18"/>
  <c r="H4882" i="18"/>
  <c r="H4880" i="18"/>
  <c r="H4878" i="18"/>
  <c r="H4876" i="18"/>
  <c r="H4874" i="18"/>
  <c r="H4872" i="18"/>
  <c r="H4870" i="18"/>
  <c r="H4868" i="18"/>
  <c r="H4866" i="18"/>
  <c r="H4864" i="18"/>
  <c r="H4862" i="18"/>
  <c r="H4860" i="18"/>
  <c r="H4858" i="18"/>
  <c r="H4856" i="18"/>
  <c r="H4854" i="18"/>
  <c r="H4852" i="18"/>
  <c r="H4850" i="18"/>
  <c r="H4848" i="18"/>
  <c r="H4846" i="18"/>
  <c r="H4844" i="18"/>
  <c r="H4842" i="18"/>
  <c r="H4840" i="18"/>
  <c r="H4838" i="18"/>
  <c r="H4836" i="18"/>
  <c r="H4834" i="18"/>
  <c r="H4832" i="18"/>
  <c r="H4830" i="18"/>
  <c r="H4828" i="18"/>
  <c r="H4826" i="18"/>
  <c r="H4824" i="18"/>
  <c r="H4822" i="18"/>
  <c r="H4820" i="18"/>
  <c r="H4818" i="18"/>
  <c r="H4816" i="18"/>
  <c r="H4814" i="18"/>
  <c r="H4812" i="18"/>
  <c r="H4810" i="18"/>
  <c r="H4808" i="18"/>
  <c r="H4806" i="18"/>
  <c r="H4804" i="18"/>
  <c r="H4802" i="18"/>
  <c r="H4800" i="18"/>
  <c r="H4798" i="18"/>
  <c r="H4796" i="18"/>
  <c r="H4794" i="18"/>
  <c r="H4792" i="18"/>
  <c r="H4790" i="18"/>
  <c r="H4788" i="18"/>
  <c r="H4786" i="18"/>
  <c r="H4784" i="18"/>
  <c r="H4782" i="18"/>
  <c r="H4780" i="18"/>
  <c r="H4778" i="18"/>
  <c r="H4776" i="18"/>
  <c r="H4774" i="18"/>
  <c r="H4772" i="18"/>
  <c r="H4770" i="18"/>
  <c r="H4768" i="18"/>
  <c r="H4766" i="18"/>
  <c r="H4764" i="18"/>
  <c r="H4762" i="18"/>
  <c r="H4760" i="18"/>
  <c r="H4758" i="18"/>
  <c r="H4756" i="18"/>
  <c r="H4754" i="18"/>
  <c r="H4752" i="18"/>
  <c r="H4750" i="18"/>
  <c r="H4748" i="18"/>
  <c r="H4746" i="18"/>
  <c r="H4744" i="18"/>
  <c r="H4742" i="18"/>
  <c r="H4740" i="18"/>
  <c r="H4738" i="18"/>
  <c r="H4736" i="18"/>
  <c r="H4734" i="18"/>
  <c r="H4732" i="18"/>
  <c r="H4730" i="18"/>
  <c r="H4728" i="18"/>
  <c r="H4726" i="18"/>
  <c r="H4724" i="18"/>
  <c r="H4722" i="18"/>
  <c r="H4720" i="18"/>
  <c r="H4718" i="18"/>
  <c r="H4716" i="18"/>
  <c r="H4714" i="18"/>
  <c r="H4712" i="18"/>
  <c r="H4710" i="18"/>
  <c r="H4708" i="18"/>
  <c r="H4706" i="18"/>
  <c r="H4704" i="18"/>
  <c r="H4702" i="18"/>
  <c r="H4700" i="18"/>
  <c r="H4698" i="18"/>
  <c r="H4696" i="18"/>
  <c r="H4694" i="18"/>
  <c r="H4692" i="18"/>
  <c r="H4690" i="18"/>
  <c r="H4688" i="18"/>
  <c r="H4686" i="18"/>
  <c r="H4684" i="18"/>
  <c r="H4682" i="18"/>
  <c r="H4680" i="18"/>
  <c r="H4678" i="18"/>
  <c r="H4676" i="18"/>
  <c r="H4674" i="18"/>
  <c r="H4672" i="18"/>
  <c r="H4670" i="18"/>
  <c r="H4668" i="18"/>
  <c r="H4666" i="18"/>
  <c r="H4664" i="18"/>
  <c r="H4662" i="18"/>
  <c r="H4660" i="18"/>
  <c r="H4658" i="18"/>
  <c r="H4656" i="18"/>
  <c r="H4654" i="18"/>
  <c r="H4652" i="18"/>
  <c r="H4650" i="18"/>
  <c r="H4648" i="18"/>
  <c r="H4646" i="18"/>
  <c r="H4644" i="18"/>
  <c r="H4642" i="18"/>
  <c r="H4640" i="18"/>
  <c r="H4638" i="18"/>
  <c r="H4636" i="18"/>
  <c r="H4634" i="18"/>
  <c r="H4632" i="18"/>
  <c r="H4630" i="18"/>
  <c r="H4628" i="18"/>
  <c r="H4626" i="18"/>
  <c r="H4624" i="18"/>
  <c r="H4622" i="18"/>
  <c r="H4620" i="18"/>
  <c r="H4618" i="18"/>
  <c r="H4616" i="18"/>
  <c r="H4614" i="18"/>
  <c r="H4612" i="18"/>
  <c r="H4610" i="18"/>
  <c r="H4608" i="18"/>
  <c r="H4606" i="18"/>
  <c r="H4604" i="18"/>
  <c r="H4602" i="18"/>
  <c r="H4600" i="18"/>
  <c r="H4598" i="18"/>
  <c r="H4596" i="18"/>
  <c r="H4594" i="18"/>
  <c r="H4592" i="18"/>
  <c r="H4590" i="18"/>
  <c r="H4588" i="18"/>
  <c r="H4586" i="18"/>
  <c r="H4584" i="18"/>
  <c r="H4582" i="18"/>
  <c r="H4580" i="18"/>
  <c r="H4578" i="18"/>
  <c r="H4576" i="18"/>
  <c r="H4574" i="18"/>
  <c r="H4572" i="18"/>
  <c r="H4570" i="18"/>
  <c r="H4568" i="18"/>
  <c r="H4566" i="18"/>
  <c r="H4564" i="18"/>
  <c r="H4562" i="18"/>
  <c r="H4560" i="18"/>
  <c r="H4558" i="18"/>
  <c r="H4556" i="18"/>
  <c r="H4554" i="18"/>
  <c r="H4552" i="18"/>
  <c r="H4550" i="18"/>
  <c r="H4548" i="18"/>
  <c r="H4546" i="18"/>
  <c r="H4544" i="18"/>
  <c r="H4542" i="18"/>
  <c r="H4540" i="18"/>
  <c r="H4538" i="18"/>
  <c r="H4536" i="18"/>
  <c r="H4534" i="18"/>
  <c r="H4532" i="18"/>
  <c r="H4530" i="18"/>
  <c r="H4528" i="18"/>
  <c r="H4526" i="18"/>
  <c r="H4524" i="18"/>
  <c r="H4522" i="18"/>
  <c r="H4520" i="18"/>
  <c r="H4518" i="18"/>
  <c r="H4516" i="18"/>
  <c r="H4514" i="18"/>
  <c r="H4512" i="18"/>
  <c r="H4510" i="18"/>
  <c r="H4508" i="18"/>
  <c r="H4506" i="18"/>
  <c r="H4504" i="18"/>
  <c r="H4502" i="18"/>
  <c r="H4500" i="18"/>
  <c r="H4498" i="18"/>
  <c r="H4496" i="18"/>
  <c r="H4494" i="18"/>
  <c r="H4492" i="18"/>
  <c r="H4490" i="18"/>
  <c r="H4488" i="18"/>
  <c r="H4486" i="18"/>
  <c r="H4484" i="18"/>
  <c r="H4482" i="18"/>
  <c r="H4480" i="18"/>
  <c r="H4478" i="18"/>
  <c r="H4476" i="18"/>
  <c r="H4474" i="18"/>
  <c r="H4472" i="18"/>
  <c r="H4470" i="18"/>
  <c r="H4468" i="18"/>
  <c r="H4466" i="18"/>
  <c r="H4464" i="18"/>
  <c r="H4462" i="18"/>
  <c r="H4460" i="18"/>
  <c r="H4458" i="18"/>
  <c r="H4456" i="18"/>
  <c r="H4454" i="18"/>
  <c r="H4452" i="18"/>
  <c r="H4450" i="18"/>
  <c r="H4448" i="18"/>
  <c r="H4446" i="18"/>
  <c r="H4444" i="18"/>
  <c r="H4442" i="18"/>
  <c r="H4440" i="18"/>
  <c r="H4438" i="18"/>
  <c r="H4436" i="18"/>
  <c r="H4434" i="18"/>
  <c r="H4432" i="18"/>
  <c r="H4430" i="18"/>
  <c r="H4428" i="18"/>
  <c r="H4426" i="18"/>
  <c r="H4424" i="18"/>
  <c r="H4422" i="18"/>
  <c r="H4420" i="18"/>
  <c r="H4418" i="18"/>
  <c r="H4416" i="18"/>
  <c r="H4414" i="18"/>
  <c r="H4412" i="18"/>
  <c r="H4410" i="18"/>
  <c r="H4408" i="18"/>
  <c r="H4406" i="18"/>
  <c r="H4404" i="18"/>
  <c r="H4402" i="18"/>
  <c r="H4400" i="18"/>
  <c r="H4398" i="18"/>
  <c r="H4396" i="18"/>
  <c r="H4394" i="18"/>
  <c r="H4392" i="18"/>
  <c r="H4390" i="18"/>
  <c r="H4388" i="18"/>
  <c r="H4386" i="18"/>
  <c r="H4384" i="18"/>
  <c r="H4382" i="18"/>
  <c r="H4380" i="18"/>
  <c r="H4378" i="18"/>
  <c r="H4376" i="18"/>
  <c r="H4374" i="18"/>
  <c r="H4372" i="18"/>
  <c r="H4370" i="18"/>
  <c r="H4368" i="18"/>
  <c r="H4366" i="18"/>
  <c r="H4364" i="18"/>
  <c r="H4362" i="18"/>
  <c r="H4360" i="18"/>
  <c r="H4358" i="18"/>
  <c r="H4356" i="18"/>
  <c r="H4354" i="18"/>
  <c r="H4352" i="18"/>
  <c r="H4350" i="18"/>
  <c r="H4348" i="18"/>
  <c r="H4346" i="18"/>
  <c r="H4344" i="18"/>
  <c r="H4342" i="18"/>
  <c r="H4340" i="18"/>
  <c r="H4338" i="18"/>
  <c r="H4336" i="18"/>
  <c r="H4334" i="18"/>
  <c r="H4332" i="18"/>
  <c r="H4330" i="18"/>
  <c r="H4328" i="18"/>
  <c r="H4326" i="18"/>
  <c r="H4324" i="18"/>
  <c r="H4322" i="18"/>
  <c r="H4320" i="18"/>
  <c r="H4318" i="18"/>
  <c r="H4316" i="18"/>
  <c r="H4314" i="18"/>
  <c r="H4312" i="18"/>
  <c r="H4310" i="18"/>
  <c r="H4308" i="18"/>
  <c r="H4306" i="18"/>
  <c r="H4304" i="18"/>
  <c r="H4302" i="18"/>
  <c r="H4300" i="18"/>
  <c r="H4298" i="18"/>
  <c r="H4296" i="18"/>
  <c r="H4294" i="18"/>
  <c r="H4292" i="18"/>
  <c r="H4290" i="18"/>
  <c r="H4288" i="18"/>
  <c r="H4286" i="18"/>
  <c r="H4284" i="18"/>
  <c r="H4282" i="18"/>
  <c r="H4280" i="18"/>
  <c r="H4278" i="18"/>
  <c r="H4276" i="18"/>
  <c r="H4274" i="18"/>
  <c r="H4272" i="18"/>
  <c r="H4270" i="18"/>
  <c r="H4268" i="18"/>
  <c r="H4266" i="18"/>
  <c r="H4264" i="18"/>
  <c r="H4262" i="18"/>
  <c r="H4260" i="18"/>
  <c r="H4258" i="18"/>
  <c r="H4256" i="18"/>
  <c r="H4254" i="18"/>
  <c r="H4252" i="18"/>
  <c r="H4250" i="18"/>
  <c r="H4248" i="18"/>
  <c r="H4246" i="18"/>
  <c r="H4244" i="18"/>
  <c r="H4242" i="18"/>
  <c r="H4240" i="18"/>
  <c r="H4238" i="18"/>
  <c r="H4236" i="18"/>
  <c r="H4234" i="18"/>
  <c r="H4232" i="18"/>
  <c r="H4230" i="18"/>
  <c r="H4228" i="18"/>
  <c r="H4226" i="18"/>
  <c r="H4224" i="18"/>
  <c r="H4222" i="18"/>
  <c r="H4220" i="18"/>
  <c r="H4218" i="18"/>
  <c r="H4216" i="18"/>
  <c r="H4214" i="18"/>
  <c r="H4212" i="18"/>
  <c r="H4210" i="18"/>
  <c r="H4208" i="18"/>
  <c r="H4206" i="18"/>
  <c r="H4204" i="18"/>
  <c r="H4202" i="18"/>
  <c r="H4200" i="18"/>
  <c r="H4198" i="18"/>
  <c r="H4196" i="18"/>
  <c r="H4194" i="18"/>
  <c r="H4192" i="18"/>
  <c r="H4190" i="18"/>
  <c r="H4188" i="18"/>
  <c r="H4186" i="18"/>
  <c r="H4184" i="18"/>
  <c r="H4182" i="18"/>
  <c r="H4180" i="18"/>
  <c r="H4178" i="18"/>
  <c r="H4176" i="18"/>
  <c r="H4174" i="18"/>
  <c r="H4172" i="18"/>
  <c r="H4170" i="18"/>
  <c r="H4168" i="18"/>
  <c r="H4166" i="18"/>
  <c r="H4164" i="18"/>
  <c r="H4162" i="18"/>
  <c r="H4160" i="18"/>
  <c r="H4158" i="18"/>
  <c r="H4156" i="18"/>
  <c r="H4154" i="18"/>
  <c r="H4152" i="18"/>
  <c r="H4150" i="18"/>
  <c r="H4148" i="18"/>
  <c r="H4146" i="18"/>
  <c r="H4144" i="18"/>
  <c r="H4142" i="18"/>
  <c r="H4140" i="18"/>
  <c r="H4138" i="18"/>
  <c r="H4136" i="18"/>
  <c r="H4134" i="18"/>
  <c r="H4132" i="18"/>
  <c r="H4130" i="18"/>
  <c r="H4128" i="18"/>
  <c r="H4126" i="18"/>
  <c r="H4124" i="18"/>
  <c r="H4122" i="18"/>
  <c r="H4120" i="18"/>
  <c r="H4118" i="18"/>
  <c r="H4116" i="18"/>
  <c r="H4114" i="18"/>
  <c r="H4112" i="18"/>
  <c r="H4110" i="18"/>
  <c r="H4108" i="18"/>
  <c r="H4106" i="18"/>
  <c r="H4104" i="18"/>
  <c r="H4102" i="18"/>
  <c r="H4100" i="18"/>
  <c r="H4098" i="18"/>
  <c r="H4096" i="18"/>
  <c r="H4094" i="18"/>
  <c r="H4092" i="18"/>
  <c r="H4090" i="18"/>
  <c r="H4088" i="18"/>
  <c r="H4086" i="18"/>
  <c r="H4084" i="18"/>
  <c r="H4082" i="18"/>
  <c r="H4080" i="18"/>
  <c r="H4078" i="18"/>
  <c r="H4076" i="18"/>
  <c r="H4074" i="18"/>
  <c r="H4072" i="18"/>
  <c r="H4070" i="18"/>
  <c r="H4068" i="18"/>
  <c r="H4066" i="18"/>
  <c r="H4064" i="18"/>
  <c r="H4062" i="18"/>
  <c r="H4060" i="18"/>
  <c r="H4058" i="18"/>
  <c r="H4056" i="18"/>
  <c r="H4054" i="18"/>
  <c r="H4052" i="18"/>
  <c r="H4050" i="18"/>
  <c r="H4048" i="18"/>
  <c r="H4046" i="18"/>
  <c r="H4044" i="18"/>
  <c r="H4042" i="18"/>
  <c r="H4040" i="18"/>
  <c r="H4038" i="18"/>
  <c r="H4036" i="18"/>
  <c r="H4034" i="18"/>
  <c r="H4032" i="18"/>
  <c r="H4030" i="18"/>
  <c r="H4028" i="18"/>
  <c r="H4026" i="18"/>
  <c r="H4024" i="18"/>
  <c r="H4022" i="18"/>
  <c r="H4020" i="18"/>
  <c r="H4018" i="18"/>
  <c r="H4016" i="18"/>
  <c r="H4014" i="18"/>
  <c r="H4012" i="18"/>
  <c r="H4008" i="18"/>
  <c r="H4004" i="18"/>
  <c r="H4000" i="18"/>
  <c r="H3996" i="18"/>
  <c r="H3992" i="18"/>
  <c r="H3988" i="18"/>
  <c r="H3984" i="18"/>
  <c r="H3980" i="18"/>
  <c r="H3976" i="18"/>
  <c r="H3972" i="18"/>
  <c r="H3968" i="18"/>
  <c r="H3964" i="18"/>
  <c r="H3960" i="18"/>
  <c r="H3956" i="18"/>
  <c r="H3952" i="18"/>
  <c r="H3948" i="18"/>
  <c r="H3944" i="18"/>
  <c r="H3940" i="18"/>
  <c r="H3936" i="18"/>
  <c r="H3932" i="18"/>
  <c r="H3928" i="18"/>
  <c r="H3924" i="18"/>
  <c r="H3920" i="18"/>
  <c r="H3916" i="18"/>
  <c r="H3912" i="18"/>
  <c r="H3908" i="18"/>
  <c r="H3904" i="18"/>
  <c r="H3900" i="18"/>
  <c r="H3896" i="18"/>
  <c r="H3892" i="18"/>
  <c r="H3888" i="18"/>
  <c r="H3884" i="18"/>
  <c r="H3880" i="18"/>
  <c r="H3876" i="18"/>
  <c r="H3872" i="18"/>
  <c r="H3868" i="18"/>
  <c r="H3864" i="18"/>
  <c r="H3860" i="18"/>
  <c r="H3856" i="18"/>
  <c r="H3852" i="18"/>
  <c r="H3848" i="18"/>
  <c r="H3844" i="18"/>
  <c r="H3840" i="18"/>
  <c r="H3836" i="18"/>
  <c r="H3832" i="18"/>
  <c r="H3828" i="18"/>
  <c r="H3824" i="18"/>
  <c r="H3820" i="18"/>
  <c r="H3816" i="18"/>
  <c r="H3812" i="18"/>
  <c r="H3808" i="18"/>
  <c r="H3804" i="18"/>
  <c r="H3800" i="18"/>
  <c r="H3796" i="18"/>
  <c r="H3792" i="18"/>
  <c r="H3788" i="18"/>
  <c r="H3784" i="18"/>
  <c r="H3780" i="18"/>
  <c r="H3776" i="18"/>
  <c r="H3772" i="18"/>
  <c r="H3768" i="18"/>
  <c r="H3764" i="18"/>
  <c r="H3760" i="18"/>
  <c r="H3756" i="18"/>
  <c r="H3752" i="18"/>
  <c r="H3748" i="18"/>
  <c r="H3744" i="18"/>
  <c r="H3740" i="18"/>
  <c r="H3736" i="18"/>
  <c r="H3732" i="18"/>
  <c r="H3728" i="18"/>
  <c r="H3724" i="18"/>
  <c r="H3720" i="18"/>
  <c r="H3716" i="18"/>
  <c r="H3712" i="18"/>
  <c r="H3708" i="18"/>
  <c r="H3704" i="18"/>
  <c r="H3700" i="18"/>
  <c r="H3696" i="18"/>
  <c r="H3692" i="18"/>
  <c r="H3688" i="18"/>
  <c r="H3684" i="18"/>
  <c r="H3680" i="18"/>
  <c r="H3676" i="18"/>
  <c r="H3672" i="18"/>
  <c r="H3668" i="18"/>
  <c r="H3664" i="18"/>
  <c r="H3660" i="18"/>
  <c r="H3656" i="18"/>
  <c r="H3652" i="18"/>
  <c r="H3648" i="18"/>
  <c r="H3644" i="18"/>
  <c r="H3640" i="18"/>
  <c r="H3636" i="18"/>
  <c r="H3632" i="18"/>
  <c r="H3628" i="18"/>
  <c r="H3624" i="18"/>
  <c r="H3620" i="18"/>
  <c r="H3616" i="18"/>
  <c r="H3612" i="18"/>
  <c r="H3608" i="18"/>
  <c r="H3604" i="18"/>
  <c r="H3600" i="18"/>
  <c r="H3596" i="18"/>
  <c r="H3592" i="18"/>
  <c r="H3588" i="18"/>
  <c r="H3584" i="18"/>
  <c r="H3580" i="18"/>
  <c r="H3576" i="18"/>
  <c r="H3572" i="18"/>
  <c r="H3568" i="18"/>
  <c r="H3564" i="18"/>
  <c r="H3560" i="18"/>
  <c r="H3556" i="18"/>
  <c r="H3552" i="18"/>
  <c r="H3548" i="18"/>
  <c r="H3544" i="18"/>
  <c r="H3540" i="18"/>
  <c r="H3536" i="18"/>
  <c r="H3532" i="18"/>
  <c r="H3528" i="18"/>
  <c r="H3524" i="18"/>
  <c r="H3520" i="18"/>
  <c r="H3516" i="18"/>
  <c r="H3512" i="18"/>
  <c r="H3508" i="18"/>
  <c r="H3504" i="18"/>
  <c r="H3500" i="18"/>
  <c r="H3496" i="18"/>
  <c r="H3492" i="18"/>
  <c r="H3488" i="18"/>
  <c r="H3484" i="18"/>
  <c r="H3480" i="18"/>
  <c r="H3476" i="18"/>
  <c r="H3472" i="18"/>
  <c r="H3468" i="18"/>
  <c r="H3464" i="18"/>
  <c r="H3460" i="18"/>
  <c r="H3456" i="18"/>
  <c r="H3452" i="18"/>
  <c r="H3448" i="18"/>
  <c r="H3444" i="18"/>
  <c r="H3440" i="18"/>
  <c r="H3436" i="18"/>
  <c r="H3432" i="18"/>
  <c r="H3428" i="18"/>
  <c r="H3424" i="18"/>
  <c r="H3420" i="18"/>
  <c r="H3416" i="18"/>
  <c r="H3412" i="18"/>
  <c r="H3408" i="18"/>
  <c r="H3404" i="18"/>
  <c r="H3400" i="18"/>
  <c r="H3396" i="18"/>
  <c r="H3392" i="18"/>
  <c r="H3388" i="18"/>
  <c r="H3384" i="18"/>
  <c r="H3380" i="18"/>
  <c r="H3376" i="18"/>
  <c r="H3372" i="18"/>
  <c r="H3368" i="18"/>
  <c r="H3364" i="18"/>
  <c r="H3360" i="18"/>
  <c r="H3356" i="18"/>
  <c r="H3352" i="18"/>
  <c r="H3348" i="18"/>
  <c r="H3344" i="18"/>
  <c r="H3340" i="18"/>
  <c r="H3336" i="18"/>
  <c r="H3332" i="18"/>
  <c r="H3328" i="18"/>
  <c r="H3324" i="18"/>
  <c r="H3320" i="18"/>
  <c r="H3316" i="18"/>
  <c r="H3312" i="18"/>
  <c r="H3308" i="18"/>
  <c r="H3304" i="18"/>
  <c r="H3300" i="18"/>
  <c r="H3296" i="18"/>
  <c r="H3292" i="18"/>
  <c r="H3288" i="18"/>
  <c r="H3284" i="18"/>
  <c r="H3280" i="18"/>
  <c r="H3276" i="18"/>
  <c r="H3272" i="18"/>
  <c r="H3268" i="18"/>
  <c r="H3264" i="18"/>
  <c r="H3260" i="18"/>
  <c r="H3256" i="18"/>
  <c r="H3252" i="18"/>
  <c r="H3248" i="18"/>
  <c r="H3244" i="18"/>
  <c r="H3240" i="18"/>
  <c r="H3236" i="18"/>
  <c r="H3232" i="18"/>
  <c r="H3228" i="18"/>
  <c r="H3224" i="18"/>
  <c r="H3220" i="18"/>
  <c r="H3216" i="18"/>
  <c r="H3212" i="18"/>
  <c r="H3208" i="18"/>
  <c r="H3204" i="18"/>
  <c r="H3200" i="18"/>
  <c r="H3196" i="18"/>
  <c r="H3192" i="18"/>
  <c r="H3188" i="18"/>
  <c r="H3184" i="18"/>
  <c r="H3180" i="18"/>
  <c r="H3176" i="18"/>
  <c r="H3172" i="18"/>
  <c r="H3168" i="18"/>
  <c r="H3164" i="18"/>
  <c r="H3160" i="18"/>
  <c r="H3156" i="18"/>
  <c r="H3152" i="18"/>
  <c r="H3148" i="18"/>
  <c r="H3144" i="18"/>
  <c r="H3140" i="18"/>
  <c r="H3136" i="18"/>
  <c r="H3132" i="18"/>
  <c r="H3128" i="18"/>
  <c r="H3124" i="18"/>
  <c r="H3120" i="18"/>
  <c r="H3116" i="18"/>
  <c r="H3112" i="18"/>
  <c r="H3108" i="18"/>
  <c r="H3104" i="18"/>
  <c r="H3100" i="18"/>
  <c r="H3096" i="18"/>
  <c r="H3092" i="18"/>
  <c r="H3088" i="18"/>
  <c r="H3084" i="18"/>
  <c r="H3080" i="18"/>
  <c r="H3076" i="18"/>
  <c r="H3072" i="18"/>
  <c r="H3068" i="18"/>
  <c r="H3064" i="18"/>
  <c r="H3060" i="18"/>
  <c r="H3056" i="18"/>
  <c r="H3052" i="18"/>
  <c r="H3048" i="18"/>
  <c r="H3044" i="18"/>
  <c r="H3040" i="18"/>
  <c r="H3036" i="18"/>
  <c r="H3032" i="18"/>
  <c r="H3028" i="18"/>
  <c r="H3024" i="18"/>
  <c r="H3020" i="18"/>
  <c r="H3016" i="18"/>
  <c r="H3012" i="18"/>
  <c r="H3008" i="18"/>
  <c r="H3004" i="18"/>
  <c r="H3000" i="18"/>
  <c r="H2996" i="18"/>
  <c r="H2992" i="18"/>
  <c r="H2988" i="18"/>
  <c r="H2984" i="18"/>
  <c r="H2980" i="18"/>
  <c r="H2976" i="18"/>
  <c r="H2972" i="18"/>
  <c r="H2968" i="18"/>
  <c r="H2964" i="18"/>
  <c r="H2960" i="18"/>
  <c r="H2956" i="18"/>
  <c r="H2952" i="18"/>
  <c r="H2948" i="18"/>
  <c r="H2944" i="18"/>
  <c r="H2940" i="18"/>
  <c r="H2936" i="18"/>
  <c r="H2932" i="18"/>
  <c r="H2928" i="18"/>
  <c r="H2924" i="18"/>
  <c r="H2920" i="18"/>
  <c r="H2916" i="18"/>
  <c r="H2912" i="18"/>
  <c r="H2908" i="18"/>
  <c r="H2904" i="18"/>
  <c r="H2900" i="18"/>
  <c r="H2896" i="18"/>
  <c r="H2892" i="18"/>
  <c r="H2888" i="18"/>
  <c r="H2884" i="18"/>
  <c r="H2880" i="18"/>
  <c r="H2876" i="18"/>
  <c r="H2872" i="18"/>
  <c r="H2868" i="18"/>
  <c r="H2864" i="18"/>
  <c r="H2860" i="18"/>
  <c r="H2856" i="18"/>
  <c r="H2852" i="18"/>
  <c r="H2848" i="18"/>
  <c r="H2844" i="18"/>
  <c r="H2840" i="18"/>
  <c r="H2836" i="18"/>
  <c r="H2832" i="18"/>
  <c r="H2828" i="18"/>
  <c r="H2824" i="18"/>
  <c r="H2820" i="18"/>
  <c r="H2816" i="18"/>
  <c r="H2812" i="18"/>
  <c r="H2808" i="18"/>
  <c r="H2804" i="18"/>
  <c r="H2800" i="18"/>
  <c r="H2796" i="18"/>
  <c r="H2792" i="18"/>
  <c r="H2788" i="18"/>
  <c r="H2784" i="18"/>
  <c r="H2780" i="18"/>
  <c r="H2776" i="18"/>
  <c r="H2772" i="18"/>
  <c r="H2768" i="18"/>
  <c r="H2764" i="18"/>
  <c r="H2760" i="18"/>
  <c r="H2756" i="18"/>
  <c r="H2752" i="18"/>
  <c r="H2748" i="18"/>
  <c r="H2744" i="18"/>
  <c r="H2740" i="18"/>
  <c r="H2736" i="18"/>
  <c r="H2732" i="18"/>
  <c r="H2728" i="18"/>
  <c r="H2724" i="18"/>
  <c r="H2720" i="18"/>
  <c r="H2716" i="18"/>
  <c r="H2712" i="18"/>
  <c r="H2708" i="18"/>
  <c r="H2704" i="18"/>
  <c r="H2700" i="18"/>
  <c r="H2696" i="18"/>
  <c r="H2692" i="18"/>
  <c r="H2688" i="18"/>
  <c r="H2684" i="18"/>
  <c r="H2680" i="18"/>
  <c r="H2676" i="18"/>
  <c r="H2672" i="18"/>
  <c r="H2668" i="18"/>
  <c r="H2664" i="18"/>
  <c r="H2660" i="18"/>
  <c r="H2656" i="18"/>
  <c r="H2652" i="18"/>
  <c r="H2648" i="18"/>
  <c r="H2644" i="18"/>
  <c r="H2640" i="18"/>
  <c r="H2636" i="18"/>
  <c r="H2632" i="18"/>
  <c r="H2628" i="18"/>
  <c r="H2624" i="18"/>
  <c r="H2620" i="18"/>
  <c r="H2616" i="18"/>
  <c r="H2612" i="18"/>
  <c r="H2608" i="18"/>
  <c r="H2604" i="18"/>
  <c r="H2600" i="18"/>
  <c r="H2596" i="18"/>
  <c r="H2592" i="18"/>
  <c r="H2588" i="18"/>
  <c r="H2584" i="18"/>
  <c r="H2580" i="18"/>
  <c r="H2576" i="18"/>
  <c r="H2572" i="18"/>
  <c r="H2568" i="18"/>
  <c r="H2564" i="18"/>
  <c r="H2560" i="18"/>
  <c r="H2556" i="18"/>
  <c r="H2552" i="18"/>
  <c r="H2548" i="18"/>
  <c r="H2544" i="18"/>
  <c r="H2540" i="18"/>
  <c r="H2536" i="18"/>
  <c r="H2532" i="18"/>
  <c r="H2528" i="18"/>
  <c r="H2524" i="18"/>
  <c r="H2520" i="18"/>
  <c r="H2516" i="18"/>
  <c r="H2512" i="18"/>
  <c r="H2508" i="18"/>
  <c r="H2504" i="18"/>
  <c r="H2500" i="18"/>
  <c r="H2496" i="18"/>
  <c r="H2492" i="18"/>
  <c r="H2488" i="18"/>
  <c r="H2484" i="18"/>
  <c r="H2480" i="18"/>
  <c r="H2476" i="18"/>
  <c r="H2472" i="18"/>
  <c r="H2468" i="18"/>
  <c r="H2464" i="18"/>
  <c r="H2460" i="18"/>
  <c r="H2456" i="18"/>
  <c r="H2452" i="18"/>
  <c r="H2448" i="18"/>
  <c r="H2444" i="18"/>
  <c r="H2440" i="18"/>
  <c r="H2436" i="18"/>
  <c r="H2432" i="18"/>
  <c r="H2428" i="18"/>
  <c r="H2424" i="18"/>
  <c r="H2420" i="18"/>
  <c r="H2416" i="18"/>
  <c r="H2412" i="18"/>
  <c r="H2408" i="18"/>
  <c r="H2404" i="18"/>
  <c r="H2400" i="18"/>
  <c r="H2396" i="18"/>
  <c r="H2392" i="18"/>
  <c r="H2388" i="18"/>
  <c r="H2384" i="18"/>
  <c r="H2380" i="18"/>
  <c r="H2376" i="18"/>
  <c r="H2372" i="18"/>
  <c r="H2368" i="18"/>
  <c r="H2364" i="18"/>
  <c r="H2360" i="18"/>
  <c r="H2356" i="18"/>
  <c r="H2352" i="18"/>
  <c r="H2348" i="18"/>
  <c r="H2344" i="18"/>
  <c r="H2340" i="18"/>
  <c r="H2336" i="18"/>
  <c r="H2332" i="18"/>
  <c r="H2328" i="18"/>
  <c r="H2324" i="18"/>
  <c r="H2320" i="18"/>
  <c r="H2316" i="18"/>
  <c r="H2312" i="18"/>
  <c r="H2308" i="18"/>
  <c r="H2304" i="18"/>
  <c r="H2300" i="18"/>
  <c r="H2296" i="18"/>
  <c r="H2292" i="18"/>
  <c r="H2288" i="18"/>
  <c r="H2284" i="18"/>
  <c r="H2280" i="18"/>
  <c r="H2276" i="18"/>
  <c r="H2272" i="18"/>
  <c r="H2268" i="18"/>
  <c r="H2264" i="18"/>
  <c r="H2260" i="18"/>
  <c r="H2256" i="18"/>
  <c r="H2252" i="18"/>
  <c r="H2248" i="18"/>
  <c r="H2244" i="18"/>
  <c r="H2240" i="18"/>
  <c r="H2236" i="18"/>
  <c r="H2232" i="18"/>
  <c r="H2228" i="18"/>
  <c r="H2224" i="18"/>
  <c r="H2220" i="18"/>
  <c r="H2216" i="18"/>
  <c r="H2212" i="18"/>
  <c r="H2208" i="18"/>
  <c r="H2204" i="18"/>
  <c r="H2200" i="18"/>
  <c r="H2196" i="18"/>
  <c r="H2192" i="18"/>
  <c r="H2188" i="18"/>
  <c r="H2184" i="18"/>
  <c r="H2180" i="18"/>
  <c r="H2176" i="18"/>
  <c r="H2172" i="18"/>
  <c r="H2168" i="18"/>
  <c r="H2164" i="18"/>
  <c r="H2160" i="18"/>
  <c r="H2156" i="18"/>
  <c r="H2152" i="18"/>
  <c r="H2148" i="18"/>
  <c r="H2144" i="18"/>
  <c r="H2140" i="18"/>
  <c r="H2136" i="18"/>
  <c r="H2132" i="18"/>
  <c r="H2128" i="18"/>
  <c r="H2124" i="18"/>
  <c r="H2120" i="18"/>
  <c r="H2116" i="18"/>
  <c r="H2112" i="18"/>
  <c r="H2108" i="18"/>
  <c r="H2104" i="18"/>
  <c r="H2100" i="18"/>
  <c r="H2096" i="18"/>
  <c r="H2092" i="18"/>
  <c r="H2088" i="18"/>
  <c r="H2084" i="18"/>
  <c r="H2080" i="18"/>
  <c r="H2076" i="18"/>
  <c r="H2072" i="18"/>
  <c r="H2068" i="18"/>
  <c r="H2064" i="18"/>
  <c r="H2060" i="18"/>
  <c r="H2056" i="18"/>
  <c r="H2052" i="18"/>
  <c r="H2048" i="18"/>
  <c r="H2044" i="18"/>
  <c r="H2040" i="18"/>
  <c r="H2036" i="18"/>
  <c r="H2032" i="18"/>
  <c r="H2028" i="18"/>
  <c r="H2024" i="18"/>
  <c r="H2020" i="18"/>
  <c r="H2016" i="18"/>
  <c r="H2012" i="18"/>
  <c r="H2008" i="18"/>
  <c r="H2004" i="18"/>
  <c r="H2000" i="18"/>
  <c r="H1996" i="18"/>
  <c r="H1992" i="18"/>
  <c r="H1988" i="18"/>
  <c r="H1984" i="18"/>
  <c r="H1980" i="18"/>
  <c r="H1976" i="18"/>
  <c r="H1972" i="18"/>
  <c r="H1968" i="18"/>
  <c r="H1964" i="18"/>
  <c r="H1956" i="18"/>
  <c r="H1948" i="18"/>
  <c r="H1940" i="18"/>
  <c r="H1932" i="18"/>
  <c r="H1924" i="18"/>
  <c r="H1916" i="18"/>
  <c r="H1908" i="18"/>
  <c r="H1900" i="18"/>
  <c r="H1892" i="18"/>
  <c r="H1884" i="18"/>
  <c r="H1876" i="18"/>
  <c r="H1868" i="18"/>
  <c r="H1860" i="18"/>
  <c r="H1852" i="18"/>
  <c r="H1844" i="18"/>
  <c r="H1836" i="18"/>
  <c r="H1828" i="18"/>
  <c r="H1820" i="18"/>
  <c r="H1812" i="18"/>
  <c r="H1804" i="18"/>
  <c r="H1796" i="18"/>
  <c r="H1788" i="18"/>
  <c r="H1780" i="18"/>
  <c r="H1772" i="18"/>
  <c r="H1764" i="18"/>
  <c r="H1756" i="18"/>
  <c r="H1748" i="18"/>
  <c r="H1740" i="18"/>
  <c r="H1732" i="18"/>
  <c r="H1724" i="18"/>
  <c r="H1716" i="18"/>
  <c r="H1708" i="18"/>
  <c r="H1700" i="18"/>
  <c r="H1692" i="18"/>
  <c r="H1684" i="18"/>
  <c r="H1676" i="18"/>
  <c r="H1668" i="18"/>
  <c r="H1660" i="18"/>
  <c r="H1652" i="18"/>
  <c r="H1644" i="18"/>
  <c r="H1636" i="18"/>
  <c r="H1628" i="18"/>
  <c r="H1620" i="18"/>
  <c r="H1612" i="18"/>
  <c r="H1604" i="18"/>
  <c r="H1596" i="18"/>
  <c r="H1588" i="18"/>
  <c r="H1580" i="18"/>
  <c r="H1572" i="18"/>
  <c r="H1564" i="18"/>
  <c r="H1556" i="18"/>
  <c r="H1548" i="18"/>
  <c r="H1540" i="18"/>
  <c r="H1532" i="18"/>
  <c r="H1524" i="18"/>
  <c r="H1516" i="18"/>
  <c r="H1508" i="18"/>
  <c r="H1500" i="18"/>
  <c r="H1492" i="18"/>
  <c r="H1484" i="18"/>
  <c r="H1476" i="18"/>
  <c r="H1468" i="18"/>
  <c r="H1460" i="18"/>
  <c r="H1452" i="18"/>
  <c r="H1444" i="18"/>
  <c r="H1436" i="18"/>
  <c r="H1428" i="18"/>
  <c r="H1420" i="18"/>
  <c r="H1412" i="18"/>
  <c r="H1404" i="18"/>
  <c r="H1396" i="18"/>
  <c r="H1388" i="18"/>
  <c r="H1380" i="18"/>
  <c r="H1372" i="18"/>
  <c r="H1364" i="18"/>
  <c r="H1356" i="18"/>
  <c r="H1348" i="18"/>
  <c r="H1340" i="18"/>
  <c r="H1332" i="18"/>
  <c r="H1324" i="18"/>
  <c r="H1316" i="18"/>
  <c r="H1308" i="18"/>
  <c r="H1300" i="18"/>
  <c r="H1292" i="18"/>
  <c r="H1284" i="18"/>
  <c r="H1276" i="18"/>
  <c r="H1268" i="18"/>
  <c r="H1260" i="18"/>
  <c r="H1252" i="18"/>
  <c r="H1244" i="18"/>
  <c r="H1236" i="18"/>
  <c r="H1228" i="18"/>
  <c r="H1220" i="18"/>
  <c r="H1212" i="18"/>
  <c r="H1204" i="18"/>
  <c r="H1196" i="18"/>
  <c r="H1188" i="18"/>
  <c r="H1180" i="18"/>
  <c r="H1172" i="18"/>
  <c r="H1164" i="18"/>
  <c r="H1156" i="18"/>
  <c r="H1148" i="18"/>
  <c r="H1140" i="18"/>
  <c r="H1132" i="18"/>
  <c r="H1124" i="18"/>
  <c r="H1116" i="18"/>
  <c r="H1108" i="18"/>
  <c r="H1100" i="18"/>
  <c r="H1092" i="18"/>
  <c r="H1084" i="18"/>
  <c r="H1076" i="18"/>
  <c r="H1068" i="18"/>
  <c r="H1060" i="18"/>
  <c r="H1052" i="18"/>
  <c r="H1044" i="18"/>
  <c r="H1036" i="18"/>
  <c r="H1028" i="18"/>
  <c r="H1020" i="18"/>
  <c r="H1012" i="18"/>
  <c r="H1004" i="18"/>
  <c r="H996" i="18"/>
  <c r="H988" i="18"/>
  <c r="H980" i="18"/>
  <c r="H972" i="18"/>
  <c r="H964" i="18"/>
  <c r="H956" i="18"/>
  <c r="H948" i="18"/>
  <c r="H939" i="18"/>
  <c r="H923" i="18"/>
  <c r="H907" i="18"/>
  <c r="H891" i="18"/>
  <c r="H875" i="18"/>
  <c r="H859" i="18"/>
  <c r="H843" i="18"/>
  <c r="H827" i="18"/>
  <c r="H811" i="18"/>
  <c r="H795" i="18"/>
  <c r="H779" i="18"/>
  <c r="H763" i="18"/>
  <c r="H747" i="18"/>
  <c r="H731" i="18"/>
  <c r="H715" i="18"/>
  <c r="H699" i="18"/>
  <c r="H683" i="18"/>
  <c r="H667" i="18"/>
  <c r="H651" i="18"/>
  <c r="H635" i="18"/>
  <c r="H619" i="18"/>
  <c r="H603" i="18"/>
  <c r="H587" i="18"/>
  <c r="H571" i="18"/>
  <c r="H555" i="18"/>
  <c r="H539" i="18"/>
  <c r="H523" i="18"/>
  <c r="H507" i="18"/>
  <c r="H491" i="18"/>
  <c r="H475" i="18"/>
  <c r="H459" i="18"/>
  <c r="H443" i="18"/>
  <c r="H425" i="18"/>
  <c r="H393" i="18"/>
  <c r="H361" i="18"/>
  <c r="H329" i="18"/>
  <c r="H297" i="18"/>
  <c r="H265" i="18"/>
  <c r="H233" i="18"/>
  <c r="H201" i="18"/>
  <c r="H164" i="18"/>
  <c r="H100" i="18"/>
  <c r="H36" i="18"/>
  <c r="M14" i="18"/>
  <c r="N14" i="18" s="1"/>
  <c r="M13" i="18"/>
  <c r="N13" i="18" s="1"/>
  <c r="M15" i="18"/>
  <c r="N15" i="18" s="1"/>
  <c r="B5" i="7"/>
  <c r="F11" i="1"/>
  <c r="F12" i="1"/>
  <c r="F13" i="1"/>
  <c r="F14" i="1"/>
  <c r="E10" i="1"/>
  <c r="D11" i="1"/>
  <c r="D12" i="1"/>
  <c r="D13" i="1"/>
  <c r="D14" i="1"/>
  <c r="Q10" i="19"/>
  <c r="Q11" i="19"/>
  <c r="Q12" i="19"/>
  <c r="Q13" i="19"/>
  <c r="Q9" i="19"/>
  <c r="K10" i="19"/>
  <c r="O10" i="19" s="1"/>
  <c r="K11" i="19"/>
  <c r="O11" i="19" s="1"/>
  <c r="K12" i="19"/>
  <c r="O12" i="19" s="1"/>
  <c r="K13" i="19"/>
  <c r="O13" i="19" s="1"/>
  <c r="D96" i="25" l="1"/>
  <c r="D97" i="25" s="1"/>
  <c r="F96" i="25"/>
  <c r="F97" i="25" s="1"/>
  <c r="E100" i="21"/>
  <c r="E102" i="21" s="1"/>
  <c r="E109" i="21" s="1"/>
  <c r="I100" i="21"/>
  <c r="I102" i="21" s="1"/>
  <c r="I109" i="21" s="1"/>
  <c r="C100" i="21"/>
  <c r="C102" i="21" s="1"/>
  <c r="C109" i="21" s="1"/>
  <c r="G100" i="21"/>
  <c r="G102" i="21" s="1"/>
  <c r="G109" i="21" s="1"/>
  <c r="L26" i="18"/>
  <c r="M26" i="18" s="1"/>
  <c r="N26" i="18" s="1"/>
  <c r="L27" i="18"/>
  <c r="M27" i="18" s="1"/>
  <c r="N27" i="18" s="1"/>
  <c r="L25" i="18"/>
  <c r="M25" i="18" s="1"/>
  <c r="N25" i="18" s="1"/>
  <c r="N18" i="18"/>
  <c r="N21" i="18"/>
  <c r="N20" i="18"/>
  <c r="N19" i="18"/>
  <c r="M4" i="20"/>
  <c r="M10" i="19" s="1"/>
  <c r="M5" i="20"/>
  <c r="M11" i="19" s="1"/>
  <c r="M6" i="20"/>
  <c r="M12" i="19" s="1"/>
  <c r="M7" i="20"/>
  <c r="M13" i="19" s="1"/>
  <c r="M8" i="20"/>
  <c r="L4" i="20"/>
  <c r="L10" i="19" s="1"/>
  <c r="P10" i="19" s="1"/>
  <c r="L5" i="20"/>
  <c r="L11" i="19" s="1"/>
  <c r="P11" i="19" s="1"/>
  <c r="L6" i="20"/>
  <c r="L12" i="19" s="1"/>
  <c r="P12" i="19" s="1"/>
  <c r="L7" i="20"/>
  <c r="L13" i="19" s="1"/>
  <c r="P13" i="19" s="1"/>
  <c r="L8" i="20"/>
  <c r="H4" i="20"/>
  <c r="I4" i="20" s="1"/>
  <c r="G10" i="19" s="1"/>
  <c r="H5" i="20"/>
  <c r="I5" i="20" s="1"/>
  <c r="G11" i="19" s="1"/>
  <c r="H6" i="20"/>
  <c r="I6" i="20" s="1"/>
  <c r="G12" i="19" s="1"/>
  <c r="H7" i="20"/>
  <c r="I7" i="20" s="1"/>
  <c r="G13" i="19" s="1"/>
  <c r="H8" i="20"/>
  <c r="I8" i="20" s="1"/>
  <c r="E6" i="20"/>
  <c r="E12" i="19" s="1"/>
  <c r="E7" i="20"/>
  <c r="E13" i="19" s="1"/>
  <c r="E8" i="20"/>
  <c r="F13" i="19" l="1"/>
  <c r="H13" i="19" s="1"/>
  <c r="F11" i="19"/>
  <c r="H11" i="19" s="1"/>
  <c r="F10" i="19" l="1"/>
  <c r="F12" i="19"/>
  <c r="H12" i="19" s="1"/>
  <c r="H10" i="19" l="1"/>
  <c r="Q19" i="19"/>
  <c r="Q18" i="19"/>
  <c r="Q15" i="19"/>
  <c r="Q20" i="19"/>
  <c r="Q17" i="19"/>
  <c r="Q16" i="19"/>
  <c r="Q26" i="19" l="1"/>
  <c r="G9" i="9" l="1"/>
  <c r="G11" i="9" s="1"/>
  <c r="J34" i="11"/>
  <c r="D32" i="5"/>
  <c r="D22" i="5"/>
  <c r="G9" i="5"/>
  <c r="H9" i="5" s="1"/>
  <c r="G5" i="5"/>
  <c r="H5" i="5"/>
  <c r="I5" i="5"/>
  <c r="J5" i="5"/>
  <c r="F5" i="5"/>
  <c r="H34" i="11"/>
  <c r="C15" i="10"/>
  <c r="L33" i="13" l="1"/>
  <c r="L44" i="13" s="1"/>
  <c r="L46" i="13" s="1"/>
  <c r="H33" i="13"/>
  <c r="H44" i="13" s="1"/>
  <c r="H46" i="13" s="1"/>
  <c r="D33" i="13"/>
  <c r="D44" i="13" s="1"/>
  <c r="D46" i="13" s="1"/>
  <c r="M33" i="13"/>
  <c r="M44" i="13" s="1"/>
  <c r="M46" i="13" s="1"/>
  <c r="I33" i="13"/>
  <c r="I44" i="13" s="1"/>
  <c r="I46" i="13" s="1"/>
  <c r="I9" i="5"/>
  <c r="J9" i="5" s="1"/>
  <c r="C4" i="13"/>
  <c r="C17" i="13" s="1"/>
  <c r="D2" i="13"/>
  <c r="E2" i="13"/>
  <c r="F2" i="13"/>
  <c r="G2" i="13"/>
  <c r="H2" i="13"/>
  <c r="I2" i="13"/>
  <c r="J2" i="13"/>
  <c r="E2" i="14" s="1"/>
  <c r="K2" i="13"/>
  <c r="F2" i="14" s="1"/>
  <c r="L2" i="13"/>
  <c r="G2" i="14" s="1"/>
  <c r="M2" i="13"/>
  <c r="H2" i="14" s="1"/>
  <c r="N2" i="13"/>
  <c r="I2" i="14" s="1"/>
  <c r="C2" i="13"/>
  <c r="I58" i="14"/>
  <c r="H58" i="14"/>
  <c r="G58" i="14"/>
  <c r="F58" i="14"/>
  <c r="E58" i="14"/>
  <c r="I42" i="14"/>
  <c r="H42" i="14"/>
  <c r="G42" i="14"/>
  <c r="F42" i="14"/>
  <c r="E42" i="14"/>
  <c r="E20" i="14"/>
  <c r="E32" i="14" s="1"/>
  <c r="E34" i="14" s="1"/>
  <c r="B20" i="14"/>
  <c r="I8" i="14"/>
  <c r="H8" i="14"/>
  <c r="G8" i="14"/>
  <c r="F8" i="14"/>
  <c r="E8" i="14"/>
  <c r="I7" i="14"/>
  <c r="H7" i="14"/>
  <c r="G7" i="14"/>
  <c r="F7" i="14"/>
  <c r="E7" i="14"/>
  <c r="I6" i="14"/>
  <c r="H6" i="14"/>
  <c r="G6" i="14"/>
  <c r="F6" i="14"/>
  <c r="I5" i="14"/>
  <c r="H5" i="14"/>
  <c r="G5" i="14"/>
  <c r="F5" i="14"/>
  <c r="E5" i="14"/>
  <c r="B8" i="14"/>
  <c r="B7" i="14"/>
  <c r="B6" i="14"/>
  <c r="B5" i="14"/>
  <c r="N33" i="13"/>
  <c r="N44" i="13" s="1"/>
  <c r="N46" i="13" s="1"/>
  <c r="K33" i="13"/>
  <c r="K44" i="13" s="1"/>
  <c r="K46" i="13" s="1"/>
  <c r="J33" i="13"/>
  <c r="J44" i="13" s="1"/>
  <c r="J46" i="13" s="1"/>
  <c r="G33" i="13"/>
  <c r="G44" i="13" s="1"/>
  <c r="G46" i="13" s="1"/>
  <c r="F33" i="13"/>
  <c r="F44" i="13" s="1"/>
  <c r="F46" i="13" s="1"/>
  <c r="E33" i="13"/>
  <c r="E44" i="13" s="1"/>
  <c r="E46" i="13" s="1"/>
  <c r="C33" i="13"/>
  <c r="C44" i="13" s="1"/>
  <c r="C46" i="13" s="1"/>
  <c r="K73" i="11"/>
  <c r="J73" i="11"/>
  <c r="I73" i="11"/>
  <c r="H73" i="11"/>
  <c r="K51" i="11"/>
  <c r="J51" i="11"/>
  <c r="I51" i="11"/>
  <c r="H51" i="11"/>
  <c r="G51" i="11"/>
  <c r="F51" i="11"/>
  <c r="E51" i="11"/>
  <c r="D51" i="11"/>
  <c r="C51" i="11"/>
  <c r="B51" i="11"/>
  <c r="K34" i="11"/>
  <c r="E4" i="5" s="1"/>
  <c r="I34" i="11"/>
  <c r="G34" i="11"/>
  <c r="F34" i="11"/>
  <c r="E34" i="11"/>
  <c r="D34" i="11"/>
  <c r="C34" i="11"/>
  <c r="B34" i="11"/>
  <c r="B15" i="11" s="1"/>
  <c r="K32" i="11"/>
  <c r="I48" i="14" s="1"/>
  <c r="J32" i="11"/>
  <c r="H48" i="14" s="1"/>
  <c r="I32" i="11"/>
  <c r="G48" i="14" s="1"/>
  <c r="H32" i="11"/>
  <c r="F48" i="14" s="1"/>
  <c r="G32" i="11"/>
  <c r="E48" i="14" s="1"/>
  <c r="F32" i="11"/>
  <c r="E32" i="11"/>
  <c r="D32" i="11"/>
  <c r="C32" i="11"/>
  <c r="B32" i="11"/>
  <c r="K15" i="11"/>
  <c r="B6" i="11"/>
  <c r="E1" i="11"/>
  <c r="L74" i="10"/>
  <c r="K74" i="10"/>
  <c r="J74" i="10"/>
  <c r="I74" i="10"/>
  <c r="H74" i="10"/>
  <c r="G74" i="10"/>
  <c r="F74" i="10"/>
  <c r="E74" i="10"/>
  <c r="D74" i="10"/>
  <c r="C74" i="10"/>
  <c r="L72" i="10"/>
  <c r="K72" i="10"/>
  <c r="J72" i="10"/>
  <c r="I72" i="10"/>
  <c r="H72" i="10"/>
  <c r="G72" i="10"/>
  <c r="F72" i="10"/>
  <c r="E72" i="10"/>
  <c r="D72" i="10"/>
  <c r="C72" i="10"/>
  <c r="L70" i="10"/>
  <c r="L76" i="10" s="1"/>
  <c r="K70" i="10"/>
  <c r="K76" i="10" s="1"/>
  <c r="J70" i="10"/>
  <c r="J76" i="10" s="1"/>
  <c r="I70" i="10"/>
  <c r="I76" i="10" s="1"/>
  <c r="H70" i="10"/>
  <c r="H76" i="10" s="1"/>
  <c r="G70" i="10"/>
  <c r="G76" i="10" s="1"/>
  <c r="F70" i="10"/>
  <c r="F76" i="10" s="1"/>
  <c r="E70" i="10"/>
  <c r="E76" i="10" s="1"/>
  <c r="D70" i="10"/>
  <c r="D76" i="10" s="1"/>
  <c r="C70" i="10"/>
  <c r="C76" i="10" s="1"/>
  <c r="L61" i="10"/>
  <c r="K61" i="10"/>
  <c r="J61" i="10"/>
  <c r="I61" i="10"/>
  <c r="H61" i="10"/>
  <c r="G61" i="10"/>
  <c r="F61" i="10"/>
  <c r="E61" i="10"/>
  <c r="D61" i="10"/>
  <c r="C61" i="10"/>
  <c r="L60" i="10"/>
  <c r="K60" i="10"/>
  <c r="J60" i="10"/>
  <c r="I60" i="10"/>
  <c r="H60" i="10"/>
  <c r="G60" i="10"/>
  <c r="F60" i="10"/>
  <c r="E60" i="10"/>
  <c r="D60" i="10"/>
  <c r="C60" i="10"/>
  <c r="L59" i="10"/>
  <c r="K59" i="10"/>
  <c r="J59" i="10"/>
  <c r="I59" i="10"/>
  <c r="H59" i="10"/>
  <c r="G59" i="10"/>
  <c r="F59" i="10"/>
  <c r="E59" i="10"/>
  <c r="D59" i="10"/>
  <c r="C59" i="10"/>
  <c r="L56" i="10"/>
  <c r="K56" i="10"/>
  <c r="J56" i="10"/>
  <c r="I56" i="10"/>
  <c r="H56" i="10"/>
  <c r="G56" i="10"/>
  <c r="F56" i="10"/>
  <c r="E56" i="10"/>
  <c r="D56" i="10"/>
  <c r="C56" i="10"/>
  <c r="L55" i="10"/>
  <c r="K55" i="10"/>
  <c r="J55" i="10"/>
  <c r="I55" i="10"/>
  <c r="H55" i="10"/>
  <c r="G55" i="10"/>
  <c r="F55" i="10"/>
  <c r="E55" i="10"/>
  <c r="D55" i="10"/>
  <c r="C55" i="10"/>
  <c r="L54" i="10"/>
  <c r="K54" i="10"/>
  <c r="J54" i="10"/>
  <c r="I54" i="10"/>
  <c r="H54" i="10"/>
  <c r="G54" i="10"/>
  <c r="F54" i="10"/>
  <c r="E54" i="10"/>
  <c r="D54" i="10"/>
  <c r="C54" i="10"/>
  <c r="L53" i="10"/>
  <c r="L57" i="10" s="1"/>
  <c r="K53" i="10"/>
  <c r="K57" i="10" s="1"/>
  <c r="J53" i="10"/>
  <c r="J57" i="10" s="1"/>
  <c r="I53" i="10"/>
  <c r="I57" i="10" s="1"/>
  <c r="H53" i="10"/>
  <c r="H57" i="10" s="1"/>
  <c r="G53" i="10"/>
  <c r="G57" i="10" s="1"/>
  <c r="F53" i="10"/>
  <c r="F57" i="10" s="1"/>
  <c r="E53" i="10"/>
  <c r="E57" i="10" s="1"/>
  <c r="D53" i="10"/>
  <c r="D57" i="10" s="1"/>
  <c r="C53" i="10"/>
  <c r="C57" i="10" s="1"/>
  <c r="L51" i="10"/>
  <c r="K51" i="10"/>
  <c r="J51" i="10"/>
  <c r="I51" i="10"/>
  <c r="H51" i="10"/>
  <c r="G51" i="10"/>
  <c r="F51" i="10"/>
  <c r="E51" i="10"/>
  <c r="D51" i="10"/>
  <c r="C51" i="10"/>
  <c r="L50" i="10"/>
  <c r="K50" i="10"/>
  <c r="J50" i="10"/>
  <c r="I50" i="10"/>
  <c r="H50" i="10"/>
  <c r="G50" i="10"/>
  <c r="F50" i="10"/>
  <c r="E50" i="10"/>
  <c r="D50" i="10"/>
  <c r="C50" i="10"/>
  <c r="L49" i="10"/>
  <c r="K49" i="10"/>
  <c r="J49" i="10"/>
  <c r="I49" i="10"/>
  <c r="H49" i="10"/>
  <c r="G49" i="10"/>
  <c r="F49" i="10"/>
  <c r="E49" i="10"/>
  <c r="D49" i="10"/>
  <c r="C49" i="10"/>
  <c r="L48" i="10"/>
  <c r="K48" i="10"/>
  <c r="J48" i="10"/>
  <c r="I48" i="10"/>
  <c r="H48" i="10"/>
  <c r="G48" i="10"/>
  <c r="F48" i="10"/>
  <c r="E48" i="10"/>
  <c r="D48" i="10"/>
  <c r="C48" i="10"/>
  <c r="L47" i="10"/>
  <c r="K47" i="10"/>
  <c r="J47" i="10"/>
  <c r="I47" i="10"/>
  <c r="H47" i="10"/>
  <c r="G47" i="10"/>
  <c r="F47" i="10"/>
  <c r="E47" i="10"/>
  <c r="D47" i="10"/>
  <c r="C47" i="10"/>
  <c r="L36" i="10"/>
  <c r="K36" i="10"/>
  <c r="J36" i="10"/>
  <c r="I36" i="10"/>
  <c r="H36" i="10"/>
  <c r="G36" i="10"/>
  <c r="F36" i="10"/>
  <c r="E36" i="10"/>
  <c r="E41" i="10" s="1"/>
  <c r="D36" i="10"/>
  <c r="D41" i="10" s="1"/>
  <c r="C36" i="10"/>
  <c r="C41" i="10" s="1"/>
  <c r="M30" i="10"/>
  <c r="L30" i="10"/>
  <c r="K30" i="10"/>
  <c r="J30" i="10"/>
  <c r="I30" i="10"/>
  <c r="H30" i="10"/>
  <c r="G30" i="10"/>
  <c r="F30" i="10"/>
  <c r="E30" i="10"/>
  <c r="D30" i="10"/>
  <c r="C30" i="10"/>
  <c r="M24" i="10"/>
  <c r="L24" i="10"/>
  <c r="K24" i="10"/>
  <c r="J24" i="10"/>
  <c r="I24" i="10"/>
  <c r="H24" i="10"/>
  <c r="G24" i="10"/>
  <c r="F24" i="10"/>
  <c r="E24" i="10"/>
  <c r="D24" i="10"/>
  <c r="C24" i="10"/>
  <c r="M21" i="10"/>
  <c r="L21" i="10"/>
  <c r="K21" i="10"/>
  <c r="J21" i="10"/>
  <c r="I21" i="10"/>
  <c r="H21" i="10"/>
  <c r="G21" i="10"/>
  <c r="F21" i="10"/>
  <c r="E21" i="10"/>
  <c r="D21" i="10"/>
  <c r="C21" i="10"/>
  <c r="L15" i="10"/>
  <c r="K15" i="10"/>
  <c r="J15" i="10"/>
  <c r="I15" i="10"/>
  <c r="H15" i="10"/>
  <c r="G15" i="10"/>
  <c r="F15" i="10"/>
  <c r="E15" i="10"/>
  <c r="D15" i="10"/>
  <c r="L9" i="10"/>
  <c r="K9" i="10"/>
  <c r="J9" i="10"/>
  <c r="I9" i="10"/>
  <c r="H9" i="10"/>
  <c r="G9" i="10"/>
  <c r="F9" i="10"/>
  <c r="E9" i="10"/>
  <c r="D9" i="10"/>
  <c r="C9" i="10"/>
  <c r="L6" i="10"/>
  <c r="J6" i="10"/>
  <c r="I6" i="10"/>
  <c r="H6" i="10"/>
  <c r="G6" i="10"/>
  <c r="F6" i="10"/>
  <c r="E6" i="10"/>
  <c r="D6" i="10"/>
  <c r="C6" i="10"/>
  <c r="C16" i="10" s="1"/>
  <c r="L3" i="10"/>
  <c r="K3" i="10"/>
  <c r="J3" i="10"/>
  <c r="I3" i="10"/>
  <c r="H3" i="10"/>
  <c r="G3" i="10"/>
  <c r="F3" i="10"/>
  <c r="E3" i="10"/>
  <c r="D3" i="10"/>
  <c r="C3" i="10"/>
  <c r="B2" i="10"/>
  <c r="L62" i="10" l="1"/>
  <c r="L64" i="10" s="1"/>
  <c r="L66" i="10" s="1"/>
  <c r="K62" i="10"/>
  <c r="K64" i="10" s="1"/>
  <c r="K66" i="10" s="1"/>
  <c r="J62" i="10"/>
  <c r="J64" i="10" s="1"/>
  <c r="J66" i="10" s="1"/>
  <c r="I62" i="10"/>
  <c r="I64" i="10" s="1"/>
  <c r="I66" i="10" s="1"/>
  <c r="H62" i="10"/>
  <c r="H64" i="10" s="1"/>
  <c r="H66" i="10" s="1"/>
  <c r="G62" i="10"/>
  <c r="G64" i="10" s="1"/>
  <c r="G66" i="10" s="1"/>
  <c r="F62" i="10"/>
  <c r="F64" i="10" s="1"/>
  <c r="F66" i="10" s="1"/>
  <c r="E62" i="10"/>
  <c r="E64" i="10" s="1"/>
  <c r="E66" i="10" s="1"/>
  <c r="E2" i="5"/>
  <c r="F2" i="5" s="1"/>
  <c r="G2" i="5" s="1"/>
  <c r="H2" i="5" s="1"/>
  <c r="I2" i="5" s="1"/>
  <c r="J2" i="5" s="1"/>
  <c r="D68" i="25"/>
  <c r="D74" i="25" s="1"/>
  <c r="D80" i="25" s="1"/>
  <c r="D86" i="25" s="1"/>
  <c r="D94" i="25" s="1"/>
  <c r="D100" i="25" s="1"/>
  <c r="D69" i="21"/>
  <c r="D75" i="21" s="1"/>
  <c r="D80" i="21" s="1"/>
  <c r="D85" i="21" s="1"/>
  <c r="D93" i="21" s="1"/>
  <c r="D99" i="21" s="1"/>
  <c r="D104" i="21" s="1"/>
  <c r="F68" i="25"/>
  <c r="F74" i="25" s="1"/>
  <c r="F80" i="25" s="1"/>
  <c r="F86" i="25" s="1"/>
  <c r="F94" i="25" s="1"/>
  <c r="F100" i="25" s="1"/>
  <c r="F69" i="21"/>
  <c r="F75" i="21" s="1"/>
  <c r="F80" i="21" s="1"/>
  <c r="F85" i="21" s="1"/>
  <c r="F93" i="21" s="1"/>
  <c r="F99" i="21" s="1"/>
  <c r="F104" i="21" s="1"/>
  <c r="H68" i="25"/>
  <c r="H74" i="25" s="1"/>
  <c r="H80" i="25" s="1"/>
  <c r="H86" i="25" s="1"/>
  <c r="H94" i="25" s="1"/>
  <c r="H100" i="25" s="1"/>
  <c r="H69" i="21"/>
  <c r="H75" i="21" s="1"/>
  <c r="H80" i="21" s="1"/>
  <c r="H85" i="21" s="1"/>
  <c r="H93" i="21" s="1"/>
  <c r="H99" i="21" s="1"/>
  <c r="H104" i="21" s="1"/>
  <c r="K16" i="10"/>
  <c r="G22" i="10"/>
  <c r="F41" i="10"/>
  <c r="H41" i="10"/>
  <c r="J41" i="10"/>
  <c r="M36" i="10"/>
  <c r="E3" i="20"/>
  <c r="E9" i="19" s="1"/>
  <c r="D35" i="5"/>
  <c r="G3" i="20"/>
  <c r="D33" i="5"/>
  <c r="C68" i="25"/>
  <c r="C74" i="25" s="1"/>
  <c r="C80" i="25" s="1"/>
  <c r="C86" i="25" s="1"/>
  <c r="C94" i="25" s="1"/>
  <c r="C100" i="25" s="1"/>
  <c r="C69" i="21"/>
  <c r="C75" i="21" s="1"/>
  <c r="C80" i="21" s="1"/>
  <c r="C85" i="21" s="1"/>
  <c r="C93" i="21" s="1"/>
  <c r="C99" i="21" s="1"/>
  <c r="C104" i="21" s="1"/>
  <c r="E68" i="25"/>
  <c r="E74" i="25" s="1"/>
  <c r="E80" i="25" s="1"/>
  <c r="E86" i="25" s="1"/>
  <c r="E94" i="25" s="1"/>
  <c r="E100" i="25" s="1"/>
  <c r="E69" i="21"/>
  <c r="E75" i="21" s="1"/>
  <c r="E80" i="21" s="1"/>
  <c r="E85" i="21" s="1"/>
  <c r="E93" i="21" s="1"/>
  <c r="E99" i="21" s="1"/>
  <c r="E104" i="21" s="1"/>
  <c r="G68" i="25"/>
  <c r="G74" i="25" s="1"/>
  <c r="G80" i="25" s="1"/>
  <c r="G86" i="25" s="1"/>
  <c r="G94" i="25" s="1"/>
  <c r="G100" i="25" s="1"/>
  <c r="G69" i="21"/>
  <c r="G75" i="21" s="1"/>
  <c r="G80" i="21" s="1"/>
  <c r="G85" i="21" s="1"/>
  <c r="G93" i="21" s="1"/>
  <c r="G99" i="21" s="1"/>
  <c r="G104" i="21" s="1"/>
  <c r="I68" i="25"/>
  <c r="I74" i="25" s="1"/>
  <c r="I80" i="25" s="1"/>
  <c r="I86" i="25" s="1"/>
  <c r="I94" i="25" s="1"/>
  <c r="I100" i="25" s="1"/>
  <c r="I69" i="21"/>
  <c r="I75" i="21" s="1"/>
  <c r="I80" i="21" s="1"/>
  <c r="I85" i="21" s="1"/>
  <c r="I93" i="21" s="1"/>
  <c r="I99" i="21" s="1"/>
  <c r="I104" i="21" s="1"/>
  <c r="D12" i="10"/>
  <c r="F10" i="10"/>
  <c r="H12" i="10"/>
  <c r="J12" i="10"/>
  <c r="L12" i="10"/>
  <c r="K3" i="20"/>
  <c r="G41" i="10"/>
  <c r="I41" i="10"/>
  <c r="K41" i="10"/>
  <c r="Q3" i="20"/>
  <c r="L3" i="20"/>
  <c r="L9" i="19" s="1"/>
  <c r="D25" i="10"/>
  <c r="F25" i="10"/>
  <c r="H25" i="10"/>
  <c r="J25" i="10"/>
  <c r="L25" i="10"/>
  <c r="C12" i="10"/>
  <c r="C18" i="10" s="1"/>
  <c r="C19" i="10" s="1"/>
  <c r="E12" i="10"/>
  <c r="E18" i="10" s="1"/>
  <c r="G12" i="10"/>
  <c r="G18" i="10" s="1"/>
  <c r="D81" i="25" s="1"/>
  <c r="D83" i="25" s="1"/>
  <c r="I7" i="10"/>
  <c r="K12" i="10"/>
  <c r="K18" i="10" s="1"/>
  <c r="H81" i="25" s="1"/>
  <c r="H83" i="25" s="1"/>
  <c r="J16" i="10"/>
  <c r="F22" i="10"/>
  <c r="I25" i="10"/>
  <c r="M18" i="10"/>
  <c r="M27" i="10" s="1"/>
  <c r="M33" i="10" s="1"/>
  <c r="M34" i="10" s="1"/>
  <c r="K7" i="10"/>
  <c r="C10" i="10"/>
  <c r="G10" i="10"/>
  <c r="I10" i="10"/>
  <c r="K10" i="10"/>
  <c r="E16" i="10"/>
  <c r="G16" i="10"/>
  <c r="I16" i="10"/>
  <c r="C22" i="10"/>
  <c r="E22" i="10"/>
  <c r="I22" i="10"/>
  <c r="K22" i="10"/>
  <c r="M22" i="10"/>
  <c r="D62" i="10"/>
  <c r="D64" i="10" s="1"/>
  <c r="D66" i="10" s="1"/>
  <c r="J7" i="10"/>
  <c r="D7" i="10"/>
  <c r="L7" i="10"/>
  <c r="D10" i="10"/>
  <c r="H10" i="10"/>
  <c r="J10" i="10"/>
  <c r="L10" i="10"/>
  <c r="D16" i="10"/>
  <c r="F16" i="10"/>
  <c r="H16" i="10"/>
  <c r="L16" i="10"/>
  <c r="D22" i="10"/>
  <c r="H22" i="10"/>
  <c r="J22" i="10"/>
  <c r="L22" i="10"/>
  <c r="C25" i="10"/>
  <c r="E25" i="10"/>
  <c r="G25" i="10"/>
  <c r="K25" i="10"/>
  <c r="M25" i="10"/>
  <c r="C62" i="10"/>
  <c r="C64" i="10" s="1"/>
  <c r="C66" i="10" s="1"/>
  <c r="G32" i="14"/>
  <c r="G34" i="14" s="1"/>
  <c r="F34" i="14"/>
  <c r="H32" i="14"/>
  <c r="H34" i="14" s="1"/>
  <c r="I32" i="14"/>
  <c r="I34" i="14" s="1"/>
  <c r="F9" i="14"/>
  <c r="E9" i="14"/>
  <c r="G9" i="14"/>
  <c r="G15" i="14"/>
  <c r="E15" i="14"/>
  <c r="H9" i="14"/>
  <c r="I9" i="14"/>
  <c r="H15" i="14"/>
  <c r="F15" i="14"/>
  <c r="I15" i="14"/>
  <c r="C27" i="10"/>
  <c r="C31" i="10" s="1"/>
  <c r="E13" i="10"/>
  <c r="K27" i="10"/>
  <c r="H37" i="14" s="1"/>
  <c r="H47" i="14" s="1"/>
  <c r="H49" i="14" s="1"/>
  <c r="G13" i="10"/>
  <c r="K31" i="10"/>
  <c r="E10" i="10"/>
  <c r="L41" i="10"/>
  <c r="I12" i="10"/>
  <c r="E7" i="10"/>
  <c r="M7" i="10"/>
  <c r="F7" i="10"/>
  <c r="M12" i="10"/>
  <c r="M13" i="10" s="1"/>
  <c r="M16" i="10"/>
  <c r="M28" i="10"/>
  <c r="G7" i="10"/>
  <c r="F12" i="10"/>
  <c r="K13" i="10"/>
  <c r="M10" i="10"/>
  <c r="H7" i="10"/>
  <c r="M41" i="10" l="1"/>
  <c r="M38" i="10"/>
  <c r="M42" i="10" s="1"/>
  <c r="M44" i="10" s="1"/>
  <c r="D13" i="10"/>
  <c r="D18" i="10"/>
  <c r="H13" i="10"/>
  <c r="H18" i="10"/>
  <c r="J18" i="10"/>
  <c r="J13" i="10"/>
  <c r="L13" i="10"/>
  <c r="L18" i="10"/>
  <c r="D10" i="1"/>
  <c r="F4" i="8"/>
  <c r="G4" i="8" s="1"/>
  <c r="P3" i="20" s="1"/>
  <c r="E6" i="5"/>
  <c r="F4" i="5"/>
  <c r="G4" i="5" s="1"/>
  <c r="H4" i="5" s="1"/>
  <c r="I4" i="5" s="1"/>
  <c r="J4" i="5" s="1"/>
  <c r="I3" i="20"/>
  <c r="C13" i="10"/>
  <c r="M31" i="10"/>
  <c r="K19" i="10"/>
  <c r="M19" i="10"/>
  <c r="Q27" i="19"/>
  <c r="Q29" i="19" s="1"/>
  <c r="Q32" i="19" s="1"/>
  <c r="P27" i="19"/>
  <c r="O27" i="19"/>
  <c r="F9" i="19"/>
  <c r="I17" i="14"/>
  <c r="F17" i="14"/>
  <c r="E17" i="14"/>
  <c r="E36" i="14" s="1"/>
  <c r="H17" i="14"/>
  <c r="G17" i="14"/>
  <c r="F18" i="10"/>
  <c r="C81" i="25" s="1"/>
  <c r="C83" i="25" s="1"/>
  <c r="F13" i="10"/>
  <c r="I18" i="10"/>
  <c r="F81" i="25" s="1"/>
  <c r="F83" i="25" s="1"/>
  <c r="I13" i="10"/>
  <c r="G19" i="10"/>
  <c r="G27" i="10"/>
  <c r="C28" i="10"/>
  <c r="C33" i="10"/>
  <c r="E27" i="10"/>
  <c r="E19" i="10"/>
  <c r="K33" i="10"/>
  <c r="K28" i="10"/>
  <c r="J27" i="10" l="1"/>
  <c r="J19" i="10"/>
  <c r="G81" i="25"/>
  <c r="G83" i="25" s="1"/>
  <c r="D27" i="10"/>
  <c r="D19" i="10"/>
  <c r="E81" i="25"/>
  <c r="E83" i="25" s="1"/>
  <c r="H19" i="10"/>
  <c r="H27" i="10"/>
  <c r="I81" i="25"/>
  <c r="I83" i="25" s="1"/>
  <c r="L19" i="10"/>
  <c r="L27" i="10"/>
  <c r="G9" i="19"/>
  <c r="H9" i="19" s="1"/>
  <c r="J3" i="20"/>
  <c r="F6" i="5"/>
  <c r="G6" i="5" s="1"/>
  <c r="H6" i="5" s="1"/>
  <c r="I6" i="5" s="1"/>
  <c r="J6" i="5" s="1"/>
  <c r="E8" i="5"/>
  <c r="F8" i="5" s="1"/>
  <c r="G8" i="5" s="1"/>
  <c r="H8" i="5" s="1"/>
  <c r="G45" i="14"/>
  <c r="G51" i="14" s="1"/>
  <c r="G36" i="14"/>
  <c r="H45" i="14"/>
  <c r="H51" i="14" s="1"/>
  <c r="H53" i="14" s="1"/>
  <c r="H60" i="14" s="1"/>
  <c r="H36" i="14"/>
  <c r="H39" i="14" s="1"/>
  <c r="H61" i="14" s="1"/>
  <c r="F45" i="14"/>
  <c r="F51" i="14" s="1"/>
  <c r="F36" i="14"/>
  <c r="I45" i="14"/>
  <c r="I51" i="14" s="1"/>
  <c r="I36" i="14"/>
  <c r="E33" i="10"/>
  <c r="E28" i="10"/>
  <c r="E31" i="10"/>
  <c r="C34" i="10"/>
  <c r="C38" i="10"/>
  <c r="K34" i="10"/>
  <c r="K38" i="10"/>
  <c r="I19" i="10"/>
  <c r="I27" i="10"/>
  <c r="F37" i="14" s="1"/>
  <c r="F47" i="14" s="1"/>
  <c r="F49" i="14" s="1"/>
  <c r="G33" i="10"/>
  <c r="G28" i="10"/>
  <c r="G31" i="10"/>
  <c r="F19" i="10"/>
  <c r="F27" i="10"/>
  <c r="J31" i="10" l="1"/>
  <c r="J28" i="10"/>
  <c r="J33" i="10"/>
  <c r="G37" i="14"/>
  <c r="F39" i="14"/>
  <c r="F61" i="14" s="1"/>
  <c r="D33" i="10"/>
  <c r="D28" i="10"/>
  <c r="D31" i="10"/>
  <c r="E37" i="14"/>
  <c r="H28" i="10"/>
  <c r="H33" i="10"/>
  <c r="H31" i="10"/>
  <c r="I37" i="14"/>
  <c r="L33" i="10"/>
  <c r="L28" i="10"/>
  <c r="L31" i="10"/>
  <c r="H63" i="14"/>
  <c r="O9" i="19"/>
  <c r="R3" i="20"/>
  <c r="P9" i="19"/>
  <c r="P25" i="19"/>
  <c r="O25" i="19"/>
  <c r="Q25" i="19"/>
  <c r="Q24" i="19" s="1"/>
  <c r="I8" i="5"/>
  <c r="F53" i="14"/>
  <c r="C42" i="10"/>
  <c r="C44" i="10" s="1"/>
  <c r="G34" i="10"/>
  <c r="G38" i="10"/>
  <c r="F33" i="10"/>
  <c r="F28" i="10"/>
  <c r="F31" i="10"/>
  <c r="I33" i="10"/>
  <c r="I28" i="10"/>
  <c r="I31" i="10"/>
  <c r="E38" i="10"/>
  <c r="E34" i="10"/>
  <c r="K42" i="10"/>
  <c r="K44" i="10" s="1"/>
  <c r="H75" i="25" s="1"/>
  <c r="H77" i="25" s="1"/>
  <c r="H101" i="25" s="1"/>
  <c r="H102" i="25" s="1"/>
  <c r="E47" i="14" l="1"/>
  <c r="E49" i="14" s="1"/>
  <c r="E39" i="14"/>
  <c r="J38" i="10"/>
  <c r="J34" i="10"/>
  <c r="G39" i="14"/>
  <c r="G61" i="14" s="1"/>
  <c r="G47" i="14"/>
  <c r="G49" i="14" s="1"/>
  <c r="G53" i="14" s="1"/>
  <c r="I39" i="14"/>
  <c r="I61" i="14" s="1"/>
  <c r="I47" i="14"/>
  <c r="I49" i="14" s="1"/>
  <c r="I53" i="14" s="1"/>
  <c r="I60" i="14" s="1"/>
  <c r="I63" i="14" s="1"/>
  <c r="D34" i="10"/>
  <c r="D38" i="10"/>
  <c r="H34" i="10"/>
  <c r="H38" i="10"/>
  <c r="L34" i="10"/>
  <c r="L38" i="10"/>
  <c r="P18" i="19"/>
  <c r="P24" i="19" s="1"/>
  <c r="P17" i="19"/>
  <c r="P16" i="19"/>
  <c r="P20" i="19"/>
  <c r="P15" i="19"/>
  <c r="P19" i="19"/>
  <c r="O18" i="19"/>
  <c r="O24" i="19" s="1"/>
  <c r="O19" i="19"/>
  <c r="O20" i="19"/>
  <c r="O16" i="19"/>
  <c r="O17" i="19"/>
  <c r="O15" i="19"/>
  <c r="J8" i="5"/>
  <c r="F60" i="14"/>
  <c r="F63" i="14"/>
  <c r="F38" i="10"/>
  <c r="F34" i="10"/>
  <c r="G42" i="10"/>
  <c r="G44" i="10" s="1"/>
  <c r="D75" i="25" s="1"/>
  <c r="D77" i="25" s="1"/>
  <c r="D101" i="25" s="1"/>
  <c r="D102" i="25" s="1"/>
  <c r="E42" i="10"/>
  <c r="E44" i="10" s="1"/>
  <c r="I34" i="10"/>
  <c r="I38" i="10"/>
  <c r="I56" i="14" l="1"/>
  <c r="J42" i="10"/>
  <c r="J44" i="10" s="1"/>
  <c r="G75" i="25" s="1"/>
  <c r="K39" i="10"/>
  <c r="I55" i="14"/>
  <c r="G60" i="14"/>
  <c r="G63" i="14" s="1"/>
  <c r="O26" i="19"/>
  <c r="O29" i="19" s="1"/>
  <c r="O32" i="19" s="1"/>
  <c r="D39" i="10"/>
  <c r="D42" i="10"/>
  <c r="D44" i="10" s="1"/>
  <c r="E39" i="10"/>
  <c r="H39" i="10"/>
  <c r="H42" i="10"/>
  <c r="H44" i="10" s="1"/>
  <c r="E75" i="25" s="1"/>
  <c r="L39" i="10"/>
  <c r="M39" i="10"/>
  <c r="L42" i="10"/>
  <c r="L44" i="10" s="1"/>
  <c r="I75" i="25" s="1"/>
  <c r="P26" i="19"/>
  <c r="P29" i="19" s="1"/>
  <c r="P32" i="19" s="1"/>
  <c r="G39" i="10"/>
  <c r="D20" i="5"/>
  <c r="I39" i="10"/>
  <c r="I42" i="10"/>
  <c r="I44" i="10" s="1"/>
  <c r="F75" i="25" s="1"/>
  <c r="F77" i="25" s="1"/>
  <c r="F101" i="25" s="1"/>
  <c r="F102" i="25" s="1"/>
  <c r="J39" i="10"/>
  <c r="F39" i="10"/>
  <c r="F42" i="10"/>
  <c r="F44" i="10" s="1"/>
  <c r="C75" i="25" s="1"/>
  <c r="G77" i="25" l="1"/>
  <c r="G101" i="25"/>
  <c r="G102" i="25" s="1"/>
  <c r="E77" i="25"/>
  <c r="E101" i="25"/>
  <c r="E102" i="25" s="1"/>
  <c r="I77" i="25"/>
  <c r="I101" i="25"/>
  <c r="I102" i="25" s="1"/>
  <c r="I66" i="14"/>
  <c r="I65" i="14"/>
  <c r="C77" i="25"/>
  <c r="C101" i="25"/>
  <c r="C102" i="25" s="1"/>
  <c r="J23" i="1"/>
  <c r="E11" i="1"/>
  <c r="H11" i="1" s="1"/>
  <c r="E12" i="1"/>
  <c r="E13" i="1"/>
  <c r="E14" i="1"/>
  <c r="C32" i="1"/>
  <c r="C31" i="1"/>
  <c r="G14" i="1" l="1"/>
  <c r="J14" i="1" s="1"/>
  <c r="G12" i="1"/>
  <c r="J12" i="1" s="1"/>
  <c r="G13" i="1"/>
  <c r="J13" i="1" s="1"/>
  <c r="H13" i="1"/>
  <c r="G11" i="1"/>
  <c r="J11" i="1" s="1"/>
  <c r="H10" i="1"/>
  <c r="H12" i="1"/>
  <c r="H14" i="1"/>
  <c r="G10" i="1"/>
  <c r="C33" i="1"/>
  <c r="D33" i="1" s="1"/>
  <c r="E33" i="1" s="1"/>
  <c r="F17" i="1"/>
  <c r="E23" i="1" s="1"/>
  <c r="J32" i="1" s="1"/>
  <c r="F16" i="1"/>
  <c r="J7" i="7" l="1"/>
  <c r="J13" i="7" s="1"/>
  <c r="E24" i="1"/>
  <c r="J40" i="1" s="1"/>
  <c r="H17" i="1"/>
  <c r="D31" i="1"/>
  <c r="D32" i="1"/>
  <c r="G17" i="1"/>
  <c r="H16" i="1"/>
  <c r="E31" i="1" s="1"/>
  <c r="J41" i="1" s="1"/>
  <c r="G16" i="1"/>
  <c r="J24" i="1" l="1"/>
  <c r="I10" i="1"/>
  <c r="E32" i="1"/>
  <c r="D35" i="1"/>
  <c r="I17" i="1" l="1"/>
  <c r="I16" i="1"/>
  <c r="J10" i="1"/>
  <c r="E35" i="1"/>
  <c r="J31" i="1" s="1"/>
  <c r="J38" i="1"/>
  <c r="J16" i="1" l="1"/>
  <c r="J17" i="1"/>
  <c r="J30" i="1" s="1"/>
  <c r="J33" i="1" s="1"/>
  <c r="J25" i="1" s="1"/>
  <c r="J37" i="1" s="1"/>
  <c r="J43" i="1" s="1"/>
  <c r="D16" i="5" s="1"/>
  <c r="G10" i="5" l="1"/>
  <c r="G12" i="5" s="1"/>
  <c r="F10" i="5"/>
  <c r="F12" i="5" s="1"/>
  <c r="D21" i="5"/>
  <c r="D24" i="5" s="1"/>
  <c r="H10" i="5"/>
  <c r="H12" i="5" s="1"/>
  <c r="J10" i="5"/>
  <c r="J12" i="5" s="1"/>
  <c r="I10" i="5"/>
  <c r="I12" i="5" s="1"/>
  <c r="D28" i="5" l="1"/>
  <c r="D29" i="5"/>
  <c r="D30" i="5" l="1"/>
  <c r="D34" i="5" s="1"/>
  <c r="D37" i="5" s="1"/>
  <c r="F16" i="5" s="1"/>
  <c r="D40" i="5" l="1"/>
</calcChain>
</file>

<file path=xl/sharedStrings.xml><?xml version="1.0" encoding="utf-8"?>
<sst xmlns="http://schemas.openxmlformats.org/spreadsheetml/2006/main" count="18567" uniqueCount="10091">
  <si>
    <t>Weighted Average Cost of Capital</t>
  </si>
  <si>
    <t>All figures are in INR unless stated otherwise.</t>
  </si>
  <si>
    <t>Peer Comps</t>
  </si>
  <si>
    <t>Name</t>
  </si>
  <si>
    <t>Country</t>
  </si>
  <si>
    <t>Total Debt</t>
  </si>
  <si>
    <t>Total Equity</t>
  </si>
  <si>
    <t>Average</t>
  </si>
  <si>
    <t>Debt/</t>
  </si>
  <si>
    <t>Equity</t>
  </si>
  <si>
    <t>Levered</t>
  </si>
  <si>
    <r>
      <t xml:space="preserve">Tax Rate </t>
    </r>
    <r>
      <rPr>
        <vertAlign val="superscript"/>
        <sz val="11"/>
        <color theme="1"/>
        <rFont val="Calibri"/>
        <family val="2"/>
      </rPr>
      <t>1</t>
    </r>
  </si>
  <si>
    <r>
      <t xml:space="preserve">Beta </t>
    </r>
    <r>
      <rPr>
        <vertAlign val="superscript"/>
        <sz val="11"/>
        <color theme="1"/>
        <rFont val="Calibri"/>
        <family val="2"/>
      </rPr>
      <t>2</t>
    </r>
  </si>
  <si>
    <t>Unlevered</t>
  </si>
  <si>
    <r>
      <t xml:space="preserve">Beta </t>
    </r>
    <r>
      <rPr>
        <vertAlign val="superscript"/>
        <sz val="11"/>
        <color theme="1"/>
        <rFont val="Calibri"/>
        <family val="2"/>
      </rPr>
      <t>3</t>
    </r>
  </si>
  <si>
    <t>India</t>
  </si>
  <si>
    <t>Capital</t>
  </si>
  <si>
    <t>Median</t>
  </si>
  <si>
    <t>Capital Structure</t>
  </si>
  <si>
    <t>Market Capitalization</t>
  </si>
  <si>
    <t>Total Capitalization</t>
  </si>
  <si>
    <t>Current</t>
  </si>
  <si>
    <t>Target</t>
  </si>
  <si>
    <t>Cost of Equity</t>
  </si>
  <si>
    <t>Risk Free Rate</t>
  </si>
  <si>
    <t>Equity Risk Premium</t>
  </si>
  <si>
    <t>Levered Beta</t>
  </si>
  <si>
    <t>Debt / Equity</t>
  </si>
  <si>
    <r>
      <t xml:space="preserve">Levered Beta </t>
    </r>
    <r>
      <rPr>
        <vertAlign val="superscript"/>
        <sz val="11"/>
        <color theme="1"/>
        <rFont val="Calibri"/>
        <family val="2"/>
      </rPr>
      <t>4</t>
    </r>
  </si>
  <si>
    <t>Cost of Debt</t>
  </si>
  <si>
    <t>Pre-tax Cost of Debt</t>
  </si>
  <si>
    <t>Tax Rate</t>
  </si>
  <si>
    <t>After Tax Cost of Debt</t>
  </si>
  <si>
    <t xml:space="preserve">Levered Beta </t>
  </si>
  <si>
    <t>Comps Median Unlevered Beta</t>
  </si>
  <si>
    <t xml:space="preserve">Target Debt/ Equity  </t>
  </si>
  <si>
    <t>1. Tax Rate considered as Marginal Tax Rate for the country</t>
  </si>
  <si>
    <t>2. Levered Beta is based on 5 year monthly data</t>
  </si>
  <si>
    <t xml:space="preserve"> </t>
  </si>
  <si>
    <t>3. Unlevered Beta = Levered Beta/(1+(1-Tax Rate) x Debt/Equity)</t>
  </si>
  <si>
    <t>Date</t>
  </si>
  <si>
    <t>S.No.</t>
  </si>
  <si>
    <t>CMP Rs.</t>
  </si>
  <si>
    <t>Debt Rs.Cr.</t>
  </si>
  <si>
    <t xml:space="preserve">Mar Cap Rs.Cr. </t>
  </si>
  <si>
    <t>Debt / Eq</t>
  </si>
  <si>
    <t>Closing Price</t>
  </si>
  <si>
    <t>Return</t>
  </si>
  <si>
    <t>NIFTY Returns</t>
  </si>
  <si>
    <t>Beta 1</t>
  </si>
  <si>
    <t>Beta 2</t>
  </si>
  <si>
    <t>Total</t>
  </si>
  <si>
    <t>Beta Drifting</t>
  </si>
  <si>
    <t>Levered Raw Beta</t>
  </si>
  <si>
    <t>Raw Beta Weight</t>
  </si>
  <si>
    <t>Market Beta Weight</t>
  </si>
  <si>
    <t xml:space="preserve">Market Beta </t>
  </si>
  <si>
    <t>Adjusted Beta</t>
  </si>
  <si>
    <t>Year</t>
  </si>
  <si>
    <t>Annual</t>
  </si>
  <si>
    <t>Average Return</t>
  </si>
  <si>
    <t>Dividend Yield</t>
  </si>
  <si>
    <t>Total Market Returns</t>
  </si>
  <si>
    <t>Equity Weight</t>
  </si>
  <si>
    <t>Debt Weight</t>
  </si>
  <si>
    <t>WACC</t>
  </si>
  <si>
    <t>Years</t>
  </si>
  <si>
    <t>LTM</t>
  </si>
  <si>
    <t>#</t>
  </si>
  <si>
    <t>Income Statement</t>
  </si>
  <si>
    <t>Sales</t>
  </si>
  <si>
    <t>Sales Growth</t>
  </si>
  <si>
    <t>-</t>
  </si>
  <si>
    <t>COGS</t>
  </si>
  <si>
    <t>COGS % Sales</t>
  </si>
  <si>
    <t>Gross Profit</t>
  </si>
  <si>
    <t>Gross Margins</t>
  </si>
  <si>
    <t>Selling &amp; General Expenses</t>
  </si>
  <si>
    <t>S&amp;G Exp % Sales</t>
  </si>
  <si>
    <t>EBITDA</t>
  </si>
  <si>
    <t>EBITDA Margins</t>
  </si>
  <si>
    <t>Interest</t>
  </si>
  <si>
    <t>Interest % Sales</t>
  </si>
  <si>
    <t>Depreciation</t>
  </si>
  <si>
    <t>Depreciation%Sales</t>
  </si>
  <si>
    <t>Earnings Before Tax</t>
  </si>
  <si>
    <t>EBT % Sales</t>
  </si>
  <si>
    <t>Tax</t>
  </si>
  <si>
    <t>Effective Tax Rate</t>
  </si>
  <si>
    <t>Net Profit</t>
  </si>
  <si>
    <t>Net Margins</t>
  </si>
  <si>
    <t>No of Equity Shares</t>
  </si>
  <si>
    <t>Earnings per Share</t>
  </si>
  <si>
    <t>EPS Growth %</t>
  </si>
  <si>
    <t>Dividend per Share</t>
  </si>
  <si>
    <t>Dividend payout ratio</t>
  </si>
  <si>
    <t>Retained Earnings</t>
  </si>
  <si>
    <t>Balance Sheet</t>
  </si>
  <si>
    <t>Equity Share Capital</t>
  </si>
  <si>
    <t>Reserves</t>
  </si>
  <si>
    <t>Borrowings</t>
  </si>
  <si>
    <t>Other Liabilities</t>
  </si>
  <si>
    <t>Total Liabilities</t>
  </si>
  <si>
    <t>Fixed Assets Net Block</t>
  </si>
  <si>
    <t>Capital Work in Progress</t>
  </si>
  <si>
    <t>Investments</t>
  </si>
  <si>
    <t>Other Assets</t>
  </si>
  <si>
    <t>Total Non Current Assets</t>
  </si>
  <si>
    <t>Receivables</t>
  </si>
  <si>
    <t>Inventory</t>
  </si>
  <si>
    <t>Cash &amp; Bank</t>
  </si>
  <si>
    <t>Total Current Assets</t>
  </si>
  <si>
    <t>Total Assets</t>
  </si>
  <si>
    <t>Check</t>
  </si>
  <si>
    <t>Cash Flow Statements</t>
  </si>
  <si>
    <t>Cash from Operating Activities</t>
  </si>
  <si>
    <t>Cash from Investing Activities</t>
  </si>
  <si>
    <t>Cash from Financing Activities</t>
  </si>
  <si>
    <t>Net Cash Flow</t>
  </si>
  <si>
    <t>COMPANY NAME</t>
  </si>
  <si>
    <t>LARSEN &amp; TOUBRO LTD</t>
  </si>
  <si>
    <t>LATEST VERSION</t>
  </si>
  <si>
    <t>PLEASE DO NOT MAKE ANY CHANGES TO THIS SHEET</t>
  </si>
  <si>
    <t>CURRENT VERSION</t>
  </si>
  <si>
    <t>META</t>
  </si>
  <si>
    <t>Number of shares</t>
  </si>
  <si>
    <t>Face Value</t>
  </si>
  <si>
    <t>Current Price</t>
  </si>
  <si>
    <t>PROFIT &amp; LOSS</t>
  </si>
  <si>
    <t>Report Date</t>
  </si>
  <si>
    <t>Raw Material Cost</t>
  </si>
  <si>
    <t>Change in Inventory</t>
  </si>
  <si>
    <t>Power and Fuel</t>
  </si>
  <si>
    <t>Other Mfr. Exp</t>
  </si>
  <si>
    <t>Employee Cost</t>
  </si>
  <si>
    <t>Selling and admin</t>
  </si>
  <si>
    <t>Other Expenses</t>
  </si>
  <si>
    <t>Other Income</t>
  </si>
  <si>
    <t>Profit before tax</t>
  </si>
  <si>
    <t>Net profit</t>
  </si>
  <si>
    <t>Dividend Amount</t>
  </si>
  <si>
    <t>Quarters</t>
  </si>
  <si>
    <t>Expenses</t>
  </si>
  <si>
    <t>Operating Profit</t>
  </si>
  <si>
    <t>BALANCE SHEET</t>
  </si>
  <si>
    <t>Net Block</t>
  </si>
  <si>
    <t>No. of Equity Shares</t>
  </si>
  <si>
    <t>New Bonus Shares</t>
  </si>
  <si>
    <t>Face value</t>
  </si>
  <si>
    <t>CASH FLOW:</t>
  </si>
  <si>
    <t>Cash from Operating Activity</t>
  </si>
  <si>
    <t>Cash from Investing Activity</t>
  </si>
  <si>
    <t>Cash from Financing Activity</t>
  </si>
  <si>
    <t>PRICE:</t>
  </si>
  <si>
    <t>DERIVED:</t>
  </si>
  <si>
    <t>Adjusted Equity Shares in Cr</t>
  </si>
  <si>
    <t>Equity Capital</t>
  </si>
  <si>
    <t>Long term Borrowings</t>
  </si>
  <si>
    <t>Short term Borrowings</t>
  </si>
  <si>
    <t>Lease Liabilities</t>
  </si>
  <si>
    <t>Other Borrowings</t>
  </si>
  <si>
    <t>Non controlling int</t>
  </si>
  <si>
    <t>Trade Payables</t>
  </si>
  <si>
    <t>Advance from Customers</t>
  </si>
  <si>
    <t>Other liability items</t>
  </si>
  <si>
    <t>Land</t>
  </si>
  <si>
    <t>Building</t>
  </si>
  <si>
    <t>Plant Machinery</t>
  </si>
  <si>
    <t>Equipments</t>
  </si>
  <si>
    <t>Furniture n fittings</t>
  </si>
  <si>
    <t>Vehicles</t>
  </si>
  <si>
    <t>Intangible Assets</t>
  </si>
  <si>
    <t>Other fixed assets</t>
  </si>
  <si>
    <t>Gross Block</t>
  </si>
  <si>
    <t>Accumulated Depreciation</t>
  </si>
  <si>
    <t>CWIP</t>
  </si>
  <si>
    <t>Inventories</t>
  </si>
  <si>
    <t>Cash Equivalents</t>
  </si>
  <si>
    <t>Loans n Advances</t>
  </si>
  <si>
    <t>Other asset items</t>
  </si>
  <si>
    <t>Particulars</t>
  </si>
  <si>
    <t>ROIC</t>
  </si>
  <si>
    <t>Calculation of ROIC</t>
  </si>
  <si>
    <t>Current Assets</t>
  </si>
  <si>
    <t>Current Liabilities</t>
  </si>
  <si>
    <t>Total Current Liabilities</t>
  </si>
  <si>
    <t>Net Working Capital</t>
  </si>
  <si>
    <t>Non Current Assets</t>
  </si>
  <si>
    <t>Net Non Current Assets</t>
  </si>
  <si>
    <t>Invested Capital</t>
  </si>
  <si>
    <t>EBIT</t>
  </si>
  <si>
    <t>Calculation of Reinvestment Rate</t>
  </si>
  <si>
    <t>Net Capex</t>
  </si>
  <si>
    <t>Profit from operations</t>
  </si>
  <si>
    <t>Payables</t>
  </si>
  <si>
    <t>Working capital changes</t>
  </si>
  <si>
    <t>Direct taxes</t>
  </si>
  <si>
    <t>Fixed assets purchased</t>
  </si>
  <si>
    <t>Fixed assets sold</t>
  </si>
  <si>
    <t>Investments purchased</t>
  </si>
  <si>
    <t>Investments sold</t>
  </si>
  <si>
    <t>Interest received</t>
  </si>
  <si>
    <t>Dividends received</t>
  </si>
  <si>
    <t>Redemp n Canc of Shares</t>
  </si>
  <si>
    <t>Acquisition of companies</t>
  </si>
  <si>
    <t>Other investing items</t>
  </si>
  <si>
    <t>Proceeds from borrowings</t>
  </si>
  <si>
    <t>Repayment of borrowings</t>
  </si>
  <si>
    <t>Interest paid fin</t>
  </si>
  <si>
    <t>Dividends paid</t>
  </si>
  <si>
    <t>Financial liabilities</t>
  </si>
  <si>
    <t>Other financing items</t>
  </si>
  <si>
    <t>Change in Working Capital</t>
  </si>
  <si>
    <t>Marginal Tax Rate</t>
  </si>
  <si>
    <t>Reinvestment</t>
  </si>
  <si>
    <t>EBIT(1-T)</t>
  </si>
  <si>
    <t>Reinvestment Rate</t>
  </si>
  <si>
    <t>4 Year Average</t>
  </si>
  <si>
    <t>4 Year Median</t>
  </si>
  <si>
    <t>Calculation of Growth Rate</t>
  </si>
  <si>
    <t>Intrinsic Growth</t>
  </si>
  <si>
    <t>Calculation of PV of FCFF</t>
  </si>
  <si>
    <t>EBIT(1-Tax)</t>
  </si>
  <si>
    <t>Less: Reinvestment Rate</t>
  </si>
  <si>
    <t>Free Cash Flow to Firm(FCFF)</t>
  </si>
  <si>
    <t>Mid Year Convention</t>
  </si>
  <si>
    <t>Discounting Factor</t>
  </si>
  <si>
    <t>PV of FCFF</t>
  </si>
  <si>
    <t xml:space="preserve">Expected Growth </t>
  </si>
  <si>
    <t>Terminal Growth</t>
  </si>
  <si>
    <t>FCFF(n+1)</t>
  </si>
  <si>
    <t>Terminal Growth Rate</t>
  </si>
  <si>
    <t>Terminal Value</t>
  </si>
  <si>
    <t>PV Terminal Value</t>
  </si>
  <si>
    <t>Value of Operating Activities</t>
  </si>
  <si>
    <t>Add: Cash</t>
  </si>
  <si>
    <t>Less: debt</t>
  </si>
  <si>
    <t>Value of Equity</t>
  </si>
  <si>
    <t>NO. of Shares</t>
  </si>
  <si>
    <t xml:space="preserve"> Equity Value Per Share</t>
  </si>
  <si>
    <t>Share Price</t>
  </si>
  <si>
    <t>Discount/Premium</t>
  </si>
  <si>
    <t xml:space="preserve"> make changes according to the Column TO THIS SHEET</t>
  </si>
  <si>
    <t>Calculation of Terminal Value</t>
  </si>
  <si>
    <t>Calculation of Enterprise Value</t>
  </si>
  <si>
    <t>DCF Bear</t>
  </si>
  <si>
    <t>DCF Bull</t>
  </si>
  <si>
    <t>DCF Base</t>
  </si>
  <si>
    <t>Open Low</t>
  </si>
  <si>
    <t>Open High</t>
  </si>
  <si>
    <t>Low</t>
  </si>
  <si>
    <t>High</t>
  </si>
  <si>
    <t>Amount in crores</t>
  </si>
  <si>
    <t>Comparable Company Valuations</t>
  </si>
  <si>
    <t>Market Data</t>
  </si>
  <si>
    <t>Financials</t>
  </si>
  <si>
    <t>Valuation</t>
  </si>
  <si>
    <t>Company</t>
  </si>
  <si>
    <t>Ticker</t>
  </si>
  <si>
    <t>Share prize</t>
  </si>
  <si>
    <t>Shares Outstanding</t>
  </si>
  <si>
    <t>Equity Value</t>
  </si>
  <si>
    <t>Net Debt</t>
  </si>
  <si>
    <t>Enterprise Value</t>
  </si>
  <si>
    <t>Revenue</t>
  </si>
  <si>
    <t>Net Income</t>
  </si>
  <si>
    <t>EV/Revenue</t>
  </si>
  <si>
    <t>EV/EBITDA</t>
  </si>
  <si>
    <t>P/E</t>
  </si>
  <si>
    <t>75th Percentile</t>
  </si>
  <si>
    <t>25th Percentile</t>
  </si>
  <si>
    <t>Implied Enterprise Value</t>
  </si>
  <si>
    <t>Implied value per share</t>
  </si>
  <si>
    <t>Source: The Valuation School, Screener.in</t>
  </si>
  <si>
    <t>Return on Markets - Nifty 50</t>
  </si>
  <si>
    <t>Mar Cap Rs.Cr.</t>
  </si>
  <si>
    <t>Sales Rs.Cr.</t>
  </si>
  <si>
    <t>OPM %</t>
  </si>
  <si>
    <t>EV Rs.Cr.</t>
  </si>
  <si>
    <t>EV / EBITDA</t>
  </si>
  <si>
    <t>Ind PE</t>
  </si>
  <si>
    <t>no of equity share</t>
  </si>
  <si>
    <t>Cash</t>
  </si>
  <si>
    <t>NP</t>
  </si>
  <si>
    <t>market cap/pe</t>
  </si>
  <si>
    <t>ev/ev/ebitda</t>
  </si>
  <si>
    <t>MC+DBT-EV</t>
  </si>
  <si>
    <t>MC/CMP</t>
  </si>
  <si>
    <t xml:space="preserve">needs correction </t>
  </si>
  <si>
    <t>Fooball Field Analysis - Data</t>
  </si>
  <si>
    <t>Regression Beta - 5 Years Monthly</t>
  </si>
  <si>
    <t>4. Levered Beta = Unlevered Beta/(1+(1-Tax Rate) x Debt/Equity)</t>
  </si>
  <si>
    <t>5.All Beta are calculated on 5 year monthly basis</t>
  </si>
  <si>
    <t>52 Weeks Range</t>
  </si>
  <si>
    <t>Implied Market Value</t>
  </si>
  <si>
    <t>Relative Valuation</t>
  </si>
  <si>
    <t>Price</t>
  </si>
  <si>
    <t>Returns</t>
  </si>
  <si>
    <t>Shorted Returns</t>
  </si>
  <si>
    <t>Mean</t>
  </si>
  <si>
    <t xml:space="preserve"> Std</t>
  </si>
  <si>
    <t>Min</t>
  </si>
  <si>
    <t>Max</t>
  </si>
  <si>
    <t>Percentile</t>
  </si>
  <si>
    <t>VAR%</t>
  </si>
  <si>
    <t>current Price</t>
  </si>
  <si>
    <t>Stock Price</t>
  </si>
  <si>
    <t>VAR(INR)</t>
  </si>
  <si>
    <t>Confidence</t>
  </si>
  <si>
    <t>Replication</t>
  </si>
  <si>
    <t>Simulated Returns</t>
  </si>
  <si>
    <t>Historical Approach</t>
  </si>
  <si>
    <t>Monte Carlo Simulation</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</si>
  <si>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</si>
  <si>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</si>
  <si>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</si>
  <si>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</si>
  <si>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</si>
  <si>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</si>
  <si>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</si>
  <si>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</si>
  <si>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</si>
  <si>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</si>
  <si>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</si>
  <si>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</si>
  <si>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</si>
  <si>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</si>
  <si>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</si>
  <si>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</si>
  <si>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</si>
  <si>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</si>
  <si>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</si>
  <si>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</si>
  <si>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</si>
  <si>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</si>
  <si>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</si>
  <si>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</si>
  <si>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</si>
  <si>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</si>
  <si>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</si>
  <si>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</si>
  <si>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</si>
  <si>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</si>
  <si>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</si>
  <si>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</si>
  <si>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</si>
  <si>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</si>
  <si>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</si>
  <si>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</si>
  <si>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</si>
  <si>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</si>
  <si>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</si>
  <si>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</si>
  <si>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</si>
  <si>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</si>
  <si>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</si>
  <si>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</si>
  <si>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</si>
  <si>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</si>
  <si>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</si>
  <si>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</si>
  <si>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</si>
  <si>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</si>
  <si>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</si>
  <si>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</si>
  <si>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</si>
  <si>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</si>
  <si>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</si>
  <si>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</si>
  <si>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</si>
  <si>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</si>
  <si>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</si>
  <si>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</si>
  <si>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</si>
  <si>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</si>
  <si>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</si>
  <si>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</si>
  <si>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</si>
  <si>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</si>
  <si>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</si>
  <si>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</si>
  <si>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</si>
  <si>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</si>
  <si>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</si>
  <si>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</si>
  <si>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</si>
  <si>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</si>
  <si>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</si>
  <si>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</si>
  <si>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</si>
  <si>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</si>
  <si>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</si>
  <si>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</si>
  <si>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</si>
  <si>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</si>
  <si>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</si>
  <si>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</si>
  <si>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 xml:space="preserve">Housing Finance </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</si>
  <si>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</si>
  <si>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</si>
  <si>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</si>
  <si>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</si>
  <si>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</si>
  <si>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</si>
  <si>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</si>
  <si>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</si>
  <si>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</si>
  <si>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</si>
  <si>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</si>
  <si>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</si>
  <si>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</si>
  <si>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</si>
  <si>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</si>
  <si>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</si>
  <si>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</si>
  <si>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</si>
  <si>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</si>
  <si>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</si>
  <si>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</si>
  <si>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</si>
  <si>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</si>
  <si>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</si>
  <si>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</si>
  <si>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</si>
  <si>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</si>
  <si>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</si>
  <si>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</si>
  <si>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</si>
  <si>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</si>
  <si>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</si>
  <si>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</si>
  <si>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</si>
  <si>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</si>
  <si>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</si>
  <si>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</si>
  <si>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</si>
  <si>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</si>
  <si>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</si>
  <si>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</si>
  <si>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</si>
  <si>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</si>
  <si>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</si>
  <si>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</si>
  <si>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</si>
  <si>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</si>
  <si>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</si>
  <si>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</si>
  <si>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</si>
  <si>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</si>
  <si>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</si>
  <si>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</si>
  <si>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</si>
  <si>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</si>
  <si>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</si>
  <si>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</si>
  <si>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</si>
  <si>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</si>
  <si>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</si>
  <si>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</si>
  <si>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</si>
  <si>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</si>
  <si>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</si>
  <si>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</si>
  <si>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</si>
  <si>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</si>
  <si>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</si>
  <si>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</si>
  <si>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</si>
  <si>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</si>
  <si>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</si>
  <si>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</si>
  <si>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</si>
  <si>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</si>
  <si>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</si>
  <si>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</si>
  <si>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</si>
  <si>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</si>
  <si>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</si>
  <si>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</si>
  <si>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</si>
  <si>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</si>
  <si>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</si>
  <si>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</si>
  <si>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</si>
  <si>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</si>
  <si>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</si>
  <si>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</si>
  <si>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</si>
  <si>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</si>
  <si>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</si>
  <si>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</si>
  <si>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</si>
  <si>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</si>
  <si>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</si>
  <si>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</si>
  <si>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</si>
  <si>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</si>
  <si>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</si>
  <si>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</si>
  <si>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</si>
  <si>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</si>
  <si>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</si>
  <si>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</si>
  <si>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</si>
  <si>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</si>
  <si>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</si>
  <si>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</si>
  <si>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</si>
  <si>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</si>
  <si>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</si>
  <si>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</si>
  <si>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</si>
  <si>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</si>
  <si>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</si>
  <si>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</si>
  <si>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</si>
  <si>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</si>
  <si>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</si>
  <si>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</si>
  <si>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</si>
  <si>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</si>
  <si>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</si>
  <si>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</si>
  <si>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</si>
  <si>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</si>
  <si>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</si>
  <si>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</si>
  <si>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</si>
  <si>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</si>
  <si>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</si>
  <si>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</si>
  <si>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</si>
  <si>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</si>
  <si>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</si>
  <si>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</si>
  <si>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</si>
  <si>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</si>
  <si>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</si>
  <si>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</si>
  <si>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</si>
  <si>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</si>
  <si>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</si>
  <si>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</si>
  <si>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</si>
  <si>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</si>
  <si>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</si>
  <si>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</si>
  <si>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</si>
  <si>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</si>
  <si>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</si>
  <si>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</si>
  <si>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</si>
  <si>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</si>
  <si>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</si>
  <si>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</si>
  <si>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</si>
  <si>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</si>
  <si>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</si>
  <si>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</si>
  <si>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</si>
  <si>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</si>
  <si>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</si>
  <si>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</si>
  <si>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</si>
  <si>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</si>
  <si>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</si>
  <si>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</si>
  <si>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</si>
  <si>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</si>
  <si>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</si>
  <si>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</si>
  <si>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</si>
  <si>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</si>
  <si>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</si>
  <si>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</si>
  <si>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</si>
  <si>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</si>
  <si>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</si>
  <si>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</si>
  <si>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</si>
  <si>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</si>
  <si>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</si>
  <si>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</si>
  <si>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</si>
  <si>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</si>
  <si>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</si>
  <si>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</si>
  <si>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</si>
  <si>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</si>
  <si>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</si>
  <si>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</si>
  <si>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</si>
  <si>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</si>
  <si>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</si>
  <si>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</si>
  <si>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</si>
  <si>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</si>
  <si>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</si>
  <si>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</si>
  <si>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</si>
  <si>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</si>
  <si>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</si>
  <si>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</si>
  <si>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</si>
  <si>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</si>
  <si>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</si>
  <si>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</si>
  <si>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</si>
  <si>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</si>
  <si>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</si>
  <si>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</si>
  <si>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</si>
  <si>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</si>
  <si>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</si>
  <si>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</si>
  <si>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</si>
  <si>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</si>
  <si>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</si>
  <si>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</si>
  <si>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</si>
  <si>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</si>
  <si>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</si>
  <si>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</si>
  <si>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</si>
  <si>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</si>
  <si>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</si>
  <si>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</si>
  <si>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</si>
  <si>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</si>
  <si>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</si>
  <si>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</si>
  <si>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</si>
  <si>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</si>
  <si>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</si>
  <si>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</si>
  <si>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</si>
  <si>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</si>
  <si>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</si>
  <si>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</si>
  <si>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</si>
  <si>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</si>
  <si>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</si>
  <si>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</si>
  <si>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</si>
  <si>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</si>
  <si>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</si>
  <si>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</si>
  <si>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</si>
  <si>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</si>
  <si>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</si>
  <si>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</si>
  <si>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</si>
  <si>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</si>
  <si>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</si>
  <si>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</si>
  <si>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</si>
  <si>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</si>
  <si>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</si>
  <si>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</si>
  <si>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</si>
  <si>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</si>
  <si>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</si>
  <si>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</si>
  <si>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</si>
  <si>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</si>
  <si>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</si>
  <si>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</si>
  <si>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</si>
  <si>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</si>
  <si>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</si>
  <si>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</si>
  <si>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</si>
  <si>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</si>
  <si>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</si>
  <si>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</si>
  <si>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</si>
  <si>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</si>
  <si>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</si>
  <si>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</si>
  <si>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</si>
  <si>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</si>
  <si>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</si>
  <si>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</si>
  <si>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</si>
  <si>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</si>
  <si>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</si>
  <si>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</si>
  <si>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</si>
  <si>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</si>
  <si>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</si>
  <si>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</si>
  <si>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</si>
  <si>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</si>
  <si>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</si>
  <si>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</si>
  <si>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</si>
  <si>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</si>
  <si>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</si>
  <si>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</si>
  <si>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</si>
  <si>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</si>
  <si>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</si>
  <si>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</si>
  <si>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</si>
  <si>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</si>
  <si>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</si>
  <si>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</si>
  <si>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</si>
  <si>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</si>
  <si>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</si>
  <si>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</si>
  <si>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</si>
  <si>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</si>
  <si>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</si>
  <si>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</si>
  <si>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</si>
  <si>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</si>
  <si>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</si>
  <si>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</si>
  <si>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</si>
  <si>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</si>
  <si>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</si>
  <si>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</si>
  <si>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</si>
  <si>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</si>
  <si>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</si>
  <si>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</si>
  <si>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</si>
  <si>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</si>
  <si>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</si>
  <si>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</si>
  <si>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</si>
  <si>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</si>
  <si>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</si>
  <si>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</si>
  <si>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</si>
  <si>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</si>
  <si>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</si>
  <si>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</si>
  <si>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</si>
  <si>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</si>
  <si>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</si>
  <si>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</si>
  <si>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</si>
  <si>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</si>
  <si>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</si>
  <si>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</si>
  <si>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</si>
  <si>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</si>
  <si>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</si>
  <si>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</si>
  <si>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</si>
  <si>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</si>
  <si>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</si>
  <si>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</si>
  <si>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</si>
  <si>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</si>
  <si>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</si>
  <si>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</si>
  <si>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</si>
  <si>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</si>
  <si>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</si>
  <si>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</si>
  <si>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</si>
  <si>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</si>
  <si>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</si>
  <si>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</si>
  <si>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</si>
  <si>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</si>
  <si>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</si>
  <si>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</si>
  <si>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</si>
  <si>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</si>
  <si>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</si>
  <si>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</si>
  <si>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</si>
  <si>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</si>
  <si>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</si>
  <si>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</si>
  <si>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</si>
  <si>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</si>
  <si>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</si>
  <si>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</si>
  <si>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</si>
  <si>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</si>
  <si>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</si>
  <si>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</si>
  <si>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</si>
  <si>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</si>
  <si>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</si>
  <si>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</si>
  <si>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</si>
  <si>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</si>
  <si>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</si>
  <si>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</si>
  <si>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</si>
  <si>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</si>
  <si>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</si>
  <si>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</si>
  <si>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</si>
  <si>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</si>
  <si>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</si>
  <si>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</si>
  <si>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</si>
  <si>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</si>
  <si>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</si>
  <si>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</si>
  <si>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</si>
  <si>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</si>
  <si>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</si>
  <si>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</si>
  <si>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</si>
  <si>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</si>
  <si>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</si>
  <si>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</si>
  <si>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</si>
  <si>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</si>
  <si>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</si>
  <si>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</si>
  <si>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</si>
  <si>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</si>
  <si>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</si>
  <si>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</si>
  <si>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</si>
  <si>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</si>
  <si>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</si>
  <si>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</si>
  <si>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</si>
  <si>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</si>
  <si>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</si>
  <si>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</si>
  <si>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</si>
  <si>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</si>
  <si>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</si>
  <si>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</si>
  <si>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</si>
  <si>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</si>
  <si>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 xml:space="preserve">Gift Articles-Toys &amp; Cards </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</si>
  <si>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</si>
  <si>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</si>
  <si>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</si>
  <si>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</si>
  <si>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</si>
  <si>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</si>
  <si>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</si>
  <si>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</si>
  <si>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</si>
  <si>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</si>
  <si>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</si>
  <si>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</si>
  <si>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</si>
  <si>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</si>
  <si>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</si>
  <si>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</si>
  <si>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</si>
  <si>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</si>
  <si>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</si>
  <si>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</si>
  <si>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</si>
  <si>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</si>
  <si>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</si>
  <si>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</si>
  <si>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</si>
  <si>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</si>
  <si>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</si>
  <si>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</si>
  <si>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</si>
  <si>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</si>
  <si>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</si>
  <si>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</si>
  <si>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</si>
  <si>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</si>
  <si>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</si>
  <si>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</si>
  <si>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</si>
  <si>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</si>
  <si>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</si>
  <si>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</si>
  <si>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</si>
  <si>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</si>
  <si>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</si>
  <si>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</si>
  <si>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</si>
  <si>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</si>
  <si>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</si>
  <si>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</si>
  <si>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</si>
  <si>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</si>
  <si>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</si>
  <si>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</si>
  <si>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</si>
  <si>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</si>
  <si>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</si>
  <si>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</si>
  <si>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</si>
  <si>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</si>
  <si>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</si>
  <si>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</si>
  <si>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</si>
  <si>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</si>
  <si>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</si>
  <si>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</si>
  <si>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</si>
  <si>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</si>
  <si>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</si>
  <si>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</si>
  <si>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</si>
  <si>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</si>
  <si>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</si>
  <si>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</si>
  <si>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</si>
  <si>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</si>
  <si>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</si>
  <si>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</si>
  <si>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</si>
  <si>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</si>
  <si>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</si>
  <si>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</si>
  <si>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</si>
  <si>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</si>
  <si>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</si>
  <si>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</si>
  <si>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</si>
  <si>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</si>
  <si>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</si>
  <si>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</si>
  <si>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</si>
  <si>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</si>
  <si>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</si>
  <si>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</si>
  <si>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</si>
  <si>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</si>
  <si>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</si>
  <si>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</si>
  <si>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</si>
  <si>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</si>
  <si>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</si>
  <si>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</si>
  <si>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</si>
  <si>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</si>
  <si>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</si>
  <si>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</si>
  <si>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</si>
  <si>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</si>
  <si>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</si>
  <si>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</si>
  <si>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</si>
  <si>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</si>
  <si>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</si>
  <si>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</si>
  <si>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</si>
  <si>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</si>
  <si>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</si>
  <si>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</si>
  <si>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</si>
  <si>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</si>
  <si>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</si>
  <si>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</si>
  <si>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</si>
  <si>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</si>
  <si>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</si>
  <si>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</si>
  <si>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</si>
  <si>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</si>
  <si>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</si>
  <si>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</si>
  <si>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</si>
  <si>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</si>
  <si>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</si>
  <si>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</si>
  <si>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</si>
  <si>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</si>
  <si>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</si>
  <si>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</si>
  <si>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</si>
  <si>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</si>
  <si>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</si>
  <si>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</si>
  <si>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</si>
  <si>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</si>
  <si>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</si>
  <si>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</si>
  <si>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</si>
  <si>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</si>
  <si>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</si>
  <si>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</si>
  <si>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</si>
  <si>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</si>
  <si>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</si>
  <si>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</si>
  <si>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</si>
  <si>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</si>
  <si>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</si>
  <si>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</si>
  <si>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</si>
  <si>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</si>
  <si>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</si>
  <si>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</si>
  <si>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</si>
  <si>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</si>
  <si>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</si>
  <si>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</si>
  <si>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</si>
  <si>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</si>
  <si>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</si>
  <si>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</si>
  <si>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</si>
  <si>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</si>
  <si>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</si>
  <si>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</si>
  <si>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</si>
  <si>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</si>
  <si>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</si>
  <si>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</si>
  <si>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</si>
  <si>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</si>
  <si>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</si>
  <si>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</si>
  <si>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</si>
  <si>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</si>
  <si>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</si>
  <si>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</si>
  <si>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</si>
  <si>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</si>
  <si>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</si>
  <si>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</si>
  <si>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</si>
  <si>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</si>
  <si>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</si>
  <si>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</si>
  <si>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</si>
  <si>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</si>
  <si>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</si>
  <si>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</si>
  <si>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</si>
  <si>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</si>
  <si>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</si>
  <si>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</si>
  <si>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</si>
  <si>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</si>
  <si>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</si>
  <si>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</si>
  <si>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</si>
  <si>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</si>
  <si>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</si>
  <si>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</si>
  <si>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</si>
  <si>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</si>
  <si>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</si>
  <si>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</si>
  <si>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</si>
  <si>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</si>
  <si>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</si>
  <si>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</si>
  <si>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</si>
  <si>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</si>
  <si>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</si>
  <si>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</si>
  <si>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</si>
  <si>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</si>
  <si>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</si>
  <si>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</si>
  <si>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</si>
  <si>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</si>
  <si>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</si>
  <si>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</si>
  <si>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</si>
  <si>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</si>
  <si>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</si>
  <si>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</si>
  <si>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</si>
  <si>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</si>
  <si>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</si>
  <si>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</si>
  <si>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</si>
  <si>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</si>
  <si>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</si>
  <si>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</si>
  <si>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</si>
  <si>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</si>
  <si>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</si>
  <si>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</si>
  <si>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</si>
  <si>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</si>
  <si>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</si>
  <si>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</si>
  <si>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</si>
  <si>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</si>
  <si>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</si>
  <si>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</si>
  <si>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</si>
  <si>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</si>
  <si>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</si>
  <si>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</si>
  <si>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</si>
  <si>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</si>
  <si>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</si>
  <si>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</si>
  <si>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</si>
  <si>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</si>
  <si>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</si>
  <si>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</si>
  <si>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</si>
  <si>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</si>
  <si>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</si>
  <si>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</si>
  <si>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</si>
  <si>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</si>
  <si>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</si>
  <si>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</si>
  <si>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</si>
  <si>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</si>
  <si>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</si>
  <si>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</si>
  <si>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</si>
  <si>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</si>
  <si>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</si>
  <si>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</si>
  <si>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</si>
  <si>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</si>
  <si>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</si>
  <si>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</si>
  <si>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</si>
  <si>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</si>
  <si>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</si>
  <si>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</si>
  <si>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</si>
  <si>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</si>
  <si>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</si>
  <si>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</si>
  <si>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</si>
  <si>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</si>
  <si>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</si>
  <si>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</si>
  <si>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</si>
  <si>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</si>
  <si>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</si>
  <si>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</si>
  <si>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</si>
  <si>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</si>
  <si>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</si>
  <si>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</si>
  <si>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</si>
  <si>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</si>
  <si>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</si>
  <si>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</si>
  <si>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</si>
  <si>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</si>
  <si>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</si>
  <si>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</si>
  <si>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</si>
  <si>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</si>
  <si>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</si>
  <si>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</si>
  <si>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</si>
  <si>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</si>
  <si>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</si>
  <si>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</si>
  <si>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</si>
  <si>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</si>
  <si>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</si>
  <si>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</si>
  <si>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</si>
  <si>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</si>
  <si>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</si>
  <si>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</si>
  <si>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</si>
  <si>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</si>
  <si>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</si>
  <si>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</si>
  <si>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</si>
  <si>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</si>
  <si>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</si>
  <si>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</si>
  <si>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</si>
  <si>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</si>
  <si>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</si>
  <si>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</si>
  <si>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</si>
  <si>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</si>
  <si>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</si>
  <si>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</si>
  <si>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</si>
  <si>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</si>
  <si>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</si>
  <si>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</si>
  <si>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</si>
  <si>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</si>
  <si>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</si>
  <si>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</si>
  <si>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</si>
  <si>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</si>
  <si>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</si>
  <si>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</si>
  <si>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</si>
  <si>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</si>
  <si>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</si>
  <si>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</si>
  <si>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</si>
  <si>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</si>
  <si>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</si>
  <si>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</si>
  <si>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</si>
  <si>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</si>
  <si>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</si>
  <si>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</si>
  <si>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</si>
  <si>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</si>
  <si>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</si>
  <si>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</si>
  <si>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</si>
  <si>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</si>
  <si>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</si>
  <si>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</si>
  <si>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</si>
  <si>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</si>
  <si>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</si>
  <si>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</si>
  <si>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</si>
  <si>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</si>
  <si>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</si>
  <si>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</si>
  <si>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</si>
  <si>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</si>
  <si>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</si>
  <si>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</si>
  <si>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</si>
  <si>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</si>
  <si>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</si>
  <si>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</si>
  <si>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</si>
  <si>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</si>
  <si>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</si>
  <si>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</si>
  <si>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</si>
  <si>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</si>
  <si>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</si>
  <si>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</si>
  <si>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</si>
  <si>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</si>
  <si>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</si>
  <si>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</si>
  <si>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</si>
  <si>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</si>
  <si>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</si>
  <si>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</si>
  <si>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</si>
  <si>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</si>
  <si>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</si>
  <si>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</si>
  <si>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</si>
  <si>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</si>
  <si>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</si>
  <si>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</si>
  <si>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</si>
  <si>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</si>
  <si>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</si>
  <si>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</si>
  <si>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</si>
  <si>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</si>
  <si>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</si>
  <si>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</si>
  <si>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</si>
  <si>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</si>
  <si>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</si>
  <si>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</si>
  <si>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</si>
  <si>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</si>
  <si>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</si>
  <si>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</si>
  <si>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</si>
  <si>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</si>
  <si>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</si>
  <si>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</si>
  <si>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</si>
  <si>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</si>
  <si>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</si>
  <si>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</si>
  <si>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</si>
  <si>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</si>
  <si>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</si>
  <si>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</si>
  <si>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</si>
  <si>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</si>
  <si>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</si>
  <si>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</si>
  <si>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</si>
  <si>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</si>
  <si>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</si>
  <si>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</si>
  <si>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</si>
  <si>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</si>
  <si>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</si>
  <si>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</si>
  <si>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</si>
  <si>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</si>
  <si>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</si>
  <si>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</si>
  <si>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</si>
  <si>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</si>
  <si>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</si>
  <si>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</si>
  <si>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</si>
  <si>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</si>
  <si>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</si>
  <si>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</si>
  <si>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</si>
  <si>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</si>
  <si>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</si>
  <si>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</si>
  <si>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</si>
  <si>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</si>
  <si>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</si>
  <si>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</si>
  <si>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</si>
  <si>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</si>
  <si>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</si>
  <si>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</si>
  <si>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</si>
  <si>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</si>
  <si>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</si>
  <si>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</si>
  <si>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</si>
  <si>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</si>
  <si>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</si>
  <si>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</si>
  <si>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</si>
  <si>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</si>
  <si>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</si>
  <si>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</si>
  <si>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</si>
  <si>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</si>
  <si>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</si>
  <si>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</si>
  <si>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</si>
  <si>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</si>
  <si>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</si>
  <si>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</si>
  <si>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</si>
  <si>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</si>
  <si>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</si>
  <si>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</si>
  <si>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</si>
  <si>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</si>
  <si>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</si>
  <si>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</si>
  <si>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</si>
  <si>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</si>
  <si>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</si>
  <si>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</si>
  <si>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</si>
  <si>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</si>
  <si>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</si>
  <si>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</si>
  <si>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</si>
  <si>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</si>
  <si>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</si>
  <si>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</si>
  <si>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</si>
  <si>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</si>
  <si>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</si>
  <si>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</si>
  <si>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</si>
  <si>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</si>
  <si>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</si>
  <si>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</si>
  <si>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</si>
  <si>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</si>
  <si>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</si>
  <si>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</si>
  <si>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</si>
  <si>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</si>
  <si>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</si>
  <si>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</si>
  <si>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</si>
  <si>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</si>
  <si>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</si>
  <si>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</si>
  <si>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</si>
  <si>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</si>
  <si>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</si>
  <si>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</si>
  <si>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</si>
  <si>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</si>
  <si>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</si>
  <si>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</si>
  <si>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</si>
  <si>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</si>
  <si>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</si>
  <si>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</si>
  <si>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</si>
  <si>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</si>
  <si>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</si>
  <si>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</si>
  <si>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</si>
  <si>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</si>
  <si>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</si>
  <si>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</si>
  <si>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</si>
  <si>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</si>
  <si>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</si>
  <si>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</si>
  <si>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</si>
  <si>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</si>
  <si>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</si>
  <si>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</si>
  <si>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</si>
  <si>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</si>
  <si>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</si>
  <si>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</si>
  <si>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</si>
  <si>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</si>
  <si>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</si>
  <si>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</si>
  <si>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</si>
  <si>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</si>
  <si>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</si>
  <si>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</si>
  <si>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</si>
  <si>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</si>
  <si>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</si>
  <si>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</si>
  <si>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</si>
  <si>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</si>
  <si>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</si>
  <si>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</si>
  <si>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</si>
  <si>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</si>
  <si>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</si>
  <si>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</si>
  <si>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</si>
  <si>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</si>
  <si>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</si>
  <si>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</si>
  <si>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</si>
  <si>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</si>
  <si>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</si>
  <si>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</si>
  <si>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</si>
  <si>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</si>
  <si>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</si>
  <si>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</si>
  <si>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</si>
  <si>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</si>
  <si>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</si>
  <si>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</si>
  <si>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</si>
  <si>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</si>
  <si>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</si>
  <si>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</si>
  <si>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</si>
  <si>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</si>
  <si>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</si>
  <si>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</si>
  <si>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</si>
  <si>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</si>
  <si>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</si>
  <si>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</si>
  <si>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</si>
  <si>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</si>
  <si>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</si>
  <si>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</si>
  <si>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</si>
  <si>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</si>
  <si>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</si>
  <si>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</si>
  <si>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</si>
  <si>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</si>
  <si>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</si>
  <si>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</si>
  <si>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</si>
  <si>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</si>
  <si>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</si>
  <si>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</si>
  <si>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</si>
  <si>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</si>
  <si>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</si>
  <si>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</si>
  <si>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</si>
  <si>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</si>
  <si>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</si>
  <si>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</si>
  <si>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</si>
  <si>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</si>
  <si>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</si>
  <si>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</si>
  <si>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</si>
  <si>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</si>
  <si>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</si>
  <si>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</si>
  <si>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</si>
  <si>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</si>
  <si>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</si>
  <si>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</si>
  <si>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</si>
  <si>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</si>
  <si>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</si>
  <si>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</si>
  <si>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</si>
  <si>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</si>
  <si>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</si>
  <si>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</si>
  <si>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</si>
  <si>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</si>
  <si>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</si>
  <si>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</si>
  <si>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</si>
  <si>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</si>
  <si>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</si>
  <si>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</si>
  <si>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</si>
  <si>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</si>
  <si>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</si>
  <si>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</si>
  <si>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</si>
  <si>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</si>
  <si>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</si>
  <si>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</si>
  <si>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</si>
  <si>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</si>
  <si>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</si>
  <si>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</si>
  <si>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</si>
  <si>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</si>
  <si>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</si>
  <si>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</si>
  <si>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</si>
  <si>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</si>
  <si>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</si>
  <si>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</si>
  <si>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</si>
  <si>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</si>
  <si>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</si>
  <si>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</si>
  <si>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</si>
  <si>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</si>
  <si>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</si>
  <si>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</si>
  <si>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</si>
  <si>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</si>
  <si>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</si>
  <si>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</si>
  <si>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</si>
  <si>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</si>
  <si>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</si>
  <si>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</si>
  <si>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</si>
  <si>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</si>
  <si>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</si>
  <si>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</si>
  <si>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</si>
  <si>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</si>
  <si>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</si>
  <si>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</si>
  <si>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</si>
  <si>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</si>
  <si>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</si>
  <si>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</si>
  <si>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</si>
  <si>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</si>
  <si>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</si>
  <si>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</si>
  <si>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</si>
  <si>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</si>
  <si>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</si>
  <si>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</si>
  <si>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</si>
  <si>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</si>
  <si>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</si>
  <si>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</si>
  <si>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</si>
  <si>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</si>
  <si>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</si>
  <si>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</si>
  <si>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</si>
  <si>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</si>
  <si>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</si>
  <si>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</si>
  <si>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</si>
  <si>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</si>
  <si>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</si>
  <si>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</si>
  <si>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</si>
  <si>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</si>
  <si>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</si>
  <si>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</si>
  <si>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</si>
  <si>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</si>
  <si>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</si>
  <si>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</si>
  <si>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</si>
  <si>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</si>
  <si>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</si>
  <si>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</si>
  <si>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</si>
  <si>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</si>
  <si>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</si>
  <si>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</si>
  <si>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</si>
  <si>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</si>
  <si>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</si>
  <si>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</si>
  <si>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</si>
  <si>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</si>
  <si>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</si>
  <si>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</si>
  <si>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</si>
  <si>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</si>
  <si>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</si>
  <si>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</si>
  <si>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</si>
  <si>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</si>
  <si>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</si>
  <si>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</si>
  <si>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</si>
  <si>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</si>
  <si>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</si>
  <si>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</si>
  <si>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</si>
  <si>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</si>
  <si>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</si>
  <si>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</si>
  <si>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</si>
  <si>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</si>
  <si>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</si>
  <si>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</si>
  <si>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</si>
  <si>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</si>
  <si>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</si>
  <si>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</si>
  <si>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</si>
  <si>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</si>
  <si>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</si>
  <si>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</si>
  <si>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</si>
  <si>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</si>
  <si>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</si>
  <si>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</si>
  <si>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</si>
  <si>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</si>
  <si>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</si>
  <si>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</si>
  <si>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</si>
  <si>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</si>
  <si>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</si>
  <si>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</si>
  <si>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</si>
  <si>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</si>
  <si>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</si>
  <si>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</si>
  <si>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</si>
  <si>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</si>
  <si>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</si>
  <si>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</si>
  <si>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</si>
  <si>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</si>
  <si>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</si>
  <si>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</si>
  <si>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</si>
  <si>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</si>
  <si>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</si>
  <si>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</si>
  <si>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</si>
  <si>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</si>
  <si>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</si>
  <si>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</si>
  <si>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</si>
  <si>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</si>
  <si>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</si>
  <si>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</si>
  <si>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</si>
  <si>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</si>
  <si>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</si>
  <si>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</si>
  <si>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</si>
  <si>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</si>
  <si>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</si>
  <si>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</si>
  <si>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</si>
  <si>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</si>
  <si>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</si>
  <si>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</si>
  <si>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</si>
  <si>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</si>
  <si>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</si>
  <si>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</si>
  <si>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</si>
  <si>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</si>
  <si>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</si>
  <si>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</si>
  <si>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</si>
  <si>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</si>
  <si>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</si>
  <si>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</si>
  <si>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</si>
  <si>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</si>
  <si>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</si>
  <si>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</si>
  <si>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</si>
  <si>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</si>
  <si>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</si>
  <si>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</si>
  <si>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</si>
  <si>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</si>
  <si>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</si>
  <si>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</si>
  <si>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</si>
  <si>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</si>
  <si>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</si>
  <si>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</si>
  <si>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</si>
  <si>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</si>
  <si>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</si>
  <si>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</si>
  <si>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</si>
  <si>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</si>
  <si>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</si>
  <si>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</si>
  <si>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</si>
  <si>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</si>
  <si>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</si>
  <si>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</si>
  <si>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</si>
  <si>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</si>
  <si>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</si>
  <si>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</si>
  <si>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</si>
  <si>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</si>
  <si>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</si>
  <si>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</si>
  <si>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</si>
  <si>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</si>
  <si>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</si>
  <si>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</si>
  <si>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</si>
  <si>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</si>
  <si>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</si>
  <si>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</si>
  <si>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</si>
  <si>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</si>
  <si>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</si>
  <si>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</si>
  <si>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</si>
  <si>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</si>
  <si>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</si>
  <si>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</si>
  <si>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</si>
  <si>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</si>
  <si>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</si>
  <si>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</si>
  <si>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</si>
  <si>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</si>
  <si>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</si>
  <si>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</si>
  <si>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</si>
  <si>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</si>
  <si>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</si>
  <si>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</si>
  <si>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</si>
  <si>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</si>
  <si>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</si>
  <si>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</si>
  <si>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</si>
  <si>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</si>
  <si>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</si>
  <si>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</si>
  <si>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</si>
  <si>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</si>
  <si>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</si>
  <si>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</si>
  <si>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</si>
  <si>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</si>
  <si>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</si>
  <si>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</si>
  <si>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</si>
  <si>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</si>
  <si>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</si>
  <si>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</si>
  <si>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</si>
  <si>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</si>
  <si>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</si>
  <si>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</si>
  <si>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</si>
  <si>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</si>
  <si>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</si>
  <si>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</si>
  <si>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</si>
  <si>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</si>
  <si>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</si>
  <si>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</si>
  <si>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</si>
  <si>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</si>
  <si>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</si>
  <si>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</si>
  <si>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</si>
  <si>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</si>
  <si>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</si>
  <si>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</si>
  <si>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</si>
  <si>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</si>
  <si>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</si>
  <si>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</si>
  <si>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</si>
  <si>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</si>
  <si>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</si>
  <si>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</si>
  <si>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</si>
  <si>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</si>
  <si>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</si>
  <si>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</si>
  <si>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</si>
  <si>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</si>
  <si>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</si>
  <si>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</si>
  <si>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</si>
  <si>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</si>
  <si>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</si>
  <si>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</si>
  <si>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</si>
  <si>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</si>
  <si>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</si>
  <si>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</si>
  <si>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</si>
  <si>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</si>
  <si>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</si>
  <si>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</si>
  <si>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</si>
  <si>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</si>
  <si>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</si>
  <si>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</si>
  <si>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</si>
  <si>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</si>
  <si>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</si>
  <si>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</si>
  <si>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</si>
  <si>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</si>
  <si>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</si>
  <si>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</si>
  <si>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</si>
  <si>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</si>
  <si>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</si>
  <si>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</si>
  <si>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</si>
  <si>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</si>
  <si>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</si>
  <si>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</si>
  <si>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</si>
  <si>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</si>
  <si>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</si>
  <si>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</si>
  <si>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</si>
  <si>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</si>
  <si>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</si>
  <si>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</si>
  <si>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</si>
  <si>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</si>
  <si>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</si>
  <si>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</si>
  <si>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</si>
  <si>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</si>
  <si>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</si>
  <si>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</si>
  <si>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</si>
  <si>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</si>
  <si>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</si>
  <si>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</si>
  <si>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</si>
  <si>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</si>
  <si>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</si>
  <si>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</si>
  <si>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</si>
  <si>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</si>
  <si>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</si>
  <si>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</si>
  <si>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</si>
  <si>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</si>
  <si>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</si>
  <si>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</si>
  <si>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</si>
  <si>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</si>
  <si>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</si>
  <si>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</si>
  <si>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</si>
  <si>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</si>
  <si>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</si>
  <si>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</si>
  <si>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</si>
  <si>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</si>
  <si>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</si>
  <si>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</si>
  <si>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</si>
  <si>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</si>
  <si>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</si>
  <si>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</si>
  <si>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</si>
  <si>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</si>
  <si>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</si>
  <si>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</si>
  <si>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</si>
  <si>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</si>
  <si>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</si>
  <si>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</si>
  <si>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</si>
  <si>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</si>
  <si>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</si>
  <si>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</si>
  <si>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</si>
  <si>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</si>
  <si>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</si>
  <si>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</si>
  <si>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</si>
  <si>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</si>
  <si>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</si>
  <si>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</si>
  <si>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</si>
  <si>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</si>
  <si>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</si>
  <si>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</si>
  <si>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</si>
  <si>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</si>
  <si>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</si>
  <si>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</si>
  <si>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</si>
  <si>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</si>
  <si>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</si>
  <si>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</si>
  <si>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</si>
  <si>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</si>
  <si>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</si>
  <si>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</si>
  <si>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</si>
  <si>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</si>
  <si>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</si>
  <si>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</si>
  <si>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</si>
  <si>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</si>
  <si>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</si>
  <si>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</si>
  <si>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</si>
  <si>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</si>
  <si>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</si>
  <si>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</si>
  <si>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</si>
  <si>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</si>
  <si>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</si>
  <si>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</si>
  <si>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</si>
  <si>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</si>
  <si>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</si>
  <si>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</si>
  <si>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</si>
  <si>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</si>
  <si>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</si>
  <si>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</si>
  <si>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</si>
  <si>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</si>
  <si>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</si>
  <si>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</si>
  <si>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</si>
  <si>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</si>
  <si>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</si>
  <si>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</si>
  <si>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</si>
  <si>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</si>
  <si>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</si>
  <si>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</si>
  <si>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</si>
  <si>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</si>
  <si>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</si>
  <si>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</si>
  <si>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</si>
  <si>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</si>
  <si>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</si>
  <si>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</si>
  <si>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</si>
  <si>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</si>
  <si>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</si>
  <si>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</si>
  <si>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</si>
  <si>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</si>
  <si>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</si>
  <si>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</si>
  <si>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</si>
  <si>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</si>
  <si>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</si>
  <si>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</si>
  <si>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</si>
  <si>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</si>
  <si>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</si>
  <si>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</si>
  <si>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</si>
  <si>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</si>
  <si>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</si>
  <si>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</si>
  <si>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</si>
  <si>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</si>
  <si>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</si>
  <si>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</si>
  <si>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</si>
  <si>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</si>
  <si>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</si>
  <si>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</si>
  <si>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</si>
  <si>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</si>
  <si>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</si>
  <si>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</si>
  <si>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</si>
  <si>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</si>
  <si>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</si>
  <si>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</si>
  <si>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</si>
  <si>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</si>
  <si>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</si>
  <si>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</si>
  <si>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</si>
  <si>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</si>
  <si>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</si>
  <si>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</si>
  <si>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</si>
  <si>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</si>
  <si>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</si>
  <si>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</si>
  <si>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</si>
  <si>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</si>
  <si>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</si>
  <si>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</si>
  <si>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</si>
  <si>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</si>
  <si>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</si>
  <si>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</si>
  <si>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</si>
  <si>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</si>
  <si>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</si>
  <si>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</si>
  <si>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</si>
  <si>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</si>
  <si>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</si>
  <si>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</si>
  <si>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</si>
  <si>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</si>
  <si>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</si>
  <si>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</si>
  <si>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</si>
  <si>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</si>
  <si>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</si>
  <si>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</si>
  <si>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</si>
  <si>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</si>
  <si>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</si>
  <si>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</si>
  <si>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</si>
  <si>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</si>
  <si>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</si>
  <si>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</si>
  <si>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</si>
  <si>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</si>
  <si>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</si>
  <si>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</si>
  <si>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</si>
  <si>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</si>
  <si>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</si>
  <si>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</si>
  <si>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</si>
  <si>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</si>
  <si>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</si>
  <si>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</si>
  <si>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</si>
  <si>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</si>
  <si>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</si>
  <si>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</si>
  <si>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</si>
  <si>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</si>
  <si>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</si>
  <si>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</si>
  <si>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</si>
  <si>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</si>
  <si>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</si>
  <si>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</si>
  <si>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</si>
  <si>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</si>
  <si>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</si>
  <si>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</si>
  <si>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</si>
  <si>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</si>
  <si>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</si>
  <si>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</si>
  <si>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</si>
  <si>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</si>
  <si>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</si>
  <si>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</si>
  <si>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</si>
  <si>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</si>
  <si>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</si>
  <si>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</si>
  <si>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</si>
  <si>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</si>
  <si>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</si>
  <si>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</si>
  <si>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</si>
  <si>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</si>
  <si>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</si>
  <si>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</si>
  <si>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</si>
  <si>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</si>
  <si>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</si>
  <si>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</si>
  <si>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</si>
  <si>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</si>
  <si>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</si>
  <si>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</si>
  <si>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</si>
  <si>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</si>
  <si>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</si>
  <si>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</si>
  <si>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</si>
  <si>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</si>
  <si>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</si>
  <si>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</si>
  <si>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</si>
  <si>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</si>
  <si>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</si>
  <si>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</si>
  <si>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</si>
  <si>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</si>
  <si>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</si>
  <si>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</si>
  <si>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</si>
  <si>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</si>
  <si>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</si>
  <si>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</si>
  <si>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</si>
  <si>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</si>
  <si>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</si>
  <si>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</si>
  <si>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</si>
  <si>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</si>
  <si>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</si>
  <si>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</si>
  <si>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</si>
  <si>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</si>
  <si>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</si>
  <si>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</si>
  <si>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</si>
  <si>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</si>
  <si>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</si>
  <si>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</si>
  <si>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</si>
  <si>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</si>
  <si>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</si>
  <si>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</si>
  <si>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</si>
  <si>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</si>
  <si>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</si>
  <si>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</si>
  <si>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</si>
  <si>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</si>
  <si>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</si>
  <si>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</si>
  <si>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</si>
  <si>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</si>
  <si>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</si>
  <si>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</si>
  <si>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</si>
  <si>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</si>
  <si>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</si>
  <si>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</si>
  <si>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</si>
  <si>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</si>
  <si>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</si>
  <si>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</si>
  <si>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</si>
  <si>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</si>
  <si>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</si>
  <si>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</si>
  <si>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</si>
  <si>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</si>
  <si>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</si>
  <si>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</si>
  <si>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</si>
  <si>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</si>
  <si>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</si>
  <si>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</si>
  <si>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</si>
  <si>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</si>
  <si>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</si>
  <si>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</si>
  <si>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</si>
  <si>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</si>
  <si>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</si>
  <si>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</si>
  <si>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</si>
  <si>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</si>
  <si>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</si>
  <si>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</si>
  <si>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</si>
  <si>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</si>
  <si>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</si>
  <si>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</si>
  <si>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</si>
  <si>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</si>
  <si>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</si>
  <si>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</si>
  <si>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</si>
  <si>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</si>
  <si>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</si>
  <si>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</si>
  <si>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</si>
  <si>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</si>
  <si>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</si>
  <si>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</si>
  <si>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</si>
  <si>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</si>
  <si>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</si>
  <si>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</si>
  <si>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</si>
  <si>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</si>
  <si>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</si>
  <si>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</si>
  <si>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</si>
  <si>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</si>
  <si>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</si>
  <si>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</si>
  <si>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</si>
  <si>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</si>
  <si>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</si>
  <si>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</si>
  <si>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</si>
  <si>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</si>
  <si>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</si>
  <si>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</si>
  <si>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</si>
  <si>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</si>
  <si>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</si>
  <si>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</si>
  <si>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</si>
  <si>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</si>
  <si>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</si>
  <si>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</si>
  <si>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</si>
  <si>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</si>
  <si>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</si>
  <si>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</si>
  <si>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</si>
  <si>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</si>
  <si>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</si>
  <si>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</si>
  <si>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</si>
  <si>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</si>
  <si>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</si>
  <si>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</si>
  <si>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</si>
  <si>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</si>
  <si>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</si>
  <si>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</si>
  <si>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</si>
  <si>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</si>
  <si>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</si>
  <si>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</si>
  <si>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</si>
  <si>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</si>
  <si>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</si>
  <si>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</si>
  <si>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</si>
  <si>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</si>
  <si>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</si>
  <si>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</si>
  <si>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</si>
  <si>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</si>
  <si>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</si>
  <si>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</si>
  <si>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</si>
  <si>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</si>
  <si>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</si>
  <si>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</si>
  <si>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</si>
  <si>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</si>
  <si>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</si>
  <si>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</si>
  <si>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</si>
  <si>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</si>
  <si>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</si>
  <si>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</si>
  <si>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</si>
  <si>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</si>
  <si>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</si>
  <si>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</si>
  <si>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</si>
  <si>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</si>
  <si>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</si>
  <si>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</si>
  <si>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</si>
  <si>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</si>
  <si>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</si>
  <si>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</si>
  <si>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</si>
  <si>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</si>
  <si>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</si>
  <si>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</si>
  <si>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</si>
  <si>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</si>
  <si>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</si>
  <si>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</si>
  <si>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</si>
  <si>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</si>
  <si>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</si>
  <si>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</si>
  <si>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</si>
  <si>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</si>
  <si>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</si>
  <si>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</si>
  <si>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</si>
  <si>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</si>
  <si>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</si>
  <si>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</si>
  <si>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</si>
  <si>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</si>
  <si>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</si>
  <si>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</si>
  <si>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</si>
  <si>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</si>
  <si>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</si>
  <si>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</si>
  <si>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</si>
  <si>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</si>
  <si>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</si>
  <si>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</si>
  <si>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</si>
  <si>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</si>
  <si>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</si>
  <si>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</si>
  <si>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</si>
  <si>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</si>
  <si>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</si>
  <si>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</si>
  <si>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</si>
  <si>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</si>
  <si>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</si>
  <si>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</si>
  <si>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</si>
  <si>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</si>
  <si>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</si>
  <si>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</si>
  <si>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</si>
  <si>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</si>
  <si>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</si>
  <si>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</si>
  <si>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</si>
  <si>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</si>
  <si>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</si>
  <si>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</si>
  <si>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</si>
  <si>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</si>
  <si>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</si>
  <si>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</si>
  <si>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</si>
  <si>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</si>
  <si>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</si>
  <si>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</si>
  <si>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</si>
  <si>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</si>
  <si>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</si>
  <si>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</si>
  <si>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</si>
  <si>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</si>
  <si>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</si>
  <si>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</si>
  <si>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</si>
  <si>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</si>
  <si>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</si>
  <si>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</si>
  <si>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</si>
  <si>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</si>
  <si>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</si>
  <si>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</si>
  <si>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</si>
  <si>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</si>
  <si>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</si>
  <si>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</si>
  <si>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</si>
  <si>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</si>
  <si>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</si>
  <si>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</si>
  <si>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</si>
  <si>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</si>
  <si>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</si>
  <si>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</si>
  <si>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</si>
  <si>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</si>
  <si>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</si>
  <si>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</si>
  <si>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</si>
  <si>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</si>
  <si>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</si>
  <si>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</si>
  <si>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</si>
  <si>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</si>
  <si>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</si>
  <si>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</si>
  <si>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</si>
  <si>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</si>
  <si>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</si>
  <si>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</si>
  <si>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</si>
  <si>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</si>
  <si>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</si>
  <si>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</si>
  <si>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</si>
  <si>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</si>
  <si>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</si>
  <si>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</si>
  <si>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</si>
  <si>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</si>
  <si>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</si>
  <si>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</si>
  <si>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</si>
  <si>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</si>
  <si>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</si>
  <si>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</si>
  <si>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</si>
  <si>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</si>
  <si>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</si>
  <si>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</si>
  <si>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</si>
  <si>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</si>
  <si>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</si>
  <si>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</si>
  <si>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</si>
  <si>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</si>
  <si>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</si>
  <si>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</si>
  <si>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</si>
  <si>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</si>
  <si>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</si>
  <si>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</si>
  <si>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</si>
  <si>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</si>
  <si>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</si>
  <si>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</si>
  <si>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</si>
  <si>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</si>
  <si>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</si>
  <si>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</si>
  <si>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</si>
  <si>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</si>
  <si>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</si>
  <si>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</si>
  <si>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</si>
  <si>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</si>
  <si>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</si>
  <si>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</si>
  <si>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</si>
  <si>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</si>
  <si>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</si>
  <si>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</si>
  <si>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</si>
  <si>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</si>
  <si>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</si>
  <si>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</si>
  <si>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</si>
  <si>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</si>
  <si>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</si>
  <si>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</si>
  <si>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</si>
  <si>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</si>
  <si>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</si>
  <si>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</si>
  <si>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</si>
  <si>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</si>
  <si>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</si>
  <si>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</si>
  <si>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</si>
  <si>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</si>
  <si>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</si>
  <si>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</si>
  <si>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</si>
  <si>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</si>
  <si>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</si>
  <si>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</si>
  <si>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</si>
  <si>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</si>
  <si>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</si>
  <si>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</si>
  <si>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</si>
  <si>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</si>
  <si>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</si>
  <si>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</si>
  <si>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</si>
  <si>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</si>
  <si>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</si>
  <si>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</si>
  <si>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</si>
  <si>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</si>
  <si>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</si>
  <si>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</si>
  <si>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</si>
  <si>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</si>
  <si>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</si>
  <si>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</si>
  <si>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</si>
  <si>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</si>
  <si>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</si>
  <si>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</si>
  <si>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</si>
  <si>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</si>
  <si>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</si>
  <si>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</si>
  <si>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</si>
  <si>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</si>
  <si>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</si>
  <si>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</si>
  <si>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</si>
  <si>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</si>
  <si>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</si>
  <si>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</si>
  <si>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</si>
  <si>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</si>
  <si>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</si>
  <si>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</si>
  <si>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</si>
  <si>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</si>
  <si>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</si>
  <si>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</si>
  <si>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</si>
  <si>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</si>
  <si>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</si>
  <si>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</si>
  <si>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</si>
  <si>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</si>
  <si>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</si>
  <si>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</si>
  <si>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</si>
  <si>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</si>
  <si>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</si>
  <si>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</si>
  <si>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</si>
  <si>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</si>
  <si>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</si>
  <si>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</si>
  <si>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</si>
  <si>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</si>
  <si>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</si>
  <si>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</si>
  <si>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</si>
  <si>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</si>
  <si>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</si>
  <si>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</si>
  <si>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</si>
  <si>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</si>
  <si>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</si>
  <si>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</si>
  <si>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</si>
  <si>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</si>
  <si>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</si>
  <si>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</si>
  <si>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</si>
  <si>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</si>
  <si>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</si>
  <si>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</si>
  <si>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</si>
  <si>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</si>
  <si>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</si>
  <si>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</si>
  <si>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</si>
  <si>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</si>
  <si>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</si>
  <si>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</si>
  <si>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</si>
  <si>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</si>
  <si>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</si>
  <si>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</si>
  <si>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</si>
  <si>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</si>
  <si>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</si>
  <si>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</si>
  <si>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</si>
  <si>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</si>
  <si>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</si>
  <si>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</si>
  <si>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</si>
  <si>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</si>
  <si>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</si>
  <si>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</si>
  <si>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</si>
  <si>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</si>
  <si>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</si>
  <si>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</si>
  <si>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</si>
  <si>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</si>
  <si>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</si>
  <si>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</si>
  <si>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</si>
  <si>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</si>
  <si>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</si>
  <si>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</si>
  <si>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</si>
  <si>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</si>
  <si>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</si>
  <si>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</si>
  <si>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</si>
  <si>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</si>
  <si>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</si>
  <si>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</si>
  <si>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</si>
  <si>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</si>
  <si>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</si>
  <si>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</si>
  <si>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</si>
  <si>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</si>
  <si>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</si>
  <si>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</si>
  <si>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</si>
  <si>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</si>
  <si>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</si>
  <si>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</si>
  <si>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</si>
  <si>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</si>
  <si>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</si>
  <si>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</si>
  <si>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</si>
  <si>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</si>
  <si>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</si>
  <si>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</si>
  <si>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</si>
  <si>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</si>
  <si>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</si>
  <si>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</si>
  <si>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</si>
  <si>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</si>
  <si>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</si>
  <si>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</si>
  <si>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</si>
  <si>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</si>
  <si>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</si>
  <si>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</si>
  <si>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</si>
  <si>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</si>
  <si>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</si>
  <si>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</si>
  <si>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</si>
  <si>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</si>
  <si>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</si>
  <si>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</si>
  <si>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</si>
  <si>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</si>
  <si>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</si>
  <si>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</si>
  <si>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</si>
  <si>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</si>
  <si>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</si>
  <si>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</si>
  <si>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</si>
  <si>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</si>
  <si>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</si>
  <si>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</si>
  <si>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</si>
  <si>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</si>
  <si>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</si>
  <si>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</si>
  <si>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</si>
  <si>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</si>
  <si>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</si>
  <si>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</si>
  <si>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</si>
  <si>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</si>
  <si>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</si>
  <si>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</si>
  <si>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</si>
  <si>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</si>
  <si>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</si>
  <si>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</si>
  <si>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</si>
  <si>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</si>
  <si>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</si>
  <si>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</si>
  <si>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</si>
  <si>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</si>
  <si>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</si>
  <si>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</si>
  <si>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</si>
  <si>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</si>
  <si>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</si>
  <si>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</si>
  <si>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</si>
  <si>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</si>
  <si>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</si>
  <si>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</si>
  <si>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</si>
  <si>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</si>
  <si>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</si>
  <si>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</si>
  <si>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</si>
  <si>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</si>
  <si>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</si>
  <si>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</si>
  <si>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</si>
  <si>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</si>
  <si>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</si>
  <si>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</si>
  <si>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</si>
  <si>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</si>
  <si>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</si>
  <si>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</si>
  <si>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</si>
  <si>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</si>
  <si>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</si>
  <si>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</si>
  <si>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</si>
  <si>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</si>
  <si>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</si>
  <si>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</si>
  <si>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</si>
  <si>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</si>
  <si>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</si>
  <si>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</si>
  <si>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</si>
  <si>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</si>
  <si>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</si>
  <si>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</si>
  <si>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</si>
  <si>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</si>
  <si>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</si>
  <si>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</si>
  <si>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</si>
  <si>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</si>
  <si>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</si>
  <si>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</si>
  <si>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</si>
  <si>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</si>
  <si>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</si>
  <si>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</si>
  <si>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</si>
  <si>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</si>
  <si>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</si>
  <si>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</si>
  <si>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</si>
  <si>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</si>
  <si>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</si>
  <si>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</si>
  <si>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</si>
  <si>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</si>
  <si>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</si>
  <si>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</si>
  <si>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</si>
  <si>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</si>
  <si>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</si>
  <si>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</si>
  <si>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</si>
  <si>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</si>
  <si>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</si>
  <si>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</si>
  <si>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</si>
  <si>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</si>
  <si>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</si>
  <si>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</si>
  <si>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</si>
  <si>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</si>
  <si>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</si>
  <si>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</si>
  <si>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</si>
  <si>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</si>
  <si>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</si>
  <si>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</si>
  <si>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</si>
  <si>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</si>
  <si>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</si>
  <si>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</si>
  <si>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</si>
  <si>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</si>
  <si>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</si>
  <si>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</si>
  <si>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</si>
  <si>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</si>
  <si>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</si>
  <si>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</si>
  <si>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</si>
  <si>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</si>
  <si>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</si>
  <si>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</si>
  <si>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</si>
  <si>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</si>
  <si>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</si>
  <si>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</si>
  <si>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</si>
  <si>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</si>
  <si>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</si>
  <si>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</si>
  <si>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</si>
  <si>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</si>
  <si>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</si>
  <si>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</si>
  <si>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</si>
  <si>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</si>
  <si>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</si>
  <si>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</si>
  <si>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</si>
  <si>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</si>
  <si>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</si>
  <si>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</si>
  <si>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</si>
  <si>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</si>
  <si>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</si>
  <si>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</si>
  <si>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</si>
  <si>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</si>
  <si>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</si>
  <si>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</si>
  <si>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</si>
  <si>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</si>
  <si>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</si>
  <si>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</si>
  <si>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</si>
  <si>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</si>
  <si>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</si>
  <si>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</si>
  <si>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</si>
  <si>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</si>
  <si>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</si>
  <si>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</si>
  <si>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</si>
  <si>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</si>
  <si>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</si>
  <si>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</si>
  <si>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</si>
  <si>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</si>
  <si>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</si>
  <si>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</si>
  <si>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</si>
  <si>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</si>
  <si>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</si>
  <si>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</si>
  <si>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</si>
  <si>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</si>
  <si>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</si>
  <si>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</si>
  <si>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</si>
  <si>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</si>
  <si>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</si>
  <si>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</si>
  <si>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</si>
  <si>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</si>
  <si>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</si>
  <si>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</si>
  <si>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</si>
  <si>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</si>
  <si>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</si>
  <si>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</si>
  <si>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</si>
  <si>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</si>
  <si>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</si>
  <si>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HINDUSTAN UNILEVER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</si>
  <si>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</si>
  <si>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</si>
  <si>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</si>
  <si>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</si>
  <si>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</si>
  <si>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</si>
  <si>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</si>
  <si>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</si>
  <si>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</si>
  <si>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</si>
  <si>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</si>
  <si>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</si>
  <si>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</si>
  <si>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</si>
  <si>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</si>
  <si>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</si>
  <si>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</si>
  <si>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</si>
  <si>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</si>
  <si>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</si>
  <si>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</si>
  <si>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</si>
  <si>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</si>
  <si>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</si>
  <si>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</si>
  <si>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</si>
  <si>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</si>
  <si>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</si>
  <si>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</si>
  <si>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</si>
  <si>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</si>
  <si>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</si>
  <si>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</si>
  <si>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</si>
  <si>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</si>
  <si>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</si>
  <si>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</si>
  <si>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</si>
  <si>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</si>
  <si>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</si>
  <si>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</si>
  <si>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</si>
  <si>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</si>
  <si>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</si>
  <si>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</si>
  <si>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</si>
  <si>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</si>
  <si>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</si>
  <si>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</si>
  <si>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</si>
  <si>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</si>
  <si>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</si>
  <si>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</si>
  <si>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</si>
  <si>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</si>
  <si>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</si>
  <si>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</si>
  <si>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</si>
  <si>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</si>
  <si>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</si>
  <si>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</si>
  <si>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</si>
  <si>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</si>
  <si>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</si>
  <si>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</si>
  <si>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</si>
  <si>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</si>
  <si>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</si>
  <si>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</si>
  <si>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</si>
  <si>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</si>
  <si>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</si>
  <si>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</si>
  <si>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</si>
  <si>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</si>
  <si>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</si>
  <si>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</si>
  <si>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</si>
  <si>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</si>
  <si>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</si>
  <si>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</si>
  <si>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</si>
  <si>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</si>
  <si>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</si>
  <si>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</si>
  <si>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</si>
  <si>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</si>
  <si>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</si>
  <si>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</si>
  <si>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</si>
  <si>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</si>
  <si>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</si>
  <si>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</si>
  <si>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</si>
  <si>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</si>
  <si>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</si>
  <si>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</si>
  <si>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</si>
  <si>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</si>
  <si>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</si>
  <si>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</si>
  <si>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</si>
  <si>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</si>
  <si>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</si>
  <si>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</si>
  <si>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</si>
  <si>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</si>
  <si>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</si>
  <si>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</si>
  <si>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</si>
  <si>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</si>
  <si>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</si>
  <si>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</si>
  <si>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</si>
  <si>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</si>
  <si>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</si>
  <si>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</si>
  <si>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</si>
  <si>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</si>
  <si>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</si>
  <si>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</si>
  <si>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</si>
  <si>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</si>
  <si>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</si>
  <si>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</si>
  <si>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</si>
  <si>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</si>
  <si>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</si>
  <si>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</si>
  <si>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</si>
  <si>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</si>
  <si>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</si>
  <si>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</si>
  <si>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</si>
  <si>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</si>
  <si>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</si>
  <si>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</si>
  <si>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</si>
  <si>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</si>
  <si>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</si>
  <si>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</si>
  <si>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</si>
  <si>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</si>
  <si>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</si>
  <si>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</si>
  <si>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</si>
  <si>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</si>
  <si>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</si>
  <si>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</si>
  <si>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</si>
  <si>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</si>
  <si>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</si>
  <si>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</si>
  <si>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</si>
  <si>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</si>
  <si>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</si>
  <si>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</si>
  <si>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</si>
  <si>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</si>
  <si>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</si>
  <si>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</si>
  <si>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</si>
  <si>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</si>
  <si>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</si>
  <si>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</si>
  <si>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</si>
  <si>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</si>
  <si>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</si>
  <si>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</si>
  <si>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</si>
  <si>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</si>
  <si>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</si>
  <si>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</si>
  <si>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</si>
  <si>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</si>
  <si>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</si>
  <si>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</si>
  <si>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</si>
  <si>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</si>
  <si>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</si>
  <si>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</si>
  <si>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</si>
  <si>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</si>
  <si>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</si>
  <si>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</si>
  <si>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</si>
  <si>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</si>
  <si>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</si>
  <si>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</si>
  <si>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</si>
  <si>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</si>
  <si>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</si>
  <si>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</si>
  <si>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</si>
  <si>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</si>
  <si>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</si>
  <si>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</si>
  <si>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</si>
  <si>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</si>
  <si>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</si>
  <si>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</si>
  <si>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</si>
  <si>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</si>
  <si>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</si>
  <si>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</si>
  <si>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</si>
  <si>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</si>
  <si>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</si>
  <si>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</si>
  <si>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</si>
  <si>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</si>
  <si>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</si>
  <si>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</si>
  <si>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</si>
  <si>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</si>
  <si>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</si>
  <si>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</si>
  <si>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</si>
  <si>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</si>
  <si>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</si>
  <si>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</si>
  <si>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</si>
  <si>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</si>
  <si>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</si>
  <si>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</si>
  <si>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</si>
  <si>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</si>
  <si>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</si>
  <si>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</si>
  <si>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</si>
  <si>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</si>
  <si>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</si>
  <si>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</si>
  <si>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</si>
  <si>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</si>
  <si>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</si>
  <si>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</si>
  <si>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</si>
  <si>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</si>
  <si>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</si>
  <si>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</si>
  <si>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</si>
  <si>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</si>
  <si>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</si>
  <si>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</si>
  <si>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</si>
  <si>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</si>
  <si>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</si>
  <si>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</si>
  <si>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</si>
  <si>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</si>
  <si>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</si>
  <si>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</si>
  <si>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</si>
  <si>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</si>
  <si>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</si>
  <si>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</si>
  <si>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</si>
  <si>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</si>
  <si>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</si>
  <si>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</si>
  <si>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</si>
  <si>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</si>
  <si>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</si>
  <si>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</si>
  <si>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</si>
  <si>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</si>
  <si>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</si>
  <si>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</si>
  <si>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</si>
  <si>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</si>
  <si>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</si>
  <si>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</si>
  <si>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</si>
  <si>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</si>
  <si>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</si>
  <si>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</si>
  <si>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</si>
  <si>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</si>
  <si>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</si>
  <si>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</si>
  <si>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</si>
  <si>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</si>
  <si>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</si>
  <si>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</si>
  <si>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</si>
  <si>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</si>
  <si>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</si>
  <si>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</si>
  <si>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</si>
  <si>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</si>
  <si>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</si>
  <si>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</si>
  <si>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</si>
  <si>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</si>
  <si>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</si>
  <si>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</si>
  <si>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</si>
  <si>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</si>
  <si>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</si>
  <si>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</si>
  <si>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</si>
  <si>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</si>
  <si>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</si>
  <si>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</si>
  <si>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</si>
  <si>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</si>
  <si>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</si>
  <si>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</si>
  <si>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</si>
  <si>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</si>
  <si>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</si>
  <si>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</si>
  <si>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</si>
  <si>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</si>
  <si>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</si>
  <si>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</si>
  <si>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</si>
  <si>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</si>
  <si>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</si>
  <si>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</si>
  <si>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</si>
  <si>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</si>
  <si>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</si>
  <si>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</si>
  <si>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</si>
  <si>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</si>
  <si>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</si>
  <si>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</si>
  <si>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</si>
  <si>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</si>
  <si>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</si>
  <si>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</si>
  <si>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</si>
  <si>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</si>
  <si>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</si>
  <si>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</si>
  <si>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</si>
  <si>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</si>
  <si>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</si>
  <si>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</si>
  <si>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</si>
  <si>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</si>
  <si>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</si>
  <si>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</si>
  <si>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</si>
  <si>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</si>
  <si>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</si>
  <si>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</si>
  <si>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</si>
  <si>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</si>
  <si>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</si>
  <si>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</si>
  <si>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</si>
  <si>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</si>
  <si>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</si>
  <si>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</si>
  <si>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</si>
  <si>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</si>
  <si>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</si>
  <si>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</si>
  <si>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</si>
  <si>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</si>
  <si>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</si>
  <si>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</si>
  <si>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</si>
  <si>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</si>
  <si>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</si>
  <si>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</si>
  <si>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</si>
  <si>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</si>
  <si>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</si>
  <si>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</si>
  <si>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</si>
  <si>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</si>
  <si>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</si>
  <si>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</si>
  <si>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</si>
  <si>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</si>
  <si>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</si>
  <si>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</si>
  <si>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</si>
  <si>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</si>
  <si>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</si>
  <si>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</si>
  <si>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</si>
  <si>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</si>
  <si>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</si>
  <si>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</si>
  <si>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</si>
  <si>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</si>
  <si>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</si>
  <si>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</si>
  <si>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</si>
  <si>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</si>
  <si>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</si>
  <si>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</si>
  <si>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</si>
  <si>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</si>
  <si>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</si>
  <si>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</si>
  <si>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</si>
  <si>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</si>
  <si>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</si>
  <si>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</si>
  <si>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</si>
  <si>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</si>
  <si>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</si>
  <si>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</si>
  <si>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</si>
  <si>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</si>
  <si>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</si>
  <si>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</si>
  <si>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</si>
  <si>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</si>
  <si>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</si>
  <si>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</si>
  <si>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</si>
  <si>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</si>
  <si>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</si>
  <si>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</si>
  <si>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</si>
  <si>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</si>
  <si>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</si>
  <si>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</si>
  <si>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</si>
  <si>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</si>
  <si>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</si>
  <si>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</si>
  <si>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</si>
  <si>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</si>
  <si>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</si>
  <si>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</si>
  <si>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</si>
  <si>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</si>
  <si>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</si>
  <si>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</si>
  <si>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</si>
  <si>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</si>
  <si>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</si>
  <si>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</si>
  <si>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</si>
  <si>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</si>
  <si>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</si>
  <si>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</si>
  <si>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</si>
  <si>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</si>
  <si>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</si>
  <si>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</si>
  <si>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</si>
  <si>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</si>
  <si>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</si>
  <si>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</si>
  <si>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</si>
  <si>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</si>
  <si>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</si>
  <si>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</si>
  <si>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</si>
  <si>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</si>
  <si>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</si>
  <si>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</si>
  <si>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</si>
  <si>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</si>
  <si>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</si>
  <si>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</si>
  <si>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</si>
  <si>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</si>
  <si>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</si>
  <si>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</si>
  <si>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</si>
  <si>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</si>
  <si>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</si>
  <si>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</si>
  <si>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</si>
  <si>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</si>
  <si>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</si>
  <si>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</si>
  <si>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</si>
  <si>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</si>
  <si>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</si>
  <si>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</si>
  <si>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</si>
  <si>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</si>
  <si>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</si>
  <si>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</si>
  <si>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</si>
  <si>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</si>
  <si>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</si>
  <si>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</si>
  <si>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</si>
  <si>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</si>
  <si>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</si>
  <si>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</si>
  <si>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</si>
  <si>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</si>
  <si>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</si>
  <si>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</si>
  <si>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</si>
  <si>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</si>
  <si>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</si>
  <si>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</si>
  <si>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</si>
  <si>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</si>
  <si>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</si>
  <si>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</si>
  <si>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</si>
  <si>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</si>
  <si>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</si>
  <si>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</si>
  <si>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</si>
  <si>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</si>
  <si>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</si>
  <si>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</si>
  <si>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</si>
  <si>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</si>
  <si>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</si>
  <si>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</si>
  <si>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</si>
  <si>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</si>
  <si>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</si>
  <si>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</si>
  <si>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</si>
  <si>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</si>
  <si>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</si>
  <si>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</si>
  <si>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</si>
  <si>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</si>
  <si>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</si>
  <si>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</si>
  <si>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</si>
  <si>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</si>
  <si>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</si>
  <si>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</si>
  <si>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</si>
  <si>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</si>
  <si>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</si>
  <si>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</si>
  <si>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</si>
  <si>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</si>
  <si>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</si>
  <si>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</si>
  <si>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</si>
  <si>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</si>
  <si>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</si>
  <si>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</si>
  <si>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</si>
  <si>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</si>
  <si>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</si>
  <si>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</si>
  <si>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</si>
  <si>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</si>
  <si>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</si>
  <si>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</si>
  <si>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</si>
  <si>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</si>
  <si>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</si>
  <si>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</si>
  <si>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</si>
  <si>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</si>
  <si>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</si>
  <si>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</si>
  <si>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</si>
  <si>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</si>
  <si>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</si>
  <si>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</si>
  <si>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</si>
  <si>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</si>
  <si>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</si>
  <si>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</si>
  <si>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</si>
  <si>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</si>
  <si>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</si>
  <si>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</si>
  <si>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</si>
  <si>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</si>
  <si>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</si>
  <si>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</si>
  <si>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</si>
  <si>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</si>
  <si>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</si>
  <si>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</si>
  <si>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</si>
  <si>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</si>
  <si>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</si>
  <si>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</si>
  <si>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</si>
  <si>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</si>
  <si>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</si>
  <si>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</si>
  <si>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</si>
  <si>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</si>
  <si>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</si>
  <si>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</si>
  <si>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</si>
  <si>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</si>
  <si>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</si>
  <si>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</si>
  <si>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</si>
  <si>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</si>
  <si>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</si>
  <si>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</si>
  <si>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</si>
  <si>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</si>
  <si>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</si>
  <si>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</si>
  <si>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</si>
  <si>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</si>
  <si>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</si>
  <si>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</si>
  <si>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</si>
  <si>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</si>
  <si>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</si>
  <si>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</si>
  <si>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</si>
  <si>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</si>
  <si>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</si>
  <si>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</si>
  <si>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</si>
  <si>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</si>
  <si>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</si>
  <si>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</si>
  <si>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</si>
  <si>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</si>
  <si>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</si>
  <si>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</si>
  <si>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</si>
  <si>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</si>
  <si>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</si>
  <si>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</si>
  <si>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</si>
  <si>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</si>
  <si>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</si>
  <si>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</si>
  <si>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</si>
  <si>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</si>
  <si>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</si>
  <si>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</si>
  <si>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</si>
  <si>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</si>
  <si>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</si>
  <si>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</si>
  <si>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</si>
  <si>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</si>
  <si>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</si>
  <si>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</si>
  <si>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</si>
  <si>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</si>
  <si>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</si>
  <si>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</si>
  <si>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</si>
  <si>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</si>
  <si>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</si>
  <si>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</si>
  <si>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</si>
  <si>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</si>
  <si>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</si>
  <si>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</si>
  <si>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</si>
  <si>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</si>
  <si>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</si>
  <si>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</si>
  <si>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</si>
  <si>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</si>
  <si>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</si>
  <si>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</si>
  <si>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</si>
  <si>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</si>
  <si>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</si>
  <si>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</si>
  <si>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</si>
  <si>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</si>
  <si>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</si>
  <si>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</si>
  <si>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</si>
  <si>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</si>
  <si>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</si>
  <si>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</si>
  <si>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</si>
  <si>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</si>
  <si>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</si>
  <si>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</si>
  <si>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</si>
  <si>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</si>
  <si>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</si>
  <si>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</si>
  <si>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</si>
  <si>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</si>
  <si>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</si>
  <si>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</si>
  <si>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</si>
  <si>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</si>
  <si>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</si>
  <si>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</si>
  <si>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</si>
  <si>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</si>
  <si>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</si>
  <si>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</si>
  <si>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</si>
  <si>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</si>
  <si>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</si>
  <si>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</si>
  <si>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</si>
  <si>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</si>
  <si>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</si>
  <si>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</si>
  <si>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</si>
  <si>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</si>
  <si>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</si>
  <si>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</si>
  <si>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</si>
  <si>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</si>
  <si>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</si>
  <si>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</si>
  <si>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</si>
  <si>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</si>
  <si>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</si>
  <si>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</si>
  <si>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</si>
  <si>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</si>
  <si>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</si>
  <si>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</si>
  <si>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</si>
  <si>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</si>
  <si>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</si>
  <si>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</si>
  <si>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</si>
  <si>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</si>
  <si>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</si>
  <si>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</si>
  <si>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</si>
  <si>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</si>
  <si>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</si>
  <si>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</si>
  <si>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</si>
  <si>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</si>
  <si>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</si>
  <si>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</si>
  <si>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</si>
  <si>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</si>
  <si>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</si>
  <si>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</si>
  <si>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</si>
  <si>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</si>
  <si>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</si>
  <si>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</si>
  <si>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</si>
  <si>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</si>
  <si>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</si>
  <si>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</si>
  <si>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</si>
  <si>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</si>
  <si>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</si>
  <si>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</si>
  <si>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</si>
  <si>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</si>
  <si>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</si>
  <si>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</si>
  <si>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</si>
  <si>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</si>
  <si>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</si>
  <si>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</si>
  <si>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</si>
  <si>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</si>
  <si>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</si>
  <si>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</si>
  <si>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</si>
  <si>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</si>
  <si>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</si>
  <si>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</si>
  <si>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</si>
  <si>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</si>
  <si>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</si>
  <si>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</si>
  <si>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</si>
  <si>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</si>
  <si>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</si>
  <si>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</si>
  <si>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</si>
  <si>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</si>
  <si>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</si>
  <si>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</si>
  <si>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</si>
  <si>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</si>
  <si>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</si>
  <si>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</si>
  <si>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</si>
  <si>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</si>
  <si>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</si>
  <si>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</si>
  <si>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</si>
  <si>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</si>
  <si>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</si>
  <si>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</si>
  <si>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</si>
  <si>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</si>
  <si>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</si>
  <si>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</si>
  <si>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</si>
  <si>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</si>
  <si>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</si>
  <si>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</si>
  <si>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</si>
  <si>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</si>
  <si>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</si>
  <si>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</si>
  <si>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</si>
  <si>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</si>
  <si>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</si>
  <si>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</si>
  <si>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</si>
  <si>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</si>
  <si>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</si>
  <si>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</si>
  <si>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</si>
  <si>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</si>
  <si>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</si>
  <si>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</si>
  <si>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</si>
  <si>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</si>
  <si>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</si>
  <si>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</si>
  <si>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</si>
  <si>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</si>
  <si>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</si>
  <si>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</si>
  <si>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</si>
  <si>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</si>
  <si>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</si>
  <si>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</si>
  <si>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</si>
  <si>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</si>
  <si>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</si>
  <si>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</si>
  <si>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</si>
  <si>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</si>
  <si>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</si>
  <si>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</si>
  <si>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</si>
  <si>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</si>
  <si>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</si>
  <si>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</si>
  <si>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</si>
  <si>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</si>
  <si>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</si>
  <si>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</si>
  <si>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</si>
  <si>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</si>
  <si>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</si>
  <si>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</si>
  <si>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</si>
  <si>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</si>
  <si>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</si>
  <si>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</si>
  <si>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</si>
  <si>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</si>
  <si>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</si>
  <si>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</si>
  <si>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</si>
  <si>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</si>
  <si>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</si>
  <si>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</si>
  <si>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</si>
  <si>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</si>
  <si>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</si>
  <si>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</si>
  <si>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</si>
  <si>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</si>
  <si>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</si>
  <si>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</si>
  <si>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</si>
  <si>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</si>
  <si>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</si>
  <si>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</si>
  <si>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</si>
  <si>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</si>
  <si>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</si>
  <si>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</si>
  <si>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</si>
  <si>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</si>
  <si>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</si>
  <si>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</si>
  <si>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</si>
  <si>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</si>
  <si>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</si>
  <si>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</si>
  <si>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</si>
  <si>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</si>
  <si>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</si>
  <si>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</si>
  <si>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</si>
  <si>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</si>
  <si>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</si>
  <si>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</si>
  <si>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</si>
  <si>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</si>
  <si>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</si>
  <si>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</si>
  <si>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</si>
  <si>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</si>
  <si>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</si>
  <si>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</si>
  <si>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</si>
  <si>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</si>
  <si>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</si>
  <si>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</si>
  <si>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</si>
  <si>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</si>
  <si>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</si>
  <si>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</si>
  <si>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</si>
  <si>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</si>
  <si>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</si>
  <si>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</si>
  <si>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</si>
  <si>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</si>
  <si>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</si>
  <si>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</si>
  <si>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</si>
  <si>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</si>
  <si>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</si>
  <si>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</si>
  <si>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</si>
  <si>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</si>
  <si>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</si>
  <si>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</si>
  <si>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</si>
  <si>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</si>
  <si>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</si>
  <si>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</si>
  <si>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</si>
  <si>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</si>
  <si>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</si>
  <si>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</si>
  <si>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</si>
  <si>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</si>
  <si>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</si>
  <si>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</si>
  <si>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</si>
  <si>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</si>
  <si>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</si>
  <si>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</si>
  <si>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</si>
  <si>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</si>
  <si>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</si>
  <si>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</si>
  <si>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</si>
  <si>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</si>
  <si>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</si>
  <si>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</si>
  <si>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</si>
  <si>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</si>
  <si>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</si>
  <si>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</si>
  <si>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</si>
  <si>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</si>
  <si>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</si>
  <si>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</si>
  <si>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</si>
  <si>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</si>
  <si>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</si>
  <si>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</si>
  <si>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</si>
  <si>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</si>
  <si>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</si>
  <si>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</si>
  <si>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</si>
  <si>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</si>
  <si>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</si>
  <si>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</si>
  <si>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</si>
  <si>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</si>
  <si>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</si>
  <si>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</si>
  <si>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</si>
  <si>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</si>
  <si>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</si>
  <si>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</si>
  <si>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</si>
  <si>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</si>
  <si>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</si>
  <si>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</si>
  <si>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</si>
  <si>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</si>
  <si>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</si>
  <si>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</si>
  <si>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</si>
  <si>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</si>
  <si>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</si>
  <si>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</si>
  <si>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</si>
  <si>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</si>
  <si>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</si>
  <si>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</si>
  <si>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</si>
  <si>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</si>
  <si>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</si>
  <si>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</si>
  <si>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</si>
  <si>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</si>
  <si>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</si>
  <si>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</si>
  <si>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</si>
  <si>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</si>
  <si>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</si>
  <si>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</si>
  <si>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</si>
  <si>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</si>
  <si>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</si>
  <si>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</si>
  <si>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</si>
  <si>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</si>
  <si>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</si>
  <si>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</si>
  <si>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</si>
  <si>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</si>
  <si>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</si>
  <si>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</si>
  <si>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</si>
  <si>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</si>
  <si>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</si>
  <si>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</si>
  <si>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</si>
  <si>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</si>
  <si>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</si>
  <si>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</si>
  <si>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</si>
  <si>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</si>
  <si>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</si>
  <si>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</si>
  <si>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</si>
  <si>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</si>
  <si>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</si>
  <si>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</si>
  <si>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</si>
  <si>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</si>
  <si>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</si>
  <si>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</si>
  <si>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</si>
  <si>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</si>
  <si>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</si>
  <si>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</si>
  <si>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</si>
  <si>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</si>
  <si>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</si>
  <si>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</si>
  <si>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</si>
  <si>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</si>
  <si>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</si>
  <si>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</si>
  <si>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</si>
  <si>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</si>
  <si>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</si>
  <si>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</si>
  <si>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</si>
  <si>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</si>
  <si>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</si>
  <si>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</si>
  <si>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</si>
  <si>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</si>
  <si>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</si>
  <si>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</si>
  <si>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</si>
  <si>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</si>
  <si>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</si>
  <si>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</si>
  <si>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</si>
  <si>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</si>
  <si>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</si>
  <si>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</si>
  <si>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</si>
  <si>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</si>
  <si>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</si>
  <si>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</si>
  <si>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</si>
  <si>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</si>
  <si>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</si>
  <si>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</si>
  <si>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</si>
  <si>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</si>
  <si>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</si>
  <si>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</si>
  <si>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</si>
  <si>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</si>
  <si>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</si>
  <si>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</si>
  <si>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</si>
  <si>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</si>
  <si>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</si>
  <si>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</si>
  <si>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</si>
  <si>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</si>
  <si>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</si>
  <si>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</si>
  <si>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</si>
  <si>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</si>
  <si>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</si>
  <si>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</si>
  <si>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</si>
  <si>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</si>
  <si>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</si>
  <si>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</si>
  <si>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</si>
  <si>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</si>
  <si>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</si>
  <si>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</si>
  <si>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</si>
  <si>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</si>
  <si>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</si>
  <si>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</si>
  <si>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</si>
  <si>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</si>
  <si>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</si>
  <si>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</si>
  <si>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</si>
  <si>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</si>
  <si>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</si>
  <si>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</si>
  <si>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</si>
  <si>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</si>
  <si>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</si>
  <si>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</si>
  <si>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</si>
  <si>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</si>
  <si>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</si>
  <si>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</si>
  <si>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</si>
  <si>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</si>
  <si>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</si>
  <si>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</si>
  <si>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</si>
  <si>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</si>
  <si>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</si>
  <si>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</si>
  <si>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</si>
  <si>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</si>
  <si>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</si>
  <si>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</si>
  <si>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</si>
  <si>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</si>
  <si>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</si>
  <si>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</si>
  <si>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</si>
  <si>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</si>
  <si>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</si>
  <si>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</si>
  <si>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</si>
  <si>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</si>
  <si>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</si>
  <si>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</si>
  <si>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</si>
  <si>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</si>
  <si>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</si>
  <si>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</si>
  <si>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</si>
  <si>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</si>
  <si>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</si>
  <si>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</si>
  <si>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</si>
  <si>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</si>
  <si>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</si>
  <si>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</si>
  <si>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</si>
  <si>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</si>
  <si>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</si>
  <si>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</si>
  <si>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</si>
  <si>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</si>
  <si>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</si>
  <si>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</si>
  <si>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</si>
  <si>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</si>
  <si>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</si>
  <si>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</si>
  <si>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</si>
  <si>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</si>
  <si>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</si>
  <si>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</si>
  <si>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</si>
  <si>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</si>
  <si>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</si>
  <si>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</si>
  <si>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</si>
  <si>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</si>
  <si>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</si>
  <si>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</si>
  <si>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</si>
  <si>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</si>
  <si>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</si>
  <si>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</si>
  <si>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</si>
  <si>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</si>
  <si>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</si>
  <si>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</si>
  <si>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</si>
  <si>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</si>
  <si>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</si>
  <si>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</si>
  <si>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</si>
  <si>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</si>
  <si>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</si>
  <si>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</si>
  <si>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</si>
  <si>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</si>
  <si>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</si>
  <si>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</si>
  <si>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</si>
  <si>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</si>
  <si>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</si>
  <si>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</si>
  <si>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</si>
  <si>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</si>
  <si>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</si>
  <si>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</si>
  <si>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</si>
  <si>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</si>
  <si>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</si>
  <si>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</si>
  <si>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</si>
  <si>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</si>
  <si>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</si>
  <si>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</si>
  <si>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</si>
  <si>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</si>
  <si>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</si>
  <si>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</si>
  <si>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</si>
  <si>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</si>
  <si>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</si>
  <si>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</si>
  <si>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</si>
  <si>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</si>
  <si>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</si>
  <si>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</si>
  <si>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</si>
  <si>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</si>
  <si>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</si>
  <si>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</si>
  <si>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</si>
  <si>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</si>
  <si>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</si>
  <si>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</si>
  <si>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</si>
  <si>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</si>
  <si>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</si>
  <si>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</si>
  <si>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</si>
  <si>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</si>
  <si>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</si>
  <si>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</si>
  <si>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</si>
  <si>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</si>
  <si>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</si>
  <si>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</si>
  <si>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</si>
  <si>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</si>
  <si>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</si>
  <si>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</si>
  <si>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</si>
  <si>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</si>
  <si>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</si>
  <si>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</si>
  <si>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</si>
  <si>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</si>
  <si>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</si>
  <si>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</si>
  <si>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</si>
  <si>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</si>
  <si>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</si>
  <si>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</si>
  <si>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</si>
  <si>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</si>
  <si>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</si>
  <si>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</si>
  <si>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</si>
  <si>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</si>
  <si>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</si>
  <si>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</si>
  <si>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</si>
  <si>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</si>
  <si>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</si>
  <si>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</si>
  <si>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</si>
  <si>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</si>
  <si>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</si>
  <si>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</si>
  <si>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</si>
  <si>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</si>
  <si>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</si>
  <si>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</si>
  <si>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</si>
  <si>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</si>
  <si>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</si>
  <si>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</si>
  <si>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</si>
  <si>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</si>
  <si>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</si>
  <si>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</si>
  <si>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</si>
  <si>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</si>
  <si>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</si>
  <si>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</si>
  <si>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</si>
  <si>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</si>
  <si>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</si>
  <si>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</si>
  <si>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</si>
  <si>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</si>
  <si>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</si>
  <si>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</si>
  <si>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</si>
  <si>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</si>
  <si>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</si>
  <si>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</si>
  <si>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</si>
  <si>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</si>
  <si>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</si>
  <si>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</si>
  <si>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</si>
  <si>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</si>
  <si>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</si>
  <si>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</si>
  <si>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</si>
  <si>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</si>
  <si>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</si>
  <si>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</si>
  <si>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</si>
  <si>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</si>
  <si>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</si>
  <si>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</si>
  <si>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</si>
  <si>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</si>
  <si>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</si>
  <si>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</si>
  <si>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</si>
  <si>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</si>
  <si>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</si>
  <si>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</si>
  <si>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</si>
  <si>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</si>
  <si>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</si>
  <si>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</si>
  <si>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</si>
  <si>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</si>
  <si>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</si>
  <si>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</si>
  <si>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</si>
  <si>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</si>
  <si>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</si>
  <si>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</si>
  <si>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</si>
  <si>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</si>
  <si>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</si>
  <si>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</si>
  <si>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</si>
  <si>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</si>
  <si>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</si>
  <si>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</si>
  <si>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</si>
  <si>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</si>
  <si>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</si>
  <si>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</si>
  <si>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</si>
  <si>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</si>
  <si>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</si>
  <si>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</si>
  <si>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</si>
  <si>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</si>
  <si>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</si>
  <si>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</si>
  <si>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</si>
  <si>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</si>
  <si>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</si>
  <si>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</si>
  <si>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</si>
  <si>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</si>
  <si>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</si>
  <si>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</si>
  <si>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</si>
  <si>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</si>
  <si>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</si>
  <si>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</si>
  <si>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</si>
  <si>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</si>
  <si>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</si>
  <si>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</si>
  <si>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</si>
  <si>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</si>
  <si>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</si>
  <si>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</si>
  <si>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</si>
  <si>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</si>
  <si>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</si>
  <si>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</si>
  <si>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</si>
  <si>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</si>
  <si>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</si>
  <si>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</si>
  <si>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</si>
  <si>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</si>
  <si>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</si>
  <si>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</si>
  <si>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</si>
  <si>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</si>
  <si>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</si>
  <si>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</si>
  <si>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</si>
  <si>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</si>
  <si>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</si>
  <si>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</si>
  <si>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</si>
  <si>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</si>
  <si>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</si>
  <si>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</si>
  <si>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</si>
  <si>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</si>
  <si>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</si>
  <si>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</si>
  <si>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</si>
  <si>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</si>
  <si>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</si>
  <si>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</si>
  <si>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</si>
  <si>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</si>
  <si>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</si>
  <si>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</si>
  <si>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</si>
  <si>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</si>
  <si>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</si>
  <si>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</si>
  <si>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</si>
  <si>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</si>
  <si>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</si>
  <si>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</si>
  <si>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</si>
  <si>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</si>
  <si>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</si>
  <si>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</si>
  <si>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</si>
  <si>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</si>
  <si>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</si>
  <si>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</si>
  <si>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</si>
  <si>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</si>
  <si>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</si>
  <si>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</si>
  <si>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</si>
  <si>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</si>
  <si>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</si>
  <si>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</si>
  <si>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</si>
  <si>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</si>
  <si>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</si>
  <si>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</si>
  <si>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</si>
  <si>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</si>
  <si>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</si>
  <si>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</si>
  <si>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</si>
  <si>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</si>
  <si>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</si>
  <si>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</si>
  <si>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</si>
  <si>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</si>
  <si>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</si>
  <si>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</si>
  <si>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</si>
  <si>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</si>
  <si>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</si>
  <si>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</si>
  <si>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</si>
  <si>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</si>
  <si>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</si>
  <si>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</si>
  <si>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</si>
  <si>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</si>
  <si>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</si>
  <si>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</si>
  <si>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</si>
  <si>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</si>
  <si>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</si>
  <si>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</si>
  <si>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</si>
  <si>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</si>
  <si>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</si>
  <si>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</si>
  <si>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</si>
  <si>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</si>
  <si>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</si>
  <si>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</si>
  <si>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</si>
  <si>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</si>
  <si>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</si>
  <si>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</si>
  <si>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</si>
  <si>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</si>
  <si>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</si>
  <si>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</si>
  <si>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</si>
  <si>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</si>
  <si>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</si>
  <si>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</si>
  <si>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</si>
  <si>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</si>
  <si>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</si>
  <si>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</si>
  <si>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</si>
  <si>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</si>
  <si>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</si>
  <si>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</si>
  <si>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</si>
  <si>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</si>
  <si>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</si>
  <si>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</si>
  <si>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</si>
  <si>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</si>
  <si>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</si>
  <si>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</si>
  <si>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</si>
  <si>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</si>
  <si>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</si>
  <si>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</si>
  <si>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</si>
  <si>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</si>
  <si>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</si>
  <si>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</si>
  <si>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</si>
  <si>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</si>
  <si>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</si>
  <si>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</si>
  <si>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</si>
  <si>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</si>
  <si>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</si>
  <si>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</si>
  <si>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</si>
  <si>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</si>
  <si>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</si>
  <si>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</si>
  <si>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</si>
  <si>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</si>
  <si>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</si>
  <si>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</si>
  <si>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</si>
  <si>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</si>
  <si>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</si>
  <si>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</si>
  <si>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</si>
  <si>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</si>
  <si>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</si>
  <si>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</si>
  <si>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</si>
  <si>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</si>
  <si>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</si>
  <si>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</si>
  <si>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</si>
  <si>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</si>
  <si>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</si>
  <si>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</si>
  <si>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</si>
  <si>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</si>
  <si>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</si>
  <si>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</si>
  <si>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</si>
  <si>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</si>
  <si>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</si>
  <si>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</si>
  <si>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</si>
  <si>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</si>
  <si>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</si>
  <si>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</si>
  <si>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</si>
  <si>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</si>
  <si>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</si>
  <si>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</si>
  <si>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</si>
  <si>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</si>
  <si>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</si>
  <si>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</si>
  <si>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</si>
  <si>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</si>
  <si>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</si>
  <si>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</si>
  <si>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</si>
  <si>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</si>
  <si>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</si>
  <si>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</si>
  <si>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</si>
  <si>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</si>
  <si>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</si>
  <si>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</si>
  <si>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</si>
  <si>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</si>
  <si>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</si>
  <si>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</si>
  <si>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</si>
  <si>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</si>
  <si>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</si>
  <si>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</si>
  <si>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</si>
  <si>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</si>
  <si>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</si>
  <si>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</si>
  <si>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</si>
  <si>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</si>
  <si>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</si>
  <si>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</si>
  <si>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</si>
  <si>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</si>
  <si>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</si>
  <si>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</si>
  <si>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</si>
  <si>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</si>
  <si>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</si>
  <si>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</si>
  <si>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</si>
  <si>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</si>
  <si>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</si>
  <si>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</si>
  <si>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</si>
  <si>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</si>
  <si>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</si>
  <si>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</si>
  <si>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</si>
  <si>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</si>
  <si>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</si>
  <si>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</si>
  <si>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</si>
  <si>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</si>
  <si>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</si>
  <si>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</si>
  <si>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</si>
  <si>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</si>
  <si>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</si>
  <si>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</si>
  <si>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</si>
  <si>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</si>
  <si>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</si>
  <si>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</si>
  <si>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</si>
  <si>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</si>
  <si>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</si>
  <si>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</si>
  <si>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</si>
  <si>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</si>
  <si>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</si>
  <si>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</si>
  <si>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</si>
  <si>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</si>
  <si>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</si>
  <si>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</si>
  <si>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</si>
  <si>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</si>
  <si>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</si>
  <si>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</si>
  <si>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</si>
  <si>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</si>
  <si>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</si>
  <si>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</si>
  <si>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</si>
  <si>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</si>
  <si>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</si>
  <si>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</si>
  <si>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</si>
  <si>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</si>
  <si>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</si>
  <si>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</si>
  <si>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</si>
  <si>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</si>
  <si>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</si>
  <si>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</si>
  <si>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</si>
  <si>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</si>
  <si>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</si>
  <si>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</si>
  <si>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</si>
  <si>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</si>
  <si>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</si>
  <si>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</si>
  <si>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</si>
  <si>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</si>
  <si>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</si>
  <si>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</si>
  <si>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</si>
  <si>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</si>
  <si>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</si>
  <si>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</si>
  <si>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</si>
  <si>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</si>
  <si>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</si>
  <si>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</si>
  <si>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</si>
  <si>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</si>
  <si>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</si>
  <si>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</si>
  <si>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</si>
  <si>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</si>
  <si>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</si>
  <si>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</si>
  <si>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</si>
  <si>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</si>
  <si>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</si>
  <si>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</si>
  <si>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</si>
  <si>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</si>
  <si>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</si>
  <si>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</si>
  <si>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</si>
  <si>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</si>
  <si>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</si>
  <si>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</si>
  <si>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</si>
  <si>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</si>
  <si>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</si>
  <si>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</si>
  <si>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</si>
  <si>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</si>
  <si>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</si>
  <si>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</si>
  <si>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</si>
  <si>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</si>
  <si>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</si>
  <si>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</si>
  <si>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</si>
  <si>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</si>
  <si>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</si>
  <si>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</si>
  <si>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</si>
  <si>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</si>
  <si>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</si>
  <si>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</si>
  <si>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</si>
  <si>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</si>
  <si>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</si>
  <si>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</si>
  <si>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</si>
  <si>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</si>
  <si>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</si>
  <si>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</si>
  <si>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</si>
  <si>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</si>
  <si>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</si>
  <si>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</si>
  <si>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</si>
  <si>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</si>
  <si>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</si>
  <si>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</si>
  <si>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</si>
  <si>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</si>
  <si>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</si>
  <si>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</si>
  <si>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</si>
  <si>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</si>
  <si>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</si>
  <si>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</si>
  <si>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</si>
  <si>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</si>
  <si>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</si>
  <si>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</si>
  <si>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</si>
  <si>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</si>
  <si>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</si>
  <si>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</si>
  <si>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</si>
  <si>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</si>
  <si>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</si>
  <si>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</si>
  <si>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</si>
  <si>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</si>
  <si>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</si>
  <si>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</si>
  <si>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</si>
  <si>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</si>
  <si>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</si>
  <si>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</si>
  <si>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</si>
  <si>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</si>
  <si>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</si>
  <si>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</si>
  <si>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</si>
  <si>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</si>
  <si>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</si>
  <si>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</si>
  <si>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</si>
  <si>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</si>
  <si>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</si>
  <si>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</si>
  <si>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</si>
  <si>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</si>
  <si>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</si>
  <si>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</si>
  <si>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</si>
  <si>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</si>
  <si>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</si>
  <si>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</si>
  <si>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</si>
  <si>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</si>
  <si>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</si>
  <si>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</si>
  <si>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</si>
  <si>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</si>
  <si>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</si>
  <si>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</si>
  <si>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</si>
  <si>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</si>
  <si>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</si>
  <si>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</si>
  <si>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</si>
  <si>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</si>
  <si>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</si>
  <si>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</si>
  <si>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</si>
  <si>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</si>
  <si>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</si>
  <si>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</si>
  <si>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</si>
  <si>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</si>
  <si>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</si>
  <si>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</si>
  <si>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</si>
  <si>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</si>
  <si>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</si>
  <si>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</si>
  <si>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</si>
  <si>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</si>
  <si>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</si>
  <si>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</si>
  <si>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</si>
  <si>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</si>
  <si>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</si>
  <si>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</si>
  <si>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</si>
  <si>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</si>
  <si>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</si>
  <si>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</si>
  <si>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</si>
  <si>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</si>
  <si>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</si>
  <si>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</si>
  <si>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</si>
  <si>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</si>
  <si>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</si>
  <si>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</si>
  <si>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</si>
  <si>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</si>
  <si>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</si>
  <si>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</si>
  <si>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</si>
  <si>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</si>
  <si>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</si>
  <si>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</si>
  <si>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</si>
  <si>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</si>
  <si>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</si>
  <si>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</si>
  <si>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</si>
  <si>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</si>
  <si>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</si>
  <si>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</si>
  <si>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</si>
  <si>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</si>
  <si>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</si>
  <si>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</si>
  <si>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</si>
  <si>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</si>
  <si>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</si>
  <si>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</si>
  <si>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</si>
  <si>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</si>
  <si>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</si>
  <si>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</si>
  <si>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</si>
  <si>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</si>
  <si>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</si>
  <si>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</si>
  <si>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</si>
  <si>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</si>
  <si>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</si>
  <si>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</si>
  <si>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</si>
  <si>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</si>
  <si>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</si>
  <si>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</si>
  <si>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</si>
  <si>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</si>
  <si>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</si>
  <si>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</si>
  <si>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</si>
  <si>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</si>
  <si>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</si>
  <si>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</si>
  <si>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</si>
  <si>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</si>
  <si>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</si>
  <si>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</si>
  <si>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</si>
  <si>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</si>
  <si>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</si>
  <si>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</si>
  <si>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</si>
  <si>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</si>
  <si>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</si>
  <si>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</si>
  <si>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</si>
  <si>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</si>
  <si>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</si>
  <si>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</si>
  <si>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</si>
  <si>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</si>
  <si>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</si>
  <si>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</si>
  <si>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</si>
  <si>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</si>
  <si>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</si>
  <si>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</si>
  <si>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</si>
  <si>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</si>
  <si>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</si>
  <si>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</si>
  <si>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</si>
  <si>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</si>
  <si>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</si>
  <si>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</si>
  <si>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</si>
  <si>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</si>
  <si>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</si>
  <si>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</si>
  <si>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</si>
  <si>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</si>
  <si>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</si>
  <si>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</si>
  <si>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</si>
  <si>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</si>
  <si>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</si>
  <si>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</si>
  <si>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</si>
  <si>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</si>
  <si>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</si>
  <si>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</si>
  <si>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</si>
  <si>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</si>
  <si>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</si>
  <si>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</si>
  <si>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</si>
  <si>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</si>
  <si>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</si>
  <si>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</si>
  <si>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</si>
  <si>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</si>
  <si>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</si>
  <si>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</si>
  <si>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</si>
  <si>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</si>
  <si>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</si>
  <si>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</si>
  <si>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</si>
  <si>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</si>
  <si>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</si>
  <si>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</si>
  <si>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</si>
  <si>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</si>
  <si>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</si>
  <si>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</si>
  <si>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</si>
  <si>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</si>
  <si>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</si>
  <si>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</si>
  <si>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</si>
  <si>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</si>
  <si>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</si>
  <si>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</si>
  <si>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</si>
  <si>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</si>
  <si>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</si>
  <si>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</si>
  <si>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</si>
  <si>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</si>
  <si>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</si>
  <si>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</si>
  <si>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</si>
  <si>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</si>
  <si>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</si>
  <si>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</si>
  <si>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</si>
  <si>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</si>
  <si>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</si>
  <si>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</si>
  <si>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</si>
  <si>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</si>
  <si>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</si>
  <si>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</si>
  <si>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</si>
  <si>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</si>
  <si>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</si>
  <si>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</si>
  <si>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</si>
  <si>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</si>
  <si>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</si>
  <si>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</si>
  <si>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</si>
  <si>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</si>
  <si>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</si>
  <si>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</si>
  <si>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</si>
  <si>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</si>
  <si>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</si>
  <si>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</si>
  <si>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</si>
  <si>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</si>
  <si>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</si>
  <si>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</si>
  <si>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</si>
  <si>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</si>
  <si>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</si>
  <si>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</si>
  <si>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</si>
  <si>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</si>
  <si>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</si>
  <si>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</si>
  <si>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</si>
  <si>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</si>
  <si>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</si>
  <si>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</si>
  <si>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</si>
  <si>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</si>
  <si>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</si>
  <si>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</si>
  <si>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</si>
  <si>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</si>
  <si>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</si>
  <si>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</si>
  <si>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</si>
  <si>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</si>
  <si>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</si>
  <si>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</si>
  <si>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</si>
  <si>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</si>
  <si>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</si>
  <si>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</si>
  <si>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</si>
  <si>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</si>
  <si>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</si>
  <si>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</si>
  <si>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</si>
  <si>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</si>
  <si>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</si>
  <si>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</si>
  <si>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</si>
  <si>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</si>
  <si>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</si>
  <si>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</si>
  <si>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</si>
  <si>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</si>
  <si>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</si>
  <si>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</si>
  <si>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</si>
  <si>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</si>
  <si>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</si>
  <si>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</si>
  <si>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</si>
  <si>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</si>
  <si>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</si>
  <si>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</si>
  <si>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</si>
  <si>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</si>
  <si>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</si>
  <si>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</si>
  <si>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</si>
  <si>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</si>
  <si>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</si>
  <si>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</si>
  <si>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</si>
  <si>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</si>
  <si>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</si>
  <si>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</si>
  <si>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</si>
  <si>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</si>
  <si>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</si>
  <si>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</si>
  <si>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</si>
  <si>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</si>
  <si>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</si>
  <si>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</si>
  <si>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</si>
  <si>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</si>
  <si>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</si>
  <si>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</si>
  <si>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</si>
  <si>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</si>
  <si>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</si>
  <si>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</si>
  <si>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</si>
  <si>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</si>
  <si>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</si>
  <si>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</si>
  <si>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</si>
  <si>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</si>
  <si>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</si>
  <si>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</si>
  <si>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</si>
  <si>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</si>
  <si>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</si>
  <si>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</si>
  <si>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</si>
  <si>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</si>
  <si>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</si>
  <si>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</si>
  <si>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</si>
  <si>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</si>
  <si>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</si>
  <si>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</si>
  <si>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</si>
  <si>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</si>
  <si>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</si>
  <si>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</si>
  <si>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</si>
  <si>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</si>
  <si>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</si>
  <si>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</si>
  <si>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</si>
  <si>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</si>
  <si>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</si>
  <si>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</si>
  <si>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</si>
  <si>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</si>
  <si>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</si>
  <si>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</si>
  <si>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</si>
  <si>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</si>
  <si>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</si>
  <si>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</si>
  <si>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</si>
  <si>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</si>
  <si>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</si>
  <si>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</si>
  <si>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</si>
  <si>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</si>
  <si>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</si>
  <si>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</si>
  <si>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</si>
  <si>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</si>
  <si>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</si>
  <si>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</si>
  <si>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</si>
  <si>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</si>
  <si>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</si>
  <si>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</si>
  <si>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</si>
  <si>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</si>
  <si>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</si>
  <si>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</si>
  <si>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</si>
  <si>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</si>
  <si>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</si>
  <si>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</si>
  <si>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</si>
  <si>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</si>
  <si>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</si>
  <si>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</si>
  <si>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</si>
  <si>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</si>
  <si>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</si>
  <si>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</si>
  <si>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</si>
  <si>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</si>
  <si>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</si>
  <si>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</si>
  <si>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</si>
  <si>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</si>
  <si>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</si>
  <si>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</si>
  <si>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</si>
  <si>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</si>
  <si>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</si>
  <si>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</si>
  <si>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</si>
  <si>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</si>
  <si>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</si>
  <si>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</si>
  <si>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</si>
  <si>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</si>
  <si>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</si>
  <si>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</si>
  <si>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</si>
  <si>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</si>
  <si>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</si>
  <si>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</si>
  <si>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</si>
  <si>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</si>
  <si>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</si>
  <si>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</si>
  <si>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</si>
  <si>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</si>
  <si>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</si>
  <si>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</si>
  <si>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</si>
  <si>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</si>
  <si>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</si>
  <si>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</si>
  <si>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</si>
  <si>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</si>
  <si>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</si>
  <si>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</si>
  <si>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</si>
  <si>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</si>
  <si>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</si>
  <si>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</si>
  <si>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</si>
  <si>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</si>
  <si>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</si>
  <si>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</si>
  <si>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</si>
  <si>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</si>
  <si>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</si>
  <si>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</si>
  <si>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</si>
  <si>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</si>
  <si>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</si>
  <si>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</si>
  <si>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</si>
  <si>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</si>
  <si>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</si>
  <si>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</si>
  <si>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</si>
  <si>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</si>
  <si>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</si>
  <si>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</si>
  <si>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</si>
  <si>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</si>
  <si>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</si>
  <si>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</si>
  <si>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</si>
  <si>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</si>
  <si>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</si>
  <si>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</si>
  <si>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</si>
  <si>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</si>
  <si>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</si>
  <si>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</si>
  <si>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</si>
  <si>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</si>
  <si>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</si>
  <si>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</si>
  <si>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</si>
  <si>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</si>
  <si>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</si>
  <si>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</si>
  <si>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</si>
  <si>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</si>
  <si>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</si>
  <si>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</si>
  <si>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</si>
  <si>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</si>
  <si>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</si>
  <si>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</si>
  <si>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</si>
  <si>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</si>
  <si>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</si>
  <si>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</si>
  <si>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</si>
  <si>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</si>
  <si>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</si>
  <si>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</si>
  <si>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</si>
  <si>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</si>
  <si>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</si>
  <si>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</si>
  <si>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</si>
  <si>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</si>
  <si>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</si>
  <si>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</si>
  <si>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</si>
  <si>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</si>
  <si>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</si>
  <si>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</si>
  <si>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</si>
  <si>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</si>
  <si>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</si>
  <si>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</si>
  <si>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</si>
  <si>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</si>
  <si>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</si>
  <si>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</si>
  <si>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</si>
  <si>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</si>
  <si>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</si>
  <si>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</si>
  <si>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</si>
  <si>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</si>
  <si>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</si>
  <si>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</si>
  <si>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</si>
  <si>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</si>
  <si>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</si>
  <si>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</si>
  <si>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</si>
  <si>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</si>
  <si>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</si>
  <si>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</si>
  <si>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</si>
  <si>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</si>
  <si>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</si>
  <si>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</si>
  <si>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</si>
  <si>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</si>
  <si>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</si>
  <si>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</si>
  <si>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</si>
  <si>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</si>
  <si>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</si>
  <si>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</si>
  <si>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</si>
  <si>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</si>
  <si>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</si>
  <si>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</si>
  <si>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</si>
  <si>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</si>
  <si>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</si>
  <si>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</si>
  <si>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</si>
  <si>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</si>
  <si>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</si>
  <si>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</si>
  <si>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</si>
  <si>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</si>
  <si>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</si>
  <si>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</si>
  <si>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</si>
  <si>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</si>
  <si>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</si>
  <si>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</si>
  <si>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</si>
  <si>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</si>
  <si>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</si>
  <si>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</si>
  <si>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</si>
  <si>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</si>
  <si>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</si>
  <si>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</si>
  <si>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</si>
  <si>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</si>
  <si>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</si>
  <si>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</si>
  <si>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</si>
  <si>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</si>
  <si>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</si>
  <si>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</si>
  <si>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</si>
  <si>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</si>
  <si>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</si>
  <si>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</si>
  <si>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</si>
  <si>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</si>
  <si>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</si>
  <si>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</si>
  <si>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</si>
  <si>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</si>
  <si>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</si>
  <si>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</si>
  <si>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</si>
  <si>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</si>
  <si>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</si>
  <si>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</si>
  <si>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</si>
  <si>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</si>
  <si>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</si>
  <si>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</si>
  <si>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</si>
  <si>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</si>
  <si>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</si>
  <si>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</si>
  <si>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</si>
  <si>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</si>
  <si>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</si>
  <si>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</si>
  <si>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</si>
  <si>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</si>
  <si>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</si>
  <si>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</si>
  <si>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</si>
  <si>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</si>
  <si>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</si>
  <si>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</si>
  <si>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</si>
  <si>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</si>
  <si>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</si>
  <si>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</si>
  <si>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</si>
  <si>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</si>
  <si>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</si>
  <si>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</si>
  <si>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</si>
  <si>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</si>
  <si>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</si>
  <si>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</si>
  <si>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</si>
  <si>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</si>
  <si>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</si>
  <si>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</si>
  <si>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</si>
  <si>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</si>
  <si>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</si>
  <si>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</si>
  <si>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</si>
  <si>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</si>
  <si>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</si>
  <si>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</si>
  <si>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</si>
  <si>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</si>
  <si>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</si>
  <si>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</si>
  <si>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</si>
  <si>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</si>
  <si>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</si>
  <si>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</si>
  <si>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</si>
  <si>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</si>
  <si>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</si>
  <si>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</si>
  <si>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</si>
  <si>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</si>
  <si>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</si>
  <si>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</si>
  <si>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</si>
  <si>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</si>
  <si>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</si>
  <si>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</si>
  <si>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</si>
  <si>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</si>
  <si>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</si>
  <si>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</si>
  <si>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</si>
  <si>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</si>
  <si>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</si>
  <si>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</si>
  <si>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</si>
  <si>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</si>
  <si>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</si>
  <si>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</si>
  <si>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</si>
  <si>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</si>
  <si>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</si>
  <si>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</si>
  <si>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</si>
  <si>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</si>
  <si>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</si>
  <si>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</si>
  <si>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</si>
  <si>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</si>
  <si>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</si>
  <si>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</si>
  <si>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</si>
  <si>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</si>
  <si>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</si>
  <si>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</si>
  <si>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</si>
  <si>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</si>
  <si>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</si>
  <si>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</si>
  <si>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</si>
  <si>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</si>
  <si>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</si>
  <si>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</si>
  <si>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</si>
  <si>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</si>
  <si>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</si>
  <si>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</si>
  <si>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</si>
  <si>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</si>
  <si>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</si>
  <si>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</si>
  <si>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</si>
  <si>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</si>
  <si>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</si>
  <si>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</si>
  <si>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</si>
  <si>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</si>
  <si>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</si>
  <si>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</si>
  <si>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</si>
  <si>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</si>
  <si>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</si>
  <si>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</si>
  <si>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</si>
  <si>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</si>
  <si>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</si>
  <si>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</si>
  <si>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</si>
  <si>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</si>
  <si>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</si>
  <si>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</si>
  <si>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</si>
  <si>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</si>
  <si>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</si>
  <si>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</si>
  <si>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</si>
  <si>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</si>
  <si>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</si>
  <si>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</si>
  <si>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</si>
  <si>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</si>
  <si>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</si>
  <si>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</si>
  <si>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</si>
  <si>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</si>
  <si>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</si>
  <si>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</si>
  <si>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</si>
  <si>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</si>
  <si>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</si>
  <si>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</si>
  <si>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</si>
  <si>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</si>
  <si>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</si>
  <si>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</si>
  <si>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</si>
  <si>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</si>
  <si>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</si>
  <si>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</si>
  <si>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</si>
  <si>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</si>
  <si>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</si>
  <si>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</si>
  <si>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</si>
  <si>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</si>
  <si>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</si>
  <si>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</si>
  <si>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</si>
  <si>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</si>
  <si>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</si>
  <si>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</si>
  <si>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</si>
  <si>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</si>
  <si>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</si>
  <si>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</si>
  <si>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</si>
  <si>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</si>
  <si>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</si>
  <si>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</si>
  <si>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</si>
  <si>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</si>
  <si>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</si>
  <si>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</si>
  <si>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</si>
  <si>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</si>
  <si>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</si>
  <si>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</si>
  <si>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</si>
  <si>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</si>
  <si>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</si>
  <si>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</si>
  <si>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</si>
  <si>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</si>
  <si>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</si>
  <si>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</si>
  <si>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</si>
  <si>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</si>
  <si>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</si>
  <si>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</si>
  <si>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</si>
  <si>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</si>
  <si>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</si>
  <si>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</si>
  <si>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</si>
  <si>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</si>
  <si>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</si>
  <si>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</si>
  <si>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</si>
  <si>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</si>
  <si>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</si>
  <si>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</si>
  <si>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</si>
  <si>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</si>
  <si>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</si>
  <si>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</si>
  <si>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</si>
  <si>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</si>
  <si>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</si>
  <si>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</si>
  <si>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</si>
  <si>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</si>
  <si>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</si>
  <si>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</si>
  <si>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</si>
  <si>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</si>
  <si>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</si>
  <si>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</si>
  <si>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</si>
  <si>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</si>
  <si>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</si>
  <si>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</si>
  <si>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</si>
  <si>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</si>
  <si>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</si>
  <si>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</si>
  <si>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</si>
  <si>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</si>
  <si>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</si>
  <si>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</si>
  <si>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</si>
  <si>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</si>
  <si>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</si>
  <si>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</si>
  <si>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</si>
  <si>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</si>
  <si>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</si>
  <si>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</si>
  <si>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</si>
  <si>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</si>
  <si>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</si>
  <si>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</si>
  <si>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</si>
  <si>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</si>
  <si>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</si>
  <si>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</si>
  <si>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</si>
  <si>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</si>
  <si>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</si>
  <si>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</si>
  <si>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</si>
  <si>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</si>
  <si>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</si>
  <si>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</si>
  <si>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</si>
  <si>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</si>
  <si>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</si>
  <si>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</si>
  <si>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</si>
  <si>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</si>
  <si>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</si>
  <si>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</si>
  <si>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</si>
  <si>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</si>
  <si>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</si>
  <si>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</si>
  <si>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</si>
  <si>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</si>
  <si>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</si>
  <si>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</si>
  <si>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</si>
  <si>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</si>
  <si>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</si>
  <si>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</si>
  <si>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</si>
  <si>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</si>
  <si>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</si>
  <si>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</si>
  <si>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</si>
  <si>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</si>
  <si>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</si>
  <si>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</si>
  <si>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</si>
  <si>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</si>
  <si>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</si>
  <si>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</si>
  <si>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</si>
  <si>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</si>
  <si>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</si>
  <si>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</si>
  <si>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</si>
  <si>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</si>
  <si>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</si>
  <si>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</si>
  <si>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</si>
  <si>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</si>
  <si>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</si>
  <si>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</si>
  <si>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</si>
  <si>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</si>
  <si>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</si>
  <si>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</si>
  <si>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</si>
  <si>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</si>
  <si>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</si>
  <si>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</si>
  <si>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</si>
  <si>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</si>
  <si>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</si>
  <si>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</si>
  <si>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</si>
  <si>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</si>
  <si>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</si>
  <si>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</si>
  <si>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</si>
  <si>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</si>
  <si>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</si>
  <si>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</si>
  <si>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</si>
  <si>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</si>
  <si>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</si>
  <si>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</si>
  <si>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</si>
  <si>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</si>
  <si>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</si>
  <si>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</si>
  <si>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</si>
  <si>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</si>
  <si>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</si>
  <si>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</si>
  <si>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</si>
  <si>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</si>
  <si>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</si>
  <si>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</si>
  <si>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</si>
  <si>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</si>
  <si>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</si>
  <si>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</si>
  <si>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</si>
  <si>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</si>
  <si>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</si>
  <si>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</si>
  <si>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</si>
  <si>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</si>
  <si>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</si>
  <si>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</si>
  <si>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</si>
  <si>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</si>
  <si>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</si>
  <si>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</si>
  <si>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</si>
  <si>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</si>
  <si>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</si>
  <si>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</si>
  <si>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</si>
  <si>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</si>
  <si>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</si>
  <si>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</si>
  <si>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</si>
  <si>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</si>
  <si>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</si>
  <si>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</si>
  <si>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</si>
  <si>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</si>
  <si>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</si>
  <si>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</si>
  <si>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</si>
  <si>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</si>
  <si>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</si>
  <si>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</si>
  <si>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</si>
  <si>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</si>
  <si>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</si>
  <si>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</si>
  <si>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</si>
  <si>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</si>
  <si>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</si>
  <si>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</si>
  <si>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</si>
  <si>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</si>
  <si>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</si>
  <si>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</si>
  <si>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</si>
  <si>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</si>
  <si>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</si>
  <si>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</si>
  <si>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</si>
  <si>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</si>
  <si>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</si>
  <si>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</si>
  <si>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</si>
  <si>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</si>
  <si>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</si>
  <si>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</si>
  <si>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</si>
  <si>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</si>
  <si>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</si>
  <si>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</si>
  <si>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</si>
  <si>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</si>
  <si>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</si>
  <si>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</si>
  <si>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</si>
  <si>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</si>
  <si>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</si>
  <si>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</si>
  <si>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</si>
  <si>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</si>
  <si>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</si>
  <si>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</si>
  <si>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</si>
  <si>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</si>
  <si>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</si>
  <si>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</si>
  <si>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</si>
  <si>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</si>
  <si>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</si>
  <si>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</si>
  <si>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</si>
  <si>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</si>
  <si>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</si>
  <si>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</si>
  <si>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</si>
  <si>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</si>
  <si>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</si>
  <si>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</si>
  <si>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</si>
  <si>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</si>
  <si>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</si>
  <si>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</si>
  <si>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</si>
  <si>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</si>
  <si>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</si>
  <si>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</si>
  <si>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</si>
  <si>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</si>
  <si>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</si>
  <si>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</si>
  <si>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</si>
  <si>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</si>
  <si>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</si>
  <si>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</si>
  <si>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</si>
  <si>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</si>
  <si>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</si>
  <si>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</si>
  <si>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</si>
  <si>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</si>
  <si>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</si>
  <si>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</si>
  <si>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</si>
  <si>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</si>
  <si>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</si>
  <si>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</si>
  <si>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</si>
  <si>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</si>
  <si>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</si>
  <si>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</si>
  <si>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</si>
  <si>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</si>
  <si>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</si>
  <si>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</si>
  <si>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</si>
  <si>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</si>
  <si>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</si>
  <si>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</si>
  <si>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</si>
  <si>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</si>
  <si>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</si>
  <si>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</si>
  <si>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</si>
  <si>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</si>
  <si>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</si>
  <si>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</si>
  <si>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</si>
  <si>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</si>
  <si>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</si>
  <si>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</si>
  <si>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</si>
  <si>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</si>
  <si>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</si>
  <si>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</si>
  <si>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</si>
  <si>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</si>
  <si>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</si>
  <si>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</si>
  <si>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</si>
  <si>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</si>
  <si>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</si>
  <si>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</si>
  <si>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</si>
  <si>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</si>
  <si>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</si>
  <si>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</si>
  <si>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</si>
  <si>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</si>
  <si>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</si>
  <si>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</si>
  <si>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</si>
  <si>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</si>
  <si>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</si>
  <si>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</si>
  <si>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</si>
  <si>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</si>
  <si>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</si>
  <si>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</si>
  <si>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</si>
  <si>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</si>
  <si>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</si>
  <si>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</si>
  <si>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</si>
  <si>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</si>
  <si>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</si>
  <si>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</si>
  <si>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</si>
  <si>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</si>
  <si>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</si>
  <si>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</si>
  <si>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</si>
  <si>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</si>
  <si>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</si>
  <si>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</si>
  <si>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</si>
  <si>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</si>
  <si>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</si>
  <si>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</si>
  <si>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</si>
  <si>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</si>
  <si>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</si>
  <si>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</si>
  <si>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</si>
  <si>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</si>
  <si>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</si>
  <si>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</si>
  <si>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</si>
  <si>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</si>
  <si>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</si>
  <si>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</si>
  <si>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</si>
  <si>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</si>
  <si>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</si>
  <si>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</si>
  <si>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</si>
  <si>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</si>
  <si>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</si>
  <si>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</si>
  <si>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</si>
  <si>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</si>
  <si>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</si>
  <si>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</si>
  <si>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</si>
  <si>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</si>
  <si>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</si>
  <si>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</si>
  <si>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</si>
  <si>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</si>
  <si>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</si>
  <si>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</si>
  <si>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</si>
  <si>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</si>
  <si>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</si>
  <si>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</si>
  <si>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</si>
  <si>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</si>
  <si>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</si>
  <si>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</si>
  <si>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</si>
  <si>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</si>
  <si>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</si>
  <si>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</si>
  <si>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</si>
  <si>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</si>
  <si>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</si>
  <si>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</si>
  <si>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</si>
  <si>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</si>
  <si>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</si>
  <si>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</si>
  <si>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</si>
  <si>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</si>
  <si>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</si>
  <si>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</si>
  <si>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</si>
  <si>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</si>
  <si>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</si>
  <si>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</si>
  <si>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</si>
  <si>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</si>
  <si>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</si>
  <si>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</si>
  <si>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</si>
  <si>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</si>
  <si>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</si>
  <si>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</si>
  <si>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</si>
  <si>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</si>
  <si>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</si>
  <si>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</si>
  <si>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</si>
  <si>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</si>
  <si>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</si>
  <si>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</si>
  <si>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</si>
  <si>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</si>
  <si>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</si>
  <si>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</si>
  <si>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</si>
  <si>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</si>
  <si>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</si>
  <si>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</si>
  <si>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</si>
  <si>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</si>
  <si>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</si>
  <si>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</si>
  <si>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</si>
  <si>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</si>
  <si>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</si>
  <si>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</si>
  <si>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</si>
  <si>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</si>
  <si>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</si>
  <si>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</si>
  <si>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</si>
  <si>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</si>
  <si>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</si>
  <si>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</si>
  <si>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</si>
  <si>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</si>
  <si>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</si>
  <si>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</si>
  <si>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</si>
  <si>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</si>
  <si>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</si>
  <si>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</si>
  <si>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</si>
  <si>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</si>
  <si>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</si>
  <si>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</si>
  <si>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</si>
  <si>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</si>
  <si>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</si>
  <si>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</si>
  <si>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</si>
  <si>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</si>
  <si>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</si>
  <si>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</si>
  <si>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</si>
  <si>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</si>
  <si>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</si>
  <si>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</si>
  <si>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</si>
  <si>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</si>
  <si>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</si>
  <si>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</si>
  <si>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</si>
  <si>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</si>
  <si>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</si>
  <si>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</si>
  <si>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</si>
  <si>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</si>
  <si>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</si>
  <si>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</si>
  <si>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</si>
  <si>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</si>
  <si>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</si>
  <si>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</si>
  <si>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</si>
  <si>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</si>
  <si>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</si>
  <si>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</si>
  <si>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</si>
  <si>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</si>
  <si>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</si>
  <si>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</si>
  <si>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</si>
  <si>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</si>
  <si>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</si>
  <si>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</si>
  <si>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</si>
  <si>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</si>
  <si>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</si>
  <si>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</si>
  <si>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</si>
  <si>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</si>
  <si>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</si>
  <si>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</si>
  <si>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</si>
  <si>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</si>
  <si>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</si>
  <si>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</si>
  <si>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</si>
  <si>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</si>
  <si>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</si>
  <si>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</si>
  <si>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</si>
  <si>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</si>
  <si>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</si>
  <si>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</si>
  <si>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</si>
  <si>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</si>
  <si>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</si>
  <si>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</si>
  <si>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</si>
  <si>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</si>
  <si>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</si>
  <si>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</si>
  <si>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</si>
  <si>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</si>
  <si>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</si>
  <si>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</si>
  <si>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</si>
  <si>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</si>
  <si>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</si>
  <si>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</si>
  <si>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</si>
  <si>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</si>
  <si>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</si>
  <si>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</si>
  <si>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</si>
  <si>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</si>
  <si>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</si>
  <si>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</si>
  <si>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</si>
  <si>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</si>
  <si>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</si>
  <si>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</si>
  <si>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</si>
  <si>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</si>
  <si>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</si>
  <si>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</si>
  <si>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</si>
  <si>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</si>
  <si>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</si>
  <si>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</si>
  <si>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</si>
  <si>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</si>
  <si>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</si>
  <si>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</si>
  <si>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</si>
  <si>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</si>
  <si>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</si>
  <si>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</si>
  <si>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</si>
  <si>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</si>
  <si>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</si>
  <si>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</si>
  <si>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</si>
  <si>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</si>
  <si>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</si>
  <si>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</si>
  <si>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</si>
  <si>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</si>
  <si>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</si>
  <si>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</si>
  <si>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</si>
  <si>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</si>
  <si>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</si>
  <si>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</si>
  <si>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</si>
  <si>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</si>
  <si>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</si>
  <si>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</si>
  <si>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</si>
  <si>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</si>
  <si>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</si>
  <si>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</si>
  <si>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</si>
  <si>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</si>
  <si>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</si>
  <si>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</si>
  <si>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</si>
  <si>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</si>
  <si>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</si>
  <si>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</si>
  <si>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</si>
  <si>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</si>
  <si>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</si>
  <si>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</si>
  <si>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</si>
  <si>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</si>
  <si>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</si>
  <si>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</si>
  <si>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</si>
  <si>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</si>
  <si>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</si>
  <si>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</si>
  <si>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</si>
  <si>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</si>
  <si>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</si>
  <si>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</si>
  <si>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</si>
  <si>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</si>
  <si>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</si>
  <si>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</si>
  <si>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</si>
  <si>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</si>
  <si>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</si>
  <si>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</si>
  <si>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</si>
  <si>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</si>
  <si>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</si>
  <si>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</si>
  <si>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</si>
  <si>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</si>
  <si>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</si>
  <si>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</si>
  <si>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</si>
  <si>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</si>
  <si>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</si>
  <si>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</si>
  <si>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</si>
  <si>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</si>
  <si>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</si>
  <si>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</si>
  <si>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</si>
  <si>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</si>
  <si>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</si>
  <si>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</si>
  <si>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</si>
  <si>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</si>
  <si>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</si>
  <si>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</si>
  <si>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</si>
  <si>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</si>
  <si>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</si>
  <si>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</si>
  <si>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</si>
  <si>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</si>
  <si>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</si>
  <si>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</si>
  <si>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</si>
  <si>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</si>
  <si>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</si>
  <si>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</si>
  <si>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</si>
  <si>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</si>
  <si>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</si>
  <si>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</si>
  <si>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</si>
  <si>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</si>
  <si>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</si>
  <si>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</si>
  <si>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</si>
  <si>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</si>
  <si>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</si>
  <si>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</si>
  <si>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</si>
  <si>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</si>
  <si>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</si>
  <si>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</si>
  <si>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</si>
  <si>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</si>
  <si>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</si>
  <si>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</si>
  <si>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</si>
  <si>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</si>
  <si>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</si>
  <si>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</si>
  <si>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</si>
  <si>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</si>
  <si>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</si>
  <si>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</si>
  <si>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</si>
  <si>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</si>
  <si>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</si>
  <si>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</si>
  <si>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</si>
  <si>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</si>
  <si>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</si>
  <si>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</si>
  <si>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</si>
  <si>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</si>
  <si>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</si>
  <si>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</si>
  <si>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</si>
  <si>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</si>
  <si>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</si>
  <si>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</si>
  <si>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</si>
  <si>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</si>
  <si>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</si>
  <si>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</si>
  <si>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</si>
  <si>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</si>
  <si>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</si>
  <si>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</si>
  <si>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</si>
  <si>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</si>
  <si>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</si>
  <si>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</si>
  <si>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</si>
  <si>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</si>
  <si>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</si>
  <si>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</si>
  <si>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</si>
  <si>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</si>
  <si>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</si>
  <si>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</si>
  <si>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</si>
  <si>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</si>
  <si>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</si>
  <si>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</si>
  <si>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</si>
  <si>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</si>
  <si>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</si>
  <si>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</si>
  <si>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</si>
  <si>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</si>
  <si>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</si>
  <si>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</si>
  <si>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</si>
  <si>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</si>
  <si>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</si>
  <si>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</si>
  <si>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</si>
  <si>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</si>
  <si>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</si>
  <si>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</si>
  <si>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</si>
  <si>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</si>
  <si>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</si>
  <si>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</si>
  <si>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</si>
  <si>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</si>
  <si>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</si>
  <si>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</si>
  <si>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</si>
  <si>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</si>
  <si>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</si>
  <si>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</si>
  <si>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</si>
  <si>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</si>
  <si>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</si>
  <si>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</si>
  <si>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</si>
  <si>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</si>
  <si>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</si>
  <si>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</si>
  <si>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</si>
  <si>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</si>
  <si>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</si>
  <si>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</si>
  <si>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</si>
  <si>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</si>
  <si>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</si>
  <si>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</si>
  <si>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</si>
  <si>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</si>
  <si>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</si>
  <si>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</si>
  <si>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</si>
  <si>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</si>
  <si>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</si>
  <si>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</si>
  <si>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</si>
  <si>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</si>
  <si>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</si>
  <si>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</si>
  <si>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</si>
  <si>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</si>
  <si>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</si>
  <si>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</si>
  <si>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</si>
  <si>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</si>
  <si>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</si>
  <si>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</si>
  <si>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</si>
  <si>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</si>
  <si>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</si>
  <si>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</si>
  <si>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</si>
  <si>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</si>
  <si>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</si>
  <si>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</si>
  <si>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</si>
  <si>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</si>
  <si>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</si>
  <si>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</si>
  <si>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</si>
  <si>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</si>
  <si>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</si>
  <si>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</si>
  <si>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</si>
  <si>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</si>
  <si>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</si>
  <si>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</si>
  <si>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</si>
  <si>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</si>
  <si>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</si>
  <si>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</si>
  <si>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</si>
  <si>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</si>
  <si>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</si>
  <si>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</si>
  <si>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</si>
  <si>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</si>
  <si>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</si>
  <si>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</si>
  <si>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</si>
  <si>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</si>
  <si>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</si>
  <si>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</si>
  <si>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</si>
  <si>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</si>
  <si>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</si>
  <si>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</si>
  <si>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</si>
  <si>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</si>
  <si>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</si>
  <si>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</si>
  <si>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</si>
  <si>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</si>
  <si>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</si>
  <si>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</si>
  <si>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</si>
  <si>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</si>
  <si>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</si>
  <si>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</si>
  <si>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</si>
  <si>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</si>
  <si>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</si>
  <si>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</si>
  <si>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</si>
  <si>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</si>
  <si>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</si>
  <si>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</si>
  <si>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</si>
  <si>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</si>
  <si>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</si>
  <si>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</si>
  <si>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</si>
  <si>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</si>
  <si>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</si>
  <si>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</si>
  <si>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</si>
  <si>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</si>
  <si>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</si>
  <si>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</si>
  <si>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</si>
  <si>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</si>
  <si>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</si>
  <si>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</si>
  <si>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</si>
  <si>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</si>
  <si>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</si>
  <si>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</si>
  <si>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</si>
  <si>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</si>
  <si>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</si>
  <si>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</si>
  <si>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</si>
  <si>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</si>
  <si>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</si>
  <si>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</si>
  <si>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</si>
  <si>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</si>
  <si>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</si>
  <si>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</si>
  <si>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</si>
  <si>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</si>
  <si>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</si>
  <si>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</si>
  <si>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</si>
  <si>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</si>
  <si>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</si>
  <si>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</si>
  <si>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</si>
  <si>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</si>
  <si>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</si>
  <si>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</si>
  <si>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</si>
  <si>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</si>
  <si>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</si>
  <si>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</si>
  <si>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</si>
  <si>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</si>
  <si>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</si>
  <si>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</si>
  <si>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</si>
  <si>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</si>
  <si>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</si>
  <si>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</si>
  <si>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</si>
  <si>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</si>
  <si>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</si>
  <si>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</si>
  <si>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</si>
  <si>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</si>
  <si>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</si>
  <si>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</si>
  <si>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</si>
  <si>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</si>
  <si>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</si>
  <si>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</si>
  <si>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</si>
  <si>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</si>
  <si>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</si>
  <si>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</si>
  <si>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</si>
  <si>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</si>
  <si>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</si>
  <si>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</si>
  <si>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</si>
  <si>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</si>
  <si>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</si>
  <si>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</si>
  <si>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</si>
  <si>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</si>
  <si>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</si>
  <si>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</si>
  <si>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</si>
  <si>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</si>
  <si>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</si>
  <si>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</si>
  <si>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</si>
  <si>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</si>
  <si>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</si>
  <si>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</si>
  <si>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</si>
  <si>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</si>
  <si>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</si>
  <si>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</si>
  <si>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</si>
  <si>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</si>
  <si>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</si>
  <si>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</si>
  <si>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</si>
  <si>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</si>
  <si>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</si>
  <si>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</si>
  <si>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</si>
  <si>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</si>
  <si>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</si>
  <si>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</si>
  <si>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</si>
  <si>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</si>
  <si>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</si>
  <si>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</si>
  <si>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</si>
  <si>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</si>
  <si>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</si>
  <si>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</si>
  <si>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</si>
  <si>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</si>
  <si>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</si>
  <si>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</si>
  <si>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</si>
  <si>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</si>
  <si>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</si>
  <si>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</si>
  <si>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</si>
  <si>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</si>
  <si>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</si>
  <si>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</si>
  <si>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</si>
  <si>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</si>
  <si>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</si>
  <si>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</si>
  <si>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</si>
  <si>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</si>
  <si>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</si>
  <si>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</si>
  <si>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</si>
  <si>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</si>
  <si>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</si>
  <si>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</si>
  <si>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</si>
  <si>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</si>
  <si>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</si>
  <si>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</si>
  <si>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</si>
  <si>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</si>
  <si>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</si>
  <si>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</si>
  <si>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</si>
  <si>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</si>
  <si>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</si>
  <si>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</si>
  <si>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</si>
  <si>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</si>
  <si>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</si>
  <si>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</si>
  <si>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</si>
  <si>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</si>
  <si>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</si>
  <si>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</si>
  <si>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</si>
  <si>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</si>
  <si>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</si>
  <si>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</si>
  <si>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</si>
  <si>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</si>
  <si>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</si>
  <si>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</si>
  <si>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</si>
  <si>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</si>
  <si>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</si>
  <si>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</si>
  <si>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</si>
  <si>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</si>
  <si>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</si>
  <si>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</si>
  <si>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</si>
  <si>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</si>
  <si>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</si>
  <si>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</si>
  <si>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</si>
  <si>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</si>
  <si>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</si>
  <si>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</si>
  <si>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</si>
  <si>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</si>
  <si>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</si>
  <si>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</si>
  <si>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</si>
  <si>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</si>
  <si>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</si>
  <si>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</si>
  <si>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</si>
  <si>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</si>
  <si>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</si>
  <si>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</si>
  <si>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</si>
  <si>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</si>
  <si>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</si>
  <si>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</si>
  <si>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</si>
  <si>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</si>
  <si>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</si>
  <si>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</si>
  <si>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</si>
  <si>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</si>
  <si>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</si>
  <si>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</si>
  <si>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</si>
  <si>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</si>
  <si>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</si>
  <si>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</si>
  <si>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</si>
  <si>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</si>
  <si>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</si>
  <si>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</si>
  <si>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</si>
  <si>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</si>
  <si>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</si>
  <si>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</si>
  <si>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</si>
  <si>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</si>
  <si>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</si>
  <si>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</si>
  <si>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</si>
  <si>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</si>
  <si>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</si>
  <si>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</si>
  <si>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</si>
  <si>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</si>
  <si>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</si>
  <si>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</si>
  <si>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</si>
  <si>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</si>
  <si>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</si>
  <si>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</si>
  <si>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</si>
  <si>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</si>
  <si>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</si>
  <si>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</si>
  <si>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</si>
  <si>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</si>
  <si>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</si>
  <si>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</si>
  <si>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</si>
  <si>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</si>
  <si>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</si>
  <si>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</si>
  <si>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</si>
  <si>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</si>
  <si>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</si>
  <si>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</si>
  <si>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</si>
  <si>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</si>
  <si>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</si>
  <si>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</si>
  <si>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</si>
  <si>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</si>
  <si>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</si>
  <si>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</si>
  <si>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</si>
  <si>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</si>
  <si>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</si>
  <si>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</si>
  <si>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</si>
  <si>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</si>
  <si>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</si>
  <si>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</si>
  <si>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</si>
  <si>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</si>
  <si>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</si>
  <si>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</si>
  <si>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</si>
  <si>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</si>
  <si>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</si>
  <si>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</si>
  <si>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</si>
  <si>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</si>
  <si>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</si>
  <si>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</si>
  <si>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</si>
  <si>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</si>
  <si>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</si>
  <si>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</si>
  <si>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</si>
  <si>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</si>
  <si>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</si>
  <si>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</si>
  <si>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</si>
  <si>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</si>
  <si>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</si>
  <si>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</si>
  <si>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</si>
  <si>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</si>
  <si>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</si>
  <si>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</si>
  <si>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</si>
  <si>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</si>
  <si>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</si>
  <si>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</si>
  <si>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</si>
  <si>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</si>
  <si>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</si>
  <si>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</si>
  <si>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</si>
  <si>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</si>
  <si>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</si>
  <si>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</si>
  <si>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</si>
  <si>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</si>
  <si>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</si>
  <si>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</si>
  <si>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</si>
  <si>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</si>
  <si>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</si>
  <si>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</si>
  <si>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</si>
  <si>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</si>
  <si>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</si>
  <si>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</si>
  <si>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</si>
  <si>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</si>
  <si>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</si>
  <si>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</si>
  <si>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</si>
  <si>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</si>
  <si>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</si>
  <si>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</si>
  <si>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</si>
  <si>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</si>
  <si>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</si>
  <si>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</si>
  <si>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</si>
  <si>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</si>
  <si>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</si>
  <si>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</si>
  <si>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</si>
  <si>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</si>
  <si>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</si>
  <si>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</si>
  <si>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</si>
  <si>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</si>
  <si>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</si>
  <si>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</si>
  <si>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</si>
  <si>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</si>
  <si>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</si>
  <si>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</si>
  <si>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</si>
  <si>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</si>
  <si>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</si>
  <si>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</si>
  <si>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</si>
  <si>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</si>
  <si>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</si>
  <si>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</si>
  <si>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</si>
  <si>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</si>
  <si>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</si>
  <si>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</si>
  <si>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</si>
  <si>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</si>
  <si>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</si>
  <si>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</si>
  <si>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</si>
  <si>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</si>
  <si>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</si>
  <si>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</si>
  <si>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</si>
  <si>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</si>
  <si>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</si>
  <si>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</si>
  <si>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</si>
  <si>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</si>
  <si>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</si>
  <si>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</si>
  <si>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</si>
  <si>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</si>
  <si>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</si>
  <si>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</si>
  <si>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</si>
  <si>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</si>
  <si>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</si>
  <si>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</si>
  <si>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</si>
  <si>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</si>
  <si>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</si>
  <si>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</si>
  <si>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</si>
  <si>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</si>
  <si>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</si>
  <si>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</si>
  <si>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</si>
  <si>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</si>
  <si>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</si>
  <si>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</si>
  <si>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</si>
  <si>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</si>
  <si>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</si>
  <si>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</si>
  <si>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</si>
  <si>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</si>
  <si>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</si>
  <si>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</si>
  <si>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</si>
  <si>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</si>
  <si>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</si>
  <si>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</si>
  <si>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</si>
  <si>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</si>
  <si>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</si>
  <si>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</si>
  <si>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</si>
  <si>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</si>
  <si>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</si>
  <si>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</si>
  <si>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</si>
  <si>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</si>
  <si>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</si>
  <si>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</si>
  <si>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</si>
  <si>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</si>
  <si>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</si>
  <si>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</si>
  <si>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</si>
  <si>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</si>
  <si>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</si>
  <si>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</si>
  <si>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</si>
  <si>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</si>
  <si>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</si>
  <si>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</si>
  <si>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</si>
  <si>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</si>
  <si>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</si>
  <si>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</si>
  <si>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</si>
  <si>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</si>
  <si>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</si>
  <si>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</si>
  <si>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</si>
  <si>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</si>
  <si>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</si>
  <si>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</si>
  <si>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</si>
  <si>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</si>
  <si>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</si>
  <si>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</si>
  <si>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</si>
  <si>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</si>
  <si>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</si>
  <si>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</si>
  <si>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</si>
  <si>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</si>
  <si>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</si>
  <si>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</si>
  <si>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</si>
  <si>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</si>
  <si>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</si>
  <si>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</si>
  <si>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</si>
  <si>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</si>
  <si>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</si>
  <si>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</si>
  <si>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</si>
  <si>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</si>
  <si>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</si>
  <si>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</si>
  <si>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</si>
  <si>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</si>
  <si>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</si>
  <si>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</si>
  <si>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</si>
  <si>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</si>
  <si>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</si>
  <si>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</si>
  <si>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</si>
  <si>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</si>
  <si>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</si>
  <si>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</si>
  <si>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</si>
  <si>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</si>
  <si>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</si>
  <si>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</si>
  <si>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</si>
  <si>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</si>
  <si>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</si>
  <si>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</si>
  <si>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</si>
  <si>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</si>
  <si>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</si>
  <si>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</si>
  <si>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</si>
  <si>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</si>
  <si>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</si>
  <si>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</si>
  <si>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</si>
  <si>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</si>
  <si>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</si>
  <si>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</si>
  <si>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</si>
  <si>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</si>
  <si>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</si>
  <si>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</si>
  <si>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</si>
  <si>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</si>
  <si>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</si>
  <si>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</si>
  <si>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</si>
  <si>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</si>
  <si>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</si>
  <si>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</si>
  <si>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</si>
  <si>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</si>
  <si>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</si>
  <si>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</si>
  <si>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</si>
  <si>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</si>
  <si>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</si>
  <si>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</si>
  <si>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</si>
  <si>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</si>
  <si>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</si>
  <si>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</si>
  <si>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</si>
  <si>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</si>
  <si>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</si>
  <si>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</si>
  <si>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</si>
  <si>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</si>
  <si>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</si>
  <si>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</si>
  <si>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</si>
  <si>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</si>
  <si>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</si>
  <si>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</si>
  <si>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</si>
  <si>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</si>
  <si>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</si>
  <si>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</si>
  <si>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</si>
  <si>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</si>
  <si>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</si>
  <si>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</si>
  <si>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</si>
  <si>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</si>
  <si>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</si>
  <si>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</si>
  <si>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</si>
  <si>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</si>
  <si>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</si>
  <si>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</si>
  <si>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</si>
  <si>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</si>
  <si>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</si>
  <si>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</si>
  <si>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</si>
  <si>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</si>
  <si>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</si>
  <si>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</si>
  <si>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</si>
  <si>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</si>
  <si>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</si>
  <si>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</si>
  <si>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</si>
  <si>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</si>
  <si>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</si>
  <si>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</si>
  <si>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</si>
  <si>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</si>
  <si>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</si>
  <si>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</si>
  <si>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</si>
  <si>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</si>
  <si>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</si>
  <si>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</si>
  <si>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</si>
  <si>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</si>
  <si>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</si>
  <si>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</si>
  <si>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</si>
  <si>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</si>
  <si>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</si>
  <si>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</si>
  <si>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</si>
  <si>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</si>
  <si>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</si>
  <si>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</si>
  <si>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</si>
  <si>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</si>
  <si>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</si>
  <si>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</si>
  <si>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</si>
  <si>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</si>
  <si>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</si>
  <si>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</si>
  <si>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</si>
  <si>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</si>
  <si>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</si>
  <si>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</si>
  <si>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</si>
  <si>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</si>
  <si>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</si>
  <si>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</si>
  <si>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</si>
  <si>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</si>
  <si>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</si>
  <si>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</si>
  <si>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</si>
  <si>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</si>
  <si>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</si>
  <si>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</si>
  <si>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</si>
  <si>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</si>
  <si>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</si>
  <si>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</si>
  <si>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</si>
  <si>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</si>
  <si>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</si>
  <si>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</si>
  <si>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</si>
  <si>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</si>
  <si>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</si>
  <si>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</si>
  <si>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</si>
  <si>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</si>
  <si>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</si>
  <si>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</si>
  <si>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</si>
  <si>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</si>
  <si>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</si>
  <si>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</si>
  <si>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</si>
  <si>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</si>
  <si>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</si>
  <si>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</si>
  <si>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</si>
  <si>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</si>
  <si>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</si>
  <si>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</si>
  <si>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</si>
  <si>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</si>
  <si>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</si>
  <si>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</si>
  <si>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</si>
  <si>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</si>
  <si>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</si>
  <si>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</si>
  <si>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</si>
  <si>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</si>
  <si>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</si>
  <si>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</si>
  <si>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</si>
  <si>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</si>
  <si>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</si>
  <si>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</si>
  <si>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</si>
  <si>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</si>
  <si>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</si>
  <si>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</si>
  <si>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</si>
  <si>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</si>
  <si>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</si>
  <si>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</si>
  <si>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</si>
  <si>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</si>
  <si>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</si>
  <si>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</si>
  <si>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</si>
  <si>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</si>
  <si>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</si>
  <si>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</si>
  <si>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</si>
  <si>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</si>
  <si>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</si>
  <si>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</si>
  <si>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</si>
  <si>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</si>
  <si>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</si>
  <si>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</si>
  <si>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</si>
  <si>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</si>
  <si>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</si>
  <si>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</si>
  <si>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</si>
  <si>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</si>
  <si>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</si>
  <si>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</si>
  <si>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</si>
  <si>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</si>
  <si>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</si>
  <si>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</si>
  <si>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</si>
  <si>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</si>
  <si>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</si>
  <si>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</si>
  <si>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</si>
  <si>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</si>
  <si>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</si>
  <si>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</si>
  <si>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</si>
  <si>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</si>
  <si>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</si>
  <si>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</si>
  <si>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</si>
  <si>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</si>
  <si>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</si>
  <si>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</si>
  <si>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</si>
  <si>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</si>
  <si>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</si>
  <si>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</si>
  <si>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</si>
  <si>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</si>
  <si>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</si>
  <si>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</si>
  <si>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</si>
  <si>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</si>
  <si>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</si>
  <si>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</si>
  <si>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</si>
  <si>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</si>
  <si>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</si>
  <si>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</si>
  <si>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</si>
  <si>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</si>
  <si>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</si>
  <si>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</si>
  <si>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</si>
  <si>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</si>
  <si>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</si>
  <si>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</si>
  <si>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</si>
  <si>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</si>
  <si>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</si>
  <si>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</si>
  <si>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</si>
  <si>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</si>
  <si>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</si>
  <si>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</si>
  <si>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</si>
  <si>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</si>
  <si>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</si>
  <si>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</si>
  <si>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</si>
  <si>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</si>
  <si>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</si>
  <si>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</si>
  <si>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</si>
  <si>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</si>
  <si>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</si>
  <si>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</si>
  <si>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</si>
  <si>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</si>
  <si>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</si>
  <si>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</si>
  <si>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</si>
  <si>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</si>
  <si>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</si>
  <si>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</si>
  <si>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</si>
  <si>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</si>
  <si>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</si>
  <si>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</si>
  <si>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</si>
  <si>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</si>
  <si>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</si>
  <si>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</si>
  <si>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</si>
  <si>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</si>
  <si>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</si>
  <si>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</si>
  <si>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</si>
  <si>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</si>
  <si>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</si>
  <si>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</si>
  <si>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</si>
  <si>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</si>
  <si>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</si>
  <si>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</si>
  <si>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</si>
  <si>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</si>
  <si>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</si>
  <si>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</si>
  <si>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</si>
  <si>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</si>
  <si>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</si>
  <si>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</si>
  <si>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</si>
  <si>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</si>
  <si>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</si>
  <si>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</si>
  <si>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</si>
  <si>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</si>
  <si>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</si>
  <si>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</si>
  <si>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</si>
  <si>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</si>
  <si>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</si>
  <si>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</si>
  <si>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</si>
  <si>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</si>
  <si>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</si>
  <si>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</si>
  <si>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</si>
  <si>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</si>
  <si>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</si>
  <si>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</si>
  <si>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</si>
  <si>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</si>
  <si>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</si>
  <si>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</si>
  <si>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</si>
  <si>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</si>
  <si>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</si>
  <si>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</si>
  <si>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</si>
  <si>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</si>
  <si>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</si>
  <si>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</si>
  <si>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</si>
  <si>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</si>
  <si>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</si>
  <si>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</si>
  <si>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</si>
  <si>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</si>
  <si>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</si>
  <si>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</si>
  <si>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</si>
  <si>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</si>
  <si>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</si>
  <si>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</si>
  <si>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</si>
  <si>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</si>
  <si>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</si>
  <si>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</si>
  <si>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</si>
  <si>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</si>
  <si>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</si>
  <si>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</si>
  <si>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</si>
  <si>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</si>
  <si>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</si>
  <si>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</si>
  <si>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</si>
  <si>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</si>
  <si>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</si>
  <si>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</si>
  <si>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</si>
  <si>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</si>
  <si>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</si>
  <si>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</si>
  <si>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</si>
  <si>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</si>
  <si>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</si>
  <si>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</si>
  <si>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</si>
  <si>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</si>
  <si>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</si>
  <si>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</si>
  <si>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</si>
  <si>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</si>
  <si>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</si>
  <si>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</si>
  <si>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</si>
  <si>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</si>
  <si>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</si>
  <si>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</si>
  <si>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</si>
  <si>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</si>
  <si>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</si>
  <si>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</si>
  <si>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</si>
  <si>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</si>
  <si>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</si>
  <si>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</si>
  <si>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</si>
  <si>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</si>
  <si>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</si>
  <si>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</si>
  <si>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</si>
  <si>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</si>
  <si>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</si>
  <si>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</si>
  <si>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</si>
  <si>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</si>
  <si>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</si>
  <si>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</si>
  <si>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</si>
  <si>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</si>
  <si>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</si>
  <si>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</si>
  <si>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</si>
  <si>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</si>
  <si>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</si>
  <si>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</si>
  <si>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</si>
  <si>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</si>
  <si>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</si>
  <si>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</si>
  <si>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</si>
  <si>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</si>
  <si>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</si>
  <si>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</si>
  <si>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</si>
  <si>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</si>
  <si>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</si>
  <si>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</si>
  <si>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</si>
  <si>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</si>
  <si>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</si>
  <si>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</si>
  <si>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</si>
  <si>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</si>
  <si>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</si>
  <si>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</si>
  <si>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</si>
  <si>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</si>
  <si>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</si>
  <si>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</si>
  <si>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</si>
  <si>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</si>
  <si>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</si>
  <si>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</si>
  <si>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</si>
  <si>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</si>
  <si>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</si>
  <si>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</si>
  <si>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</si>
  <si>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</si>
  <si>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</si>
  <si>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</si>
  <si>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</si>
  <si>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</si>
  <si>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</si>
  <si>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</si>
  <si>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</si>
  <si>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</si>
  <si>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</si>
  <si>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</si>
  <si>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</si>
  <si>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</si>
  <si>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</si>
  <si>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</si>
  <si>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</si>
  <si>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</si>
  <si>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</si>
  <si>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</si>
  <si>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</si>
  <si>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</si>
  <si>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</si>
  <si>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</si>
  <si>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</si>
  <si>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</si>
  <si>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</si>
  <si>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</si>
  <si>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</si>
  <si>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</si>
  <si>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</si>
  <si>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</si>
  <si>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</si>
  <si>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</si>
  <si>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</si>
  <si>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</si>
  <si>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</si>
  <si>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</si>
  <si>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</si>
  <si>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</si>
  <si>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</si>
  <si>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</si>
  <si>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</si>
  <si>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</si>
  <si>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</si>
  <si>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</si>
  <si>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</si>
  <si>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</si>
  <si>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</si>
  <si>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</si>
  <si>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</si>
  <si>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</si>
  <si>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</si>
  <si>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</si>
  <si>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</si>
  <si>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</si>
  <si>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</si>
  <si>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</si>
  <si>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</si>
  <si>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</si>
  <si>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</si>
  <si>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</si>
  <si>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</si>
  <si>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</si>
  <si>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</si>
  <si>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</si>
  <si>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</si>
  <si>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</si>
  <si>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</si>
  <si>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</si>
  <si>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</si>
  <si>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</si>
  <si>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</si>
  <si>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</si>
  <si>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</si>
  <si>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</si>
  <si>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</si>
  <si>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</si>
  <si>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</si>
  <si>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</si>
  <si>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</si>
  <si>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</si>
  <si>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</si>
  <si>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</si>
  <si>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</si>
  <si>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</si>
  <si>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</si>
  <si>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</si>
  <si>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</si>
  <si>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</si>
  <si>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</si>
  <si>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</si>
  <si>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</si>
  <si>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</si>
  <si>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</si>
  <si>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</si>
  <si>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</si>
  <si>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</si>
  <si>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</si>
  <si>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</si>
  <si>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</si>
  <si>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</si>
  <si>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</si>
  <si>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</si>
  <si>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</si>
  <si>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</si>
  <si>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</si>
  <si>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</si>
  <si>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</si>
  <si>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</si>
  <si>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</si>
  <si>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</si>
  <si>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</si>
  <si>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</si>
  <si>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</si>
  <si>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</si>
  <si>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</si>
  <si>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</si>
  <si>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</si>
  <si>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</si>
  <si>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</si>
  <si>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</si>
  <si>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</si>
  <si>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</si>
  <si>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</si>
  <si>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</si>
  <si>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</si>
  <si>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</si>
  <si>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</si>
  <si>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</si>
  <si>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</si>
  <si>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</si>
  <si>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</si>
  <si>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</si>
  <si>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</si>
  <si>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</si>
  <si>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</si>
  <si>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</si>
  <si>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</si>
  <si>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</si>
  <si>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</si>
  <si>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</si>
  <si>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</si>
  <si>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</si>
  <si>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</si>
  <si>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</si>
  <si>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</si>
  <si>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</si>
  <si>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</si>
  <si>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</si>
  <si>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</si>
  <si>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</si>
  <si>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</si>
  <si>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</si>
  <si>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</si>
  <si>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</si>
  <si>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</si>
  <si>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</si>
  <si>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</si>
  <si>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</si>
  <si>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</si>
  <si>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</si>
  <si>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</si>
  <si>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</si>
  <si>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</si>
  <si>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</si>
  <si>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</si>
  <si>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</si>
  <si>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</si>
  <si>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</si>
  <si>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</si>
  <si>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</si>
  <si>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</si>
  <si>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</si>
  <si>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</si>
  <si>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</si>
  <si>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</si>
  <si>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</si>
  <si>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</si>
  <si>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</si>
  <si>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</si>
  <si>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</si>
  <si>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</si>
  <si>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</si>
  <si>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</si>
  <si>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</si>
  <si>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</si>
  <si>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</si>
  <si>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</si>
  <si>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</si>
  <si>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</si>
  <si>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</si>
  <si>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</si>
  <si>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</si>
  <si>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</si>
  <si>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</si>
  <si>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</si>
  <si>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</si>
  <si>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</si>
  <si>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</si>
  <si>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</si>
  <si>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</si>
  <si>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</si>
  <si>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</si>
  <si>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</si>
  <si>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</si>
  <si>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</si>
  <si>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</si>
  <si>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</si>
  <si>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</si>
  <si>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</si>
  <si>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</si>
  <si>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</si>
  <si>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</si>
  <si>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</si>
  <si>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</si>
  <si>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</si>
  <si>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</si>
  <si>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</si>
  <si>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</si>
  <si>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</si>
  <si>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</si>
  <si>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</si>
  <si>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</si>
  <si>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</si>
  <si>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</si>
  <si>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</si>
  <si>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</si>
  <si>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</si>
  <si>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</si>
  <si>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</si>
  <si>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</si>
  <si>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</si>
  <si>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</si>
  <si>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</si>
  <si>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</si>
  <si>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</si>
  <si>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</si>
  <si>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</si>
  <si>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</si>
  <si>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</si>
  <si>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</si>
  <si>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</si>
  <si>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</si>
  <si>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</si>
  <si>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</si>
  <si>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</si>
  <si>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</si>
  <si>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</si>
  <si>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</si>
  <si>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</si>
  <si>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</si>
  <si>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</si>
  <si>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</si>
  <si>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</si>
  <si>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</si>
  <si>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</si>
  <si>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</si>
  <si>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</si>
  <si>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</si>
  <si>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</si>
  <si>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</si>
  <si>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</si>
  <si>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</si>
  <si>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</si>
  <si>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</si>
  <si>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</si>
  <si>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</si>
  <si>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</si>
  <si>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</si>
  <si>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</si>
  <si>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</si>
  <si>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</si>
  <si>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</si>
  <si>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</si>
  <si>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</si>
  <si>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</si>
  <si>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</si>
  <si>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</si>
  <si>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</si>
  <si>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</si>
  <si>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</si>
  <si>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</si>
  <si>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</si>
  <si>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</si>
  <si>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</si>
  <si>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</si>
  <si>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</si>
  <si>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</si>
  <si>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</si>
  <si>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</si>
  <si>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</si>
  <si>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</si>
  <si>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</si>
  <si>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</si>
  <si>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</si>
  <si>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</si>
  <si>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</si>
  <si>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</si>
  <si>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</si>
  <si>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</si>
  <si>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</si>
  <si>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</si>
  <si>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</si>
  <si>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</si>
  <si>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</si>
  <si>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</si>
  <si>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</si>
  <si>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</si>
  <si>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</si>
  <si>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</si>
  <si>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</si>
  <si>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</si>
  <si>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</si>
  <si>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</si>
  <si>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</si>
  <si>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</si>
  <si>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</si>
  <si>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</si>
  <si>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</si>
  <si>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</si>
  <si>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</si>
  <si>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</si>
  <si>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</si>
  <si>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</si>
  <si>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</si>
  <si>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</si>
  <si>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</si>
  <si>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</si>
  <si>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</si>
  <si>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</si>
  <si>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</si>
  <si>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</si>
  <si>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</si>
  <si>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</si>
  <si>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</si>
  <si>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</si>
  <si>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</si>
  <si>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</si>
  <si>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</si>
  <si>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</si>
  <si>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</si>
  <si>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</si>
  <si>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</si>
  <si>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</si>
  <si>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</si>
  <si>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</si>
  <si>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</si>
  <si>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</si>
  <si>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</si>
  <si>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</si>
  <si>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</si>
  <si>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</si>
  <si>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</si>
  <si>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</si>
  <si>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</si>
  <si>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</si>
  <si>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</si>
  <si>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</si>
  <si>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</si>
  <si>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</si>
  <si>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</si>
  <si>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</si>
  <si>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</si>
  <si>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</si>
  <si>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</si>
  <si>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</si>
  <si>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</si>
  <si>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</si>
  <si>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</si>
  <si>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</si>
  <si>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</si>
  <si>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</si>
  <si>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</si>
  <si>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</si>
  <si>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</si>
  <si>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</si>
  <si>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</si>
  <si>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</si>
  <si>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</si>
  <si>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</si>
  <si>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</si>
  <si>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</si>
  <si>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</si>
  <si>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</si>
  <si>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</si>
  <si>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</si>
  <si>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</si>
  <si>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</si>
  <si>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</si>
  <si>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</si>
  <si>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</si>
  <si>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</si>
  <si>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</si>
  <si>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</si>
  <si>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</si>
  <si>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</si>
  <si>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</si>
  <si>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</si>
  <si>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</si>
  <si>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</si>
  <si>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</si>
  <si>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</si>
  <si>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</si>
  <si>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</si>
  <si>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</si>
  <si>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</si>
  <si>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</si>
  <si>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</si>
  <si>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</si>
  <si>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</si>
  <si>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</si>
  <si>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</si>
  <si>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</si>
  <si>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</si>
  <si>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</si>
  <si>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</si>
  <si>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</si>
  <si>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</si>
  <si>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</si>
  <si>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</si>
  <si>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</si>
  <si>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</si>
  <si>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</si>
  <si>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</si>
  <si>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</si>
  <si>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</si>
  <si>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</si>
  <si>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</si>
  <si>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</si>
  <si>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</si>
  <si>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</si>
  <si>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</si>
  <si>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</si>
  <si>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</si>
  <si>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</si>
  <si>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</si>
  <si>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</si>
  <si>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</si>
  <si>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</si>
  <si>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</si>
  <si>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</si>
  <si>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</si>
  <si>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</si>
  <si>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</si>
  <si>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</si>
  <si>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</si>
  <si>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</si>
  <si>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</si>
  <si>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</si>
  <si>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</si>
  <si>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</si>
  <si>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</si>
  <si>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</si>
  <si>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</si>
  <si>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</si>
  <si>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</si>
  <si>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</si>
  <si>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</si>
  <si>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</si>
  <si>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</si>
  <si>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</si>
  <si>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</si>
  <si>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</si>
  <si>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</si>
  <si>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</si>
  <si>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</si>
  <si>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</si>
  <si>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</si>
  <si>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</si>
  <si>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</si>
  <si>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</si>
  <si>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</si>
  <si>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</si>
  <si>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</si>
  <si>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</si>
  <si>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</si>
  <si>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</si>
  <si>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</si>
  <si>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</si>
  <si>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</si>
  <si>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</si>
  <si>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</si>
  <si>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</si>
  <si>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</si>
  <si>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</si>
  <si>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</si>
  <si>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</si>
  <si>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</si>
  <si>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</si>
  <si>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</si>
  <si>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</si>
  <si>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</si>
  <si>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</si>
  <si>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</si>
  <si>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</si>
  <si>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</si>
  <si>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</si>
  <si>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</si>
  <si>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</si>
  <si>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</si>
  <si>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</si>
  <si>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</si>
  <si>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</si>
  <si>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</si>
  <si>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</si>
  <si>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</si>
  <si>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</si>
  <si>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</si>
  <si>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</si>
  <si>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</si>
  <si>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</si>
  <si>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</si>
  <si>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</si>
  <si>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</si>
  <si>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</si>
  <si>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</si>
  <si>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</si>
  <si>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</si>
  <si>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</si>
  <si>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</si>
  <si>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</si>
  <si>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</si>
  <si>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</si>
  <si>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</si>
  <si>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</si>
  <si>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</si>
  <si>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</si>
  <si>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</si>
  <si>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</si>
  <si>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</si>
  <si>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</si>
  <si>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</si>
  <si>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</si>
  <si>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</si>
  <si>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</si>
  <si>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</si>
  <si>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</si>
  <si>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</si>
  <si>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</si>
  <si>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</si>
  <si>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</si>
  <si>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</si>
  <si>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</si>
  <si>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</si>
  <si>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</si>
  <si>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</si>
  <si>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</si>
  <si>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</si>
  <si>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</si>
  <si>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</si>
  <si>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</si>
  <si>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</si>
  <si>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</si>
  <si>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</si>
  <si>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</si>
  <si>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</si>
  <si>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</si>
  <si>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</si>
  <si>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</si>
  <si>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</si>
  <si>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</si>
  <si>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</si>
  <si>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</si>
  <si>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</si>
  <si>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</si>
  <si>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</si>
  <si>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</si>
  <si>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</si>
  <si>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</si>
  <si>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</si>
  <si>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</si>
  <si>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</si>
  <si>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</si>
  <si>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</si>
  <si>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</si>
  <si>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</si>
  <si>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</si>
  <si>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</si>
  <si>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</si>
  <si>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</si>
  <si>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</si>
  <si>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</si>
  <si>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</si>
  <si>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</si>
  <si>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</si>
  <si>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</si>
  <si>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</si>
  <si>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</si>
  <si>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</si>
  <si>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</si>
  <si>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</si>
  <si>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</si>
  <si>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</si>
  <si>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</si>
  <si>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</si>
  <si>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</si>
  <si>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</si>
  <si>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</si>
  <si>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</si>
  <si>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</si>
  <si>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</si>
  <si>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</si>
  <si>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</si>
  <si>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</si>
  <si>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</si>
  <si>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</si>
  <si>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</si>
  <si>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</si>
  <si>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</si>
  <si>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</si>
  <si>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</si>
  <si>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</si>
  <si>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</si>
  <si>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</si>
  <si>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</si>
  <si>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</si>
  <si>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</si>
  <si>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</si>
  <si>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</si>
  <si>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</si>
  <si>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</si>
  <si>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</si>
  <si>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</si>
  <si>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</si>
  <si>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</si>
  <si>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</si>
  <si>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</si>
  <si>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</si>
  <si>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</si>
  <si>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</si>
  <si>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</si>
  <si>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</si>
  <si>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</si>
  <si>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</si>
  <si>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</si>
  <si>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</si>
  <si>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</si>
  <si>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</si>
  <si>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</si>
  <si>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</si>
  <si>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</si>
  <si>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</si>
  <si>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</si>
  <si>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</si>
  <si>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</si>
  <si>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</si>
  <si>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</si>
  <si>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</si>
  <si>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</si>
  <si>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</si>
  <si>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</si>
  <si>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</si>
  <si>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</si>
  <si>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</si>
  <si>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</si>
  <si>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</si>
  <si>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</si>
  <si>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</si>
  <si>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</si>
  <si>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</si>
  <si>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</si>
  <si>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</si>
  <si>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</si>
  <si>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</si>
  <si>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</si>
  <si>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</si>
  <si>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</si>
  <si>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</si>
  <si>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</si>
  <si>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</si>
  <si>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</si>
  <si>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</si>
  <si>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</si>
  <si>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</si>
  <si>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</si>
  <si>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</si>
  <si>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</si>
  <si>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</si>
  <si>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</si>
  <si>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</si>
  <si>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</si>
  <si>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</si>
  <si>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</si>
  <si>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</si>
  <si>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</si>
  <si>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</si>
  <si>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</si>
  <si>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</si>
  <si>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</si>
  <si>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</si>
  <si>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</si>
  <si>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</si>
  <si>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</si>
  <si>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</si>
  <si>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</si>
  <si>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</si>
  <si>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</si>
  <si>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</si>
  <si>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</si>
  <si>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</si>
  <si>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</si>
  <si>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</si>
  <si>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</si>
  <si>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</si>
  <si>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</si>
  <si>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</si>
  <si>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</si>
  <si>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</si>
  <si>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</si>
  <si>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</si>
  <si>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</si>
  <si>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</si>
  <si>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</si>
  <si>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</si>
  <si>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</si>
  <si>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</si>
  <si>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</si>
  <si>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</si>
  <si>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</si>
  <si>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</si>
  <si>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</si>
  <si>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</si>
  <si>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</si>
  <si>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</si>
  <si>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</si>
  <si>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</si>
  <si>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</si>
  <si>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</si>
  <si>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</si>
  <si>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</si>
  <si>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</si>
  <si>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</si>
  <si>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</si>
  <si>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</si>
  <si>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</si>
  <si>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</si>
  <si>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</si>
  <si>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</si>
  <si>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</si>
  <si>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</si>
  <si>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</si>
  <si>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</si>
  <si>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</si>
  <si>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</si>
  <si>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</si>
  <si>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</si>
  <si>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</si>
  <si>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</si>
  <si>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</si>
  <si>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</si>
  <si>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</si>
  <si>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</si>
  <si>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</si>
  <si>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</si>
  <si>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</si>
  <si>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</si>
  <si>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</si>
  <si>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</si>
  <si>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</si>
  <si>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</si>
  <si>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</si>
  <si>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</si>
  <si>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</si>
  <si>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</si>
  <si>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</si>
  <si>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</si>
  <si>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</si>
  <si>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</si>
  <si>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</si>
  <si>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</si>
  <si>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</si>
  <si>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</si>
  <si>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</si>
  <si>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</si>
  <si>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</si>
  <si>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</si>
  <si>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</si>
  <si>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</si>
  <si>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</si>
  <si>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</si>
  <si>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</si>
  <si>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</si>
  <si>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</si>
  <si>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</si>
  <si>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</si>
  <si>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</si>
  <si>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</si>
  <si>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</si>
  <si>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</si>
  <si>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</si>
  <si>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</si>
  <si>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</si>
  <si>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</si>
  <si>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</si>
  <si>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</si>
  <si>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</si>
  <si>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</si>
  <si>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</si>
  <si>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</si>
  <si>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</si>
  <si>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</si>
  <si>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</si>
  <si>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</si>
  <si>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</si>
  <si>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</si>
  <si>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</si>
  <si>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</si>
  <si>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</si>
  <si>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</si>
  <si>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</si>
  <si>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</si>
  <si>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</si>
  <si>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</si>
  <si>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</si>
  <si>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</si>
  <si>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</si>
  <si>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</si>
  <si>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</si>
  <si>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</si>
  <si>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</si>
  <si>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</si>
  <si>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</si>
  <si>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</si>
  <si>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</si>
  <si>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</si>
  <si>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</si>
  <si>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</si>
  <si>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</si>
  <si>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</si>
  <si>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</si>
  <si>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</si>
  <si>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</si>
  <si>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</si>
  <si>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</si>
  <si>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</si>
  <si>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</si>
  <si>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</si>
  <si>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</si>
  <si>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</si>
  <si>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</si>
  <si>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</si>
  <si>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</si>
  <si>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</si>
  <si>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</si>
  <si>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</si>
  <si>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</si>
  <si>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</si>
  <si>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</si>
  <si>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</si>
  <si>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</si>
  <si>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</si>
  <si>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</si>
  <si>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</si>
  <si>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</si>
  <si>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</si>
  <si>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</si>
  <si>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</si>
  <si>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</si>
  <si>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</si>
  <si>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</si>
  <si>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</si>
  <si>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</si>
  <si>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</si>
  <si>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</si>
  <si>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</si>
  <si>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</si>
  <si>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</si>
  <si>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</si>
  <si>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</si>
  <si>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</si>
  <si>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</si>
  <si>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</si>
  <si>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</si>
  <si>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</si>
  <si>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</si>
  <si>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</si>
  <si>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</si>
  <si>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</si>
  <si>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</si>
  <si>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</si>
  <si>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</si>
  <si>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</si>
  <si>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</si>
  <si>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</si>
  <si>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</si>
  <si>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</si>
  <si>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</si>
  <si>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</si>
  <si>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</si>
  <si>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</si>
  <si>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</si>
  <si>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</si>
  <si>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</si>
  <si>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</si>
  <si>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</si>
  <si>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</si>
  <si>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</si>
  <si>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</si>
  <si>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</si>
  <si>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</si>
  <si>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</si>
  <si>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</si>
  <si>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</si>
  <si>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</si>
  <si>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</si>
  <si>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</si>
  <si>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</si>
  <si>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</si>
  <si>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</si>
  <si>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</si>
  <si>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</si>
  <si>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</si>
  <si>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</si>
  <si>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</si>
  <si>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</si>
  <si>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</si>
  <si>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</si>
  <si>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</si>
  <si>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</si>
  <si>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</si>
  <si>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</si>
  <si>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</si>
  <si>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</si>
  <si>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</si>
  <si>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</si>
  <si>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</si>
  <si>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</si>
  <si>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</si>
  <si>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</si>
  <si>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</si>
  <si>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</si>
  <si>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</si>
  <si>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</si>
  <si>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</si>
  <si>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</si>
  <si>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</si>
  <si>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</si>
  <si>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</si>
  <si>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</si>
  <si>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</si>
  <si>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</si>
  <si>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</si>
  <si>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</si>
  <si>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</si>
  <si>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</si>
  <si>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</si>
  <si>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</si>
  <si>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</si>
  <si>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</si>
  <si>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</si>
  <si>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</si>
  <si>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</si>
  <si>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</si>
  <si>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</si>
  <si>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</si>
  <si>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</si>
  <si>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</si>
  <si>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</si>
  <si>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</si>
  <si>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</si>
  <si>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</si>
  <si>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</si>
  <si>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</si>
  <si>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</si>
  <si>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</si>
  <si>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</si>
  <si>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</si>
  <si>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</si>
  <si>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</si>
  <si>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</si>
  <si>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</si>
  <si>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</si>
  <si>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</si>
  <si>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</si>
  <si>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</si>
  <si>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</si>
  <si>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</si>
  <si>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</si>
  <si>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</si>
  <si>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</si>
  <si>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</si>
  <si>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</si>
  <si>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</si>
  <si>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</si>
  <si>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</si>
  <si>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</si>
  <si>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</si>
  <si>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</si>
  <si>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</si>
  <si>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</si>
  <si>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</si>
  <si>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</si>
  <si>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</si>
  <si>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</si>
  <si>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</si>
  <si>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</si>
  <si>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</si>
  <si>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</si>
  <si>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</si>
  <si>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</si>
  <si>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</si>
  <si>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</si>
  <si>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</si>
  <si>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</si>
  <si>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</si>
  <si>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</si>
  <si>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</si>
  <si>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</si>
  <si>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</si>
  <si>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</si>
  <si>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</si>
  <si>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</si>
  <si>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</si>
  <si>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</si>
  <si>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</si>
  <si>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</si>
  <si>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</si>
  <si>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</si>
  <si>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</si>
  <si>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</si>
  <si>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</si>
  <si>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</si>
  <si>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</si>
  <si>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</si>
  <si>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</si>
  <si>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</si>
  <si>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</si>
  <si>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</si>
  <si>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</si>
  <si>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</si>
  <si>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</si>
  <si>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</si>
  <si>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</si>
  <si>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</si>
  <si>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</si>
  <si>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</si>
  <si>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</si>
  <si>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</si>
  <si>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</si>
  <si>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</si>
  <si>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</si>
  <si>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</si>
  <si>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</si>
  <si>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</si>
  <si>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</si>
  <si>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</si>
  <si>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</si>
  <si>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</si>
  <si>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</si>
  <si>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</si>
  <si>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</si>
  <si>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</si>
  <si>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</si>
  <si>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</si>
  <si>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</si>
  <si>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</si>
  <si>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</si>
  <si>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</si>
  <si>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</si>
  <si>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</si>
  <si>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</si>
  <si>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</si>
  <si>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</si>
  <si>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</si>
  <si>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</si>
  <si>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</si>
  <si>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</si>
  <si>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</si>
  <si>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</si>
  <si>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</si>
  <si>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</si>
  <si>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</si>
  <si>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</si>
  <si>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</si>
  <si>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</si>
  <si>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</si>
  <si>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</si>
  <si>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</si>
  <si>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</si>
  <si>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</si>
  <si>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</si>
  <si>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</si>
  <si>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</si>
  <si>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</si>
  <si>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</si>
  <si>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</si>
  <si>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</si>
  <si>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</si>
  <si>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</si>
  <si>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</si>
  <si>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</si>
  <si>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</si>
  <si>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</si>
  <si>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</si>
  <si>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</si>
  <si>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</si>
  <si>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</si>
  <si>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</si>
  <si>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</si>
  <si>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</si>
  <si>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</si>
  <si>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</si>
  <si>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</si>
  <si>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</si>
  <si>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</si>
  <si>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</si>
  <si>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</si>
  <si>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</si>
  <si>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</si>
  <si>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</si>
  <si>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</si>
  <si>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</si>
  <si>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</si>
  <si>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</si>
  <si>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</si>
  <si>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</si>
  <si>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</si>
  <si>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</si>
  <si>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</si>
  <si>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</si>
  <si>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</si>
  <si>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</si>
  <si>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</si>
  <si>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</si>
  <si>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</si>
  <si>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</si>
  <si>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</si>
  <si>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</si>
  <si>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</si>
  <si>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</si>
  <si>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</si>
  <si>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</si>
  <si>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</si>
  <si>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</si>
  <si>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</si>
  <si>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</si>
  <si>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</si>
  <si>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</si>
  <si>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</si>
  <si>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</si>
  <si>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</si>
  <si>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</si>
  <si>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</si>
  <si>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</si>
  <si>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</si>
  <si>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</si>
  <si>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</si>
  <si>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</si>
  <si>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</si>
  <si>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</si>
  <si>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</si>
  <si>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</si>
  <si>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</si>
  <si>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</si>
  <si>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</si>
  <si>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</si>
  <si>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</si>
  <si>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</si>
  <si>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</si>
  <si>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</si>
  <si>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</si>
  <si>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</si>
  <si>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</si>
  <si>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</si>
  <si>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</si>
  <si>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</si>
  <si>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</si>
  <si>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</si>
  <si>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</si>
  <si>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</si>
  <si>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</si>
  <si>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</si>
  <si>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</si>
  <si>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</si>
  <si>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</si>
  <si>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</si>
  <si>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</si>
  <si>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</si>
  <si>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</si>
  <si>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</si>
  <si>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</si>
  <si>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</si>
  <si>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</si>
  <si>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</si>
  <si>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</si>
  <si>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</si>
  <si>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</si>
  <si>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</si>
  <si>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</si>
  <si>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</si>
  <si>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</si>
  <si>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</si>
  <si>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</si>
  <si>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</si>
  <si>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</si>
  <si>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</si>
  <si>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</si>
  <si>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</si>
  <si>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</si>
  <si>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</si>
  <si>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</si>
  <si>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</si>
  <si>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</si>
  <si>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</si>
  <si>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</si>
  <si>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</si>
  <si>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</si>
  <si>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</si>
  <si>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</si>
  <si>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</si>
  <si>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</si>
  <si>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</si>
  <si>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</si>
  <si>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</si>
  <si>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</si>
  <si>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</si>
  <si>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</si>
  <si>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</si>
  <si>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</si>
  <si>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</si>
  <si>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</si>
  <si>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</si>
  <si>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</si>
  <si>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</si>
  <si>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</si>
  <si>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</si>
  <si>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</si>
  <si>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</si>
  <si>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</si>
  <si>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</si>
  <si>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</si>
  <si>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</si>
  <si>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</si>
  <si>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</si>
  <si>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</si>
  <si>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</si>
  <si>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</si>
  <si>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</si>
  <si>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</si>
  <si>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</si>
  <si>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</si>
  <si>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</si>
  <si>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</si>
  <si>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</si>
  <si>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</si>
  <si>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</si>
  <si>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</si>
  <si>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</si>
  <si>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</si>
  <si>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</si>
  <si>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</si>
  <si>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</si>
  <si>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</si>
  <si>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</si>
  <si>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</si>
  <si>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</si>
  <si>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</si>
  <si>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</si>
  <si>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</si>
  <si>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</si>
  <si>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</si>
  <si>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</si>
  <si>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</si>
  <si>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</si>
  <si>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</si>
  <si>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</si>
  <si>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</si>
  <si>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</si>
  <si>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</si>
  <si>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</si>
  <si>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</si>
  <si>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</si>
  <si>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</si>
  <si>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</si>
  <si>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</si>
  <si>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</si>
  <si>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</si>
  <si>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</si>
  <si>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</si>
  <si>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</si>
  <si>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</si>
  <si>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</si>
  <si>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</si>
  <si>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</si>
  <si>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</si>
  <si>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</si>
  <si>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</si>
  <si>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</si>
  <si>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</si>
  <si>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</si>
  <si>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</si>
  <si>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</si>
  <si>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</si>
  <si>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</si>
  <si>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</si>
  <si>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</si>
  <si>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</si>
  <si>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</si>
  <si>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</si>
  <si>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</si>
  <si>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</si>
  <si>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</si>
  <si>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</si>
  <si>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</si>
  <si>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</si>
  <si>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</si>
  <si>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</si>
  <si>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</si>
  <si>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</si>
  <si>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</si>
  <si>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</si>
  <si>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</si>
  <si>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</si>
  <si>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</si>
  <si>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</si>
  <si>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</si>
  <si>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</si>
  <si>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</si>
  <si>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</si>
  <si>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</si>
  <si>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</si>
  <si>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</si>
  <si>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</si>
  <si>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</si>
  <si>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</si>
  <si>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</si>
  <si>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</si>
  <si>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</si>
  <si>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</si>
  <si>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</si>
  <si>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</si>
  <si>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</si>
  <si>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</si>
  <si>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</si>
  <si>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</si>
  <si>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</si>
  <si>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</si>
  <si>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</si>
  <si>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</si>
  <si>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</si>
  <si>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</si>
  <si>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</si>
  <si>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</si>
  <si>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</si>
  <si>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</si>
  <si>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</si>
  <si>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</si>
  <si>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</si>
  <si>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</si>
  <si>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</si>
  <si>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</si>
  <si>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</si>
  <si>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</si>
  <si>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</si>
  <si>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</si>
  <si>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</si>
  <si>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</si>
  <si>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</si>
  <si>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</si>
  <si>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</si>
  <si>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</si>
  <si>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</si>
  <si>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</si>
  <si>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</si>
  <si>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</si>
  <si>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</si>
  <si>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</si>
  <si>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</si>
  <si>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Return On Equity</t>
  </si>
  <si>
    <t>Return On Equity(ROE)</t>
  </si>
  <si>
    <t>Average Shareholder Equity</t>
  </si>
  <si>
    <t>Net Profit Margin(A)</t>
  </si>
  <si>
    <t>Average Total Assets</t>
  </si>
  <si>
    <t>Asset Turnover Ratio(B)</t>
  </si>
  <si>
    <t>Financial Leverage(C)</t>
  </si>
  <si>
    <t>Return On Equity(A*B*C)</t>
  </si>
  <si>
    <t>Return On Asset(ROA)</t>
  </si>
  <si>
    <t>Return On Asset</t>
  </si>
  <si>
    <t>Return On Asset(A*B)</t>
  </si>
  <si>
    <t>Financial Summary</t>
  </si>
  <si>
    <t>ROE - Dupont Equation</t>
  </si>
  <si>
    <t>ROA - Dupont Analysis</t>
  </si>
  <si>
    <t>Altman's Z Score Analysis</t>
  </si>
  <si>
    <t>Working Capital/Total Assets</t>
  </si>
  <si>
    <t xml:space="preserve">Working Capital </t>
  </si>
  <si>
    <t>Retained Earnings/Total Assets</t>
  </si>
  <si>
    <t>EBIT/Total Assets</t>
  </si>
  <si>
    <t>Market cap/Long Term Liabilities</t>
  </si>
  <si>
    <t xml:space="preserve">Market Cap </t>
  </si>
  <si>
    <t>Long Term Liability</t>
  </si>
  <si>
    <t>Sales/Total Assets</t>
  </si>
  <si>
    <t xml:space="preserve">Sales </t>
  </si>
  <si>
    <t>Working Capital/Total Assets(A)</t>
  </si>
  <si>
    <t>Retained Earnings/Total Assets(B)</t>
  </si>
  <si>
    <t>EBIT/Total Assets(C)</t>
  </si>
  <si>
    <t>Market cap/Long Term Liabilities(D)</t>
  </si>
  <si>
    <t>Sales/Total Assets(E)</t>
  </si>
  <si>
    <t>Altman's Z Score</t>
  </si>
  <si>
    <t>Final Score</t>
  </si>
  <si>
    <t>Financial Stability</t>
  </si>
  <si>
    <t>Loans Advances</t>
  </si>
  <si>
    <t>Larsen &amp; Toubro Limited (L&amp;T) is an Indian multinational conglomerate headquartered in Mumbai. It operates in sectors including industrial technology, heavy industry, engineering, construction, manufacturing, power, information technology, defence, and financial services.
L&amp;T was founded in 1938 in Bombay by Danish engineers Henning Holck-Larsen and Søren Kristian Toubro. As of 31 March 2022, the L&amp;T Group consisted of 93 subsidiaries, 5 associate companies, 27 joint ventures, and 35 joint operations. As of 1 October 2023, S N Subrahmanyan serves as the chairman and managing director of L&amp;T, having succeeded A M Naik.</t>
  </si>
  <si>
    <t>Rail Vikas</t>
  </si>
  <si>
    <t>IRB Infra.Devl.</t>
  </si>
  <si>
    <t>Cemindia Project</t>
  </si>
  <si>
    <t>Kalpataru Proj.</t>
  </si>
  <si>
    <t>Larsen &amp; Tourbo</t>
  </si>
  <si>
    <t>Preference Capital</t>
  </si>
  <si>
    <t>Ships Vessels</t>
  </si>
  <si>
    <t>Computers</t>
  </si>
  <si>
    <t>Railway sidings</t>
  </si>
  <si>
    <t>Borrowings -</t>
  </si>
  <si>
    <t>Other Liabilities -</t>
  </si>
  <si>
    <t>Fixed Assets -</t>
  </si>
  <si>
    <t>Other Assets -</t>
  </si>
  <si>
    <t>Trade receivables +</t>
  </si>
  <si>
    <t>Cash from Operating Activity -</t>
  </si>
  <si>
    <t>Cash from Investing Activity -</t>
  </si>
  <si>
    <t>Investment in group cos</t>
  </si>
  <si>
    <t>Cash from Financing Activity -</t>
  </si>
  <si>
    <t>Proceeds from shares</t>
  </si>
  <si>
    <t>Free Cash Flow</t>
  </si>
  <si>
    <t>CFO/OP</t>
  </si>
  <si>
    <t xml:space="preserve">10 Year -Daily </t>
  </si>
  <si>
    <t>07/30/2026</t>
  </si>
  <si>
    <t>07/29/2026</t>
  </si>
  <si>
    <t>07/28/2026</t>
  </si>
  <si>
    <t>07/27/2026</t>
  </si>
  <si>
    <t>07/24/2026</t>
  </si>
  <si>
    <t>07/23/2026</t>
  </si>
  <si>
    <t>07/22/2026</t>
  </si>
  <si>
    <t>07/21/2026</t>
  </si>
  <si>
    <t>07/20/2026</t>
  </si>
  <si>
    <t>07/17/2026</t>
  </si>
  <si>
    <t>07/16/2026</t>
  </si>
  <si>
    <t>07/15/2026</t>
  </si>
  <si>
    <t>07/14/2026</t>
  </si>
  <si>
    <t>07/13/2026</t>
  </si>
  <si>
    <t>06/30/2026</t>
  </si>
  <si>
    <t>06/29/2026</t>
  </si>
  <si>
    <t>06/25/2026</t>
  </si>
  <si>
    <t>06/24/2026</t>
  </si>
  <si>
    <t>06/23/2026</t>
  </si>
  <si>
    <t>06/22/2026</t>
  </si>
  <si>
    <t>06/19/2026</t>
  </si>
  <si>
    <t>06/18/2026</t>
  </si>
  <si>
    <t>06/17/2026</t>
  </si>
  <si>
    <t>06/16/2026</t>
  </si>
  <si>
    <t>06/15/2026</t>
  </si>
  <si>
    <t>05/29/2026</t>
  </si>
  <si>
    <t>05/27/2026</t>
  </si>
  <si>
    <t>05/26/2026</t>
  </si>
  <si>
    <t>05/25/2026</t>
  </si>
  <si>
    <t>05/22/2026</t>
  </si>
  <si>
    <t>05/21/2026</t>
  </si>
  <si>
    <t>05/20/2026</t>
  </si>
  <si>
    <t>05/19/2026</t>
  </si>
  <si>
    <t>05/18/2026</t>
  </si>
  <si>
    <t>05/15/2026</t>
  </si>
  <si>
    <t>05/14/2026</t>
  </si>
  <si>
    <t>05/13/2026</t>
  </si>
  <si>
    <t>04/30/2026</t>
  </si>
  <si>
    <t>04/29/2026</t>
  </si>
  <si>
    <t>04/28/2026</t>
  </si>
  <si>
    <t>04/27/2026</t>
  </si>
  <si>
    <t>04/24/2026</t>
  </si>
  <si>
    <t>04/23/2026</t>
  </si>
  <si>
    <t>04/22/2026</t>
  </si>
  <si>
    <t>04/21/2026</t>
  </si>
  <si>
    <t>04/20/2026</t>
  </si>
  <si>
    <t>04/17/2026</t>
  </si>
  <si>
    <t>04/16/2026</t>
  </si>
  <si>
    <t>04/15/2026</t>
  </si>
  <si>
    <t>04/13/2026</t>
  </si>
  <si>
    <t>03/30/2026</t>
  </si>
  <si>
    <t>03/27/2026</t>
  </si>
  <si>
    <t>03/25/2026</t>
  </si>
  <si>
    <t>03/24/2026</t>
  </si>
  <si>
    <t>03/23/2026</t>
  </si>
  <si>
    <t>03/20/2026</t>
  </si>
  <si>
    <t>03/19/2026</t>
  </si>
  <si>
    <t>03/18/2026</t>
  </si>
  <si>
    <t>03/17/2026</t>
  </si>
  <si>
    <t>03/16/2026</t>
  </si>
  <si>
    <t>03/13/2026</t>
  </si>
  <si>
    <t>02/27/2026</t>
  </si>
  <si>
    <t>02/26/2026</t>
  </si>
  <si>
    <t>02/25/2026</t>
  </si>
  <si>
    <t>02/24/2026</t>
  </si>
  <si>
    <t>02/23/2026</t>
  </si>
  <si>
    <t>02/20/2026</t>
  </si>
  <si>
    <t>02/19/2026</t>
  </si>
  <si>
    <t>02/18/2026</t>
  </si>
  <si>
    <t>02/17/2026</t>
  </si>
  <si>
    <t>02/16/2026</t>
  </si>
  <si>
    <t>02/13/2026</t>
  </si>
  <si>
    <t>01/30/2026</t>
  </si>
  <si>
    <t>01/29/2026</t>
  </si>
  <si>
    <t>01/28/2026</t>
  </si>
  <si>
    <t>01/27/2026</t>
  </si>
  <si>
    <t>01/23/2026</t>
  </si>
  <si>
    <t>01/22/2026</t>
  </si>
  <si>
    <t>01/21/2026</t>
  </si>
  <si>
    <t>01/20/2026</t>
  </si>
  <si>
    <t>01/19/2026</t>
  </si>
  <si>
    <t>01/16/2026</t>
  </si>
  <si>
    <t>01/14/2026</t>
  </si>
  <si>
    <t>01/13/2026</t>
  </si>
  <si>
    <t>12/31/2025</t>
  </si>
  <si>
    <t>12/30/2025</t>
  </si>
  <si>
    <t>12/29/2025</t>
  </si>
  <si>
    <t>12/26/2025</t>
  </si>
  <si>
    <t>12/24/2025</t>
  </si>
  <si>
    <t>12/23/2025</t>
  </si>
  <si>
    <t>12/22/2025</t>
  </si>
  <si>
    <t>12/19/2025</t>
  </si>
  <si>
    <t>12/18/2025</t>
  </si>
  <si>
    <t>12/17/2025</t>
  </si>
  <si>
    <t>12/16/2025</t>
  </si>
  <si>
    <t>12/15/2025</t>
  </si>
  <si>
    <t>11/28/2025</t>
  </si>
  <si>
    <t>11/27/2025</t>
  </si>
  <si>
    <t>11/26/2025</t>
  </si>
  <si>
    <t>11/25/2025</t>
  </si>
  <si>
    <t>11/24/2025</t>
  </si>
  <si>
    <t>11/21/2025</t>
  </si>
  <si>
    <t>11/20/2025</t>
  </si>
  <si>
    <t>11/19/2025</t>
  </si>
  <si>
    <t>11/18/2025</t>
  </si>
  <si>
    <t>11/17/2025</t>
  </si>
  <si>
    <t>11/14/2025</t>
  </si>
  <si>
    <t>11/13/2025</t>
  </si>
  <si>
    <t>10/31/2025</t>
  </si>
  <si>
    <t>10/30/2025</t>
  </si>
  <si>
    <t>10/29/2025</t>
  </si>
  <si>
    <t>10/28/2025</t>
  </si>
  <si>
    <t>10/27/2025</t>
  </si>
  <si>
    <t>10/24/2025</t>
  </si>
  <si>
    <t>10/23/2025</t>
  </si>
  <si>
    <t>10/21/2025</t>
  </si>
  <si>
    <t>10/20/2025</t>
  </si>
  <si>
    <t>10/17/2025</t>
  </si>
  <si>
    <t>10/16/2025</t>
  </si>
  <si>
    <t>10/15/2025</t>
  </si>
  <si>
    <t>10/14/2025</t>
  </si>
  <si>
    <t>10/13/2025</t>
  </si>
  <si>
    <t>09/30/2025</t>
  </si>
  <si>
    <t>09/29/2025</t>
  </si>
  <si>
    <t>09/26/2025</t>
  </si>
  <si>
    <t>09/25/2025</t>
  </si>
  <si>
    <t>09/24/2025</t>
  </si>
  <si>
    <t>09/23/2025</t>
  </si>
  <si>
    <t>09/22/2025</t>
  </si>
  <si>
    <t>09/19/2025</t>
  </si>
  <si>
    <t>09/18/2025</t>
  </si>
  <si>
    <t>09/17/2025</t>
  </si>
  <si>
    <t>09/16/2025</t>
  </si>
  <si>
    <t>09/15/2025</t>
  </si>
  <si>
    <t>08/29/2025</t>
  </si>
  <si>
    <t>08/28/2025</t>
  </si>
  <si>
    <t>08/26/2025</t>
  </si>
  <si>
    <t>08/25/2025</t>
  </si>
  <si>
    <t>08/22/2025</t>
  </si>
  <si>
    <t>08/21/2025</t>
  </si>
  <si>
    <t>08/20/2025</t>
  </si>
  <si>
    <t>08/19/2025</t>
  </si>
  <si>
    <t>08/18/2025</t>
  </si>
  <si>
    <t>08/14/2025</t>
  </si>
  <si>
    <t>08/13/2025</t>
  </si>
  <si>
    <t>07/31/2025</t>
  </si>
  <si>
    <t>07/30/2025</t>
  </si>
  <si>
    <t>07/29/2025</t>
  </si>
  <si>
    <t>07/28/2025</t>
  </si>
  <si>
    <t>07/25/2025</t>
  </si>
  <si>
    <t>07/24/2025</t>
  </si>
  <si>
    <t>07/23/2025</t>
  </si>
  <si>
    <t>07/22/2025</t>
  </si>
  <si>
    <t>07/21/2025</t>
  </si>
  <si>
    <t>07/18/2025</t>
  </si>
  <si>
    <t>07/17/2025</t>
  </si>
  <si>
    <t>07/16/2025</t>
  </si>
  <si>
    <t>07/15/2025</t>
  </si>
  <si>
    <t>07/14/2025</t>
  </si>
  <si>
    <t>06/30/2025</t>
  </si>
  <si>
    <t>06/27/2025</t>
  </si>
  <si>
    <t>06/26/2025</t>
  </si>
  <si>
    <t>06/25/2025</t>
  </si>
  <si>
    <t>06/24/2025</t>
  </si>
  <si>
    <t>06/23/2025</t>
  </si>
  <si>
    <t>06/20/2025</t>
  </si>
  <si>
    <t>06/19/2025</t>
  </si>
  <si>
    <t>06/18/2025</t>
  </si>
  <si>
    <t>06/17/2025</t>
  </si>
  <si>
    <t>06/16/2025</t>
  </si>
  <si>
    <t>06/13/2025</t>
  </si>
  <si>
    <t>05/30/2025</t>
  </si>
  <si>
    <t>05/29/2025</t>
  </si>
  <si>
    <t>05/28/2025</t>
  </si>
  <si>
    <t>05/27/2025</t>
  </si>
  <si>
    <t>05/26/2025</t>
  </si>
  <si>
    <t>05/23/2025</t>
  </si>
  <si>
    <t>05/22/2025</t>
  </si>
  <si>
    <t>05/21/2025</t>
  </si>
  <si>
    <t>05/20/2025</t>
  </si>
  <si>
    <t>05/19/2025</t>
  </si>
  <si>
    <t>05/16/2025</t>
  </si>
  <si>
    <t>05/15/2025</t>
  </si>
  <si>
    <t>05/14/2025</t>
  </si>
  <si>
    <t>05/13/2025</t>
  </si>
  <si>
    <t>04/30/2025</t>
  </si>
  <si>
    <t>04/29/2025</t>
  </si>
  <si>
    <t>04/28/2025</t>
  </si>
  <si>
    <t>04/25/2025</t>
  </si>
  <si>
    <t>04/24/2025</t>
  </si>
  <si>
    <t>04/23/2025</t>
  </si>
  <si>
    <t>04/22/2025</t>
  </si>
  <si>
    <t>04/21/2025</t>
  </si>
  <si>
    <t>04/17/2025</t>
  </si>
  <si>
    <t>04/16/2025</t>
  </si>
  <si>
    <t>04/15/2025</t>
  </si>
  <si>
    <t>03/28/2025</t>
  </si>
  <si>
    <t>03/27/2025</t>
  </si>
  <si>
    <t>03/26/2025</t>
  </si>
  <si>
    <t>03/25/2025</t>
  </si>
  <si>
    <t>03/24/2025</t>
  </si>
  <si>
    <t>03/21/2025</t>
  </si>
  <si>
    <t>03/20/2025</t>
  </si>
  <si>
    <t>03/19/2025</t>
  </si>
  <si>
    <t>03/18/2025</t>
  </si>
  <si>
    <t>03/17/2025</t>
  </si>
  <si>
    <t>03/13/2025</t>
  </si>
  <si>
    <t>02/28/2025</t>
  </si>
  <si>
    <t>02/27/2025</t>
  </si>
  <si>
    <t>02/25/2025</t>
  </si>
  <si>
    <t>02/24/2025</t>
  </si>
  <si>
    <t>02/21/2025</t>
  </si>
  <si>
    <t>02/20/2025</t>
  </si>
  <si>
    <t>02/19/2025</t>
  </si>
  <si>
    <t>02/18/2025</t>
  </si>
  <si>
    <t>02/17/2025</t>
  </si>
  <si>
    <t>02/14/2025</t>
  </si>
  <si>
    <t>02/13/2025</t>
  </si>
  <si>
    <t>01/31/2025</t>
  </si>
  <si>
    <t>01/30/2025</t>
  </si>
  <si>
    <t>01/29/2025</t>
  </si>
  <si>
    <t>01/28/2025</t>
  </si>
  <si>
    <t>01/27/2025</t>
  </si>
  <si>
    <t>01/24/2025</t>
  </si>
  <si>
    <t>01/23/2025</t>
  </si>
  <si>
    <t>01/22/2025</t>
  </si>
  <si>
    <t>01/21/2025</t>
  </si>
  <si>
    <t>01/20/2025</t>
  </si>
  <si>
    <t>01/17/2025</t>
  </si>
  <si>
    <t>01/16/2025</t>
  </si>
  <si>
    <t>01/15/2025</t>
  </si>
  <si>
    <t>01/14/2025</t>
  </si>
  <si>
    <t>01/13/2025</t>
  </si>
  <si>
    <t>12/31/2024</t>
  </si>
  <si>
    <t>12/30/2024</t>
  </si>
  <si>
    <t>12/27/2024</t>
  </si>
  <si>
    <t>12/26/2024</t>
  </si>
  <si>
    <t>12/24/2024</t>
  </si>
  <si>
    <t>12/23/2024</t>
  </si>
  <si>
    <t>12/20/2024</t>
  </si>
  <si>
    <t>12/19/2024</t>
  </si>
  <si>
    <t>12/18/2024</t>
  </si>
  <si>
    <t>12/17/2024</t>
  </si>
  <si>
    <t>12/16/2024</t>
  </si>
  <si>
    <t>12/13/2024</t>
  </si>
  <si>
    <t>11/29/2024</t>
  </si>
  <si>
    <t>11/28/2024</t>
  </si>
  <si>
    <t>11/27/2024</t>
  </si>
  <si>
    <t>11/26/2024</t>
  </si>
  <si>
    <t>11/25/2024</t>
  </si>
  <si>
    <t>11/22/2024</t>
  </si>
  <si>
    <t>11/21/2024</t>
  </si>
  <si>
    <t>11/19/2024</t>
  </si>
  <si>
    <t>11/18/2024</t>
  </si>
  <si>
    <t>11/14/2024</t>
  </si>
  <si>
    <t>11/13/2024</t>
  </si>
  <si>
    <t>10/31/2024</t>
  </si>
  <si>
    <t>10/30/2024</t>
  </si>
  <si>
    <t>10/29/2024</t>
  </si>
  <si>
    <t>10/28/2024</t>
  </si>
  <si>
    <t>10/25/2024</t>
  </si>
  <si>
    <t>10/24/2024</t>
  </si>
  <si>
    <t>10/23/2024</t>
  </si>
  <si>
    <t>10/22/2024</t>
  </si>
  <si>
    <t>10/21/2024</t>
  </si>
  <si>
    <t>10/18/2024</t>
  </si>
  <si>
    <t>10/17/2024</t>
  </si>
  <si>
    <t>10/16/2024</t>
  </si>
  <si>
    <t>10/15/2024</t>
  </si>
  <si>
    <t>10/14/2024</t>
  </si>
  <si>
    <t>09/30/2024</t>
  </si>
  <si>
    <t>09/27/2024</t>
  </si>
  <si>
    <t>09/26/2024</t>
  </si>
  <si>
    <t>09/25/2024</t>
  </si>
  <si>
    <t>09/24/2024</t>
  </si>
  <si>
    <t>09/23/2024</t>
  </si>
  <si>
    <t>09/20/2024</t>
  </si>
  <si>
    <t>09/19/2024</t>
  </si>
  <si>
    <t>09/18/2024</t>
  </si>
  <si>
    <t>09/17/2024</t>
  </si>
  <si>
    <t>09/16/2024</t>
  </si>
  <si>
    <t>09/13/2024</t>
  </si>
  <si>
    <t>08/30/2024</t>
  </si>
  <si>
    <t>08/29/2024</t>
  </si>
  <si>
    <t>08/28/2024</t>
  </si>
  <si>
    <t>08/27/2024</t>
  </si>
  <si>
    <t>08/26/2024</t>
  </si>
  <si>
    <t>08/23/2024</t>
  </si>
  <si>
    <t>08/22/2024</t>
  </si>
  <si>
    <t>08/21/2024</t>
  </si>
  <si>
    <t>08/20/2024</t>
  </si>
  <si>
    <t>08/19/2024</t>
  </si>
  <si>
    <t>08/16/2024</t>
  </si>
  <si>
    <t>08/14/2024</t>
  </si>
  <si>
    <t>08/13/2024</t>
  </si>
  <si>
    <t>07/31/2024</t>
  </si>
  <si>
    <t>07/30/2024</t>
  </si>
  <si>
    <t>07/29/2024</t>
  </si>
  <si>
    <t>07/26/2024</t>
  </si>
  <si>
    <t>07/25/2024</t>
  </si>
  <si>
    <t>07/24/2024</t>
  </si>
  <si>
    <t>07/23/2024</t>
  </si>
  <si>
    <t>07/22/2024</t>
  </si>
  <si>
    <t>07/19/2024</t>
  </si>
  <si>
    <t>07/18/2024</t>
  </si>
  <si>
    <t>07/16/2024</t>
  </si>
  <si>
    <t>07/15/2024</t>
  </si>
  <si>
    <t>06/28/2024</t>
  </si>
  <si>
    <t>06/27/2024</t>
  </si>
  <si>
    <t>06/26/2024</t>
  </si>
  <si>
    <t>06/25/2024</t>
  </si>
  <si>
    <t>06/24/2024</t>
  </si>
  <si>
    <t>06/21/2024</t>
  </si>
  <si>
    <t>06/20/2024</t>
  </si>
  <si>
    <t>06/19/2024</t>
  </si>
  <si>
    <t>06/18/2024</t>
  </si>
  <si>
    <t>06/14/2024</t>
  </si>
  <si>
    <t>06/13/2024</t>
  </si>
  <si>
    <t>05/31/2024</t>
  </si>
  <si>
    <t>05/30/2024</t>
  </si>
  <si>
    <t>05/29/2024</t>
  </si>
  <si>
    <t>05/28/2024</t>
  </si>
  <si>
    <t>05/27/2024</t>
  </si>
  <si>
    <t>05/24/2024</t>
  </si>
  <si>
    <t>05/23/2024</t>
  </si>
  <si>
    <t>05/22/2024</t>
  </si>
  <si>
    <t>05/21/2024</t>
  </si>
  <si>
    <t>05/18/2024</t>
  </si>
  <si>
    <t>05/17/2024</t>
  </si>
  <si>
    <t>05/16/2024</t>
  </si>
  <si>
    <t>05/15/2024</t>
  </si>
  <si>
    <t>05/14/2024</t>
  </si>
  <si>
    <t>05/13/2024</t>
  </si>
  <si>
    <t>04/30/2024</t>
  </si>
  <si>
    <t>04/29/2024</t>
  </si>
  <si>
    <t>04/26/2024</t>
  </si>
  <si>
    <t>04/25/2024</t>
  </si>
  <si>
    <t>04/24/2024</t>
  </si>
  <si>
    <t>04/23/2024</t>
  </si>
  <si>
    <t>04/22/2024</t>
  </si>
  <si>
    <t>04/19/2024</t>
  </si>
  <si>
    <t>04/18/2024</t>
  </si>
  <si>
    <t>04/16/2024</t>
  </si>
  <si>
    <t>04/15/2024</t>
  </si>
  <si>
    <t>03/28/2024</t>
  </si>
  <si>
    <t>03/27/2024</t>
  </si>
  <si>
    <t>03/26/2024</t>
  </si>
  <si>
    <t>03/22/2024</t>
  </si>
  <si>
    <t>03/21/2024</t>
  </si>
  <si>
    <t>03/20/2024</t>
  </si>
  <si>
    <t>03/19/2024</t>
  </si>
  <si>
    <t>03/18/2024</t>
  </si>
  <si>
    <t>03/15/2024</t>
  </si>
  <si>
    <t>03/14/2024</t>
  </si>
  <si>
    <t>03/13/2024</t>
  </si>
  <si>
    <t>02/29/2024</t>
  </si>
  <si>
    <t>02/28/2024</t>
  </si>
  <si>
    <t>02/27/2024</t>
  </si>
  <si>
    <t>02/26/2024</t>
  </si>
  <si>
    <t>02/23/2024</t>
  </si>
  <si>
    <t>02/22/2024</t>
  </si>
  <si>
    <t>02/21/2024</t>
  </si>
  <si>
    <t>02/20/2024</t>
  </si>
  <si>
    <t>02/19/2024</t>
  </si>
  <si>
    <t>02/16/2024</t>
  </si>
  <si>
    <t>02/15/2024</t>
  </si>
  <si>
    <t>02/14/2024</t>
  </si>
  <si>
    <t>02/13/2024</t>
  </si>
  <si>
    <t>01/31/2024</t>
  </si>
  <si>
    <t>01/30/2024</t>
  </si>
  <si>
    <t>01/29/2024</t>
  </si>
  <si>
    <t>01/25/2024</t>
  </si>
  <si>
    <t>01/24/2024</t>
  </si>
  <si>
    <t>01/23/2024</t>
  </si>
  <si>
    <t>01/20/2024</t>
  </si>
  <si>
    <t>01/19/2024</t>
  </si>
  <si>
    <t>01/18/2024</t>
  </si>
  <si>
    <t>01/17/2024</t>
  </si>
  <si>
    <t>01/16/2024</t>
  </si>
  <si>
    <t>01/15/2024</t>
  </si>
  <si>
    <t>12/29/2023</t>
  </si>
  <si>
    <t>12/28/2023</t>
  </si>
  <si>
    <t>12/27/2023</t>
  </si>
  <si>
    <t>12/26/2023</t>
  </si>
  <si>
    <t>12/22/2023</t>
  </si>
  <si>
    <t>12/21/2023</t>
  </si>
  <si>
    <t>12/20/2023</t>
  </si>
  <si>
    <t>12/19/2023</t>
  </si>
  <si>
    <t>12/18/2023</t>
  </si>
  <si>
    <t>12/15/2023</t>
  </si>
  <si>
    <t>12/14/2023</t>
  </si>
  <si>
    <t>12/13/2023</t>
  </si>
  <si>
    <t>11/30/2023</t>
  </si>
  <si>
    <t>11/29/2023</t>
  </si>
  <si>
    <t>11/28/2023</t>
  </si>
  <si>
    <t>11/24/2023</t>
  </si>
  <si>
    <t>11/23/2023</t>
  </si>
  <si>
    <t>11/22/2023</t>
  </si>
  <si>
    <t>11/21/2023</t>
  </si>
  <si>
    <t>11/20/2023</t>
  </si>
  <si>
    <t>11/17/2023</t>
  </si>
  <si>
    <t>11/16/2023</t>
  </si>
  <si>
    <t>11/15/2023</t>
  </si>
  <si>
    <t>11/13/2023</t>
  </si>
  <si>
    <t>10/31/2023</t>
  </si>
  <si>
    <t>10/30/2023</t>
  </si>
  <si>
    <t>10/27/2023</t>
  </si>
  <si>
    <t>10/26/2023</t>
  </si>
  <si>
    <t>10/25/2023</t>
  </si>
  <si>
    <t>10/23/2023</t>
  </si>
  <si>
    <t>10/20/2023</t>
  </si>
  <si>
    <t>10/19/2023</t>
  </si>
  <si>
    <t>10/18/2023</t>
  </si>
  <si>
    <t>10/17/2023</t>
  </si>
  <si>
    <t>10/16/2023</t>
  </si>
  <si>
    <t>10/13/2023</t>
  </si>
  <si>
    <t>09/29/2023</t>
  </si>
  <si>
    <t>09/28/2023</t>
  </si>
  <si>
    <t>09/27/2023</t>
  </si>
  <si>
    <t>09/26/2023</t>
  </si>
  <si>
    <t>09/25/2023</t>
  </si>
  <si>
    <t>09/22/2023</t>
  </si>
  <si>
    <t>09/21/2023</t>
  </si>
  <si>
    <t>09/20/2023</t>
  </si>
  <si>
    <t>09/18/2023</t>
  </si>
  <si>
    <t>09/15/2023</t>
  </si>
  <si>
    <t>09/14/2023</t>
  </si>
  <si>
    <t>09/13/2023</t>
  </si>
  <si>
    <t>08/31/2023</t>
  </si>
  <si>
    <t>08/30/2023</t>
  </si>
  <si>
    <t>08/29/2023</t>
  </si>
  <si>
    <t>08/28/2023</t>
  </si>
  <si>
    <t>08/25/2023</t>
  </si>
  <si>
    <t>08/24/2023</t>
  </si>
  <si>
    <t>08/23/2023</t>
  </si>
  <si>
    <t>08/22/2023</t>
  </si>
  <si>
    <t>08/21/2023</t>
  </si>
  <si>
    <t>08/18/2023</t>
  </si>
  <si>
    <t>08/17/2023</t>
  </si>
  <si>
    <t>08/16/2023</t>
  </si>
  <si>
    <t>08/14/2023</t>
  </si>
  <si>
    <t>07/31/2023</t>
  </si>
  <si>
    <t>07/28/2023</t>
  </si>
  <si>
    <t>07/27/2023</t>
  </si>
  <si>
    <t>07/26/2023</t>
  </si>
  <si>
    <t>07/25/2023</t>
  </si>
  <si>
    <t>07/24/2023</t>
  </si>
  <si>
    <t>07/21/2023</t>
  </si>
  <si>
    <t>07/20/2023</t>
  </si>
  <si>
    <t>07/19/2023</t>
  </si>
  <si>
    <t>07/18/2023</t>
  </si>
  <si>
    <t>07/17/2023</t>
  </si>
  <si>
    <t>07/14/2023</t>
  </si>
  <si>
    <t>07/13/2023</t>
  </si>
  <si>
    <t>06/30/2023</t>
  </si>
  <si>
    <t>06/28/2023</t>
  </si>
  <si>
    <t>06/27/2023</t>
  </si>
  <si>
    <t>06/26/2023</t>
  </si>
  <si>
    <t>06/23/2023</t>
  </si>
  <si>
    <t>06/22/2023</t>
  </si>
  <si>
    <t>06/21/2023</t>
  </si>
  <si>
    <t>06/20/2023</t>
  </si>
  <si>
    <t>06/19/2023</t>
  </si>
  <si>
    <t>06/16/2023</t>
  </si>
  <si>
    <t>06/15/2023</t>
  </si>
  <si>
    <t>06/14/2023</t>
  </si>
  <si>
    <t>06/13/2023</t>
  </si>
  <si>
    <t>05/31/2023</t>
  </si>
  <si>
    <t>05/30/2023</t>
  </si>
  <si>
    <t>05/29/2023</t>
  </si>
  <si>
    <t>05/26/2023</t>
  </si>
  <si>
    <t>05/25/2023</t>
  </si>
  <si>
    <t>05/24/2023</t>
  </si>
  <si>
    <t>05/23/2023</t>
  </si>
  <si>
    <t>05/22/2023</t>
  </si>
  <si>
    <t>05/19/2023</t>
  </si>
  <si>
    <t>05/18/2023</t>
  </si>
  <si>
    <t>05/17/2023</t>
  </si>
  <si>
    <t>05/16/2023</t>
  </si>
  <si>
    <t>05/15/2023</t>
  </si>
  <si>
    <t>04/28/2023</t>
  </si>
  <si>
    <t>04/27/2023</t>
  </si>
  <si>
    <t>04/26/2023</t>
  </si>
  <si>
    <t>04/25/2023</t>
  </si>
  <si>
    <t>04/24/2023</t>
  </si>
  <si>
    <t>04/21/2023</t>
  </si>
  <si>
    <t>04/20/2023</t>
  </si>
  <si>
    <t>04/19/2023</t>
  </si>
  <si>
    <t>04/18/2023</t>
  </si>
  <si>
    <t>04/17/2023</t>
  </si>
  <si>
    <t>04/13/2023</t>
  </si>
  <si>
    <t>03/31/2023</t>
  </si>
  <si>
    <t>03/29/2023</t>
  </si>
  <si>
    <t>03/28/2023</t>
  </si>
  <si>
    <t>03/27/2023</t>
  </si>
  <si>
    <t>03/24/2023</t>
  </si>
  <si>
    <t>03/23/2023</t>
  </si>
  <si>
    <t>03/22/2023</t>
  </si>
  <si>
    <t>03/21/2023</t>
  </si>
  <si>
    <t>03/20/2023</t>
  </si>
  <si>
    <t>03/17/2023</t>
  </si>
  <si>
    <t>03/16/2023</t>
  </si>
  <si>
    <t>03/15/2023</t>
  </si>
  <si>
    <t>03/14/2023</t>
  </si>
  <si>
    <t>03/13/2023</t>
  </si>
  <si>
    <t>02/28/2023</t>
  </si>
  <si>
    <t>02/27/2023</t>
  </si>
  <si>
    <t>02/24/2023</t>
  </si>
  <si>
    <t>02/23/2023</t>
  </si>
  <si>
    <t>02/22/2023</t>
  </si>
  <si>
    <t>02/21/2023</t>
  </si>
  <si>
    <t>02/20/2023</t>
  </si>
  <si>
    <t>02/17/2023</t>
  </si>
  <si>
    <t>02/16/2023</t>
  </si>
  <si>
    <t>02/15/2023</t>
  </si>
  <si>
    <t>02/14/2023</t>
  </si>
  <si>
    <t>02/13/2023</t>
  </si>
  <si>
    <t>01/31/2023</t>
  </si>
  <si>
    <t>01/30/2023</t>
  </si>
  <si>
    <t>01/27/2023</t>
  </si>
  <si>
    <t>01/25/2023</t>
  </si>
  <si>
    <t>01/24/2023</t>
  </si>
  <si>
    <t>01/23/2023</t>
  </si>
  <si>
    <t>01/20/2023</t>
  </si>
  <si>
    <t>01/19/2023</t>
  </si>
  <si>
    <t>01/18/2023</t>
  </si>
  <si>
    <t>01/17/2023</t>
  </si>
  <si>
    <t>01/16/2023</t>
  </si>
  <si>
    <t>01/13/2023</t>
  </si>
  <si>
    <t>12/30/2022</t>
  </si>
  <si>
    <t>12/29/2022</t>
  </si>
  <si>
    <t>12/28/2022</t>
  </si>
  <si>
    <t>12/27/2022</t>
  </si>
  <si>
    <t>12/26/2022</t>
  </si>
  <si>
    <t>12/23/2022</t>
  </si>
  <si>
    <t>12/22/2022</t>
  </si>
  <si>
    <t>12/21/2022</t>
  </si>
  <si>
    <t>12/20/2022</t>
  </si>
  <si>
    <t>12/19/2022</t>
  </si>
  <si>
    <t>12/16/2022</t>
  </si>
  <si>
    <t>12/15/2022</t>
  </si>
  <si>
    <t>12/14/2022</t>
  </si>
  <si>
    <t>12/13/2022</t>
  </si>
  <si>
    <t>11/30/2022</t>
  </si>
  <si>
    <t>11/29/2022</t>
  </si>
  <si>
    <t>11/28/2022</t>
  </si>
  <si>
    <t>11/25/2022</t>
  </si>
  <si>
    <t>11/24/2022</t>
  </si>
  <si>
    <t>11/23/2022</t>
  </si>
  <si>
    <t>11/22/2022</t>
  </si>
  <si>
    <t>11/21/2022</t>
  </si>
  <si>
    <t>11/18/2022</t>
  </si>
  <si>
    <t>11/17/2022</t>
  </si>
  <si>
    <t>11/16/2022</t>
  </si>
  <si>
    <t>11/15/2022</t>
  </si>
  <si>
    <t>11/14/2022</t>
  </si>
  <si>
    <t>10/31/2022</t>
  </si>
  <si>
    <t>10/28/2022</t>
  </si>
  <si>
    <t>10/27/2022</t>
  </si>
  <si>
    <t>10/25/2022</t>
  </si>
  <si>
    <t>10/24/2022</t>
  </si>
  <si>
    <t>10/21/2022</t>
  </si>
  <si>
    <t>10/20/2022</t>
  </si>
  <si>
    <t>10/19/2022</t>
  </si>
  <si>
    <t>10/18/2022</t>
  </si>
  <si>
    <t>10/17/2022</t>
  </si>
  <si>
    <t>10/14/2022</t>
  </si>
  <si>
    <t>10/13/2022</t>
  </si>
  <si>
    <t>09/30/2022</t>
  </si>
  <si>
    <t>09/29/2022</t>
  </si>
  <si>
    <t>09/28/2022</t>
  </si>
  <si>
    <t>09/27/2022</t>
  </si>
  <si>
    <t>09/26/2022</t>
  </si>
  <si>
    <t>09/23/2022</t>
  </si>
  <si>
    <t>09/22/2022</t>
  </si>
  <si>
    <t>09/21/2022</t>
  </si>
  <si>
    <t>09/20/2022</t>
  </si>
  <si>
    <t>09/19/2022</t>
  </si>
  <si>
    <t>09/16/2022</t>
  </si>
  <si>
    <t>09/15/2022</t>
  </si>
  <si>
    <t>09/14/2022</t>
  </si>
  <si>
    <t>09/13/2022</t>
  </si>
  <si>
    <t>08/30/2022</t>
  </si>
  <si>
    <t>08/29/2022</t>
  </si>
  <si>
    <t>08/26/2022</t>
  </si>
  <si>
    <t>08/25/2022</t>
  </si>
  <si>
    <t>08/24/2022</t>
  </si>
  <si>
    <t>08/23/2022</t>
  </si>
  <si>
    <t>08/22/2022</t>
  </si>
  <si>
    <t>08/19/2022</t>
  </si>
  <si>
    <t>08/18/2022</t>
  </si>
  <si>
    <t>08/17/2022</t>
  </si>
  <si>
    <t>08/16/2022</t>
  </si>
  <si>
    <t>07/29/2022</t>
  </si>
  <si>
    <t>07/28/2022</t>
  </si>
  <si>
    <t>07/27/2022</t>
  </si>
  <si>
    <t>07/26/2022</t>
  </si>
  <si>
    <t>07/25/2022</t>
  </si>
  <si>
    <t>07/22/2022</t>
  </si>
  <si>
    <t>07/21/2022</t>
  </si>
  <si>
    <t>07/20/2022</t>
  </si>
  <si>
    <t>07/19/2022</t>
  </si>
  <si>
    <t>07/18/2022</t>
  </si>
  <si>
    <t>07/15/2022</t>
  </si>
  <si>
    <t>07/14/2022</t>
  </si>
  <si>
    <t>07/13/2022</t>
  </si>
  <si>
    <t>06/30/2022</t>
  </si>
  <si>
    <t>06/29/2022</t>
  </si>
  <si>
    <t>06/28/2022</t>
  </si>
  <si>
    <t>06/27/2022</t>
  </si>
  <si>
    <t>06/24/2022</t>
  </si>
  <si>
    <t>06/23/2022</t>
  </si>
  <si>
    <t>06/22/2022</t>
  </si>
  <si>
    <t>06/21/2022</t>
  </si>
  <si>
    <t>06/20/2022</t>
  </si>
  <si>
    <t>06/17/2022</t>
  </si>
  <si>
    <t>06/16/2022</t>
  </si>
  <si>
    <t>06/15/2022</t>
  </si>
  <si>
    <t>06/14/2022</t>
  </si>
  <si>
    <t>06/13/2022</t>
  </si>
  <si>
    <t>05/31/2022</t>
  </si>
  <si>
    <t>05/30/2022</t>
  </si>
  <si>
    <t>05/27/2022</t>
  </si>
  <si>
    <t>05/26/2022</t>
  </si>
  <si>
    <t>05/25/2022</t>
  </si>
  <si>
    <t>05/24/2022</t>
  </si>
  <si>
    <t>05/23/2022</t>
  </si>
  <si>
    <t>05/20/2022</t>
  </si>
  <si>
    <t>05/19/2022</t>
  </si>
  <si>
    <t>05/18/2022</t>
  </si>
  <si>
    <t>05/17/2022</t>
  </si>
  <si>
    <t>05/16/2022</t>
  </si>
  <si>
    <t>05/13/2022</t>
  </si>
  <si>
    <t>04/29/2022</t>
  </si>
  <si>
    <t>04/28/2022</t>
  </si>
  <si>
    <t>04/27/2022</t>
  </si>
  <si>
    <t>04/26/2022</t>
  </si>
  <si>
    <t>04/25/2022</t>
  </si>
  <si>
    <t>04/22/2022</t>
  </si>
  <si>
    <t>04/21/2022</t>
  </si>
  <si>
    <t>04/20/2022</t>
  </si>
  <si>
    <t>04/19/2022</t>
  </si>
  <si>
    <t>04/18/2022</t>
  </si>
  <si>
    <t>04/13/2022</t>
  </si>
  <si>
    <t>03/31/2022</t>
  </si>
  <si>
    <t>03/30/2022</t>
  </si>
  <si>
    <t>03/29/2022</t>
  </si>
  <si>
    <t>03/28/2022</t>
  </si>
  <si>
    <t>03/25/2022</t>
  </si>
  <si>
    <t>03/24/2022</t>
  </si>
  <si>
    <t>03/23/2022</t>
  </si>
  <si>
    <t>03/22/2022</t>
  </si>
  <si>
    <t>03/21/2022</t>
  </si>
  <si>
    <t>03/17/2022</t>
  </si>
  <si>
    <t>03/16/2022</t>
  </si>
  <si>
    <t>03/15/2022</t>
  </si>
  <si>
    <t>03/14/2022</t>
  </si>
  <si>
    <t>02/28/2022</t>
  </si>
  <si>
    <t>02/25/2022</t>
  </si>
  <si>
    <t>02/24/2022</t>
  </si>
  <si>
    <t>02/23/2022</t>
  </si>
  <si>
    <t>02/22/2022</t>
  </si>
  <si>
    <t>02/21/2022</t>
  </si>
  <si>
    <t>02/18/2022</t>
  </si>
  <si>
    <t>02/17/2022</t>
  </si>
  <si>
    <t>02/16/2022</t>
  </si>
  <si>
    <t>02/15/2022</t>
  </si>
  <si>
    <t>02/14/2022</t>
  </si>
  <si>
    <t>01/31/2022</t>
  </si>
  <si>
    <t>01/28/2022</t>
  </si>
  <si>
    <t>01/27/2022</t>
  </si>
  <si>
    <t>01/25/2022</t>
  </si>
  <si>
    <t>01/24/2022</t>
  </si>
  <si>
    <t>01/21/2022</t>
  </si>
  <si>
    <t>01/20/2022</t>
  </si>
  <si>
    <t>01/19/2022</t>
  </si>
  <si>
    <t>01/18/2022</t>
  </si>
  <si>
    <t>01/17/2022</t>
  </si>
  <si>
    <t>01/14/2022</t>
  </si>
  <si>
    <t>01/13/2022</t>
  </si>
  <si>
    <t>12/31/2021</t>
  </si>
  <si>
    <t>12/30/2021</t>
  </si>
  <si>
    <t>12/29/2021</t>
  </si>
  <si>
    <t>12/28/2021</t>
  </si>
  <si>
    <t>12/27/2021</t>
  </si>
  <si>
    <t>12/24/2021</t>
  </si>
  <si>
    <t>12/23/2021</t>
  </si>
  <si>
    <t>12/22/2021</t>
  </si>
  <si>
    <t>12/21/2021</t>
  </si>
  <si>
    <t>12/20/2021</t>
  </si>
  <si>
    <t>12/17/2021</t>
  </si>
  <si>
    <t>12/16/2021</t>
  </si>
  <si>
    <t>12/15/2021</t>
  </si>
  <si>
    <t>12/14/2021</t>
  </si>
  <si>
    <t>12/13/2021</t>
  </si>
  <si>
    <t>11/30/2021</t>
  </si>
  <si>
    <t>11/29/2021</t>
  </si>
  <si>
    <t>11/26/2021</t>
  </si>
  <si>
    <t>11/25/2021</t>
  </si>
  <si>
    <t>11/24/2021</t>
  </si>
  <si>
    <t>11/23/2021</t>
  </si>
  <si>
    <t>11/22/2021</t>
  </si>
  <si>
    <t>11/18/2021</t>
  </si>
  <si>
    <t>11/17/2021</t>
  </si>
  <si>
    <t>11/16/2021</t>
  </si>
  <si>
    <t>11/15/2021</t>
  </si>
  <si>
    <t>10/29/2021</t>
  </si>
  <si>
    <t>10/28/2021</t>
  </si>
  <si>
    <t>10/27/2021</t>
  </si>
  <si>
    <t>10/26/2021</t>
  </si>
  <si>
    <t>10/25/2021</t>
  </si>
  <si>
    <t>10/22/2021</t>
  </si>
  <si>
    <t>10/21/2021</t>
  </si>
  <si>
    <t>10/20/2021</t>
  </si>
  <si>
    <t>10/19/2021</t>
  </si>
  <si>
    <t>10/18/2021</t>
  </si>
  <si>
    <t>10/14/2021</t>
  </si>
  <si>
    <t>10/13/2021</t>
  </si>
  <si>
    <t>09/30/2021</t>
  </si>
  <si>
    <t>09/29/2021</t>
  </si>
  <si>
    <t>09/28/2021</t>
  </si>
  <si>
    <t>09/27/2021</t>
  </si>
  <si>
    <t>09/24/2021</t>
  </si>
  <si>
    <t>09/23/2021</t>
  </si>
  <si>
    <t>09/22/2021</t>
  </si>
  <si>
    <t>09/21/2021</t>
  </si>
  <si>
    <t>09/20/2021</t>
  </si>
  <si>
    <t>09/17/2021</t>
  </si>
  <si>
    <t>09/16/2021</t>
  </si>
  <si>
    <t>09/15/2021</t>
  </si>
  <si>
    <t>09/14/2021</t>
  </si>
  <si>
    <t>09/13/2021</t>
  </si>
  <si>
    <t>08/31/2021</t>
  </si>
  <si>
    <t>08/30/2021</t>
  </si>
  <si>
    <t>08/27/2021</t>
  </si>
  <si>
    <t>08/26/2021</t>
  </si>
  <si>
    <t>08/25/2021</t>
  </si>
  <si>
    <t>08/24/2021</t>
  </si>
  <si>
    <t>08/23/2021</t>
  </si>
  <si>
    <t>08/20/2021</t>
  </si>
  <si>
    <t>08/18/2021</t>
  </si>
  <si>
    <t>08/17/2021</t>
  </si>
  <si>
    <t>08/16/2021</t>
  </si>
  <si>
    <t>08/13/2021</t>
  </si>
  <si>
    <t>07/30/2021</t>
  </si>
  <si>
    <t>07/29/2021</t>
  </si>
  <si>
    <t>07/28/2021</t>
  </si>
  <si>
    <t>07/27/2021</t>
  </si>
  <si>
    <t>07/26/2021</t>
  </si>
  <si>
    <t>07/23/2021</t>
  </si>
  <si>
    <t>07/22/2021</t>
  </si>
  <si>
    <t>07/20/2021</t>
  </si>
  <si>
    <t>07/19/2021</t>
  </si>
  <si>
    <t>07/16/2021</t>
  </si>
  <si>
    <t>07/15/2021</t>
  </si>
  <si>
    <t>07/14/2021</t>
  </si>
  <si>
    <t>07/13/2021</t>
  </si>
  <si>
    <t>06/30/2021</t>
  </si>
  <si>
    <t>06/29/2021</t>
  </si>
  <si>
    <t>06/28/2021</t>
  </si>
  <si>
    <t>06/25/2021</t>
  </si>
  <si>
    <t>06/24/2021</t>
  </si>
  <si>
    <t>06/23/2021</t>
  </si>
  <si>
    <t>06/22/2021</t>
  </si>
  <si>
    <t>06/21/2021</t>
  </si>
  <si>
    <t>06/18/2021</t>
  </si>
  <si>
    <t>06/17/2021</t>
  </si>
  <si>
    <t>06/16/2021</t>
  </si>
  <si>
    <t>06/15/2021</t>
  </si>
  <si>
    <t>06/14/2021</t>
  </si>
  <si>
    <t>05/31/2021</t>
  </si>
  <si>
    <t>05/28/2021</t>
  </si>
  <si>
    <t>05/27/2021</t>
  </si>
  <si>
    <t>05/26/2021</t>
  </si>
  <si>
    <t>05/25/2021</t>
  </si>
  <si>
    <t>05/24/2021</t>
  </si>
  <si>
    <t>05/21/2021</t>
  </si>
  <si>
    <t>05/20/2021</t>
  </si>
  <si>
    <t>05/19/2021</t>
  </si>
  <si>
    <t>05/18/2021</t>
  </si>
  <si>
    <t>05/17/2021</t>
  </si>
  <si>
    <t>05/14/2021</t>
  </si>
  <si>
    <t>04/30/2021</t>
  </si>
  <si>
    <t>04/29/2021</t>
  </si>
  <si>
    <t>04/28/2021</t>
  </si>
  <si>
    <t>04/27/2021</t>
  </si>
  <si>
    <t>04/26/2021</t>
  </si>
  <si>
    <t>04/23/2021</t>
  </si>
  <si>
    <t>04/22/2021</t>
  </si>
  <si>
    <t>04/20/2021</t>
  </si>
  <si>
    <t>04/19/2021</t>
  </si>
  <si>
    <t>04/16/2021</t>
  </si>
  <si>
    <t>04/15/2021</t>
  </si>
  <si>
    <t>04/13/2021</t>
  </si>
  <si>
    <t>03/31/2021</t>
  </si>
  <si>
    <t>03/30/2021</t>
  </si>
  <si>
    <t>03/26/2021</t>
  </si>
  <si>
    <t>03/25/2021</t>
  </si>
  <si>
    <t>03/24/2021</t>
  </si>
  <si>
    <t>03/23/2021</t>
  </si>
  <si>
    <t>03/22/2021</t>
  </si>
  <si>
    <t>03/19/2021</t>
  </si>
  <si>
    <t>03/18/2021</t>
  </si>
  <si>
    <t>03/17/2021</t>
  </si>
  <si>
    <t>03/16/2021</t>
  </si>
  <si>
    <t>03/15/2021</t>
  </si>
  <si>
    <t>02/26/2021</t>
  </si>
  <si>
    <t>02/25/2021</t>
  </si>
  <si>
    <t>02/24/2021</t>
  </si>
  <si>
    <t>02/23/2021</t>
  </si>
  <si>
    <t>02/22/2021</t>
  </si>
  <si>
    <t>02/19/2021</t>
  </si>
  <si>
    <t>02/18/2021</t>
  </si>
  <si>
    <t>02/17/2021</t>
  </si>
  <si>
    <t>02/16/2021</t>
  </si>
  <si>
    <t>02/15/2021</t>
  </si>
  <si>
    <t>01/29/2021</t>
  </si>
  <si>
    <t>01/28/2021</t>
  </si>
  <si>
    <t>01/27/2021</t>
  </si>
  <si>
    <t>01/25/2021</t>
  </si>
  <si>
    <t>01/22/2021</t>
  </si>
  <si>
    <t>01/21/2021</t>
  </si>
  <si>
    <t>01/20/2021</t>
  </si>
  <si>
    <t>01/19/2021</t>
  </si>
  <si>
    <t>01/18/2021</t>
  </si>
  <si>
    <t>01/15/2021</t>
  </si>
  <si>
    <t>01/14/2021</t>
  </si>
  <si>
    <t>01/13/2021</t>
  </si>
  <si>
    <t>12/31/2020</t>
  </si>
  <si>
    <t>12/30/2020</t>
  </si>
  <si>
    <t>12/29/2020</t>
  </si>
  <si>
    <t>12/28/2020</t>
  </si>
  <si>
    <t>12/24/2020</t>
  </si>
  <si>
    <t>12/23/2020</t>
  </si>
  <si>
    <t>12/22/2020</t>
  </si>
  <si>
    <t>12/21/2020</t>
  </si>
  <si>
    <t>12/18/2020</t>
  </si>
  <si>
    <t>12/17/2020</t>
  </si>
  <si>
    <t>12/16/2020</t>
  </si>
  <si>
    <t>12/15/2020</t>
  </si>
  <si>
    <t>12/14/2020</t>
  </si>
  <si>
    <t>11/27/2020</t>
  </si>
  <si>
    <t>11/26/2020</t>
  </si>
  <si>
    <t>11/25/2020</t>
  </si>
  <si>
    <t>11/24/2020</t>
  </si>
  <si>
    <t>11/23/2020</t>
  </si>
  <si>
    <t>11/20/2020</t>
  </si>
  <si>
    <t>11/19/2020</t>
  </si>
  <si>
    <t>11/18/2020</t>
  </si>
  <si>
    <t>11/17/2020</t>
  </si>
  <si>
    <t>11/13/2020</t>
  </si>
  <si>
    <t>10/30/2020</t>
  </si>
  <si>
    <t>10/29/2020</t>
  </si>
  <si>
    <t>10/28/2020</t>
  </si>
  <si>
    <t>10/27/2020</t>
  </si>
  <si>
    <t>10/26/2020</t>
  </si>
  <si>
    <t>10/23/2020</t>
  </si>
  <si>
    <t>10/22/2020</t>
  </si>
  <si>
    <t>10/21/2020</t>
  </si>
  <si>
    <t>10/20/2020</t>
  </si>
  <si>
    <t>10/19/2020</t>
  </si>
  <si>
    <t>10/16/2020</t>
  </si>
  <si>
    <t>10/15/2020</t>
  </si>
  <si>
    <t>10/14/2020</t>
  </si>
  <si>
    <t>10/13/2020</t>
  </si>
  <si>
    <t>09/30/2020</t>
  </si>
  <si>
    <t>09/29/2020</t>
  </si>
  <si>
    <t>09/28/2020</t>
  </si>
  <si>
    <t>09/25/2020</t>
  </si>
  <si>
    <t>09/24/2020</t>
  </si>
  <si>
    <t>09/23/2020</t>
  </si>
  <si>
    <t>09/22/2020</t>
  </si>
  <si>
    <t>09/21/2020</t>
  </si>
  <si>
    <t>09/18/2020</t>
  </si>
  <si>
    <t>09/17/2020</t>
  </si>
  <si>
    <t>09/16/2020</t>
  </si>
  <si>
    <t>09/15/2020</t>
  </si>
  <si>
    <t>09/14/2020</t>
  </si>
  <si>
    <t>08/31/2020</t>
  </si>
  <si>
    <t>08/28/2020</t>
  </si>
  <si>
    <t>08/27/2020</t>
  </si>
  <si>
    <t>08/26/2020</t>
  </si>
  <si>
    <t>08/25/2020</t>
  </si>
  <si>
    <t>08/24/2020</t>
  </si>
  <si>
    <t>08/21/2020</t>
  </si>
  <si>
    <t>08/20/2020</t>
  </si>
  <si>
    <t>08/19/2020</t>
  </si>
  <si>
    <t>08/18/2020</t>
  </si>
  <si>
    <t>08/17/2020</t>
  </si>
  <si>
    <t>08/14/2020</t>
  </si>
  <si>
    <t>08/13/2020</t>
  </si>
  <si>
    <t>07/31/2020</t>
  </si>
  <si>
    <t>07/30/2020</t>
  </si>
  <si>
    <t>07/29/2020</t>
  </si>
  <si>
    <t>07/28/2020</t>
  </si>
  <si>
    <t>07/27/2020</t>
  </si>
  <si>
    <t>07/24/2020</t>
  </si>
  <si>
    <t>07/23/2020</t>
  </si>
  <si>
    <t>07/22/2020</t>
  </si>
  <si>
    <t>07/21/2020</t>
  </si>
  <si>
    <t>07/20/2020</t>
  </si>
  <si>
    <t>07/17/2020</t>
  </si>
  <si>
    <t>07/16/2020</t>
  </si>
  <si>
    <t>07/15/2020</t>
  </si>
  <si>
    <t>07/14/2020</t>
  </si>
  <si>
    <t>07/13/2020</t>
  </si>
  <si>
    <t>06/30/2020</t>
  </si>
  <si>
    <t>06/29/2020</t>
  </si>
  <si>
    <t>06/26/2020</t>
  </si>
  <si>
    <t>06/25/2020</t>
  </si>
  <si>
    <t>06/24/2020</t>
  </si>
  <si>
    <t>06/23/2020</t>
  </si>
  <si>
    <t>06/22/2020</t>
  </si>
  <si>
    <t>06/19/2020</t>
  </si>
  <si>
    <t>06/18/2020</t>
  </si>
  <si>
    <t>06/17/2020</t>
  </si>
  <si>
    <t>06/16/2020</t>
  </si>
  <si>
    <t>06/15/2020</t>
  </si>
  <si>
    <t>05/29/2020</t>
  </si>
  <si>
    <t>05/28/2020</t>
  </si>
  <si>
    <t>05/27/2020</t>
  </si>
  <si>
    <t>05/26/2020</t>
  </si>
  <si>
    <t>05/22/2020</t>
  </si>
  <si>
    <t>05/21/2020</t>
  </si>
  <si>
    <t>05/20/2020</t>
  </si>
  <si>
    <t>05/19/2020</t>
  </si>
  <si>
    <t>05/18/2020</t>
  </si>
  <si>
    <t>05/15/2020</t>
  </si>
  <si>
    <t>05/14/2020</t>
  </si>
  <si>
    <t>05/13/2020</t>
  </si>
  <si>
    <t>04/30/2020</t>
  </si>
  <si>
    <t>04/29/2020</t>
  </si>
  <si>
    <t>04/28/2020</t>
  </si>
  <si>
    <t>04/27/2020</t>
  </si>
  <si>
    <t>04/24/2020</t>
  </si>
  <si>
    <t>04/23/2020</t>
  </si>
  <si>
    <t>04/22/2020</t>
  </si>
  <si>
    <t>04/21/2020</t>
  </si>
  <si>
    <t>04/20/2020</t>
  </si>
  <si>
    <t>04/17/2020</t>
  </si>
  <si>
    <t>04/16/2020</t>
  </si>
  <si>
    <t>04/15/2020</t>
  </si>
  <si>
    <t>04/13/2020</t>
  </si>
  <si>
    <t>03/31/2020</t>
  </si>
  <si>
    <t>03/30/2020</t>
  </si>
  <si>
    <t>03/27/2020</t>
  </si>
  <si>
    <t>03/26/2020</t>
  </si>
  <si>
    <t>03/25/2020</t>
  </si>
  <si>
    <t>03/24/2020</t>
  </si>
  <si>
    <t>03/23/2020</t>
  </si>
  <si>
    <t>03/20/2020</t>
  </si>
  <si>
    <t>03/19/2020</t>
  </si>
  <si>
    <t>03/18/2020</t>
  </si>
  <si>
    <t>03/17/2020</t>
  </si>
  <si>
    <t>03/16/2020</t>
  </si>
  <si>
    <t>03/13/2020</t>
  </si>
  <si>
    <t>02/28/2020</t>
  </si>
  <si>
    <t>02/27/2020</t>
  </si>
  <si>
    <t>02/26/2020</t>
  </si>
  <si>
    <t>02/25/2020</t>
  </si>
  <si>
    <t>02/24/2020</t>
  </si>
  <si>
    <t>02/20/2020</t>
  </si>
  <si>
    <t>02/19/2020</t>
  </si>
  <si>
    <t>02/18/2020</t>
  </si>
  <si>
    <t>02/17/2020</t>
  </si>
  <si>
    <t>02/14/2020</t>
  </si>
  <si>
    <t>02/13/2020</t>
  </si>
  <si>
    <t>01/31/2020</t>
  </si>
  <si>
    <t>01/30/2020</t>
  </si>
  <si>
    <t>01/29/2020</t>
  </si>
  <si>
    <t>01/28/2020</t>
  </si>
  <si>
    <t>01/27/2020</t>
  </si>
  <si>
    <t>01/24/2020</t>
  </si>
  <si>
    <t>01/23/2020</t>
  </si>
  <si>
    <t>01/22/2020</t>
  </si>
  <si>
    <t>01/21/2020</t>
  </si>
  <si>
    <t>01/20/2020</t>
  </si>
  <si>
    <t>01/17/2020</t>
  </si>
  <si>
    <t>01/16/2020</t>
  </si>
  <si>
    <t>01/15/2020</t>
  </si>
  <si>
    <t>01/14/2020</t>
  </si>
  <si>
    <t>01/13/2020</t>
  </si>
  <si>
    <t>12/31/2019</t>
  </si>
  <si>
    <t>12/30/2019</t>
  </si>
  <si>
    <t>12/27/2019</t>
  </si>
  <si>
    <t>12/26/2019</t>
  </si>
  <si>
    <t>12/24/2019</t>
  </si>
  <si>
    <t>12/23/2019</t>
  </si>
  <si>
    <t>12/20/2019</t>
  </si>
  <si>
    <t>12/19/2019</t>
  </si>
  <si>
    <t>12/18/2019</t>
  </si>
  <si>
    <t>12/17/2019</t>
  </si>
  <si>
    <t>12/16/2019</t>
  </si>
  <si>
    <t>12/13/2019</t>
  </si>
  <si>
    <t>11/29/2019</t>
  </si>
  <si>
    <t>11/28/2019</t>
  </si>
  <si>
    <t>11/27/2019</t>
  </si>
  <si>
    <t>11/26/2019</t>
  </si>
  <si>
    <t>11/25/2019</t>
  </si>
  <si>
    <t>11/22/2019</t>
  </si>
  <si>
    <t>11/21/2019</t>
  </si>
  <si>
    <t>11/20/2019</t>
  </si>
  <si>
    <t>11/19/2019</t>
  </si>
  <si>
    <t>11/18/2019</t>
  </si>
  <si>
    <t>11/15/2019</t>
  </si>
  <si>
    <t>11/14/2019</t>
  </si>
  <si>
    <t>11/13/2019</t>
  </si>
  <si>
    <t>10/31/2019</t>
  </si>
  <si>
    <t>10/30/2019</t>
  </si>
  <si>
    <t>10/29/2019</t>
  </si>
  <si>
    <t>10/27/2019</t>
  </si>
  <si>
    <t>10/25/2019</t>
  </si>
  <si>
    <t>10/24/2019</t>
  </si>
  <si>
    <t>10/23/2019</t>
  </si>
  <si>
    <t>10/22/2019</t>
  </si>
  <si>
    <t>10/18/2019</t>
  </si>
  <si>
    <t>10/17/2019</t>
  </si>
  <si>
    <t>10/16/2019</t>
  </si>
  <si>
    <t>10/15/2019</t>
  </si>
  <si>
    <t>10/14/2019</t>
  </si>
  <si>
    <t>09/30/2019</t>
  </si>
  <si>
    <t>09/27/2019</t>
  </si>
  <si>
    <t>09/26/2019</t>
  </si>
  <si>
    <t>09/25/2019</t>
  </si>
  <si>
    <t>09/24/2019</t>
  </si>
  <si>
    <t>09/23/2019</t>
  </si>
  <si>
    <t>09/20/2019</t>
  </si>
  <si>
    <t>09/19/2019</t>
  </si>
  <si>
    <t>09/18/2019</t>
  </si>
  <si>
    <t>09/17/2019</t>
  </si>
  <si>
    <t>09/16/2019</t>
  </si>
  <si>
    <t>09/13/2019</t>
  </si>
  <si>
    <t>08/30/2019</t>
  </si>
  <si>
    <t>08/29/2019</t>
  </si>
  <si>
    <t>08/28/2019</t>
  </si>
  <si>
    <t>08/27/2019</t>
  </si>
  <si>
    <t>08/26/2019</t>
  </si>
  <si>
    <t>08/23/2019</t>
  </si>
  <si>
    <t>08/22/2019</t>
  </si>
  <si>
    <t>08/21/2019</t>
  </si>
  <si>
    <t>08/20/2019</t>
  </si>
  <si>
    <t>08/19/2019</t>
  </si>
  <si>
    <t>08/16/2019</t>
  </si>
  <si>
    <t>08/14/2019</t>
  </si>
  <si>
    <t>08/13/2019</t>
  </si>
  <si>
    <t>07/31/2019</t>
  </si>
  <si>
    <t>07/30/2019</t>
  </si>
  <si>
    <t>07/29/2019</t>
  </si>
  <si>
    <t>07/26/2019</t>
  </si>
  <si>
    <t>07/25/2019</t>
  </si>
  <si>
    <t>07/24/2019</t>
  </si>
  <si>
    <t>07/23/2019</t>
  </si>
  <si>
    <t>07/22/2019</t>
  </si>
  <si>
    <t>07/19/2019</t>
  </si>
  <si>
    <t>07/18/2019</t>
  </si>
  <si>
    <t>07/17/2019</t>
  </si>
  <si>
    <t>07/16/2019</t>
  </si>
  <si>
    <t>07/15/2019</t>
  </si>
  <si>
    <t>06/28/2019</t>
  </si>
  <si>
    <t>06/27/2019</t>
  </si>
  <si>
    <t>06/26/2019</t>
  </si>
  <si>
    <t>06/25/2019</t>
  </si>
  <si>
    <t>06/24/2019</t>
  </si>
  <si>
    <t>06/21/2019</t>
  </si>
  <si>
    <t>06/20/2019</t>
  </si>
  <si>
    <t>06/19/2019</t>
  </si>
  <si>
    <t>06/18/2019</t>
  </si>
  <si>
    <t>06/17/2019</t>
  </si>
  <si>
    <t>06/14/2019</t>
  </si>
  <si>
    <t>06/13/2019</t>
  </si>
  <si>
    <t>05/31/2019</t>
  </si>
  <si>
    <t>05/30/2019</t>
  </si>
  <si>
    <t>05/29/2019</t>
  </si>
  <si>
    <t>05/28/2019</t>
  </si>
  <si>
    <t>05/27/2019</t>
  </si>
  <si>
    <t>05/24/2019</t>
  </si>
  <si>
    <t>05/23/2019</t>
  </si>
  <si>
    <t>05/22/2019</t>
  </si>
  <si>
    <t>05/21/2019</t>
  </si>
  <si>
    <t>05/20/2019</t>
  </si>
  <si>
    <t>05/17/2019</t>
  </si>
  <si>
    <t>05/16/2019</t>
  </si>
  <si>
    <t>05/15/2019</t>
  </si>
  <si>
    <t>05/14/2019</t>
  </si>
  <si>
    <t>05/13/2019</t>
  </si>
  <si>
    <t>04/30/2019</t>
  </si>
  <si>
    <t>04/26/2019</t>
  </si>
  <si>
    <t>04/25/2019</t>
  </si>
  <si>
    <t>04/24/2019</t>
  </si>
  <si>
    <t>04/23/2019</t>
  </si>
  <si>
    <t>04/22/2019</t>
  </si>
  <si>
    <t>04/18/2019</t>
  </si>
  <si>
    <t>04/16/2019</t>
  </si>
  <si>
    <t>04/15/2019</t>
  </si>
  <si>
    <t>03/29/2019</t>
  </si>
  <si>
    <t>03/28/2019</t>
  </si>
  <si>
    <t>03/27/2019</t>
  </si>
  <si>
    <t>03/26/2019</t>
  </si>
  <si>
    <t>03/25/2019</t>
  </si>
  <si>
    <t>03/22/2019</t>
  </si>
  <si>
    <t>03/20/2019</t>
  </si>
  <si>
    <t>03/19/2019</t>
  </si>
  <si>
    <t>03/18/2019</t>
  </si>
  <si>
    <t>03/15/2019</t>
  </si>
  <si>
    <t>03/14/2019</t>
  </si>
  <si>
    <t>03/13/2019</t>
  </si>
  <si>
    <t>02/28/2019</t>
  </si>
  <si>
    <t>02/27/2019</t>
  </si>
  <si>
    <t>02/26/2019</t>
  </si>
  <si>
    <t>02/25/2019</t>
  </si>
  <si>
    <t>02/22/2019</t>
  </si>
  <si>
    <t>02/21/2019</t>
  </si>
  <si>
    <t>02/20/2019</t>
  </si>
  <si>
    <t>02/19/2019</t>
  </si>
  <si>
    <t>02/18/2019</t>
  </si>
  <si>
    <t>02/15/2019</t>
  </si>
  <si>
    <t>02/14/2019</t>
  </si>
  <si>
    <t>02/13/2019</t>
  </si>
  <si>
    <t>01/31/2019</t>
  </si>
  <si>
    <t>01/30/2019</t>
  </si>
  <si>
    <t>01/29/2019</t>
  </si>
  <si>
    <t>01/28/2019</t>
  </si>
  <si>
    <t>01/25/2019</t>
  </si>
  <si>
    <t>01/24/2019</t>
  </si>
  <si>
    <t>01/23/2019</t>
  </si>
  <si>
    <t>01/22/2019</t>
  </si>
  <si>
    <t>01/21/2019</t>
  </si>
  <si>
    <t>01/18/2019</t>
  </si>
  <si>
    <t>01/17/2019</t>
  </si>
  <si>
    <t>01/16/2019</t>
  </si>
  <si>
    <t>01/15/2019</t>
  </si>
  <si>
    <t>01/14/2019</t>
  </si>
  <si>
    <t>12/31/2018</t>
  </si>
  <si>
    <t>12/28/2018</t>
  </si>
  <si>
    <t>12/27/2018</t>
  </si>
  <si>
    <t>12/26/2018</t>
  </si>
  <si>
    <t>12/24/2018</t>
  </si>
  <si>
    <t>12/21/2018</t>
  </si>
  <si>
    <t>12/20/2018</t>
  </si>
  <si>
    <t>12/19/2018</t>
  </si>
  <si>
    <t>12/18/2018</t>
  </si>
  <si>
    <t>12/17/2018</t>
  </si>
  <si>
    <t>12/14/2018</t>
  </si>
  <si>
    <t>12/13/2018</t>
  </si>
  <si>
    <t>11/30/2018</t>
  </si>
  <si>
    <t>11/29/2018</t>
  </si>
  <si>
    <t>11/28/2018</t>
  </si>
  <si>
    <t>11/27/2018</t>
  </si>
  <si>
    <t>11/26/2018</t>
  </si>
  <si>
    <t>11/22/2018</t>
  </si>
  <si>
    <t>11/21/2018</t>
  </si>
  <si>
    <t>11/20/2018</t>
  </si>
  <si>
    <t>11/19/2018</t>
  </si>
  <si>
    <t>11/16/2018</t>
  </si>
  <si>
    <t>11/15/2018</t>
  </si>
  <si>
    <t>11/14/2018</t>
  </si>
  <si>
    <t>11/13/2018</t>
  </si>
  <si>
    <t>10/31/2018</t>
  </si>
  <si>
    <t>10/30/2018</t>
  </si>
  <si>
    <t>10/29/2018</t>
  </si>
  <si>
    <t>10/26/2018</t>
  </si>
  <si>
    <t>10/25/2018</t>
  </si>
  <si>
    <t>10/24/2018</t>
  </si>
  <si>
    <t>10/23/2018</t>
  </si>
  <si>
    <t>10/22/2018</t>
  </si>
  <si>
    <t>10/19/2018</t>
  </si>
  <si>
    <t>10/17/2018</t>
  </si>
  <si>
    <t>10/16/2018</t>
  </si>
  <si>
    <t>10/15/2018</t>
  </si>
  <si>
    <t>09/28/2018</t>
  </si>
  <si>
    <t>09/27/2018</t>
  </si>
  <si>
    <t>09/26/2018</t>
  </si>
  <si>
    <t>09/25/2018</t>
  </si>
  <si>
    <t>09/24/2018</t>
  </si>
  <si>
    <t>09/21/2018</t>
  </si>
  <si>
    <t>09/19/2018</t>
  </si>
  <si>
    <t>09/18/2018</t>
  </si>
  <si>
    <t>09/17/2018</t>
  </si>
  <si>
    <t>09/14/2018</t>
  </si>
  <si>
    <t>08/31/2018</t>
  </si>
  <si>
    <t>08/30/2018</t>
  </si>
  <si>
    <t>08/29/2018</t>
  </si>
  <si>
    <t>08/28/2018</t>
  </si>
  <si>
    <t>08/27/2018</t>
  </si>
  <si>
    <t>08/24/2018</t>
  </si>
  <si>
    <t>08/23/2018</t>
  </si>
  <si>
    <t>08/21/2018</t>
  </si>
  <si>
    <t>08/20/2018</t>
  </si>
  <si>
    <t>08/17/2018</t>
  </si>
  <si>
    <t>08/16/2018</t>
  </si>
  <si>
    <t>08/14/2018</t>
  </si>
  <si>
    <t>08/13/2018</t>
  </si>
  <si>
    <t>07/31/2018</t>
  </si>
  <si>
    <t>07/30/2018</t>
  </si>
  <si>
    <t>07/27/2018</t>
  </si>
  <si>
    <t>07/26/2018</t>
  </si>
  <si>
    <t>07/25/2018</t>
  </si>
  <si>
    <t>07/24/2018</t>
  </si>
  <si>
    <t>07/23/2018</t>
  </si>
  <si>
    <t>07/20/2018</t>
  </si>
  <si>
    <t>07/19/2018</t>
  </si>
  <si>
    <t>07/18/2018</t>
  </si>
  <si>
    <t>07/17/2018</t>
  </si>
  <si>
    <t>07/16/2018</t>
  </si>
  <si>
    <t>07/13/2018</t>
  </si>
  <si>
    <t>06/29/2018</t>
  </si>
  <si>
    <t>06/28/2018</t>
  </si>
  <si>
    <t>06/27/2018</t>
  </si>
  <si>
    <t>06/26/2018</t>
  </si>
  <si>
    <t>06/25/2018</t>
  </si>
  <si>
    <t>06/22/2018</t>
  </si>
  <si>
    <t>06/21/2018</t>
  </si>
  <si>
    <t>06/20/2018</t>
  </si>
  <si>
    <t>06/19/2018</t>
  </si>
  <si>
    <t>06/18/2018</t>
  </si>
  <si>
    <t>06/15/2018</t>
  </si>
  <si>
    <t>06/14/2018</t>
  </si>
  <si>
    <t>06/13/2018</t>
  </si>
  <si>
    <t>05/31/2018</t>
  </si>
  <si>
    <t>05/30/2018</t>
  </si>
  <si>
    <t>05/29/2018</t>
  </si>
  <si>
    <t>05/28/2018</t>
  </si>
  <si>
    <t>05/25/2018</t>
  </si>
  <si>
    <t>05/24/2018</t>
  </si>
  <si>
    <t>05/23/2018</t>
  </si>
  <si>
    <t>05/22/2018</t>
  </si>
  <si>
    <t>05/21/2018</t>
  </si>
  <si>
    <t>05/18/2018</t>
  </si>
  <si>
    <t>05/17/2018</t>
  </si>
  <si>
    <t>05/16/2018</t>
  </si>
  <si>
    <t>05/15/2018</t>
  </si>
  <si>
    <t>05/14/2018</t>
  </si>
  <si>
    <t>04/30/2018</t>
  </si>
  <si>
    <t>04/27/2018</t>
  </si>
  <si>
    <t>04/26/2018</t>
  </si>
  <si>
    <t>04/25/2018</t>
  </si>
  <si>
    <t>04/24/2018</t>
  </si>
  <si>
    <t>04/23/2018</t>
  </si>
  <si>
    <t>04/20/2018</t>
  </si>
  <si>
    <t>04/19/2018</t>
  </si>
  <si>
    <t>04/18/2018</t>
  </si>
  <si>
    <t>04/17/2018</t>
  </si>
  <si>
    <t>04/16/2018</t>
  </si>
  <si>
    <t>04/13/2018</t>
  </si>
  <si>
    <t>03/28/2018</t>
  </si>
  <si>
    <t>03/27/2018</t>
  </si>
  <si>
    <t>03/26/2018</t>
  </si>
  <si>
    <t>03/23/2018</t>
  </si>
  <si>
    <t>03/22/2018</t>
  </si>
  <si>
    <t>03/21/2018</t>
  </si>
  <si>
    <t>03/20/2018</t>
  </si>
  <si>
    <t>03/19/2018</t>
  </si>
  <si>
    <t>03/16/2018</t>
  </si>
  <si>
    <t>03/15/2018</t>
  </si>
  <si>
    <t>03/14/2018</t>
  </si>
  <si>
    <t>03/13/2018</t>
  </si>
  <si>
    <t>02/28/2018</t>
  </si>
  <si>
    <t>02/27/2018</t>
  </si>
  <si>
    <t>02/26/2018</t>
  </si>
  <si>
    <t>02/23/2018</t>
  </si>
  <si>
    <t>02/22/2018</t>
  </si>
  <si>
    <t>02/21/2018</t>
  </si>
  <si>
    <t>02/20/2018</t>
  </si>
  <si>
    <t>02/19/2018</t>
  </si>
  <si>
    <t>02/16/2018</t>
  </si>
  <si>
    <t>02/15/2018</t>
  </si>
  <si>
    <t>02/14/2018</t>
  </si>
  <si>
    <t>01/31/2018</t>
  </si>
  <si>
    <t>01/30/2018</t>
  </si>
  <si>
    <t>01/29/2018</t>
  </si>
  <si>
    <t>01/25/2018</t>
  </si>
  <si>
    <t>01/24/2018</t>
  </si>
  <si>
    <t>01/23/2018</t>
  </si>
  <si>
    <t>01/22/2018</t>
  </si>
  <si>
    <t>01/19/2018</t>
  </si>
  <si>
    <t>01/18/2018</t>
  </si>
  <si>
    <t>01/17/2018</t>
  </si>
  <si>
    <t>01/16/2018</t>
  </si>
  <si>
    <t>01/15/2018</t>
  </si>
  <si>
    <t>12/29/2017</t>
  </si>
  <si>
    <t>12/28/2017</t>
  </si>
  <si>
    <t>12/27/2017</t>
  </si>
  <si>
    <t>12/26/2017</t>
  </si>
  <si>
    <t>12/22/2017</t>
  </si>
  <si>
    <t>12/21/2017</t>
  </si>
  <si>
    <t>12/20/2017</t>
  </si>
  <si>
    <t>12/19/2017</t>
  </si>
  <si>
    <t>12/18/2017</t>
  </si>
  <si>
    <t>12/15/2017</t>
  </si>
  <si>
    <t>12/14/2017</t>
  </si>
  <si>
    <t>12/13/2017</t>
  </si>
  <si>
    <t>11/30/2017</t>
  </si>
  <si>
    <t>11/29/2017</t>
  </si>
  <si>
    <t>11/28/2017</t>
  </si>
  <si>
    <t>11/27/2017</t>
  </si>
  <si>
    <t>11/24/2017</t>
  </si>
  <si>
    <t>11/23/2017</t>
  </si>
  <si>
    <t>11/22/2017</t>
  </si>
  <si>
    <t>11/21/2017</t>
  </si>
  <si>
    <t>11/20/2017</t>
  </si>
  <si>
    <t>11/17/2017</t>
  </si>
  <si>
    <t>11/16/2017</t>
  </si>
  <si>
    <t>11/15/2017</t>
  </si>
  <si>
    <t>11/14/2017</t>
  </si>
  <si>
    <t>11/13/2017</t>
  </si>
  <si>
    <t>10/31/2017</t>
  </si>
  <si>
    <t>10/30/2017</t>
  </si>
  <si>
    <t>10/27/2017</t>
  </si>
  <si>
    <t>10/26/2017</t>
  </si>
  <si>
    <t>10/25/2017</t>
  </si>
  <si>
    <t>10/24/2017</t>
  </si>
  <si>
    <t>10/23/2017</t>
  </si>
  <si>
    <t>10/19/2017</t>
  </si>
  <si>
    <t>10/18/2017</t>
  </si>
  <si>
    <t>10/17/2017</t>
  </si>
  <si>
    <t>10/16/2017</t>
  </si>
  <si>
    <t>10/13/2017</t>
  </si>
  <si>
    <t>09/29/2017</t>
  </si>
  <si>
    <t>09/28/2017</t>
  </si>
  <si>
    <t>09/27/2017</t>
  </si>
  <si>
    <t>09/26/2017</t>
  </si>
  <si>
    <t>09/25/2017</t>
  </si>
  <si>
    <t>09/22/2017</t>
  </si>
  <si>
    <t>09/21/2017</t>
  </si>
  <si>
    <t>09/20/2017</t>
  </si>
  <si>
    <t>09/19/2017</t>
  </si>
  <si>
    <t>09/18/2017</t>
  </si>
  <si>
    <t>09/15/2017</t>
  </si>
  <si>
    <t>09/14/2017</t>
  </si>
  <si>
    <t>09/13/2017</t>
  </si>
  <si>
    <t>08/31/2017</t>
  </si>
  <si>
    <t>08/30/2017</t>
  </si>
  <si>
    <t>08/29/2017</t>
  </si>
  <si>
    <t>08/28/2017</t>
  </si>
  <si>
    <t>08/24/2017</t>
  </si>
  <si>
    <t>08/23/2017</t>
  </si>
  <si>
    <t>08/22/2017</t>
  </si>
  <si>
    <t>08/21/2017</t>
  </si>
  <si>
    <t>08/18/2017</t>
  </si>
  <si>
    <t>08/17/2017</t>
  </si>
  <si>
    <t>08/16/2017</t>
  </si>
  <si>
    <t>08/14/2017</t>
  </si>
  <si>
    <t>07/31/2017</t>
  </si>
  <si>
    <t>07/28/2017</t>
  </si>
  <si>
    <t>07/27/2017</t>
  </si>
  <si>
    <t>07/26/2017</t>
  </si>
  <si>
    <t>07/25/2017</t>
  </si>
  <si>
    <t>07/24/2017</t>
  </si>
  <si>
    <t>07/21/2017</t>
  </si>
  <si>
    <t>07/20/2017</t>
  </si>
  <si>
    <t>07/19/2017</t>
  </si>
  <si>
    <t>07/18/2017</t>
  </si>
  <si>
    <t>07/17/2017</t>
  </si>
  <si>
    <t>07/14/2017</t>
  </si>
  <si>
    <t>07/13/2017</t>
  </si>
  <si>
    <t>06/30/2017</t>
  </si>
  <si>
    <t>06/29/2017</t>
  </si>
  <si>
    <t>06/28/2017</t>
  </si>
  <si>
    <t>06/27/2017</t>
  </si>
  <si>
    <t>06/23/2017</t>
  </si>
  <si>
    <t>06/22/2017</t>
  </si>
  <si>
    <t>06/21/2017</t>
  </si>
  <si>
    <t>06/20/2017</t>
  </si>
  <si>
    <t>06/19/2017</t>
  </si>
  <si>
    <t>06/16/2017</t>
  </si>
  <si>
    <t>06/15/2017</t>
  </si>
  <si>
    <t>06/14/2017</t>
  </si>
  <si>
    <t>06/13/2017</t>
  </si>
  <si>
    <t>05/31/2017</t>
  </si>
  <si>
    <t>05/30/2017</t>
  </si>
  <si>
    <t>05/29/2017</t>
  </si>
  <si>
    <t>05/26/2017</t>
  </si>
  <si>
    <t>05/25/2017</t>
  </si>
  <si>
    <t>05/24/2017</t>
  </si>
  <si>
    <t>05/23/2017</t>
  </si>
  <si>
    <t>05/22/2017</t>
  </si>
  <si>
    <t>05/19/2017</t>
  </si>
  <si>
    <t>05/18/2017</t>
  </si>
  <si>
    <t>05/17/2017</t>
  </si>
  <si>
    <t>05/16/2017</t>
  </si>
  <si>
    <t>05/15/2017</t>
  </si>
  <si>
    <t>04/28/2017</t>
  </si>
  <si>
    <t>04/27/2017</t>
  </si>
  <si>
    <t>04/26/2017</t>
  </si>
  <si>
    <t>04/25/2017</t>
  </si>
  <si>
    <t>04/24/2017</t>
  </si>
  <si>
    <t>04/21/2017</t>
  </si>
  <si>
    <t>04/20/2017</t>
  </si>
  <si>
    <t>04/19/2017</t>
  </si>
  <si>
    <t>04/18/2017</t>
  </si>
  <si>
    <t>04/17/2017</t>
  </si>
  <si>
    <t>04/13/2017</t>
  </si>
  <si>
    <t>03/31/2017</t>
  </si>
  <si>
    <t>03/30/2017</t>
  </si>
  <si>
    <t>03/29/2017</t>
  </si>
  <si>
    <t>03/28/2017</t>
  </si>
  <si>
    <t>03/27/2017</t>
  </si>
  <si>
    <t>03/24/2017</t>
  </si>
  <si>
    <t>03/23/2017</t>
  </si>
  <si>
    <t>03/22/2017</t>
  </si>
  <si>
    <t>03/21/2017</t>
  </si>
  <si>
    <t>03/20/2017</t>
  </si>
  <si>
    <t>03/17/2017</t>
  </si>
  <si>
    <t>03/16/2017</t>
  </si>
  <si>
    <t>03/15/2017</t>
  </si>
  <si>
    <t>03/14/2017</t>
  </si>
  <si>
    <t>02/28/2017</t>
  </si>
  <si>
    <t>02/27/2017</t>
  </si>
  <si>
    <t>02/23/2017</t>
  </si>
  <si>
    <t>02/22/2017</t>
  </si>
  <si>
    <t>02/21/2017</t>
  </si>
  <si>
    <t>02/20/2017</t>
  </si>
  <si>
    <t>02/17/2017</t>
  </si>
  <si>
    <t>02/16/2017</t>
  </si>
  <si>
    <t>02/15/2017</t>
  </si>
  <si>
    <t>02/14/2017</t>
  </si>
  <si>
    <t>02/13/2017</t>
  </si>
  <si>
    <t>01/31/2017</t>
  </si>
  <si>
    <t>01/30/2017</t>
  </si>
  <si>
    <t>01/27/2017</t>
  </si>
  <si>
    <t>01/25/2017</t>
  </si>
  <si>
    <t>01/24/2017</t>
  </si>
  <si>
    <t>01/23/2017</t>
  </si>
  <si>
    <t>01/20/2017</t>
  </si>
  <si>
    <t>01/19/2017</t>
  </si>
  <si>
    <t>01/18/2017</t>
  </si>
  <si>
    <t>01/17/2017</t>
  </si>
  <si>
    <t>01/16/2017</t>
  </si>
  <si>
    <t>01/13/2017</t>
  </si>
  <si>
    <t>12/30/2016</t>
  </si>
  <si>
    <t>12/29/2016</t>
  </si>
  <si>
    <t>12/28/2016</t>
  </si>
  <si>
    <t>12/27/2016</t>
  </si>
  <si>
    <t>12/26/2016</t>
  </si>
  <si>
    <t>12/23/2016</t>
  </si>
  <si>
    <t>12/22/2016</t>
  </si>
  <si>
    <t>12/21/2016</t>
  </si>
  <si>
    <t>12/20/2016</t>
  </si>
  <si>
    <t>12/19/2016</t>
  </si>
  <si>
    <t>12/16/2016</t>
  </si>
  <si>
    <t>12/15/2016</t>
  </si>
  <si>
    <t>12/14/2016</t>
  </si>
  <si>
    <t>12/13/2016</t>
  </si>
  <si>
    <t>11/30/2016</t>
  </si>
  <si>
    <t>11/29/2016</t>
  </si>
  <si>
    <t>11/28/2016</t>
  </si>
  <si>
    <t>11/25/2016</t>
  </si>
  <si>
    <t>11/24/2016</t>
  </si>
  <si>
    <t>11/23/2016</t>
  </si>
  <si>
    <t>11/22/2016</t>
  </si>
  <si>
    <t>11/21/2016</t>
  </si>
  <si>
    <t>11/18/2016</t>
  </si>
  <si>
    <t>11/17/2016</t>
  </si>
  <si>
    <t>11/16/2016</t>
  </si>
  <si>
    <t>11/15/2016</t>
  </si>
  <si>
    <t>10/30/2016</t>
  </si>
  <si>
    <t>10/28/2016</t>
  </si>
  <si>
    <t>10/27/2016</t>
  </si>
  <si>
    <t>10/26/2016</t>
  </si>
  <si>
    <t>10/25/2016</t>
  </si>
  <si>
    <t>10/24/2016</t>
  </si>
  <si>
    <t>10/21/2016</t>
  </si>
  <si>
    <t>10/20/2016</t>
  </si>
  <si>
    <t>10/19/2016</t>
  </si>
  <si>
    <t>10/18/2016</t>
  </si>
  <si>
    <t>10/17/2016</t>
  </si>
  <si>
    <t>10/14/2016</t>
  </si>
  <si>
    <t>10/13/2016</t>
  </si>
  <si>
    <t>09/30/2016</t>
  </si>
  <si>
    <t>09/29/2016</t>
  </si>
  <si>
    <t>09/28/2016</t>
  </si>
  <si>
    <t>09/27/2016</t>
  </si>
  <si>
    <t>09/26/2016</t>
  </si>
  <si>
    <t>09/23/2016</t>
  </si>
  <si>
    <t>09/22/2016</t>
  </si>
  <si>
    <t>09/21/2016</t>
  </si>
  <si>
    <t>09/20/2016</t>
  </si>
  <si>
    <t>09/19/2016</t>
  </si>
  <si>
    <t>09/16/2016</t>
  </si>
  <si>
    <t>09/15/2016</t>
  </si>
  <si>
    <t>09/14/2016</t>
  </si>
  <si>
    <t>08/31/2016</t>
  </si>
  <si>
    <t>08/30/2016</t>
  </si>
  <si>
    <t>08/29/2016</t>
  </si>
  <si>
    <t>08/26/2016</t>
  </si>
  <si>
    <t>08/25/2016</t>
  </si>
  <si>
    <t>08/24/2016</t>
  </si>
  <si>
    <t>08/23/2016</t>
  </si>
  <si>
    <t>08/22/2016</t>
  </si>
  <si>
    <t>08/19/2016</t>
  </si>
  <si>
    <t>08/18/2016</t>
  </si>
  <si>
    <t>08/17/2016</t>
  </si>
  <si>
    <t>08/16/2016</t>
  </si>
  <si>
    <t>Asian Paints</t>
  </si>
  <si>
    <t>Sensitivity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</si>
</sst>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 #,##0.00_ ;_ * \-#,##0.00_ ;_ * &quot;-&quot;??_ ;_ @_ "/>
    <numFmt numFmtId="164" formatCode="_(* #,##0.00_);_(* \(#,##0.00\);_(* &quot;-&quot;??_);_(@_)"/>
    <numFmt numFmtId="165" formatCode="#,##0.0"/>
    <numFmt numFmtId="166" formatCode="&quot;₹&quot;\ #,##0.0;\(&quot;₹&quot;\ #,##0.0\);\-"/>
    <numFmt numFmtId="167" formatCode="&quot;₹&quot;\ #,##0.00"/>
    <numFmt numFmtId="168" formatCode="&quot;₹&quot;\ #,##0.00;\(&quot;₹&quot;\ #,##0.00\);\-"/>
    <numFmt numFmtId="169" formatCode="[$-409]mmm\-yy;@"/>
    <numFmt numFmtId="170" formatCode="#,##0.0;\(#,##0.0\);\-"/>
    <numFmt numFmtId="171" formatCode="0.000000000000000%"/>
    <numFmt numFmtId="172" formatCode="mmm\-yy&quot;E&quot;"/>
    <numFmt numFmtId="173" formatCode="mmm\-yy&quot;A&quot;"/>
    <numFmt numFmtId="174" formatCode="0.000"/>
    <numFmt numFmtId="175" formatCode="0.0\X"/>
    <numFmt numFmtId="176" formatCode="0.0000"/>
    <numFmt numFmtId="177" formatCode="0.0%"/>
    <numFmt numFmtId="178" formatCode="0.0"/>
    <numFmt numFmtId="179" formatCode="0.0\x"/>
  </numFmts>
  <fonts count="49">
    <font>
      <sz val="11"/>
      <color theme="1"/>
      <name val="Calibri"/>
      <family val="2"/>
    </font>
    <font>
      <b/>
      <sz val="11"/>
      <color theme="1"/>
      <name val="calibri"/>
      <family val="2"/>
    </font>
    <font>
      <vertAlign val="superscript"/>
      <sz val="11"/>
      <color theme="1"/>
      <name val="Calibri"/>
      <family val="2"/>
    </font>
    <font>
      <b/>
      <sz val="14"/>
      <color theme="1"/>
      <name val="calibri"/>
      <family val="2"/>
    </font>
    <font>
      <sz val="14"/>
      <color theme="1"/>
      <name val="calibri"/>
      <family val="2"/>
    </font>
    <font>
      <sz val="11"/>
      <color theme="1"/>
      <name val="calibri"/>
      <family val="2"/>
    </font>
    <font>
      <sz val="11"/>
      <color rgb="FF3333FF"/>
      <name val="calibri"/>
      <family val="2"/>
    </font>
    <font>
      <i/>
      <sz val="10"/>
      <color theme="1"/>
      <name val="calibri"/>
      <family val="2"/>
    </font>
    <font>
      <i/>
      <sz val="9"/>
      <color theme="1"/>
      <name val="calibri"/>
      <family val="2"/>
    </font>
    <font>
      <b/>
      <sz val="11"/>
      <color theme="0"/>
      <name val="calibri"/>
      <family val="2"/>
    </font>
    <font>
      <sz val="11"/>
      <color theme="0"/>
      <name val="calibri"/>
      <family val="2"/>
    </font>
    <font>
      <i/>
      <sz val="11"/>
      <color theme="1"/>
      <name val="calibri"/>
      <family val="2"/>
    </font>
    <font>
      <i/>
      <sz val="11"/>
      <color theme="0" tint="-0.499984740745262"/>
      <name val="calibri"/>
      <family val="2"/>
    </font>
    <font>
      <u/>
      <sz val="11"/>
      <color theme="10"/>
      <name val="calibri"/>
      <family val="2"/>
    </font>
    <font>
      <sz val="11"/>
      <color theme="1"/>
      <name val="Calibri"/>
      <family val="2"/>
      <scheme val="minor"/>
    </font>
    <font>
      <b/>
      <sz val="10"/>
      <color theme="1"/>
      <name val="Arial"/>
      <family val="2"/>
    </font>
    <font>
      <u/>
      <sz val="10"/>
      <color theme="10"/>
      <name val="Arial"/>
      <family val="2"/>
    </font>
    <font>
      <sz val="10"/>
      <color theme="1"/>
      <name val="Arial"/>
      <family val="2"/>
    </font>
    <font>
      <sz val="11"/>
      <color theme="0"/>
      <name val="Calibri"/>
      <family val="2"/>
      <scheme val="minor"/>
    </font>
    <font>
      <b/>
      <sz val="10"/>
      <color theme="0"/>
      <name val="Arial"/>
      <family val="2"/>
    </font>
    <font>
      <sz val="10"/>
      <name val="Arial"/>
      <family val="2"/>
    </font>
    <font>
      <sz val="11"/>
      <color theme="1"/>
      <name val="Arial Narrow"/>
      <family val="2"/>
    </font>
    <font>
      <sz val="11"/>
      <color rgb="FF22222F"/>
      <name val="Arial"/>
      <family val="2"/>
    </font>
    <font>
      <sz val="11"/>
      <color rgb="FF22222F"/>
      <name val="Calibri "/>
    </font>
    <font>
      <sz val="11"/>
      <color rgb="FF22222F"/>
      <name val="Calibri "/>
    </font>
    <font>
      <sz val="11"/>
      <name val="calibri"/>
      <family val="2"/>
    </font>
    <font>
      <b/>
      <sz val="13"/>
      <color theme="0"/>
      <name val="calibri"/>
      <family val="2"/>
    </font>
    <font>
      <sz val="13"/>
      <color theme="1"/>
      <name val="Calibri"/>
      <family val="2"/>
    </font>
    <font>
      <sz val="13"/>
      <color theme="0"/>
      <name val="Calibri"/>
      <family val="2"/>
    </font>
    <font>
      <i/>
      <sz val="11"/>
      <color theme="1"/>
      <name val="Calibri"/>
      <family val="2"/>
      <scheme val="minor"/>
    </font>
    <font>
      <b/>
      <sz val="11"/>
      <color rgb="FF002060"/>
      <name val="Calibri"/>
      <family val="2"/>
      <scheme val="minor"/>
    </font>
    <font>
      <b/>
      <sz val="11"/>
      <color theme="1"/>
      <name val="Calibri"/>
      <family val="2"/>
      <scheme val="minor"/>
    </font>
    <font>
      <b/>
      <sz val="11"/>
      <color theme="0"/>
      <name val="Calibri"/>
      <family val="2"/>
      <scheme val="minor"/>
    </font>
    <font>
      <b/>
      <sz val="12"/>
      <color rgb="FF202122"/>
      <name val="Arial"/>
      <family val="2"/>
    </font>
    <font>
      <sz val="12"/>
      <color theme="1"/>
      <name val="Arial"/>
      <family val="2"/>
    </font>
    <font>
      <b/>
      <sz val="14"/>
      <color rgb="FFFF0000"/>
      <name val="calibri"/>
      <family val="2"/>
    </font>
    <font>
      <sz val="11"/>
      <color rgb="FF606F7B"/>
      <name val="Arial"/>
      <family val="2"/>
    </font>
    <font>
      <sz val="11"/>
      <color rgb="FF22222F"/>
      <name val="Arial"/>
      <family val="2"/>
    </font>
    <font>
      <sz val="11"/>
      <color rgb="FF606F7B"/>
      <name val="Arial"/>
      <family val="2"/>
    </font>
    <font>
      <b/>
      <sz val="22"/>
      <color theme="4" tint="-0.499984740745262"/>
      <name val="Calibri"/>
      <family val="2"/>
    </font>
    <font>
      <b/>
      <sz val="14"/>
      <color theme="4" tint="-0.499984740745262"/>
      <name val="calibri"/>
      <family val="2"/>
    </font>
    <font>
      <sz val="11"/>
      <color rgb="FF606F7B"/>
      <name val="Arial"/>
      <family val="2"/>
    </font>
    <font>
      <sz val="11"/>
      <color rgb="FF22222F"/>
      <name val="Arial"/>
      <family val="2"/>
    </font>
    <font>
      <sz val="11"/>
      <color rgb="FF002060"/>
      <name val="Calibri"/>
      <family val="2"/>
    </font>
    <font>
      <sz val="11"/>
      <color rgb="FF22222F"/>
      <name val="Arial"/>
      <family val="2"/>
    </font>
    <font>
      <b/>
      <sz val="11"/>
      <color rgb="FF002060"/>
      <name val="Calibri"/>
      <family val="2"/>
    </font>
    <font>
      <b/>
      <sz val="22"/>
      <color rgb="FF002060"/>
      <name val="Calibri"/>
      <family val="2"/>
    </font>
    <font>
      <b/>
      <sz val="14"/>
      <color rgb="FF002060"/>
      <name val="calibri"/>
      <family val="2"/>
    </font>
    <font>
      <b/>
      <sz val="18"/>
      <color rgb="FF002060"/>
      <name val="calibri"/>
      <family val="2"/>
    </font>
  </fonts>
  <fills count="12">
    <fill>
      <patternFill patternType="none"/>
    </fill>
    <fill>
      <patternFill patternType="gray125"/>
    </fill>
    <fill>
      <patternFill patternType="solid">
        <fgColor rgb="FF00206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8" tint="-0.499984740745262"/>
        <bgColor indexed="64"/>
      </patternFill>
    </fill>
    <fill>
      <patternFill patternType="solid">
        <fgColor theme="0" tint="-0.14999847407452621"/>
        <bgColor indexed="64"/>
      </patternFill>
    </fill>
    <fill>
      <patternFill patternType="solid">
        <fgColor theme="9"/>
      </patternFill>
    </fill>
    <fill>
      <patternFill patternType="solid">
        <fgColor rgb="FF0275D8"/>
        <bgColor indexed="64"/>
      </patternFill>
    </fill>
    <fill>
      <patternFill patternType="solid">
        <fgColor rgb="FFFFFFFF"/>
        <bgColor indexed="64"/>
      </patternFill>
    </fill>
    <fill>
      <patternFill patternType="solid">
        <fgColor theme="0"/>
        <bgColor indexed="64"/>
      </patternFill>
    </fill>
    <fill>
      <patternFill patternType="solid">
        <fgColor theme="4" tint="-0.499984740745262"/>
        <bgColor indexed="64"/>
      </patternFill>
    </fill>
  </fills>
  <borders count="20">
    <border>
      <left/>
      <right/>
      <top/>
      <bottom/>
      <diagonal/>
    </border>
    <border>
      <left/>
      <right/>
      <top style="thin">
        <color rgb="FF002060"/>
      </top>
      <bottom/>
      <diagonal/>
    </border>
    <border>
      <left/>
      <right/>
      <top/>
      <bottom style="thin">
        <color rgb="FF002060"/>
      </bottom>
      <diagonal/>
    </border>
    <border>
      <left/>
      <right/>
      <top style="thin">
        <color auto="1"/>
      </top>
      <bottom/>
      <diagonal/>
    </border>
    <border>
      <left/>
      <right/>
      <top/>
      <bottom style="thin">
        <color auto="1"/>
      </bottom>
      <diagonal/>
    </border>
    <border>
      <left/>
      <right/>
      <top style="hair">
        <color auto="1"/>
      </top>
      <bottom/>
      <diagonal/>
    </border>
    <border>
      <left/>
      <right/>
      <top/>
      <bottom style="thin">
        <color theme="8" tint="-0.499984740745262"/>
      </bottom>
      <diagonal/>
    </border>
    <border>
      <left/>
      <right/>
      <top style="hair">
        <color rgb="FF002060"/>
      </top>
      <bottom style="hair">
        <color rgb="FF002060"/>
      </bottom>
      <diagonal/>
    </border>
    <border>
      <left/>
      <right/>
      <top style="thin">
        <color rgb="FF002060"/>
      </top>
      <bottom style="thin">
        <color rgb="FF002060"/>
      </bottom>
      <diagonal/>
    </border>
    <border>
      <left/>
      <right/>
      <top style="thin">
        <color rgb="FF002060"/>
      </top>
      <bottom style="medium">
        <color rgb="FF002060"/>
      </bottom>
      <diagonal/>
    </border>
    <border>
      <left/>
      <right/>
      <top style="hair">
        <color rgb="FF002060"/>
      </top>
      <bottom style="medium">
        <color rgb="FF002060"/>
      </bottom>
      <diagonal/>
    </border>
    <border>
      <left/>
      <right/>
      <top style="hair">
        <color auto="1"/>
      </top>
      <bottom style="hair">
        <color auto="1"/>
      </bottom>
      <diagonal/>
    </border>
    <border>
      <left/>
      <right/>
      <top/>
      <bottom style="hair">
        <color rgb="FF002060"/>
      </bottom>
      <diagonal/>
    </border>
    <border>
      <left/>
      <right/>
      <top/>
      <bottom style="thin">
        <color theme="0"/>
      </bottom>
      <diagonal/>
    </border>
    <border>
      <left/>
      <right/>
      <top style="thin">
        <color auto="1"/>
      </top>
      <bottom style="thin">
        <color auto="1"/>
      </bottom>
      <diagonal/>
    </border>
    <border>
      <left/>
      <right/>
      <top style="medium">
        <color auto="1"/>
      </top>
      <bottom style="medium">
        <color auto="1"/>
      </bottom>
      <diagonal/>
    </border>
    <border>
      <left/>
      <right/>
      <top/>
      <bottom style="hair">
        <color auto="1"/>
      </bottom>
      <diagonal/>
    </border>
    <border>
      <left/>
      <right/>
      <top style="medium">
        <color theme="4" tint="-0.499984740745262"/>
      </top>
      <bottom/>
      <diagonal/>
    </border>
    <border>
      <left/>
      <right/>
      <top style="hair">
        <color rgb="FF002060"/>
      </top>
      <bottom/>
      <diagonal/>
    </border>
    <border>
      <left/>
      <right/>
      <top style="medium">
        <color rgb="FF002060"/>
      </top>
      <bottom/>
      <diagonal/>
    </border>
  </borders>
  <cellStyleXfs count="9">
    <xf numFmtId="0" fontId="0" fillId="0" borderId="0"/>
    <xf numFmtId="9" fontId="5" fillId="0" borderId="0" applyFont="0" applyFill="0" applyBorder="0" applyAlignment="0" applyProtection="0"/>
    <xf numFmtId="43" fontId="14" fillId="0" borderId="0" applyFont="0" applyFill="0" applyBorder="0" applyAlignment="0" applyProtection="0"/>
    <xf numFmtId="0" fontId="13" fillId="0" borderId="0" applyNumberFormat="0" applyFill="0" applyBorder="0" applyAlignment="0" applyProtection="0">
      <alignment vertical="top"/>
      <protection locked="0"/>
    </xf>
    <xf numFmtId="0" fontId="18" fillId="7" borderId="0" applyNumberFormat="0" applyBorder="0" applyAlignment="0" applyProtection="0"/>
    <xf numFmtId="0" fontId="14" fillId="0" borderId="0"/>
    <xf numFmtId="9" fontId="14" fillId="0" borderId="0" applyFont="0" applyFill="0" applyBorder="0" applyAlignment="0" applyProtection="0"/>
    <xf numFmtId="0" fontId="21" fillId="0" borderId="0"/>
    <xf numFmtId="0" fontId="13" fillId="0" borderId="0" applyNumberFormat="0" applyFill="0" applyBorder="0" applyAlignment="0" applyProtection="0"/>
  </cellStyleXfs>
  <cellXfs count="261">
    <xf numFmtId="0" fontId="0" fillId="0" borderId="0" xfId="0"/>
    <xf numFmtId="0" fontId="0" fillId="2" borderId="0" xfId="0" applyFill="1"/>
    <xf numFmtId="0" fontId="1" fillId="0" borderId="0" xfId="0" applyFont="1"/>
    <xf numFmtId="0" fontId="0" fillId="0" borderId="1" xfId="0" applyBorder="1"/>
    <xf numFmtId="0" fontId="0" fillId="0" borderId="2" xfId="0" applyBorder="1" applyAlignment="1">
      <alignment vertical="top"/>
    </xf>
    <xf numFmtId="0" fontId="3" fillId="3" borderId="0" xfId="0" applyFont="1" applyFill="1"/>
    <xf numFmtId="0" fontId="4" fillId="3" borderId="0" xfId="0" applyFont="1" applyFill="1"/>
    <xf numFmtId="0" fontId="0" fillId="3" borderId="0" xfId="0" applyFill="1"/>
    <xf numFmtId="0" fontId="0" fillId="0" borderId="0" xfId="0" applyAlignment="1">
      <alignment vertical="top"/>
    </xf>
    <xf numFmtId="2" fontId="0" fillId="0" borderId="0" xfId="0" applyNumberFormat="1"/>
    <xf numFmtId="0" fontId="0" fillId="0" borderId="1" xfId="0" applyBorder="1" applyAlignment="1">
      <alignment horizontal="right"/>
    </xf>
    <xf numFmtId="0" fontId="0" fillId="0" borderId="2" xfId="0" applyBorder="1" applyAlignment="1">
      <alignment horizontal="right" vertical="top"/>
    </xf>
    <xf numFmtId="2" fontId="6" fillId="0" borderId="0" xfId="0" applyNumberFormat="1" applyFont="1"/>
    <xf numFmtId="10" fontId="0" fillId="0" borderId="0" xfId="1" applyNumberFormat="1" applyFont="1"/>
    <xf numFmtId="10" fontId="6" fillId="0" borderId="0" xfId="0" applyNumberFormat="1" applyFont="1" applyAlignment="1">
      <alignment vertical="top"/>
    </xf>
    <xf numFmtId="10" fontId="0" fillId="0" borderId="0" xfId="0" applyNumberFormat="1"/>
    <xf numFmtId="0" fontId="1" fillId="0" borderId="3" xfId="0" applyFont="1" applyBorder="1"/>
    <xf numFmtId="10" fontId="0" fillId="0" borderId="3" xfId="1" applyNumberFormat="1" applyFont="1" applyBorder="1"/>
    <xf numFmtId="2" fontId="0" fillId="0" borderId="3" xfId="0" applyNumberFormat="1" applyBorder="1"/>
    <xf numFmtId="0" fontId="1" fillId="0" borderId="4" xfId="0" applyFont="1" applyBorder="1"/>
    <xf numFmtId="10" fontId="0" fillId="0" borderId="4" xfId="1" applyNumberFormat="1" applyFont="1" applyBorder="1"/>
    <xf numFmtId="2" fontId="0" fillId="0" borderId="4" xfId="0" applyNumberFormat="1" applyBorder="1"/>
    <xf numFmtId="10" fontId="0" fillId="4" borderId="0" xfId="1" applyNumberFormat="1" applyFont="1" applyFill="1" applyAlignment="1"/>
    <xf numFmtId="2" fontId="0" fillId="4" borderId="0" xfId="0" applyNumberFormat="1" applyFill="1"/>
    <xf numFmtId="0" fontId="0" fillId="0" borderId="4" xfId="0" applyBorder="1"/>
    <xf numFmtId="0" fontId="1" fillId="0" borderId="4" xfId="0" applyFont="1" applyBorder="1" applyAlignment="1">
      <alignment horizontal="right"/>
    </xf>
    <xf numFmtId="0" fontId="0" fillId="0" borderId="5" xfId="0" applyBorder="1"/>
    <xf numFmtId="10" fontId="0" fillId="0" borderId="5" xfId="1" applyNumberFormat="1" applyFont="1" applyBorder="1"/>
    <xf numFmtId="10" fontId="0" fillId="0" borderId="5" xfId="0" applyNumberFormat="1" applyBorder="1"/>
    <xf numFmtId="10" fontId="0" fillId="4" borderId="5" xfId="1" applyNumberFormat="1" applyFont="1" applyFill="1" applyBorder="1"/>
    <xf numFmtId="10" fontId="0" fillId="0" borderId="0" xfId="1" applyNumberFormat="1" applyFont="1" applyBorder="1"/>
    <xf numFmtId="2" fontId="0" fillId="0" borderId="5" xfId="0" applyNumberFormat="1" applyBorder="1"/>
    <xf numFmtId="0" fontId="7" fillId="0" borderId="0" xfId="0" applyFont="1"/>
    <xf numFmtId="0" fontId="8" fillId="0" borderId="0" xfId="0" applyFont="1"/>
    <xf numFmtId="165" fontId="6" fillId="0" borderId="0" xfId="0" applyNumberFormat="1" applyFont="1"/>
    <xf numFmtId="0" fontId="0" fillId="0" borderId="0" xfId="0" applyAlignment="1">
      <alignment horizontal="left"/>
    </xf>
    <xf numFmtId="14" fontId="0" fillId="0" borderId="0" xfId="0" applyNumberFormat="1" applyAlignment="1">
      <alignment horizontal="left"/>
    </xf>
    <xf numFmtId="0" fontId="1" fillId="0" borderId="0" xfId="0" applyFont="1" applyAlignment="1">
      <alignment horizontal="left"/>
    </xf>
    <xf numFmtId="0" fontId="1" fillId="0" borderId="0" xfId="0" applyFont="1" applyAlignment="1">
      <alignment horizontal="right"/>
    </xf>
    <xf numFmtId="0" fontId="1" fillId="0" borderId="6" xfId="0" applyFont="1" applyBorder="1" applyAlignment="1">
      <alignment horizontal="left"/>
    </xf>
    <xf numFmtId="0" fontId="1" fillId="0" borderId="6" xfId="0" applyFont="1" applyBorder="1" applyAlignment="1">
      <alignment horizontal="right"/>
    </xf>
    <xf numFmtId="0" fontId="0" fillId="6" borderId="0" xfId="0" applyFill="1"/>
    <xf numFmtId="2" fontId="0" fillId="6" borderId="0" xfId="0" applyNumberFormat="1" applyFill="1"/>
    <xf numFmtId="10" fontId="6" fillId="0" borderId="0" xfId="1" applyNumberFormat="1" applyFont="1"/>
    <xf numFmtId="0" fontId="9" fillId="2" borderId="0" xfId="0" applyFont="1" applyFill="1"/>
    <xf numFmtId="0" fontId="10" fillId="2" borderId="0" xfId="0" applyFont="1" applyFill="1"/>
    <xf numFmtId="10" fontId="0" fillId="0" borderId="0" xfId="0" applyNumberFormat="1" applyAlignment="1">
      <alignment horizontal="right"/>
    </xf>
    <xf numFmtId="0" fontId="1" fillId="4" borderId="0" xfId="0" applyFont="1" applyFill="1"/>
    <xf numFmtId="10" fontId="1" fillId="4" borderId="0" xfId="0" applyNumberFormat="1" applyFont="1" applyFill="1"/>
    <xf numFmtId="10" fontId="6" fillId="0" borderId="0" xfId="0" applyNumberFormat="1" applyFont="1" applyAlignment="1">
      <alignment horizontal="right"/>
    </xf>
    <xf numFmtId="2" fontId="0" fillId="4" borderId="0" xfId="0" applyNumberFormat="1" applyFill="1" applyAlignment="1">
      <alignment horizontal="right"/>
    </xf>
    <xf numFmtId="10" fontId="0" fillId="4" borderId="5" xfId="0" applyNumberFormat="1" applyFill="1" applyBorder="1"/>
    <xf numFmtId="10" fontId="0" fillId="0" borderId="0" xfId="1" applyNumberFormat="1" applyFont="1" applyFill="1" applyBorder="1"/>
    <xf numFmtId="0" fontId="1" fillId="6" borderId="0" xfId="0" applyFont="1" applyFill="1"/>
    <xf numFmtId="10" fontId="1" fillId="6" borderId="0" xfId="0" applyNumberFormat="1" applyFont="1" applyFill="1"/>
    <xf numFmtId="0" fontId="9" fillId="5" borderId="0" xfId="0" applyFont="1" applyFill="1"/>
    <xf numFmtId="17" fontId="9" fillId="5" borderId="0" xfId="0" applyNumberFormat="1" applyFont="1" applyFill="1"/>
    <xf numFmtId="17" fontId="9" fillId="5" borderId="0" xfId="0" applyNumberFormat="1" applyFont="1" applyFill="1" applyAlignment="1">
      <alignment horizontal="right"/>
    </xf>
    <xf numFmtId="0" fontId="9" fillId="0" borderId="0" xfId="0" applyFont="1"/>
    <xf numFmtId="17" fontId="9" fillId="0" borderId="0" xfId="0" applyNumberFormat="1" applyFont="1"/>
    <xf numFmtId="17" fontId="9" fillId="0" borderId="0" xfId="0" applyNumberFormat="1" applyFont="1" applyAlignment="1">
      <alignment horizontal="right"/>
    </xf>
    <xf numFmtId="0" fontId="1" fillId="3" borderId="0" xfId="0" applyFont="1" applyFill="1"/>
    <xf numFmtId="166" fontId="0" fillId="0" borderId="0" xfId="0" applyNumberFormat="1"/>
    <xf numFmtId="0" fontId="12" fillId="0" borderId="0" xfId="0" applyFont="1"/>
    <xf numFmtId="0" fontId="12" fillId="0" borderId="0" xfId="0" applyFont="1" applyAlignment="1">
      <alignment horizontal="right"/>
    </xf>
    <xf numFmtId="10" fontId="12" fillId="0" borderId="0" xfId="1" applyNumberFormat="1" applyFont="1"/>
    <xf numFmtId="0" fontId="1" fillId="0" borderId="7" xfId="0" applyFont="1" applyBorder="1"/>
    <xf numFmtId="167" fontId="1" fillId="0" borderId="7" xfId="0" applyNumberFormat="1" applyFont="1" applyBorder="1"/>
    <xf numFmtId="167" fontId="0" fillId="0" borderId="0" xfId="0" applyNumberFormat="1"/>
    <xf numFmtId="166" fontId="1" fillId="0" borderId="7" xfId="0" applyNumberFormat="1" applyFont="1" applyBorder="1"/>
    <xf numFmtId="168" fontId="0" fillId="0" borderId="0" xfId="0" applyNumberFormat="1"/>
    <xf numFmtId="0" fontId="11" fillId="0" borderId="0" xfId="0" applyFont="1"/>
    <xf numFmtId="166" fontId="1" fillId="0" borderId="0" xfId="0" applyNumberFormat="1" applyFont="1"/>
    <xf numFmtId="43" fontId="15" fillId="0" borderId="0" xfId="2" applyFont="1" applyBorder="1"/>
    <xf numFmtId="43" fontId="17" fillId="0" borderId="0" xfId="2" applyFont="1" applyBorder="1"/>
    <xf numFmtId="0" fontId="17" fillId="0" borderId="0" xfId="5" applyFont="1"/>
    <xf numFmtId="169" fontId="19" fillId="8" borderId="0" xfId="2" applyNumberFormat="1" applyFont="1" applyFill="1" applyBorder="1"/>
    <xf numFmtId="169" fontId="19" fillId="8" borderId="0" xfId="5" applyNumberFormat="1" applyFont="1" applyFill="1" applyAlignment="1">
      <alignment horizontal="center"/>
    </xf>
    <xf numFmtId="169" fontId="20" fillId="0" borderId="0" xfId="2" applyNumberFormat="1" applyFont="1" applyFill="1" applyBorder="1"/>
    <xf numFmtId="0" fontId="14" fillId="0" borderId="0" xfId="5"/>
    <xf numFmtId="9" fontId="17" fillId="0" borderId="0" xfId="6" applyFont="1" applyBorder="1"/>
    <xf numFmtId="0" fontId="21" fillId="0" borderId="0" xfId="7"/>
    <xf numFmtId="164" fontId="17" fillId="0" borderId="0" xfId="2" applyNumberFormat="1" applyFont="1" applyBorder="1"/>
    <xf numFmtId="3" fontId="0" fillId="0" borderId="0" xfId="0" applyNumberFormat="1"/>
    <xf numFmtId="17" fontId="9" fillId="2" borderId="0" xfId="0" applyNumberFormat="1" applyFont="1" applyFill="1"/>
    <xf numFmtId="0" fontId="1" fillId="0" borderId="8" xfId="0" applyFont="1" applyBorder="1"/>
    <xf numFmtId="0" fontId="0" fillId="0" borderId="7" xfId="0" applyBorder="1"/>
    <xf numFmtId="170" fontId="0" fillId="0" borderId="7" xfId="0" applyNumberFormat="1" applyBorder="1"/>
    <xf numFmtId="170" fontId="0" fillId="0" borderId="0" xfId="0" applyNumberFormat="1"/>
    <xf numFmtId="170" fontId="1" fillId="0" borderId="0" xfId="0" applyNumberFormat="1" applyFont="1"/>
    <xf numFmtId="0" fontId="1" fillId="0" borderId="1" xfId="0" applyFont="1" applyBorder="1"/>
    <xf numFmtId="170" fontId="0" fillId="0" borderId="1" xfId="0" applyNumberFormat="1" applyBorder="1"/>
    <xf numFmtId="170" fontId="1" fillId="0" borderId="8" xfId="0" applyNumberFormat="1" applyFont="1" applyBorder="1"/>
    <xf numFmtId="0" fontId="1" fillId="0" borderId="9" xfId="0" applyFont="1" applyBorder="1"/>
    <xf numFmtId="0" fontId="0" fillId="0" borderId="9" xfId="0" applyBorder="1"/>
    <xf numFmtId="10" fontId="1" fillId="0" borderId="9" xfId="1" applyNumberFormat="1" applyFont="1" applyBorder="1"/>
    <xf numFmtId="171" fontId="0" fillId="0" borderId="0" xfId="0" applyNumberFormat="1"/>
    <xf numFmtId="170" fontId="1" fillId="0" borderId="1" xfId="0" applyNumberFormat="1" applyFont="1" applyBorder="1"/>
    <xf numFmtId="170" fontId="1" fillId="0" borderId="9" xfId="0" applyNumberFormat="1" applyFont="1" applyBorder="1"/>
    <xf numFmtId="10" fontId="6" fillId="0" borderId="7" xfId="0" applyNumberFormat="1" applyFont="1" applyBorder="1"/>
    <xf numFmtId="170" fontId="25" fillId="0" borderId="7" xfId="0" applyNumberFormat="1" applyFont="1" applyBorder="1"/>
    <xf numFmtId="10" fontId="0" fillId="0" borderId="7" xfId="0" applyNumberFormat="1" applyBorder="1"/>
    <xf numFmtId="10" fontId="1" fillId="0" borderId="9" xfId="0" applyNumberFormat="1" applyFont="1" applyBorder="1"/>
    <xf numFmtId="0" fontId="26" fillId="2" borderId="0" xfId="0" applyFont="1" applyFill="1"/>
    <xf numFmtId="17" fontId="26" fillId="2" borderId="0" xfId="0" applyNumberFormat="1" applyFont="1" applyFill="1"/>
    <xf numFmtId="0" fontId="27" fillId="0" borderId="0" xfId="0" applyFont="1"/>
    <xf numFmtId="0" fontId="28" fillId="2" borderId="0" xfId="0" applyFont="1" applyFill="1"/>
    <xf numFmtId="17" fontId="0" fillId="0" borderId="0" xfId="0" applyNumberFormat="1"/>
    <xf numFmtId="0" fontId="1" fillId="6" borderId="5" xfId="0" applyFont="1" applyFill="1" applyBorder="1"/>
    <xf numFmtId="10" fontId="1" fillId="6" borderId="5" xfId="0" applyNumberFormat="1" applyFont="1" applyFill="1" applyBorder="1"/>
    <xf numFmtId="172" fontId="9" fillId="2" borderId="0" xfId="0" applyNumberFormat="1" applyFont="1" applyFill="1"/>
    <xf numFmtId="173" fontId="9" fillId="2" borderId="0" xfId="0" applyNumberFormat="1" applyFont="1" applyFill="1"/>
    <xf numFmtId="10" fontId="0" fillId="6" borderId="0" xfId="0" applyNumberFormat="1" applyFill="1"/>
    <xf numFmtId="0" fontId="0" fillId="0" borderId="11" xfId="0" applyBorder="1"/>
    <xf numFmtId="2" fontId="0" fillId="0" borderId="11" xfId="0" applyNumberFormat="1" applyBorder="1"/>
    <xf numFmtId="10" fontId="0" fillId="0" borderId="11" xfId="0" applyNumberFormat="1" applyBorder="1"/>
    <xf numFmtId="0" fontId="6" fillId="0" borderId="11" xfId="0" applyFont="1" applyBorder="1"/>
    <xf numFmtId="0" fontId="0" fillId="4" borderId="11" xfId="0" applyFill="1" applyBorder="1"/>
    <xf numFmtId="10" fontId="6" fillId="4" borderId="11" xfId="0" applyNumberFormat="1" applyFont="1" applyFill="1" applyBorder="1"/>
    <xf numFmtId="0" fontId="0" fillId="4" borderId="0" xfId="0" applyFill="1"/>
    <xf numFmtId="174" fontId="0" fillId="0" borderId="11" xfId="0" applyNumberFormat="1" applyBorder="1"/>
    <xf numFmtId="0" fontId="1" fillId="0" borderId="10" xfId="0" applyFont="1" applyBorder="1"/>
    <xf numFmtId="0" fontId="1" fillId="4" borderId="10" xfId="0" applyFont="1" applyFill="1" applyBorder="1"/>
    <xf numFmtId="2" fontId="1" fillId="0" borderId="10" xfId="0" applyNumberFormat="1" applyFont="1" applyBorder="1"/>
    <xf numFmtId="9" fontId="0" fillId="0" borderId="0" xfId="1" applyFont="1"/>
    <xf numFmtId="165" fontId="6" fillId="0" borderId="0" xfId="0" applyNumberFormat="1" applyFont="1" applyAlignment="1">
      <alignment horizontal="right"/>
    </xf>
    <xf numFmtId="10" fontId="6" fillId="0" borderId="0" xfId="1" applyNumberFormat="1" applyFont="1" applyAlignment="1">
      <alignment horizontal="right"/>
    </xf>
    <xf numFmtId="2" fontId="1" fillId="0" borderId="0" xfId="0" applyNumberFormat="1" applyFont="1"/>
    <xf numFmtId="2" fontId="10" fillId="10" borderId="0" xfId="0" applyNumberFormat="1" applyFont="1" applyFill="1"/>
    <xf numFmtId="10" fontId="1" fillId="0" borderId="0" xfId="0" applyNumberFormat="1" applyFont="1"/>
    <xf numFmtId="165" fontId="0" fillId="0" borderId="0" xfId="0" applyNumberFormat="1"/>
    <xf numFmtId="165" fontId="0" fillId="6" borderId="0" xfId="0" applyNumberFormat="1" applyFill="1"/>
    <xf numFmtId="39" fontId="0" fillId="0" borderId="0" xfId="0" applyNumberFormat="1"/>
    <xf numFmtId="0" fontId="10" fillId="2" borderId="0" xfId="0" applyFont="1" applyFill="1" applyAlignment="1">
      <alignment horizontal="left"/>
    </xf>
    <xf numFmtId="0" fontId="29" fillId="0" borderId="12" xfId="0" applyFont="1" applyBorder="1"/>
    <xf numFmtId="0" fontId="30" fillId="0" borderId="12" xfId="0" applyFont="1" applyBorder="1"/>
    <xf numFmtId="0" fontId="0" fillId="0" borderId="12" xfId="0" applyBorder="1"/>
    <xf numFmtId="0" fontId="18" fillId="2" borderId="0" xfId="0" applyFont="1" applyFill="1"/>
    <xf numFmtId="0" fontId="18" fillId="2" borderId="0" xfId="0" applyFont="1" applyFill="1" applyAlignment="1">
      <alignment wrapText="1"/>
    </xf>
    <xf numFmtId="0" fontId="18" fillId="0" borderId="0" xfId="0" applyFont="1"/>
    <xf numFmtId="0" fontId="18" fillId="0" borderId="0" xfId="0" applyFont="1" applyAlignment="1">
      <alignment wrapText="1"/>
    </xf>
    <xf numFmtId="0" fontId="0" fillId="4" borderId="7" xfId="0" applyFill="1" applyBorder="1"/>
    <xf numFmtId="165" fontId="0" fillId="4" borderId="7" xfId="0" applyNumberFormat="1" applyFill="1" applyBorder="1"/>
    <xf numFmtId="4" fontId="0" fillId="4" borderId="7" xfId="0" applyNumberFormat="1" applyFill="1" applyBorder="1"/>
    <xf numFmtId="0" fontId="18" fillId="4" borderId="7" xfId="0" applyFont="1" applyFill="1" applyBorder="1"/>
    <xf numFmtId="175" fontId="0" fillId="4" borderId="7" xfId="0" applyNumberFormat="1" applyFill="1" applyBorder="1"/>
    <xf numFmtId="165" fontId="0" fillId="0" borderId="7" xfId="0" applyNumberFormat="1" applyBorder="1"/>
    <xf numFmtId="4" fontId="0" fillId="0" borderId="7" xfId="0" applyNumberFormat="1" applyBorder="1"/>
    <xf numFmtId="0" fontId="31" fillId="4" borderId="7" xfId="0" applyFont="1" applyFill="1" applyBorder="1"/>
    <xf numFmtId="175" fontId="31" fillId="4" borderId="7" xfId="0" applyNumberFormat="1" applyFont="1" applyFill="1" applyBorder="1"/>
    <xf numFmtId="2" fontId="0" fillId="4" borderId="7" xfId="0" applyNumberFormat="1" applyFill="1" applyBorder="1"/>
    <xf numFmtId="0" fontId="32" fillId="2" borderId="12" xfId="0" applyFont="1" applyFill="1" applyBorder="1"/>
    <xf numFmtId="0" fontId="18" fillId="2" borderId="12" xfId="0" applyFont="1" applyFill="1" applyBorder="1"/>
    <xf numFmtId="3" fontId="0" fillId="0" borderId="7" xfId="0" applyNumberFormat="1" applyBorder="1"/>
    <xf numFmtId="4" fontId="0" fillId="0" borderId="0" xfId="0" applyNumberFormat="1"/>
    <xf numFmtId="0" fontId="31" fillId="4" borderId="14" xfId="0" applyFont="1" applyFill="1" applyBorder="1"/>
    <xf numFmtId="0" fontId="0" fillId="4" borderId="14" xfId="0" applyFill="1" applyBorder="1"/>
    <xf numFmtId="165" fontId="31" fillId="4" borderId="14" xfId="0" applyNumberFormat="1" applyFont="1" applyFill="1" applyBorder="1"/>
    <xf numFmtId="0" fontId="31" fillId="0" borderId="0" xfId="0" applyFont="1"/>
    <xf numFmtId="165" fontId="31" fillId="0" borderId="0" xfId="0" applyNumberFormat="1" applyFont="1"/>
    <xf numFmtId="0" fontId="29" fillId="0" borderId="0" xfId="0" applyFont="1"/>
    <xf numFmtId="10" fontId="25" fillId="0" borderId="0" xfId="0" applyNumberFormat="1" applyFont="1" applyAlignment="1">
      <alignment vertical="top"/>
    </xf>
    <xf numFmtId="165" fontId="25" fillId="0" borderId="0" xfId="0" applyNumberFormat="1" applyFont="1"/>
    <xf numFmtId="10" fontId="25" fillId="0" borderId="0" xfId="0" applyNumberFormat="1" applyFont="1"/>
    <xf numFmtId="0" fontId="10" fillId="0" borderId="0" xfId="0" applyFont="1"/>
    <xf numFmtId="0" fontId="0" fillId="0" borderId="0" xfId="0" applyAlignment="1">
      <alignment horizontal="center"/>
    </xf>
    <xf numFmtId="2" fontId="25" fillId="0" borderId="0" xfId="0" applyNumberFormat="1" applyFont="1"/>
    <xf numFmtId="10" fontId="6" fillId="6" borderId="0" xfId="0" applyNumberFormat="1" applyFont="1" applyFill="1"/>
    <xf numFmtId="0" fontId="0" fillId="0" borderId="0" xfId="0" applyAlignment="1">
      <alignment horizontal="right"/>
    </xf>
    <xf numFmtId="176" fontId="0" fillId="0" borderId="11" xfId="0" applyNumberFormat="1" applyBorder="1"/>
    <xf numFmtId="10" fontId="0" fillId="0" borderId="11" xfId="1" applyNumberFormat="1" applyFont="1" applyBorder="1"/>
    <xf numFmtId="177" fontId="0" fillId="0" borderId="11" xfId="1" applyNumberFormat="1" applyFont="1" applyBorder="1" applyAlignment="1">
      <alignment horizontal="left"/>
    </xf>
    <xf numFmtId="178" fontId="0" fillId="0" borderId="11" xfId="0" applyNumberFormat="1" applyBorder="1"/>
    <xf numFmtId="177" fontId="0" fillId="0" borderId="16" xfId="1" applyNumberFormat="1" applyFont="1" applyBorder="1" applyAlignment="1">
      <alignment horizontal="left"/>
    </xf>
    <xf numFmtId="10" fontId="0" fillId="0" borderId="16" xfId="0" applyNumberFormat="1" applyBorder="1"/>
    <xf numFmtId="10" fontId="0" fillId="0" borderId="16" xfId="1" applyNumberFormat="1" applyFont="1" applyBorder="1"/>
    <xf numFmtId="178" fontId="0" fillId="0" borderId="16" xfId="0" applyNumberFormat="1" applyBorder="1"/>
    <xf numFmtId="0" fontId="1" fillId="0" borderId="15" xfId="0" applyFont="1" applyBorder="1" applyAlignment="1">
      <alignment horizontal="left"/>
    </xf>
    <xf numFmtId="0" fontId="0" fillId="0" borderId="15" xfId="0" applyBorder="1"/>
    <xf numFmtId="0" fontId="1" fillId="0" borderId="15" xfId="0" applyFont="1" applyBorder="1" applyAlignment="1">
      <alignment horizontal="right"/>
    </xf>
    <xf numFmtId="176" fontId="1" fillId="0" borderId="15" xfId="0" applyNumberFormat="1" applyFont="1" applyBorder="1" applyAlignment="1">
      <alignment horizontal="right"/>
    </xf>
    <xf numFmtId="0" fontId="9" fillId="2" borderId="0" xfId="0" applyFont="1" applyFill="1" applyAlignment="1">
      <alignment horizontal="right"/>
    </xf>
    <xf numFmtId="2" fontId="0" fillId="0" borderId="0" xfId="0" applyNumberFormat="1" applyAlignment="1">
      <alignment horizontal="right"/>
    </xf>
    <xf numFmtId="174" fontId="0" fillId="0" borderId="0" xfId="0" applyNumberFormat="1" applyAlignment="1">
      <alignment horizontal="right"/>
    </xf>
    <xf numFmtId="0" fontId="0" fillId="0" borderId="16" xfId="0" applyBorder="1"/>
    <xf numFmtId="176" fontId="0" fillId="0" borderId="16" xfId="0" applyNumberFormat="1" applyBorder="1"/>
    <xf numFmtId="176" fontId="0" fillId="0" borderId="0" xfId="0" applyNumberFormat="1"/>
    <xf numFmtId="0" fontId="0" fillId="0" borderId="16" xfId="0" applyBorder="1" applyAlignment="1">
      <alignment horizontal="left"/>
    </xf>
    <xf numFmtId="0" fontId="0" fillId="0" borderId="11" xfId="0" applyBorder="1" applyAlignment="1">
      <alignment horizontal="left"/>
    </xf>
    <xf numFmtId="0" fontId="1" fillId="0" borderId="15" xfId="0" applyFont="1" applyBorder="1"/>
    <xf numFmtId="17" fontId="1" fillId="0" borderId="0" xfId="0" applyNumberFormat="1" applyFont="1"/>
    <xf numFmtId="0" fontId="35" fillId="0" borderId="0" xfId="0" applyFont="1"/>
    <xf numFmtId="10" fontId="1" fillId="0" borderId="0" xfId="1" applyNumberFormat="1" applyFont="1" applyFill="1"/>
    <xf numFmtId="0" fontId="36" fillId="0" borderId="0" xfId="0" applyFont="1" applyAlignment="1">
      <alignment horizontal="left" vertical="center" indent="2"/>
    </xf>
    <xf numFmtId="17" fontId="36" fillId="0" borderId="0" xfId="0" applyNumberFormat="1" applyFont="1" applyAlignment="1">
      <alignment horizontal="right" vertical="center" wrapText="1" indent="1"/>
    </xf>
    <xf numFmtId="0" fontId="37" fillId="0" borderId="0" xfId="0" applyFont="1" applyAlignment="1">
      <alignment horizontal="left" vertical="center" indent="2"/>
    </xf>
    <xf numFmtId="3" fontId="37" fillId="0" borderId="0" xfId="0" applyNumberFormat="1" applyFont="1" applyAlignment="1">
      <alignment horizontal="right" vertical="center" wrapText="1" indent="1"/>
    </xf>
    <xf numFmtId="0" fontId="37" fillId="0" borderId="0" xfId="0" applyFont="1" applyAlignment="1">
      <alignment horizontal="left" vertical="center"/>
    </xf>
    <xf numFmtId="0" fontId="22" fillId="0" borderId="0" xfId="0" applyFont="1" applyAlignment="1">
      <alignment horizontal="left" vertical="center"/>
    </xf>
    <xf numFmtId="3" fontId="22" fillId="0" borderId="0" xfId="0" applyNumberFormat="1" applyFont="1" applyAlignment="1">
      <alignment horizontal="right" vertical="center" wrapText="1" indent="1"/>
    </xf>
    <xf numFmtId="0" fontId="22" fillId="0" borderId="0" xfId="0" applyFont="1" applyAlignment="1">
      <alignment horizontal="right" vertical="center" wrapText="1" indent="1"/>
    </xf>
    <xf numFmtId="0" fontId="37" fillId="0" borderId="0" xfId="0" applyFont="1" applyAlignment="1">
      <alignment horizontal="right" vertical="center" wrapText="1" indent="1"/>
    </xf>
    <xf numFmtId="0" fontId="38" fillId="0" borderId="0" xfId="0" applyFont="1" applyAlignment="1">
      <alignment horizontal="left" vertical="center" indent="2"/>
    </xf>
    <xf numFmtId="3" fontId="38" fillId="0" borderId="0" xfId="0" applyNumberFormat="1" applyFont="1" applyAlignment="1">
      <alignment horizontal="right" vertical="center" wrapText="1" indent="1"/>
    </xf>
    <xf numFmtId="9" fontId="38" fillId="0" borderId="0" xfId="0" applyNumberFormat="1" applyFont="1" applyAlignment="1">
      <alignment horizontal="right" vertical="center" wrapText="1" indent="1"/>
    </xf>
    <xf numFmtId="0" fontId="0" fillId="11" borderId="0" xfId="0" applyFill="1"/>
    <xf numFmtId="0" fontId="39" fillId="9" borderId="0" xfId="0" applyFont="1" applyFill="1"/>
    <xf numFmtId="0" fontId="40" fillId="0" borderId="0" xfId="0" applyFont="1"/>
    <xf numFmtId="0" fontId="10" fillId="11" borderId="0" xfId="0" applyFont="1" applyFill="1"/>
    <xf numFmtId="0" fontId="40" fillId="0" borderId="17" xfId="0" applyFont="1" applyBorder="1"/>
    <xf numFmtId="0" fontId="0" fillId="0" borderId="17" xfId="0" applyBorder="1"/>
    <xf numFmtId="10" fontId="10" fillId="11" borderId="0" xfId="1" applyNumberFormat="1" applyFont="1" applyFill="1"/>
    <xf numFmtId="179" fontId="10" fillId="11" borderId="0" xfId="1" applyNumberFormat="1" applyFont="1" applyFill="1"/>
    <xf numFmtId="165" fontId="43" fillId="0" borderId="7" xfId="0" applyNumberFormat="1" applyFont="1" applyBorder="1"/>
    <xf numFmtId="170" fontId="0" fillId="0" borderId="18" xfId="0" applyNumberFormat="1" applyBorder="1"/>
    <xf numFmtId="170" fontId="1" fillId="0" borderId="7" xfId="0" applyNumberFormat="1" applyFont="1" applyBorder="1"/>
    <xf numFmtId="0" fontId="41" fillId="0" borderId="0" xfId="0" applyFont="1" applyAlignment="1">
      <alignment horizontal="left" vertical="center" indent="2"/>
    </xf>
    <xf numFmtId="0" fontId="41" fillId="0" borderId="0" xfId="0" applyFont="1" applyAlignment="1">
      <alignment horizontal="left" vertical="center" indent="1"/>
    </xf>
    <xf numFmtId="0" fontId="41" fillId="0" borderId="0" xfId="0" applyFont="1" applyAlignment="1">
      <alignment horizontal="right" vertical="center" wrapText="1" indent="1"/>
    </xf>
    <xf numFmtId="0" fontId="42" fillId="0" borderId="0" xfId="0" applyFont="1" applyAlignment="1">
      <alignment horizontal="left" vertical="center" indent="2"/>
    </xf>
    <xf numFmtId="0" fontId="13" fillId="0" borderId="0" xfId="8" applyFill="1" applyBorder="1" applyAlignment="1">
      <alignment horizontal="left" vertical="center" indent="1"/>
    </xf>
    <xf numFmtId="0" fontId="42" fillId="0" borderId="0" xfId="0" applyFont="1" applyAlignment="1">
      <alignment horizontal="right" vertical="center" wrapText="1" indent="1"/>
    </xf>
    <xf numFmtId="0" fontId="22" fillId="0" borderId="0" xfId="0" applyFont="1" applyAlignment="1">
      <alignment horizontal="left" vertical="center" indent="2"/>
    </xf>
    <xf numFmtId="0" fontId="42" fillId="0" borderId="0" xfId="0" applyFont="1" applyAlignment="1">
      <alignment horizontal="right" vertical="center" wrapText="1" indent="2"/>
    </xf>
    <xf numFmtId="0" fontId="42" fillId="0" borderId="0" xfId="0" applyFont="1" applyAlignment="1">
      <alignment horizontal="left" vertical="center" indent="1"/>
    </xf>
    <xf numFmtId="17" fontId="41" fillId="0" borderId="0" xfId="0" applyNumberFormat="1" applyFont="1" applyAlignment="1">
      <alignment horizontal="right" vertical="center" wrapText="1" indent="1"/>
    </xf>
    <xf numFmtId="0" fontId="44" fillId="0" borderId="0" xfId="0" applyFont="1" applyAlignment="1">
      <alignment horizontal="left" vertical="center" indent="2"/>
    </xf>
    <xf numFmtId="3" fontId="44" fillId="0" borderId="0" xfId="0" applyNumberFormat="1" applyFont="1" applyAlignment="1">
      <alignment horizontal="right" vertical="center" wrapText="1" indent="1"/>
    </xf>
    <xf numFmtId="0" fontId="44" fillId="0" borderId="0" xfId="0" applyFont="1" applyAlignment="1">
      <alignment horizontal="left" vertical="center"/>
    </xf>
    <xf numFmtId="9" fontId="0" fillId="0" borderId="0" xfId="0" applyNumberFormat="1"/>
    <xf numFmtId="17" fontId="22" fillId="9" borderId="0" xfId="0" applyNumberFormat="1" applyFont="1" applyFill="1" applyAlignment="1">
      <alignment horizontal="right" vertical="center" wrapText="1" indent="1"/>
    </xf>
    <xf numFmtId="17" fontId="0" fillId="9" borderId="0" xfId="0" applyNumberFormat="1" applyFill="1"/>
    <xf numFmtId="0" fontId="23" fillId="9" borderId="0" xfId="0" applyFont="1" applyFill="1" applyAlignment="1">
      <alignment vertical="center"/>
    </xf>
    <xf numFmtId="3" fontId="23" fillId="9" borderId="0" xfId="0" applyNumberFormat="1" applyFont="1" applyFill="1" applyAlignment="1">
      <alignment horizontal="right" vertical="center" wrapText="1" indent="1"/>
    </xf>
    <xf numFmtId="0" fontId="23" fillId="9" borderId="0" xfId="0" applyFont="1" applyFill="1" applyAlignment="1">
      <alignment horizontal="left" vertical="center"/>
    </xf>
    <xf numFmtId="0" fontId="24" fillId="9" borderId="0" xfId="0" applyFont="1" applyFill="1" applyAlignment="1">
      <alignment horizontal="left" vertical="center"/>
    </xf>
    <xf numFmtId="0" fontId="24" fillId="9" borderId="0" xfId="0" applyFont="1" applyFill="1" applyAlignment="1">
      <alignment horizontal="right" vertical="center" wrapText="1" indent="1"/>
    </xf>
    <xf numFmtId="3" fontId="24" fillId="9" borderId="0" xfId="0" applyNumberFormat="1" applyFont="1" applyFill="1" applyAlignment="1">
      <alignment horizontal="right" vertical="center" wrapText="1" indent="1"/>
    </xf>
    <xf numFmtId="0" fontId="23" fillId="9" borderId="0" xfId="0" applyFont="1" applyFill="1" applyAlignment="1">
      <alignment horizontal="right" vertical="center" wrapText="1" indent="1"/>
    </xf>
    <xf numFmtId="0" fontId="23" fillId="9" borderId="0" xfId="0" applyFont="1" applyFill="1" applyAlignment="1">
      <alignment horizontal="left" vertical="center" indent="1"/>
    </xf>
    <xf numFmtId="0" fontId="0" fillId="2" borderId="19" xfId="0" applyFill="1" applyBorder="1"/>
    <xf numFmtId="10" fontId="9" fillId="2" borderId="0" xfId="1" applyNumberFormat="1" applyFont="1" applyFill="1"/>
    <xf numFmtId="4" fontId="10" fillId="2" borderId="0" xfId="0" applyNumberFormat="1" applyFont="1" applyFill="1"/>
    <xf numFmtId="4" fontId="45" fillId="0" borderId="0" xfId="0" applyNumberFormat="1" applyFont="1" applyAlignment="1">
      <alignment horizontal="right"/>
    </xf>
    <xf numFmtId="0" fontId="46" fillId="9" borderId="0" xfId="0" applyFont="1" applyFill="1"/>
    <xf numFmtId="0" fontId="47" fillId="0" borderId="0" xfId="0" applyFont="1"/>
    <xf numFmtId="0" fontId="45" fillId="0" borderId="0" xfId="0" applyFont="1"/>
    <xf numFmtId="0" fontId="43" fillId="0" borderId="0" xfId="0" applyFont="1"/>
    <xf numFmtId="165" fontId="14" fillId="0" borderId="0" xfId="0" applyNumberFormat="1" applyFont="1"/>
    <xf numFmtId="0" fontId="11" fillId="0" borderId="0" xfId="0" applyFont="1" applyAlignment="1">
      <alignment horizontal="centerContinuous"/>
    </xf>
    <xf numFmtId="0" fontId="11" fillId="0" borderId="0" xfId="0" applyFont="1" applyAlignment="1">
      <alignment horizontal="center"/>
    </xf>
    <xf numFmtId="43" fontId="16" fillId="0" borderId="0" xfId="3" applyNumberFormat="1" applyFont="1" applyBorder="1" applyAlignment="1" applyProtection="1">
      <alignment horizontal="center"/>
    </xf>
    <xf numFmtId="43" fontId="19" fillId="7" borderId="0" xfId="4" applyNumberFormat="1" applyFont="1" applyBorder="1" applyAlignment="1">
      <alignment horizontal="center"/>
    </xf>
    <xf numFmtId="0" fontId="9" fillId="2" borderId="0" xfId="0" applyFont="1" applyFill="1" applyAlignment="1">
      <alignment horizontal="center"/>
    </xf>
    <xf numFmtId="0" fontId="48" fillId="0" borderId="19" xfId="0" applyFont="1" applyBorder="1" applyAlignment="1">
      <alignment horizontal="center"/>
    </xf>
    <xf numFmtId="0" fontId="0" fillId="0" borderId="0" xfId="0"/>
    <xf numFmtId="0" fontId="34" fillId="0" borderId="0" xfId="0" applyFont="1" applyAlignment="1">
      <alignment horizontal="left" vertical="center" wrapText="1"/>
    </xf>
    <xf numFmtId="0" fontId="33" fillId="0" borderId="0" xfId="0" applyFont="1" applyAlignment="1">
      <alignment horizontal="left" vertical="center" wrapText="1"/>
    </xf>
    <xf numFmtId="0" fontId="9" fillId="5" borderId="0" xfId="0" applyFont="1" applyFill="1" applyAlignment="1">
      <alignment horizontal="center"/>
    </xf>
    <xf numFmtId="0" fontId="18" fillId="2" borderId="13" xfId="0" applyFont="1" applyFill="1" applyBorder="1" applyAlignment="1">
      <alignment horizontal="center"/>
    </xf>
    <xf numFmtId="0" fontId="10" fillId="11" borderId="0" xfId="0" applyFont="1" applyFill="1" applyAlignment="1">
      <alignment horizontal="center"/>
    </xf>
  </cellXfs>
  <cellStyles count="9">
    <cellStyle name="Accent6 2" xfId="4" xr:uid="{C4E8E0CB-FE77-482F-93E0-B2E0584F0368}"/>
    <cellStyle name="Comma 2" xfId="2" xr:uid="{1A7DFA1D-C51A-40CE-910E-8390CF1EC924}"/>
    <cellStyle name="Hyperlink" xfId="8" builtinId="8"/>
    <cellStyle name="Hyperlink 2" xfId="3" xr:uid="{C7BBB295-D97F-41F6-AD82-25BFD9046B13}"/>
    <cellStyle name="Normal" xfId="0" builtinId="0"/>
    <cellStyle name="Normal 2" xfId="7" xr:uid="{633D282F-8662-4C6C-BDD9-AD052BE7F2A5}"/>
    <cellStyle name="Normal 3" xfId="5" xr:uid="{EAECDA40-276A-48EF-BFC3-4D8D193BC9C6}"/>
    <cellStyle name="Percent" xfId="1" builtinId="5"/>
    <cellStyle name="Percent 3" xfId="6" xr:uid="{43F4A9DE-7E1B-4A43-8A65-13C050C61561}"/>
  </cellStyles>
  <dxfs count="1">
    <dxf>
      <font>
        <b/>
        <i val="0"/>
        <color theme="0"/>
      </font>
      <fill>
        <patternFill>
          <bgColor theme="5"/>
        </patternFill>
      </fill>
    </dxf>
  </dxfs>
  <tableStyles count="0" defaultTableStyle="TableStyleMedium2" defaultPivotStyle="PivotStyleLight16"/>
  <colors>
    <mruColors>
      <color rgb="FFEE7525"/>
      <color rgb="FFFFFFFF"/>
      <color rgb="FFF7BB93"/>
      <color rgb="FFFF0000"/>
      <color rgb="FFF3A067"/>
      <color rgb="FFFBE0CD"/>
      <color rgb="FFFFC9C9"/>
      <color rgb="FFFF6565"/>
      <color rgb="FFF00000"/>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3333FF"/>
                </a:solidFill>
              </a:rPr>
              <a:t>Football</a:t>
            </a:r>
            <a:r>
              <a:rPr lang="en-IN" sz="1200" b="1" baseline="0">
                <a:solidFill>
                  <a:srgbClr val="3333FF"/>
                </a:solidFill>
              </a:rPr>
              <a:t> Field Analysis- Valuation Summary(Rs.)</a:t>
            </a:r>
            <a:endParaRPr lang="en-IN" sz="1200" b="1">
              <a:solidFill>
                <a:srgbClr val="3333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tockChart>
        <c:ser>
          <c:idx val="0"/>
          <c:order val="0"/>
          <c:spPr>
            <a:ln w="19050" cap="rnd">
              <a:noFill/>
              <a:round/>
            </a:ln>
            <a:effectLst/>
          </c:spPr>
          <c:marker>
            <c:symbol val="none"/>
          </c:marker>
          <c:cat>
            <c:strRef>
              <c:f>'Football Field Analysis'!$L$6:$L$10</c:f>
              <c:strCache>
                <c:ptCount val="5"/>
                <c:pt idx="0">
                  <c:v>Relative Valuation</c:v>
                </c:pt>
                <c:pt idx="1">
                  <c:v>DCF Bear</c:v>
                </c:pt>
                <c:pt idx="2">
                  <c:v>DCF Base</c:v>
                </c:pt>
                <c:pt idx="3">
                  <c:v>DCF Bull</c:v>
                </c:pt>
                <c:pt idx="4">
                  <c:v>52 Weeks Range</c:v>
                </c:pt>
              </c:strCache>
            </c:strRef>
          </c:cat>
          <c:val>
            <c:numRef>
              <c:f>'Football Field Analysis'!$N$6:$N$10</c:f>
              <c:numCache>
                <c:formatCode>0.00</c:formatCode>
                <c:ptCount val="5"/>
                <c:pt idx="0" formatCode="#,##0.0">
                  <c:v>3996.3477548048259</c:v>
                </c:pt>
                <c:pt idx="1">
                  <c:v>2312.0487993587635</c:v>
                </c:pt>
                <c:pt idx="2">
                  <c:v>2719.2985681045352</c:v>
                </c:pt>
                <c:pt idx="3">
                  <c:v>2774.6040922551956</c:v>
                </c:pt>
                <c:pt idx="4">
                  <c:v>3288</c:v>
                </c:pt>
              </c:numCache>
            </c:numRef>
          </c:val>
          <c:smooth val="0"/>
          <c:extLst>
            <c:ext xmlns:c16="http://schemas.microsoft.com/office/drawing/2014/chart" uri="{C3380CC4-5D6E-409C-BE32-E72D297353CC}">
              <c16:uniqueId val="{00000000-A30A-42EF-A5BF-9DDDB1325635}"/>
            </c:ext>
          </c:extLst>
        </c:ser>
        <c:ser>
          <c:idx val="1"/>
          <c:order val="1"/>
          <c:spPr>
            <a:ln w="19050" cap="rnd">
              <a:noFill/>
              <a:round/>
            </a:ln>
            <a:effectLst/>
          </c:spPr>
          <c:marker>
            <c:symbol val="none"/>
          </c:marker>
          <c:dLbls>
            <c:numFmt formatCode="[$₹-4009]\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Analysis'!$L$6:$L$10</c:f>
              <c:strCache>
                <c:ptCount val="5"/>
                <c:pt idx="0">
                  <c:v>Relative Valuation</c:v>
                </c:pt>
                <c:pt idx="1">
                  <c:v>DCF Bear</c:v>
                </c:pt>
                <c:pt idx="2">
                  <c:v>DCF Base</c:v>
                </c:pt>
                <c:pt idx="3">
                  <c:v>DCF Bull</c:v>
                </c:pt>
                <c:pt idx="4">
                  <c:v>52 Weeks Range</c:v>
                </c:pt>
              </c:strCache>
            </c:strRef>
          </c:cat>
          <c:val>
            <c:numRef>
              <c:f>'Football Field Analysis'!$O$6:$O$10</c:f>
              <c:numCache>
                <c:formatCode>0.00</c:formatCode>
                <c:ptCount val="5"/>
                <c:pt idx="0">
                  <c:v>3996.3477548048259</c:v>
                </c:pt>
                <c:pt idx="1">
                  <c:v>2312.0487993587635</c:v>
                </c:pt>
                <c:pt idx="2">
                  <c:v>2719.2985681045352</c:v>
                </c:pt>
                <c:pt idx="3">
                  <c:v>2774.6040922551956</c:v>
                </c:pt>
                <c:pt idx="4">
                  <c:v>3288</c:v>
                </c:pt>
              </c:numCache>
            </c:numRef>
          </c:val>
          <c:smooth val="0"/>
          <c:extLst>
            <c:ext xmlns:c16="http://schemas.microsoft.com/office/drawing/2014/chart" uri="{C3380CC4-5D6E-409C-BE32-E72D297353CC}">
              <c16:uniqueId val="{00000001-A30A-42EF-A5BF-9DDDB1325635}"/>
            </c:ext>
          </c:extLst>
        </c:ser>
        <c:ser>
          <c:idx val="2"/>
          <c:order val="2"/>
          <c:spPr>
            <a:ln w="19050" cap="rnd">
              <a:noFill/>
              <a:round/>
            </a:ln>
            <a:effectLst/>
          </c:spPr>
          <c:marker>
            <c:symbol val="none"/>
          </c:marker>
          <c:cat>
            <c:strRef>
              <c:f>'Football Field Analysis'!$L$6:$L$10</c:f>
              <c:strCache>
                <c:ptCount val="5"/>
                <c:pt idx="0">
                  <c:v>Relative Valuation</c:v>
                </c:pt>
                <c:pt idx="1">
                  <c:v>DCF Bear</c:v>
                </c:pt>
                <c:pt idx="2">
                  <c:v>DCF Base</c:v>
                </c:pt>
                <c:pt idx="3">
                  <c:v>DCF Bull</c:v>
                </c:pt>
                <c:pt idx="4">
                  <c:v>52 Weeks Range</c:v>
                </c:pt>
              </c:strCache>
            </c:strRef>
          </c:cat>
          <c:val>
            <c:numRef>
              <c:f>'Football Field Analysis'!$P$6:$P$10</c:f>
              <c:numCache>
                <c:formatCode>0.00</c:formatCode>
                <c:ptCount val="5"/>
                <c:pt idx="0">
                  <c:v>4543.4868433174652</c:v>
                </c:pt>
                <c:pt idx="1">
                  <c:v>3501.4766953781591</c:v>
                </c:pt>
                <c:pt idx="2">
                  <c:v>4633.7205579350848</c:v>
                </c:pt>
                <c:pt idx="3">
                  <c:v>4809.8473809994948</c:v>
                </c:pt>
                <c:pt idx="4">
                  <c:v>4440</c:v>
                </c:pt>
              </c:numCache>
            </c:numRef>
          </c:val>
          <c:smooth val="0"/>
          <c:extLst>
            <c:ext xmlns:c16="http://schemas.microsoft.com/office/drawing/2014/chart" uri="{C3380CC4-5D6E-409C-BE32-E72D297353CC}">
              <c16:uniqueId val="{00000002-A30A-42EF-A5BF-9DDDB1325635}"/>
            </c:ext>
          </c:extLst>
        </c:ser>
        <c:ser>
          <c:idx val="3"/>
          <c:order val="3"/>
          <c:spPr>
            <a:ln w="19050" cap="rnd">
              <a:noFill/>
              <a:round/>
            </a:ln>
            <a:effectLst/>
          </c:spPr>
          <c:marker>
            <c:symbol val="none"/>
          </c:marker>
          <c:dLbls>
            <c:numFmt formatCode="[$₹-4009]\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Analysis'!$L$6:$L$10</c:f>
              <c:strCache>
                <c:ptCount val="5"/>
                <c:pt idx="0">
                  <c:v>Relative Valuation</c:v>
                </c:pt>
                <c:pt idx="1">
                  <c:v>DCF Bear</c:v>
                </c:pt>
                <c:pt idx="2">
                  <c:v>DCF Base</c:v>
                </c:pt>
                <c:pt idx="3">
                  <c:v>DCF Bull</c:v>
                </c:pt>
                <c:pt idx="4">
                  <c:v>52 Weeks Range</c:v>
                </c:pt>
              </c:strCache>
            </c:strRef>
          </c:cat>
          <c:val>
            <c:numRef>
              <c:f>'Football Field Analysis'!$Q$6:$Q$10</c:f>
              <c:numCache>
                <c:formatCode>0.00</c:formatCode>
                <c:ptCount val="5"/>
                <c:pt idx="0">
                  <c:v>4543.4868433174652</c:v>
                </c:pt>
                <c:pt idx="1">
                  <c:v>3501.4766953781591</c:v>
                </c:pt>
                <c:pt idx="2">
                  <c:v>4633.7205579350848</c:v>
                </c:pt>
                <c:pt idx="3">
                  <c:v>4809.8473809994948</c:v>
                </c:pt>
                <c:pt idx="4">
                  <c:v>4440</c:v>
                </c:pt>
              </c:numCache>
            </c:numRef>
          </c:val>
          <c:smooth val="0"/>
          <c:extLst>
            <c:ext xmlns:c16="http://schemas.microsoft.com/office/drawing/2014/chart" uri="{C3380CC4-5D6E-409C-BE32-E72D297353CC}">
              <c16:uniqueId val="{00000003-A30A-42EF-A5BF-9DDDB1325635}"/>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3333FF"/>
              </a:solidFill>
              <a:ln w="9525" cap="flat" cmpd="sng" algn="ctr">
                <a:solidFill>
                  <a:schemeClr val="tx1">
                    <a:lumMod val="65000"/>
                    <a:lumOff val="35000"/>
                  </a:schemeClr>
                </a:solidFill>
                <a:round/>
              </a:ln>
              <a:effectLst/>
            </c:spPr>
          </c:upBars>
          <c:downBars>
            <c:spPr>
              <a:solidFill>
                <a:srgbClr val="0070C0"/>
              </a:solidFill>
              <a:ln w="9525" cap="flat" cmpd="sng" algn="ctr">
                <a:solidFill>
                  <a:schemeClr val="tx1">
                    <a:lumMod val="65000"/>
                    <a:lumOff val="35000"/>
                  </a:schemeClr>
                </a:solidFill>
                <a:round/>
              </a:ln>
              <a:effectLst/>
            </c:spPr>
          </c:downBars>
        </c:upDownBars>
        <c:axId val="1491000495"/>
        <c:axId val="1491006255"/>
      </c:stockChart>
      <c:catAx>
        <c:axId val="14910004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06255"/>
        <c:crosses val="autoZero"/>
        <c:auto val="1"/>
        <c:lblAlgn val="ctr"/>
        <c:lblOffset val="100"/>
        <c:noMultiLvlLbl val="0"/>
      </c:catAx>
      <c:valAx>
        <c:axId val="1491006255"/>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0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rgbClr val="00206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Score'!$C$68:$I$68</c:f>
              <c:numCache>
                <c:formatCode>mmm\-yy</c:formatCode>
                <c:ptCount val="7"/>
                <c:pt idx="0">
                  <c:v>43921</c:v>
                </c:pt>
                <c:pt idx="1">
                  <c:v>44286</c:v>
                </c:pt>
                <c:pt idx="2">
                  <c:v>44651</c:v>
                </c:pt>
                <c:pt idx="3">
                  <c:v>45016</c:v>
                </c:pt>
                <c:pt idx="4">
                  <c:v>45382</c:v>
                </c:pt>
                <c:pt idx="5">
                  <c:v>45747</c:v>
                </c:pt>
                <c:pt idx="6">
                  <c:v>46112</c:v>
                </c:pt>
              </c:numCache>
            </c:numRef>
          </c:cat>
          <c:val>
            <c:numRef>
              <c:f>'Altman Z Score'!$C$71:$I$71</c:f>
              <c:numCache>
                <c:formatCode>0.00%</c:formatCode>
                <c:ptCount val="7"/>
                <c:pt idx="0">
                  <c:v>0.46589812437165184</c:v>
                </c:pt>
                <c:pt idx="1">
                  <c:v>0.40649236419607471</c:v>
                </c:pt>
                <c:pt idx="2">
                  <c:v>0.38970258119422851</c:v>
                </c:pt>
                <c:pt idx="3">
                  <c:v>0.36234025476258958</c:v>
                </c:pt>
                <c:pt idx="4">
                  <c:v>0.32692592754219535</c:v>
                </c:pt>
                <c:pt idx="5">
                  <c:v>0.3392517540036562</c:v>
                </c:pt>
                <c:pt idx="6">
                  <c:v>0.29230056661972337</c:v>
                </c:pt>
              </c:numCache>
            </c:numRef>
          </c:val>
          <c:extLst>
            <c:ext xmlns:c16="http://schemas.microsoft.com/office/drawing/2014/chart" uri="{C3380CC4-5D6E-409C-BE32-E72D297353CC}">
              <c16:uniqueId val="{00000008-1BFF-4B43-BFF1-568F658F0096}"/>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1"/>
          <c:order val="0"/>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Score'!$C$74:$I$74</c:f>
              <c:numCache>
                <c:formatCode>mmm\-yy</c:formatCode>
                <c:ptCount val="7"/>
                <c:pt idx="0">
                  <c:v>43921</c:v>
                </c:pt>
                <c:pt idx="1">
                  <c:v>44286</c:v>
                </c:pt>
                <c:pt idx="2">
                  <c:v>44651</c:v>
                </c:pt>
                <c:pt idx="3">
                  <c:v>45016</c:v>
                </c:pt>
                <c:pt idx="4">
                  <c:v>45382</c:v>
                </c:pt>
                <c:pt idx="5">
                  <c:v>45747</c:v>
                </c:pt>
                <c:pt idx="6">
                  <c:v>46112</c:v>
                </c:pt>
              </c:numCache>
            </c:numRef>
          </c:cat>
          <c:val>
            <c:numRef>
              <c:f>'Altman Z Score'!$C$77:$I$77</c:f>
              <c:numCache>
                <c:formatCode>0.00%</c:formatCode>
                <c:ptCount val="7"/>
                <c:pt idx="0">
                  <c:v>1.7215690428964557E-2</c:v>
                </c:pt>
                <c:pt idx="1">
                  <c:v>0</c:v>
                </c:pt>
                <c:pt idx="2">
                  <c:v>1.5158328937427537E-2</c:v>
                </c:pt>
                <c:pt idx="3">
                  <c:v>1.9291925667778067E-2</c:v>
                </c:pt>
                <c:pt idx="4">
                  <c:v>1.7498171537922793E-2</c:v>
                </c:pt>
                <c:pt idx="5">
                  <c:v>2.5886297182993144E-2</c:v>
                </c:pt>
                <c:pt idx="6">
                  <c:v>1.9775576333289521E-2</c:v>
                </c:pt>
              </c:numCache>
            </c:numRef>
          </c:val>
          <c:extLst>
            <c:ext xmlns:c16="http://schemas.microsoft.com/office/drawing/2014/chart" uri="{C3380CC4-5D6E-409C-BE32-E72D297353CC}">
              <c16:uniqueId val="{0000000A-9A21-4E4B-A005-4E0E384D942E}"/>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rgbClr val="00206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Score'!$C$80:$I$80</c:f>
              <c:numCache>
                <c:formatCode>mmm\-yy</c:formatCode>
                <c:ptCount val="7"/>
                <c:pt idx="0">
                  <c:v>43921</c:v>
                </c:pt>
                <c:pt idx="1">
                  <c:v>44286</c:v>
                </c:pt>
                <c:pt idx="2">
                  <c:v>44651</c:v>
                </c:pt>
                <c:pt idx="3">
                  <c:v>45016</c:v>
                </c:pt>
                <c:pt idx="4">
                  <c:v>45382</c:v>
                </c:pt>
                <c:pt idx="5">
                  <c:v>45747</c:v>
                </c:pt>
                <c:pt idx="6">
                  <c:v>46112</c:v>
                </c:pt>
              </c:numCache>
            </c:numRef>
          </c:cat>
          <c:val>
            <c:numRef>
              <c:f>'Altman Z Score'!$C$83:$I$83</c:f>
              <c:numCache>
                <c:formatCode>0.00%</c:formatCode>
                <c:ptCount val="7"/>
                <c:pt idx="0">
                  <c:v>7.2030518141471128E-2</c:v>
                </c:pt>
                <c:pt idx="1">
                  <c:v>6.6289448993139405E-2</c:v>
                </c:pt>
                <c:pt idx="2">
                  <c:v>6.6972008812645978E-2</c:v>
                </c:pt>
                <c:pt idx="3">
                  <c:v>7.176887988143231E-2</c:v>
                </c:pt>
                <c:pt idx="4">
                  <c:v>7.3838684385979139E-2</c:v>
                </c:pt>
                <c:pt idx="5">
                  <c:v>7.9938258163921069E-2</c:v>
                </c:pt>
                <c:pt idx="6">
                  <c:v>6.8627613735156093E-2</c:v>
                </c:pt>
              </c:numCache>
            </c:numRef>
          </c:val>
          <c:extLst>
            <c:ext xmlns:c16="http://schemas.microsoft.com/office/drawing/2014/chart" uri="{C3380CC4-5D6E-409C-BE32-E72D297353CC}">
              <c16:uniqueId val="{00000008-AA44-4589-9D26-7A264E59FB1E}"/>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rgbClr val="00206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Score'!$C$86:$I$86</c:f>
              <c:numCache>
                <c:formatCode>mmm\-yy</c:formatCode>
                <c:ptCount val="7"/>
                <c:pt idx="0">
                  <c:v>43921</c:v>
                </c:pt>
                <c:pt idx="1">
                  <c:v>44286</c:v>
                </c:pt>
                <c:pt idx="2">
                  <c:v>44651</c:v>
                </c:pt>
                <c:pt idx="3">
                  <c:v>45016</c:v>
                </c:pt>
                <c:pt idx="4">
                  <c:v>45382</c:v>
                </c:pt>
                <c:pt idx="5">
                  <c:v>45747</c:v>
                </c:pt>
                <c:pt idx="6">
                  <c:v>46112</c:v>
                </c:pt>
              </c:numCache>
            </c:numRef>
          </c:cat>
          <c:val>
            <c:numRef>
              <c:f>'Altman Z Score'!$C$89:$I$89</c:f>
              <c:numCache>
                <c:formatCode>0.00%</c:formatCode>
                <c:ptCount val="7"/>
                <c:pt idx="0">
                  <c:v>0.79277614367711591</c:v>
                </c:pt>
                <c:pt idx="1">
                  <c:v>1.4803068630590808</c:v>
                </c:pt>
                <c:pt idx="2">
                  <c:v>1.9788365253224733</c:v>
                </c:pt>
                <c:pt idx="3">
                  <c:v>2.5211218090858183</c:v>
                </c:pt>
                <c:pt idx="4">
                  <c:v>4.4480884349130383</c:v>
                </c:pt>
                <c:pt idx="5">
                  <c:v>3.6270846388819571</c:v>
                </c:pt>
                <c:pt idx="6">
                  <c:v>3.8410228970994349</c:v>
                </c:pt>
              </c:numCache>
            </c:numRef>
          </c:val>
          <c:extLst>
            <c:ext xmlns:c16="http://schemas.microsoft.com/office/drawing/2014/chart" uri="{C3380CC4-5D6E-409C-BE32-E72D297353CC}">
              <c16:uniqueId val="{0000000F-8F8C-4AD2-9092-F6C32EDA3E54}"/>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1"/>
          <c:order val="0"/>
          <c:spPr>
            <a:solidFill>
              <a:srgbClr val="002060"/>
            </a:solidFill>
            <a:ln>
              <a:noFill/>
            </a:ln>
            <a:effectLst/>
          </c:spPr>
          <c:invertIfNegative val="0"/>
          <c:dPt>
            <c:idx val="3"/>
            <c:invertIfNegative val="0"/>
            <c:bubble3D val="0"/>
            <c:spPr>
              <a:solidFill>
                <a:srgbClr val="002060"/>
              </a:solidFill>
              <a:ln>
                <a:noFill/>
              </a:ln>
              <a:effectLst/>
            </c:spPr>
            <c:extLst>
              <c:ext xmlns:c16="http://schemas.microsoft.com/office/drawing/2014/chart" uri="{C3380CC4-5D6E-409C-BE32-E72D297353CC}">
                <c16:uniqueId val="{00000001-1C55-40CB-AE60-1E80489F02B3}"/>
              </c:ext>
            </c:extLst>
          </c:dPt>
          <c:dPt>
            <c:idx val="4"/>
            <c:invertIfNegative val="0"/>
            <c:bubble3D val="0"/>
            <c:spPr>
              <a:solidFill>
                <a:srgbClr val="002060"/>
              </a:solidFill>
              <a:ln>
                <a:noFill/>
              </a:ln>
              <a:effectLst/>
            </c:spPr>
            <c:extLst>
              <c:ext xmlns:c16="http://schemas.microsoft.com/office/drawing/2014/chart" uri="{C3380CC4-5D6E-409C-BE32-E72D297353CC}">
                <c16:uniqueId val="{00000003-1C55-40CB-AE60-1E80489F02B3}"/>
              </c:ext>
            </c:extLst>
          </c:dPt>
          <c:dPt>
            <c:idx val="5"/>
            <c:invertIfNegative val="0"/>
            <c:bubble3D val="0"/>
            <c:spPr>
              <a:solidFill>
                <a:srgbClr val="002060"/>
              </a:solidFill>
              <a:ln>
                <a:noFill/>
              </a:ln>
              <a:effectLst/>
            </c:spPr>
            <c:extLst>
              <c:ext xmlns:c16="http://schemas.microsoft.com/office/drawing/2014/chart" uri="{C3380CC4-5D6E-409C-BE32-E72D297353CC}">
                <c16:uniqueId val="{00000005-1C55-40CB-AE60-1E80489F02B3}"/>
              </c:ext>
            </c:extLst>
          </c:dPt>
          <c:dPt>
            <c:idx val="6"/>
            <c:invertIfNegative val="0"/>
            <c:bubble3D val="0"/>
            <c:spPr>
              <a:solidFill>
                <a:srgbClr val="002060"/>
              </a:solidFill>
              <a:ln>
                <a:noFill/>
              </a:ln>
              <a:effectLst/>
            </c:spPr>
            <c:extLst>
              <c:ext xmlns:c16="http://schemas.microsoft.com/office/drawing/2014/chart" uri="{C3380CC4-5D6E-409C-BE32-E72D297353CC}">
                <c16:uniqueId val="{00000007-1C55-40CB-AE60-1E80489F02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Score'!$C$94:$I$94</c:f>
              <c:numCache>
                <c:formatCode>mmm\-yy</c:formatCode>
                <c:ptCount val="7"/>
                <c:pt idx="0">
                  <c:v>43921</c:v>
                </c:pt>
                <c:pt idx="1">
                  <c:v>44286</c:v>
                </c:pt>
                <c:pt idx="2">
                  <c:v>44651</c:v>
                </c:pt>
                <c:pt idx="3">
                  <c:v>45016</c:v>
                </c:pt>
                <c:pt idx="4">
                  <c:v>45382</c:v>
                </c:pt>
                <c:pt idx="5">
                  <c:v>45747</c:v>
                </c:pt>
                <c:pt idx="6">
                  <c:v>46112</c:v>
                </c:pt>
              </c:numCache>
            </c:numRef>
          </c:cat>
          <c:val>
            <c:numRef>
              <c:f>'Altman Z Score'!$C$97:$I$97</c:f>
              <c:numCache>
                <c:formatCode>0.00%</c:formatCode>
                <c:ptCount val="7"/>
                <c:pt idx="0">
                  <c:v>0.47426958858946416</c:v>
                </c:pt>
                <c:pt idx="1">
                  <c:v>0.43850758017582031</c:v>
                </c:pt>
                <c:pt idx="2">
                  <c:v>0.49061923767108662</c:v>
                </c:pt>
                <c:pt idx="3">
                  <c:v>0.55604650804490141</c:v>
                </c:pt>
                <c:pt idx="4">
                  <c:v>0.65109359964951941</c:v>
                </c:pt>
                <c:pt idx="5">
                  <c:v>0.67455802025189826</c:v>
                </c:pt>
                <c:pt idx="6">
                  <c:v>0.63193025676022097</c:v>
                </c:pt>
              </c:numCache>
            </c:numRef>
          </c:val>
          <c:extLst>
            <c:ext xmlns:c16="http://schemas.microsoft.com/office/drawing/2014/chart" uri="{C3380CC4-5D6E-409C-BE32-E72D297353CC}">
              <c16:uniqueId val="{0000000E-9845-4C5C-A01E-186A3B601E72}"/>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Score'!$C$100:$I$100</c:f>
              <c:numCache>
                <c:formatCode>mmm\-yy</c:formatCode>
                <c:ptCount val="7"/>
                <c:pt idx="0">
                  <c:v>43921</c:v>
                </c:pt>
                <c:pt idx="1">
                  <c:v>44286</c:v>
                </c:pt>
                <c:pt idx="2">
                  <c:v>44651</c:v>
                </c:pt>
                <c:pt idx="3">
                  <c:v>45016</c:v>
                </c:pt>
                <c:pt idx="4">
                  <c:v>45382</c:v>
                </c:pt>
                <c:pt idx="5">
                  <c:v>45747</c:v>
                </c:pt>
                <c:pt idx="6">
                  <c:v>46112</c:v>
                </c:pt>
              </c:numCache>
            </c:numRef>
          </c:cat>
          <c:val>
            <c:numRef>
              <c:f>'Altman Z Score'!$C$101:$I$101</c:f>
              <c:numCache>
                <c:formatCode>#,##0.00</c:formatCode>
                <c:ptCount val="7"/>
                <c:pt idx="0">
                  <c:v>1.770815700509121</c:v>
                </c:pt>
                <c:pt idx="1">
                  <c:v>2.0332377167239186</c:v>
                </c:pt>
                <c:pt idx="2">
                  <c:v>2.3877935398917751</c:v>
                </c:pt>
                <c:pt idx="3">
                  <c:v>2.7673738987551157</c:v>
                </c:pt>
                <c:pt idx="4">
                  <c:v>3.9804228722747994</c:v>
                </c:pt>
                <c:pt idx="5">
                  <c:v>3.5579479763825894</c:v>
                </c:pt>
                <c:pt idx="6">
                  <c:v>3.5414616071561698</c:v>
                </c:pt>
              </c:numCache>
            </c:numRef>
          </c:val>
          <c:extLst>
            <c:ext xmlns:c16="http://schemas.microsoft.com/office/drawing/2014/chart" uri="{C3380CC4-5D6E-409C-BE32-E72D297353CC}">
              <c16:uniqueId val="{0000000A-4103-4DE6-A543-5A4A471A80BA}"/>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0E37-4F60-AA40-6D476EB58B22}"/>
              </c:ext>
            </c:extLst>
          </c:dPt>
          <c:dPt>
            <c:idx val="1"/>
            <c:invertIfNegative val="0"/>
            <c:bubble3D val="0"/>
            <c:spPr>
              <a:solidFill>
                <a:srgbClr val="002060"/>
              </a:solidFill>
              <a:ln>
                <a:noFill/>
              </a:ln>
              <a:effectLst/>
            </c:spPr>
            <c:extLst>
              <c:ext xmlns:c16="http://schemas.microsoft.com/office/drawing/2014/chart" uri="{C3380CC4-5D6E-409C-BE32-E72D297353CC}">
                <c16:uniqueId val="{00000006-AE12-442D-9491-4D98BD05FE44}"/>
              </c:ext>
            </c:extLst>
          </c:dPt>
          <c:dPt>
            <c:idx val="2"/>
            <c:invertIfNegative val="0"/>
            <c:bubble3D val="0"/>
            <c:spPr>
              <a:solidFill>
                <a:srgbClr val="002060"/>
              </a:solidFill>
              <a:ln>
                <a:noFill/>
              </a:ln>
              <a:effectLst/>
            </c:spPr>
            <c:extLst>
              <c:ext xmlns:c16="http://schemas.microsoft.com/office/drawing/2014/chart" uri="{C3380CC4-5D6E-409C-BE32-E72D297353CC}">
                <c16:uniqueId val="{00000004-0E37-4F60-AA40-6D476EB58B22}"/>
              </c:ext>
            </c:extLst>
          </c:dPt>
          <c:dPt>
            <c:idx val="3"/>
            <c:invertIfNegative val="0"/>
            <c:bubble3D val="0"/>
            <c:spPr>
              <a:solidFill>
                <a:srgbClr val="002060"/>
              </a:solidFill>
              <a:ln>
                <a:noFill/>
              </a:ln>
              <a:effectLst/>
            </c:spPr>
            <c:extLst>
              <c:ext xmlns:c16="http://schemas.microsoft.com/office/drawing/2014/chart" uri="{C3380CC4-5D6E-409C-BE32-E72D297353CC}">
                <c16:uniqueId val="{00000002-0E37-4F60-AA40-6D476EB58B22}"/>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Analysis!$F$75:$I$75</c:f>
              <c:numCache>
                <c:formatCode>mmm\-yy</c:formatCode>
                <c:ptCount val="4"/>
                <c:pt idx="0">
                  <c:v>45016</c:v>
                </c:pt>
                <c:pt idx="1">
                  <c:v>45382</c:v>
                </c:pt>
                <c:pt idx="2">
                  <c:v>45747</c:v>
                </c:pt>
                <c:pt idx="3">
                  <c:v>46112</c:v>
                </c:pt>
              </c:numCache>
            </c:numRef>
          </c:cat>
          <c:val>
            <c:numRef>
              <c:f>Analysis!$F$77:$I$77</c:f>
              <c:numCache>
                <c:formatCode>#,##0.00</c:formatCode>
                <c:ptCount val="4"/>
                <c:pt idx="0">
                  <c:v>183340.7</c:v>
                </c:pt>
                <c:pt idx="1">
                  <c:v>221112.91</c:v>
                </c:pt>
                <c:pt idx="2">
                  <c:v>255734.45</c:v>
                </c:pt>
                <c:pt idx="3">
                  <c:v>285874.36</c:v>
                </c:pt>
              </c:numCache>
            </c:numRef>
          </c:val>
          <c:extLst>
            <c:ext xmlns:c16="http://schemas.microsoft.com/office/drawing/2014/chart" uri="{C3380CC4-5D6E-409C-BE32-E72D297353CC}">
              <c16:uniqueId val="{00000000-0E37-4F60-AA40-6D476EB58B22}"/>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rgbClr val="002060"/>
            </a:solidFill>
            <a:ln>
              <a:solidFill>
                <a:srgbClr val="F7BB93"/>
              </a:solidFill>
            </a:ln>
            <a:effectLst/>
          </c:spPr>
          <c:invertIfNegative val="0"/>
          <c:dPt>
            <c:idx val="0"/>
            <c:invertIfNegative val="0"/>
            <c:bubble3D val="0"/>
            <c:spPr>
              <a:solidFill>
                <a:srgbClr val="002060"/>
              </a:solidFill>
              <a:ln>
                <a:solidFill>
                  <a:srgbClr val="F7BB93"/>
                </a:solidFill>
              </a:ln>
              <a:effectLst/>
            </c:spPr>
            <c:extLst>
              <c:ext xmlns:c16="http://schemas.microsoft.com/office/drawing/2014/chart" uri="{C3380CC4-5D6E-409C-BE32-E72D297353CC}">
                <c16:uniqueId val="{00000001-89F7-485C-A3F7-F182DB748CE8}"/>
              </c:ext>
            </c:extLst>
          </c:dPt>
          <c:dPt>
            <c:idx val="1"/>
            <c:invertIfNegative val="0"/>
            <c:bubble3D val="0"/>
            <c:spPr>
              <a:solidFill>
                <a:srgbClr val="002060"/>
              </a:solidFill>
              <a:ln>
                <a:solidFill>
                  <a:srgbClr val="F7BB93"/>
                </a:solidFill>
              </a:ln>
              <a:effectLst/>
            </c:spPr>
            <c:extLst>
              <c:ext xmlns:c16="http://schemas.microsoft.com/office/drawing/2014/chart" uri="{C3380CC4-5D6E-409C-BE32-E72D297353CC}">
                <c16:uniqueId val="{00000008-89F7-485C-A3F7-F182DB748CE8}"/>
              </c:ext>
            </c:extLst>
          </c:dPt>
          <c:dPt>
            <c:idx val="2"/>
            <c:invertIfNegative val="0"/>
            <c:bubble3D val="0"/>
            <c:spPr>
              <a:solidFill>
                <a:srgbClr val="002060"/>
              </a:solidFill>
              <a:ln>
                <a:solidFill>
                  <a:srgbClr val="F7BB93"/>
                </a:solidFill>
              </a:ln>
              <a:effectLst/>
            </c:spPr>
            <c:extLst>
              <c:ext xmlns:c16="http://schemas.microsoft.com/office/drawing/2014/chart" uri="{C3380CC4-5D6E-409C-BE32-E72D297353CC}">
                <c16:uniqueId val="{00000003-89F7-485C-A3F7-F182DB748CE8}"/>
              </c:ext>
            </c:extLst>
          </c:dPt>
          <c:dPt>
            <c:idx val="3"/>
            <c:invertIfNegative val="0"/>
            <c:bubble3D val="0"/>
            <c:spPr>
              <a:solidFill>
                <a:srgbClr val="002060"/>
              </a:solidFill>
              <a:ln>
                <a:solidFill>
                  <a:srgbClr val="F7BB93"/>
                </a:solidFill>
              </a:ln>
              <a:effectLst/>
            </c:spPr>
            <c:extLst>
              <c:ext xmlns:c16="http://schemas.microsoft.com/office/drawing/2014/chart" uri="{C3380CC4-5D6E-409C-BE32-E72D297353CC}">
                <c16:uniqueId val="{00000005-89F7-485C-A3F7-F182DB748CE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Analysis!$F$75:$I$75</c:f>
              <c:numCache>
                <c:formatCode>mmm\-yy</c:formatCode>
                <c:ptCount val="4"/>
                <c:pt idx="0">
                  <c:v>45016</c:v>
                </c:pt>
                <c:pt idx="1">
                  <c:v>45382</c:v>
                </c:pt>
                <c:pt idx="2">
                  <c:v>45747</c:v>
                </c:pt>
                <c:pt idx="3">
                  <c:v>46112</c:v>
                </c:pt>
              </c:numCache>
            </c:numRef>
          </c:cat>
          <c:val>
            <c:numRef>
              <c:f>Analysis!$F$76:$I$76</c:f>
              <c:numCache>
                <c:formatCode>#,##0.00</c:formatCode>
                <c:ptCount val="4"/>
                <c:pt idx="0">
                  <c:v>10470.719999999999</c:v>
                </c:pt>
                <c:pt idx="1">
                  <c:v>13059.11</c:v>
                </c:pt>
                <c:pt idx="2">
                  <c:v>15037.11</c:v>
                </c:pt>
                <c:pt idx="3">
                  <c:v>16083.99</c:v>
                </c:pt>
              </c:numCache>
            </c:numRef>
          </c:val>
          <c:extLst>
            <c:ext xmlns:c16="http://schemas.microsoft.com/office/drawing/2014/chart" uri="{C3380CC4-5D6E-409C-BE32-E72D297353CC}">
              <c16:uniqueId val="{00000006-89F7-485C-A3F7-F182DB748CE8}"/>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FE86-48AE-81FD-78AF5889BB89}"/>
              </c:ext>
            </c:extLst>
          </c:dPt>
          <c:dPt>
            <c:idx val="1"/>
            <c:invertIfNegative val="0"/>
            <c:bubble3D val="0"/>
            <c:spPr>
              <a:solidFill>
                <a:srgbClr val="002060"/>
              </a:solidFill>
              <a:ln>
                <a:noFill/>
              </a:ln>
              <a:effectLst/>
            </c:spPr>
            <c:extLst>
              <c:ext xmlns:c16="http://schemas.microsoft.com/office/drawing/2014/chart" uri="{C3380CC4-5D6E-409C-BE32-E72D297353CC}">
                <c16:uniqueId val="{00000007-FE86-48AE-81FD-78AF5889BB89}"/>
              </c:ext>
            </c:extLst>
          </c:dPt>
          <c:dPt>
            <c:idx val="2"/>
            <c:invertIfNegative val="0"/>
            <c:bubble3D val="0"/>
            <c:spPr>
              <a:solidFill>
                <a:srgbClr val="002060"/>
              </a:solidFill>
              <a:ln>
                <a:noFill/>
              </a:ln>
              <a:effectLst/>
            </c:spPr>
            <c:extLst>
              <c:ext xmlns:c16="http://schemas.microsoft.com/office/drawing/2014/chart" uri="{C3380CC4-5D6E-409C-BE32-E72D297353CC}">
                <c16:uniqueId val="{00000003-FE86-48AE-81FD-78AF5889BB89}"/>
              </c:ext>
            </c:extLst>
          </c:dPt>
          <c:dPt>
            <c:idx val="3"/>
            <c:invertIfNegative val="0"/>
            <c:bubble3D val="0"/>
            <c:spPr>
              <a:solidFill>
                <a:srgbClr val="002060"/>
              </a:solidFill>
              <a:ln>
                <a:noFill/>
              </a:ln>
              <a:effectLst/>
            </c:spPr>
            <c:extLst>
              <c:ext xmlns:c16="http://schemas.microsoft.com/office/drawing/2014/chart" uri="{C3380CC4-5D6E-409C-BE32-E72D297353CC}">
                <c16:uniqueId val="{00000005-FE86-48AE-81FD-78AF5889BB8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Analysis!$F$69:$I$69</c:f>
              <c:numCache>
                <c:formatCode>mmm\-yy</c:formatCode>
                <c:ptCount val="4"/>
                <c:pt idx="0">
                  <c:v>45016</c:v>
                </c:pt>
                <c:pt idx="1">
                  <c:v>45382</c:v>
                </c:pt>
                <c:pt idx="2">
                  <c:v>45747</c:v>
                </c:pt>
                <c:pt idx="3">
                  <c:v>46112</c:v>
                </c:pt>
              </c:numCache>
            </c:numRef>
          </c:cat>
          <c:val>
            <c:numRef>
              <c:f>Analysis!$F$82:$I$82</c:f>
              <c:numCache>
                <c:formatCode>#,##0.00</c:formatCode>
                <c:ptCount val="4"/>
                <c:pt idx="0">
                  <c:v>324374.89500000002</c:v>
                </c:pt>
                <c:pt idx="1">
                  <c:v>334662.11</c:v>
                </c:pt>
                <c:pt idx="2">
                  <c:v>359358.21500000003</c:v>
                </c:pt>
                <c:pt idx="3">
                  <c:v>415748.43000000005</c:v>
                </c:pt>
              </c:numCache>
            </c:numRef>
          </c:val>
          <c:extLst>
            <c:ext xmlns:c16="http://schemas.microsoft.com/office/drawing/2014/chart" uri="{C3380CC4-5D6E-409C-BE32-E72D297353CC}">
              <c16:uniqueId val="{00000006-FE86-48AE-81FD-78AF5889BB89}"/>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0649-420F-B972-42543950B608}"/>
              </c:ext>
            </c:extLst>
          </c:dPt>
          <c:dPt>
            <c:idx val="1"/>
            <c:invertIfNegative val="0"/>
            <c:bubble3D val="0"/>
            <c:spPr>
              <a:solidFill>
                <a:srgbClr val="002060"/>
              </a:solidFill>
              <a:ln>
                <a:noFill/>
              </a:ln>
              <a:effectLst/>
            </c:spPr>
            <c:extLst>
              <c:ext xmlns:c16="http://schemas.microsoft.com/office/drawing/2014/chart" uri="{C3380CC4-5D6E-409C-BE32-E72D297353CC}">
                <c16:uniqueId val="{00000003-0649-420F-B972-42543950B608}"/>
              </c:ext>
            </c:extLst>
          </c:dPt>
          <c:dPt>
            <c:idx val="2"/>
            <c:invertIfNegative val="0"/>
            <c:bubble3D val="0"/>
            <c:spPr>
              <a:solidFill>
                <a:srgbClr val="002060"/>
              </a:solidFill>
              <a:ln>
                <a:noFill/>
              </a:ln>
              <a:effectLst/>
            </c:spPr>
            <c:extLst>
              <c:ext xmlns:c16="http://schemas.microsoft.com/office/drawing/2014/chart" uri="{C3380CC4-5D6E-409C-BE32-E72D297353CC}">
                <c16:uniqueId val="{00000005-0649-420F-B972-42543950B608}"/>
              </c:ext>
            </c:extLst>
          </c:dPt>
          <c:dPt>
            <c:idx val="3"/>
            <c:invertIfNegative val="0"/>
            <c:bubble3D val="0"/>
            <c:spPr>
              <a:solidFill>
                <a:srgbClr val="002060"/>
              </a:solidFill>
              <a:ln>
                <a:noFill/>
              </a:ln>
              <a:effectLst/>
            </c:spPr>
            <c:extLst>
              <c:ext xmlns:c16="http://schemas.microsoft.com/office/drawing/2014/chart" uri="{C3380CC4-5D6E-409C-BE32-E72D297353CC}">
                <c16:uniqueId val="{00000007-0649-420F-B972-42543950B60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Analysis!$F$69:$I$69</c:f>
              <c:numCache>
                <c:formatCode>mmm\-yy</c:formatCode>
                <c:ptCount val="4"/>
                <c:pt idx="0">
                  <c:v>45016</c:v>
                </c:pt>
                <c:pt idx="1">
                  <c:v>45382</c:v>
                </c:pt>
                <c:pt idx="2">
                  <c:v>45747</c:v>
                </c:pt>
                <c:pt idx="3">
                  <c:v>46112</c:v>
                </c:pt>
              </c:numCache>
            </c:numRef>
          </c:cat>
          <c:val>
            <c:numRef>
              <c:f>Analysis!$F$90:$I$90</c:f>
              <c:numCache>
                <c:formatCode>0.00%</c:formatCode>
                <c:ptCount val="4"/>
                <c:pt idx="0">
                  <c:v>0.12194141845617758</c:v>
                </c:pt>
                <c:pt idx="1">
                  <c:v>0.14866489315348666</c:v>
                </c:pt>
                <c:pt idx="2">
                  <c:v>0.16343366654558952</c:v>
                </c:pt>
                <c:pt idx="3">
                  <c:v>0.1554418701744518</c:v>
                </c:pt>
              </c:numCache>
            </c:numRef>
          </c:val>
          <c:extLst>
            <c:ext xmlns:c16="http://schemas.microsoft.com/office/drawing/2014/chart" uri="{C3380CC4-5D6E-409C-BE32-E72D297353CC}">
              <c16:uniqueId val="{00000008-0649-420F-B972-42543950B608}"/>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3-F0E4-4B80-83D2-4613CE4590C9}"/>
              </c:ext>
            </c:extLst>
          </c:dPt>
          <c:dPt>
            <c:idx val="1"/>
            <c:invertIfNegative val="0"/>
            <c:bubble3D val="0"/>
            <c:spPr>
              <a:solidFill>
                <a:srgbClr val="002060"/>
              </a:solidFill>
              <a:ln>
                <a:noFill/>
              </a:ln>
              <a:effectLst/>
            </c:spPr>
            <c:extLst>
              <c:ext xmlns:c16="http://schemas.microsoft.com/office/drawing/2014/chart" uri="{C3380CC4-5D6E-409C-BE32-E72D297353CC}">
                <c16:uniqueId val="{00000002-F0E4-4B80-83D2-4613CE4590C9}"/>
              </c:ext>
            </c:extLst>
          </c:dPt>
          <c:dPt>
            <c:idx val="2"/>
            <c:invertIfNegative val="0"/>
            <c:bubble3D val="0"/>
            <c:spPr>
              <a:solidFill>
                <a:srgbClr val="002060"/>
              </a:solidFill>
              <a:ln>
                <a:noFill/>
              </a:ln>
              <a:effectLst/>
            </c:spPr>
            <c:extLst>
              <c:ext xmlns:c16="http://schemas.microsoft.com/office/drawing/2014/chart" uri="{C3380CC4-5D6E-409C-BE32-E72D297353CC}">
                <c16:uniqueId val="{00000001-F0E4-4B80-83D2-4613CE4590C9}"/>
              </c:ext>
            </c:extLst>
          </c:dPt>
          <c:dPt>
            <c:idx val="3"/>
            <c:invertIfNegative val="0"/>
            <c:bubble3D val="0"/>
            <c:spPr>
              <a:solidFill>
                <a:srgbClr val="002060"/>
              </a:solidFill>
              <a:ln>
                <a:noFill/>
              </a:ln>
              <a:effectLst/>
            </c:spPr>
            <c:extLst>
              <c:ext xmlns:c16="http://schemas.microsoft.com/office/drawing/2014/chart" uri="{C3380CC4-5D6E-409C-BE32-E72D297353CC}">
                <c16:uniqueId val="{00000004-F0E4-4B80-83D2-4613CE4590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Analysis!$F$69:$I$69</c:f>
              <c:numCache>
                <c:formatCode>mmm\-yy</c:formatCode>
                <c:ptCount val="4"/>
                <c:pt idx="0">
                  <c:v>45016</c:v>
                </c:pt>
                <c:pt idx="1">
                  <c:v>45382</c:v>
                </c:pt>
                <c:pt idx="2">
                  <c:v>45747</c:v>
                </c:pt>
                <c:pt idx="3">
                  <c:v>46112</c:v>
                </c:pt>
              </c:numCache>
            </c:numRef>
          </c:cat>
          <c:val>
            <c:numRef>
              <c:f>Analysis!$F$96:$I$96</c:f>
              <c:numCache>
                <c:formatCode>0.00%</c:formatCode>
                <c:ptCount val="4"/>
                <c:pt idx="0">
                  <c:v>3.2279686749493976E-2</c:v>
                </c:pt>
                <c:pt idx="1">
                  <c:v>3.9021776322392759E-2</c:v>
                </c:pt>
                <c:pt idx="2">
                  <c:v>4.184434742920793E-2</c:v>
                </c:pt>
                <c:pt idx="3">
                  <c:v>3.8686832804155143E-2</c:v>
                </c:pt>
              </c:numCache>
            </c:numRef>
          </c:val>
          <c:extLst>
            <c:ext xmlns:c16="http://schemas.microsoft.com/office/drawing/2014/chart" uri="{C3380CC4-5D6E-409C-BE32-E72D297353CC}">
              <c16:uniqueId val="{00000000-F0E4-4B80-83D2-4613CE4590C9}"/>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rgbClr val="00206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2-BE92-4902-8947-96D086CA57E9}"/>
              </c:ext>
            </c:extLst>
          </c:dPt>
          <c:dPt>
            <c:idx val="1"/>
            <c:invertIfNegative val="0"/>
            <c:bubble3D val="0"/>
            <c:spPr>
              <a:solidFill>
                <a:srgbClr val="002060"/>
              </a:solidFill>
              <a:ln>
                <a:noFill/>
              </a:ln>
              <a:effectLst/>
            </c:spPr>
            <c:extLst>
              <c:ext xmlns:c16="http://schemas.microsoft.com/office/drawing/2014/chart" uri="{C3380CC4-5D6E-409C-BE32-E72D297353CC}">
                <c16:uniqueId val="{00000001-BE92-4902-8947-96D086CA57E9}"/>
              </c:ext>
            </c:extLst>
          </c:dPt>
          <c:dPt>
            <c:idx val="2"/>
            <c:invertIfNegative val="0"/>
            <c:bubble3D val="0"/>
            <c:spPr>
              <a:solidFill>
                <a:srgbClr val="002060"/>
              </a:solidFill>
              <a:ln>
                <a:noFill/>
              </a:ln>
              <a:effectLst/>
            </c:spPr>
            <c:extLst>
              <c:ext xmlns:c16="http://schemas.microsoft.com/office/drawing/2014/chart" uri="{C3380CC4-5D6E-409C-BE32-E72D297353CC}">
                <c16:uniqueId val="{00000003-BE92-4902-8947-96D086CA57E9}"/>
              </c:ext>
            </c:extLst>
          </c:dPt>
          <c:dPt>
            <c:idx val="3"/>
            <c:invertIfNegative val="0"/>
            <c:bubble3D val="0"/>
            <c:spPr>
              <a:solidFill>
                <a:srgbClr val="002060"/>
              </a:solidFill>
              <a:ln>
                <a:noFill/>
              </a:ln>
              <a:effectLst/>
            </c:spPr>
            <c:extLst>
              <c:ext xmlns:c16="http://schemas.microsoft.com/office/drawing/2014/chart" uri="{C3380CC4-5D6E-409C-BE32-E72D297353CC}">
                <c16:uniqueId val="{00000004-BE92-4902-8947-96D086CA57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Analysis!$F$69:$I$69</c:f>
              <c:numCache>
                <c:formatCode>mmm\-yy</c:formatCode>
                <c:ptCount val="4"/>
                <c:pt idx="0">
                  <c:v>45016</c:v>
                </c:pt>
                <c:pt idx="1">
                  <c:v>45382</c:v>
                </c:pt>
                <c:pt idx="2">
                  <c:v>45747</c:v>
                </c:pt>
                <c:pt idx="3">
                  <c:v>46112</c:v>
                </c:pt>
              </c:numCache>
            </c:numRef>
          </c:cat>
          <c:val>
            <c:numRef>
              <c:f>Analysis!$F$88:$I$88</c:f>
              <c:numCache>
                <c:formatCode>0.0\x</c:formatCode>
                <c:ptCount val="4"/>
                <c:pt idx="0">
                  <c:v>3.7776518527736074</c:v>
                </c:pt>
                <c:pt idx="1">
                  <c:v>3.8097930736221985</c:v>
                </c:pt>
                <c:pt idx="2">
                  <c:v>3.9057525469141519</c:v>
                </c:pt>
                <c:pt idx="3">
                  <c:v>4.0179528513318008</c:v>
                </c:pt>
              </c:numCache>
            </c:numRef>
          </c:val>
          <c:extLst>
            <c:ext xmlns:c16="http://schemas.microsoft.com/office/drawing/2014/chart" uri="{C3380CC4-5D6E-409C-BE32-E72D297353CC}">
              <c16:uniqueId val="{00000000-BE92-4902-8947-96D086CA57E9}"/>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x"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Daily Returns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Daily Returns Distribution</a:t>
          </a:r>
        </a:p>
      </cx:txPr>
    </cx:title>
    <cx:plotArea>
      <cx:plotAreaRegion>
        <cx:series layoutId="clusteredColumn" uniqueId="{89D4BCB4-B25B-4A5A-8285-1F3EFD1EF3C1}">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14</xdr:col>
      <xdr:colOff>19050</xdr:colOff>
      <xdr:row>12</xdr:row>
      <xdr:rowOff>47625</xdr:rowOff>
    </xdr:from>
    <xdr:to>
      <xdr:col>20</xdr:col>
      <xdr:colOff>361950</xdr:colOff>
      <xdr:row>23</xdr:row>
      <xdr:rowOff>66675</xdr:rowOff>
    </xdr:to>
    <xdr:sp macro="" textlink="">
      <xdr:nvSpPr>
        <xdr:cNvPr id="2" name="Rectangle 1">
          <a:extLst>
            <a:ext uri="{FF2B5EF4-FFF2-40B4-BE49-F238E27FC236}">
              <a16:creationId xmlns:a16="http://schemas.microsoft.com/office/drawing/2014/main" id="{7D24368D-C829-0C3A-2833-9F9D80D10E07}"/>
            </a:ext>
          </a:extLst>
        </xdr:cNvPr>
        <xdr:cNvSpPr/>
      </xdr:nvSpPr>
      <xdr:spPr>
        <a:xfrm>
          <a:off x="8067675" y="2333625"/>
          <a:ext cx="4000500" cy="2114550"/>
        </a:xfrm>
        <a:prstGeom prst="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l"/>
          <a:r>
            <a:rPr lang="en-IN" sz="1100">
              <a:solidFill>
                <a:srgbClr val="3333FF"/>
              </a:solidFill>
            </a:rPr>
            <a:t>Key Assumption &amp; Note :</a:t>
          </a:r>
        </a:p>
        <a:p>
          <a:pPr algn="l"/>
          <a:r>
            <a:rPr lang="en-US" sz="1100">
              <a:solidFill>
                <a:srgbClr val="3333FF"/>
              </a:solidFill>
            </a:rPr>
            <a:t>• Valuation is based on DCF methodology.</a:t>
          </a:r>
        </a:p>
        <a:p>
          <a:pPr algn="l"/>
          <a:r>
            <a:rPr lang="en-US" sz="1100">
              <a:solidFill>
                <a:srgbClr val="3333FF"/>
              </a:solidFill>
            </a:rPr>
            <a:t>•WACC is estamated using CAPM with a 5 year monthly Beta</a:t>
          </a:r>
          <a:r>
            <a:rPr lang="en-US" sz="1100" baseline="0">
              <a:solidFill>
                <a:srgbClr val="3333FF"/>
              </a:solidFill>
            </a:rPr>
            <a:t> regression.</a:t>
          </a:r>
        </a:p>
        <a:p>
          <a:pPr algn="l"/>
          <a:r>
            <a:rPr lang="en-US" sz="1100" baseline="0">
              <a:solidFill>
                <a:srgbClr val="3333FF"/>
              </a:solidFill>
            </a:rPr>
            <a:t>•Forecast Growth: 20.75%.</a:t>
          </a:r>
        </a:p>
        <a:p>
          <a:pPr algn="l"/>
          <a:r>
            <a:rPr lang="en-US" sz="1100" baseline="0">
              <a:solidFill>
                <a:srgbClr val="3333FF"/>
              </a:solidFill>
              <a:effectLst/>
              <a:latin typeface="+mn-lt"/>
              <a:ea typeface="+mn-ea"/>
              <a:cs typeface="+mn-cs"/>
            </a:rPr>
            <a:t>•</a:t>
          </a:r>
          <a:r>
            <a:rPr lang="en-US" sz="1100" baseline="0">
              <a:solidFill>
                <a:srgbClr val="3333FF"/>
              </a:solidFill>
            </a:rPr>
            <a:t>Terminal Growth: 4.50%.</a:t>
          </a:r>
        </a:p>
        <a:p>
          <a:pPr algn="l"/>
          <a:r>
            <a:rPr lang="en-US" sz="1100" baseline="0">
              <a:solidFill>
                <a:srgbClr val="3333FF"/>
              </a:solidFill>
              <a:effectLst/>
              <a:latin typeface="+mn-lt"/>
              <a:ea typeface="+mn-ea"/>
              <a:cs typeface="+mn-cs"/>
            </a:rPr>
            <a:t>•</a:t>
          </a:r>
          <a:r>
            <a:rPr lang="en-US" sz="1100" baseline="0">
              <a:solidFill>
                <a:srgbClr val="3333FF"/>
              </a:solidFill>
            </a:rPr>
            <a:t>WACC: 12.20%</a:t>
          </a:r>
        </a:p>
        <a:p>
          <a:pPr algn="l"/>
          <a:r>
            <a:rPr lang="en-US" sz="1100">
              <a:solidFill>
                <a:srgbClr val="3333FF"/>
              </a:solidFill>
            </a:rPr>
            <a:t>•The 52 week rading range represents</a:t>
          </a:r>
          <a:r>
            <a:rPr lang="en-US" sz="1100" baseline="0">
              <a:solidFill>
                <a:srgbClr val="3333FF"/>
              </a:solidFill>
            </a:rPr>
            <a:t> actual market Price.</a:t>
          </a:r>
        </a:p>
        <a:p>
          <a:pPr algn="l"/>
          <a:r>
            <a:rPr lang="en-US" sz="1100">
              <a:solidFill>
                <a:srgbClr val="3333FF"/>
              </a:solidFill>
            </a:rPr>
            <a:t>•Based</a:t>
          </a:r>
          <a:r>
            <a:rPr lang="en-US" sz="1100" baseline="0">
              <a:solidFill>
                <a:srgbClr val="3333FF"/>
              </a:solidFill>
            </a:rPr>
            <a:t> on this DCF Valuation, the current market price implies a premium of approzimately 18% to the estimated intrinsic value.</a:t>
          </a:r>
          <a:endParaRPr lang="en-IN" sz="1100">
            <a:solidFill>
              <a:srgbClr val="3333FF"/>
            </a:solidFill>
          </a:endParaRPr>
        </a:p>
      </xdr:txBody>
    </xdr:sp>
    <xdr:clientData/>
  </xdr:twoCellAnchor>
  <xdr:twoCellAnchor>
    <xdr:from>
      <xdr:col>2</xdr:col>
      <xdr:colOff>228600</xdr:colOff>
      <xdr:row>4</xdr:row>
      <xdr:rowOff>90487</xdr:rowOff>
    </xdr:from>
    <xdr:to>
      <xdr:col>10</xdr:col>
      <xdr:colOff>381000</xdr:colOff>
      <xdr:row>20</xdr:row>
      <xdr:rowOff>9525</xdr:rowOff>
    </xdr:to>
    <xdr:graphicFrame macro="">
      <xdr:nvGraphicFramePr>
        <xdr:cNvPr id="3" name="Chart 2">
          <a:extLst>
            <a:ext uri="{FF2B5EF4-FFF2-40B4-BE49-F238E27FC236}">
              <a16:creationId xmlns:a16="http://schemas.microsoft.com/office/drawing/2014/main" id="{CAF15354-0A03-7532-D719-F0F465562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422462</xdr:colOff>
      <xdr:row>11</xdr:row>
      <xdr:rowOff>44824</xdr:rowOff>
    </xdr:from>
    <xdr:to>
      <xdr:col>10</xdr:col>
      <xdr:colOff>257735</xdr:colOff>
      <xdr:row>11</xdr:row>
      <xdr:rowOff>75919</xdr:rowOff>
    </xdr:to>
    <xdr:cxnSp macro="">
      <xdr:nvCxnSpPr>
        <xdr:cNvPr id="8" name="Straight Arrow Connector 7">
          <a:extLst>
            <a:ext uri="{FF2B5EF4-FFF2-40B4-BE49-F238E27FC236}">
              <a16:creationId xmlns:a16="http://schemas.microsoft.com/office/drawing/2014/main" id="{0A425A4D-EC18-0600-9D02-2FFA6BFEB5F5}"/>
            </a:ext>
          </a:extLst>
        </xdr:cNvPr>
        <xdr:cNvCxnSpPr/>
      </xdr:nvCxnSpPr>
      <xdr:spPr>
        <a:xfrm flipV="1">
          <a:off x="1150844" y="2140324"/>
          <a:ext cx="4676215" cy="31095"/>
        </a:xfrm>
        <a:prstGeom prst="straightConnector1">
          <a:avLst/>
        </a:prstGeom>
        <a:ln w="12700">
          <a:solidFill>
            <a:schemeClr val="accent2">
              <a:lumMod val="60000"/>
              <a:lumOff val="4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8659</xdr:colOff>
      <xdr:row>27</xdr:row>
      <xdr:rowOff>163224</xdr:rowOff>
    </xdr:from>
    <xdr:to>
      <xdr:col>15</xdr:col>
      <xdr:colOff>205652</xdr:colOff>
      <xdr:row>40</xdr:row>
      <xdr:rowOff>64943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D2C04B5-934A-52E9-4C3A-FD45BFD6F5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57009" y="5382924"/>
              <a:ext cx="4702318" cy="23782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36991</xdr:colOff>
      <xdr:row>17</xdr:row>
      <xdr:rowOff>225591</xdr:rowOff>
    </xdr:from>
    <xdr:to>
      <xdr:col>2</xdr:col>
      <xdr:colOff>290152</xdr:colOff>
      <xdr:row>29</xdr:row>
      <xdr:rowOff>80286</xdr:rowOff>
    </xdr:to>
    <xdr:grpSp>
      <xdr:nvGrpSpPr>
        <xdr:cNvPr id="3" name="Group 2">
          <a:extLst>
            <a:ext uri="{FF2B5EF4-FFF2-40B4-BE49-F238E27FC236}">
              <a16:creationId xmlns:a16="http://schemas.microsoft.com/office/drawing/2014/main" id="{8F4D39AC-7CDB-418C-983C-24022B295743}"/>
            </a:ext>
          </a:extLst>
        </xdr:cNvPr>
        <xdr:cNvGrpSpPr/>
      </xdr:nvGrpSpPr>
      <xdr:grpSpPr>
        <a:xfrm>
          <a:off x="161230" y="4134982"/>
          <a:ext cx="2638552" cy="2190391"/>
          <a:chOff x="238753" y="3253432"/>
          <a:chExt cx="2401260" cy="2188175"/>
        </a:xfrm>
        <a:noFill/>
      </xdr:grpSpPr>
      <xdr:graphicFrame macro="">
        <xdr:nvGraphicFramePr>
          <xdr:cNvPr id="4" name="Chart 3">
            <a:extLst>
              <a:ext uri="{FF2B5EF4-FFF2-40B4-BE49-F238E27FC236}">
                <a16:creationId xmlns:a16="http://schemas.microsoft.com/office/drawing/2014/main" id="{36B9FD79-88BF-1828-2AEB-96DB0DAEA2F2}"/>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 name="TextBox 4">
            <a:extLst>
              <a:ext uri="{FF2B5EF4-FFF2-40B4-BE49-F238E27FC236}">
                <a16:creationId xmlns:a16="http://schemas.microsoft.com/office/drawing/2014/main" id="{EF7B4F15-E633-5A65-94CC-DF30C09C0336}"/>
              </a:ext>
            </a:extLst>
          </xdr:cNvPr>
          <xdr:cNvSpPr txBox="1"/>
        </xdr:nvSpPr>
        <xdr:spPr>
          <a:xfrm>
            <a:off x="478708" y="3253432"/>
            <a:ext cx="1972327" cy="27790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rgbClr val="002060"/>
                </a:solidFill>
                <a:effectLst/>
                <a:latin typeface="+mn-lt"/>
                <a:ea typeface="+mn-ea"/>
                <a:cs typeface="+mn-cs"/>
              </a:rPr>
              <a:t>Working Capital/Total Assets(A)</a:t>
            </a:r>
            <a:r>
              <a:rPr lang="en-IN">
                <a:solidFill>
                  <a:srgbClr val="002060"/>
                </a:solidFill>
              </a:rPr>
              <a:t> </a:t>
            </a:r>
            <a:endParaRPr lang="en-IN" sz="1100" b="1">
              <a:solidFill>
                <a:srgbClr val="002060"/>
              </a:solidFill>
              <a:latin typeface="+mn-lt"/>
            </a:endParaRPr>
          </a:p>
        </xdr:txBody>
      </xdr:sp>
    </xdr:grpSp>
    <xdr:clientData/>
  </xdr:twoCellAnchor>
  <xdr:twoCellAnchor>
    <xdr:from>
      <xdr:col>2</xdr:col>
      <xdr:colOff>419033</xdr:colOff>
      <xdr:row>17</xdr:row>
      <xdr:rowOff>234174</xdr:rowOff>
    </xdr:from>
    <xdr:to>
      <xdr:col>5</xdr:col>
      <xdr:colOff>496038</xdr:colOff>
      <xdr:row>29</xdr:row>
      <xdr:rowOff>88966</xdr:rowOff>
    </xdr:to>
    <xdr:grpSp>
      <xdr:nvGrpSpPr>
        <xdr:cNvPr id="6" name="Group 5">
          <a:extLst>
            <a:ext uri="{FF2B5EF4-FFF2-40B4-BE49-F238E27FC236}">
              <a16:creationId xmlns:a16="http://schemas.microsoft.com/office/drawing/2014/main" id="{F3E37A21-3804-4A63-86D0-139ACE7589E8}"/>
            </a:ext>
          </a:extLst>
        </xdr:cNvPr>
        <xdr:cNvGrpSpPr/>
      </xdr:nvGrpSpPr>
      <xdr:grpSpPr>
        <a:xfrm>
          <a:off x="2928663" y="4143565"/>
          <a:ext cx="2611484" cy="2190488"/>
          <a:chOff x="238753" y="3253432"/>
          <a:chExt cx="2401260" cy="2188175"/>
        </a:xfrm>
      </xdr:grpSpPr>
      <xdr:graphicFrame macro="">
        <xdr:nvGraphicFramePr>
          <xdr:cNvPr id="7" name="Chart 6">
            <a:extLst>
              <a:ext uri="{FF2B5EF4-FFF2-40B4-BE49-F238E27FC236}">
                <a16:creationId xmlns:a16="http://schemas.microsoft.com/office/drawing/2014/main" id="{0FFE856F-A235-7E48-8D76-59E16DA463A3}"/>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TextBox 7">
            <a:extLst>
              <a:ext uri="{FF2B5EF4-FFF2-40B4-BE49-F238E27FC236}">
                <a16:creationId xmlns:a16="http://schemas.microsoft.com/office/drawing/2014/main" id="{A7CBE8ED-A1F7-BEF1-9D52-BB5BD7550A58}"/>
              </a:ext>
            </a:extLst>
          </xdr:cNvPr>
          <xdr:cNvSpPr txBox="1"/>
        </xdr:nvSpPr>
        <xdr:spPr>
          <a:xfrm>
            <a:off x="366913" y="3253432"/>
            <a:ext cx="2217092" cy="277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rgbClr val="002060"/>
                </a:solidFill>
                <a:effectLst/>
                <a:latin typeface="+mn-lt"/>
                <a:ea typeface="+mn-ea"/>
                <a:cs typeface="+mn-cs"/>
              </a:rPr>
              <a:t>Retained Earnings/Total Assets(B)</a:t>
            </a:r>
            <a:r>
              <a:rPr lang="en-IN">
                <a:solidFill>
                  <a:srgbClr val="002060"/>
                </a:solidFill>
              </a:rPr>
              <a:t> </a:t>
            </a:r>
            <a:endParaRPr lang="en-IN" sz="1100" b="1">
              <a:solidFill>
                <a:srgbClr val="002060"/>
              </a:solidFill>
              <a:latin typeface="+mn-lt"/>
            </a:endParaRPr>
          </a:p>
        </xdr:txBody>
      </xdr:sp>
    </xdr:grpSp>
    <xdr:clientData/>
  </xdr:twoCellAnchor>
  <xdr:twoCellAnchor>
    <xdr:from>
      <xdr:col>5</xdr:col>
      <xdr:colOff>518271</xdr:colOff>
      <xdr:row>18</xdr:row>
      <xdr:rowOff>8975</xdr:rowOff>
    </xdr:from>
    <xdr:to>
      <xdr:col>8</xdr:col>
      <xdr:colOff>649241</xdr:colOff>
      <xdr:row>29</xdr:row>
      <xdr:rowOff>102562</xdr:rowOff>
    </xdr:to>
    <xdr:grpSp>
      <xdr:nvGrpSpPr>
        <xdr:cNvPr id="9" name="Group 8">
          <a:extLst>
            <a:ext uri="{FF2B5EF4-FFF2-40B4-BE49-F238E27FC236}">
              <a16:creationId xmlns:a16="http://schemas.microsoft.com/office/drawing/2014/main" id="{9AC2C471-B7E0-4BCB-B3F8-B15345694DB9}"/>
            </a:ext>
          </a:extLst>
        </xdr:cNvPr>
        <xdr:cNvGrpSpPr/>
      </xdr:nvGrpSpPr>
      <xdr:grpSpPr>
        <a:xfrm>
          <a:off x="5562380" y="4158562"/>
          <a:ext cx="2665448" cy="2189087"/>
          <a:chOff x="238753" y="3253432"/>
          <a:chExt cx="2401260" cy="2188175"/>
        </a:xfrm>
      </xdr:grpSpPr>
      <xdr:graphicFrame macro="">
        <xdr:nvGraphicFramePr>
          <xdr:cNvPr id="10" name="Chart 9">
            <a:extLst>
              <a:ext uri="{FF2B5EF4-FFF2-40B4-BE49-F238E27FC236}">
                <a16:creationId xmlns:a16="http://schemas.microsoft.com/office/drawing/2014/main" id="{B90D461F-44D7-4C52-344F-9747CBD1CD7D}"/>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1" name="TextBox 10">
            <a:extLst>
              <a:ext uri="{FF2B5EF4-FFF2-40B4-BE49-F238E27FC236}">
                <a16:creationId xmlns:a16="http://schemas.microsoft.com/office/drawing/2014/main" id="{EFF0558D-6442-59C8-18F3-D535F6F773AA}"/>
              </a:ext>
            </a:extLst>
          </xdr:cNvPr>
          <xdr:cNvSpPr txBox="1"/>
        </xdr:nvSpPr>
        <xdr:spPr>
          <a:xfrm>
            <a:off x="794448" y="3253432"/>
            <a:ext cx="1293963" cy="277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rgbClr val="002060"/>
                </a:solidFill>
                <a:effectLst/>
                <a:latin typeface="+mn-lt"/>
                <a:ea typeface="+mn-ea"/>
                <a:cs typeface="+mn-cs"/>
              </a:rPr>
              <a:t>EBIT/Total Assets(C)</a:t>
            </a:r>
            <a:r>
              <a:rPr lang="en-IN">
                <a:solidFill>
                  <a:srgbClr val="002060"/>
                </a:solidFill>
              </a:rPr>
              <a:t> </a:t>
            </a:r>
            <a:endParaRPr lang="en-IN" sz="1100" b="1">
              <a:solidFill>
                <a:srgbClr val="002060"/>
              </a:solidFill>
              <a:latin typeface="+mn-lt"/>
            </a:endParaRPr>
          </a:p>
        </xdr:txBody>
      </xdr:sp>
    </xdr:grpSp>
    <xdr:clientData/>
  </xdr:twoCellAnchor>
  <xdr:twoCellAnchor>
    <xdr:from>
      <xdr:col>0</xdr:col>
      <xdr:colOff>115394</xdr:colOff>
      <xdr:row>31</xdr:row>
      <xdr:rowOff>94801</xdr:rowOff>
    </xdr:from>
    <xdr:to>
      <xdr:col>2</xdr:col>
      <xdr:colOff>243823</xdr:colOff>
      <xdr:row>43</xdr:row>
      <xdr:rowOff>1351</xdr:rowOff>
    </xdr:to>
    <xdr:grpSp>
      <xdr:nvGrpSpPr>
        <xdr:cNvPr id="12" name="Group 11">
          <a:extLst>
            <a:ext uri="{FF2B5EF4-FFF2-40B4-BE49-F238E27FC236}">
              <a16:creationId xmlns:a16="http://schemas.microsoft.com/office/drawing/2014/main" id="{7DC5505B-0887-4915-9610-A784817B98AB}"/>
            </a:ext>
          </a:extLst>
        </xdr:cNvPr>
        <xdr:cNvGrpSpPr/>
      </xdr:nvGrpSpPr>
      <xdr:grpSpPr>
        <a:xfrm>
          <a:off x="115394" y="6720888"/>
          <a:ext cx="2638059" cy="2192550"/>
          <a:chOff x="238753" y="3253432"/>
          <a:chExt cx="2401260" cy="2188175"/>
        </a:xfrm>
        <a:noFill/>
      </xdr:grpSpPr>
      <xdr:graphicFrame macro="">
        <xdr:nvGraphicFramePr>
          <xdr:cNvPr id="13" name="Chart 12">
            <a:extLst>
              <a:ext uri="{FF2B5EF4-FFF2-40B4-BE49-F238E27FC236}">
                <a16:creationId xmlns:a16="http://schemas.microsoft.com/office/drawing/2014/main" id="{45268DBD-4A65-B662-709A-08F6A11F066C}"/>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4" name="TextBox 13">
            <a:extLst>
              <a:ext uri="{FF2B5EF4-FFF2-40B4-BE49-F238E27FC236}">
                <a16:creationId xmlns:a16="http://schemas.microsoft.com/office/drawing/2014/main" id="{D5A18A58-A489-BB36-C5E5-BAE15DA1C6B6}"/>
              </a:ext>
            </a:extLst>
          </xdr:cNvPr>
          <xdr:cNvSpPr txBox="1"/>
        </xdr:nvSpPr>
        <xdr:spPr>
          <a:xfrm>
            <a:off x="407277" y="3253432"/>
            <a:ext cx="2114278" cy="27790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rgbClr val="002060"/>
                </a:solidFill>
                <a:effectLst/>
                <a:latin typeface="+mn-lt"/>
                <a:ea typeface="+mn-ea"/>
                <a:cs typeface="+mn-cs"/>
              </a:rPr>
              <a:t>Market cap/Long Term Liabilities(D)</a:t>
            </a:r>
            <a:r>
              <a:rPr lang="en-IN">
                <a:solidFill>
                  <a:srgbClr val="002060"/>
                </a:solidFill>
              </a:rPr>
              <a:t> </a:t>
            </a:r>
            <a:endParaRPr lang="en-IN" sz="1100" b="1">
              <a:solidFill>
                <a:srgbClr val="002060"/>
              </a:solidFill>
              <a:latin typeface="+mn-lt"/>
            </a:endParaRPr>
          </a:p>
        </xdr:txBody>
      </xdr:sp>
    </xdr:grpSp>
    <xdr:clientData/>
  </xdr:twoCellAnchor>
  <xdr:twoCellAnchor>
    <xdr:from>
      <xdr:col>2</xdr:col>
      <xdr:colOff>427291</xdr:colOff>
      <xdr:row>31</xdr:row>
      <xdr:rowOff>92132</xdr:rowOff>
    </xdr:from>
    <xdr:to>
      <xdr:col>5</xdr:col>
      <xdr:colOff>535310</xdr:colOff>
      <xdr:row>42</xdr:row>
      <xdr:rowOff>185040</xdr:rowOff>
    </xdr:to>
    <xdr:grpSp>
      <xdr:nvGrpSpPr>
        <xdr:cNvPr id="15" name="Group 14">
          <a:extLst>
            <a:ext uri="{FF2B5EF4-FFF2-40B4-BE49-F238E27FC236}">
              <a16:creationId xmlns:a16="http://schemas.microsoft.com/office/drawing/2014/main" id="{86597861-85AC-4527-B781-D284B61BF0C7}"/>
            </a:ext>
          </a:extLst>
        </xdr:cNvPr>
        <xdr:cNvGrpSpPr/>
      </xdr:nvGrpSpPr>
      <xdr:grpSpPr>
        <a:xfrm>
          <a:off x="2936921" y="6718219"/>
          <a:ext cx="2642498" cy="2188408"/>
          <a:chOff x="238753" y="3253432"/>
          <a:chExt cx="2401260" cy="2188175"/>
        </a:xfrm>
        <a:noFill/>
      </xdr:grpSpPr>
      <xdr:graphicFrame macro="">
        <xdr:nvGraphicFramePr>
          <xdr:cNvPr id="16" name="Chart 15">
            <a:extLst>
              <a:ext uri="{FF2B5EF4-FFF2-40B4-BE49-F238E27FC236}">
                <a16:creationId xmlns:a16="http://schemas.microsoft.com/office/drawing/2014/main" id="{E13D083A-7BE0-7388-CA47-893D08E12309}"/>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7" name="TextBox 16">
            <a:extLst>
              <a:ext uri="{FF2B5EF4-FFF2-40B4-BE49-F238E27FC236}">
                <a16:creationId xmlns:a16="http://schemas.microsoft.com/office/drawing/2014/main" id="{1532B9B4-E4D1-9CC9-EACD-2EC292BA3C80}"/>
              </a:ext>
            </a:extLst>
          </xdr:cNvPr>
          <xdr:cNvSpPr txBox="1"/>
        </xdr:nvSpPr>
        <xdr:spPr>
          <a:xfrm>
            <a:off x="826104" y="3253432"/>
            <a:ext cx="1611468" cy="27790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rgbClr val="002060"/>
                </a:solidFill>
                <a:effectLst/>
                <a:latin typeface="+mn-lt"/>
                <a:ea typeface="+mn-ea"/>
                <a:cs typeface="+mn-cs"/>
              </a:rPr>
              <a:t>Sales/Total Assets(E)</a:t>
            </a:r>
            <a:r>
              <a:rPr lang="en-IN" sz="1050">
                <a:solidFill>
                  <a:srgbClr val="002060"/>
                </a:solidFill>
              </a:rPr>
              <a:t> </a:t>
            </a:r>
            <a:endParaRPr lang="en-IN" sz="1100" b="1">
              <a:solidFill>
                <a:srgbClr val="002060"/>
              </a:solidFill>
              <a:latin typeface="+mn-lt"/>
            </a:endParaRPr>
          </a:p>
        </xdr:txBody>
      </xdr:sp>
    </xdr:grpSp>
    <xdr:clientData/>
  </xdr:twoCellAnchor>
  <xdr:twoCellAnchor>
    <xdr:from>
      <xdr:col>1</xdr:col>
      <xdr:colOff>152081</xdr:colOff>
      <xdr:row>44</xdr:row>
      <xdr:rowOff>165495</xdr:rowOff>
    </xdr:from>
    <xdr:to>
      <xdr:col>8</xdr:col>
      <xdr:colOff>550843</xdr:colOff>
      <xdr:row>60</xdr:row>
      <xdr:rowOff>126234</xdr:rowOff>
    </xdr:to>
    <xdr:sp macro="" textlink="">
      <xdr:nvSpPr>
        <xdr:cNvPr id="21" name="TextBox 20">
          <a:extLst>
            <a:ext uri="{FF2B5EF4-FFF2-40B4-BE49-F238E27FC236}">
              <a16:creationId xmlns:a16="http://schemas.microsoft.com/office/drawing/2014/main" id="{6C945838-091A-4A52-86A2-31B39F437008}"/>
            </a:ext>
          </a:extLst>
        </xdr:cNvPr>
        <xdr:cNvSpPr txBox="1"/>
      </xdr:nvSpPr>
      <xdr:spPr>
        <a:xfrm>
          <a:off x="275906" y="9271395"/>
          <a:ext cx="7866362" cy="3008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dk1"/>
              </a:solidFill>
              <a:effectLst/>
              <a:latin typeface="+mn-lt"/>
              <a:ea typeface="+mn-ea"/>
              <a:cs typeface="+mn-cs"/>
            </a:rPr>
            <a:t>Recent Updates:</a:t>
          </a:r>
          <a:endParaRPr lang="en-IN" sz="1400">
            <a:effectLst/>
          </a:endParaRPr>
        </a:p>
        <a:p>
          <a:pPr marL="171450" indent="-171450">
            <a:buFont typeface="Arial" panose="020B0604020202020204" pitchFamily="34" charset="0"/>
            <a:buChar char="•"/>
          </a:pPr>
          <a:r>
            <a:rPr lang="en-IN" sz="1200">
              <a:solidFill>
                <a:schemeClr val="dk1"/>
              </a:solidFill>
              <a:effectLst/>
              <a:latin typeface="+mn-lt"/>
              <a:ea typeface="+mn-ea"/>
              <a:cs typeface="+mn-cs"/>
            </a:rPr>
            <a:t>Q1 FY27 results to be announced on 28 July 2026, with the earnings call scheduled after the board meeting.</a:t>
          </a:r>
          <a:endParaRPr lang="en-IN" sz="1200">
            <a:effectLst/>
          </a:endParaRPr>
        </a:p>
        <a:p>
          <a:pPr marL="171450" indent="-171450">
            <a:buFont typeface="Arial" panose="020B0604020202020204" pitchFamily="34" charset="0"/>
            <a:buChar char="•"/>
          </a:pPr>
          <a:r>
            <a:rPr lang="en-IN" sz="1200">
              <a:solidFill>
                <a:schemeClr val="dk1"/>
              </a:solidFill>
              <a:effectLst/>
              <a:latin typeface="+mn-lt"/>
              <a:ea typeface="+mn-ea"/>
              <a:cs typeface="+mn-cs"/>
            </a:rPr>
            <a:t>Q4 FY26 Revenue increased 11.3% YoY to ₹82,762 Cr, reflecting strong project execution.</a:t>
          </a:r>
          <a:endParaRPr lang="en-IN" sz="1200">
            <a:effectLst/>
          </a:endParaRPr>
        </a:p>
        <a:p>
          <a:pPr marL="171450" indent="-171450">
            <a:buFont typeface="Arial" panose="020B0604020202020204" pitchFamily="34" charset="0"/>
            <a:buChar char="•"/>
          </a:pPr>
          <a:r>
            <a:rPr lang="en-IN" sz="1200">
              <a:solidFill>
                <a:schemeClr val="dk1"/>
              </a:solidFill>
              <a:effectLst/>
              <a:latin typeface="+mn-lt"/>
              <a:ea typeface="+mn-ea"/>
              <a:cs typeface="+mn-cs"/>
            </a:rPr>
            <a:t>Net Profit declined 3% YoY to ₹5,326 Cr, mainly due to margin pressure.</a:t>
          </a:r>
          <a:endParaRPr lang="en-IN" sz="1200">
            <a:effectLst/>
          </a:endParaRPr>
        </a:p>
        <a:p>
          <a:pPr marL="171450" indent="-171450">
            <a:buFont typeface="Arial" panose="020B0604020202020204" pitchFamily="34" charset="0"/>
            <a:buChar char="•"/>
          </a:pPr>
          <a:r>
            <a:rPr lang="en-IN" sz="1200">
              <a:solidFill>
                <a:schemeClr val="dk1"/>
              </a:solidFill>
              <a:effectLst/>
              <a:latin typeface="+mn-lt"/>
              <a:ea typeface="+mn-ea"/>
              <a:cs typeface="+mn-cs"/>
            </a:rPr>
            <a:t>EBITDA grew 5% YoY to ₹8,610 Cr, while the EBITDA margin moderated to 10.4%.</a:t>
          </a:r>
          <a:endParaRPr lang="en-IN" sz="1200">
            <a:effectLst/>
          </a:endParaRPr>
        </a:p>
        <a:p>
          <a:pPr marL="171450" indent="-171450">
            <a:buFont typeface="Arial" panose="020B0604020202020204" pitchFamily="34" charset="0"/>
            <a:buChar char="•"/>
          </a:pPr>
          <a:r>
            <a:rPr lang="en-IN" sz="1200">
              <a:solidFill>
                <a:schemeClr val="dk1"/>
              </a:solidFill>
              <a:effectLst/>
              <a:latin typeface="+mn-lt"/>
              <a:ea typeface="+mn-ea"/>
              <a:cs typeface="+mn-cs"/>
            </a:rPr>
            <a:t>Order Book reached a record ₹7.40 lakh Cr, providing strong multi-year revenue visibility.</a:t>
          </a:r>
          <a:endParaRPr lang="en-IN" sz="1200">
            <a:effectLst/>
          </a:endParaRPr>
        </a:p>
        <a:p>
          <a:pPr marL="171450" indent="-171450">
            <a:buFont typeface="Arial" panose="020B0604020202020204" pitchFamily="34" charset="0"/>
            <a:buChar char="•"/>
          </a:pPr>
          <a:r>
            <a:rPr lang="en-IN" sz="1200" b="1">
              <a:solidFill>
                <a:schemeClr val="dk1"/>
              </a:solidFill>
              <a:effectLst/>
              <a:latin typeface="+mn-lt"/>
              <a:ea typeface="+mn-ea"/>
              <a:cs typeface="+mn-cs"/>
            </a:rPr>
            <a:t>Management focus for Q1 FY27</a:t>
          </a:r>
          <a:r>
            <a:rPr lang="en-IN" sz="1200">
              <a:solidFill>
                <a:schemeClr val="dk1"/>
              </a:solidFill>
              <a:effectLst/>
              <a:latin typeface="+mn-lt"/>
              <a:ea typeface="+mn-ea"/>
              <a:cs typeface="+mn-cs"/>
            </a:rPr>
            <a:t>: Execution of the record order book, fresh order inflows, margin recovery, and infrastructure project pipeline.</a:t>
          </a:r>
          <a:endParaRPr lang="en-IN" sz="1200">
            <a:effectLst/>
          </a:endParaRPr>
        </a:p>
        <a:p>
          <a:pPr marL="171450" indent="-171450">
            <a:buFont typeface="Arial" panose="020B0604020202020204" pitchFamily="34" charset="0"/>
            <a:buChar char="•"/>
          </a:pPr>
          <a:r>
            <a:rPr lang="en-IN" sz="1200" b="1">
              <a:solidFill>
                <a:schemeClr val="dk1"/>
              </a:solidFill>
              <a:effectLst/>
              <a:latin typeface="+mn-lt"/>
              <a:ea typeface="+mn-ea"/>
              <a:cs typeface="+mn-cs"/>
            </a:rPr>
            <a:t>L&amp;T Technology Services (LTTS): </a:t>
          </a:r>
          <a:r>
            <a:rPr lang="en-IN" sz="1200">
              <a:solidFill>
                <a:schemeClr val="dk1"/>
              </a:solidFill>
              <a:effectLst/>
              <a:latin typeface="+mn-lt"/>
              <a:ea typeface="+mn-ea"/>
              <a:cs typeface="+mn-cs"/>
            </a:rPr>
            <a:t>Revenue grew 11.5% YoY to ₹2,940 Cr and Net Profit increased 13% YoY.</a:t>
          </a:r>
          <a:endParaRPr lang="en-IN" sz="1200">
            <a:effectLst/>
          </a:endParaRPr>
        </a:p>
        <a:p>
          <a:pPr marL="171450" indent="-171450">
            <a:buFont typeface="Arial" panose="020B0604020202020204" pitchFamily="34" charset="0"/>
            <a:buChar char="•"/>
          </a:pPr>
          <a:r>
            <a:rPr lang="en-IN" sz="1200" b="1">
              <a:solidFill>
                <a:schemeClr val="dk1"/>
              </a:solidFill>
              <a:effectLst/>
              <a:latin typeface="+mn-lt"/>
              <a:ea typeface="+mn-ea"/>
              <a:cs typeface="+mn-cs"/>
            </a:rPr>
            <a:t>LTIMindtree: </a:t>
          </a:r>
          <a:r>
            <a:rPr lang="en-IN" sz="1200">
              <a:solidFill>
                <a:schemeClr val="dk1"/>
              </a:solidFill>
              <a:effectLst/>
              <a:latin typeface="+mn-lt"/>
              <a:ea typeface="+mn-ea"/>
              <a:cs typeface="+mn-cs"/>
            </a:rPr>
            <a:t>Revenue increased 18% YoY to ₹11,608 Cr, while Net Profit rose 17.1% YoY to ₹1,469 Cr.</a:t>
          </a:r>
          <a:endParaRPr lang="en-IN" sz="1200">
            <a:effectLst/>
          </a:endParaRPr>
        </a:p>
        <a:p>
          <a:pPr marL="171450" indent="-171450">
            <a:buFont typeface="Arial" panose="020B0604020202020204" pitchFamily="34" charset="0"/>
            <a:buChar char="•"/>
          </a:pPr>
          <a:r>
            <a:rPr lang="en-IN" sz="1200" b="1">
              <a:solidFill>
                <a:schemeClr val="dk1"/>
              </a:solidFill>
              <a:effectLst/>
              <a:latin typeface="+mn-lt"/>
              <a:ea typeface="+mn-ea"/>
              <a:cs typeface="+mn-cs"/>
            </a:rPr>
            <a:t>Outlook</a:t>
          </a:r>
          <a:r>
            <a:rPr lang="en-IN" sz="1200">
              <a:solidFill>
                <a:schemeClr val="dk1"/>
              </a:solidFill>
              <a:effectLst/>
              <a:latin typeface="+mn-lt"/>
              <a:ea typeface="+mn-ea"/>
              <a:cs typeface="+mn-cs"/>
            </a:rPr>
            <a:t>: A strong order book supports long-term growth, but investors will closely monitor execution efficiency, profitability, and new order wins in upcoming quarters.</a:t>
          </a:r>
          <a:endParaRPr lang="en-IN" sz="1200">
            <a:effectLst/>
          </a:endParaRPr>
        </a:p>
        <a:p>
          <a:pPr marL="171450" indent="-171450">
            <a:buFont typeface="Arial" panose="020B0604020202020204" pitchFamily="34" charset="0"/>
            <a:buChar char="•"/>
          </a:pPr>
          <a:r>
            <a:rPr lang="en-IN" sz="1200" b="1">
              <a:solidFill>
                <a:schemeClr val="dk1"/>
              </a:solidFill>
              <a:effectLst/>
              <a:latin typeface="+mn-lt"/>
              <a:ea typeface="+mn-ea"/>
              <a:cs typeface="+mn-cs"/>
            </a:rPr>
            <a:t>Investment View: </a:t>
          </a:r>
          <a:r>
            <a:rPr lang="en-IN" sz="1200">
              <a:solidFill>
                <a:schemeClr val="dk1"/>
              </a:solidFill>
              <a:effectLst/>
              <a:latin typeface="+mn-lt"/>
              <a:ea typeface="+mn-ea"/>
              <a:cs typeface="+mn-cs"/>
            </a:rPr>
            <a:t>L&amp;T remains well-positioned to benefit from India's infrastructure and capital expenditure cycle, supported by its diversified business model and record order backlog.</a:t>
          </a:r>
          <a:endParaRPr lang="en-IN" sz="1200">
            <a:effectLst/>
          </a:endParaRPr>
        </a:p>
      </xdr:txBody>
    </xdr:sp>
    <xdr:clientData/>
  </xdr:twoCellAnchor>
  <xdr:twoCellAnchor>
    <xdr:from>
      <xdr:col>1</xdr:col>
      <xdr:colOff>246241</xdr:colOff>
      <xdr:row>18</xdr:row>
      <xdr:rowOff>0</xdr:rowOff>
    </xdr:from>
    <xdr:to>
      <xdr:col>2</xdr:col>
      <xdr:colOff>15636</xdr:colOff>
      <xdr:row>18</xdr:row>
      <xdr:rowOff>0</xdr:rowOff>
    </xdr:to>
    <xdr:cxnSp macro="">
      <xdr:nvCxnSpPr>
        <xdr:cNvPr id="22" name="Straight Connector 21">
          <a:extLst>
            <a:ext uri="{FF2B5EF4-FFF2-40B4-BE49-F238E27FC236}">
              <a16:creationId xmlns:a16="http://schemas.microsoft.com/office/drawing/2014/main" id="{57FDAB56-26CD-42E8-AA48-5CE32DB4429E}"/>
            </a:ext>
          </a:extLst>
        </xdr:cNvPr>
        <xdr:cNvCxnSpPr/>
      </xdr:nvCxnSpPr>
      <xdr:spPr>
        <a:xfrm>
          <a:off x="370066" y="4152900"/>
          <a:ext cx="2150645"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651711</xdr:colOff>
      <xdr:row>18</xdr:row>
      <xdr:rowOff>7088</xdr:rowOff>
    </xdr:from>
    <xdr:to>
      <xdr:col>5</xdr:col>
      <xdr:colOff>250659</xdr:colOff>
      <xdr:row>18</xdr:row>
      <xdr:rowOff>7088</xdr:rowOff>
    </xdr:to>
    <xdr:cxnSp macro="">
      <xdr:nvCxnSpPr>
        <xdr:cNvPr id="23" name="Straight Connector 22">
          <a:extLst>
            <a:ext uri="{FF2B5EF4-FFF2-40B4-BE49-F238E27FC236}">
              <a16:creationId xmlns:a16="http://schemas.microsoft.com/office/drawing/2014/main" id="{35A573C3-24FB-4991-BD8F-7559A844ED2B}"/>
            </a:ext>
          </a:extLst>
        </xdr:cNvPr>
        <xdr:cNvCxnSpPr/>
      </xdr:nvCxnSpPr>
      <xdr:spPr>
        <a:xfrm>
          <a:off x="3156786" y="4159988"/>
          <a:ext cx="2142123"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792079</xdr:colOff>
      <xdr:row>18</xdr:row>
      <xdr:rowOff>691</xdr:rowOff>
    </xdr:from>
    <xdr:to>
      <xdr:col>8</xdr:col>
      <xdr:colOff>391026</xdr:colOff>
      <xdr:row>18</xdr:row>
      <xdr:rowOff>691</xdr:rowOff>
    </xdr:to>
    <xdr:cxnSp macro="">
      <xdr:nvCxnSpPr>
        <xdr:cNvPr id="24" name="Straight Connector 23">
          <a:extLst>
            <a:ext uri="{FF2B5EF4-FFF2-40B4-BE49-F238E27FC236}">
              <a16:creationId xmlns:a16="http://schemas.microsoft.com/office/drawing/2014/main" id="{83E63E2C-6C49-4F97-BC73-9B167105A9D2}"/>
            </a:ext>
          </a:extLst>
        </xdr:cNvPr>
        <xdr:cNvCxnSpPr/>
      </xdr:nvCxnSpPr>
      <xdr:spPr>
        <a:xfrm>
          <a:off x="5840329" y="4153591"/>
          <a:ext cx="2142122"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226189</xdr:colOff>
      <xdr:row>31</xdr:row>
      <xdr:rowOff>98949</xdr:rowOff>
    </xdr:from>
    <xdr:to>
      <xdr:col>1</xdr:col>
      <xdr:colOff>2376834</xdr:colOff>
      <xdr:row>31</xdr:row>
      <xdr:rowOff>98949</xdr:rowOff>
    </xdr:to>
    <xdr:cxnSp macro="">
      <xdr:nvCxnSpPr>
        <xdr:cNvPr id="25" name="Straight Connector 24">
          <a:extLst>
            <a:ext uri="{FF2B5EF4-FFF2-40B4-BE49-F238E27FC236}">
              <a16:creationId xmlns:a16="http://schemas.microsoft.com/office/drawing/2014/main" id="{0B5C50BF-AC7E-4318-842E-79E333B92988}"/>
            </a:ext>
          </a:extLst>
        </xdr:cNvPr>
        <xdr:cNvCxnSpPr/>
      </xdr:nvCxnSpPr>
      <xdr:spPr>
        <a:xfrm>
          <a:off x="350014" y="6728349"/>
          <a:ext cx="2150645"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741947</xdr:colOff>
      <xdr:row>31</xdr:row>
      <xdr:rowOff>90237</xdr:rowOff>
    </xdr:from>
    <xdr:to>
      <xdr:col>5</xdr:col>
      <xdr:colOff>340895</xdr:colOff>
      <xdr:row>31</xdr:row>
      <xdr:rowOff>90237</xdr:rowOff>
    </xdr:to>
    <xdr:cxnSp macro="">
      <xdr:nvCxnSpPr>
        <xdr:cNvPr id="26" name="Straight Connector 25">
          <a:extLst>
            <a:ext uri="{FF2B5EF4-FFF2-40B4-BE49-F238E27FC236}">
              <a16:creationId xmlns:a16="http://schemas.microsoft.com/office/drawing/2014/main" id="{8E85F4F3-9426-4C1D-B1F9-05014898EB7A}"/>
            </a:ext>
          </a:extLst>
        </xdr:cNvPr>
        <xdr:cNvCxnSpPr/>
      </xdr:nvCxnSpPr>
      <xdr:spPr>
        <a:xfrm>
          <a:off x="3247022" y="6719637"/>
          <a:ext cx="2142123"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7844</xdr:colOff>
      <xdr:row>64</xdr:row>
      <xdr:rowOff>0</xdr:rowOff>
    </xdr:from>
    <xdr:to>
      <xdr:col>8</xdr:col>
      <xdr:colOff>179295</xdr:colOff>
      <xdr:row>66</xdr:row>
      <xdr:rowOff>0</xdr:rowOff>
    </xdr:to>
    <xdr:sp macro="" textlink="">
      <xdr:nvSpPr>
        <xdr:cNvPr id="28" name="TextBox 27">
          <a:extLst>
            <a:ext uri="{FF2B5EF4-FFF2-40B4-BE49-F238E27FC236}">
              <a16:creationId xmlns:a16="http://schemas.microsoft.com/office/drawing/2014/main" id="{A5C5B2EA-BC87-4324-806F-2345F9A41041}"/>
            </a:ext>
          </a:extLst>
        </xdr:cNvPr>
        <xdr:cNvSpPr txBox="1"/>
      </xdr:nvSpPr>
      <xdr:spPr>
        <a:xfrm>
          <a:off x="131669" y="12792075"/>
          <a:ext cx="7639051"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002060"/>
              </a:solidFill>
            </a:rPr>
            <a:t>Altman's Z Score Analysis Calculation</a:t>
          </a:r>
        </a:p>
        <a:p>
          <a:endParaRPr lang="en-IN" sz="1800" b="1">
            <a:solidFill>
              <a:srgbClr val="002060"/>
            </a:solidFill>
          </a:endParaRPr>
        </a:p>
      </xdr:txBody>
    </xdr:sp>
    <xdr:clientData/>
  </xdr:twoCellAnchor>
  <xdr:twoCellAnchor>
    <xdr:from>
      <xdr:col>0</xdr:col>
      <xdr:colOff>100013</xdr:colOff>
      <xdr:row>103</xdr:row>
      <xdr:rowOff>0</xdr:rowOff>
    </xdr:from>
    <xdr:to>
      <xdr:col>8</xdr:col>
      <xdr:colOff>295964</xdr:colOff>
      <xdr:row>105</xdr:row>
      <xdr:rowOff>35719</xdr:rowOff>
    </xdr:to>
    <xdr:sp macro="" textlink="">
      <xdr:nvSpPr>
        <xdr:cNvPr id="30" name="TextBox 29">
          <a:extLst>
            <a:ext uri="{FF2B5EF4-FFF2-40B4-BE49-F238E27FC236}">
              <a16:creationId xmlns:a16="http://schemas.microsoft.com/office/drawing/2014/main" id="{9A04DF97-3E97-42DA-BB3E-05724F6A95BD}"/>
            </a:ext>
          </a:extLst>
        </xdr:cNvPr>
        <xdr:cNvSpPr txBox="1"/>
      </xdr:nvSpPr>
      <xdr:spPr>
        <a:xfrm>
          <a:off x="100013" y="24603075"/>
          <a:ext cx="7787376" cy="41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Tx/>
            <a:buNone/>
          </a:pPr>
          <a:r>
            <a:rPr lang="en-IN" sz="900" b="1">
              <a:solidFill>
                <a:srgbClr val="002060"/>
              </a:solidFill>
            </a:rPr>
            <a:t>Disclaimer: </a:t>
          </a:r>
          <a:r>
            <a:rPr lang="en-IN" sz="900"/>
            <a:t>This report is made as part of educational assignment and is meant for educational purpose only.The author of the report is not liable</a:t>
          </a:r>
          <a:r>
            <a:rPr lang="en-IN" sz="900" baseline="0"/>
            <a:t> for any losses due to actions taken basis this report. It is advisiable to consult SEBI registered researh analyst before making any investments.</a:t>
          </a:r>
          <a:endParaRPr lang="en-IN" sz="900"/>
        </a:p>
      </xdr:txBody>
    </xdr:sp>
    <xdr:clientData/>
  </xdr:twoCellAnchor>
  <xdr:twoCellAnchor>
    <xdr:from>
      <xdr:col>6</xdr:col>
      <xdr:colOff>0</xdr:colOff>
      <xdr:row>31</xdr:row>
      <xdr:rowOff>74309</xdr:rowOff>
    </xdr:from>
    <xdr:to>
      <xdr:col>9</xdr:col>
      <xdr:colOff>108019</xdr:colOff>
      <xdr:row>42</xdr:row>
      <xdr:rowOff>92909</xdr:rowOff>
    </xdr:to>
    <xdr:grpSp>
      <xdr:nvGrpSpPr>
        <xdr:cNvPr id="29" name="Group 28">
          <a:extLst>
            <a:ext uri="{FF2B5EF4-FFF2-40B4-BE49-F238E27FC236}">
              <a16:creationId xmlns:a16="http://schemas.microsoft.com/office/drawing/2014/main" id="{D660B293-A7C2-483C-A4D1-348902427DD9}"/>
            </a:ext>
          </a:extLst>
        </xdr:cNvPr>
        <xdr:cNvGrpSpPr/>
      </xdr:nvGrpSpPr>
      <xdr:grpSpPr>
        <a:xfrm>
          <a:off x="5888935" y="6700396"/>
          <a:ext cx="2642497" cy="2114100"/>
          <a:chOff x="238753" y="3331445"/>
          <a:chExt cx="2401260" cy="2110162"/>
        </a:xfrm>
        <a:noFill/>
      </xdr:grpSpPr>
      <xdr:graphicFrame macro="">
        <xdr:nvGraphicFramePr>
          <xdr:cNvPr id="31" name="Chart 30">
            <a:extLst>
              <a:ext uri="{FF2B5EF4-FFF2-40B4-BE49-F238E27FC236}">
                <a16:creationId xmlns:a16="http://schemas.microsoft.com/office/drawing/2014/main" id="{358ECDFE-7F08-1965-D442-D4837A43ED59}"/>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2" name="TextBox 31">
            <a:extLst>
              <a:ext uri="{FF2B5EF4-FFF2-40B4-BE49-F238E27FC236}">
                <a16:creationId xmlns:a16="http://schemas.microsoft.com/office/drawing/2014/main" id="{9973548C-C245-C80E-08FE-7F7FEF64A496}"/>
              </a:ext>
            </a:extLst>
          </xdr:cNvPr>
          <xdr:cNvSpPr txBox="1"/>
        </xdr:nvSpPr>
        <xdr:spPr>
          <a:xfrm>
            <a:off x="751921" y="3331445"/>
            <a:ext cx="1618247" cy="27790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latin typeface="+mn-lt"/>
              </a:rPr>
              <a:t>Altman's Z Score</a:t>
            </a:r>
          </a:p>
        </xdr:txBody>
      </xdr:sp>
    </xdr:grpSp>
    <xdr:clientData/>
  </xdr:twoCellAnchor>
  <xdr:twoCellAnchor>
    <xdr:from>
      <xdr:col>6</xdr:col>
      <xdr:colOff>0</xdr:colOff>
      <xdr:row>31</xdr:row>
      <xdr:rowOff>60285</xdr:rowOff>
    </xdr:from>
    <xdr:to>
      <xdr:col>8</xdr:col>
      <xdr:colOff>747532</xdr:colOff>
      <xdr:row>31</xdr:row>
      <xdr:rowOff>72342</xdr:rowOff>
    </xdr:to>
    <xdr:cxnSp macro="">
      <xdr:nvCxnSpPr>
        <xdr:cNvPr id="33" name="Straight Connector 32">
          <a:extLst>
            <a:ext uri="{FF2B5EF4-FFF2-40B4-BE49-F238E27FC236}">
              <a16:creationId xmlns:a16="http://schemas.microsoft.com/office/drawing/2014/main" id="{C8F743CD-87CD-4D73-9FF4-D532E9E95545}"/>
            </a:ext>
          </a:extLst>
        </xdr:cNvPr>
        <xdr:cNvCxnSpPr/>
      </xdr:nvCxnSpPr>
      <xdr:spPr>
        <a:xfrm flipV="1">
          <a:off x="5883797" y="6739842"/>
          <a:ext cx="2435507" cy="12057"/>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452437</xdr:colOff>
      <xdr:row>2</xdr:row>
      <xdr:rowOff>130969</xdr:rowOff>
    </xdr:from>
    <xdr:to>
      <xdr:col>8</xdr:col>
      <xdr:colOff>683551</xdr:colOff>
      <xdr:row>4</xdr:row>
      <xdr:rowOff>194018</xdr:rowOff>
    </xdr:to>
    <xdr:pic>
      <xdr:nvPicPr>
        <xdr:cNvPr id="18" name="Picture 17">
          <a:extLst>
            <a:ext uri="{FF2B5EF4-FFF2-40B4-BE49-F238E27FC236}">
              <a16:creationId xmlns:a16="http://schemas.microsoft.com/office/drawing/2014/main" id="{5E72828C-0C33-4627-9FBE-33F02A60E78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5488781" y="416719"/>
          <a:ext cx="2767145" cy="7059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36991</xdr:colOff>
      <xdr:row>18</xdr:row>
      <xdr:rowOff>225591</xdr:rowOff>
    </xdr:from>
    <xdr:to>
      <xdr:col>2</xdr:col>
      <xdr:colOff>290152</xdr:colOff>
      <xdr:row>30</xdr:row>
      <xdr:rowOff>80286</xdr:rowOff>
    </xdr:to>
    <xdr:grpSp>
      <xdr:nvGrpSpPr>
        <xdr:cNvPr id="9" name="Group 8">
          <a:extLst>
            <a:ext uri="{FF2B5EF4-FFF2-40B4-BE49-F238E27FC236}">
              <a16:creationId xmlns:a16="http://schemas.microsoft.com/office/drawing/2014/main" id="{AAFA778A-1ACB-C64F-6BB5-68E29D29425E}"/>
            </a:ext>
          </a:extLst>
        </xdr:cNvPr>
        <xdr:cNvGrpSpPr/>
      </xdr:nvGrpSpPr>
      <xdr:grpSpPr>
        <a:xfrm>
          <a:off x="163991" y="4365791"/>
          <a:ext cx="2640761" cy="2191495"/>
          <a:chOff x="238753" y="3253432"/>
          <a:chExt cx="2401260" cy="2188175"/>
        </a:xfrm>
        <a:noFill/>
      </xdr:grpSpPr>
      <xdr:graphicFrame macro="">
        <xdr:nvGraphicFramePr>
          <xdr:cNvPr id="2" name="Chart 1">
            <a:extLst>
              <a:ext uri="{FF2B5EF4-FFF2-40B4-BE49-F238E27FC236}">
                <a16:creationId xmlns:a16="http://schemas.microsoft.com/office/drawing/2014/main" id="{AA1A3EDC-50BD-7C01-D250-4298C4C1BC20}"/>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 name="TextBox 2">
            <a:extLst>
              <a:ext uri="{FF2B5EF4-FFF2-40B4-BE49-F238E27FC236}">
                <a16:creationId xmlns:a16="http://schemas.microsoft.com/office/drawing/2014/main" id="{E7F34921-9B45-D7E5-BCD0-19DE59D6711C}"/>
              </a:ext>
            </a:extLst>
          </xdr:cNvPr>
          <xdr:cNvSpPr txBox="1"/>
        </xdr:nvSpPr>
        <xdr:spPr>
          <a:xfrm>
            <a:off x="826105" y="3253432"/>
            <a:ext cx="1267461" cy="27790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mn-lt"/>
              </a:rPr>
              <a:t>Revenues (INR  Cr.)</a:t>
            </a:r>
          </a:p>
        </xdr:txBody>
      </xdr:sp>
    </xdr:grpSp>
    <xdr:clientData/>
  </xdr:twoCellAnchor>
  <xdr:twoCellAnchor>
    <xdr:from>
      <xdr:col>2</xdr:col>
      <xdr:colOff>419033</xdr:colOff>
      <xdr:row>18</xdr:row>
      <xdr:rowOff>234174</xdr:rowOff>
    </xdr:from>
    <xdr:to>
      <xdr:col>5</xdr:col>
      <xdr:colOff>496038</xdr:colOff>
      <xdr:row>30</xdr:row>
      <xdr:rowOff>88966</xdr:rowOff>
    </xdr:to>
    <xdr:grpSp>
      <xdr:nvGrpSpPr>
        <xdr:cNvPr id="12" name="Group 11">
          <a:extLst>
            <a:ext uri="{FF2B5EF4-FFF2-40B4-BE49-F238E27FC236}">
              <a16:creationId xmlns:a16="http://schemas.microsoft.com/office/drawing/2014/main" id="{49190CE1-69DA-439E-B2A5-656AA8481D6F}"/>
            </a:ext>
          </a:extLst>
        </xdr:cNvPr>
        <xdr:cNvGrpSpPr/>
      </xdr:nvGrpSpPr>
      <xdr:grpSpPr>
        <a:xfrm>
          <a:off x="2933633" y="4374374"/>
          <a:ext cx="2629705" cy="2191592"/>
          <a:chOff x="238753" y="3253432"/>
          <a:chExt cx="2401260" cy="2188175"/>
        </a:xfrm>
      </xdr:grpSpPr>
      <xdr:graphicFrame macro="">
        <xdr:nvGraphicFramePr>
          <xdr:cNvPr id="13" name="Chart 12">
            <a:extLst>
              <a:ext uri="{FF2B5EF4-FFF2-40B4-BE49-F238E27FC236}">
                <a16:creationId xmlns:a16="http://schemas.microsoft.com/office/drawing/2014/main" id="{B386DA64-FF05-AF40-A093-7DBF154E9A34}"/>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4" name="TextBox 13">
            <a:extLst>
              <a:ext uri="{FF2B5EF4-FFF2-40B4-BE49-F238E27FC236}">
                <a16:creationId xmlns:a16="http://schemas.microsoft.com/office/drawing/2014/main" id="{AEC0372D-F90A-328C-1B42-07C3E500B5CD}"/>
              </a:ext>
            </a:extLst>
          </xdr:cNvPr>
          <xdr:cNvSpPr txBox="1"/>
        </xdr:nvSpPr>
        <xdr:spPr>
          <a:xfrm>
            <a:off x="784816" y="3253432"/>
            <a:ext cx="1293963" cy="277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mn-lt"/>
              </a:rPr>
              <a:t>Net</a:t>
            </a:r>
            <a:r>
              <a:rPr lang="en-IN" sz="1100" b="1" baseline="0">
                <a:solidFill>
                  <a:schemeClr val="accent1">
                    <a:lumMod val="50000"/>
                  </a:schemeClr>
                </a:solidFill>
                <a:latin typeface="+mn-lt"/>
              </a:rPr>
              <a:t> Profit</a:t>
            </a:r>
            <a:r>
              <a:rPr lang="en-IN" sz="1100" b="1">
                <a:solidFill>
                  <a:schemeClr val="accent1">
                    <a:lumMod val="50000"/>
                  </a:schemeClr>
                </a:solidFill>
                <a:latin typeface="+mn-lt"/>
              </a:rPr>
              <a:t> (INR  Cr.)</a:t>
            </a:r>
          </a:p>
        </xdr:txBody>
      </xdr:sp>
    </xdr:grpSp>
    <xdr:clientData/>
  </xdr:twoCellAnchor>
  <xdr:twoCellAnchor>
    <xdr:from>
      <xdr:col>5</xdr:col>
      <xdr:colOff>518271</xdr:colOff>
      <xdr:row>19</xdr:row>
      <xdr:rowOff>8975</xdr:rowOff>
    </xdr:from>
    <xdr:to>
      <xdr:col>8</xdr:col>
      <xdr:colOff>649241</xdr:colOff>
      <xdr:row>30</xdr:row>
      <xdr:rowOff>102562</xdr:rowOff>
    </xdr:to>
    <xdr:grpSp>
      <xdr:nvGrpSpPr>
        <xdr:cNvPr id="16" name="Group 15">
          <a:extLst>
            <a:ext uri="{FF2B5EF4-FFF2-40B4-BE49-F238E27FC236}">
              <a16:creationId xmlns:a16="http://schemas.microsoft.com/office/drawing/2014/main" id="{7A25AD24-EE18-426C-BB66-67D54BE98EBD}"/>
            </a:ext>
          </a:extLst>
        </xdr:cNvPr>
        <xdr:cNvGrpSpPr/>
      </xdr:nvGrpSpPr>
      <xdr:grpSpPr>
        <a:xfrm>
          <a:off x="5585571" y="4390475"/>
          <a:ext cx="2683670" cy="2189087"/>
          <a:chOff x="238753" y="3253432"/>
          <a:chExt cx="2401260" cy="2188175"/>
        </a:xfrm>
      </xdr:grpSpPr>
      <xdr:graphicFrame macro="">
        <xdr:nvGraphicFramePr>
          <xdr:cNvPr id="17" name="Chart 16">
            <a:extLst>
              <a:ext uri="{FF2B5EF4-FFF2-40B4-BE49-F238E27FC236}">
                <a16:creationId xmlns:a16="http://schemas.microsoft.com/office/drawing/2014/main" id="{F5382312-2608-72DF-AA73-BE2D92BBBA1D}"/>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8" name="TextBox 17">
            <a:extLst>
              <a:ext uri="{FF2B5EF4-FFF2-40B4-BE49-F238E27FC236}">
                <a16:creationId xmlns:a16="http://schemas.microsoft.com/office/drawing/2014/main" id="{B0DB49F1-21D1-2511-AE3A-34DD9D88D252}"/>
              </a:ext>
            </a:extLst>
          </xdr:cNvPr>
          <xdr:cNvSpPr txBox="1"/>
        </xdr:nvSpPr>
        <xdr:spPr>
          <a:xfrm>
            <a:off x="794448" y="3253432"/>
            <a:ext cx="1293963" cy="277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mn-lt"/>
              </a:rPr>
              <a:t>Total</a:t>
            </a:r>
            <a:r>
              <a:rPr lang="en-IN" sz="1100" b="1" baseline="0">
                <a:solidFill>
                  <a:schemeClr val="accent1">
                    <a:lumMod val="50000"/>
                  </a:schemeClr>
                </a:solidFill>
                <a:latin typeface="+mn-lt"/>
              </a:rPr>
              <a:t> Asset</a:t>
            </a:r>
            <a:r>
              <a:rPr lang="en-IN" sz="1100" b="1">
                <a:solidFill>
                  <a:schemeClr val="accent1">
                    <a:lumMod val="50000"/>
                  </a:schemeClr>
                </a:solidFill>
                <a:latin typeface="+mn-lt"/>
              </a:rPr>
              <a:t> (INR  Cr.)</a:t>
            </a:r>
          </a:p>
        </xdr:txBody>
      </xdr:sp>
    </xdr:grpSp>
    <xdr:clientData/>
  </xdr:twoCellAnchor>
  <xdr:twoCellAnchor>
    <xdr:from>
      <xdr:col>0</xdr:col>
      <xdr:colOff>115394</xdr:colOff>
      <xdr:row>32</xdr:row>
      <xdr:rowOff>94801</xdr:rowOff>
    </xdr:from>
    <xdr:to>
      <xdr:col>2</xdr:col>
      <xdr:colOff>243823</xdr:colOff>
      <xdr:row>43</xdr:row>
      <xdr:rowOff>187709</xdr:rowOff>
    </xdr:to>
    <xdr:grpSp>
      <xdr:nvGrpSpPr>
        <xdr:cNvPr id="33" name="Group 32">
          <a:extLst>
            <a:ext uri="{FF2B5EF4-FFF2-40B4-BE49-F238E27FC236}">
              <a16:creationId xmlns:a16="http://schemas.microsoft.com/office/drawing/2014/main" id="{27A1E189-D466-47DD-9A73-AD32F002C322}"/>
            </a:ext>
          </a:extLst>
        </xdr:cNvPr>
        <xdr:cNvGrpSpPr/>
      </xdr:nvGrpSpPr>
      <xdr:grpSpPr>
        <a:xfrm>
          <a:off x="115394" y="6952801"/>
          <a:ext cx="2643029" cy="2188408"/>
          <a:chOff x="238753" y="3253432"/>
          <a:chExt cx="2401260" cy="2188175"/>
        </a:xfrm>
        <a:noFill/>
      </xdr:grpSpPr>
      <xdr:graphicFrame macro="">
        <xdr:nvGraphicFramePr>
          <xdr:cNvPr id="34" name="Chart 33">
            <a:extLst>
              <a:ext uri="{FF2B5EF4-FFF2-40B4-BE49-F238E27FC236}">
                <a16:creationId xmlns:a16="http://schemas.microsoft.com/office/drawing/2014/main" id="{EA9024E3-8742-B90F-A142-D017538A13DC}"/>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5" name="TextBox 34">
            <a:extLst>
              <a:ext uri="{FF2B5EF4-FFF2-40B4-BE49-F238E27FC236}">
                <a16:creationId xmlns:a16="http://schemas.microsoft.com/office/drawing/2014/main" id="{F572A54C-982D-DE2A-7F56-CA1CA385F4C4}"/>
              </a:ext>
            </a:extLst>
          </xdr:cNvPr>
          <xdr:cNvSpPr txBox="1"/>
        </xdr:nvSpPr>
        <xdr:spPr>
          <a:xfrm>
            <a:off x="826104" y="3253432"/>
            <a:ext cx="1611468" cy="27790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mn-lt"/>
              </a:rPr>
              <a:t>Return</a:t>
            </a:r>
            <a:r>
              <a:rPr lang="en-IN" sz="1100" b="1" baseline="0">
                <a:solidFill>
                  <a:schemeClr val="accent1">
                    <a:lumMod val="50000"/>
                  </a:schemeClr>
                </a:solidFill>
                <a:latin typeface="+mn-lt"/>
              </a:rPr>
              <a:t> on Equity</a:t>
            </a:r>
            <a:r>
              <a:rPr lang="en-IN" sz="1100" b="1">
                <a:solidFill>
                  <a:schemeClr val="accent1">
                    <a:lumMod val="50000"/>
                  </a:schemeClr>
                </a:solidFill>
                <a:latin typeface="+mn-lt"/>
              </a:rPr>
              <a:t> (%)</a:t>
            </a:r>
          </a:p>
        </xdr:txBody>
      </xdr:sp>
    </xdr:grpSp>
    <xdr:clientData/>
  </xdr:twoCellAnchor>
  <xdr:twoCellAnchor>
    <xdr:from>
      <xdr:col>2</xdr:col>
      <xdr:colOff>427291</xdr:colOff>
      <xdr:row>32</xdr:row>
      <xdr:rowOff>92132</xdr:rowOff>
    </xdr:from>
    <xdr:to>
      <xdr:col>5</xdr:col>
      <xdr:colOff>535310</xdr:colOff>
      <xdr:row>43</xdr:row>
      <xdr:rowOff>185040</xdr:rowOff>
    </xdr:to>
    <xdr:grpSp>
      <xdr:nvGrpSpPr>
        <xdr:cNvPr id="37" name="Group 36">
          <a:extLst>
            <a:ext uri="{FF2B5EF4-FFF2-40B4-BE49-F238E27FC236}">
              <a16:creationId xmlns:a16="http://schemas.microsoft.com/office/drawing/2014/main" id="{1AC6F423-4D04-429B-B7D1-6CD384400D87}"/>
            </a:ext>
          </a:extLst>
        </xdr:cNvPr>
        <xdr:cNvGrpSpPr/>
      </xdr:nvGrpSpPr>
      <xdr:grpSpPr>
        <a:xfrm>
          <a:off x="2941891" y="6950132"/>
          <a:ext cx="2660719" cy="2188408"/>
          <a:chOff x="238753" y="3253432"/>
          <a:chExt cx="2401260" cy="2188175"/>
        </a:xfrm>
        <a:noFill/>
      </xdr:grpSpPr>
      <xdr:graphicFrame macro="">
        <xdr:nvGraphicFramePr>
          <xdr:cNvPr id="38" name="Chart 37">
            <a:extLst>
              <a:ext uri="{FF2B5EF4-FFF2-40B4-BE49-F238E27FC236}">
                <a16:creationId xmlns:a16="http://schemas.microsoft.com/office/drawing/2014/main" id="{6111005C-7A82-F2EE-D222-8A5545FEA08E}"/>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9" name="TextBox 38">
            <a:extLst>
              <a:ext uri="{FF2B5EF4-FFF2-40B4-BE49-F238E27FC236}">
                <a16:creationId xmlns:a16="http://schemas.microsoft.com/office/drawing/2014/main" id="{434064CF-37FC-355E-A398-7E65F24C718B}"/>
              </a:ext>
            </a:extLst>
          </xdr:cNvPr>
          <xdr:cNvSpPr txBox="1"/>
        </xdr:nvSpPr>
        <xdr:spPr>
          <a:xfrm>
            <a:off x="826104" y="3253432"/>
            <a:ext cx="1611468" cy="27790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accent1">
                    <a:lumMod val="50000"/>
                  </a:schemeClr>
                </a:solidFill>
                <a:latin typeface="+mn-lt"/>
              </a:rPr>
              <a:t> </a:t>
            </a:r>
            <a:r>
              <a:rPr lang="en-IN" sz="1100" b="1">
                <a:solidFill>
                  <a:schemeClr val="accent1">
                    <a:lumMod val="50000"/>
                  </a:schemeClr>
                </a:solidFill>
                <a:latin typeface="+mn-lt"/>
              </a:rPr>
              <a:t>Return On Assets(%)</a:t>
            </a:r>
          </a:p>
        </xdr:txBody>
      </xdr:sp>
    </xdr:grpSp>
    <xdr:clientData/>
  </xdr:twoCellAnchor>
  <xdr:twoCellAnchor>
    <xdr:from>
      <xdr:col>5</xdr:col>
      <xdr:colOff>559493</xdr:colOff>
      <xdr:row>32</xdr:row>
      <xdr:rowOff>80793</xdr:rowOff>
    </xdr:from>
    <xdr:to>
      <xdr:col>8</xdr:col>
      <xdr:colOff>667512</xdr:colOff>
      <xdr:row>43</xdr:row>
      <xdr:rowOff>173701</xdr:rowOff>
    </xdr:to>
    <xdr:grpSp>
      <xdr:nvGrpSpPr>
        <xdr:cNvPr id="41" name="Group 40">
          <a:extLst>
            <a:ext uri="{FF2B5EF4-FFF2-40B4-BE49-F238E27FC236}">
              <a16:creationId xmlns:a16="http://schemas.microsoft.com/office/drawing/2014/main" id="{4D50C313-4A6C-4F6D-8A9F-0A64536BF77C}"/>
            </a:ext>
          </a:extLst>
        </xdr:cNvPr>
        <xdr:cNvGrpSpPr/>
      </xdr:nvGrpSpPr>
      <xdr:grpSpPr>
        <a:xfrm>
          <a:off x="5626793" y="6938793"/>
          <a:ext cx="2660719" cy="2188408"/>
          <a:chOff x="238753" y="3253432"/>
          <a:chExt cx="2401260" cy="2188175"/>
        </a:xfrm>
        <a:noFill/>
      </xdr:grpSpPr>
      <xdr:graphicFrame macro="">
        <xdr:nvGraphicFramePr>
          <xdr:cNvPr id="42" name="Chart 41">
            <a:extLst>
              <a:ext uri="{FF2B5EF4-FFF2-40B4-BE49-F238E27FC236}">
                <a16:creationId xmlns:a16="http://schemas.microsoft.com/office/drawing/2014/main" id="{ED091DDF-549E-AB69-B66A-257DE6E2E65C}"/>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43" name="TextBox 42">
            <a:extLst>
              <a:ext uri="{FF2B5EF4-FFF2-40B4-BE49-F238E27FC236}">
                <a16:creationId xmlns:a16="http://schemas.microsoft.com/office/drawing/2014/main" id="{DA8A9517-511B-2AF4-8EE8-6DB5723C8E26}"/>
              </a:ext>
            </a:extLst>
          </xdr:cNvPr>
          <xdr:cNvSpPr txBox="1"/>
        </xdr:nvSpPr>
        <xdr:spPr>
          <a:xfrm>
            <a:off x="826104" y="3253432"/>
            <a:ext cx="1611468" cy="27790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chemeClr val="accent1">
                    <a:lumMod val="50000"/>
                  </a:schemeClr>
                </a:solidFill>
                <a:latin typeface="+mn-lt"/>
              </a:rPr>
              <a:t>Financial</a:t>
            </a:r>
            <a:r>
              <a:rPr lang="en-IN" sz="1100" b="1" baseline="0">
                <a:solidFill>
                  <a:schemeClr val="accent1">
                    <a:lumMod val="50000"/>
                  </a:schemeClr>
                </a:solidFill>
                <a:latin typeface="+mn-lt"/>
              </a:rPr>
              <a:t> everage</a:t>
            </a:r>
            <a:r>
              <a:rPr lang="en-IN" sz="1100" b="1">
                <a:solidFill>
                  <a:schemeClr val="accent1">
                    <a:lumMod val="50000"/>
                  </a:schemeClr>
                </a:solidFill>
                <a:latin typeface="+mn-lt"/>
              </a:rPr>
              <a:t> (INR  Cr.)</a:t>
            </a:r>
          </a:p>
        </xdr:txBody>
      </xdr:sp>
    </xdr:grpSp>
    <xdr:clientData/>
  </xdr:twoCellAnchor>
  <xdr:twoCellAnchor>
    <xdr:from>
      <xdr:col>1</xdr:col>
      <xdr:colOff>152081</xdr:colOff>
      <xdr:row>45</xdr:row>
      <xdr:rowOff>165495</xdr:rowOff>
    </xdr:from>
    <xdr:to>
      <xdr:col>8</xdr:col>
      <xdr:colOff>550843</xdr:colOff>
      <xdr:row>61</xdr:row>
      <xdr:rowOff>126234</xdr:rowOff>
    </xdr:to>
    <xdr:sp macro="" textlink="">
      <xdr:nvSpPr>
        <xdr:cNvPr id="45" name="TextBox 44">
          <a:extLst>
            <a:ext uri="{FF2B5EF4-FFF2-40B4-BE49-F238E27FC236}">
              <a16:creationId xmlns:a16="http://schemas.microsoft.com/office/drawing/2014/main" id="{7415F542-DA36-EBBC-6112-39117CED5BCE}"/>
            </a:ext>
          </a:extLst>
        </xdr:cNvPr>
        <xdr:cNvSpPr txBox="1"/>
      </xdr:nvSpPr>
      <xdr:spPr>
        <a:xfrm>
          <a:off x="278316" y="9426549"/>
          <a:ext cx="7881051" cy="2887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 typeface="Wingdings" panose="05000000000000000000" pitchFamily="2" charset="2"/>
            <a:buNone/>
          </a:pPr>
          <a:r>
            <a:rPr lang="en-IN" sz="1400" b="1">
              <a:solidFill>
                <a:srgbClr val="002060"/>
              </a:solidFill>
            </a:rPr>
            <a:t>Recent Updates:</a:t>
          </a:r>
        </a:p>
        <a:p>
          <a:pPr marL="171450" indent="-171450">
            <a:buFont typeface="Wingdings" panose="05000000000000000000" pitchFamily="2" charset="2"/>
            <a:buChar char="§"/>
          </a:pPr>
          <a:r>
            <a:rPr lang="en-IN" sz="1200"/>
            <a:t>Q1 FY27 results to be announced on 28 July 2026, with the earnings call scheduled after the board meeting.</a:t>
          </a:r>
        </a:p>
        <a:p>
          <a:pPr marL="171450" indent="-171450">
            <a:buFont typeface="Wingdings" panose="05000000000000000000" pitchFamily="2" charset="2"/>
            <a:buChar char="§"/>
          </a:pPr>
          <a:r>
            <a:rPr lang="en-IN" sz="1200"/>
            <a:t>Q4 FY26 Revenue increased 11.3% YoY to ₹82,762 Cr, reflecting strong project execution.</a:t>
          </a:r>
        </a:p>
        <a:p>
          <a:pPr marL="171450" indent="-171450">
            <a:buFont typeface="Wingdings" panose="05000000000000000000" pitchFamily="2" charset="2"/>
            <a:buChar char="§"/>
          </a:pPr>
          <a:r>
            <a:rPr lang="en-IN" sz="1200"/>
            <a:t>Net Profit declined 3% YoY to ₹5,326 Cr, mainly due to margin pressure.</a:t>
          </a:r>
        </a:p>
        <a:p>
          <a:pPr marL="171450" indent="-171450">
            <a:buFont typeface="Wingdings" panose="05000000000000000000" pitchFamily="2" charset="2"/>
            <a:buChar char="§"/>
          </a:pPr>
          <a:r>
            <a:rPr lang="en-IN" sz="1200"/>
            <a:t>EBITDA grew 5% YoY to ₹8,610 Cr, while the EBITDA margin moderated to 10.4%.</a:t>
          </a:r>
        </a:p>
        <a:p>
          <a:pPr marL="171450" indent="-171450">
            <a:buFont typeface="Wingdings" panose="05000000000000000000" pitchFamily="2" charset="2"/>
            <a:buChar char="§"/>
          </a:pPr>
          <a:r>
            <a:rPr lang="en-IN" sz="1200"/>
            <a:t>Order Book reached a record ₹7.40 lakh Cr, providing strong multi-year revenue visibility.</a:t>
          </a:r>
        </a:p>
        <a:p>
          <a:pPr marL="171450" indent="-171450">
            <a:buFont typeface="Wingdings" panose="05000000000000000000" pitchFamily="2" charset="2"/>
            <a:buChar char="§"/>
          </a:pPr>
          <a:r>
            <a:rPr lang="en-IN" sz="1200" b="1"/>
            <a:t>Management focus for Q1 FY27</a:t>
          </a:r>
          <a:r>
            <a:rPr lang="en-IN" sz="1200"/>
            <a:t>: Execution of the record order book, fresh order inflows, margin recovery, and infrastructure project pipeline.</a:t>
          </a:r>
        </a:p>
        <a:p>
          <a:pPr marL="171450" indent="-171450">
            <a:buFont typeface="Wingdings" panose="05000000000000000000" pitchFamily="2" charset="2"/>
            <a:buChar char="§"/>
          </a:pPr>
          <a:r>
            <a:rPr lang="en-IN" sz="1200" b="1"/>
            <a:t>L&amp;T Technology Services (LTTS): </a:t>
          </a:r>
          <a:r>
            <a:rPr lang="en-IN" sz="1200"/>
            <a:t>Revenue grew 11.5% YoY to ₹2,940 Cr and Net Profit increased 13% YoY.</a:t>
          </a:r>
        </a:p>
        <a:p>
          <a:pPr marL="171450" indent="-171450">
            <a:buFont typeface="Wingdings" panose="05000000000000000000" pitchFamily="2" charset="2"/>
            <a:buChar char="§"/>
          </a:pPr>
          <a:r>
            <a:rPr lang="en-IN" sz="1200" b="1"/>
            <a:t>LTIMindtree: </a:t>
          </a:r>
          <a:r>
            <a:rPr lang="en-IN" sz="1200"/>
            <a:t>Revenue increased 18% YoY to ₹11,608 Cr, while Net Profit rose 17.1% YoY to ₹1,469 Cr.</a:t>
          </a:r>
        </a:p>
        <a:p>
          <a:pPr marL="171450" indent="-171450">
            <a:buFont typeface="Wingdings" panose="05000000000000000000" pitchFamily="2" charset="2"/>
            <a:buChar char="§"/>
          </a:pPr>
          <a:r>
            <a:rPr lang="en-IN" sz="1200" b="1"/>
            <a:t>Outlook</a:t>
          </a:r>
          <a:r>
            <a:rPr lang="en-IN" sz="1200"/>
            <a:t>: A strong order book supports long-term growth, but investors will closely monitor execution efficiency, profitability, and new order wins in upcoming quarters.</a:t>
          </a:r>
        </a:p>
        <a:p>
          <a:pPr marL="171450" indent="-171450">
            <a:buFont typeface="Wingdings" panose="05000000000000000000" pitchFamily="2" charset="2"/>
            <a:buChar char="§"/>
          </a:pPr>
          <a:r>
            <a:rPr lang="en-IN" sz="1200" b="1"/>
            <a:t>Investment View: </a:t>
          </a:r>
          <a:r>
            <a:rPr lang="en-IN" sz="1100"/>
            <a:t>L&amp;T remains well-positioned to benefit from India's infrastructure and capital expenditure cycle, supported by its diversified business model and record order backlog.</a:t>
          </a:r>
        </a:p>
      </xdr:txBody>
    </xdr:sp>
    <xdr:clientData/>
  </xdr:twoCellAnchor>
  <xdr:twoCellAnchor>
    <xdr:from>
      <xdr:col>1</xdr:col>
      <xdr:colOff>246241</xdr:colOff>
      <xdr:row>19</xdr:row>
      <xdr:rowOff>0</xdr:rowOff>
    </xdr:from>
    <xdr:to>
      <xdr:col>2</xdr:col>
      <xdr:colOff>15636</xdr:colOff>
      <xdr:row>19</xdr:row>
      <xdr:rowOff>0</xdr:rowOff>
    </xdr:to>
    <xdr:cxnSp macro="">
      <xdr:nvCxnSpPr>
        <xdr:cNvPr id="7" name="Straight Connector 6">
          <a:extLst>
            <a:ext uri="{FF2B5EF4-FFF2-40B4-BE49-F238E27FC236}">
              <a16:creationId xmlns:a16="http://schemas.microsoft.com/office/drawing/2014/main" id="{0FCACB64-F9EE-1A79-E1AF-A4D1D67DC422}"/>
            </a:ext>
          </a:extLst>
        </xdr:cNvPr>
        <xdr:cNvCxnSpPr/>
      </xdr:nvCxnSpPr>
      <xdr:spPr>
        <a:xfrm>
          <a:off x="370973" y="4161518"/>
          <a:ext cx="2150645"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651711</xdr:colOff>
      <xdr:row>19</xdr:row>
      <xdr:rowOff>7088</xdr:rowOff>
    </xdr:from>
    <xdr:to>
      <xdr:col>5</xdr:col>
      <xdr:colOff>250659</xdr:colOff>
      <xdr:row>19</xdr:row>
      <xdr:rowOff>7088</xdr:rowOff>
    </xdr:to>
    <xdr:cxnSp macro="">
      <xdr:nvCxnSpPr>
        <xdr:cNvPr id="8" name="Straight Connector 7">
          <a:extLst>
            <a:ext uri="{FF2B5EF4-FFF2-40B4-BE49-F238E27FC236}">
              <a16:creationId xmlns:a16="http://schemas.microsoft.com/office/drawing/2014/main" id="{53BB0F8A-4665-4F3E-8087-10F8337DE279}"/>
            </a:ext>
          </a:extLst>
        </xdr:cNvPr>
        <xdr:cNvCxnSpPr/>
      </xdr:nvCxnSpPr>
      <xdr:spPr>
        <a:xfrm>
          <a:off x="3164340" y="4227648"/>
          <a:ext cx="2160845"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792079</xdr:colOff>
      <xdr:row>19</xdr:row>
      <xdr:rowOff>691</xdr:rowOff>
    </xdr:from>
    <xdr:to>
      <xdr:col>8</xdr:col>
      <xdr:colOff>391026</xdr:colOff>
      <xdr:row>19</xdr:row>
      <xdr:rowOff>691</xdr:rowOff>
    </xdr:to>
    <xdr:cxnSp macro="">
      <xdr:nvCxnSpPr>
        <xdr:cNvPr id="10" name="Straight Connector 9">
          <a:extLst>
            <a:ext uri="{FF2B5EF4-FFF2-40B4-BE49-F238E27FC236}">
              <a16:creationId xmlns:a16="http://schemas.microsoft.com/office/drawing/2014/main" id="{D59B95B8-F6AD-4B37-9F10-517D4A12DFFB}"/>
            </a:ext>
          </a:extLst>
        </xdr:cNvPr>
        <xdr:cNvCxnSpPr/>
      </xdr:nvCxnSpPr>
      <xdr:spPr>
        <a:xfrm>
          <a:off x="5866605" y="4221251"/>
          <a:ext cx="2160843"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226189</xdr:colOff>
      <xdr:row>32</xdr:row>
      <xdr:rowOff>98949</xdr:rowOff>
    </xdr:from>
    <xdr:to>
      <xdr:col>1</xdr:col>
      <xdr:colOff>2376834</xdr:colOff>
      <xdr:row>32</xdr:row>
      <xdr:rowOff>98949</xdr:rowOff>
    </xdr:to>
    <xdr:cxnSp macro="">
      <xdr:nvCxnSpPr>
        <xdr:cNvPr id="11" name="Straight Connector 10">
          <a:extLst>
            <a:ext uri="{FF2B5EF4-FFF2-40B4-BE49-F238E27FC236}">
              <a16:creationId xmlns:a16="http://schemas.microsoft.com/office/drawing/2014/main" id="{A9F18260-3F00-4C05-9B8D-8C842380A773}"/>
            </a:ext>
          </a:extLst>
        </xdr:cNvPr>
        <xdr:cNvCxnSpPr/>
      </xdr:nvCxnSpPr>
      <xdr:spPr>
        <a:xfrm>
          <a:off x="350921" y="6766449"/>
          <a:ext cx="2150645"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741947</xdr:colOff>
      <xdr:row>32</xdr:row>
      <xdr:rowOff>90237</xdr:rowOff>
    </xdr:from>
    <xdr:to>
      <xdr:col>5</xdr:col>
      <xdr:colOff>340895</xdr:colOff>
      <xdr:row>32</xdr:row>
      <xdr:rowOff>90237</xdr:rowOff>
    </xdr:to>
    <xdr:cxnSp macro="">
      <xdr:nvCxnSpPr>
        <xdr:cNvPr id="20" name="Straight Connector 19">
          <a:extLst>
            <a:ext uri="{FF2B5EF4-FFF2-40B4-BE49-F238E27FC236}">
              <a16:creationId xmlns:a16="http://schemas.microsoft.com/office/drawing/2014/main" id="{AE979B83-80D3-4BBB-93DB-8CE69A4DDDD8}"/>
            </a:ext>
          </a:extLst>
        </xdr:cNvPr>
        <xdr:cNvCxnSpPr/>
      </xdr:nvCxnSpPr>
      <xdr:spPr>
        <a:xfrm>
          <a:off x="3248526" y="6737684"/>
          <a:ext cx="2155658"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842210</xdr:colOff>
      <xdr:row>32</xdr:row>
      <xdr:rowOff>80211</xdr:rowOff>
    </xdr:from>
    <xdr:to>
      <xdr:col>8</xdr:col>
      <xdr:colOff>441157</xdr:colOff>
      <xdr:row>32</xdr:row>
      <xdr:rowOff>80211</xdr:rowOff>
    </xdr:to>
    <xdr:cxnSp macro="">
      <xdr:nvCxnSpPr>
        <xdr:cNvPr id="21" name="Straight Connector 20">
          <a:extLst>
            <a:ext uri="{FF2B5EF4-FFF2-40B4-BE49-F238E27FC236}">
              <a16:creationId xmlns:a16="http://schemas.microsoft.com/office/drawing/2014/main" id="{A932F033-EB13-48BA-9EE9-1FC9FA88CF6B}"/>
            </a:ext>
          </a:extLst>
        </xdr:cNvPr>
        <xdr:cNvCxnSpPr/>
      </xdr:nvCxnSpPr>
      <xdr:spPr>
        <a:xfrm>
          <a:off x="5905499" y="6727658"/>
          <a:ext cx="2155658"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7844</xdr:colOff>
      <xdr:row>65</xdr:row>
      <xdr:rowOff>0</xdr:rowOff>
    </xdr:from>
    <xdr:to>
      <xdr:col>8</xdr:col>
      <xdr:colOff>179295</xdr:colOff>
      <xdr:row>67</xdr:row>
      <xdr:rowOff>0</xdr:rowOff>
    </xdr:to>
    <xdr:sp macro="" textlink="">
      <xdr:nvSpPr>
        <xdr:cNvPr id="22" name="TextBox 21">
          <a:extLst>
            <a:ext uri="{FF2B5EF4-FFF2-40B4-BE49-F238E27FC236}">
              <a16:creationId xmlns:a16="http://schemas.microsoft.com/office/drawing/2014/main" id="{5FF67A3F-7710-0C08-809F-555B91F093F4}"/>
            </a:ext>
          </a:extLst>
        </xdr:cNvPr>
        <xdr:cNvSpPr txBox="1"/>
      </xdr:nvSpPr>
      <xdr:spPr>
        <a:xfrm>
          <a:off x="131109" y="12961843"/>
          <a:ext cx="7668186" cy="417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002060"/>
              </a:solidFill>
            </a:rPr>
            <a:t>DuPont</a:t>
          </a:r>
          <a:r>
            <a:rPr lang="en-IN" sz="1800" b="1" baseline="0">
              <a:solidFill>
                <a:srgbClr val="002060"/>
              </a:solidFill>
            </a:rPr>
            <a:t> Analysis - Return on Equity &amp; Return on Asset</a:t>
          </a:r>
          <a:endParaRPr lang="en-IN" sz="1800" b="1">
            <a:solidFill>
              <a:srgbClr val="002060"/>
            </a:solidFill>
          </a:endParaRPr>
        </a:p>
      </xdr:txBody>
    </xdr:sp>
    <xdr:clientData/>
  </xdr:twoCellAnchor>
  <xdr:twoCellAnchor>
    <xdr:from>
      <xdr:col>0</xdr:col>
      <xdr:colOff>21647</xdr:colOff>
      <xdr:row>110</xdr:row>
      <xdr:rowOff>14449</xdr:rowOff>
    </xdr:from>
    <xdr:to>
      <xdr:col>9</xdr:col>
      <xdr:colOff>86590</xdr:colOff>
      <xdr:row>126</xdr:row>
      <xdr:rowOff>95251</xdr:rowOff>
    </xdr:to>
    <xdr:sp macro="" textlink="">
      <xdr:nvSpPr>
        <xdr:cNvPr id="23" name="TextBox 22">
          <a:extLst>
            <a:ext uri="{FF2B5EF4-FFF2-40B4-BE49-F238E27FC236}">
              <a16:creationId xmlns:a16="http://schemas.microsoft.com/office/drawing/2014/main" id="{BE75592C-8070-4AD8-BA00-A6D3793E1F4B}"/>
            </a:ext>
          </a:extLst>
        </xdr:cNvPr>
        <xdr:cNvSpPr txBox="1"/>
      </xdr:nvSpPr>
      <xdr:spPr>
        <a:xfrm>
          <a:off x="21647" y="21617149"/>
          <a:ext cx="8580293" cy="3128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 typeface="Wingdings" panose="05000000000000000000" pitchFamily="2" charset="2"/>
            <a:buNone/>
          </a:pPr>
          <a:r>
            <a:rPr lang="en-IN" sz="1600" b="1">
              <a:solidFill>
                <a:srgbClr val="002060"/>
              </a:solidFill>
              <a:latin typeface="+mn-lt"/>
            </a:rPr>
            <a:t>Dupont</a:t>
          </a:r>
          <a:r>
            <a:rPr lang="en-IN" sz="1600" b="1" baseline="0">
              <a:solidFill>
                <a:srgbClr val="002060"/>
              </a:solidFill>
              <a:latin typeface="+mn-lt"/>
            </a:rPr>
            <a:t> Summary</a:t>
          </a:r>
          <a:r>
            <a:rPr lang="en-IN" sz="1600" b="1">
              <a:solidFill>
                <a:srgbClr val="002060"/>
              </a:solidFill>
              <a:latin typeface="+mn-lt"/>
            </a:rPr>
            <a:t>:</a:t>
          </a:r>
          <a:endParaRPr lang="en-IN" sz="1200" baseline="0">
            <a:solidFill>
              <a:srgbClr val="002060"/>
            </a:solidFill>
            <a:latin typeface="+mn-lt"/>
          </a:endParaRPr>
        </a:p>
        <a:p>
          <a:pPr marL="171450" indent="-171450">
            <a:buFont typeface="Wingdings" panose="05000000000000000000" pitchFamily="2" charset="2"/>
            <a:buChar char="§"/>
          </a:pPr>
          <a:r>
            <a:rPr lang="en-IN" sz="1200" baseline="0">
              <a:latin typeface="+mn-lt"/>
            </a:rPr>
            <a:t>Net Profit Margin remained relatively stable in the 5.5%–6.6% range over the analysis period. Although margins moderated slightly in FY26, L&amp;T maintained healthy profitability despite operating in a project-based and capital-intensive industry.</a:t>
          </a:r>
        </a:p>
        <a:p>
          <a:pPr marL="171450" indent="-171450">
            <a:buFont typeface="Wingdings" panose="05000000000000000000" pitchFamily="2" charset="2"/>
            <a:buChar char="§"/>
          </a:pPr>
          <a:r>
            <a:rPr lang="en-IN" sz="1200" baseline="0">
              <a:latin typeface="+mn-lt"/>
            </a:rPr>
            <a:t>Asset Turnover improved from 0.4x in FY21 to 0.7x by FY24–FY26, indicating that the company generated more revenue from each rupee invested in assets. This reflects improved project execution and better utilization of the asset base.</a:t>
          </a:r>
        </a:p>
        <a:p>
          <a:pPr marL="171450" indent="-171450">
            <a:buFont typeface="Wingdings" panose="05000000000000000000" pitchFamily="2" charset="2"/>
            <a:buChar char="§"/>
          </a:pPr>
          <a:r>
            <a:rPr lang="en-IN" sz="1200" baseline="0">
              <a:latin typeface="+mn-lt"/>
            </a:rPr>
            <a:t>Financial Leverage declined from 4.5x in FY20 to around 3.8x–4.0x in recent years, suggesting a more balanced capital structure and reduced dependence on leverage while maintaining growth.</a:t>
          </a:r>
        </a:p>
        <a:p>
          <a:pPr marL="171450" indent="-171450">
            <a:buFont typeface="Wingdings" panose="05000000000000000000" pitchFamily="2" charset="2"/>
            <a:buChar char="§"/>
          </a:pPr>
          <a:r>
            <a:rPr lang="en-IN" sz="1200" baseline="0">
              <a:latin typeface="+mn-lt"/>
            </a:rPr>
            <a:t>Return on Assets (ROA) improved from 2.76% in FY22 to a peak of 4.18% in FY25 before moderating slightly to 3.87% in FY26. This indicates improved operating efficiency, although the increase in the asset base slightly diluted returns in FY26.</a:t>
          </a:r>
        </a:p>
        <a:p>
          <a:pPr marL="171450" indent="-171450">
            <a:buFont typeface="Wingdings" panose="05000000000000000000" pitchFamily="2" charset="2"/>
            <a:buChar char="§"/>
          </a:pPr>
          <a:r>
            <a:rPr lang="en-IN" sz="1200" baseline="0">
              <a:latin typeface="+mn-lt"/>
            </a:rPr>
            <a:t>Return on Equity (ROE) recovered strongly after FY22, increasing from 10.95% to 16.34% in FY25 before easing marginally to 15.54% in FY26. The improvement was primarily driven by higher profitability and stronger asset utilization rather than increased financial leverage.</a:t>
          </a:r>
        </a:p>
        <a:p>
          <a:pPr marL="171450" indent="-171450">
            <a:buFont typeface="Wingdings" panose="05000000000000000000" pitchFamily="2" charset="2"/>
            <a:buChar char="§"/>
          </a:pPr>
          <a:endParaRPr lang="en-IN" sz="1200" baseline="0">
            <a:latin typeface="+mn-lt"/>
          </a:endParaRPr>
        </a:p>
        <a:p>
          <a:pPr marL="0" indent="0">
            <a:buFontTx/>
            <a:buNone/>
          </a:pPr>
          <a:r>
            <a:rPr lang="en-IN" sz="1200" baseline="0">
              <a:latin typeface="+mn-lt"/>
            </a:rPr>
            <a:t>Overall, L&amp;T's DuPont analysis indicates that the company's ROE is supported mainly by operational performance and efficient asset utilization, while financial leverage has remained stable. This reflects a healthy balance between profitability, operational efficiency, and prudent capital management.</a:t>
          </a:r>
          <a:endParaRPr lang="en-IN" sz="1200">
            <a:latin typeface="+mn-lt"/>
          </a:endParaRPr>
        </a:p>
      </xdr:txBody>
    </xdr:sp>
    <xdr:clientData/>
  </xdr:twoCellAnchor>
  <xdr:twoCellAnchor>
    <xdr:from>
      <xdr:col>0</xdr:col>
      <xdr:colOff>100013</xdr:colOff>
      <xdr:row>127</xdr:row>
      <xdr:rowOff>0</xdr:rowOff>
    </xdr:from>
    <xdr:to>
      <xdr:col>8</xdr:col>
      <xdr:colOff>295964</xdr:colOff>
      <xdr:row>129</xdr:row>
      <xdr:rowOff>35719</xdr:rowOff>
    </xdr:to>
    <xdr:sp macro="" textlink="">
      <xdr:nvSpPr>
        <xdr:cNvPr id="24" name="TextBox 23">
          <a:extLst>
            <a:ext uri="{FF2B5EF4-FFF2-40B4-BE49-F238E27FC236}">
              <a16:creationId xmlns:a16="http://schemas.microsoft.com/office/drawing/2014/main" id="{55AC4EC7-617F-46A9-8F8D-7198F785683E}"/>
            </a:ext>
          </a:extLst>
        </xdr:cNvPr>
        <xdr:cNvSpPr txBox="1"/>
      </xdr:nvSpPr>
      <xdr:spPr>
        <a:xfrm>
          <a:off x="100013" y="25103137"/>
          <a:ext cx="7768326" cy="471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Tx/>
            <a:buNone/>
          </a:pPr>
          <a:r>
            <a:rPr lang="en-IN" sz="900" b="1">
              <a:solidFill>
                <a:srgbClr val="002060"/>
              </a:solidFill>
            </a:rPr>
            <a:t>Disclaimer</a:t>
          </a:r>
          <a:r>
            <a:rPr lang="en-IN" sz="900" b="1">
              <a:solidFill>
                <a:srgbClr val="EE7525"/>
              </a:solidFill>
            </a:rPr>
            <a:t>: </a:t>
          </a:r>
          <a:r>
            <a:rPr lang="en-IN" sz="900"/>
            <a:t>This report is made as part of educational assignment and is meant for educational purpose only.The author of the report is not liable</a:t>
          </a:r>
          <a:r>
            <a:rPr lang="en-IN" sz="900" baseline="0"/>
            <a:t> for any losses due to actions taken basis this report. It is advisiable to consult SEBI registered researh analyst before making any investments.</a:t>
          </a:r>
          <a:endParaRPr lang="en-IN" sz="900"/>
        </a:p>
      </xdr:txBody>
    </xdr:sp>
    <xdr:clientData/>
  </xdr:twoCellAnchor>
  <xdr:twoCellAnchor editAs="oneCell">
    <xdr:from>
      <xdr:col>5</xdr:col>
      <xdr:colOff>532021</xdr:colOff>
      <xdr:row>2</xdr:row>
      <xdr:rowOff>149757</xdr:rowOff>
    </xdr:from>
    <xdr:to>
      <xdr:col>8</xdr:col>
      <xdr:colOff>746466</xdr:colOff>
      <xdr:row>4</xdr:row>
      <xdr:rowOff>208044</xdr:rowOff>
    </xdr:to>
    <xdr:pic>
      <xdr:nvPicPr>
        <xdr:cNvPr id="5" name="Picture 4">
          <a:extLst>
            <a:ext uri="{FF2B5EF4-FFF2-40B4-BE49-F238E27FC236}">
              <a16:creationId xmlns:a16="http://schemas.microsoft.com/office/drawing/2014/main" id="{4C50B91F-CFCE-0B5A-96F8-A08676B74E4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5595310" y="440520"/>
          <a:ext cx="2771156" cy="70999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screener.in/excel/"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005F2-0584-4EEC-B339-A8CF1A4E7470}">
  <sheetPr>
    <tabColor rgb="FF002060"/>
  </sheetPr>
  <dimension ref="A1"/>
  <sheetViews>
    <sheetView topLeftCell="J1" workbookViewId="0">
      <selection activeCell="E13" sqref="E13"/>
    </sheetView>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B082A-4857-4A9A-8A1F-8E02CB538C0F}">
  <dimension ref="L4:R10"/>
  <sheetViews>
    <sheetView showGridLines="0" zoomScale="85" workbookViewId="0">
      <selection activeCell="P7" sqref="P7"/>
    </sheetView>
  </sheetViews>
  <sheetFormatPr defaultRowHeight="15"/>
  <cols>
    <col min="1" max="1" width="1.85546875" customWidth="1"/>
    <col min="12" max="12" width="12.7109375" customWidth="1"/>
    <col min="13" max="13" width="12.5703125" customWidth="1"/>
    <col min="14" max="17" width="10.7109375" customWidth="1"/>
  </cols>
  <sheetData>
    <row r="4" spans="12:18">
      <c r="L4" s="44" t="s">
        <v>289</v>
      </c>
      <c r="M4" s="44"/>
      <c r="N4" s="1"/>
      <c r="O4" s="1"/>
      <c r="P4" s="1"/>
      <c r="Q4" s="1"/>
      <c r="R4" s="1"/>
    </row>
    <row r="5" spans="12:18">
      <c r="N5" s="165" t="s">
        <v>248</v>
      </c>
      <c r="O5" s="165" t="s">
        <v>250</v>
      </c>
      <c r="P5" s="165" t="s">
        <v>249</v>
      </c>
      <c r="Q5" s="165" t="s">
        <v>251</v>
      </c>
    </row>
    <row r="6" spans="12:18">
      <c r="L6" t="s">
        <v>295</v>
      </c>
      <c r="N6" s="248">
        <v>3996.3477548048259</v>
      </c>
      <c r="O6" s="9">
        <f>N6</f>
        <v>3996.3477548048259</v>
      </c>
      <c r="P6" s="9">
        <v>4543.4868433174652</v>
      </c>
      <c r="Q6" s="9">
        <f>P6</f>
        <v>4543.4868433174652</v>
      </c>
    </row>
    <row r="7" spans="12:18">
      <c r="L7" t="s">
        <v>245</v>
      </c>
      <c r="N7" s="9">
        <f>'DCF&gt;'!J17</f>
        <v>2312.0487993587635</v>
      </c>
      <c r="O7" s="9">
        <f>N7</f>
        <v>2312.0487993587635</v>
      </c>
      <c r="P7" s="9">
        <f>'DCF&gt;'!J22</f>
        <v>3501.4766953781591</v>
      </c>
      <c r="Q7" s="9">
        <f>P7</f>
        <v>3501.4766953781591</v>
      </c>
    </row>
    <row r="8" spans="12:18">
      <c r="L8" t="s">
        <v>247</v>
      </c>
      <c r="N8" s="9">
        <f>'DCF&gt;'!H17</f>
        <v>2719.2985681045352</v>
      </c>
      <c r="O8" s="9">
        <f>N8</f>
        <v>2719.2985681045352</v>
      </c>
      <c r="P8" s="9">
        <f>'DCF&gt;'!H22</f>
        <v>4633.7205579350848</v>
      </c>
      <c r="Q8" s="9">
        <f>P8</f>
        <v>4633.7205579350848</v>
      </c>
    </row>
    <row r="9" spans="12:18">
      <c r="L9" t="s">
        <v>246</v>
      </c>
      <c r="N9" s="9">
        <f>'DCF&gt;'!G17</f>
        <v>2774.6040922551956</v>
      </c>
      <c r="O9" s="9">
        <f>N9</f>
        <v>2774.6040922551956</v>
      </c>
      <c r="P9" s="9">
        <f>'DCF&gt;'!G22</f>
        <v>4809.8473809994948</v>
      </c>
      <c r="Q9" s="9">
        <f>P9</f>
        <v>4809.8473809994948</v>
      </c>
    </row>
    <row r="10" spans="12:18">
      <c r="L10" t="s">
        <v>293</v>
      </c>
      <c r="N10" s="9">
        <v>3288</v>
      </c>
      <c r="O10" s="9">
        <f>N10</f>
        <v>3288</v>
      </c>
      <c r="P10" s="9">
        <v>4440</v>
      </c>
      <c r="Q10" s="9">
        <f>P10</f>
        <v>4440</v>
      </c>
    </row>
  </sheetData>
  <pageMargins left="0.7" right="0.7" top="0.75" bottom="0.75" header="0.3" footer="0.3"/>
  <ignoredErrors>
    <ignoredError sqref="P7:P9"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64157-E039-4800-A69F-5507B7EA57BC}">
  <dimension ref="B1:N5003"/>
  <sheetViews>
    <sheetView showGridLines="0" topLeftCell="A30" zoomScale="88" zoomScaleNormal="88" workbookViewId="0">
      <selection activeCell="J4" sqref="J4"/>
    </sheetView>
  </sheetViews>
  <sheetFormatPr defaultRowHeight="15"/>
  <cols>
    <col min="1" max="1" width="1.85546875" customWidth="1"/>
    <col min="2" max="2" width="12.7109375" customWidth="1"/>
    <col min="3" max="3" width="12.42578125" customWidth="1"/>
    <col min="4" max="4" width="12.7109375" customWidth="1"/>
    <col min="5" max="5" width="17.7109375" bestFit="1" customWidth="1"/>
    <col min="6" max="6" width="0.85546875" customWidth="1"/>
    <col min="7" max="7" width="11" bestFit="1" customWidth="1"/>
    <col min="8" max="8" width="17.5703125" bestFit="1" customWidth="1"/>
    <col min="9" max="9" width="0.85546875" customWidth="1"/>
    <col min="10" max="10" width="12.28515625" customWidth="1"/>
    <col min="11" max="11" width="11.140625" bestFit="1" customWidth="1"/>
    <col min="12" max="12" width="10.42578125" customWidth="1"/>
    <col min="13" max="13" width="13.28515625" customWidth="1"/>
    <col min="14" max="14" width="11.28515625" customWidth="1"/>
  </cols>
  <sheetData>
    <row r="1" spans="2:14">
      <c r="B1" s="44" t="s">
        <v>8595</v>
      </c>
    </row>
    <row r="3" spans="2:14">
      <c r="B3" s="44" t="s">
        <v>40</v>
      </c>
      <c r="C3" s="181" t="s">
        <v>296</v>
      </c>
      <c r="D3" s="181" t="s">
        <v>297</v>
      </c>
      <c r="E3" s="181" t="s">
        <v>298</v>
      </c>
      <c r="F3" s="181"/>
      <c r="G3" s="181" t="s">
        <v>309</v>
      </c>
      <c r="H3" s="181" t="s">
        <v>310</v>
      </c>
      <c r="I3" s="44"/>
      <c r="J3" s="44" t="str">
        <f>"Calculation of Value at Risk - "&amp; 'Data Sheet'!B1&amp;" (Historical)"</f>
        <v>Calculation of Value at Risk - LARSEN &amp; TOUBRO LTD (Historical)</v>
      </c>
      <c r="K3" s="44"/>
      <c r="L3" s="44"/>
      <c r="M3" s="44"/>
      <c r="N3" s="44"/>
    </row>
    <row r="4" spans="2:14" ht="15.75" thickBot="1">
      <c r="B4" s="36" t="s">
        <v>8596</v>
      </c>
      <c r="C4" s="182">
        <v>3937.7</v>
      </c>
      <c r="D4" s="182">
        <f t="shared" ref="D4:D67" si="0">(C4-C5)/C5</f>
        <v>1.6024825761814436E-3</v>
      </c>
      <c r="E4" s="182">
        <v>9.4096578591850194E-2</v>
      </c>
      <c r="F4" s="168"/>
      <c r="G4" s="168">
        <v>1</v>
      </c>
      <c r="H4" s="183">
        <f ca="1">_xlfn.NORM.INV(RAND(),N$6,N$7)</f>
        <v>-1.2125798113955453E-2</v>
      </c>
      <c r="J4" s="58"/>
      <c r="K4" s="58"/>
      <c r="L4" s="58"/>
      <c r="M4" s="58"/>
      <c r="N4" s="58"/>
    </row>
    <row r="5" spans="2:14" ht="15.75" thickBot="1">
      <c r="B5" s="36" t="s">
        <v>8597</v>
      </c>
      <c r="C5" s="182">
        <v>3931.4</v>
      </c>
      <c r="D5" s="182">
        <f t="shared" si="0"/>
        <v>2.5939457202505244E-2</v>
      </c>
      <c r="E5" s="182">
        <v>8.6503906249999929E-2</v>
      </c>
      <c r="F5" s="168"/>
      <c r="G5" s="168">
        <v>2</v>
      </c>
      <c r="H5" s="183">
        <f t="shared" ref="H5:H68" ca="1" si="1">_xlfn.NORM.INV(RAND(),N$6,N$7)</f>
        <v>1.7843230363652401E-2</v>
      </c>
      <c r="J5" s="177" t="s">
        <v>311</v>
      </c>
      <c r="K5" s="178"/>
      <c r="L5" s="178"/>
      <c r="M5" s="178"/>
      <c r="N5" s="178"/>
    </row>
    <row r="6" spans="2:14">
      <c r="B6" s="36" t="s">
        <v>8598</v>
      </c>
      <c r="C6" s="182">
        <v>3832</v>
      </c>
      <c r="D6" s="182">
        <f t="shared" si="0"/>
        <v>6.8313189700472936E-3</v>
      </c>
      <c r="E6" s="182">
        <v>8.0221478238475349E-2</v>
      </c>
      <c r="F6" s="168"/>
      <c r="G6" s="168">
        <v>3</v>
      </c>
      <c r="H6" s="183">
        <f t="shared" ca="1" si="1"/>
        <v>1.4009919980637678E-2</v>
      </c>
      <c r="J6" s="187" t="s">
        <v>299</v>
      </c>
      <c r="K6" s="184"/>
      <c r="L6" s="185"/>
      <c r="M6" s="184"/>
      <c r="N6" s="175">
        <f>AVERAGE(E4:E2478)</f>
        <v>3.5224208999562632E-3</v>
      </c>
    </row>
    <row r="7" spans="2:14">
      <c r="B7" s="36" t="s">
        <v>8599</v>
      </c>
      <c r="C7" s="182">
        <v>3806</v>
      </c>
      <c r="D7" s="182">
        <f t="shared" si="0"/>
        <v>5.3888419273034902E-3</v>
      </c>
      <c r="E7" s="182">
        <v>7.5501427961789713E-2</v>
      </c>
      <c r="F7" s="168"/>
      <c r="G7" s="168">
        <v>4</v>
      </c>
      <c r="H7" s="183">
        <f t="shared" ca="1" si="1"/>
        <v>1.4040339475378989E-2</v>
      </c>
      <c r="J7" s="188" t="s">
        <v>300</v>
      </c>
      <c r="K7" s="113"/>
      <c r="L7" s="169"/>
      <c r="M7" s="113"/>
      <c r="N7" s="170">
        <f>_xlfn.STDEV.S(E4:E2478)</f>
        <v>1.2256622632729416E-2</v>
      </c>
    </row>
    <row r="8" spans="2:14">
      <c r="B8" s="36" t="s">
        <v>8600</v>
      </c>
      <c r="C8" s="182">
        <v>3785.6</v>
      </c>
      <c r="D8" s="182">
        <f t="shared" si="0"/>
        <v>-1.7930598038182106E-3</v>
      </c>
      <c r="E8" s="182">
        <v>7.1999046370246733E-2</v>
      </c>
      <c r="F8" s="168"/>
      <c r="G8" s="168">
        <v>5</v>
      </c>
      <c r="H8" s="183">
        <f t="shared" ca="1" si="1"/>
        <v>8.0153437730583199E-3</v>
      </c>
      <c r="J8" s="188" t="s">
        <v>301</v>
      </c>
      <c r="K8" s="113"/>
      <c r="L8" s="169"/>
      <c r="M8" s="113"/>
      <c r="N8" s="170">
        <f>MIN(E4:E2478)</f>
        <v>-1.6003174183309116E-2</v>
      </c>
    </row>
    <row r="9" spans="2:14">
      <c r="B9" s="36" t="s">
        <v>8601</v>
      </c>
      <c r="C9" s="182">
        <v>3792.4</v>
      </c>
      <c r="D9" s="182">
        <f t="shared" si="0"/>
        <v>-6.5489600251480064E-3</v>
      </c>
      <c r="E9" s="182">
        <v>6.2391823951207494E-2</v>
      </c>
      <c r="F9" s="168"/>
      <c r="G9" s="168">
        <v>6</v>
      </c>
      <c r="H9" s="183">
        <f t="shared" ca="1" si="1"/>
        <v>4.7300757055874594E-3</v>
      </c>
      <c r="J9" s="188" t="s">
        <v>302</v>
      </c>
      <c r="K9" s="113"/>
      <c r="L9" s="169"/>
      <c r="M9" s="113"/>
      <c r="N9" s="170">
        <f>MAX(E4:E2478)</f>
        <v>9.4096578591850194E-2</v>
      </c>
    </row>
    <row r="10" spans="2:14">
      <c r="B10" s="36" t="s">
        <v>8602</v>
      </c>
      <c r="C10" s="182">
        <v>3817.4</v>
      </c>
      <c r="D10" s="182">
        <f t="shared" si="0"/>
        <v>-7.5911194301460563E-3</v>
      </c>
      <c r="E10" s="182">
        <v>6.0686914561453358E-2</v>
      </c>
      <c r="F10" s="168"/>
      <c r="G10" s="168">
        <v>7</v>
      </c>
      <c r="H10" s="183">
        <f t="shared" ca="1" si="1"/>
        <v>1.1341557544412066E-2</v>
      </c>
      <c r="J10" s="188" t="s">
        <v>305</v>
      </c>
      <c r="K10" s="113"/>
      <c r="L10" s="169"/>
      <c r="M10" s="113"/>
      <c r="N10" s="113">
        <f>'Data Sheet'!B8</f>
        <v>3785.6</v>
      </c>
    </row>
    <row r="11" spans="2:14" ht="15.75" thickBot="1">
      <c r="B11" s="36" t="s">
        <v>8603</v>
      </c>
      <c r="C11" s="182">
        <v>3846.6</v>
      </c>
      <c r="D11" s="182">
        <f t="shared" si="0"/>
        <v>2.0318849640511946E-3</v>
      </c>
      <c r="E11" s="182">
        <v>6.0481306690765568E-2</v>
      </c>
      <c r="F11" s="168"/>
      <c r="G11" s="168">
        <v>8</v>
      </c>
      <c r="H11" s="183">
        <f t="shared" ca="1" si="1"/>
        <v>8.5811305484397304E-3</v>
      </c>
      <c r="J11" s="37"/>
      <c r="L11" s="186"/>
    </row>
    <row r="12" spans="2:14" ht="15.75" thickBot="1">
      <c r="B12" s="36" t="s">
        <v>8604</v>
      </c>
      <c r="C12" s="182">
        <v>3838.8</v>
      </c>
      <c r="D12" s="182">
        <f t="shared" si="0"/>
        <v>6.3704286276052386E-3</v>
      </c>
      <c r="E12" s="182">
        <v>5.9315660838503606E-2</v>
      </c>
      <c r="F12" s="168"/>
      <c r="G12" s="168">
        <v>9</v>
      </c>
      <c r="H12" s="183">
        <f t="shared" ca="1" si="1"/>
        <v>-1.1724081622568785E-2</v>
      </c>
      <c r="J12" s="177" t="s">
        <v>303</v>
      </c>
      <c r="K12" s="189" t="s">
        <v>308</v>
      </c>
      <c r="L12" s="179" t="s">
        <v>304</v>
      </c>
      <c r="M12" s="180" t="s">
        <v>306</v>
      </c>
      <c r="N12" s="179" t="s">
        <v>307</v>
      </c>
    </row>
    <row r="13" spans="2:14">
      <c r="B13" s="36" t="s">
        <v>8605</v>
      </c>
      <c r="C13" s="182">
        <v>3814.5</v>
      </c>
      <c r="D13" s="182">
        <f t="shared" si="0"/>
        <v>1.0302998198961778E-2</v>
      </c>
      <c r="E13" s="182">
        <v>5.3850661002673376E-2</v>
      </c>
      <c r="F13" s="168"/>
      <c r="G13" s="168">
        <v>10</v>
      </c>
      <c r="H13" s="183">
        <f t="shared" ca="1" si="1"/>
        <v>6.6106083141597403E-3</v>
      </c>
      <c r="J13" s="173">
        <v>0.05</v>
      </c>
      <c r="K13" s="174">
        <f>100%-J13</f>
        <v>0.95</v>
      </c>
      <c r="L13" s="175">
        <f>_xlfn.PERCENTILE.INC($E$4:$E$2746,J13)</f>
        <v>-1.2453054459097281E-2</v>
      </c>
      <c r="M13" s="176">
        <f>$N$10*(1-L13)</f>
        <v>3832.7422829603584</v>
      </c>
      <c r="N13" s="176">
        <f>$N$10-M13</f>
        <v>-47.142282960358443</v>
      </c>
    </row>
    <row r="14" spans="2:14">
      <c r="B14" s="36" t="s">
        <v>8606</v>
      </c>
      <c r="C14" s="182">
        <v>3775.6</v>
      </c>
      <c r="D14" s="182">
        <f t="shared" si="0"/>
        <v>-2.1935040566611647E-3</v>
      </c>
      <c r="E14" s="182">
        <v>5.3000816875690832E-2</v>
      </c>
      <c r="F14" s="168"/>
      <c r="G14" s="168">
        <v>11</v>
      </c>
      <c r="H14" s="183">
        <f t="shared" ca="1" si="1"/>
        <v>3.1704748663188682E-2</v>
      </c>
      <c r="J14" s="171">
        <v>0.01</v>
      </c>
      <c r="K14" s="115">
        <f t="shared" ref="K14:K15" si="2">100%-J14</f>
        <v>0.99</v>
      </c>
      <c r="L14" s="170">
        <f>_xlfn.PERCENTILE.INC($E$4:$E$2746,J14)</f>
        <v>-1.5081558173713762E-2</v>
      </c>
      <c r="M14" s="172">
        <f>$N$10*(1-L14)</f>
        <v>3842.6927466224111</v>
      </c>
      <c r="N14" s="172">
        <f>$N$10-M14</f>
        <v>-57.092746622411141</v>
      </c>
    </row>
    <row r="15" spans="2:14">
      <c r="B15" s="36" t="s">
        <v>8607</v>
      </c>
      <c r="C15" s="182">
        <v>3783.9</v>
      </c>
      <c r="D15" s="182">
        <f t="shared" si="0"/>
        <v>-1.6836854002650177E-2</v>
      </c>
      <c r="E15" s="182">
        <v>5.0872278110276385E-2</v>
      </c>
      <c r="F15" s="168"/>
      <c r="G15" s="168">
        <v>12</v>
      </c>
      <c r="H15" s="183">
        <f t="shared" ca="1" si="1"/>
        <v>-1.5525142213904681E-3</v>
      </c>
      <c r="J15" s="171">
        <v>5.0000000000000001E-3</v>
      </c>
      <c r="K15" s="115">
        <f t="shared" si="2"/>
        <v>0.995</v>
      </c>
      <c r="L15" s="170">
        <f>_xlfn.PERCENTILE.INC($E$4:$E$2746,J15)</f>
        <v>-1.5387607043551802E-2</v>
      </c>
      <c r="M15" s="172">
        <f>$N$10*(1-L15)</f>
        <v>3843.85132522407</v>
      </c>
      <c r="N15" s="172">
        <f>$N$10-M15</f>
        <v>-58.251325224070115</v>
      </c>
    </row>
    <row r="16" spans="2:14" ht="15.75" thickBot="1">
      <c r="B16" s="36" t="s">
        <v>8608</v>
      </c>
      <c r="C16" s="182">
        <v>3848.7</v>
      </c>
      <c r="D16" s="182">
        <f t="shared" si="0"/>
        <v>-2.0313096601756443E-2</v>
      </c>
      <c r="E16" s="182">
        <v>4.8934310215635747E-2</v>
      </c>
      <c r="F16" s="168"/>
      <c r="G16" s="168">
        <v>13</v>
      </c>
      <c r="H16" s="183">
        <f t="shared" ca="1" si="1"/>
        <v>-1.2045678134217461E-2</v>
      </c>
    </row>
    <row r="17" spans="2:14" ht="15.75" thickBot="1">
      <c r="B17" s="36" t="s">
        <v>8609</v>
      </c>
      <c r="C17" s="182">
        <v>3928.5</v>
      </c>
      <c r="D17" s="182">
        <f t="shared" si="0"/>
        <v>-4.3844087384054386E-3</v>
      </c>
      <c r="E17" s="182">
        <v>4.8096527290350639E-2</v>
      </c>
      <c r="F17" s="168"/>
      <c r="G17" s="168">
        <v>14</v>
      </c>
      <c r="H17" s="183">
        <f t="shared" ca="1" si="1"/>
        <v>1.5729545134473635E-2</v>
      </c>
      <c r="J17" s="177" t="s">
        <v>312</v>
      </c>
      <c r="K17" s="178"/>
      <c r="L17" s="178"/>
      <c r="M17" s="178"/>
      <c r="N17" s="178"/>
    </row>
    <row r="18" spans="2:14">
      <c r="B18" s="36">
        <v>46302</v>
      </c>
      <c r="C18" s="182">
        <v>3945.8</v>
      </c>
      <c r="D18" s="182">
        <f t="shared" si="0"/>
        <v>1.5388574369531699E-2</v>
      </c>
      <c r="E18" s="182">
        <v>4.8056311917038443E-2</v>
      </c>
      <c r="F18" s="168"/>
      <c r="G18" s="168">
        <v>15</v>
      </c>
      <c r="H18" s="183">
        <f t="shared" ca="1" si="1"/>
        <v>1.0613961935413117E-2</v>
      </c>
      <c r="J18" s="187" t="s">
        <v>299</v>
      </c>
      <c r="K18" s="184"/>
      <c r="L18" s="185"/>
      <c r="M18" s="184"/>
      <c r="N18" s="175">
        <f ca="1">AVERAGE(H4:H5003)</f>
        <v>3.5557497287825911E-3</v>
      </c>
    </row>
    <row r="19" spans="2:14">
      <c r="B19" s="36">
        <v>46272</v>
      </c>
      <c r="C19" s="182">
        <v>3886</v>
      </c>
      <c r="D19" s="182">
        <f t="shared" si="0"/>
        <v>-1.5672773053107343E-3</v>
      </c>
      <c r="E19" s="182">
        <v>4.7002315807530622E-2</v>
      </c>
      <c r="F19" s="168"/>
      <c r="G19" s="168">
        <v>16</v>
      </c>
      <c r="H19" s="183">
        <f t="shared" ca="1" si="1"/>
        <v>9.9819095971594926E-3</v>
      </c>
      <c r="J19" s="188" t="s">
        <v>300</v>
      </c>
      <c r="K19" s="113"/>
      <c r="L19" s="169"/>
      <c r="M19" s="113"/>
      <c r="N19" s="170">
        <f ca="1">_xlfn.STDEV.S(H4:H5003)</f>
        <v>1.2181532299633601E-2</v>
      </c>
    </row>
    <row r="20" spans="2:14">
      <c r="B20" s="36">
        <v>46241</v>
      </c>
      <c r="C20" s="182">
        <v>3892.1</v>
      </c>
      <c r="D20" s="182">
        <f t="shared" si="0"/>
        <v>-2.5000626268193136E-2</v>
      </c>
      <c r="E20" s="182">
        <v>4.6593578700078284E-2</v>
      </c>
      <c r="F20" s="168"/>
      <c r="G20" s="168">
        <v>17</v>
      </c>
      <c r="H20" s="183">
        <f t="shared" ca="1" si="1"/>
        <v>8.1370214448645249E-3</v>
      </c>
      <c r="J20" s="188" t="s">
        <v>301</v>
      </c>
      <c r="K20" s="113"/>
      <c r="L20" s="169"/>
      <c r="M20" s="113"/>
      <c r="N20" s="170">
        <f ca="1">MIN(H4:H5003)</f>
        <v>-4.0057708069698342E-2</v>
      </c>
    </row>
    <row r="21" spans="2:14">
      <c r="B21" s="36">
        <v>46210</v>
      </c>
      <c r="C21" s="182">
        <v>3991.9</v>
      </c>
      <c r="D21" s="182">
        <f t="shared" si="0"/>
        <v>-1.2150457807473375E-2</v>
      </c>
      <c r="E21" s="182">
        <v>4.5199699439338797E-2</v>
      </c>
      <c r="F21" s="168"/>
      <c r="G21" s="168">
        <v>18</v>
      </c>
      <c r="H21" s="183">
        <f t="shared" ca="1" si="1"/>
        <v>8.7044957296221644E-3</v>
      </c>
      <c r="J21" s="188" t="s">
        <v>302</v>
      </c>
      <c r="K21" s="113"/>
      <c r="L21" s="169"/>
      <c r="M21" s="113"/>
      <c r="N21" s="170">
        <f ca="1">MAX(H4:H5003)</f>
        <v>5.1663292706006413E-2</v>
      </c>
    </row>
    <row r="22" spans="2:14">
      <c r="B22" s="36">
        <v>46180</v>
      </c>
      <c r="C22" s="182">
        <v>4041</v>
      </c>
      <c r="D22" s="182">
        <f t="shared" si="0"/>
        <v>3.5762181493071304E-3</v>
      </c>
      <c r="E22" s="182">
        <v>4.5094339622641463E-2</v>
      </c>
      <c r="F22" s="168"/>
      <c r="G22" s="168">
        <v>19</v>
      </c>
      <c r="H22" s="183">
        <f t="shared" ca="1" si="1"/>
        <v>3.7692557619133571E-3</v>
      </c>
      <c r="J22" s="188" t="s">
        <v>305</v>
      </c>
      <c r="K22" s="113"/>
      <c r="L22" s="169"/>
      <c r="M22" s="113"/>
      <c r="N22" s="113">
        <f>N10</f>
        <v>3785.6</v>
      </c>
    </row>
    <row r="23" spans="2:14" ht="15.75" thickBot="1">
      <c r="B23" s="36">
        <v>46088</v>
      </c>
      <c r="C23" s="182">
        <v>4026.6</v>
      </c>
      <c r="D23" s="182">
        <f t="shared" si="0"/>
        <v>-8.0800118244075923E-3</v>
      </c>
      <c r="E23" s="182">
        <v>4.4805974129883984E-2</v>
      </c>
      <c r="F23" s="168"/>
      <c r="G23" s="168">
        <v>20</v>
      </c>
      <c r="H23" s="183">
        <f t="shared" ca="1" si="1"/>
        <v>2.4983755041762718E-2</v>
      </c>
    </row>
    <row r="24" spans="2:14" ht="15.75" thickBot="1">
      <c r="B24" s="36">
        <v>46060</v>
      </c>
      <c r="C24" s="182">
        <v>4059.4</v>
      </c>
      <c r="D24" s="182">
        <f t="shared" si="0"/>
        <v>-8.1122025118506129E-3</v>
      </c>
      <c r="E24" s="182">
        <v>4.4711703414775157E-2</v>
      </c>
      <c r="F24" s="168"/>
      <c r="G24" s="168">
        <v>21</v>
      </c>
      <c r="H24" s="183">
        <f t="shared" ca="1" si="1"/>
        <v>5.0183571046066508E-3</v>
      </c>
      <c r="J24" s="177" t="s">
        <v>303</v>
      </c>
      <c r="K24" s="189" t="s">
        <v>308</v>
      </c>
      <c r="L24" s="179" t="s">
        <v>304</v>
      </c>
      <c r="M24" s="180" t="s">
        <v>306</v>
      </c>
      <c r="N24" s="179" t="s">
        <v>307</v>
      </c>
    </row>
    <row r="25" spans="2:14">
      <c r="B25" s="36">
        <v>46029</v>
      </c>
      <c r="C25" s="182">
        <v>4092.6</v>
      </c>
      <c r="D25" s="182">
        <f t="shared" si="0"/>
        <v>-1.2260462422165306E-2</v>
      </c>
      <c r="E25" s="182">
        <v>4.4688133874239352E-2</v>
      </c>
      <c r="F25" s="168"/>
      <c r="G25" s="168">
        <v>22</v>
      </c>
      <c r="H25" s="183">
        <f t="shared" ca="1" si="1"/>
        <v>2.5427601470015923E-2</v>
      </c>
      <c r="J25" s="173">
        <v>0.05</v>
      </c>
      <c r="K25" s="174">
        <f>100%-J25</f>
        <v>0.95</v>
      </c>
      <c r="L25" s="175">
        <f ca="1">_xlfn.PERCENTILE.INC($H$4:$H$5003,J25)</f>
        <v>-1.641163956922722E-2</v>
      </c>
      <c r="M25" s="176">
        <f ca="1">$N$10*(1-L25)</f>
        <v>3847.7279027532668</v>
      </c>
      <c r="N25" s="176">
        <f ca="1">$N$10-M25</f>
        <v>-62.127902753266881</v>
      </c>
    </row>
    <row r="26" spans="2:14">
      <c r="B26" s="36" t="s">
        <v>8610</v>
      </c>
      <c r="C26" s="182">
        <v>4143.3999999999996</v>
      </c>
      <c r="D26" s="182">
        <f t="shared" si="0"/>
        <v>-5.2338423124940418E-3</v>
      </c>
      <c r="E26" s="182">
        <v>4.3709947860440586E-2</v>
      </c>
      <c r="F26" s="168"/>
      <c r="G26" s="168">
        <v>23</v>
      </c>
      <c r="H26" s="183">
        <f t="shared" ca="1" si="1"/>
        <v>-5.473479109584887E-3</v>
      </c>
      <c r="J26" s="171">
        <v>0.01</v>
      </c>
      <c r="K26" s="115">
        <f t="shared" ref="K26:K27" si="3">100%-J26</f>
        <v>0.99</v>
      </c>
      <c r="L26" s="175">
        <f t="shared" ref="L26:L27" ca="1" si="4">_xlfn.PERCENTILE.INC($H$4:$H$5003,J26)</f>
        <v>-2.4368595977176451E-2</v>
      </c>
      <c r="M26" s="172">
        <f ca="1">$N$10*(1-L26)</f>
        <v>3877.849756931199</v>
      </c>
      <c r="N26" s="172">
        <f ca="1">$N$10-M26</f>
        <v>-92.249756931199045</v>
      </c>
    </row>
    <row r="27" spans="2:14">
      <c r="B27" s="36" t="s">
        <v>8611</v>
      </c>
      <c r="C27" s="182">
        <v>4165.2</v>
      </c>
      <c r="D27" s="182">
        <f t="shared" si="0"/>
        <v>-1.2143060430699133E-2</v>
      </c>
      <c r="E27" s="182">
        <v>4.3314072523772611E-2</v>
      </c>
      <c r="F27" s="168"/>
      <c r="G27" s="168">
        <v>24</v>
      </c>
      <c r="H27" s="183">
        <f t="shared" ca="1" si="1"/>
        <v>-7.6530851479076891E-3</v>
      </c>
      <c r="J27" s="171">
        <v>5.0000000000000001E-3</v>
      </c>
      <c r="K27" s="115">
        <f t="shared" si="3"/>
        <v>0.995</v>
      </c>
      <c r="L27" s="175">
        <f t="shared" ca="1" si="4"/>
        <v>-2.7269869805825468E-2</v>
      </c>
      <c r="M27" s="172">
        <f ca="1">$N$10*(1-L27)</f>
        <v>3888.8328191369333</v>
      </c>
      <c r="N27" s="172">
        <f ca="1">$N$10-M27</f>
        <v>-103.23281913693336</v>
      </c>
    </row>
    <row r="28" spans="2:14">
      <c r="B28" s="36" t="s">
        <v>8612</v>
      </c>
      <c r="C28" s="182">
        <v>4216.3999999999996</v>
      </c>
      <c r="D28" s="182">
        <f t="shared" si="0"/>
        <v>8.2980605973646641E-3</v>
      </c>
      <c r="E28" s="182">
        <v>4.3241170706769479E-2</v>
      </c>
      <c r="F28" s="168"/>
      <c r="G28" s="168">
        <v>25</v>
      </c>
      <c r="H28" s="183">
        <f t="shared" ca="1" si="1"/>
        <v>6.3914164283784564E-4</v>
      </c>
    </row>
    <row r="29" spans="2:14">
      <c r="B29" s="36" t="s">
        <v>8613</v>
      </c>
      <c r="C29" s="182">
        <v>4181.7</v>
      </c>
      <c r="D29" s="182">
        <f t="shared" si="0"/>
        <v>5.5031822749681343E-4</v>
      </c>
      <c r="E29" s="182">
        <v>4.268996723357784E-2</v>
      </c>
      <c r="F29" s="168"/>
      <c r="G29" s="168">
        <v>26</v>
      </c>
      <c r="H29" s="183">
        <f t="shared" ca="1" si="1"/>
        <v>2.4409143556720136E-2</v>
      </c>
    </row>
    <row r="30" spans="2:14">
      <c r="B30" s="36" t="s">
        <v>8614</v>
      </c>
      <c r="C30" s="182">
        <v>4179.3999999999996</v>
      </c>
      <c r="D30" s="182">
        <f t="shared" si="0"/>
        <v>-5.2126722681076201E-3</v>
      </c>
      <c r="E30" s="182">
        <v>4.2510040959160181E-2</v>
      </c>
      <c r="F30" s="168"/>
      <c r="G30" s="168">
        <v>27</v>
      </c>
      <c r="H30" s="183">
        <f t="shared" ca="1" si="1"/>
        <v>-1.1301173237188043E-3</v>
      </c>
    </row>
    <row r="31" spans="2:14">
      <c r="B31" s="36" t="s">
        <v>8615</v>
      </c>
      <c r="C31" s="182">
        <v>4201.3</v>
      </c>
      <c r="D31" s="182">
        <f t="shared" si="0"/>
        <v>-1.9242647408180395E-3</v>
      </c>
      <c r="E31" s="182">
        <v>4.2413309280416991E-2</v>
      </c>
      <c r="F31" s="168"/>
      <c r="G31" s="168">
        <v>28</v>
      </c>
      <c r="H31" s="183">
        <f t="shared" ca="1" si="1"/>
        <v>3.8017802190242781E-3</v>
      </c>
    </row>
    <row r="32" spans="2:14">
      <c r="B32" s="36" t="s">
        <v>8616</v>
      </c>
      <c r="C32" s="182">
        <v>4209.3999999999996</v>
      </c>
      <c r="D32" s="182">
        <f t="shared" si="0"/>
        <v>4.6300715990452591E-3</v>
      </c>
      <c r="E32" s="182">
        <v>4.2215200982973412E-2</v>
      </c>
      <c r="F32" s="168"/>
      <c r="G32" s="168">
        <v>29</v>
      </c>
      <c r="H32" s="183">
        <f t="shared" ca="1" si="1"/>
        <v>-2.9591798389256756E-3</v>
      </c>
    </row>
    <row r="33" spans="2:11">
      <c r="B33" s="36" t="s">
        <v>8617</v>
      </c>
      <c r="C33" s="182">
        <v>4190</v>
      </c>
      <c r="D33" s="182">
        <f t="shared" si="0"/>
        <v>-4.2065736625709581E-3</v>
      </c>
      <c r="E33" s="182">
        <v>4.1911211437170838E-2</v>
      </c>
      <c r="F33" s="168"/>
      <c r="G33" s="168">
        <v>30</v>
      </c>
      <c r="H33" s="183">
        <f t="shared" ca="1" si="1"/>
        <v>5.9704403794353968E-3</v>
      </c>
    </row>
    <row r="34" spans="2:11">
      <c r="B34" s="36" t="s">
        <v>8618</v>
      </c>
      <c r="C34" s="182">
        <v>4207.7</v>
      </c>
      <c r="D34" s="182">
        <f t="shared" si="0"/>
        <v>5.0879036881330457E-3</v>
      </c>
      <c r="E34" s="182">
        <v>4.1232581651940624E-2</v>
      </c>
      <c r="F34" s="168"/>
      <c r="G34" s="168">
        <v>31</v>
      </c>
      <c r="H34" s="183">
        <f t="shared" ca="1" si="1"/>
        <v>-9.7958074068610311E-3</v>
      </c>
    </row>
    <row r="35" spans="2:11">
      <c r="B35" s="36" t="s">
        <v>8619</v>
      </c>
      <c r="C35" s="182">
        <v>4186.3999999999996</v>
      </c>
      <c r="D35" s="182">
        <f t="shared" si="0"/>
        <v>3.9810062832748459E-3</v>
      </c>
      <c r="E35" s="182">
        <v>4.1024824952259738E-2</v>
      </c>
      <c r="F35" s="168"/>
      <c r="G35" s="168">
        <v>32</v>
      </c>
      <c r="H35" s="183">
        <f t="shared" ca="1" si="1"/>
        <v>-1.4133958757171973E-2</v>
      </c>
    </row>
    <row r="36" spans="2:11">
      <c r="B36" s="36" t="s">
        <v>8620</v>
      </c>
      <c r="C36" s="182">
        <v>4169.8</v>
      </c>
      <c r="D36" s="182">
        <f t="shared" si="0"/>
        <v>2.9758229817499319E-2</v>
      </c>
      <c r="E36" s="182">
        <v>4.0476190476190478E-2</v>
      </c>
      <c r="F36" s="168"/>
      <c r="G36" s="168">
        <v>33</v>
      </c>
      <c r="H36" s="183">
        <f t="shared" ca="1" si="1"/>
        <v>1.7027969233105237E-2</v>
      </c>
    </row>
    <row r="37" spans="2:11">
      <c r="B37" s="36">
        <v>46362</v>
      </c>
      <c r="C37" s="182">
        <v>4049.3</v>
      </c>
      <c r="D37" s="182">
        <f t="shared" si="0"/>
        <v>4.8498187467633395E-2</v>
      </c>
      <c r="E37" s="182">
        <v>3.9967438351268564E-2</v>
      </c>
      <c r="F37" s="168"/>
      <c r="G37" s="168">
        <v>34</v>
      </c>
      <c r="H37" s="183">
        <f t="shared" ca="1" si="1"/>
        <v>2.0588552521777669E-2</v>
      </c>
    </row>
    <row r="38" spans="2:11">
      <c r="B38" s="36">
        <v>46332</v>
      </c>
      <c r="C38" s="182">
        <v>3862</v>
      </c>
      <c r="D38" s="182">
        <f t="shared" si="0"/>
        <v>-1.4167198468410976E-2</v>
      </c>
      <c r="E38" s="182">
        <v>3.9910666280656766E-2</v>
      </c>
      <c r="F38" s="168"/>
      <c r="G38" s="168">
        <v>35</v>
      </c>
      <c r="H38" s="183">
        <f t="shared" ca="1" si="1"/>
        <v>-1.9109539671273209E-2</v>
      </c>
    </row>
    <row r="39" spans="2:11">
      <c r="B39" s="36">
        <v>46301</v>
      </c>
      <c r="C39" s="182">
        <v>3917.5</v>
      </c>
      <c r="D39" s="182">
        <f t="shared" si="0"/>
        <v>4.3326667692150161E-3</v>
      </c>
      <c r="E39" s="182">
        <v>3.9122237352047666E-2</v>
      </c>
      <c r="F39" s="168"/>
      <c r="G39" s="168">
        <v>36</v>
      </c>
      <c r="H39" s="183">
        <f t="shared" ca="1" si="1"/>
        <v>9.5048142416001603E-3</v>
      </c>
    </row>
    <row r="40" spans="2:11">
      <c r="B40" s="36">
        <v>46271</v>
      </c>
      <c r="C40" s="182">
        <v>3900.6</v>
      </c>
      <c r="D40" s="182">
        <f t="shared" si="0"/>
        <v>6.4765836666236384E-3</v>
      </c>
      <c r="E40" s="182">
        <v>3.901656867985024E-2</v>
      </c>
      <c r="F40" s="168"/>
      <c r="G40" s="168">
        <v>37</v>
      </c>
      <c r="H40" s="183">
        <f t="shared" ca="1" si="1"/>
        <v>7.1270818711445831E-4</v>
      </c>
    </row>
    <row r="41" spans="2:11">
      <c r="B41" s="36">
        <v>46240</v>
      </c>
      <c r="C41" s="182">
        <v>3875.5</v>
      </c>
      <c r="D41" s="182">
        <f t="shared" si="0"/>
        <v>-1.965496306789432E-2</v>
      </c>
      <c r="E41" s="182">
        <v>3.8953685879288796E-2</v>
      </c>
      <c r="F41" s="168"/>
      <c r="G41" s="168">
        <v>38</v>
      </c>
      <c r="H41" s="183">
        <f t="shared" ca="1" si="1"/>
        <v>-3.6184835632385309E-3</v>
      </c>
    </row>
    <row r="42" spans="2:11">
      <c r="B42" s="36">
        <v>46148</v>
      </c>
      <c r="C42" s="182">
        <v>3953.2</v>
      </c>
      <c r="D42" s="182">
        <f t="shared" si="0"/>
        <v>2.8157580984754091E-3</v>
      </c>
      <c r="E42" s="182">
        <v>3.8402173241958416E-2</v>
      </c>
      <c r="F42" s="168"/>
      <c r="G42" s="168">
        <v>39</v>
      </c>
      <c r="H42" s="183">
        <f t="shared" ca="1" si="1"/>
        <v>-2.4377855285732291E-3</v>
      </c>
    </row>
    <row r="43" spans="2:11">
      <c r="B43" s="36">
        <v>46118</v>
      </c>
      <c r="C43" s="182">
        <v>3942.1</v>
      </c>
      <c r="D43" s="182">
        <f t="shared" si="0"/>
        <v>-2.8078518668420292E-3</v>
      </c>
      <c r="E43" s="182">
        <v>3.8383765436556555E-2</v>
      </c>
      <c r="F43" s="168"/>
      <c r="G43" s="168">
        <v>40</v>
      </c>
      <c r="H43" s="183">
        <f t="shared" ca="1" si="1"/>
        <v>7.9811963758957376E-3</v>
      </c>
      <c r="K43" s="36"/>
    </row>
    <row r="44" spans="2:11">
      <c r="B44" s="36">
        <v>46087</v>
      </c>
      <c r="C44" s="182">
        <v>3953.2</v>
      </c>
      <c r="D44" s="182">
        <f t="shared" si="0"/>
        <v>-1.1922317478567391E-2</v>
      </c>
      <c r="E44" s="182">
        <v>3.8081683702074522E-2</v>
      </c>
      <c r="F44" s="168"/>
      <c r="G44" s="168">
        <v>41</v>
      </c>
      <c r="H44" s="183">
        <f t="shared" ca="1" si="1"/>
        <v>1.019673709118446E-2</v>
      </c>
      <c r="K44" s="36"/>
    </row>
    <row r="45" spans="2:11">
      <c r="B45" s="36">
        <v>46059</v>
      </c>
      <c r="C45" s="182">
        <v>4000.9</v>
      </c>
      <c r="D45" s="182">
        <f t="shared" si="0"/>
        <v>-2.468335494165775E-3</v>
      </c>
      <c r="E45" s="182">
        <v>3.7635370983621193E-2</v>
      </c>
      <c r="F45" s="168"/>
      <c r="G45" s="168">
        <v>42</v>
      </c>
      <c r="H45" s="183">
        <f t="shared" ca="1" si="1"/>
        <v>2.5090890247387579E-3</v>
      </c>
      <c r="K45" s="36"/>
    </row>
    <row r="46" spans="2:11">
      <c r="B46" s="36">
        <v>46028</v>
      </c>
      <c r="C46" s="182">
        <v>4010.8</v>
      </c>
      <c r="D46" s="182">
        <f t="shared" si="0"/>
        <v>-1.6116766834294079E-2</v>
      </c>
      <c r="E46" s="182">
        <v>3.7611060201601695E-2</v>
      </c>
      <c r="F46" s="168"/>
      <c r="G46" s="168">
        <v>43</v>
      </c>
      <c r="H46" s="183">
        <f t="shared" ca="1" si="1"/>
        <v>2.0644087162566601E-3</v>
      </c>
      <c r="K46" s="36"/>
    </row>
    <row r="47" spans="2:11">
      <c r="B47" s="36" t="s">
        <v>8621</v>
      </c>
      <c r="C47" s="182">
        <v>4076.5</v>
      </c>
      <c r="D47" s="182">
        <f t="shared" si="0"/>
        <v>7.1649166151945649E-3</v>
      </c>
      <c r="E47" s="182">
        <v>3.695139712616919E-2</v>
      </c>
      <c r="F47" s="168"/>
      <c r="G47" s="168">
        <v>44</v>
      </c>
      <c r="H47" s="183">
        <f t="shared" ca="1" si="1"/>
        <v>-9.1452760966267872E-3</v>
      </c>
      <c r="K47" s="36"/>
    </row>
    <row r="48" spans="2:11">
      <c r="B48" s="36" t="s">
        <v>8622</v>
      </c>
      <c r="C48" s="182">
        <v>4047.5</v>
      </c>
      <c r="D48" s="182">
        <f t="shared" si="0"/>
        <v>2.4022982812422155E-3</v>
      </c>
      <c r="E48" s="182">
        <v>3.6921273686266846E-2</v>
      </c>
      <c r="F48" s="168"/>
      <c r="G48" s="168">
        <v>45</v>
      </c>
      <c r="H48" s="183">
        <f t="shared" ca="1" si="1"/>
        <v>1.8072466693904544E-2</v>
      </c>
      <c r="K48" s="36"/>
    </row>
    <row r="49" spans="2:11">
      <c r="B49" s="36" t="s">
        <v>8623</v>
      </c>
      <c r="C49" s="182">
        <v>4037.8</v>
      </c>
      <c r="D49" s="182">
        <f t="shared" si="0"/>
        <v>1.0908910596519291E-3</v>
      </c>
      <c r="E49" s="182">
        <v>3.6688545737375379E-2</v>
      </c>
      <c r="F49" s="168"/>
      <c r="G49" s="168">
        <v>46</v>
      </c>
      <c r="H49" s="183">
        <f t="shared" ca="1" si="1"/>
        <v>-1.6762418175888454E-2</v>
      </c>
      <c r="K49" s="36"/>
    </row>
    <row r="50" spans="2:11">
      <c r="B50" s="36" t="s">
        <v>8624</v>
      </c>
      <c r="C50" s="182">
        <v>4033.4</v>
      </c>
      <c r="D50" s="182">
        <f t="shared" si="0"/>
        <v>2.7199103550145209E-2</v>
      </c>
      <c r="E50" s="182">
        <v>3.6622833968293023E-2</v>
      </c>
      <c r="F50" s="168"/>
      <c r="G50" s="168">
        <v>47</v>
      </c>
      <c r="H50" s="183">
        <f t="shared" ca="1" si="1"/>
        <v>1.3672714730393557E-3</v>
      </c>
      <c r="K50" s="36"/>
    </row>
    <row r="51" spans="2:11">
      <c r="B51" s="36" t="s">
        <v>8625</v>
      </c>
      <c r="C51" s="182">
        <v>3926.6</v>
      </c>
      <c r="D51" s="182">
        <f t="shared" si="0"/>
        <v>-4.8364515718469923E-4</v>
      </c>
      <c r="E51" s="182">
        <v>3.661955379044507E-2</v>
      </c>
      <c r="F51" s="168"/>
      <c r="G51" s="168">
        <v>48</v>
      </c>
      <c r="H51" s="183">
        <f t="shared" ca="1" si="1"/>
        <v>-6.5123774536125509E-3</v>
      </c>
      <c r="K51" s="36"/>
    </row>
    <row r="52" spans="2:11">
      <c r="B52" s="36" t="s">
        <v>8626</v>
      </c>
      <c r="C52" s="182">
        <v>3928.5</v>
      </c>
      <c r="D52" s="182">
        <f t="shared" si="0"/>
        <v>4.5516148004194094E-3</v>
      </c>
      <c r="E52" s="182">
        <v>3.6434089021966175E-2</v>
      </c>
      <c r="F52" s="168"/>
      <c r="G52" s="168">
        <v>49</v>
      </c>
      <c r="H52" s="183">
        <f t="shared" ca="1" si="1"/>
        <v>1.3189619100400507E-2</v>
      </c>
      <c r="K52" s="36"/>
    </row>
    <row r="53" spans="2:11">
      <c r="B53" s="36" t="s">
        <v>8627</v>
      </c>
      <c r="C53" s="182">
        <v>3910.7</v>
      </c>
      <c r="D53" s="182">
        <f t="shared" si="0"/>
        <v>-2.6268808977302173E-3</v>
      </c>
      <c r="E53" s="182">
        <v>3.6363008495061716E-2</v>
      </c>
      <c r="F53" s="168"/>
      <c r="G53" s="168">
        <v>50</v>
      </c>
      <c r="H53" s="183">
        <f t="shared" ca="1" si="1"/>
        <v>-9.8986716531485053E-3</v>
      </c>
      <c r="K53" s="36"/>
    </row>
    <row r="54" spans="2:11">
      <c r="B54" s="36" t="s">
        <v>8628</v>
      </c>
      <c r="C54" s="182">
        <v>3921</v>
      </c>
      <c r="D54" s="182">
        <f t="shared" si="0"/>
        <v>8.1678493031798918E-4</v>
      </c>
      <c r="E54" s="182">
        <v>3.6289899660874633E-2</v>
      </c>
      <c r="F54" s="168"/>
      <c r="G54" s="168">
        <v>51</v>
      </c>
      <c r="H54" s="183">
        <f t="shared" ca="1" si="1"/>
        <v>3.0800811745872191E-2</v>
      </c>
      <c r="K54" s="36"/>
    </row>
    <row r="55" spans="2:11">
      <c r="B55" s="36" t="s">
        <v>8629</v>
      </c>
      <c r="C55" s="182">
        <v>3917.8</v>
      </c>
      <c r="D55" s="182">
        <f t="shared" si="0"/>
        <v>2.2512151445382915E-3</v>
      </c>
      <c r="E55" s="182">
        <v>3.622333352063075E-2</v>
      </c>
      <c r="F55" s="168"/>
      <c r="G55" s="168">
        <v>52</v>
      </c>
      <c r="H55" s="183">
        <f t="shared" ca="1" si="1"/>
        <v>-1.3265441610666399E-3</v>
      </c>
      <c r="K55" s="36"/>
    </row>
    <row r="56" spans="2:11">
      <c r="B56" s="36" t="s">
        <v>8630</v>
      </c>
      <c r="C56" s="182">
        <v>3909</v>
      </c>
      <c r="D56" s="182">
        <f t="shared" si="0"/>
        <v>-7.9687341386661479E-3</v>
      </c>
      <c r="E56" s="182">
        <v>3.6132017072296498E-2</v>
      </c>
      <c r="F56" s="168"/>
      <c r="G56" s="168">
        <v>53</v>
      </c>
      <c r="H56" s="183">
        <f t="shared" ca="1" si="1"/>
        <v>-2.5589592950760562E-2</v>
      </c>
      <c r="K56" s="36"/>
    </row>
    <row r="57" spans="2:11">
      <c r="B57" s="36" t="s">
        <v>8631</v>
      </c>
      <c r="C57" s="182">
        <v>3940.4</v>
      </c>
      <c r="D57" s="182">
        <f t="shared" si="0"/>
        <v>6.2822411767710067E-3</v>
      </c>
      <c r="E57" s="182">
        <v>3.5962541031087085E-2</v>
      </c>
      <c r="F57" s="168"/>
      <c r="G57" s="168">
        <v>54</v>
      </c>
      <c r="H57" s="183">
        <f t="shared" ca="1" si="1"/>
        <v>2.1160382208644368E-2</v>
      </c>
      <c r="K57" s="36"/>
    </row>
    <row r="58" spans="2:11">
      <c r="B58" s="36" t="s">
        <v>8632</v>
      </c>
      <c r="C58" s="182">
        <v>3915.8</v>
      </c>
      <c r="D58" s="182">
        <f t="shared" si="0"/>
        <v>1.5376636846881935E-2</v>
      </c>
      <c r="E58" s="182">
        <v>3.5942003668442538E-2</v>
      </c>
      <c r="F58" s="168"/>
      <c r="G58" s="168">
        <v>55</v>
      </c>
      <c r="H58" s="183">
        <f t="shared" ca="1" si="1"/>
        <v>-3.8767383948380713E-3</v>
      </c>
      <c r="K58" s="36"/>
    </row>
    <row r="59" spans="2:11">
      <c r="B59" s="36">
        <v>46361</v>
      </c>
      <c r="C59" s="182">
        <v>3856.5</v>
      </c>
      <c r="D59" s="182">
        <f t="shared" si="0"/>
        <v>-2.1242576518958382E-2</v>
      </c>
      <c r="E59" s="182">
        <v>3.5877043267115868E-2</v>
      </c>
      <c r="F59" s="168"/>
      <c r="G59" s="168">
        <v>56</v>
      </c>
      <c r="H59" s="183">
        <f t="shared" ca="1" si="1"/>
        <v>9.1182559954127041E-3</v>
      </c>
      <c r="K59" s="36"/>
    </row>
    <row r="60" spans="2:11">
      <c r="B60" s="36">
        <v>46331</v>
      </c>
      <c r="C60" s="182">
        <v>3940.2</v>
      </c>
      <c r="D60" s="182">
        <f t="shared" si="0"/>
        <v>-8.6300163542584428E-3</v>
      </c>
      <c r="E60" s="182">
        <v>3.5777093866783988E-2</v>
      </c>
      <c r="F60" s="168"/>
      <c r="G60" s="168">
        <v>57</v>
      </c>
      <c r="H60" s="183">
        <f t="shared" ca="1" si="1"/>
        <v>-2.2023860230086706E-2</v>
      </c>
      <c r="K60" s="36"/>
    </row>
    <row r="61" spans="2:11">
      <c r="B61" s="36">
        <v>46239</v>
      </c>
      <c r="C61" s="182">
        <v>3974.5</v>
      </c>
      <c r="D61" s="182">
        <f t="shared" si="0"/>
        <v>-1.205567984091474E-2</v>
      </c>
      <c r="E61" s="182">
        <v>3.5731982601993111E-2</v>
      </c>
      <c r="F61" s="168"/>
      <c r="G61" s="168">
        <v>58</v>
      </c>
      <c r="H61" s="183">
        <f t="shared" ca="1" si="1"/>
        <v>6.5732887598450975E-4</v>
      </c>
      <c r="K61" s="36"/>
    </row>
    <row r="62" spans="2:11">
      <c r="B62" s="36">
        <v>46208</v>
      </c>
      <c r="C62" s="182">
        <v>4023</v>
      </c>
      <c r="D62" s="182">
        <f t="shared" si="0"/>
        <v>3.6173132094299613E-3</v>
      </c>
      <c r="E62" s="182">
        <v>3.4974738490002204E-2</v>
      </c>
      <c r="F62" s="168"/>
      <c r="G62" s="168">
        <v>59</v>
      </c>
      <c r="H62" s="183">
        <f t="shared" ca="1" si="1"/>
        <v>1.5247915250471318E-3</v>
      </c>
      <c r="K62" s="36"/>
    </row>
    <row r="63" spans="2:11">
      <c r="B63" s="36">
        <v>46178</v>
      </c>
      <c r="C63" s="182">
        <v>4008.5</v>
      </c>
      <c r="D63" s="182">
        <f t="shared" si="0"/>
        <v>-1.13454186706129E-2</v>
      </c>
      <c r="E63" s="182">
        <v>3.476799511109175E-2</v>
      </c>
      <c r="F63" s="168"/>
      <c r="G63" s="168">
        <v>60</v>
      </c>
      <c r="H63" s="183">
        <f t="shared" ca="1" si="1"/>
        <v>2.4242853061559556E-3</v>
      </c>
      <c r="K63" s="36"/>
    </row>
    <row r="64" spans="2:11">
      <c r="B64" s="36">
        <v>46147</v>
      </c>
      <c r="C64" s="182">
        <v>4054.5</v>
      </c>
      <c r="D64" s="182">
        <f t="shared" si="0"/>
        <v>-1.1290479906359778E-2</v>
      </c>
      <c r="E64" s="182">
        <v>3.4761410320075847E-2</v>
      </c>
      <c r="F64" s="168"/>
      <c r="G64" s="168">
        <v>61</v>
      </c>
      <c r="H64" s="183">
        <f t="shared" ca="1" si="1"/>
        <v>4.4427896356875808E-2</v>
      </c>
      <c r="K64" s="36"/>
    </row>
    <row r="65" spans="2:11">
      <c r="B65" s="36">
        <v>46117</v>
      </c>
      <c r="C65" s="182">
        <v>4100.8</v>
      </c>
      <c r="D65" s="182">
        <f t="shared" si="0"/>
        <v>2.1624314897857544E-2</v>
      </c>
      <c r="E65" s="182">
        <v>3.4493734503786191E-2</v>
      </c>
      <c r="F65" s="168"/>
      <c r="G65" s="168">
        <v>62</v>
      </c>
      <c r="H65" s="183">
        <f t="shared" ca="1" si="1"/>
        <v>-3.4762308722610822E-3</v>
      </c>
      <c r="K65" s="36"/>
    </row>
    <row r="66" spans="2:11">
      <c r="B66" s="36" t="s">
        <v>8633</v>
      </c>
      <c r="C66" s="182">
        <v>4014</v>
      </c>
      <c r="D66" s="182">
        <f t="shared" si="0"/>
        <v>-2.0043455970313311E-2</v>
      </c>
      <c r="E66" s="182">
        <v>3.4404496001152821E-2</v>
      </c>
      <c r="F66" s="168"/>
      <c r="G66" s="168">
        <v>63</v>
      </c>
      <c r="H66" s="183">
        <f t="shared" ca="1" si="1"/>
        <v>1.338850075787543E-2</v>
      </c>
      <c r="K66" s="36"/>
    </row>
    <row r="67" spans="2:11">
      <c r="B67" s="36" t="s">
        <v>8634</v>
      </c>
      <c r="C67" s="182">
        <v>4096.1000000000004</v>
      </c>
      <c r="D67" s="182">
        <f t="shared" si="0"/>
        <v>1.4463679817718143E-2</v>
      </c>
      <c r="E67" s="182">
        <v>3.4190182892338696E-2</v>
      </c>
      <c r="F67" s="168"/>
      <c r="G67" s="168">
        <v>64</v>
      </c>
      <c r="H67" s="183">
        <f t="shared" ca="1" si="1"/>
        <v>6.9929057864624045E-3</v>
      </c>
      <c r="K67" s="36"/>
    </row>
    <row r="68" spans="2:11">
      <c r="B68" s="36" t="s">
        <v>8635</v>
      </c>
      <c r="C68" s="182">
        <v>4037.7</v>
      </c>
      <c r="D68" s="182">
        <f t="shared" ref="D68:D131" si="5">(C68-C69)/C69</f>
        <v>-3.9224393132031013E-3</v>
      </c>
      <c r="E68" s="182">
        <v>3.4106991225587351E-2</v>
      </c>
      <c r="F68" s="168"/>
      <c r="G68" s="168">
        <v>65</v>
      </c>
      <c r="H68" s="183">
        <f t="shared" ca="1" si="1"/>
        <v>3.1797059171423522E-4</v>
      </c>
      <c r="K68" s="36"/>
    </row>
    <row r="69" spans="2:11">
      <c r="B69" s="36" t="s">
        <v>8636</v>
      </c>
      <c r="C69" s="182">
        <v>4053.6</v>
      </c>
      <c r="D69" s="182">
        <f t="shared" si="5"/>
        <v>9.7900007473282324E-3</v>
      </c>
      <c r="E69" s="182">
        <v>3.4047971085920663E-2</v>
      </c>
      <c r="F69" s="168"/>
      <c r="G69" s="168">
        <v>66</v>
      </c>
      <c r="H69" s="183">
        <f t="shared" ref="H69:H132" ca="1" si="6">_xlfn.NORM.INV(RAND(),N$6,N$7)</f>
        <v>6.8414384304985396E-3</v>
      </c>
      <c r="K69" s="36"/>
    </row>
    <row r="70" spans="2:11">
      <c r="B70" s="36" t="s">
        <v>8637</v>
      </c>
      <c r="C70" s="182">
        <v>4014.3</v>
      </c>
      <c r="D70" s="182">
        <f t="shared" si="5"/>
        <v>-9.817222071483122E-3</v>
      </c>
      <c r="E70" s="182">
        <v>3.4029885594209636E-2</v>
      </c>
      <c r="F70" s="168"/>
      <c r="G70" s="168">
        <v>67</v>
      </c>
      <c r="H70" s="183">
        <f t="shared" ca="1" si="6"/>
        <v>-3.086513089408772E-3</v>
      </c>
      <c r="K70" s="36"/>
    </row>
    <row r="71" spans="2:11">
      <c r="B71" s="36" t="s">
        <v>8638</v>
      </c>
      <c r="C71" s="182">
        <v>4054.1</v>
      </c>
      <c r="D71" s="182">
        <f t="shared" si="5"/>
        <v>8.2067096068240038E-3</v>
      </c>
      <c r="E71" s="182">
        <v>3.3947013920071871E-2</v>
      </c>
      <c r="F71" s="168"/>
      <c r="G71" s="168">
        <v>68</v>
      </c>
      <c r="H71" s="183">
        <f t="shared" ca="1" si="6"/>
        <v>1.086776149538328E-2</v>
      </c>
      <c r="K71" s="36"/>
    </row>
    <row r="72" spans="2:11">
      <c r="B72" s="36" t="s">
        <v>8639</v>
      </c>
      <c r="C72" s="182">
        <v>4021.1</v>
      </c>
      <c r="D72" s="182">
        <f t="shared" si="5"/>
        <v>-1.3323845512097017E-2</v>
      </c>
      <c r="E72" s="182">
        <v>3.3426970961253875E-2</v>
      </c>
      <c r="F72" s="168"/>
      <c r="G72" s="168">
        <v>69</v>
      </c>
      <c r="H72" s="183">
        <f t="shared" ca="1" si="6"/>
        <v>1.8896417682936352E-2</v>
      </c>
      <c r="K72" s="36"/>
    </row>
    <row r="73" spans="2:11">
      <c r="B73" s="36" t="s">
        <v>8640</v>
      </c>
      <c r="C73" s="182">
        <v>4075.4</v>
      </c>
      <c r="D73" s="182">
        <f t="shared" si="5"/>
        <v>6.0232041471241895E-3</v>
      </c>
      <c r="E73" s="182">
        <v>3.3206460240715899E-2</v>
      </c>
      <c r="F73" s="168"/>
      <c r="G73" s="168">
        <v>70</v>
      </c>
      <c r="H73" s="183">
        <f t="shared" ca="1" si="6"/>
        <v>8.8653365562159983E-3</v>
      </c>
      <c r="K73" s="36"/>
    </row>
    <row r="74" spans="2:11">
      <c r="B74" s="36" t="s">
        <v>8641</v>
      </c>
      <c r="C74" s="182">
        <v>4051</v>
      </c>
      <c r="D74" s="182">
        <f t="shared" si="5"/>
        <v>-1.1010473377114905E-2</v>
      </c>
      <c r="E74" s="182">
        <v>3.3009315512353199E-2</v>
      </c>
      <c r="F74" s="168"/>
      <c r="G74" s="168">
        <v>71</v>
      </c>
      <c r="H74" s="183">
        <f t="shared" ca="1" si="6"/>
        <v>1.2466852579980183E-3</v>
      </c>
      <c r="K74" s="36"/>
    </row>
    <row r="75" spans="2:11">
      <c r="B75" s="36" t="s">
        <v>8642</v>
      </c>
      <c r="C75" s="182">
        <v>4096.1000000000004</v>
      </c>
      <c r="D75" s="182">
        <f t="shared" si="5"/>
        <v>-5.7527064420602502E-3</v>
      </c>
      <c r="E75" s="182">
        <v>3.2809798800897592E-2</v>
      </c>
      <c r="F75" s="168"/>
      <c r="G75" s="168">
        <v>72</v>
      </c>
      <c r="H75" s="183">
        <f t="shared" ca="1" si="6"/>
        <v>1.0493915410840623E-2</v>
      </c>
      <c r="K75" s="36"/>
    </row>
    <row r="76" spans="2:11">
      <c r="B76" s="36" t="s">
        <v>8643</v>
      </c>
      <c r="C76" s="182">
        <v>4119.8</v>
      </c>
      <c r="D76" s="182">
        <f t="shared" si="5"/>
        <v>1.0671442239285626E-2</v>
      </c>
      <c r="E76" s="182">
        <v>3.2798441702996048E-2</v>
      </c>
      <c r="F76" s="168"/>
      <c r="G76" s="168">
        <v>73</v>
      </c>
      <c r="H76" s="183">
        <f t="shared" ca="1" si="6"/>
        <v>-4.743929301597615E-3</v>
      </c>
      <c r="K76" s="36"/>
    </row>
    <row r="77" spans="2:11">
      <c r="B77" s="36" t="s">
        <v>8644</v>
      </c>
      <c r="C77" s="182">
        <v>4076.3</v>
      </c>
      <c r="D77" s="182">
        <f t="shared" si="5"/>
        <v>3.0852489694762661E-2</v>
      </c>
      <c r="E77" s="182">
        <v>3.2668362565269907E-2</v>
      </c>
      <c r="F77" s="168"/>
      <c r="G77" s="168">
        <v>74</v>
      </c>
      <c r="H77" s="183">
        <f t="shared" ca="1" si="6"/>
        <v>7.9634175342173114E-3</v>
      </c>
      <c r="K77" s="36"/>
    </row>
    <row r="78" spans="2:11">
      <c r="B78" s="36" t="s">
        <v>8645</v>
      </c>
      <c r="C78" s="182">
        <v>3954.3</v>
      </c>
      <c r="D78" s="182">
        <f t="shared" si="5"/>
        <v>-1.4141771256849691E-3</v>
      </c>
      <c r="E78" s="182">
        <v>3.2559891990329305E-2</v>
      </c>
      <c r="F78" s="168"/>
      <c r="G78" s="168">
        <v>75</v>
      </c>
      <c r="H78" s="183">
        <f t="shared" ca="1" si="6"/>
        <v>1.2797890505968992E-2</v>
      </c>
      <c r="K78" s="36"/>
    </row>
    <row r="79" spans="2:11">
      <c r="B79" s="36">
        <v>46299</v>
      </c>
      <c r="C79" s="182">
        <v>3959.9</v>
      </c>
      <c r="D79" s="182">
        <f t="shared" si="5"/>
        <v>1.6349263384836579E-2</v>
      </c>
      <c r="E79" s="182">
        <v>3.2423208191126339E-2</v>
      </c>
      <c r="F79" s="168"/>
      <c r="G79" s="168">
        <v>76</v>
      </c>
      <c r="H79" s="183">
        <f t="shared" ca="1" si="6"/>
        <v>8.8964565294980136E-3</v>
      </c>
      <c r="K79" s="36"/>
    </row>
    <row r="80" spans="2:11">
      <c r="B80" s="36">
        <v>46269</v>
      </c>
      <c r="C80" s="182">
        <v>3896.2</v>
      </c>
      <c r="D80" s="182">
        <f t="shared" si="5"/>
        <v>-2.7384607703637202E-2</v>
      </c>
      <c r="E80" s="182">
        <v>3.2115045756835103E-2</v>
      </c>
      <c r="F80" s="168"/>
      <c r="G80" s="168">
        <v>77</v>
      </c>
      <c r="H80" s="183">
        <f t="shared" ca="1" si="6"/>
        <v>2.615686332174811E-2</v>
      </c>
      <c r="K80" s="36"/>
    </row>
    <row r="81" spans="2:11">
      <c r="B81" s="36">
        <v>46238</v>
      </c>
      <c r="C81" s="182">
        <v>4005.9</v>
      </c>
      <c r="D81" s="182">
        <f t="shared" si="5"/>
        <v>7.5900410925791612E-2</v>
      </c>
      <c r="E81" s="182">
        <v>3.2113583656416617E-2</v>
      </c>
      <c r="F81" s="168"/>
      <c r="G81" s="168">
        <v>78</v>
      </c>
      <c r="H81" s="183">
        <f t="shared" ca="1" si="6"/>
        <v>-1.1551247446465698E-2</v>
      </c>
      <c r="K81" s="36"/>
    </row>
    <row r="82" spans="2:11">
      <c r="B82" s="36">
        <v>46207</v>
      </c>
      <c r="C82" s="182">
        <v>3723.3</v>
      </c>
      <c r="D82" s="182">
        <f t="shared" si="5"/>
        <v>-1.1803524961771698E-3</v>
      </c>
      <c r="E82" s="182">
        <v>3.2073382226958359E-2</v>
      </c>
      <c r="F82" s="168"/>
      <c r="G82" s="168">
        <v>79</v>
      </c>
      <c r="H82" s="183">
        <f t="shared" ca="1" si="6"/>
        <v>9.0209788923845419E-3</v>
      </c>
      <c r="K82" s="36"/>
    </row>
    <row r="83" spans="2:11">
      <c r="B83" s="36">
        <v>46177</v>
      </c>
      <c r="C83" s="182">
        <v>3727.7</v>
      </c>
      <c r="D83" s="182">
        <f t="shared" si="5"/>
        <v>3.1717915363538213E-2</v>
      </c>
      <c r="E83" s="182">
        <v>3.1817614381124862E-2</v>
      </c>
      <c r="F83" s="168"/>
      <c r="G83" s="168">
        <v>80</v>
      </c>
      <c r="H83" s="183">
        <f t="shared" ca="1" si="6"/>
        <v>-6.5268904788755014E-3</v>
      </c>
      <c r="K83" s="36"/>
    </row>
    <row r="84" spans="2:11">
      <c r="B84" s="36">
        <v>46057</v>
      </c>
      <c r="C84" s="182">
        <v>3613.1</v>
      </c>
      <c r="D84" s="182">
        <f t="shared" si="5"/>
        <v>1.552321552321527E-3</v>
      </c>
      <c r="E84" s="182">
        <v>3.1531376726922813E-2</v>
      </c>
      <c r="F84" s="168"/>
      <c r="G84" s="168">
        <v>81</v>
      </c>
      <c r="H84" s="183">
        <f t="shared" ca="1" si="6"/>
        <v>1.3647915282760027E-2</v>
      </c>
      <c r="K84" s="36"/>
    </row>
    <row r="85" spans="2:11">
      <c r="B85" s="36">
        <v>46026</v>
      </c>
      <c r="C85" s="182">
        <v>3607.5</v>
      </c>
      <c r="D85" s="182">
        <f t="shared" si="5"/>
        <v>2.9508290288519191E-2</v>
      </c>
      <c r="E85" s="182">
        <v>3.1441547305237086E-2</v>
      </c>
      <c r="F85" s="168"/>
      <c r="G85" s="168">
        <v>82</v>
      </c>
      <c r="H85" s="183">
        <f t="shared" ca="1" si="6"/>
        <v>6.4836528024127043E-4</v>
      </c>
      <c r="K85" s="36"/>
    </row>
    <row r="86" spans="2:11">
      <c r="B86" s="36" t="s">
        <v>8646</v>
      </c>
      <c r="C86" s="182">
        <v>3504.1</v>
      </c>
      <c r="D86" s="182">
        <f t="shared" si="5"/>
        <v>-1.6834544485283803E-2</v>
      </c>
      <c r="E86" s="182">
        <v>3.1169585788993072E-2</v>
      </c>
      <c r="F86" s="168"/>
      <c r="G86" s="168">
        <v>83</v>
      </c>
      <c r="H86" s="183">
        <f t="shared" ca="1" si="6"/>
        <v>7.8901175964099027E-3</v>
      </c>
      <c r="K86" s="36"/>
    </row>
    <row r="87" spans="2:11">
      <c r="B87" s="36" t="s">
        <v>8647</v>
      </c>
      <c r="C87" s="182">
        <v>3564.1</v>
      </c>
      <c r="D87" s="182">
        <f t="shared" si="5"/>
        <v>-2.3346943249390368E-2</v>
      </c>
      <c r="E87" s="182">
        <v>3.1114019303124459E-2</v>
      </c>
      <c r="F87" s="168"/>
      <c r="G87" s="168">
        <v>84</v>
      </c>
      <c r="H87" s="183">
        <f t="shared" ca="1" si="6"/>
        <v>3.694943236535578E-3</v>
      </c>
      <c r="K87" s="36"/>
    </row>
    <row r="88" spans="2:11">
      <c r="B88" s="36" t="s">
        <v>8648</v>
      </c>
      <c r="C88" s="182">
        <v>3649.3</v>
      </c>
      <c r="D88" s="182">
        <f t="shared" si="5"/>
        <v>3.7676296633302998E-2</v>
      </c>
      <c r="E88" s="182">
        <v>3.1035066915127869E-2</v>
      </c>
      <c r="F88" s="168"/>
      <c r="G88" s="168">
        <v>85</v>
      </c>
      <c r="H88" s="183">
        <f t="shared" ca="1" si="6"/>
        <v>1.5570145424916536E-2</v>
      </c>
      <c r="K88" s="36"/>
    </row>
    <row r="89" spans="2:11">
      <c r="B89" s="36" t="s">
        <v>8649</v>
      </c>
      <c r="C89" s="182">
        <v>3516.8</v>
      </c>
      <c r="D89" s="182">
        <f t="shared" si="5"/>
        <v>5.2178075634274797E-2</v>
      </c>
      <c r="E89" s="182">
        <v>3.0963302752293552E-2</v>
      </c>
      <c r="F89" s="168"/>
      <c r="G89" s="168">
        <v>86</v>
      </c>
      <c r="H89" s="183">
        <f t="shared" ca="1" si="6"/>
        <v>2.1503298680721906E-2</v>
      </c>
      <c r="K89" s="36"/>
    </row>
    <row r="90" spans="2:11">
      <c r="B90" s="36" t="s">
        <v>8650</v>
      </c>
      <c r="C90" s="182">
        <v>3342.4</v>
      </c>
      <c r="D90" s="182">
        <f t="shared" si="5"/>
        <v>-2.6901129614533621E-2</v>
      </c>
      <c r="E90" s="182">
        <v>3.0918881361820392E-2</v>
      </c>
      <c r="F90" s="168"/>
      <c r="G90" s="168">
        <v>87</v>
      </c>
      <c r="H90" s="183">
        <f t="shared" ca="1" si="6"/>
        <v>1.5098911116260366E-2</v>
      </c>
      <c r="K90" s="36"/>
    </row>
    <row r="91" spans="2:11">
      <c r="B91" s="36" t="s">
        <v>8651</v>
      </c>
      <c r="C91" s="182">
        <v>3434.8</v>
      </c>
      <c r="D91" s="182">
        <f t="shared" si="5"/>
        <v>8.7348959091623792E-5</v>
      </c>
      <c r="E91" s="182">
        <v>3.0666912987252954E-2</v>
      </c>
      <c r="F91" s="168"/>
      <c r="G91" s="168">
        <v>88</v>
      </c>
      <c r="H91" s="183">
        <f t="shared" ca="1" si="6"/>
        <v>8.9425236072522458E-3</v>
      </c>
      <c r="K91" s="36"/>
    </row>
    <row r="92" spans="2:11">
      <c r="B92" s="36" t="s">
        <v>8652</v>
      </c>
      <c r="C92" s="182">
        <v>3434.5</v>
      </c>
      <c r="D92" s="182">
        <f t="shared" si="5"/>
        <v>-4.806119903545001E-2</v>
      </c>
      <c r="E92" s="182">
        <v>3.0636094960304502E-2</v>
      </c>
      <c r="F92" s="168"/>
      <c r="G92" s="168">
        <v>89</v>
      </c>
      <c r="H92" s="183">
        <f t="shared" ca="1" si="6"/>
        <v>-2.2408110092562692E-2</v>
      </c>
      <c r="K92" s="36"/>
    </row>
    <row r="93" spans="2:11">
      <c r="B93" s="36" t="s">
        <v>8653</v>
      </c>
      <c r="C93" s="182">
        <v>3607.9</v>
      </c>
      <c r="D93" s="182">
        <f t="shared" si="5"/>
        <v>1.837529637574797E-2</v>
      </c>
      <c r="E93" s="182">
        <v>3.0511354858643598E-2</v>
      </c>
      <c r="F93" s="168"/>
      <c r="G93" s="168">
        <v>90</v>
      </c>
      <c r="H93" s="183">
        <f t="shared" ca="1" si="6"/>
        <v>1.3424885464388036E-2</v>
      </c>
      <c r="K93" s="36"/>
    </row>
    <row r="94" spans="2:11">
      <c r="B94" s="36" t="s">
        <v>8654</v>
      </c>
      <c r="C94" s="182">
        <v>3542.8</v>
      </c>
      <c r="D94" s="182">
        <f t="shared" si="5"/>
        <v>2.1156395918602668E-2</v>
      </c>
      <c r="E94" s="182">
        <v>3.0486314760508365E-2</v>
      </c>
      <c r="F94" s="168"/>
      <c r="G94" s="168">
        <v>91</v>
      </c>
      <c r="H94" s="183">
        <f t="shared" ca="1" si="6"/>
        <v>1.5236947518524682E-2</v>
      </c>
      <c r="K94" s="36"/>
    </row>
    <row r="95" spans="2:11">
      <c r="B95" s="36" t="s">
        <v>8655</v>
      </c>
      <c r="C95" s="182">
        <v>3469.4</v>
      </c>
      <c r="D95" s="182">
        <f t="shared" si="5"/>
        <v>8.8397790055248886E-3</v>
      </c>
      <c r="E95" s="182">
        <v>3.0442765039921518E-2</v>
      </c>
      <c r="F95" s="168"/>
      <c r="G95" s="168">
        <v>92</v>
      </c>
      <c r="H95" s="183">
        <f t="shared" ca="1" si="6"/>
        <v>1.3826896123139594E-2</v>
      </c>
      <c r="K95" s="36"/>
    </row>
    <row r="96" spans="2:11">
      <c r="B96" s="36" t="s">
        <v>8656</v>
      </c>
      <c r="C96" s="182">
        <v>3439</v>
      </c>
      <c r="D96" s="182">
        <f t="shared" si="5"/>
        <v>-7.5413362011022986E-2</v>
      </c>
      <c r="E96" s="182">
        <v>3.0342379777518028E-2</v>
      </c>
      <c r="F96" s="168"/>
      <c r="G96" s="168">
        <v>93</v>
      </c>
      <c r="H96" s="183">
        <f t="shared" ca="1" si="6"/>
        <v>1.718608571534077E-3</v>
      </c>
      <c r="K96" s="36"/>
    </row>
    <row r="97" spans="2:11">
      <c r="B97" s="36">
        <v>46359</v>
      </c>
      <c r="C97" s="182">
        <v>3719.5</v>
      </c>
      <c r="D97" s="182">
        <f t="shared" si="5"/>
        <v>-3.1077420027091844E-2</v>
      </c>
      <c r="E97" s="182">
        <v>3.0096849331862147E-2</v>
      </c>
      <c r="F97" s="168"/>
      <c r="G97" s="168">
        <v>94</v>
      </c>
      <c r="H97" s="183">
        <f t="shared" ca="1" si="6"/>
        <v>2.2933843522590432E-2</v>
      </c>
      <c r="K97" s="36"/>
    </row>
    <row r="98" spans="2:11">
      <c r="B98" s="36">
        <v>46329</v>
      </c>
      <c r="C98" s="182">
        <v>3838.8</v>
      </c>
      <c r="D98" s="182">
        <f t="shared" si="5"/>
        <v>-9.5975232198141948E-3</v>
      </c>
      <c r="E98" s="182">
        <v>3.0064452965652206E-2</v>
      </c>
      <c r="F98" s="168"/>
      <c r="G98" s="168">
        <v>95</v>
      </c>
      <c r="H98" s="183">
        <f t="shared" ca="1" si="6"/>
        <v>1.0610470149460219E-2</v>
      </c>
      <c r="K98" s="36"/>
    </row>
    <row r="99" spans="2:11">
      <c r="B99" s="36">
        <v>46298</v>
      </c>
      <c r="C99" s="182">
        <v>3876</v>
      </c>
      <c r="D99" s="182">
        <f t="shared" si="5"/>
        <v>8.8232997579448975E-3</v>
      </c>
      <c r="E99" s="182">
        <v>2.9927529748590895E-2</v>
      </c>
      <c r="F99" s="168"/>
      <c r="G99" s="168">
        <v>96</v>
      </c>
      <c r="H99" s="183">
        <f t="shared" ca="1" si="6"/>
        <v>-7.3893995430453305E-4</v>
      </c>
      <c r="K99" s="36"/>
    </row>
    <row r="100" spans="2:11">
      <c r="B100" s="36">
        <v>46268</v>
      </c>
      <c r="C100" s="182">
        <v>3842.1</v>
      </c>
      <c r="D100" s="182">
        <f t="shared" si="5"/>
        <v>-2.7267203402704002E-2</v>
      </c>
      <c r="E100" s="182">
        <v>2.9763837980791366E-2</v>
      </c>
      <c r="F100" s="168"/>
      <c r="G100" s="168">
        <v>97</v>
      </c>
      <c r="H100" s="183">
        <f t="shared" ca="1" si="6"/>
        <v>1.609866485988945E-2</v>
      </c>
      <c r="K100" s="36"/>
    </row>
    <row r="101" spans="2:11">
      <c r="B101" s="36">
        <v>46176</v>
      </c>
      <c r="C101" s="182">
        <v>3949.8</v>
      </c>
      <c r="D101" s="182">
        <f t="shared" si="5"/>
        <v>-2.2012033575160236E-2</v>
      </c>
      <c r="E101" s="182">
        <v>2.9600373720643936E-2</v>
      </c>
      <c r="F101" s="168"/>
      <c r="G101" s="168">
        <v>98</v>
      </c>
      <c r="H101" s="183">
        <f t="shared" ca="1" si="6"/>
        <v>1.6735315239666322E-2</v>
      </c>
      <c r="K101" s="36"/>
    </row>
    <row r="102" spans="2:11">
      <c r="B102" s="36">
        <v>46145</v>
      </c>
      <c r="C102" s="182">
        <v>4038.7</v>
      </c>
      <c r="D102" s="182">
        <f t="shared" si="5"/>
        <v>4.0205017256477599E-2</v>
      </c>
      <c r="E102" s="182">
        <v>2.9512903548893143E-2</v>
      </c>
      <c r="F102" s="168"/>
      <c r="G102" s="168">
        <v>99</v>
      </c>
      <c r="H102" s="183">
        <f t="shared" ca="1" si="6"/>
        <v>2.0519585692155645E-2</v>
      </c>
      <c r="K102" s="36"/>
    </row>
    <row r="103" spans="2:11">
      <c r="B103" s="36">
        <v>46115</v>
      </c>
      <c r="C103" s="182">
        <v>3882.6</v>
      </c>
      <c r="D103" s="182">
        <f t="shared" si="5"/>
        <v>-4.5270120736715255E-2</v>
      </c>
      <c r="E103" s="182">
        <v>2.9460059886023376E-2</v>
      </c>
      <c r="F103" s="168"/>
      <c r="G103" s="168">
        <v>100</v>
      </c>
      <c r="H103" s="183">
        <f t="shared" ca="1" si="6"/>
        <v>2.956195177696197E-2</v>
      </c>
      <c r="K103" s="36"/>
    </row>
    <row r="104" spans="2:11">
      <c r="B104" s="36">
        <v>46056</v>
      </c>
      <c r="C104" s="182">
        <v>4066.7</v>
      </c>
      <c r="D104" s="182">
        <f t="shared" si="5"/>
        <v>-4.9458897225533587E-2</v>
      </c>
      <c r="E104" s="182">
        <v>2.9412237161261217E-2</v>
      </c>
      <c r="F104" s="168"/>
      <c r="G104" s="168">
        <v>101</v>
      </c>
      <c r="H104" s="183">
        <f t="shared" ca="1" si="6"/>
        <v>3.5975390273315219E-3</v>
      </c>
      <c r="K104" s="36"/>
    </row>
    <row r="105" spans="2:11">
      <c r="B105" s="36" t="s">
        <v>8657</v>
      </c>
      <c r="C105" s="182">
        <v>4278.3</v>
      </c>
      <c r="D105" s="182">
        <f t="shared" si="5"/>
        <v>-1.9129826198529846E-3</v>
      </c>
      <c r="E105" s="182">
        <v>2.9330659313110925E-2</v>
      </c>
      <c r="F105" s="168"/>
      <c r="G105" s="168">
        <v>102</v>
      </c>
      <c r="H105" s="183">
        <f t="shared" ca="1" si="6"/>
        <v>-7.166088198316811E-3</v>
      </c>
      <c r="K105" s="36"/>
    </row>
    <row r="106" spans="2:11">
      <c r="B106" s="36" t="s">
        <v>8658</v>
      </c>
      <c r="C106" s="182">
        <v>4286.5</v>
      </c>
      <c r="D106" s="182">
        <f t="shared" si="5"/>
        <v>-2.7916715133185993E-3</v>
      </c>
      <c r="E106" s="182">
        <v>2.9097250906420711E-2</v>
      </c>
      <c r="F106" s="168"/>
      <c r="G106" s="168">
        <v>103</v>
      </c>
      <c r="H106" s="183">
        <f t="shared" ca="1" si="6"/>
        <v>1.0697644860468324E-2</v>
      </c>
      <c r="K106" s="36"/>
    </row>
    <row r="107" spans="2:11">
      <c r="B107" s="36" t="s">
        <v>8659</v>
      </c>
      <c r="C107" s="182">
        <v>4298.5</v>
      </c>
      <c r="D107" s="182">
        <f t="shared" si="5"/>
        <v>9.2270848985725445E-3</v>
      </c>
      <c r="E107" s="182">
        <v>2.9014657603921027E-2</v>
      </c>
      <c r="F107" s="168"/>
      <c r="G107" s="168">
        <v>104</v>
      </c>
      <c r="H107" s="183">
        <f t="shared" ca="1" si="6"/>
        <v>-7.9722555827631998E-3</v>
      </c>
      <c r="K107" s="36"/>
    </row>
    <row r="108" spans="2:11">
      <c r="B108" s="36" t="s">
        <v>8660</v>
      </c>
      <c r="C108" s="182">
        <v>4259.2</v>
      </c>
      <c r="D108" s="182">
        <f t="shared" si="5"/>
        <v>-3.596568660736528E-2</v>
      </c>
      <c r="E108" s="182">
        <v>2.9000686193072962E-2</v>
      </c>
      <c r="F108" s="168"/>
      <c r="G108" s="168">
        <v>105</v>
      </c>
      <c r="H108" s="183">
        <f t="shared" ca="1" si="6"/>
        <v>-5.8751993854725014E-3</v>
      </c>
      <c r="K108" s="36"/>
    </row>
    <row r="109" spans="2:11">
      <c r="B109" s="36" t="s">
        <v>8661</v>
      </c>
      <c r="C109" s="182">
        <v>4418.1000000000004</v>
      </c>
      <c r="D109" s="182">
        <f t="shared" si="5"/>
        <v>8.5604711683331045E-3</v>
      </c>
      <c r="E109" s="182">
        <v>2.8723689502614384E-2</v>
      </c>
      <c r="F109" s="168"/>
      <c r="G109" s="168">
        <v>106</v>
      </c>
      <c r="H109" s="183">
        <f t="shared" ca="1" si="6"/>
        <v>9.155216238251801E-3</v>
      </c>
      <c r="K109" s="36"/>
    </row>
    <row r="110" spans="2:11">
      <c r="B110" s="36" t="s">
        <v>8662</v>
      </c>
      <c r="C110" s="182">
        <v>4380.6000000000004</v>
      </c>
      <c r="D110" s="182">
        <f t="shared" si="5"/>
        <v>2.3385118560915866E-2</v>
      </c>
      <c r="E110" s="182">
        <v>2.8603954118392991E-2</v>
      </c>
      <c r="F110" s="168"/>
      <c r="G110" s="168">
        <v>107</v>
      </c>
      <c r="H110" s="183">
        <f t="shared" ca="1" si="6"/>
        <v>2.4059978980472848E-2</v>
      </c>
      <c r="K110" s="36"/>
    </row>
    <row r="111" spans="2:11">
      <c r="B111" s="36" t="s">
        <v>8663</v>
      </c>
      <c r="C111" s="182">
        <v>4280.5</v>
      </c>
      <c r="D111" s="182">
        <f t="shared" si="5"/>
        <v>-1.0494925911370962E-2</v>
      </c>
      <c r="E111" s="182">
        <v>2.8567210452498687E-2</v>
      </c>
      <c r="F111" s="168"/>
      <c r="G111" s="168">
        <v>108</v>
      </c>
      <c r="H111" s="183">
        <f t="shared" ca="1" si="6"/>
        <v>-7.8755515888873258E-3</v>
      </c>
      <c r="K111" s="36"/>
    </row>
    <row r="112" spans="2:11">
      <c r="B112" s="36" t="s">
        <v>8664</v>
      </c>
      <c r="C112" s="182">
        <v>4325.8999999999996</v>
      </c>
      <c r="D112" s="182">
        <f t="shared" si="5"/>
        <v>1.0771531379970899E-2</v>
      </c>
      <c r="E112" s="182">
        <v>2.8383892141209864E-2</v>
      </c>
      <c r="F112" s="168"/>
      <c r="G112" s="168">
        <v>109</v>
      </c>
      <c r="H112" s="183">
        <f t="shared" ca="1" si="6"/>
        <v>3.9528410880480033E-4</v>
      </c>
      <c r="K112" s="36"/>
    </row>
    <row r="113" spans="2:11">
      <c r="B113" s="36" t="s">
        <v>8665</v>
      </c>
      <c r="C113" s="182">
        <v>4279.8</v>
      </c>
      <c r="D113" s="182">
        <f t="shared" si="5"/>
        <v>1.8636201356658378E-2</v>
      </c>
      <c r="E113" s="182">
        <v>2.8328734046222954E-2</v>
      </c>
      <c r="F113" s="168"/>
      <c r="G113" s="168">
        <v>110</v>
      </c>
      <c r="H113" s="183">
        <f t="shared" ca="1" si="6"/>
        <v>-3.2827334153667466E-3</v>
      </c>
      <c r="K113" s="36"/>
    </row>
    <row r="114" spans="2:11">
      <c r="B114" s="36" t="s">
        <v>8666</v>
      </c>
      <c r="C114" s="182">
        <v>4201.5</v>
      </c>
      <c r="D114" s="182">
        <f t="shared" si="5"/>
        <v>6.6125206641271632E-3</v>
      </c>
      <c r="E114" s="182">
        <v>2.823309805751624E-2</v>
      </c>
      <c r="F114" s="168"/>
      <c r="G114" s="168">
        <v>111</v>
      </c>
      <c r="H114" s="183">
        <f t="shared" ca="1" si="6"/>
        <v>-9.8692575762029007E-3</v>
      </c>
      <c r="K114" s="36"/>
    </row>
    <row r="115" spans="2:11">
      <c r="B115" s="36" t="s">
        <v>8667</v>
      </c>
      <c r="C115" s="182">
        <v>4173.8999999999996</v>
      </c>
      <c r="D115" s="182">
        <f t="shared" si="5"/>
        <v>-2.8667670035117899E-3</v>
      </c>
      <c r="E115" s="182">
        <v>2.8152178393306204E-2</v>
      </c>
      <c r="F115" s="168"/>
      <c r="G115" s="168">
        <v>112</v>
      </c>
      <c r="H115" s="183">
        <f t="shared" ca="1" si="6"/>
        <v>8.0656077075488327E-3</v>
      </c>
      <c r="K115" s="36"/>
    </row>
    <row r="116" spans="2:11">
      <c r="B116" s="36">
        <v>46358</v>
      </c>
      <c r="C116" s="182">
        <v>4185.8999999999996</v>
      </c>
      <c r="D116" s="182">
        <f t="shared" si="5"/>
        <v>3.7166698638020335E-3</v>
      </c>
      <c r="E116" s="182">
        <v>2.7853236263537286E-2</v>
      </c>
      <c r="F116" s="168"/>
      <c r="G116" s="168">
        <v>113</v>
      </c>
      <c r="H116" s="183">
        <f t="shared" ca="1" si="6"/>
        <v>-2.2481631617135792E-3</v>
      </c>
      <c r="K116" s="36"/>
    </row>
    <row r="117" spans="2:11">
      <c r="B117" s="36">
        <v>46328</v>
      </c>
      <c r="C117" s="182">
        <v>4170.3999999999996</v>
      </c>
      <c r="D117" s="182">
        <f t="shared" si="5"/>
        <v>3.3581194531053876E-4</v>
      </c>
      <c r="E117" s="182">
        <v>2.7512994864869224E-2</v>
      </c>
      <c r="F117" s="168"/>
      <c r="G117" s="168">
        <v>114</v>
      </c>
      <c r="H117" s="183">
        <f t="shared" ca="1" si="6"/>
        <v>-6.4574142379905134E-3</v>
      </c>
      <c r="K117" s="36"/>
    </row>
    <row r="118" spans="2:11">
      <c r="B118" s="36">
        <v>46297</v>
      </c>
      <c r="C118" s="182">
        <v>4169</v>
      </c>
      <c r="D118" s="182">
        <f t="shared" si="5"/>
        <v>1.3467522364838495E-2</v>
      </c>
      <c r="E118" s="182">
        <v>2.7439024390243819E-2</v>
      </c>
      <c r="F118" s="168"/>
      <c r="G118" s="168">
        <v>115</v>
      </c>
      <c r="H118" s="183">
        <f t="shared" ca="1" si="6"/>
        <v>-1.3333490360106916E-2</v>
      </c>
      <c r="K118" s="36"/>
    </row>
    <row r="119" spans="2:11">
      <c r="B119" s="36">
        <v>46267</v>
      </c>
      <c r="C119" s="182">
        <v>4113.6000000000004</v>
      </c>
      <c r="D119" s="182">
        <f t="shared" si="5"/>
        <v>1.1184582483223238E-2</v>
      </c>
      <c r="E119" s="182">
        <v>2.7423355491616196E-2</v>
      </c>
      <c r="F119" s="168"/>
      <c r="G119" s="168">
        <v>116</v>
      </c>
      <c r="H119" s="183">
        <f t="shared" ca="1" si="6"/>
        <v>-5.0087739361042742E-3</v>
      </c>
      <c r="K119" s="36"/>
    </row>
    <row r="120" spans="2:11">
      <c r="B120" s="36">
        <v>46175</v>
      </c>
      <c r="C120" s="182">
        <v>4068.1</v>
      </c>
      <c r="D120" s="182">
        <f t="shared" si="5"/>
        <v>1.1813058351585477E-3</v>
      </c>
      <c r="E120" s="182">
        <v>2.7420934385621237E-2</v>
      </c>
      <c r="F120" s="168"/>
      <c r="G120" s="168">
        <v>117</v>
      </c>
      <c r="H120" s="183">
        <f t="shared" ca="1" si="6"/>
        <v>1.3478667185119975E-2</v>
      </c>
      <c r="K120" s="36"/>
    </row>
    <row r="121" spans="2:11">
      <c r="B121" s="36">
        <v>46144</v>
      </c>
      <c r="C121" s="182">
        <v>4063.3</v>
      </c>
      <c r="D121" s="182">
        <f t="shared" si="5"/>
        <v>-5.8231998238359051E-3</v>
      </c>
      <c r="E121" s="182">
        <v>2.7417114560057892E-2</v>
      </c>
      <c r="F121" s="168"/>
      <c r="G121" s="168">
        <v>118</v>
      </c>
      <c r="H121" s="183">
        <f t="shared" ca="1" si="6"/>
        <v>2.5530356406293212E-3</v>
      </c>
      <c r="K121" s="36"/>
    </row>
    <row r="122" spans="2:11">
      <c r="B122" s="36">
        <v>46114</v>
      </c>
      <c r="C122" s="182">
        <v>4087.1</v>
      </c>
      <c r="D122" s="182">
        <f t="shared" si="5"/>
        <v>1.1958997722095605E-2</v>
      </c>
      <c r="E122" s="182">
        <v>2.7227722772277228E-2</v>
      </c>
      <c r="F122" s="168"/>
      <c r="G122" s="168">
        <v>119</v>
      </c>
      <c r="H122" s="183">
        <f t="shared" ca="1" si="6"/>
        <v>3.5165307310974191E-2</v>
      </c>
      <c r="K122" s="36"/>
    </row>
    <row r="123" spans="2:11">
      <c r="B123" s="36">
        <v>46083</v>
      </c>
      <c r="C123" s="182">
        <v>4038.8</v>
      </c>
      <c r="D123" s="182">
        <f t="shared" si="5"/>
        <v>2.9964552571851169E-2</v>
      </c>
      <c r="E123" s="182">
        <v>2.7203919704559616E-2</v>
      </c>
      <c r="F123" s="168"/>
      <c r="G123" s="168">
        <v>120</v>
      </c>
      <c r="H123" s="183">
        <f t="shared" ca="1" si="6"/>
        <v>1.0662137693721065E-2</v>
      </c>
      <c r="K123" s="36"/>
    </row>
    <row r="124" spans="2:11">
      <c r="B124" s="36">
        <v>46055</v>
      </c>
      <c r="C124" s="182">
        <v>3921.3</v>
      </c>
      <c r="D124" s="182">
        <f t="shared" si="5"/>
        <v>2.8133193497640322E-2</v>
      </c>
      <c r="E124" s="182">
        <v>2.6912905304798181E-2</v>
      </c>
      <c r="F124" s="168"/>
      <c r="G124" s="168">
        <v>121</v>
      </c>
      <c r="H124" s="183">
        <f t="shared" ca="1" si="6"/>
        <v>5.200183694098217E-3</v>
      </c>
      <c r="K124" s="36"/>
    </row>
    <row r="125" spans="2:11">
      <c r="B125" s="36">
        <v>46024</v>
      </c>
      <c r="C125" s="182">
        <v>3814</v>
      </c>
      <c r="D125" s="182">
        <f t="shared" si="5"/>
        <v>-3.0084174656053755E-2</v>
      </c>
      <c r="E125" s="182">
        <v>2.6895673879622405E-2</v>
      </c>
      <c r="F125" s="168"/>
      <c r="G125" s="168">
        <v>122</v>
      </c>
      <c r="H125" s="183">
        <f t="shared" ca="1" si="6"/>
        <v>6.8044346616999325E-3</v>
      </c>
      <c r="K125" s="36"/>
    </row>
    <row r="126" spans="2:11">
      <c r="B126" s="36" t="s">
        <v>8668</v>
      </c>
      <c r="C126" s="182">
        <v>3932.3</v>
      </c>
      <c r="D126" s="182">
        <f t="shared" si="5"/>
        <v>-1.5255918024864834E-4</v>
      </c>
      <c r="E126" s="182">
        <v>2.687111479486123E-2</v>
      </c>
      <c r="F126" s="168"/>
      <c r="G126" s="168">
        <v>123</v>
      </c>
      <c r="H126" s="183">
        <f t="shared" ca="1" si="6"/>
        <v>4.1454625551510067E-3</v>
      </c>
      <c r="K126" s="36"/>
    </row>
    <row r="127" spans="2:11">
      <c r="B127" s="36" t="s">
        <v>8669</v>
      </c>
      <c r="C127" s="182">
        <v>3932.9</v>
      </c>
      <c r="D127" s="182">
        <f t="shared" si="5"/>
        <v>3.661043753294678E-2</v>
      </c>
      <c r="E127" s="182">
        <v>2.6694627068691853E-2</v>
      </c>
      <c r="F127" s="168"/>
      <c r="G127" s="168">
        <v>124</v>
      </c>
      <c r="H127" s="183">
        <f t="shared" ca="1" si="6"/>
        <v>-1.7192821830323099E-2</v>
      </c>
      <c r="K127" s="36"/>
    </row>
    <row r="128" spans="2:11">
      <c r="B128" s="36" t="s">
        <v>8670</v>
      </c>
      <c r="C128" s="182">
        <v>3794</v>
      </c>
      <c r="D128" s="182">
        <f t="shared" si="5"/>
        <v>1.6368340461481118E-3</v>
      </c>
      <c r="E128" s="182">
        <v>2.6644978893149058E-2</v>
      </c>
      <c r="F128" s="168"/>
      <c r="G128" s="168">
        <v>125</v>
      </c>
      <c r="H128" s="183">
        <f t="shared" ca="1" si="6"/>
        <v>1.4637920666940221E-2</v>
      </c>
      <c r="K128" s="36"/>
    </row>
    <row r="129" spans="2:11">
      <c r="B129" s="36" t="s">
        <v>8671</v>
      </c>
      <c r="C129" s="182">
        <v>3787.8</v>
      </c>
      <c r="D129" s="182">
        <f t="shared" si="5"/>
        <v>1.1752764570756984E-2</v>
      </c>
      <c r="E129" s="182">
        <v>2.6460010275732224E-2</v>
      </c>
      <c r="F129" s="168"/>
      <c r="G129" s="168">
        <v>126</v>
      </c>
      <c r="H129" s="183">
        <f t="shared" ca="1" si="6"/>
        <v>8.3883145508216253E-3</v>
      </c>
      <c r="K129" s="36"/>
    </row>
    <row r="130" spans="2:11">
      <c r="B130" s="36" t="s">
        <v>8672</v>
      </c>
      <c r="C130" s="182">
        <v>3743.8</v>
      </c>
      <c r="D130" s="182">
        <f t="shared" si="5"/>
        <v>-1.3179397965100953E-2</v>
      </c>
      <c r="E130" s="182">
        <v>2.6371520774505827E-2</v>
      </c>
      <c r="F130" s="168"/>
      <c r="G130" s="168">
        <v>127</v>
      </c>
      <c r="H130" s="183">
        <f t="shared" ca="1" si="6"/>
        <v>1.9835865316285131E-2</v>
      </c>
      <c r="K130" s="36"/>
    </row>
    <row r="131" spans="2:11">
      <c r="B131" s="36" t="s">
        <v>8673</v>
      </c>
      <c r="C131" s="182">
        <v>3793.8</v>
      </c>
      <c r="D131" s="182">
        <f t="shared" si="5"/>
        <v>7.2481083233771892E-3</v>
      </c>
      <c r="E131" s="182">
        <v>2.6194144838212564E-2</v>
      </c>
      <c r="F131" s="168"/>
      <c r="G131" s="168">
        <v>128</v>
      </c>
      <c r="H131" s="183">
        <f t="shared" ca="1" si="6"/>
        <v>-2.2691022533025278E-2</v>
      </c>
      <c r="K131" s="36"/>
    </row>
    <row r="132" spans="2:11">
      <c r="B132" s="36" t="s">
        <v>8674</v>
      </c>
      <c r="C132" s="182">
        <v>3766.5</v>
      </c>
      <c r="D132" s="182">
        <f t="shared" ref="D132:D195" si="7">(C132-C133)/C133</f>
        <v>-1.1547041070725626E-2</v>
      </c>
      <c r="E132" s="182">
        <v>2.6189097778725683E-2</v>
      </c>
      <c r="F132" s="168"/>
      <c r="G132" s="168">
        <v>129</v>
      </c>
      <c r="H132" s="183">
        <f t="shared" ca="1" si="6"/>
        <v>-2.7890921302204417E-2</v>
      </c>
      <c r="K132" s="36"/>
    </row>
    <row r="133" spans="2:11">
      <c r="B133" s="36" t="s">
        <v>8675</v>
      </c>
      <c r="C133" s="182">
        <v>3810.5</v>
      </c>
      <c r="D133" s="182">
        <f t="shared" si="7"/>
        <v>-1.5323789343118554E-2</v>
      </c>
      <c r="E133" s="182">
        <v>2.6178010471204185E-2</v>
      </c>
      <c r="F133" s="168"/>
      <c r="G133" s="168">
        <v>130</v>
      </c>
      <c r="H133" s="183">
        <f t="shared" ref="H133:H196" ca="1" si="8">_xlfn.NORM.INV(RAND(),N$6,N$7)</f>
        <v>3.3939454764873651E-2</v>
      </c>
      <c r="K133" s="36"/>
    </row>
    <row r="134" spans="2:11">
      <c r="B134" s="36" t="s">
        <v>8676</v>
      </c>
      <c r="C134" s="182">
        <v>3869.8</v>
      </c>
      <c r="D134" s="182">
        <f t="shared" si="7"/>
        <v>3.4747432838917358E-3</v>
      </c>
      <c r="E134" s="182">
        <v>2.5953721075672294E-2</v>
      </c>
      <c r="F134" s="168"/>
      <c r="G134" s="168">
        <v>131</v>
      </c>
      <c r="H134" s="183">
        <f t="shared" ca="1" si="8"/>
        <v>9.5226060240286899E-3</v>
      </c>
      <c r="K134" s="36"/>
    </row>
    <row r="135" spans="2:11">
      <c r="B135" s="36" t="s">
        <v>8677</v>
      </c>
      <c r="C135" s="182">
        <v>3856.4</v>
      </c>
      <c r="D135" s="182">
        <f t="shared" si="7"/>
        <v>-2.431579491955117E-3</v>
      </c>
      <c r="E135" s="182">
        <v>2.5924093037420499E-2</v>
      </c>
      <c r="F135" s="168"/>
      <c r="G135" s="168">
        <v>132</v>
      </c>
      <c r="H135" s="183">
        <f t="shared" ca="1" si="8"/>
        <v>1.7990366296589861E-2</v>
      </c>
      <c r="K135" s="36"/>
    </row>
    <row r="136" spans="2:11">
      <c r="B136" s="36" t="s">
        <v>8678</v>
      </c>
      <c r="C136" s="182">
        <v>3865.8</v>
      </c>
      <c r="D136" s="182">
        <f t="shared" si="7"/>
        <v>-5.5564130267016284E-3</v>
      </c>
      <c r="E136" s="182">
        <v>2.5918644255531222E-2</v>
      </c>
      <c r="F136" s="168"/>
      <c r="G136" s="168">
        <v>133</v>
      </c>
      <c r="H136" s="183">
        <f t="shared" ca="1" si="8"/>
        <v>-5.2767907715622177E-3</v>
      </c>
      <c r="K136" s="36"/>
    </row>
    <row r="137" spans="2:11">
      <c r="B137" s="36" t="s">
        <v>8679</v>
      </c>
      <c r="C137" s="182">
        <v>3887.4</v>
      </c>
      <c r="D137" s="182">
        <f t="shared" si="7"/>
        <v>-3.2744463796964399E-2</v>
      </c>
      <c r="E137" s="182">
        <v>2.578494026118363E-2</v>
      </c>
      <c r="F137" s="168"/>
      <c r="G137" s="168">
        <v>134</v>
      </c>
      <c r="H137" s="183">
        <f t="shared" ca="1" si="8"/>
        <v>2.031059393118103E-2</v>
      </c>
      <c r="K137" s="36"/>
    </row>
    <row r="138" spans="2:11">
      <c r="B138" s="36">
        <v>46357</v>
      </c>
      <c r="C138" s="182">
        <v>4019</v>
      </c>
      <c r="D138" s="182">
        <f t="shared" si="7"/>
        <v>-1.5402961343535275E-3</v>
      </c>
      <c r="E138" s="182">
        <v>2.5530158178341738E-2</v>
      </c>
      <c r="F138" s="168"/>
      <c r="G138" s="168">
        <v>135</v>
      </c>
      <c r="H138" s="183">
        <f t="shared" ca="1" si="8"/>
        <v>1.5743299223646659E-2</v>
      </c>
      <c r="K138" s="36"/>
    </row>
    <row r="139" spans="2:11">
      <c r="B139" s="36">
        <v>46266</v>
      </c>
      <c r="C139" s="182">
        <v>4025.2</v>
      </c>
      <c r="D139" s="182">
        <f t="shared" si="7"/>
        <v>-7.9436004368987011E-4</v>
      </c>
      <c r="E139" s="182">
        <v>2.5508741759816565E-2</v>
      </c>
      <c r="F139" s="168"/>
      <c r="G139" s="168">
        <v>136</v>
      </c>
      <c r="H139" s="183">
        <f t="shared" ca="1" si="8"/>
        <v>-5.3048431387859108E-3</v>
      </c>
      <c r="K139" s="36"/>
    </row>
    <row r="140" spans="2:11">
      <c r="B140" s="36">
        <v>46235</v>
      </c>
      <c r="C140" s="182">
        <v>4028.4</v>
      </c>
      <c r="D140" s="182">
        <f t="shared" si="7"/>
        <v>-3.0935770988693746E-2</v>
      </c>
      <c r="E140" s="182">
        <v>2.5165718308206641E-2</v>
      </c>
      <c r="F140" s="168"/>
      <c r="G140" s="168">
        <v>137</v>
      </c>
      <c r="H140" s="183">
        <f t="shared" ca="1" si="8"/>
        <v>1.8975507614488415E-3</v>
      </c>
      <c r="K140" s="36"/>
    </row>
    <row r="141" spans="2:11">
      <c r="B141" s="36">
        <v>46204</v>
      </c>
      <c r="C141" s="182">
        <v>4157</v>
      </c>
      <c r="D141" s="182">
        <f t="shared" si="7"/>
        <v>3.9607786311161748E-3</v>
      </c>
      <c r="E141" s="182">
        <v>2.5033484278334076E-2</v>
      </c>
      <c r="F141" s="168"/>
      <c r="G141" s="168">
        <v>138</v>
      </c>
      <c r="H141" s="183">
        <f t="shared" ca="1" si="8"/>
        <v>-4.9427333759599823E-3</v>
      </c>
      <c r="K141" s="36"/>
    </row>
    <row r="142" spans="2:11">
      <c r="B142" s="36">
        <v>46174</v>
      </c>
      <c r="C142" s="182">
        <v>4140.6000000000004</v>
      </c>
      <c r="D142" s="182">
        <f t="shared" si="7"/>
        <v>-2.361218195836371E-3</v>
      </c>
      <c r="E142" s="182">
        <v>2.4924205034195967E-2</v>
      </c>
      <c r="F142" s="168"/>
      <c r="G142" s="168">
        <v>139</v>
      </c>
      <c r="H142" s="183">
        <f t="shared" ca="1" si="8"/>
        <v>1.2115627629837675E-2</v>
      </c>
      <c r="K142" s="36"/>
    </row>
    <row r="143" spans="2:11">
      <c r="B143" s="36">
        <v>46143</v>
      </c>
      <c r="C143" s="182">
        <v>4150.3999999999996</v>
      </c>
      <c r="D143" s="182">
        <f t="shared" si="7"/>
        <v>-3.1224479992313977E-3</v>
      </c>
      <c r="E143" s="182">
        <v>2.4896827007645075E-2</v>
      </c>
      <c r="F143" s="168"/>
      <c r="G143" s="168">
        <v>140</v>
      </c>
      <c r="H143" s="183">
        <f t="shared" ca="1" si="8"/>
        <v>4.5351007324530984E-4</v>
      </c>
      <c r="K143" s="36"/>
    </row>
    <row r="144" spans="2:11">
      <c r="B144" s="36">
        <v>46054</v>
      </c>
      <c r="C144" s="182">
        <v>4163.3999999999996</v>
      </c>
      <c r="D144" s="182">
        <f t="shared" si="7"/>
        <v>5.5550188387595402E-3</v>
      </c>
      <c r="E144" s="182">
        <v>2.470984649943845E-2</v>
      </c>
      <c r="F144" s="168"/>
      <c r="G144" s="168">
        <v>141</v>
      </c>
      <c r="H144" s="183">
        <f t="shared" ca="1" si="8"/>
        <v>2.5306386095682892E-2</v>
      </c>
      <c r="K144" s="36"/>
    </row>
    <row r="145" spans="2:11">
      <c r="B145" s="36">
        <v>46023</v>
      </c>
      <c r="C145" s="182">
        <v>4140.3999999999996</v>
      </c>
      <c r="D145" s="182">
        <f t="shared" si="7"/>
        <v>1.393412513774939E-2</v>
      </c>
      <c r="E145" s="182">
        <v>2.4667717954494135E-2</v>
      </c>
      <c r="F145" s="168"/>
      <c r="G145" s="168">
        <v>142</v>
      </c>
      <c r="H145" s="183">
        <f t="shared" ca="1" si="8"/>
        <v>1.5017292219265954E-2</v>
      </c>
      <c r="K145" s="36"/>
    </row>
    <row r="146" spans="2:11">
      <c r="B146" s="36" t="s">
        <v>8680</v>
      </c>
      <c r="C146" s="182">
        <v>4083.5</v>
      </c>
      <c r="D146" s="182">
        <f t="shared" si="7"/>
        <v>7.7739387956564663E-3</v>
      </c>
      <c r="E146" s="182">
        <v>2.4459596260346602E-2</v>
      </c>
      <c r="F146" s="168"/>
      <c r="G146" s="168">
        <v>143</v>
      </c>
      <c r="H146" s="183">
        <f t="shared" ca="1" si="8"/>
        <v>1.0370904928902939E-2</v>
      </c>
      <c r="K146" s="36"/>
    </row>
    <row r="147" spans="2:11">
      <c r="B147" s="36" t="s">
        <v>8681</v>
      </c>
      <c r="C147" s="182">
        <v>4052</v>
      </c>
      <c r="D147" s="182">
        <f t="shared" si="7"/>
        <v>3.2931388813232433E-3</v>
      </c>
      <c r="E147" s="182">
        <v>2.4444873527708123E-2</v>
      </c>
      <c r="F147" s="168"/>
      <c r="G147" s="168">
        <v>144</v>
      </c>
      <c r="H147" s="183">
        <f t="shared" ca="1" si="8"/>
        <v>1.7111902997291092E-2</v>
      </c>
      <c r="K147" s="36"/>
    </row>
    <row r="148" spans="2:11">
      <c r="B148" s="36" t="s">
        <v>8682</v>
      </c>
      <c r="C148" s="182">
        <v>4038.7</v>
      </c>
      <c r="D148" s="182">
        <f t="shared" si="7"/>
        <v>-2.1248733723717942E-3</v>
      </c>
      <c r="E148" s="182">
        <v>2.4338073765753344E-2</v>
      </c>
      <c r="F148" s="168"/>
      <c r="G148" s="168">
        <v>145</v>
      </c>
      <c r="H148" s="183">
        <f t="shared" ca="1" si="8"/>
        <v>2.2173440382264046E-2</v>
      </c>
      <c r="K148" s="36"/>
    </row>
    <row r="149" spans="2:11">
      <c r="B149" s="36" t="s">
        <v>8683</v>
      </c>
      <c r="C149" s="182">
        <v>4047.3</v>
      </c>
      <c r="D149" s="182">
        <f t="shared" si="7"/>
        <v>-1.5541740674954922E-3</v>
      </c>
      <c r="E149" s="182">
        <v>2.4239535915597112E-2</v>
      </c>
      <c r="F149" s="168"/>
      <c r="G149" s="168">
        <v>146</v>
      </c>
      <c r="H149" s="183">
        <f t="shared" ca="1" si="8"/>
        <v>9.4737014931915928E-3</v>
      </c>
      <c r="K149" s="36"/>
    </row>
    <row r="150" spans="2:11">
      <c r="B150" s="36" t="s">
        <v>8684</v>
      </c>
      <c r="C150" s="182">
        <v>4053.6</v>
      </c>
      <c r="D150" s="182">
        <f t="shared" si="7"/>
        <v>-1.2811668473441098E-3</v>
      </c>
      <c r="E150" s="182">
        <v>2.4230981040044203E-2</v>
      </c>
      <c r="F150" s="168"/>
      <c r="G150" s="168">
        <v>147</v>
      </c>
      <c r="H150" s="183">
        <f t="shared" ca="1" si="8"/>
        <v>7.3156266092561E-3</v>
      </c>
      <c r="K150" s="36"/>
    </row>
    <row r="151" spans="2:11">
      <c r="B151" s="36" t="s">
        <v>8685</v>
      </c>
      <c r="C151" s="182">
        <v>4058.8</v>
      </c>
      <c r="D151" s="182">
        <f t="shared" si="7"/>
        <v>-3.3395540713092794E-3</v>
      </c>
      <c r="E151" s="182">
        <v>2.4142344467588596E-2</v>
      </c>
      <c r="F151" s="168"/>
      <c r="G151" s="168">
        <v>148</v>
      </c>
      <c r="H151" s="183">
        <f t="shared" ca="1" si="8"/>
        <v>-4.5125140325318067E-3</v>
      </c>
      <c r="K151" s="36"/>
    </row>
    <row r="152" spans="2:11">
      <c r="B152" s="36" t="s">
        <v>8686</v>
      </c>
      <c r="C152" s="182">
        <v>4072.4</v>
      </c>
      <c r="D152" s="182">
        <f t="shared" si="7"/>
        <v>-2.7003805081622905E-4</v>
      </c>
      <c r="E152" s="182">
        <v>2.4138912610304635E-2</v>
      </c>
      <c r="F152" s="168"/>
      <c r="G152" s="168">
        <v>149</v>
      </c>
      <c r="H152" s="183">
        <f t="shared" ca="1" si="8"/>
        <v>-8.3394110681922519E-3</v>
      </c>
      <c r="K152" s="36"/>
    </row>
    <row r="153" spans="2:11">
      <c r="B153" s="36" t="s">
        <v>8687</v>
      </c>
      <c r="C153" s="182">
        <v>4073.5</v>
      </c>
      <c r="D153" s="182">
        <f t="shared" si="7"/>
        <v>1.0518220833023267E-2</v>
      </c>
      <c r="E153" s="182">
        <v>2.4064508000504047E-2</v>
      </c>
      <c r="F153" s="168"/>
      <c r="G153" s="168">
        <v>150</v>
      </c>
      <c r="H153" s="183">
        <f t="shared" ca="1" si="8"/>
        <v>-2.5399248360044695E-2</v>
      </c>
      <c r="K153" s="36"/>
    </row>
    <row r="154" spans="2:11">
      <c r="B154" s="36" t="s">
        <v>8688</v>
      </c>
      <c r="C154" s="182">
        <v>4031.1</v>
      </c>
      <c r="D154" s="182">
        <f t="shared" si="7"/>
        <v>-7.7048050413549085E-3</v>
      </c>
      <c r="E154" s="182">
        <v>2.4059302930466445E-2</v>
      </c>
      <c r="F154" s="168"/>
      <c r="G154" s="168">
        <v>151</v>
      </c>
      <c r="H154" s="183">
        <f t="shared" ca="1" si="8"/>
        <v>2.398926550744424E-3</v>
      </c>
      <c r="K154" s="36"/>
    </row>
    <row r="155" spans="2:11">
      <c r="B155" s="36" t="s">
        <v>8689</v>
      </c>
      <c r="C155" s="182">
        <v>4062.4</v>
      </c>
      <c r="D155" s="182">
        <f t="shared" si="7"/>
        <v>-3.4450514296965667E-4</v>
      </c>
      <c r="E155" s="182">
        <v>2.4012528275621982E-2</v>
      </c>
      <c r="F155" s="168"/>
      <c r="G155" s="168">
        <v>152</v>
      </c>
      <c r="H155" s="183">
        <f t="shared" ca="1" si="8"/>
        <v>4.0070683035536491E-3</v>
      </c>
      <c r="K155" s="36"/>
    </row>
    <row r="156" spans="2:11">
      <c r="B156" s="36" t="s">
        <v>8690</v>
      </c>
      <c r="C156" s="182">
        <v>4063.8</v>
      </c>
      <c r="D156" s="182">
        <f t="shared" si="7"/>
        <v>-6.9642988050729413E-3</v>
      </c>
      <c r="E156" s="182">
        <v>2.3914073606065334E-2</v>
      </c>
      <c r="F156" s="168"/>
      <c r="G156" s="168">
        <v>153</v>
      </c>
      <c r="H156" s="183">
        <f t="shared" ca="1" si="8"/>
        <v>-5.4134485255894803E-3</v>
      </c>
      <c r="K156" s="36"/>
    </row>
    <row r="157" spans="2:11">
      <c r="B157" s="36" t="s">
        <v>8691</v>
      </c>
      <c r="C157" s="182">
        <v>4092.3</v>
      </c>
      <c r="D157" s="182">
        <f t="shared" si="7"/>
        <v>4.467244299354526E-3</v>
      </c>
      <c r="E157" s="182">
        <v>2.3802979495354946E-2</v>
      </c>
      <c r="F157" s="168"/>
      <c r="G157" s="168">
        <v>154</v>
      </c>
      <c r="H157" s="183">
        <f t="shared" ca="1" si="8"/>
        <v>1.0891939608079826E-2</v>
      </c>
      <c r="K157" s="36"/>
    </row>
    <row r="158" spans="2:11">
      <c r="B158" s="36">
        <v>46003</v>
      </c>
      <c r="C158" s="182">
        <v>4074.1</v>
      </c>
      <c r="D158" s="182">
        <f t="shared" si="7"/>
        <v>1.7532905417218168E-2</v>
      </c>
      <c r="E158" s="182">
        <v>2.3772248849924307E-2</v>
      </c>
      <c r="F158" s="168"/>
      <c r="G158" s="168">
        <v>155</v>
      </c>
      <c r="H158" s="183">
        <f t="shared" ca="1" si="8"/>
        <v>2.3551393993632565E-2</v>
      </c>
      <c r="K158" s="36"/>
    </row>
    <row r="159" spans="2:11">
      <c r="B159" s="36">
        <v>45973</v>
      </c>
      <c r="C159" s="182">
        <v>4003.9</v>
      </c>
      <c r="D159" s="182">
        <f t="shared" si="7"/>
        <v>3.1568661839500686E-3</v>
      </c>
      <c r="E159" s="182">
        <v>2.3750761242347481E-2</v>
      </c>
      <c r="F159" s="168"/>
      <c r="G159" s="168">
        <v>156</v>
      </c>
      <c r="H159" s="183">
        <f t="shared" ca="1" si="8"/>
        <v>2.2006339469768047E-2</v>
      </c>
      <c r="K159" s="36"/>
    </row>
    <row r="160" spans="2:11">
      <c r="B160" s="36">
        <v>45942</v>
      </c>
      <c r="C160" s="182">
        <v>3991.3</v>
      </c>
      <c r="D160" s="182">
        <f t="shared" si="7"/>
        <v>-1.5509693558473591E-3</v>
      </c>
      <c r="E160" s="182">
        <v>2.3732804560664244E-2</v>
      </c>
      <c r="F160" s="168"/>
      <c r="G160" s="168">
        <v>157</v>
      </c>
      <c r="H160" s="183">
        <f t="shared" ca="1" si="8"/>
        <v>7.894259567427812E-4</v>
      </c>
      <c r="K160" s="36"/>
    </row>
    <row r="161" spans="2:11">
      <c r="B161" s="36">
        <v>45912</v>
      </c>
      <c r="C161" s="182">
        <v>3997.5</v>
      </c>
      <c r="D161" s="182">
        <f t="shared" si="7"/>
        <v>2.0016513623744136E-4</v>
      </c>
      <c r="E161" s="182">
        <v>2.3727391385418652E-2</v>
      </c>
      <c r="F161" s="168"/>
      <c r="G161" s="168">
        <v>158</v>
      </c>
      <c r="H161" s="183">
        <f t="shared" ca="1" si="8"/>
        <v>1.9729817502354141E-2</v>
      </c>
      <c r="K161" s="36"/>
    </row>
    <row r="162" spans="2:11">
      <c r="B162" s="36">
        <v>45881</v>
      </c>
      <c r="C162" s="182">
        <v>3996.7</v>
      </c>
      <c r="D162" s="182">
        <f t="shared" si="7"/>
        <v>-1.0276856024961617E-2</v>
      </c>
      <c r="E162" s="182">
        <v>2.3696995736523872E-2</v>
      </c>
      <c r="F162" s="168"/>
      <c r="G162" s="168">
        <v>159</v>
      </c>
      <c r="H162" s="183">
        <f t="shared" ca="1" si="8"/>
        <v>-2.1725465845746542E-2</v>
      </c>
      <c r="K162" s="36"/>
    </row>
    <row r="163" spans="2:11">
      <c r="B163" s="36">
        <v>45789</v>
      </c>
      <c r="C163" s="182">
        <v>4038.2</v>
      </c>
      <c r="D163" s="182">
        <f t="shared" si="7"/>
        <v>1.370619540114467E-2</v>
      </c>
      <c r="E163" s="182">
        <v>2.3670568289263446E-2</v>
      </c>
      <c r="F163" s="168"/>
      <c r="G163" s="168">
        <v>160</v>
      </c>
      <c r="H163" s="183">
        <f t="shared" ca="1" si="8"/>
        <v>2.3961586074545013E-2</v>
      </c>
      <c r="K163" s="36"/>
    </row>
    <row r="164" spans="2:11">
      <c r="B164" s="36">
        <v>45759</v>
      </c>
      <c r="C164" s="182">
        <v>3983.6</v>
      </c>
      <c r="D164" s="182">
        <f t="shared" si="7"/>
        <v>-1.1033099297893909E-3</v>
      </c>
      <c r="E164" s="182">
        <v>2.3656646236663838E-2</v>
      </c>
      <c r="F164" s="168"/>
      <c r="G164" s="168">
        <v>161</v>
      </c>
      <c r="H164" s="183">
        <f t="shared" ca="1" si="8"/>
        <v>1.8354836060646289E-2</v>
      </c>
      <c r="K164" s="36"/>
    </row>
    <row r="165" spans="2:11">
      <c r="B165" s="36">
        <v>45728</v>
      </c>
      <c r="C165" s="182">
        <v>3988</v>
      </c>
      <c r="D165" s="182">
        <f t="shared" si="7"/>
        <v>-1.0544597444485796E-2</v>
      </c>
      <c r="E165" s="182">
        <v>2.3650478425708655E-2</v>
      </c>
      <c r="F165" s="168"/>
      <c r="G165" s="168">
        <v>162</v>
      </c>
      <c r="H165" s="183">
        <f t="shared" ca="1" si="8"/>
        <v>6.8879276300952237E-3</v>
      </c>
      <c r="K165" s="36"/>
    </row>
    <row r="166" spans="2:11">
      <c r="B166" s="36">
        <v>45700</v>
      </c>
      <c r="C166" s="182">
        <v>4030.5</v>
      </c>
      <c r="D166" s="182">
        <f t="shared" si="7"/>
        <v>-1.0483158204851179E-2</v>
      </c>
      <c r="E166" s="182">
        <v>2.3592516680476173E-2</v>
      </c>
      <c r="F166" s="168"/>
      <c r="G166" s="168">
        <v>163</v>
      </c>
      <c r="H166" s="183">
        <f t="shared" ca="1" si="8"/>
        <v>1.2908950153793265E-3</v>
      </c>
      <c r="K166" s="36"/>
    </row>
    <row r="167" spans="2:11">
      <c r="B167" s="36">
        <v>45669</v>
      </c>
      <c r="C167" s="182">
        <v>4073.2</v>
      </c>
      <c r="D167" s="182">
        <f t="shared" si="7"/>
        <v>8.8460782386473092E-4</v>
      </c>
      <c r="E167" s="182">
        <v>2.355759288619284E-2</v>
      </c>
      <c r="F167" s="168"/>
      <c r="G167" s="168">
        <v>164</v>
      </c>
      <c r="H167" s="183">
        <f t="shared" ca="1" si="8"/>
        <v>-6.7577464407327014E-3</v>
      </c>
      <c r="K167" s="36"/>
    </row>
    <row r="168" spans="2:11">
      <c r="B168" s="36" t="s">
        <v>8692</v>
      </c>
      <c r="C168" s="182">
        <v>4069.6</v>
      </c>
      <c r="D168" s="182">
        <f t="shared" si="7"/>
        <v>-2.8667336387916283E-3</v>
      </c>
      <c r="E168" s="182">
        <v>2.3519105060987897E-2</v>
      </c>
      <c r="F168" s="168"/>
      <c r="G168" s="168">
        <v>165</v>
      </c>
      <c r="H168" s="183">
        <f t="shared" ca="1" si="8"/>
        <v>-1.6440698168579519E-2</v>
      </c>
      <c r="K168" s="36"/>
    </row>
    <row r="169" spans="2:11">
      <c r="B169" s="36" t="s">
        <v>8693</v>
      </c>
      <c r="C169" s="182">
        <v>4081.3</v>
      </c>
      <c r="D169" s="182">
        <f t="shared" si="7"/>
        <v>4.7513540128016202E-3</v>
      </c>
      <c r="E169" s="182">
        <v>2.3494754993533588E-2</v>
      </c>
      <c r="F169" s="168"/>
      <c r="G169" s="168">
        <v>166</v>
      </c>
      <c r="H169" s="183">
        <f t="shared" ca="1" si="8"/>
        <v>1.2099961295942402E-2</v>
      </c>
      <c r="K169" s="36"/>
    </row>
    <row r="170" spans="2:11">
      <c r="B170" s="36" t="s">
        <v>8694</v>
      </c>
      <c r="C170" s="182">
        <v>4062</v>
      </c>
      <c r="D170" s="182">
        <f t="shared" si="7"/>
        <v>1.6338479245377482E-2</v>
      </c>
      <c r="E170" s="182">
        <v>2.3444295089744493E-2</v>
      </c>
      <c r="F170" s="168"/>
      <c r="G170" s="168">
        <v>167</v>
      </c>
      <c r="H170" s="183">
        <f t="shared" ca="1" si="8"/>
        <v>6.0598791501655647E-3</v>
      </c>
      <c r="K170" s="36"/>
    </row>
    <row r="171" spans="2:11">
      <c r="B171" s="36" t="s">
        <v>8695</v>
      </c>
      <c r="C171" s="182">
        <v>3996.7</v>
      </c>
      <c r="D171" s="182">
        <f t="shared" si="7"/>
        <v>-4.1362469787955955E-3</v>
      </c>
      <c r="E171" s="182">
        <v>2.3340083129063296E-2</v>
      </c>
      <c r="F171" s="168"/>
      <c r="G171" s="168">
        <v>168</v>
      </c>
      <c r="H171" s="183">
        <f t="shared" ca="1" si="8"/>
        <v>1.268861567900384E-2</v>
      </c>
      <c r="K171" s="36"/>
    </row>
    <row r="172" spans="2:11">
      <c r="B172" s="36" t="s">
        <v>8696</v>
      </c>
      <c r="C172" s="182">
        <v>4013.3</v>
      </c>
      <c r="D172" s="182">
        <f t="shared" si="7"/>
        <v>-2.8820591815945512E-3</v>
      </c>
      <c r="E172" s="182">
        <v>2.3306197478991597E-2</v>
      </c>
      <c r="F172" s="168"/>
      <c r="G172" s="168">
        <v>169</v>
      </c>
      <c r="H172" s="183">
        <f t="shared" ca="1" si="8"/>
        <v>1.3744892064192341E-2</v>
      </c>
      <c r="K172" s="36"/>
    </row>
    <row r="173" spans="2:11">
      <c r="B173" s="36" t="s">
        <v>8697</v>
      </c>
      <c r="C173" s="182">
        <v>4024.9</v>
      </c>
      <c r="D173" s="182">
        <f t="shared" si="7"/>
        <v>-3.096051914598504E-3</v>
      </c>
      <c r="E173" s="182">
        <v>2.3238492477282748E-2</v>
      </c>
      <c r="F173" s="168"/>
      <c r="G173" s="168">
        <v>170</v>
      </c>
      <c r="H173" s="183">
        <f t="shared" ca="1" si="8"/>
        <v>2.5824657491220291E-3</v>
      </c>
      <c r="K173" s="36"/>
    </row>
    <row r="174" spans="2:11">
      <c r="B174" s="36" t="s">
        <v>8698</v>
      </c>
      <c r="C174" s="182">
        <v>4037.4</v>
      </c>
      <c r="D174" s="182">
        <f t="shared" si="7"/>
        <v>4.4283013235148234E-3</v>
      </c>
      <c r="E174" s="182">
        <v>2.3223045611105313E-2</v>
      </c>
      <c r="F174" s="168"/>
      <c r="G174" s="168">
        <v>171</v>
      </c>
      <c r="H174" s="183">
        <f t="shared" ca="1" si="8"/>
        <v>8.266196427339681E-3</v>
      </c>
      <c r="K174" s="36"/>
    </row>
    <row r="175" spans="2:11">
      <c r="B175" s="36" t="s">
        <v>8699</v>
      </c>
      <c r="C175" s="182">
        <v>4019.6</v>
      </c>
      <c r="D175" s="182">
        <f t="shared" si="7"/>
        <v>5.0005000500050007E-3</v>
      </c>
      <c r="E175" s="182">
        <v>2.3209078729608177E-2</v>
      </c>
      <c r="F175" s="168"/>
      <c r="G175" s="168">
        <v>172</v>
      </c>
      <c r="H175" s="183">
        <f t="shared" ca="1" si="8"/>
        <v>5.541040208630197E-3</v>
      </c>
      <c r="K175" s="36"/>
    </row>
    <row r="176" spans="2:11">
      <c r="B176" s="36" t="s">
        <v>8700</v>
      </c>
      <c r="C176" s="182">
        <v>3999.6</v>
      </c>
      <c r="D176" s="182">
        <f t="shared" si="7"/>
        <v>-6.9766864463589422E-3</v>
      </c>
      <c r="E176" s="182">
        <v>2.3105185409643576E-2</v>
      </c>
      <c r="F176" s="168"/>
      <c r="G176" s="168">
        <v>173</v>
      </c>
      <c r="H176" s="183">
        <f t="shared" ca="1" si="8"/>
        <v>-1.3017497906801918E-2</v>
      </c>
      <c r="K176" s="36"/>
    </row>
    <row r="177" spans="2:11">
      <c r="B177" s="36" t="s">
        <v>8701</v>
      </c>
      <c r="C177" s="182">
        <v>4027.7</v>
      </c>
      <c r="D177" s="182">
        <f t="shared" si="7"/>
        <v>5.8185995405053755E-3</v>
      </c>
      <c r="E177" s="182">
        <v>2.2873581091587679E-2</v>
      </c>
      <c r="F177" s="168"/>
      <c r="G177" s="168">
        <v>174</v>
      </c>
      <c r="H177" s="183">
        <f t="shared" ca="1" si="8"/>
        <v>-7.022275491570998E-3</v>
      </c>
      <c r="K177" s="36"/>
    </row>
    <row r="178" spans="2:11">
      <c r="B178" s="36" t="s">
        <v>8702</v>
      </c>
      <c r="C178" s="182">
        <v>4004.4</v>
      </c>
      <c r="D178" s="182">
        <f t="shared" si="7"/>
        <v>4.7470331043100337E-4</v>
      </c>
      <c r="E178" s="182">
        <v>2.2759629073838966E-2</v>
      </c>
      <c r="F178" s="168"/>
      <c r="G178" s="168">
        <v>175</v>
      </c>
      <c r="H178" s="183">
        <f t="shared" ca="1" si="8"/>
        <v>1.0391750769979422E-2</v>
      </c>
      <c r="K178" s="36"/>
    </row>
    <row r="179" spans="2:11">
      <c r="B179" s="36" t="s">
        <v>8703</v>
      </c>
      <c r="C179" s="182">
        <v>4002.5</v>
      </c>
      <c r="D179" s="182">
        <f t="shared" si="7"/>
        <v>1.2112476609518053E-2</v>
      </c>
      <c r="E179" s="182">
        <v>2.2732491389207753E-2</v>
      </c>
      <c r="F179" s="168"/>
      <c r="G179" s="168">
        <v>176</v>
      </c>
      <c r="H179" s="183">
        <f t="shared" ca="1" si="8"/>
        <v>4.7332816383598118E-3</v>
      </c>
      <c r="K179" s="36"/>
    </row>
    <row r="180" spans="2:11">
      <c r="B180" s="36">
        <v>46002</v>
      </c>
      <c r="C180" s="182">
        <v>3954.6</v>
      </c>
      <c r="D180" s="182">
        <f t="shared" si="7"/>
        <v>-1.011378002528675E-4</v>
      </c>
      <c r="E180" s="182">
        <v>2.2616395066043397E-2</v>
      </c>
      <c r="F180" s="168"/>
      <c r="G180" s="168">
        <v>177</v>
      </c>
      <c r="H180" s="183">
        <f t="shared" ca="1" si="8"/>
        <v>2.1773160963376479E-2</v>
      </c>
      <c r="K180" s="36"/>
    </row>
    <row r="181" spans="2:11">
      <c r="B181" s="36">
        <v>45972</v>
      </c>
      <c r="C181" s="182">
        <v>3955</v>
      </c>
      <c r="D181" s="182">
        <f t="shared" si="7"/>
        <v>9.3147888222534139E-3</v>
      </c>
      <c r="E181" s="182">
        <v>2.2245888060584491E-2</v>
      </c>
      <c r="F181" s="168"/>
      <c r="G181" s="168">
        <v>178</v>
      </c>
      <c r="H181" s="183">
        <f t="shared" ca="1" si="8"/>
        <v>4.216354508891771E-3</v>
      </c>
      <c r="K181" s="36"/>
    </row>
    <row r="182" spans="2:11">
      <c r="B182" s="36">
        <v>45941</v>
      </c>
      <c r="C182" s="182">
        <v>3918.5</v>
      </c>
      <c r="D182" s="182">
        <f t="shared" si="7"/>
        <v>9.2723760463618802E-3</v>
      </c>
      <c r="E182" s="182">
        <v>2.2245817135615506E-2</v>
      </c>
      <c r="F182" s="168"/>
      <c r="G182" s="168">
        <v>179</v>
      </c>
      <c r="H182" s="183">
        <f t="shared" ca="1" si="8"/>
        <v>-1.3790232339114031E-2</v>
      </c>
      <c r="K182" s="36"/>
    </row>
    <row r="183" spans="2:11">
      <c r="B183" s="36">
        <v>45849</v>
      </c>
      <c r="C183" s="182">
        <v>3882.5</v>
      </c>
      <c r="D183" s="182">
        <f t="shared" si="7"/>
        <v>2.3186314921684123E-4</v>
      </c>
      <c r="E183" s="182">
        <v>2.2206599318365799E-2</v>
      </c>
      <c r="F183" s="168"/>
      <c r="G183" s="168">
        <v>180</v>
      </c>
      <c r="H183" s="183">
        <f t="shared" ca="1" si="8"/>
        <v>4.3099606758735896E-3</v>
      </c>
      <c r="K183" s="36"/>
    </row>
    <row r="184" spans="2:11">
      <c r="B184" s="36">
        <v>45819</v>
      </c>
      <c r="C184" s="182">
        <v>3881.6</v>
      </c>
      <c r="D184" s="182">
        <f t="shared" si="7"/>
        <v>-1.0906125777188917E-2</v>
      </c>
      <c r="E184" s="182">
        <v>2.2200296003946719E-2</v>
      </c>
      <c r="F184" s="168"/>
      <c r="G184" s="168">
        <v>181</v>
      </c>
      <c r="H184" s="183">
        <f t="shared" ca="1" si="8"/>
        <v>2.1772337817193869E-3</v>
      </c>
      <c r="K184" s="36"/>
    </row>
    <row r="185" spans="2:11">
      <c r="B185" s="36">
        <v>45758</v>
      </c>
      <c r="C185" s="182">
        <v>3924.4</v>
      </c>
      <c r="D185" s="182">
        <f t="shared" si="7"/>
        <v>-1.409370682075114E-2</v>
      </c>
      <c r="E185" s="182">
        <v>2.2116644823066842E-2</v>
      </c>
      <c r="F185" s="168"/>
      <c r="G185" s="168">
        <v>182</v>
      </c>
      <c r="H185" s="183">
        <f t="shared" ca="1" si="8"/>
        <v>-9.8583887641569279E-3</v>
      </c>
      <c r="K185" s="36"/>
    </row>
    <row r="186" spans="2:11">
      <c r="B186" s="36">
        <v>45727</v>
      </c>
      <c r="C186" s="182">
        <v>3980.5</v>
      </c>
      <c r="D186" s="182">
        <f t="shared" si="7"/>
        <v>-1.2503411148874963E-2</v>
      </c>
      <c r="E186" s="182">
        <v>2.2062913293368795E-2</v>
      </c>
      <c r="F186" s="168"/>
      <c r="G186" s="168">
        <v>183</v>
      </c>
      <c r="H186" s="183">
        <f t="shared" ca="1" si="8"/>
        <v>1.6698476393259972E-3</v>
      </c>
      <c r="K186" s="36"/>
    </row>
    <row r="187" spans="2:11">
      <c r="B187" s="36" t="s">
        <v>8704</v>
      </c>
      <c r="C187" s="182">
        <v>4030.9</v>
      </c>
      <c r="D187" s="182">
        <f t="shared" si="7"/>
        <v>1.0884012539184976E-2</v>
      </c>
      <c r="E187" s="182">
        <v>2.1860680203472486E-2</v>
      </c>
      <c r="F187" s="168"/>
      <c r="G187" s="168">
        <v>184</v>
      </c>
      <c r="H187" s="183">
        <f t="shared" ca="1" si="8"/>
        <v>7.8191730075193658E-3</v>
      </c>
      <c r="K187" s="36"/>
    </row>
    <row r="188" spans="2:11">
      <c r="B188" s="36" t="s">
        <v>8705</v>
      </c>
      <c r="C188" s="182">
        <v>3987.5</v>
      </c>
      <c r="D188" s="182">
        <f t="shared" si="7"/>
        <v>7.4278062706854527E-3</v>
      </c>
      <c r="E188" s="182">
        <v>2.184595094765051E-2</v>
      </c>
      <c r="F188" s="168"/>
      <c r="G188" s="168">
        <v>185</v>
      </c>
      <c r="H188" s="183">
        <f t="shared" ca="1" si="8"/>
        <v>-8.0310921437270755E-3</v>
      </c>
      <c r="K188" s="36"/>
    </row>
    <row r="189" spans="2:11">
      <c r="B189" s="36" t="s">
        <v>8706</v>
      </c>
      <c r="C189" s="182">
        <v>3958.1</v>
      </c>
      <c r="D189" s="182">
        <f t="shared" si="7"/>
        <v>-3.7001610954491221E-3</v>
      </c>
      <c r="E189" s="182">
        <v>2.1788680703109943E-2</v>
      </c>
      <c r="F189" s="168"/>
      <c r="G189" s="168">
        <v>186</v>
      </c>
      <c r="H189" s="183">
        <f t="shared" ca="1" si="8"/>
        <v>-3.8749042297519087E-3</v>
      </c>
      <c r="K189" s="36"/>
    </row>
    <row r="190" spans="2:11">
      <c r="B190" s="36" t="s">
        <v>8707</v>
      </c>
      <c r="C190" s="182">
        <v>3972.8</v>
      </c>
      <c r="D190" s="182">
        <f t="shared" si="7"/>
        <v>1.2487894388093175E-2</v>
      </c>
      <c r="E190" s="182">
        <v>2.1727839335179976E-2</v>
      </c>
      <c r="F190" s="168"/>
      <c r="G190" s="168">
        <v>187</v>
      </c>
      <c r="H190" s="183">
        <f t="shared" ca="1" si="8"/>
        <v>1.9353688510235776E-3</v>
      </c>
      <c r="K190" s="36"/>
    </row>
    <row r="191" spans="2:11">
      <c r="B191" s="36" t="s">
        <v>8708</v>
      </c>
      <c r="C191" s="182">
        <v>3923.8</v>
      </c>
      <c r="D191" s="182">
        <f t="shared" si="7"/>
        <v>4.8400727291352122E-3</v>
      </c>
      <c r="E191" s="182">
        <v>2.1652659267338167E-2</v>
      </c>
      <c r="F191" s="168"/>
      <c r="G191" s="168">
        <v>188</v>
      </c>
      <c r="H191" s="183">
        <f t="shared" ca="1" si="8"/>
        <v>1.3714532493636456E-2</v>
      </c>
      <c r="K191" s="36"/>
    </row>
    <row r="192" spans="2:11">
      <c r="B192" s="36" t="s">
        <v>8709</v>
      </c>
      <c r="C192" s="182">
        <v>3904.9</v>
      </c>
      <c r="D192" s="182">
        <f t="shared" si="7"/>
        <v>-3.5215760328679733E-3</v>
      </c>
      <c r="E192" s="182">
        <v>2.1599685822751669E-2</v>
      </c>
      <c r="F192" s="168"/>
      <c r="G192" s="168">
        <v>189</v>
      </c>
      <c r="H192" s="183">
        <f t="shared" ca="1" si="8"/>
        <v>-3.5654126912291915E-3</v>
      </c>
      <c r="K192" s="36"/>
    </row>
    <row r="193" spans="2:11">
      <c r="B193" s="36" t="s">
        <v>8710</v>
      </c>
      <c r="C193" s="182">
        <v>3918.7</v>
      </c>
      <c r="D193" s="182">
        <f t="shared" si="7"/>
        <v>7.8442466951288512E-3</v>
      </c>
      <c r="E193" s="182">
        <v>2.1562546152710176E-2</v>
      </c>
      <c r="F193" s="168"/>
      <c r="G193" s="168">
        <v>190</v>
      </c>
      <c r="H193" s="183">
        <f t="shared" ca="1" si="8"/>
        <v>7.9258528219673333E-3</v>
      </c>
      <c r="K193" s="36"/>
    </row>
    <row r="194" spans="2:11">
      <c r="B194" s="36" t="s">
        <v>8711</v>
      </c>
      <c r="C194" s="182">
        <v>3888.2</v>
      </c>
      <c r="D194" s="182">
        <f t="shared" si="7"/>
        <v>4.0023756035840628E-3</v>
      </c>
      <c r="E194" s="182">
        <v>2.1437650049428072E-2</v>
      </c>
      <c r="F194" s="168"/>
      <c r="G194" s="168">
        <v>191</v>
      </c>
      <c r="H194" s="183">
        <f t="shared" ca="1" si="8"/>
        <v>5.4176289146186879E-3</v>
      </c>
      <c r="K194" s="36"/>
    </row>
    <row r="195" spans="2:11">
      <c r="B195" s="36" t="s">
        <v>8712</v>
      </c>
      <c r="C195" s="182">
        <v>3872.7</v>
      </c>
      <c r="D195" s="182">
        <f t="shared" si="7"/>
        <v>8.673230192217463E-3</v>
      </c>
      <c r="E195" s="182">
        <v>2.1370319661884553E-2</v>
      </c>
      <c r="F195" s="168"/>
      <c r="G195" s="168">
        <v>192</v>
      </c>
      <c r="H195" s="183">
        <f t="shared" ca="1" si="8"/>
        <v>-1.1456664405822999E-2</v>
      </c>
      <c r="K195" s="36"/>
    </row>
    <row r="196" spans="2:11">
      <c r="B196" s="36" t="s">
        <v>8713</v>
      </c>
      <c r="C196" s="182">
        <v>3839.4</v>
      </c>
      <c r="D196" s="182">
        <f t="shared" ref="D196:D259" si="9">(C196-C197)/C197</f>
        <v>-5.8004039567041508E-3</v>
      </c>
      <c r="E196" s="182">
        <v>2.1249294256531381E-2</v>
      </c>
      <c r="F196" s="168"/>
      <c r="G196" s="168">
        <v>193</v>
      </c>
      <c r="H196" s="183">
        <f t="shared" ca="1" si="8"/>
        <v>1.4979880343064236E-3</v>
      </c>
      <c r="K196" s="36"/>
    </row>
    <row r="197" spans="2:11">
      <c r="B197" s="36" t="s">
        <v>8714</v>
      </c>
      <c r="C197" s="182">
        <v>3861.8</v>
      </c>
      <c r="D197" s="182">
        <f t="shared" si="9"/>
        <v>8.6452320631024548E-3</v>
      </c>
      <c r="E197" s="182">
        <v>2.1190339275445606E-2</v>
      </c>
      <c r="F197" s="168"/>
      <c r="G197" s="168">
        <v>194</v>
      </c>
      <c r="H197" s="183">
        <f t="shared" ref="H197:H260" ca="1" si="10">_xlfn.NORM.INV(RAND(),N$6,N$7)</f>
        <v>3.1271428690069533E-2</v>
      </c>
      <c r="K197" s="36"/>
    </row>
    <row r="198" spans="2:11">
      <c r="B198" s="36" t="s">
        <v>8715</v>
      </c>
      <c r="C198" s="182">
        <v>3828.7</v>
      </c>
      <c r="D198" s="182">
        <f t="shared" si="9"/>
        <v>2.2540928878561982E-2</v>
      </c>
      <c r="E198" s="182">
        <v>2.1067530417267777E-2</v>
      </c>
      <c r="F198" s="168"/>
      <c r="G198" s="168">
        <v>195</v>
      </c>
      <c r="H198" s="183">
        <f t="shared" ca="1" si="10"/>
        <v>9.6450990173011578E-3</v>
      </c>
      <c r="K198" s="36"/>
    </row>
    <row r="199" spans="2:11">
      <c r="B199" s="36" t="s">
        <v>8716</v>
      </c>
      <c r="C199" s="182">
        <v>3744.3</v>
      </c>
      <c r="D199" s="182">
        <f t="shared" si="9"/>
        <v>-6.6852367688021806E-3</v>
      </c>
      <c r="E199" s="182">
        <v>2.1004004719254316E-2</v>
      </c>
      <c r="F199" s="168"/>
      <c r="G199" s="168">
        <v>196</v>
      </c>
      <c r="H199" s="183">
        <f t="shared" ca="1" si="10"/>
        <v>3.8209202504944527E-4</v>
      </c>
      <c r="K199" s="36"/>
    </row>
    <row r="200" spans="2:11">
      <c r="B200" s="36" t="s">
        <v>8717</v>
      </c>
      <c r="C200" s="182">
        <v>3769.5</v>
      </c>
      <c r="D200" s="182">
        <f t="shared" si="9"/>
        <v>-3.831923890063425E-3</v>
      </c>
      <c r="E200" s="182">
        <v>2.0997235806931747E-2</v>
      </c>
      <c r="F200" s="168"/>
      <c r="G200" s="168">
        <v>197</v>
      </c>
      <c r="H200" s="183">
        <f t="shared" ca="1" si="10"/>
        <v>3.0414723872240787E-3</v>
      </c>
      <c r="K200" s="36"/>
    </row>
    <row r="201" spans="2:11">
      <c r="B201" s="36">
        <v>45940</v>
      </c>
      <c r="C201" s="182">
        <v>3784</v>
      </c>
      <c r="D201" s="182">
        <f t="shared" si="9"/>
        <v>3.9265626658177288E-3</v>
      </c>
      <c r="E201" s="182">
        <v>2.0991527607268981E-2</v>
      </c>
      <c r="F201" s="168"/>
      <c r="G201" s="168">
        <v>198</v>
      </c>
      <c r="H201" s="183">
        <f t="shared" ca="1" si="10"/>
        <v>-6.8760614094816467E-3</v>
      </c>
      <c r="K201" s="36"/>
    </row>
    <row r="202" spans="2:11">
      <c r="B202" s="36">
        <v>45910</v>
      </c>
      <c r="C202" s="182">
        <v>3769.2</v>
      </c>
      <c r="D202" s="182">
        <f t="shared" si="9"/>
        <v>1.0563569092176426E-2</v>
      </c>
      <c r="E202" s="182">
        <v>2.098981873160375E-2</v>
      </c>
      <c r="F202" s="168"/>
      <c r="G202" s="168">
        <v>199</v>
      </c>
      <c r="H202" s="183">
        <f t="shared" ca="1" si="10"/>
        <v>1.2531818440349066E-2</v>
      </c>
      <c r="K202" s="36"/>
    </row>
    <row r="203" spans="2:11">
      <c r="B203" s="36">
        <v>45879</v>
      </c>
      <c r="C203" s="182">
        <v>3729.8</v>
      </c>
      <c r="D203" s="182">
        <f t="shared" si="9"/>
        <v>2.6811807920305602E-5</v>
      </c>
      <c r="E203" s="182">
        <v>2.0959715209415457E-2</v>
      </c>
      <c r="F203" s="168"/>
      <c r="G203" s="168">
        <v>200</v>
      </c>
      <c r="H203" s="183">
        <f t="shared" ca="1" si="10"/>
        <v>-1.8480127114589455E-2</v>
      </c>
      <c r="K203" s="36"/>
    </row>
    <row r="204" spans="2:11">
      <c r="B204" s="36">
        <v>45848</v>
      </c>
      <c r="C204" s="182">
        <v>3729.7</v>
      </c>
      <c r="D204" s="182">
        <f t="shared" si="9"/>
        <v>-1.953438587102002E-3</v>
      </c>
      <c r="E204" s="182">
        <v>2.0949720670391064E-2</v>
      </c>
      <c r="F204" s="168"/>
      <c r="G204" s="168">
        <v>201</v>
      </c>
      <c r="H204" s="183">
        <f t="shared" ca="1" si="10"/>
        <v>-8.9571951489956503E-3</v>
      </c>
      <c r="K204" s="36"/>
    </row>
    <row r="205" spans="2:11">
      <c r="B205" s="36">
        <v>45818</v>
      </c>
      <c r="C205" s="182">
        <v>3737</v>
      </c>
      <c r="D205" s="182">
        <f t="shared" si="9"/>
        <v>1.0447081514023441E-3</v>
      </c>
      <c r="E205" s="182">
        <v>2.0935454286708288E-2</v>
      </c>
      <c r="F205" s="168"/>
      <c r="G205" s="168">
        <v>202</v>
      </c>
      <c r="H205" s="183">
        <f t="shared" ca="1" si="10"/>
        <v>-1.1641817685573336E-2</v>
      </c>
      <c r="K205" s="36"/>
    </row>
    <row r="206" spans="2:11">
      <c r="B206" s="36">
        <v>45726</v>
      </c>
      <c r="C206" s="182">
        <v>3733.1</v>
      </c>
      <c r="D206" s="182">
        <f t="shared" si="9"/>
        <v>1.7110317957660062E-2</v>
      </c>
      <c r="E206" s="182">
        <v>2.0817591053347403E-2</v>
      </c>
      <c r="F206" s="168"/>
      <c r="G206" s="168">
        <v>203</v>
      </c>
      <c r="H206" s="183">
        <f t="shared" ca="1" si="10"/>
        <v>-5.9026909174508578E-3</v>
      </c>
      <c r="K206" s="36"/>
    </row>
    <row r="207" spans="2:11">
      <c r="B207" s="36">
        <v>45667</v>
      </c>
      <c r="C207" s="182">
        <v>3670.3</v>
      </c>
      <c r="D207" s="182">
        <f t="shared" si="9"/>
        <v>3.0882754851052699E-3</v>
      </c>
      <c r="E207" s="182">
        <v>2.0746887966804982E-2</v>
      </c>
      <c r="F207" s="168"/>
      <c r="G207" s="168">
        <v>204</v>
      </c>
      <c r="H207" s="183">
        <f t="shared" ca="1" si="10"/>
        <v>-8.0099612982448658E-3</v>
      </c>
      <c r="K207" s="36"/>
    </row>
    <row r="208" spans="2:11">
      <c r="B208" s="36" t="s">
        <v>8718</v>
      </c>
      <c r="C208" s="182">
        <v>3659</v>
      </c>
      <c r="D208" s="182">
        <f t="shared" si="9"/>
        <v>-7.9709359071684447E-3</v>
      </c>
      <c r="E208" s="182">
        <v>2.0738018450461332E-2</v>
      </c>
      <c r="F208" s="168"/>
      <c r="G208" s="168">
        <v>205</v>
      </c>
      <c r="H208" s="183">
        <f t="shared" ca="1" si="10"/>
        <v>1.3594382734026259E-2</v>
      </c>
      <c r="K208" s="36"/>
    </row>
    <row r="209" spans="2:11">
      <c r="B209" s="36" t="s">
        <v>8719</v>
      </c>
      <c r="C209" s="182">
        <v>3688.4</v>
      </c>
      <c r="D209" s="182">
        <f t="shared" si="9"/>
        <v>-1.102024400053624E-2</v>
      </c>
      <c r="E209" s="182">
        <v>2.07089315207723E-2</v>
      </c>
      <c r="F209" s="168"/>
      <c r="G209" s="168">
        <v>206</v>
      </c>
      <c r="H209" s="183">
        <f t="shared" ca="1" si="10"/>
        <v>2.409327987222782E-3</v>
      </c>
      <c r="K209" s="36"/>
    </row>
    <row r="210" spans="2:11">
      <c r="B210" s="36" t="s">
        <v>8720</v>
      </c>
      <c r="C210" s="182">
        <v>3729.5</v>
      </c>
      <c r="D210" s="182">
        <f t="shared" si="9"/>
        <v>2.3350894523103915E-2</v>
      </c>
      <c r="E210" s="182">
        <v>2.0582877959927196E-2</v>
      </c>
      <c r="F210" s="168"/>
      <c r="G210" s="168">
        <v>207</v>
      </c>
      <c r="H210" s="183">
        <f t="shared" ca="1" si="10"/>
        <v>1.9944004642130995E-2</v>
      </c>
      <c r="K210" s="36"/>
    </row>
    <row r="211" spans="2:11">
      <c r="B211" s="36" t="s">
        <v>8721</v>
      </c>
      <c r="C211" s="182">
        <v>3644.4</v>
      </c>
      <c r="D211" s="182">
        <f t="shared" si="9"/>
        <v>-8.0026130981545231E-3</v>
      </c>
      <c r="E211" s="182">
        <v>2.0411475875502058E-2</v>
      </c>
      <c r="F211" s="168"/>
      <c r="G211" s="168">
        <v>208</v>
      </c>
      <c r="H211" s="183">
        <f t="shared" ca="1" si="10"/>
        <v>4.9028667541105532E-3</v>
      </c>
      <c r="K211" s="36"/>
    </row>
    <row r="212" spans="2:11">
      <c r="B212" s="36" t="s">
        <v>8722</v>
      </c>
      <c r="C212" s="182">
        <v>3673.8</v>
      </c>
      <c r="D212" s="182">
        <f t="shared" si="9"/>
        <v>4.4291338582677911E-3</v>
      </c>
      <c r="E212" s="182">
        <v>2.0319887335278071E-2</v>
      </c>
      <c r="F212" s="168"/>
      <c r="G212" s="168">
        <v>209</v>
      </c>
      <c r="H212" s="183">
        <f t="shared" ca="1" si="10"/>
        <v>-9.7094415578151856E-3</v>
      </c>
      <c r="K212" s="36"/>
    </row>
    <row r="213" spans="2:11">
      <c r="B213" s="36" t="s">
        <v>8723</v>
      </c>
      <c r="C213" s="182">
        <v>3657.6</v>
      </c>
      <c r="D213" s="182">
        <f t="shared" si="9"/>
        <v>3.5944574015639758E-3</v>
      </c>
      <c r="E213" s="182">
        <v>2.0318675889328026E-2</v>
      </c>
      <c r="F213" s="168"/>
      <c r="G213" s="168">
        <v>210</v>
      </c>
      <c r="H213" s="183">
        <f t="shared" ca="1" si="10"/>
        <v>1.8219749995176035E-3</v>
      </c>
      <c r="K213" s="36"/>
    </row>
    <row r="214" spans="2:11">
      <c r="B214" s="36" t="s">
        <v>8724</v>
      </c>
      <c r="C214" s="182">
        <v>3644.5</v>
      </c>
      <c r="D214" s="182">
        <f t="shared" si="9"/>
        <v>-8.4072481906731483E-3</v>
      </c>
      <c r="E214" s="182">
        <v>2.0262685226762538E-2</v>
      </c>
      <c r="F214" s="168"/>
      <c r="G214" s="168">
        <v>211</v>
      </c>
      <c r="H214" s="183">
        <f t="shared" ca="1" si="10"/>
        <v>1.11201891467941E-2</v>
      </c>
      <c r="K214" s="36"/>
    </row>
    <row r="215" spans="2:11">
      <c r="B215" s="36" t="s">
        <v>8725</v>
      </c>
      <c r="C215" s="182">
        <v>3675.4</v>
      </c>
      <c r="D215" s="182">
        <f t="shared" si="9"/>
        <v>-2.8757460661963941E-3</v>
      </c>
      <c r="E215" s="182">
        <v>2.020244095472154E-2</v>
      </c>
      <c r="F215" s="168"/>
      <c r="G215" s="168">
        <v>212</v>
      </c>
      <c r="H215" s="183">
        <f t="shared" ca="1" si="10"/>
        <v>4.9259930777835401E-3</v>
      </c>
      <c r="K215" s="36"/>
    </row>
    <row r="216" spans="2:11">
      <c r="B216" s="36" t="s">
        <v>8726</v>
      </c>
      <c r="C216" s="182">
        <v>3686</v>
      </c>
      <c r="D216" s="182">
        <f t="shared" si="9"/>
        <v>1.35666802333469E-4</v>
      </c>
      <c r="E216" s="182">
        <v>2.0176374261977402E-2</v>
      </c>
      <c r="F216" s="168"/>
      <c r="G216" s="168">
        <v>213</v>
      </c>
      <c r="H216" s="183">
        <f t="shared" ca="1" si="10"/>
        <v>-6.6977869557003885E-3</v>
      </c>
      <c r="K216" s="36"/>
    </row>
    <row r="217" spans="2:11">
      <c r="B217" s="36" t="s">
        <v>8727</v>
      </c>
      <c r="C217" s="182">
        <v>3685.5</v>
      </c>
      <c r="D217" s="182">
        <f t="shared" si="9"/>
        <v>4.8257811221985433E-3</v>
      </c>
      <c r="E217" s="182">
        <v>2.0152546175129026E-2</v>
      </c>
      <c r="F217" s="168"/>
      <c r="G217" s="168">
        <v>214</v>
      </c>
      <c r="H217" s="183">
        <f t="shared" ca="1" si="10"/>
        <v>3.8562911764349747E-3</v>
      </c>
      <c r="K217" s="36"/>
    </row>
    <row r="218" spans="2:11">
      <c r="B218" s="36" t="s">
        <v>8728</v>
      </c>
      <c r="C218" s="182">
        <v>3667.8</v>
      </c>
      <c r="D218" s="182">
        <f t="shared" si="9"/>
        <v>2.2753889911326854E-2</v>
      </c>
      <c r="E218" s="182">
        <v>2.0138781804163512E-2</v>
      </c>
      <c r="F218" s="168"/>
      <c r="G218" s="168">
        <v>215</v>
      </c>
      <c r="H218" s="183">
        <f t="shared" ca="1" si="10"/>
        <v>3.4823901422287289E-3</v>
      </c>
      <c r="K218" s="36"/>
    </row>
    <row r="219" spans="2:11">
      <c r="B219" s="36" t="s">
        <v>8729</v>
      </c>
      <c r="C219" s="182">
        <v>3586.2</v>
      </c>
      <c r="D219" s="182">
        <f t="shared" si="9"/>
        <v>1.7878093748253075E-3</v>
      </c>
      <c r="E219" s="182">
        <v>2.0085698982324585E-2</v>
      </c>
      <c r="F219" s="168"/>
      <c r="G219" s="168">
        <v>216</v>
      </c>
      <c r="H219" s="183">
        <f t="shared" ca="1" si="10"/>
        <v>1.3052465860822104E-2</v>
      </c>
      <c r="K219" s="36"/>
    </row>
    <row r="220" spans="2:11">
      <c r="B220" s="36">
        <v>46000</v>
      </c>
      <c r="C220" s="182">
        <v>3579.8</v>
      </c>
      <c r="D220" s="182">
        <f t="shared" si="9"/>
        <v>1.1328643670367648E-2</v>
      </c>
      <c r="E220" s="182">
        <v>2.0053174710468209E-2</v>
      </c>
      <c r="F220" s="168"/>
      <c r="G220" s="168">
        <v>217</v>
      </c>
      <c r="H220" s="183">
        <f t="shared" ca="1" si="10"/>
        <v>1.4941723151861873E-4</v>
      </c>
      <c r="K220" s="36"/>
    </row>
    <row r="221" spans="2:11">
      <c r="B221" s="36">
        <v>45970</v>
      </c>
      <c r="C221" s="182">
        <v>3539.7</v>
      </c>
      <c r="D221" s="182">
        <f t="shared" si="9"/>
        <v>-2.9014084507042767E-3</v>
      </c>
      <c r="E221" s="182">
        <v>1.9975960162555144E-2</v>
      </c>
      <c r="F221" s="168"/>
      <c r="G221" s="168">
        <v>218</v>
      </c>
      <c r="H221" s="183">
        <f t="shared" ca="1" si="10"/>
        <v>2.1250264106226633E-2</v>
      </c>
      <c r="K221" s="36"/>
    </row>
    <row r="222" spans="2:11">
      <c r="B222" s="36">
        <v>45939</v>
      </c>
      <c r="C222" s="182">
        <v>3550</v>
      </c>
      <c r="D222" s="182">
        <f t="shared" si="9"/>
        <v>7.0921985815602835E-3</v>
      </c>
      <c r="E222" s="182">
        <v>1.996291474336228E-2</v>
      </c>
      <c r="F222" s="168"/>
      <c r="G222" s="168">
        <v>219</v>
      </c>
      <c r="H222" s="183">
        <f t="shared" ca="1" si="10"/>
        <v>1.0483461771218755E-2</v>
      </c>
      <c r="K222" s="36"/>
    </row>
    <row r="223" spans="2:11">
      <c r="B223" s="36">
        <v>45909</v>
      </c>
      <c r="C223" s="182">
        <v>3525</v>
      </c>
      <c r="D223" s="182">
        <f t="shared" si="9"/>
        <v>-1.303263825929258E-3</v>
      </c>
      <c r="E223" s="182">
        <v>1.9937154621302515E-2</v>
      </c>
      <c r="F223" s="168"/>
      <c r="G223" s="168">
        <v>220</v>
      </c>
      <c r="H223" s="183">
        <f t="shared" ca="1" si="10"/>
        <v>7.0934741210763996E-3</v>
      </c>
      <c r="K223" s="36"/>
    </row>
    <row r="224" spans="2:11">
      <c r="B224" s="36">
        <v>45878</v>
      </c>
      <c r="C224" s="182">
        <v>3529.6</v>
      </c>
      <c r="D224" s="182">
        <f t="shared" si="9"/>
        <v>-6.7537145429986496E-3</v>
      </c>
      <c r="E224" s="182">
        <v>1.993572022565343E-2</v>
      </c>
      <c r="F224" s="168"/>
      <c r="G224" s="168">
        <v>221</v>
      </c>
      <c r="H224" s="183">
        <f t="shared" ca="1" si="10"/>
        <v>-3.7558824479345249E-3</v>
      </c>
      <c r="K224" s="36"/>
    </row>
    <row r="225" spans="2:11">
      <c r="B225" s="36">
        <v>45786</v>
      </c>
      <c r="C225" s="182">
        <v>3553.6</v>
      </c>
      <c r="D225" s="182">
        <f t="shared" si="9"/>
        <v>-1.085564772031398E-2</v>
      </c>
      <c r="E225" s="182">
        <v>1.9831346321605065E-2</v>
      </c>
      <c r="F225" s="168"/>
      <c r="G225" s="168">
        <v>222</v>
      </c>
      <c r="H225" s="183">
        <f t="shared" ca="1" si="10"/>
        <v>-2.198232679123972E-4</v>
      </c>
      <c r="K225" s="36"/>
    </row>
    <row r="226" spans="2:11">
      <c r="B226" s="36">
        <v>45756</v>
      </c>
      <c r="C226" s="182">
        <v>3592.6</v>
      </c>
      <c r="D226" s="182">
        <f t="shared" si="9"/>
        <v>-2.2772717173962097E-3</v>
      </c>
      <c r="E226" s="182">
        <v>1.9800245312773704E-2</v>
      </c>
      <c r="F226" s="168"/>
      <c r="G226" s="168">
        <v>223</v>
      </c>
      <c r="H226" s="183">
        <f t="shared" ca="1" si="10"/>
        <v>-3.3302898513407758E-3</v>
      </c>
      <c r="K226" s="36"/>
    </row>
    <row r="227" spans="2:11">
      <c r="B227" s="36">
        <v>45725</v>
      </c>
      <c r="C227" s="182">
        <v>3600.8</v>
      </c>
      <c r="D227" s="182">
        <f t="shared" si="9"/>
        <v>7.2449579009203303E-3</v>
      </c>
      <c r="E227" s="182">
        <v>1.9750581776955611E-2</v>
      </c>
      <c r="F227" s="168"/>
      <c r="G227" s="168">
        <v>224</v>
      </c>
      <c r="H227" s="183">
        <f t="shared" ca="1" si="10"/>
        <v>9.9973907670154565E-3</v>
      </c>
      <c r="K227" s="36"/>
    </row>
    <row r="228" spans="2:11">
      <c r="B228" s="36">
        <v>45697</v>
      </c>
      <c r="C228" s="182">
        <v>3574.9</v>
      </c>
      <c r="D228" s="182">
        <f t="shared" si="9"/>
        <v>-6.5306803023566029E-3</v>
      </c>
      <c r="E228" s="182">
        <v>1.9699091853792938E-2</v>
      </c>
      <c r="F228" s="168"/>
      <c r="G228" s="168">
        <v>225</v>
      </c>
      <c r="H228" s="183">
        <f t="shared" ca="1" si="10"/>
        <v>-1.516249897527259E-3</v>
      </c>
      <c r="K228" s="36"/>
    </row>
    <row r="229" spans="2:11">
      <c r="B229" s="36">
        <v>45666</v>
      </c>
      <c r="C229" s="182">
        <v>3598.4</v>
      </c>
      <c r="D229" s="182">
        <f t="shared" si="9"/>
        <v>-7.2202166064979419E-4</v>
      </c>
      <c r="E229" s="182">
        <v>1.9697168327215641E-2</v>
      </c>
      <c r="F229" s="168"/>
      <c r="G229" s="168">
        <v>226</v>
      </c>
      <c r="H229" s="183">
        <f t="shared" ca="1" si="10"/>
        <v>2.3073883857856557E-3</v>
      </c>
      <c r="K229" s="36"/>
    </row>
    <row r="230" spans="2:11">
      <c r="B230" s="36" t="s">
        <v>8730</v>
      </c>
      <c r="C230" s="182">
        <v>3601</v>
      </c>
      <c r="D230" s="182">
        <f t="shared" si="9"/>
        <v>1.1488441335917556E-2</v>
      </c>
      <c r="E230" s="182">
        <v>1.96893630373393E-2</v>
      </c>
      <c r="F230" s="168"/>
      <c r="G230" s="168">
        <v>227</v>
      </c>
      <c r="H230" s="183">
        <f t="shared" ca="1" si="10"/>
        <v>9.5696185367532462E-3</v>
      </c>
      <c r="K230" s="36"/>
    </row>
    <row r="231" spans="2:11">
      <c r="B231" s="36" t="s">
        <v>8731</v>
      </c>
      <c r="C231" s="182">
        <v>3560.1</v>
      </c>
      <c r="D231" s="182">
        <f t="shared" si="9"/>
        <v>5.3087849094964352E-3</v>
      </c>
      <c r="E231" s="182">
        <v>1.9671932691725683E-2</v>
      </c>
      <c r="F231" s="168"/>
      <c r="G231" s="168">
        <v>228</v>
      </c>
      <c r="H231" s="183">
        <f t="shared" ca="1" si="10"/>
        <v>3.0820454563630414E-2</v>
      </c>
      <c r="K231" s="36"/>
    </row>
    <row r="232" spans="2:11">
      <c r="B232" s="36" t="s">
        <v>8732</v>
      </c>
      <c r="C232" s="182">
        <v>3541.3</v>
      </c>
      <c r="D232" s="182">
        <f t="shared" si="9"/>
        <v>-1.7151896977602544E-2</v>
      </c>
      <c r="E232" s="182">
        <v>1.9605683445313438E-2</v>
      </c>
      <c r="F232" s="168"/>
      <c r="G232" s="168">
        <v>229</v>
      </c>
      <c r="H232" s="183">
        <f t="shared" ca="1" si="10"/>
        <v>-8.2650067089798385E-3</v>
      </c>
      <c r="K232" s="36"/>
    </row>
    <row r="233" spans="2:11">
      <c r="B233" s="36" t="s">
        <v>8733</v>
      </c>
      <c r="C233" s="182">
        <v>3603.1</v>
      </c>
      <c r="D233" s="182">
        <f t="shared" si="9"/>
        <v>2.030146281773104E-3</v>
      </c>
      <c r="E233" s="182">
        <v>1.9350997320631138E-2</v>
      </c>
      <c r="F233" s="168"/>
      <c r="G233" s="168">
        <v>230</v>
      </c>
      <c r="H233" s="183">
        <f t="shared" ca="1" si="10"/>
        <v>-1.1223948105284823E-2</v>
      </c>
      <c r="K233" s="36"/>
    </row>
    <row r="234" spans="2:11">
      <c r="B234" s="36" t="s">
        <v>8734</v>
      </c>
      <c r="C234" s="182">
        <v>3595.8</v>
      </c>
      <c r="D234" s="182">
        <f t="shared" si="9"/>
        <v>-4.6503903006144404E-3</v>
      </c>
      <c r="E234" s="182">
        <v>1.9325803035651335E-2</v>
      </c>
      <c r="F234" s="168"/>
      <c r="G234" s="168">
        <v>231</v>
      </c>
      <c r="H234" s="183">
        <f t="shared" ca="1" si="10"/>
        <v>2.4005516239822833E-2</v>
      </c>
      <c r="K234" s="36"/>
    </row>
    <row r="235" spans="2:11">
      <c r="B235" s="36" t="s">
        <v>8735</v>
      </c>
      <c r="C235" s="182">
        <v>3612.6</v>
      </c>
      <c r="D235" s="182">
        <f t="shared" si="9"/>
        <v>5.6509756980206906E-3</v>
      </c>
      <c r="E235" s="182">
        <v>1.928292931005255E-2</v>
      </c>
      <c r="F235" s="168"/>
      <c r="G235" s="168">
        <v>232</v>
      </c>
      <c r="H235" s="183">
        <f t="shared" ca="1" si="10"/>
        <v>2.8344982619033328E-3</v>
      </c>
      <c r="K235" s="36"/>
    </row>
    <row r="236" spans="2:11">
      <c r="B236" s="36" t="s">
        <v>8736</v>
      </c>
      <c r="C236" s="182">
        <v>3592.3</v>
      </c>
      <c r="D236" s="182">
        <f t="shared" si="9"/>
        <v>-5.7293108220315024E-3</v>
      </c>
      <c r="E236" s="182">
        <v>1.9277685480370614E-2</v>
      </c>
      <c r="F236" s="168"/>
      <c r="G236" s="168">
        <v>233</v>
      </c>
      <c r="H236" s="183">
        <f t="shared" ca="1" si="10"/>
        <v>-2.8831210317685728E-3</v>
      </c>
      <c r="K236" s="36"/>
    </row>
    <row r="237" spans="2:11">
      <c r="B237" s="36" t="s">
        <v>8737</v>
      </c>
      <c r="C237" s="182">
        <v>3613</v>
      </c>
      <c r="D237" s="182">
        <f t="shared" si="9"/>
        <v>-6.0796126654012019E-3</v>
      </c>
      <c r="E237" s="182">
        <v>1.9216022373584694E-2</v>
      </c>
      <c r="F237" s="168"/>
      <c r="G237" s="168">
        <v>234</v>
      </c>
      <c r="H237" s="183">
        <f t="shared" ca="1" si="10"/>
        <v>1.6004091152649457E-2</v>
      </c>
      <c r="K237" s="36"/>
    </row>
    <row r="238" spans="2:11">
      <c r="B238" s="36" t="s">
        <v>8738</v>
      </c>
      <c r="C238" s="182">
        <v>3635.1</v>
      </c>
      <c r="D238" s="182">
        <f t="shared" si="9"/>
        <v>-1.1395159097090045E-2</v>
      </c>
      <c r="E238" s="182">
        <v>1.9206124930174422E-2</v>
      </c>
      <c r="F238" s="168"/>
      <c r="G238" s="168">
        <v>235</v>
      </c>
      <c r="H238" s="183">
        <f t="shared" ca="1" si="10"/>
        <v>5.8675398399969606E-3</v>
      </c>
      <c r="K238" s="36"/>
    </row>
    <row r="239" spans="2:11">
      <c r="B239" s="36" t="s">
        <v>8739</v>
      </c>
      <c r="C239" s="182">
        <v>3677</v>
      </c>
      <c r="D239" s="182">
        <f t="shared" si="9"/>
        <v>-4.5212117930529868E-3</v>
      </c>
      <c r="E239" s="182">
        <v>1.9201690919437502E-2</v>
      </c>
      <c r="F239" s="168"/>
      <c r="G239" s="168">
        <v>236</v>
      </c>
      <c r="H239" s="183">
        <f t="shared" ca="1" si="10"/>
        <v>-2.498147107484289E-2</v>
      </c>
      <c r="K239" s="36"/>
    </row>
    <row r="240" spans="2:11">
      <c r="B240" s="36" t="s">
        <v>8740</v>
      </c>
      <c r="C240" s="182">
        <v>3693.7</v>
      </c>
      <c r="D240" s="182">
        <f t="shared" si="9"/>
        <v>2.0617997341363255E-3</v>
      </c>
      <c r="E240" s="182">
        <v>1.9198433082651296E-2</v>
      </c>
      <c r="F240" s="168"/>
      <c r="G240" s="168">
        <v>237</v>
      </c>
      <c r="H240" s="183">
        <f t="shared" ca="1" si="10"/>
        <v>5.9059709708913135E-3</v>
      </c>
      <c r="K240" s="36"/>
    </row>
    <row r="241" spans="2:11">
      <c r="B241" s="36">
        <v>45999</v>
      </c>
      <c r="C241" s="182">
        <v>3686.1</v>
      </c>
      <c r="D241" s="182">
        <f t="shared" si="9"/>
        <v>4.8249918220477092E-3</v>
      </c>
      <c r="E241" s="182">
        <v>1.9192510239906351E-2</v>
      </c>
      <c r="F241" s="168"/>
      <c r="G241" s="168">
        <v>238</v>
      </c>
      <c r="H241" s="183">
        <f t="shared" ca="1" si="10"/>
        <v>-4.4930669478790023E-3</v>
      </c>
      <c r="K241" s="36"/>
    </row>
    <row r="242" spans="2:11">
      <c r="B242" s="36">
        <v>45969</v>
      </c>
      <c r="C242" s="182">
        <v>3668.4</v>
      </c>
      <c r="D242" s="182">
        <f t="shared" si="9"/>
        <v>1.6853309679565411E-2</v>
      </c>
      <c r="E242" s="182">
        <v>1.915576967194316E-2</v>
      </c>
      <c r="F242" s="168"/>
      <c r="G242" s="168">
        <v>239</v>
      </c>
      <c r="H242" s="183">
        <f t="shared" ca="1" si="10"/>
        <v>5.6310265158879096E-3</v>
      </c>
      <c r="K242" s="36"/>
    </row>
    <row r="243" spans="2:11">
      <c r="B243" s="36">
        <v>45877</v>
      </c>
      <c r="C243" s="182">
        <v>3607.6</v>
      </c>
      <c r="D243" s="182">
        <f t="shared" si="9"/>
        <v>-9.3365553602811954E-3</v>
      </c>
      <c r="E243" s="182">
        <v>1.9079202377363248E-2</v>
      </c>
      <c r="F243" s="168"/>
      <c r="G243" s="168">
        <v>240</v>
      </c>
      <c r="H243" s="183">
        <f t="shared" ca="1" si="10"/>
        <v>-1.4968070811736529E-2</v>
      </c>
      <c r="K243" s="36"/>
    </row>
    <row r="244" spans="2:11">
      <c r="B244" s="36">
        <v>45846</v>
      </c>
      <c r="C244" s="182">
        <v>3641.6</v>
      </c>
      <c r="D244" s="182">
        <f t="shared" si="9"/>
        <v>3.6379671480541885E-3</v>
      </c>
      <c r="E244" s="182">
        <v>1.9066174935634329E-2</v>
      </c>
      <c r="F244" s="168"/>
      <c r="G244" s="168">
        <v>241</v>
      </c>
      <c r="H244" s="183">
        <f t="shared" ca="1" si="10"/>
        <v>-1.4092745127235011E-2</v>
      </c>
      <c r="K244" s="36"/>
    </row>
    <row r="245" spans="2:11">
      <c r="B245" s="36">
        <v>45816</v>
      </c>
      <c r="C245" s="182">
        <v>3628.4</v>
      </c>
      <c r="D245" s="182">
        <f t="shared" si="9"/>
        <v>-6.625417510814165E-3</v>
      </c>
      <c r="E245" s="182">
        <v>1.9049458363326721E-2</v>
      </c>
      <c r="F245" s="168"/>
      <c r="G245" s="168">
        <v>242</v>
      </c>
      <c r="H245" s="183">
        <f t="shared" ca="1" si="10"/>
        <v>1.424014660310456E-3</v>
      </c>
      <c r="K245" s="36"/>
    </row>
    <row r="246" spans="2:11">
      <c r="B246" s="36">
        <v>45785</v>
      </c>
      <c r="C246" s="182">
        <v>3652.6</v>
      </c>
      <c r="D246" s="182">
        <f t="shared" si="9"/>
        <v>5.9210707499104953E-3</v>
      </c>
      <c r="E246" s="182">
        <v>1.9024156572914497E-2</v>
      </c>
      <c r="F246" s="168"/>
      <c r="G246" s="168">
        <v>243</v>
      </c>
      <c r="H246" s="183">
        <f t="shared" ca="1" si="10"/>
        <v>2.7479633427634598E-2</v>
      </c>
      <c r="K246" s="36"/>
    </row>
    <row r="247" spans="2:11">
      <c r="B247" s="36">
        <v>45755</v>
      </c>
      <c r="C247" s="182">
        <v>3631.1</v>
      </c>
      <c r="D247" s="182">
        <f t="shared" si="9"/>
        <v>1.2209739915814045E-2</v>
      </c>
      <c r="E247" s="182">
        <v>1.8995607265819781E-2</v>
      </c>
      <c r="F247" s="168"/>
      <c r="G247" s="168">
        <v>244</v>
      </c>
      <c r="H247" s="183">
        <f t="shared" ca="1" si="10"/>
        <v>7.1296069388170702E-3</v>
      </c>
      <c r="K247" s="36"/>
    </row>
    <row r="248" spans="2:11">
      <c r="B248" s="36">
        <v>45665</v>
      </c>
      <c r="C248" s="182">
        <v>3587.3</v>
      </c>
      <c r="D248" s="182">
        <f t="shared" si="9"/>
        <v>-1.3529492644025799E-2</v>
      </c>
      <c r="E248" s="182">
        <v>1.8990423632527075E-2</v>
      </c>
      <c r="F248" s="168"/>
      <c r="G248" s="168">
        <v>245</v>
      </c>
      <c r="H248" s="183">
        <f t="shared" ca="1" si="10"/>
        <v>5.4903748882661309E-3</v>
      </c>
      <c r="K248" s="36"/>
    </row>
    <row r="249" spans="2:11">
      <c r="B249" s="36" t="s">
        <v>8741</v>
      </c>
      <c r="C249" s="182">
        <v>3636.5</v>
      </c>
      <c r="D249" s="182">
        <f t="shared" si="9"/>
        <v>-7.803334151864863E-3</v>
      </c>
      <c r="E249" s="182">
        <v>1.8971016502565548E-2</v>
      </c>
      <c r="F249" s="168"/>
      <c r="G249" s="168">
        <v>246</v>
      </c>
      <c r="H249" s="183">
        <f t="shared" ca="1" si="10"/>
        <v>-1.2278399461976078E-2</v>
      </c>
      <c r="K249" s="36"/>
    </row>
    <row r="250" spans="2:11">
      <c r="B250" s="36" t="s">
        <v>8742</v>
      </c>
      <c r="C250" s="182">
        <v>3665.1</v>
      </c>
      <c r="D250" s="182">
        <f t="shared" si="9"/>
        <v>4.8489529694473052E-2</v>
      </c>
      <c r="E250" s="182">
        <v>1.8824349644864621E-2</v>
      </c>
      <c r="F250" s="168"/>
      <c r="G250" s="168">
        <v>247</v>
      </c>
      <c r="H250" s="183">
        <f t="shared" ca="1" si="10"/>
        <v>-2.0174164197330875E-2</v>
      </c>
      <c r="K250" s="36"/>
    </row>
    <row r="251" spans="2:11">
      <c r="B251" s="36" t="s">
        <v>8743</v>
      </c>
      <c r="C251" s="182">
        <v>3495.6</v>
      </c>
      <c r="D251" s="182">
        <f t="shared" si="9"/>
        <v>2.1448191222020949E-2</v>
      </c>
      <c r="E251" s="182">
        <v>1.8784754131555496E-2</v>
      </c>
      <c r="F251" s="168"/>
      <c r="G251" s="168">
        <v>248</v>
      </c>
      <c r="H251" s="183">
        <f t="shared" ca="1" si="10"/>
        <v>1.4031404919168506E-2</v>
      </c>
      <c r="K251" s="36"/>
    </row>
    <row r="252" spans="2:11">
      <c r="B252" s="36" t="s">
        <v>8744</v>
      </c>
      <c r="C252" s="182">
        <v>3422.2</v>
      </c>
      <c r="D252" s="182">
        <f t="shared" si="9"/>
        <v>-6.012373289959125E-3</v>
      </c>
      <c r="E252" s="182">
        <v>1.8682248020296728E-2</v>
      </c>
      <c r="F252" s="168"/>
      <c r="G252" s="168">
        <v>249</v>
      </c>
      <c r="H252" s="183">
        <f t="shared" ca="1" si="10"/>
        <v>1.25620271079823E-2</v>
      </c>
      <c r="K252" s="36"/>
    </row>
    <row r="253" spans="2:11">
      <c r="B253" s="36" t="s">
        <v>8745</v>
      </c>
      <c r="C253" s="182">
        <v>3442.9</v>
      </c>
      <c r="D253" s="182">
        <f t="shared" si="9"/>
        <v>-9.9496764917325412E-3</v>
      </c>
      <c r="E253" s="182">
        <v>1.8670160497870989E-2</v>
      </c>
      <c r="F253" s="168"/>
      <c r="G253" s="168">
        <v>250</v>
      </c>
      <c r="H253" s="183">
        <f t="shared" ca="1" si="10"/>
        <v>7.6736630853063634E-3</v>
      </c>
      <c r="K253" s="36"/>
    </row>
    <row r="254" spans="2:11">
      <c r="B254" s="36" t="s">
        <v>8746</v>
      </c>
      <c r="C254" s="182">
        <v>3477.5</v>
      </c>
      <c r="D254" s="182">
        <f t="shared" si="9"/>
        <v>-2.1234468707854144E-3</v>
      </c>
      <c r="E254" s="182">
        <v>1.858941983414529E-2</v>
      </c>
      <c r="F254" s="168"/>
      <c r="G254" s="168">
        <v>251</v>
      </c>
      <c r="H254" s="183">
        <f t="shared" ca="1" si="10"/>
        <v>-4.4539163441524613E-3</v>
      </c>
      <c r="K254" s="36"/>
    </row>
    <row r="255" spans="2:11">
      <c r="B255" s="36" t="s">
        <v>8747</v>
      </c>
      <c r="C255" s="182">
        <v>3484.9</v>
      </c>
      <c r="D255" s="182">
        <f t="shared" si="9"/>
        <v>5.8592622524967332E-3</v>
      </c>
      <c r="E255" s="182">
        <v>1.85489477343109E-2</v>
      </c>
      <c r="F255" s="168"/>
      <c r="G255" s="168">
        <v>252</v>
      </c>
      <c r="H255" s="183">
        <f t="shared" ca="1" si="10"/>
        <v>1.3810962899913907E-2</v>
      </c>
      <c r="K255" s="36"/>
    </row>
    <row r="256" spans="2:11">
      <c r="B256" s="36" t="s">
        <v>8748</v>
      </c>
      <c r="C256" s="182">
        <v>3464.6</v>
      </c>
      <c r="D256" s="182">
        <f t="shared" si="9"/>
        <v>-1.0905561265273573E-2</v>
      </c>
      <c r="E256" s="182">
        <v>1.8541102544492597E-2</v>
      </c>
      <c r="F256" s="168"/>
      <c r="G256" s="168">
        <v>253</v>
      </c>
      <c r="H256" s="183">
        <f t="shared" ca="1" si="10"/>
        <v>-6.6642193251318467E-3</v>
      </c>
      <c r="K256" s="36"/>
    </row>
    <row r="257" spans="2:11">
      <c r="B257" s="36" t="s">
        <v>8749</v>
      </c>
      <c r="C257" s="182">
        <v>3502.8</v>
      </c>
      <c r="D257" s="182">
        <f t="shared" si="9"/>
        <v>1.0967444008312167E-2</v>
      </c>
      <c r="E257" s="182">
        <v>1.8464954568031166E-2</v>
      </c>
      <c r="F257" s="168"/>
      <c r="G257" s="168">
        <v>254</v>
      </c>
      <c r="H257" s="183">
        <f t="shared" ca="1" si="10"/>
        <v>-2.8455890513509998E-3</v>
      </c>
      <c r="K257" s="36"/>
    </row>
    <row r="258" spans="2:11">
      <c r="B258" s="36" t="s">
        <v>8750</v>
      </c>
      <c r="C258" s="182">
        <v>3464.8</v>
      </c>
      <c r="D258" s="182">
        <f t="shared" si="9"/>
        <v>-2.6482440990212488E-3</v>
      </c>
      <c r="E258" s="182">
        <v>1.8432819791849655E-2</v>
      </c>
      <c r="F258" s="168"/>
      <c r="G258" s="168">
        <v>255</v>
      </c>
      <c r="H258" s="183">
        <f t="shared" ca="1" si="10"/>
        <v>2.1662271489250743E-3</v>
      </c>
      <c r="K258" s="36"/>
    </row>
    <row r="259" spans="2:11">
      <c r="B259" s="36" t="s">
        <v>8751</v>
      </c>
      <c r="C259" s="182">
        <v>3474</v>
      </c>
      <c r="D259" s="182">
        <f t="shared" si="9"/>
        <v>-8.50505165819972E-3</v>
      </c>
      <c r="E259" s="182">
        <v>1.8404703052976118E-2</v>
      </c>
      <c r="F259" s="168"/>
      <c r="G259" s="168">
        <v>256</v>
      </c>
      <c r="H259" s="183">
        <f t="shared" ca="1" si="10"/>
        <v>7.5925734515094826E-3</v>
      </c>
      <c r="K259" s="36"/>
    </row>
    <row r="260" spans="2:11">
      <c r="B260" s="36" t="s">
        <v>8752</v>
      </c>
      <c r="C260" s="182">
        <v>3503.8</v>
      </c>
      <c r="D260" s="182">
        <f t="shared" ref="D260:D323" si="11">(C260-C261)/C261</f>
        <v>2.8048082427018267E-3</v>
      </c>
      <c r="E260" s="182">
        <v>1.8395442677427012E-2</v>
      </c>
      <c r="F260" s="168"/>
      <c r="G260" s="168">
        <v>257</v>
      </c>
      <c r="H260" s="183">
        <f t="shared" ca="1" si="10"/>
        <v>7.2053887055059159E-3</v>
      </c>
      <c r="K260" s="36"/>
    </row>
    <row r="261" spans="2:11">
      <c r="B261" s="36" t="s">
        <v>8753</v>
      </c>
      <c r="C261" s="182">
        <v>3494</v>
      </c>
      <c r="D261" s="182">
        <f t="shared" si="11"/>
        <v>-5.4349380703111959E-4</v>
      </c>
      <c r="E261" s="182">
        <v>1.8334431050591973E-2</v>
      </c>
      <c r="F261" s="168"/>
      <c r="G261" s="168">
        <v>258</v>
      </c>
      <c r="H261" s="183">
        <f t="shared" ref="H261:H324" ca="1" si="12">_xlfn.NORM.INV(RAND(),N$6,N$7)</f>
        <v>5.0906349631941114E-3</v>
      </c>
      <c r="K261" s="36"/>
    </row>
    <row r="262" spans="2:11">
      <c r="B262" s="36" t="s">
        <v>8754</v>
      </c>
      <c r="C262" s="182">
        <v>3495.9</v>
      </c>
      <c r="D262" s="182">
        <f t="shared" si="11"/>
        <v>-1.2624978817149584E-2</v>
      </c>
      <c r="E262" s="182">
        <v>1.8319874653489176E-2</v>
      </c>
      <c r="F262" s="168"/>
      <c r="G262" s="168">
        <v>259</v>
      </c>
      <c r="H262" s="183">
        <f t="shared" ca="1" si="12"/>
        <v>8.3651611763126896E-3</v>
      </c>
      <c r="K262" s="36"/>
    </row>
    <row r="263" spans="2:11">
      <c r="B263" s="36">
        <v>45968</v>
      </c>
      <c r="C263" s="182">
        <v>3540.6</v>
      </c>
      <c r="D263" s="182">
        <f t="shared" si="11"/>
        <v>-9.5392620359750213E-3</v>
      </c>
      <c r="E263" s="182">
        <v>1.815398853806998E-2</v>
      </c>
      <c r="F263" s="168"/>
      <c r="G263" s="168">
        <v>260</v>
      </c>
      <c r="H263" s="183">
        <f t="shared" ca="1" si="12"/>
        <v>8.8744267257665124E-3</v>
      </c>
      <c r="K263" s="36"/>
    </row>
    <row r="264" spans="2:11">
      <c r="B264" s="36">
        <v>45937</v>
      </c>
      <c r="C264" s="182">
        <v>3574.7</v>
      </c>
      <c r="D264" s="182">
        <f t="shared" si="11"/>
        <v>-1.3967650920468197E-3</v>
      </c>
      <c r="E264" s="182">
        <v>1.8138944313440958E-2</v>
      </c>
      <c r="F264" s="168"/>
      <c r="G264" s="168">
        <v>261</v>
      </c>
      <c r="H264" s="183">
        <f t="shared" ca="1" si="12"/>
        <v>-6.0088886036800499E-3</v>
      </c>
      <c r="K264" s="36"/>
    </row>
    <row r="265" spans="2:11">
      <c r="B265" s="36">
        <v>45907</v>
      </c>
      <c r="C265" s="182">
        <v>3579.7</v>
      </c>
      <c r="D265" s="182">
        <f t="shared" si="11"/>
        <v>-7.4035048802130301E-3</v>
      </c>
      <c r="E265" s="182">
        <v>1.7969610218013733E-2</v>
      </c>
      <c r="F265" s="168"/>
      <c r="G265" s="168">
        <v>262</v>
      </c>
      <c r="H265" s="183">
        <f t="shared" ca="1" si="12"/>
        <v>4.9018583312465105E-3</v>
      </c>
      <c r="K265" s="36"/>
    </row>
    <row r="266" spans="2:11">
      <c r="B266" s="36">
        <v>45876</v>
      </c>
      <c r="C266" s="182">
        <v>3606.4</v>
      </c>
      <c r="D266" s="182">
        <f t="shared" si="11"/>
        <v>6.9805104149215386E-3</v>
      </c>
      <c r="E266" s="182">
        <v>1.7926795634529768E-2</v>
      </c>
      <c r="F266" s="168"/>
      <c r="G266" s="168">
        <v>263</v>
      </c>
      <c r="H266" s="183">
        <f t="shared" ca="1" si="12"/>
        <v>2.0132506607955347E-2</v>
      </c>
      <c r="K266" s="36"/>
    </row>
    <row r="267" spans="2:11">
      <c r="B267" s="36">
        <v>45845</v>
      </c>
      <c r="C267" s="182">
        <v>3581.4</v>
      </c>
      <c r="D267" s="182">
        <f t="shared" si="11"/>
        <v>-3.6721749290602066E-3</v>
      </c>
      <c r="E267" s="182">
        <v>1.7921146953405017E-2</v>
      </c>
      <c r="F267" s="168"/>
      <c r="G267" s="168">
        <v>264</v>
      </c>
      <c r="H267" s="183">
        <f t="shared" ca="1" si="12"/>
        <v>-2.6201479991697398E-2</v>
      </c>
      <c r="K267" s="36"/>
    </row>
    <row r="268" spans="2:11">
      <c r="B268" s="36">
        <v>45754</v>
      </c>
      <c r="C268" s="182">
        <v>3594.6</v>
      </c>
      <c r="D268" s="182">
        <f t="shared" si="11"/>
        <v>3.2655111780959048E-3</v>
      </c>
      <c r="E268" s="182">
        <v>1.7908510868389786E-2</v>
      </c>
      <c r="F268" s="168"/>
      <c r="G268" s="168">
        <v>265</v>
      </c>
      <c r="H268" s="183">
        <f t="shared" ca="1" si="12"/>
        <v>-5.0102976919321118E-3</v>
      </c>
      <c r="K268" s="36"/>
    </row>
    <row r="269" spans="2:11">
      <c r="B269" s="36">
        <v>45723</v>
      </c>
      <c r="C269" s="182">
        <v>3582.9</v>
      </c>
      <c r="D269" s="182">
        <f t="shared" si="11"/>
        <v>-3.864546263345221E-3</v>
      </c>
      <c r="E269" s="182">
        <v>1.7892310915566652E-2</v>
      </c>
      <c r="F269" s="168"/>
      <c r="G269" s="168">
        <v>266</v>
      </c>
      <c r="H269" s="183">
        <f t="shared" ca="1" si="12"/>
        <v>-7.0663370225020694E-3</v>
      </c>
      <c r="K269" s="36"/>
    </row>
    <row r="270" spans="2:11">
      <c r="B270" s="36">
        <v>45695</v>
      </c>
      <c r="C270" s="182">
        <v>3596.8</v>
      </c>
      <c r="D270" s="182">
        <f t="shared" si="11"/>
        <v>-1.9063463059426633E-2</v>
      </c>
      <c r="E270" s="182">
        <v>1.7653072122793337E-2</v>
      </c>
      <c r="F270" s="168"/>
      <c r="G270" s="168">
        <v>267</v>
      </c>
      <c r="H270" s="183">
        <f t="shared" ca="1" si="12"/>
        <v>1.0370934080481765E-2</v>
      </c>
      <c r="K270" s="36"/>
    </row>
    <row r="271" spans="2:11">
      <c r="B271" s="36">
        <v>45664</v>
      </c>
      <c r="C271" s="182">
        <v>3666.7</v>
      </c>
      <c r="D271" s="182">
        <f t="shared" si="11"/>
        <v>-8.4473268298009799E-4</v>
      </c>
      <c r="E271" s="182">
        <v>1.7649645122793833E-2</v>
      </c>
      <c r="F271" s="168"/>
      <c r="G271" s="168">
        <v>268</v>
      </c>
      <c r="H271" s="183">
        <f t="shared" ca="1" si="12"/>
        <v>-1.8141010630739838E-2</v>
      </c>
      <c r="K271" s="36"/>
    </row>
    <row r="272" spans="2:11">
      <c r="B272" s="36" t="s">
        <v>8755</v>
      </c>
      <c r="C272" s="182">
        <v>3669.8</v>
      </c>
      <c r="D272" s="182">
        <f t="shared" si="11"/>
        <v>-2.5549032398346481E-3</v>
      </c>
      <c r="E272" s="182">
        <v>1.7566897195716191E-2</v>
      </c>
      <c r="F272" s="168"/>
      <c r="G272" s="168">
        <v>269</v>
      </c>
      <c r="H272" s="183">
        <f t="shared" ca="1" si="12"/>
        <v>6.2690800455662034E-3</v>
      </c>
      <c r="K272" s="36"/>
    </row>
    <row r="273" spans="2:11">
      <c r="B273" s="36" t="s">
        <v>8756</v>
      </c>
      <c r="C273" s="182">
        <v>3679.2</v>
      </c>
      <c r="D273" s="182">
        <f t="shared" si="11"/>
        <v>5.3557765876051776E-3</v>
      </c>
      <c r="E273" s="182">
        <v>1.7558150058828728E-2</v>
      </c>
      <c r="F273" s="168"/>
      <c r="G273" s="168">
        <v>270</v>
      </c>
      <c r="H273" s="183">
        <f t="shared" ca="1" si="12"/>
        <v>-2.4747186993061355E-3</v>
      </c>
      <c r="K273" s="36"/>
    </row>
    <row r="274" spans="2:11">
      <c r="B274" s="36" t="s">
        <v>8757</v>
      </c>
      <c r="C274" s="182">
        <v>3659.6</v>
      </c>
      <c r="D274" s="182">
        <f t="shared" si="11"/>
        <v>1.0995082601248611E-2</v>
      </c>
      <c r="E274" s="182">
        <v>1.7457208549774336E-2</v>
      </c>
      <c r="F274" s="168"/>
      <c r="G274" s="168">
        <v>271</v>
      </c>
      <c r="H274" s="183">
        <f t="shared" ca="1" si="12"/>
        <v>-1.4779076311938307E-2</v>
      </c>
      <c r="K274" s="36"/>
    </row>
    <row r="275" spans="2:11">
      <c r="B275" s="36" t="s">
        <v>8758</v>
      </c>
      <c r="C275" s="182">
        <v>3619.8</v>
      </c>
      <c r="D275" s="182">
        <f t="shared" si="11"/>
        <v>4.1611185086551259E-3</v>
      </c>
      <c r="E275" s="182">
        <v>1.7436718893394067E-2</v>
      </c>
      <c r="F275" s="168"/>
      <c r="G275" s="168">
        <v>272</v>
      </c>
      <c r="H275" s="183">
        <f t="shared" ca="1" si="12"/>
        <v>-1.9238223293400546E-2</v>
      </c>
      <c r="K275" s="36"/>
    </row>
    <row r="276" spans="2:11">
      <c r="B276" s="36" t="s">
        <v>8759</v>
      </c>
      <c r="C276" s="182">
        <v>3604.8</v>
      </c>
      <c r="D276" s="182">
        <f t="shared" si="11"/>
        <v>5.8877696235735038E-3</v>
      </c>
      <c r="E276" s="182">
        <v>1.7422606191504712E-2</v>
      </c>
      <c r="F276" s="168"/>
      <c r="G276" s="168">
        <v>273</v>
      </c>
      <c r="H276" s="183">
        <f t="shared" ca="1" si="12"/>
        <v>-8.7040362514539948E-4</v>
      </c>
      <c r="K276" s="36"/>
    </row>
    <row r="277" spans="2:11">
      <c r="B277" s="36" t="s">
        <v>8760</v>
      </c>
      <c r="C277" s="182">
        <v>3583.7</v>
      </c>
      <c r="D277" s="182">
        <f t="shared" si="11"/>
        <v>-2.1381758601856957E-2</v>
      </c>
      <c r="E277" s="182">
        <v>1.7402508440298111E-2</v>
      </c>
      <c r="F277" s="168"/>
      <c r="G277" s="168">
        <v>274</v>
      </c>
      <c r="H277" s="183">
        <f t="shared" ca="1" si="12"/>
        <v>6.6468893085223479E-5</v>
      </c>
      <c r="K277" s="36"/>
    </row>
    <row r="278" spans="2:11">
      <c r="B278" s="36" t="s">
        <v>8761</v>
      </c>
      <c r="C278" s="182">
        <v>3662</v>
      </c>
      <c r="D278" s="182">
        <f t="shared" si="11"/>
        <v>1.1294910386346715E-2</v>
      </c>
      <c r="E278" s="182">
        <v>1.738902481649781E-2</v>
      </c>
      <c r="F278" s="168"/>
      <c r="G278" s="168">
        <v>275</v>
      </c>
      <c r="H278" s="183">
        <f t="shared" ca="1" si="12"/>
        <v>3.0851657440082499E-2</v>
      </c>
      <c r="K278" s="36"/>
    </row>
    <row r="279" spans="2:11">
      <c r="B279" s="36" t="s">
        <v>8762</v>
      </c>
      <c r="C279" s="182">
        <v>3621.1</v>
      </c>
      <c r="D279" s="182">
        <f t="shared" si="11"/>
        <v>5.4421768707482738E-3</v>
      </c>
      <c r="E279" s="182">
        <v>1.7366320018307031E-2</v>
      </c>
      <c r="F279" s="168"/>
      <c r="G279" s="168">
        <v>276</v>
      </c>
      <c r="H279" s="183">
        <f t="shared" ca="1" si="12"/>
        <v>-3.7701432457184951E-3</v>
      </c>
      <c r="K279" s="36"/>
    </row>
    <row r="280" spans="2:11">
      <c r="B280" s="36" t="s">
        <v>8763</v>
      </c>
      <c r="C280" s="182">
        <v>3601.5</v>
      </c>
      <c r="D280" s="182">
        <f t="shared" si="11"/>
        <v>-5.7422079893990506E-3</v>
      </c>
      <c r="E280" s="182">
        <v>1.7355632691700852E-2</v>
      </c>
      <c r="F280" s="168"/>
      <c r="G280" s="168">
        <v>277</v>
      </c>
      <c r="H280" s="183">
        <f t="shared" ca="1" si="12"/>
        <v>3.1696961591842722E-4</v>
      </c>
      <c r="K280" s="36"/>
    </row>
    <row r="281" spans="2:11">
      <c r="B281" s="36" t="s">
        <v>8764</v>
      </c>
      <c r="C281" s="182">
        <v>3622.3</v>
      </c>
      <c r="D281" s="182">
        <f t="shared" si="11"/>
        <v>-1.7637170336483139E-3</v>
      </c>
      <c r="E281" s="182">
        <v>1.7346004121822738E-2</v>
      </c>
      <c r="F281" s="168"/>
      <c r="G281" s="168">
        <v>278</v>
      </c>
      <c r="H281" s="183">
        <f t="shared" ca="1" si="12"/>
        <v>-3.4244838932930314E-3</v>
      </c>
      <c r="K281" s="36"/>
    </row>
    <row r="282" spans="2:11">
      <c r="B282" s="36" t="s">
        <v>8765</v>
      </c>
      <c r="C282" s="182">
        <v>3628.7</v>
      </c>
      <c r="D282" s="182">
        <f t="shared" si="11"/>
        <v>1.1512516028321271E-2</v>
      </c>
      <c r="E282" s="182">
        <v>1.7335607616528071E-2</v>
      </c>
      <c r="F282" s="168"/>
      <c r="G282" s="168">
        <v>279</v>
      </c>
      <c r="H282" s="183">
        <f t="shared" ca="1" si="12"/>
        <v>-1.1141557743293593E-2</v>
      </c>
      <c r="K282" s="36"/>
    </row>
    <row r="283" spans="2:11">
      <c r="B283" s="36" t="s">
        <v>8766</v>
      </c>
      <c r="C283" s="182">
        <v>3587.4</v>
      </c>
      <c r="D283" s="182">
        <f t="shared" si="11"/>
        <v>-4.5783734287854821E-3</v>
      </c>
      <c r="E283" s="182">
        <v>1.7328977100994625E-2</v>
      </c>
      <c r="F283" s="168"/>
      <c r="G283" s="168">
        <v>280</v>
      </c>
      <c r="H283" s="183">
        <f t="shared" ca="1" si="12"/>
        <v>1.7525716643777459E-2</v>
      </c>
      <c r="K283" s="36"/>
    </row>
    <row r="284" spans="2:11">
      <c r="B284" s="36">
        <v>45997</v>
      </c>
      <c r="C284" s="182">
        <v>3603.9</v>
      </c>
      <c r="D284" s="182">
        <f t="shared" si="11"/>
        <v>-2.1955058619192381E-2</v>
      </c>
      <c r="E284" s="182">
        <v>1.7319811360126874E-2</v>
      </c>
      <c r="F284" s="168"/>
      <c r="G284" s="168">
        <v>281</v>
      </c>
      <c r="H284" s="183">
        <f t="shared" ca="1" si="12"/>
        <v>-1.3008957105016216E-2</v>
      </c>
      <c r="K284" s="36"/>
    </row>
    <row r="285" spans="2:11">
      <c r="B285" s="36">
        <v>45967</v>
      </c>
      <c r="C285" s="182">
        <v>3684.8</v>
      </c>
      <c r="D285" s="182">
        <f t="shared" si="11"/>
        <v>1.3587694983423011E-3</v>
      </c>
      <c r="E285" s="182">
        <v>1.7300425129900911E-2</v>
      </c>
      <c r="F285" s="168"/>
      <c r="G285" s="168">
        <v>282</v>
      </c>
      <c r="H285" s="183">
        <f t="shared" ca="1" si="12"/>
        <v>7.6386293000432585E-3</v>
      </c>
      <c r="K285" s="36"/>
    </row>
    <row r="286" spans="2:11">
      <c r="B286" s="36">
        <v>45936</v>
      </c>
      <c r="C286" s="182">
        <v>3679.8</v>
      </c>
      <c r="D286" s="182">
        <f t="shared" si="11"/>
        <v>2.4463834298298157E-4</v>
      </c>
      <c r="E286" s="182">
        <v>1.7278419419400937E-2</v>
      </c>
      <c r="F286" s="168"/>
      <c r="G286" s="168">
        <v>283</v>
      </c>
      <c r="H286" s="183">
        <f t="shared" ca="1" si="12"/>
        <v>1.6584840043194396E-2</v>
      </c>
      <c r="K286" s="36"/>
    </row>
    <row r="287" spans="2:11">
      <c r="B287" s="36">
        <v>45906</v>
      </c>
      <c r="C287" s="182">
        <v>3678.9</v>
      </c>
      <c r="D287" s="182">
        <f t="shared" si="11"/>
        <v>6.1811120531684782E-3</v>
      </c>
      <c r="E287" s="182">
        <v>1.7190298445006077E-2</v>
      </c>
      <c r="F287" s="168"/>
      <c r="G287" s="168">
        <v>284</v>
      </c>
      <c r="H287" s="183">
        <f t="shared" ca="1" si="12"/>
        <v>-5.209635396991953E-3</v>
      </c>
      <c r="K287" s="36"/>
    </row>
    <row r="288" spans="2:11">
      <c r="B288" s="36">
        <v>45814</v>
      </c>
      <c r="C288" s="182">
        <v>3656.3</v>
      </c>
      <c r="D288" s="182">
        <f t="shared" si="11"/>
        <v>3.7610497995937717E-3</v>
      </c>
      <c r="E288" s="182">
        <v>1.7162276975361126E-2</v>
      </c>
      <c r="F288" s="168"/>
      <c r="G288" s="168">
        <v>285</v>
      </c>
      <c r="H288" s="183">
        <f t="shared" ca="1" si="12"/>
        <v>2.6369540496130103E-5</v>
      </c>
      <c r="K288" s="36"/>
    </row>
    <row r="289" spans="2:11">
      <c r="B289" s="36">
        <v>45783</v>
      </c>
      <c r="C289" s="182">
        <v>3642.6</v>
      </c>
      <c r="D289" s="182">
        <f t="shared" si="11"/>
        <v>4.4395422583758193E-3</v>
      </c>
      <c r="E289" s="182">
        <v>1.7138828920121644E-2</v>
      </c>
      <c r="F289" s="168"/>
      <c r="G289" s="168">
        <v>286</v>
      </c>
      <c r="H289" s="183">
        <f t="shared" ca="1" si="12"/>
        <v>1.5198503491598386E-2</v>
      </c>
      <c r="K289" s="36"/>
    </row>
    <row r="290" spans="2:11">
      <c r="B290" s="36">
        <v>45753</v>
      </c>
      <c r="C290" s="182">
        <v>3626.5</v>
      </c>
      <c r="D290" s="182">
        <f t="shared" si="11"/>
        <v>-5.0208516242318318E-3</v>
      </c>
      <c r="E290" s="182">
        <v>1.7136622712138495E-2</v>
      </c>
      <c r="F290" s="168"/>
      <c r="G290" s="168">
        <v>287</v>
      </c>
      <c r="H290" s="183">
        <f t="shared" ca="1" si="12"/>
        <v>1.1676726728434759E-2</v>
      </c>
      <c r="K290" s="36"/>
    </row>
    <row r="291" spans="2:11">
      <c r="B291" s="36">
        <v>45722</v>
      </c>
      <c r="C291" s="182">
        <v>3644.8</v>
      </c>
      <c r="D291" s="182">
        <f t="shared" si="11"/>
        <v>-9.4575497336666283E-3</v>
      </c>
      <c r="E291" s="182">
        <v>1.7117626132630251E-2</v>
      </c>
      <c r="F291" s="168"/>
      <c r="G291" s="168">
        <v>288</v>
      </c>
      <c r="H291" s="183">
        <f t="shared" ca="1" si="12"/>
        <v>-5.029295535979742E-3</v>
      </c>
      <c r="K291" s="36"/>
    </row>
    <row r="292" spans="2:11">
      <c r="B292" s="36">
        <v>45694</v>
      </c>
      <c r="C292" s="182">
        <v>3679.6</v>
      </c>
      <c r="D292" s="182">
        <f t="shared" si="11"/>
        <v>1.2244564773747654E-3</v>
      </c>
      <c r="E292" s="182">
        <v>1.7078020821148641E-2</v>
      </c>
      <c r="F292" s="168"/>
      <c r="G292" s="168">
        <v>289</v>
      </c>
      <c r="H292" s="183">
        <f t="shared" ca="1" si="12"/>
        <v>1.0984493796356756E-2</v>
      </c>
      <c r="K292" s="36"/>
    </row>
    <row r="293" spans="2:11">
      <c r="B293" s="36" t="s">
        <v>8767</v>
      </c>
      <c r="C293" s="182">
        <v>3675.1</v>
      </c>
      <c r="D293" s="182">
        <f t="shared" si="11"/>
        <v>5.4167920553715772E-3</v>
      </c>
      <c r="E293" s="182">
        <v>1.7056751690052885E-2</v>
      </c>
      <c r="F293" s="168"/>
      <c r="G293" s="168">
        <v>290</v>
      </c>
      <c r="H293" s="183">
        <f t="shared" ca="1" si="12"/>
        <v>-1.475508604523469E-3</v>
      </c>
      <c r="K293" s="36"/>
    </row>
    <row r="294" spans="2:11">
      <c r="B294" s="36" t="s">
        <v>8768</v>
      </c>
      <c r="C294" s="182">
        <v>3655.3</v>
      </c>
      <c r="D294" s="182">
        <f t="shared" si="11"/>
        <v>2.4682554918684695E-3</v>
      </c>
      <c r="E294" s="182">
        <v>1.7004048582996003E-2</v>
      </c>
      <c r="F294" s="168"/>
      <c r="G294" s="168">
        <v>291</v>
      </c>
      <c r="H294" s="183">
        <f t="shared" ca="1" si="12"/>
        <v>1.9500693491825875E-2</v>
      </c>
      <c r="K294" s="36"/>
    </row>
    <row r="295" spans="2:11">
      <c r="B295" s="36" t="s">
        <v>8769</v>
      </c>
      <c r="C295" s="182">
        <v>3646.3</v>
      </c>
      <c r="D295" s="182">
        <f t="shared" si="11"/>
        <v>1.7307692307692807E-3</v>
      </c>
      <c r="E295" s="182">
        <v>1.6952170661348305E-2</v>
      </c>
      <c r="F295" s="168"/>
      <c r="G295" s="168">
        <v>292</v>
      </c>
      <c r="H295" s="183">
        <f t="shared" ca="1" si="12"/>
        <v>-2.020903410061671E-2</v>
      </c>
      <c r="K295" s="36"/>
    </row>
    <row r="296" spans="2:11">
      <c r="B296" s="36" t="s">
        <v>8770</v>
      </c>
      <c r="C296" s="182">
        <v>3640</v>
      </c>
      <c r="D296" s="182">
        <f t="shared" si="11"/>
        <v>-2.3844108860689613E-3</v>
      </c>
      <c r="E296" s="182">
        <v>1.6934078053292508E-2</v>
      </c>
      <c r="F296" s="168"/>
      <c r="G296" s="168">
        <v>293</v>
      </c>
      <c r="H296" s="183">
        <f t="shared" ca="1" si="12"/>
        <v>-6.7436363939451455E-3</v>
      </c>
      <c r="K296" s="36"/>
    </row>
    <row r="297" spans="2:11">
      <c r="B297" s="36" t="s">
        <v>8771</v>
      </c>
      <c r="C297" s="182">
        <v>3648.7</v>
      </c>
      <c r="D297" s="182">
        <f t="shared" si="11"/>
        <v>1.3555932109225181E-2</v>
      </c>
      <c r="E297" s="182">
        <v>1.689425770308119E-2</v>
      </c>
      <c r="F297" s="168"/>
      <c r="G297" s="168">
        <v>294</v>
      </c>
      <c r="H297" s="183">
        <f t="shared" ca="1" si="12"/>
        <v>9.5464051649590681E-3</v>
      </c>
      <c r="K297" s="36"/>
    </row>
    <row r="298" spans="2:11">
      <c r="B298" s="36" t="s">
        <v>8772</v>
      </c>
      <c r="C298" s="182">
        <v>3599.9</v>
      </c>
      <c r="D298" s="182">
        <f t="shared" si="11"/>
        <v>1.3656586135045334E-2</v>
      </c>
      <c r="E298" s="182">
        <v>1.689078386356185E-2</v>
      </c>
      <c r="F298" s="168"/>
      <c r="G298" s="168">
        <v>295</v>
      </c>
      <c r="H298" s="183">
        <f t="shared" ca="1" si="12"/>
        <v>3.455274982068211E-3</v>
      </c>
      <c r="K298" s="36"/>
    </row>
    <row r="299" spans="2:11">
      <c r="B299" s="36" t="s">
        <v>8773</v>
      </c>
      <c r="C299" s="182">
        <v>3551.4</v>
      </c>
      <c r="D299" s="182">
        <f t="shared" si="11"/>
        <v>-1.0476455837280555E-2</v>
      </c>
      <c r="E299" s="182">
        <v>1.6878079463256132E-2</v>
      </c>
      <c r="F299" s="168"/>
      <c r="G299" s="168">
        <v>296</v>
      </c>
      <c r="H299" s="183">
        <f t="shared" ca="1" si="12"/>
        <v>4.1469923507521603E-3</v>
      </c>
      <c r="K299" s="36"/>
    </row>
    <row r="300" spans="2:11">
      <c r="B300" s="36" t="s">
        <v>8774</v>
      </c>
      <c r="C300" s="182">
        <v>3589</v>
      </c>
      <c r="D300" s="182">
        <f t="shared" si="11"/>
        <v>5.9420371097034077E-3</v>
      </c>
      <c r="E300" s="182">
        <v>1.6818120168181325E-2</v>
      </c>
      <c r="F300" s="168"/>
      <c r="G300" s="168">
        <v>297</v>
      </c>
      <c r="H300" s="183">
        <f t="shared" ca="1" si="12"/>
        <v>4.6591190911624879E-3</v>
      </c>
      <c r="K300" s="36"/>
    </row>
    <row r="301" spans="2:11">
      <c r="B301" s="36" t="s">
        <v>8775</v>
      </c>
      <c r="C301" s="182">
        <v>3567.8</v>
      </c>
      <c r="D301" s="182">
        <f t="shared" si="11"/>
        <v>-8.9995000277761344E-3</v>
      </c>
      <c r="E301" s="182">
        <v>1.6691344730111694E-2</v>
      </c>
      <c r="F301" s="168"/>
      <c r="G301" s="168">
        <v>298</v>
      </c>
      <c r="H301" s="183">
        <f t="shared" ca="1" si="12"/>
        <v>2.4634568639697093E-2</v>
      </c>
      <c r="K301" s="36"/>
    </row>
    <row r="302" spans="2:11">
      <c r="B302" s="36" t="s">
        <v>8776</v>
      </c>
      <c r="C302" s="182">
        <v>3600.2</v>
      </c>
      <c r="D302" s="182">
        <f t="shared" si="11"/>
        <v>-1.2483701833717093E-3</v>
      </c>
      <c r="E302" s="182">
        <v>1.6661737158631659E-2</v>
      </c>
      <c r="F302" s="168"/>
      <c r="G302" s="168">
        <v>299</v>
      </c>
      <c r="H302" s="183">
        <f t="shared" ca="1" si="12"/>
        <v>-8.8134062982181821E-3</v>
      </c>
      <c r="K302" s="36"/>
    </row>
    <row r="303" spans="2:11">
      <c r="B303" s="36" t="s">
        <v>8777</v>
      </c>
      <c r="C303" s="182">
        <v>3604.7</v>
      </c>
      <c r="D303" s="182">
        <f t="shared" si="11"/>
        <v>-3.7311370294621639E-3</v>
      </c>
      <c r="E303" s="182">
        <v>1.6559794806027602E-2</v>
      </c>
      <c r="F303" s="168"/>
      <c r="G303" s="168">
        <v>300</v>
      </c>
      <c r="H303" s="183">
        <f t="shared" ca="1" si="12"/>
        <v>4.2521343496952288E-4</v>
      </c>
      <c r="K303" s="36"/>
    </row>
    <row r="304" spans="2:11">
      <c r="B304" s="36" t="s">
        <v>8778</v>
      </c>
      <c r="C304" s="182">
        <v>3618.2</v>
      </c>
      <c r="D304" s="182">
        <f t="shared" si="11"/>
        <v>1.2622092860541242E-2</v>
      </c>
      <c r="E304" s="182">
        <v>1.65337482979965E-2</v>
      </c>
      <c r="F304" s="168"/>
      <c r="G304" s="168">
        <v>301</v>
      </c>
      <c r="H304" s="183">
        <f t="shared" ca="1" si="12"/>
        <v>-7.2098883449611831E-3</v>
      </c>
      <c r="K304" s="36"/>
    </row>
    <row r="305" spans="2:11">
      <c r="B305" s="36" t="s">
        <v>8779</v>
      </c>
      <c r="C305" s="182">
        <v>3573.1</v>
      </c>
      <c r="D305" s="182">
        <f t="shared" si="11"/>
        <v>1.7101205494813314E-3</v>
      </c>
      <c r="E305" s="182">
        <v>1.6531467456076275E-2</v>
      </c>
      <c r="F305" s="168"/>
      <c r="G305" s="168">
        <v>302</v>
      </c>
      <c r="H305" s="183">
        <f t="shared" ca="1" si="12"/>
        <v>-8.4077965032664688E-3</v>
      </c>
      <c r="K305" s="36"/>
    </row>
    <row r="306" spans="2:11">
      <c r="B306" s="36" t="s">
        <v>8780</v>
      </c>
      <c r="C306" s="182">
        <v>3567</v>
      </c>
      <c r="D306" s="182">
        <f t="shared" si="11"/>
        <v>-5.6311329170383078E-3</v>
      </c>
      <c r="E306" s="182">
        <v>1.6483835393812679E-2</v>
      </c>
      <c r="F306" s="168"/>
      <c r="G306" s="168">
        <v>303</v>
      </c>
      <c r="H306" s="183">
        <f t="shared" ca="1" si="12"/>
        <v>2.0341888546170292E-3</v>
      </c>
      <c r="K306" s="36"/>
    </row>
    <row r="307" spans="2:11">
      <c r="B307" s="36">
        <v>45996</v>
      </c>
      <c r="C307" s="182">
        <v>3587.2</v>
      </c>
      <c r="D307" s="182">
        <f t="shared" si="11"/>
        <v>4.1609802839803631E-2</v>
      </c>
      <c r="E307" s="182">
        <v>1.6482174833143418E-2</v>
      </c>
      <c r="F307" s="168"/>
      <c r="G307" s="168">
        <v>304</v>
      </c>
      <c r="H307" s="183">
        <f t="shared" ca="1" si="12"/>
        <v>-3.2384080504178486E-3</v>
      </c>
      <c r="K307" s="36"/>
    </row>
    <row r="308" spans="2:11">
      <c r="B308" s="36">
        <v>45905</v>
      </c>
      <c r="C308" s="182">
        <v>3443.9</v>
      </c>
      <c r="D308" s="182">
        <f t="shared" si="11"/>
        <v>3.6102169138662411E-2</v>
      </c>
      <c r="E308" s="182">
        <v>1.6445003594536264E-2</v>
      </c>
      <c r="F308" s="168"/>
      <c r="G308" s="168">
        <v>305</v>
      </c>
      <c r="H308" s="183">
        <f t="shared" ca="1" si="12"/>
        <v>1.1096526051491633E-2</v>
      </c>
      <c r="K308" s="36"/>
    </row>
    <row r="309" spans="2:11">
      <c r="B309" s="36">
        <v>45874</v>
      </c>
      <c r="C309" s="182">
        <v>3323.9</v>
      </c>
      <c r="D309" s="182">
        <f t="shared" si="11"/>
        <v>7.5269464683567165E-4</v>
      </c>
      <c r="E309" s="182">
        <v>1.6418155005734854E-2</v>
      </c>
      <c r="F309" s="168"/>
      <c r="G309" s="168">
        <v>306</v>
      </c>
      <c r="H309" s="183">
        <f t="shared" ca="1" si="12"/>
        <v>1.7131865823098232E-2</v>
      </c>
      <c r="K309" s="36"/>
    </row>
    <row r="310" spans="2:11">
      <c r="B310" s="36">
        <v>45843</v>
      </c>
      <c r="C310" s="182">
        <v>3321.4</v>
      </c>
      <c r="D310" s="182">
        <f t="shared" si="11"/>
        <v>-3.7792441511697388E-3</v>
      </c>
      <c r="E310" s="182">
        <v>1.6404170847694216E-2</v>
      </c>
      <c r="F310" s="168"/>
      <c r="G310" s="168">
        <v>307</v>
      </c>
      <c r="H310" s="183">
        <f t="shared" ca="1" si="12"/>
        <v>-1.731921719377532E-2</v>
      </c>
      <c r="K310" s="36"/>
    </row>
    <row r="311" spans="2:11">
      <c r="B311" s="36">
        <v>45813</v>
      </c>
      <c r="C311" s="182">
        <v>3334</v>
      </c>
      <c r="D311" s="182">
        <f t="shared" si="11"/>
        <v>1.1410726082518113E-3</v>
      </c>
      <c r="E311" s="182">
        <v>1.6381606392195786E-2</v>
      </c>
      <c r="F311" s="168"/>
      <c r="G311" s="168">
        <v>308</v>
      </c>
      <c r="H311" s="183">
        <f t="shared" ca="1" si="12"/>
        <v>-1.0048237636269917E-2</v>
      </c>
      <c r="K311" s="36"/>
    </row>
    <row r="312" spans="2:11">
      <c r="B312" s="36">
        <v>45782</v>
      </c>
      <c r="C312" s="182">
        <v>3330.2</v>
      </c>
      <c r="D312" s="182">
        <f t="shared" si="11"/>
        <v>1.2012733497496432E-4</v>
      </c>
      <c r="E312" s="182">
        <v>1.6369135875689542E-2</v>
      </c>
      <c r="F312" s="168"/>
      <c r="G312" s="168">
        <v>309</v>
      </c>
      <c r="H312" s="183">
        <f t="shared" ca="1" si="12"/>
        <v>1.2347987443172587E-2</v>
      </c>
      <c r="K312" s="36"/>
    </row>
    <row r="313" spans="2:11">
      <c r="B313" s="36">
        <v>45693</v>
      </c>
      <c r="C313" s="182">
        <v>3329.8</v>
      </c>
      <c r="D313" s="182">
        <f t="shared" si="11"/>
        <v>-3.3522897336126364E-3</v>
      </c>
      <c r="E313" s="182">
        <v>1.6309690728295499E-2</v>
      </c>
      <c r="F313" s="168"/>
      <c r="G313" s="168">
        <v>310</v>
      </c>
      <c r="H313" s="183">
        <f t="shared" ca="1" si="12"/>
        <v>2.977531568578138E-3</v>
      </c>
      <c r="K313" s="36"/>
    </row>
    <row r="314" spans="2:11">
      <c r="B314" s="36" t="s">
        <v>8781</v>
      </c>
      <c r="C314" s="182">
        <v>3341</v>
      </c>
      <c r="D314" s="182">
        <f t="shared" si="11"/>
        <v>5.6286307678415004E-3</v>
      </c>
      <c r="E314" s="182">
        <v>1.6209521728044293E-2</v>
      </c>
      <c r="F314" s="168"/>
      <c r="G314" s="168">
        <v>311</v>
      </c>
      <c r="H314" s="183">
        <f t="shared" ca="1" si="12"/>
        <v>3.717743172318288E-3</v>
      </c>
      <c r="K314" s="36"/>
    </row>
    <row r="315" spans="2:11">
      <c r="B315" s="36" t="s">
        <v>8782</v>
      </c>
      <c r="C315" s="182">
        <v>3322.3</v>
      </c>
      <c r="D315" s="182">
        <f t="shared" si="11"/>
        <v>-1.5027199230607398E-3</v>
      </c>
      <c r="E315" s="182">
        <v>1.6161377845936027E-2</v>
      </c>
      <c r="F315" s="168"/>
      <c r="G315" s="168">
        <v>312</v>
      </c>
      <c r="H315" s="183">
        <f t="shared" ca="1" si="12"/>
        <v>5.7922092251425517E-4</v>
      </c>
      <c r="K315" s="36"/>
    </row>
    <row r="316" spans="2:11">
      <c r="B316" s="36" t="s">
        <v>8783</v>
      </c>
      <c r="C316" s="182">
        <v>3327.3</v>
      </c>
      <c r="D316" s="182">
        <f t="shared" si="11"/>
        <v>1.6869900064179051E-2</v>
      </c>
      <c r="E316" s="182">
        <v>1.615042971679068E-2</v>
      </c>
      <c r="F316" s="168"/>
      <c r="G316" s="168">
        <v>313</v>
      </c>
      <c r="H316" s="183">
        <f t="shared" ca="1" si="12"/>
        <v>2.4100859471363759E-2</v>
      </c>
      <c r="K316" s="36"/>
    </row>
    <row r="317" spans="2:11">
      <c r="B317" s="36" t="s">
        <v>8784</v>
      </c>
      <c r="C317" s="182">
        <v>3272.1</v>
      </c>
      <c r="D317" s="182">
        <f t="shared" si="11"/>
        <v>-8.6347936738774764E-3</v>
      </c>
      <c r="E317" s="182">
        <v>1.6028694726223244E-2</v>
      </c>
      <c r="F317" s="168"/>
      <c r="G317" s="168">
        <v>314</v>
      </c>
      <c r="H317" s="183">
        <f t="shared" ca="1" si="12"/>
        <v>4.24960546787385E-3</v>
      </c>
      <c r="K317" s="36"/>
    </row>
    <row r="318" spans="2:11">
      <c r="B318" s="36" t="s">
        <v>8785</v>
      </c>
      <c r="C318" s="182">
        <v>3300.6</v>
      </c>
      <c r="D318" s="182">
        <f t="shared" si="11"/>
        <v>-1.2117540139354467E-4</v>
      </c>
      <c r="E318" s="182">
        <v>1.5997662442017505E-2</v>
      </c>
      <c r="F318" s="168"/>
      <c r="G318" s="168">
        <v>315</v>
      </c>
      <c r="H318" s="183">
        <f t="shared" ca="1" si="12"/>
        <v>2.2100796697039831E-2</v>
      </c>
      <c r="K318" s="36"/>
    </row>
    <row r="319" spans="2:11">
      <c r="B319" s="36" t="s">
        <v>8786</v>
      </c>
      <c r="C319" s="182">
        <v>3301</v>
      </c>
      <c r="D319" s="182">
        <f t="shared" si="11"/>
        <v>1.3260482534225494E-2</v>
      </c>
      <c r="E319" s="182">
        <v>1.5983730278523709E-2</v>
      </c>
      <c r="F319" s="168"/>
      <c r="G319" s="168">
        <v>316</v>
      </c>
      <c r="H319" s="183">
        <f t="shared" ca="1" si="12"/>
        <v>-7.1796860565359654E-3</v>
      </c>
      <c r="K319" s="36"/>
    </row>
    <row r="320" spans="2:11">
      <c r="B320" s="36" t="s">
        <v>8787</v>
      </c>
      <c r="C320" s="182">
        <v>3257.8</v>
      </c>
      <c r="D320" s="182">
        <f t="shared" si="11"/>
        <v>-6.91967687852456E-3</v>
      </c>
      <c r="E320" s="182">
        <v>1.5971353870637663E-2</v>
      </c>
      <c r="F320" s="168"/>
      <c r="G320" s="168">
        <v>317</v>
      </c>
      <c r="H320" s="183">
        <f t="shared" ca="1" si="12"/>
        <v>-2.8666987442200224E-3</v>
      </c>
      <c r="K320" s="36"/>
    </row>
    <row r="321" spans="2:11">
      <c r="B321" s="36" t="s">
        <v>8788</v>
      </c>
      <c r="C321" s="182">
        <v>3280.5</v>
      </c>
      <c r="D321" s="182">
        <f t="shared" si="11"/>
        <v>1.022387829889441E-2</v>
      </c>
      <c r="E321" s="182">
        <v>1.5958170544443869E-2</v>
      </c>
      <c r="F321" s="168"/>
      <c r="G321" s="168">
        <v>318</v>
      </c>
      <c r="H321" s="183">
        <f t="shared" ca="1" si="12"/>
        <v>1.8518407365520849E-3</v>
      </c>
      <c r="K321" s="36"/>
    </row>
    <row r="322" spans="2:11">
      <c r="B322" s="36" t="s">
        <v>8789</v>
      </c>
      <c r="C322" s="182">
        <v>3247.3</v>
      </c>
      <c r="D322" s="182">
        <f t="shared" si="11"/>
        <v>6.0724354803731338E-3</v>
      </c>
      <c r="E322" s="182">
        <v>1.5896103896103849E-2</v>
      </c>
      <c r="F322" s="168"/>
      <c r="G322" s="168">
        <v>319</v>
      </c>
      <c r="H322" s="183">
        <f t="shared" ca="1" si="12"/>
        <v>1.4705817638066103E-2</v>
      </c>
      <c r="K322" s="36"/>
    </row>
    <row r="323" spans="2:11">
      <c r="B323" s="36" t="s">
        <v>8790</v>
      </c>
      <c r="C323" s="182">
        <v>3227.7</v>
      </c>
      <c r="D323" s="182">
        <f t="shared" si="11"/>
        <v>-9.1785363457760599E-3</v>
      </c>
      <c r="E323" s="182">
        <v>1.5881639988297742E-2</v>
      </c>
      <c r="F323" s="168"/>
      <c r="G323" s="168">
        <v>320</v>
      </c>
      <c r="H323" s="183">
        <f t="shared" ca="1" si="12"/>
        <v>1.9075830297321888E-2</v>
      </c>
      <c r="K323" s="36"/>
    </row>
    <row r="324" spans="2:11">
      <c r="B324" s="36" t="s">
        <v>8791</v>
      </c>
      <c r="C324" s="182">
        <v>3257.6</v>
      </c>
      <c r="D324" s="182">
        <f t="shared" ref="D324:D387" si="13">(C324-C325)/C325</f>
        <v>4.5459651149729649E-2</v>
      </c>
      <c r="E324" s="182">
        <v>1.586644999261333E-2</v>
      </c>
      <c r="F324" s="168"/>
      <c r="G324" s="168">
        <v>321</v>
      </c>
      <c r="H324" s="183">
        <f t="shared" ca="1" si="12"/>
        <v>1.9517893217810825E-3</v>
      </c>
      <c r="K324" s="36"/>
    </row>
    <row r="325" spans="2:11">
      <c r="B325" s="36">
        <v>45965</v>
      </c>
      <c r="C325" s="182">
        <v>3115.95</v>
      </c>
      <c r="D325" s="182">
        <f t="shared" si="13"/>
        <v>2.0234762536221116E-2</v>
      </c>
      <c r="E325" s="182">
        <v>1.5821145339337591E-2</v>
      </c>
      <c r="F325" s="168"/>
      <c r="G325" s="168">
        <v>322</v>
      </c>
      <c r="H325" s="183">
        <f t="shared" ref="H325:H388" ca="1" si="14">_xlfn.NORM.INV(RAND(),N$6,N$7)</f>
        <v>1.4249494648075407E-2</v>
      </c>
      <c r="K325" s="36"/>
    </row>
    <row r="326" spans="2:11">
      <c r="B326" s="36">
        <v>45904</v>
      </c>
      <c r="C326" s="182">
        <v>3054.15</v>
      </c>
      <c r="D326" s="182">
        <f t="shared" si="13"/>
        <v>-3.3833159343266528E-2</v>
      </c>
      <c r="E326" s="182">
        <v>1.5803882528621166E-2</v>
      </c>
      <c r="F326" s="168"/>
      <c r="G326" s="168">
        <v>323</v>
      </c>
      <c r="H326" s="183">
        <f t="shared" ca="1" si="14"/>
        <v>1.0181506395480634E-2</v>
      </c>
      <c r="K326" s="36"/>
    </row>
    <row r="327" spans="2:11">
      <c r="B327" s="36">
        <v>45873</v>
      </c>
      <c r="C327" s="182">
        <v>3161.1</v>
      </c>
      <c r="D327" s="182">
        <f t="shared" si="13"/>
        <v>3.0177611210689233E-2</v>
      </c>
      <c r="E327" s="182">
        <v>1.5744251908030395E-2</v>
      </c>
      <c r="F327" s="168"/>
      <c r="G327" s="168">
        <v>324</v>
      </c>
      <c r="H327" s="183">
        <f t="shared" ca="1" si="14"/>
        <v>-4.8886075699147635E-3</v>
      </c>
      <c r="K327" s="36"/>
    </row>
    <row r="328" spans="2:11">
      <c r="B328" s="36">
        <v>45842</v>
      </c>
      <c r="C328" s="182">
        <v>3068.5</v>
      </c>
      <c r="D328" s="182">
        <f t="shared" si="13"/>
        <v>-5.8785638697605967E-2</v>
      </c>
      <c r="E328" s="182">
        <v>1.5716036737914999E-2</v>
      </c>
      <c r="F328" s="168"/>
      <c r="G328" s="168">
        <v>325</v>
      </c>
      <c r="H328" s="183">
        <f t="shared" ca="1" si="14"/>
        <v>9.4308699190665188E-3</v>
      </c>
      <c r="K328" s="36"/>
    </row>
    <row r="329" spans="2:11">
      <c r="B329" s="36">
        <v>45751</v>
      </c>
      <c r="C329" s="182">
        <v>3260.15</v>
      </c>
      <c r="D329" s="182">
        <f t="shared" si="13"/>
        <v>-4.6781573907577152E-2</v>
      </c>
      <c r="E329" s="182">
        <v>1.5706334768277659E-2</v>
      </c>
      <c r="F329" s="168"/>
      <c r="G329" s="168">
        <v>326</v>
      </c>
      <c r="H329" s="183">
        <f t="shared" ca="1" si="14"/>
        <v>1.9540853591678311E-2</v>
      </c>
      <c r="K329" s="36"/>
    </row>
    <row r="330" spans="2:11">
      <c r="B330" s="36">
        <v>45720</v>
      </c>
      <c r="C330" s="182">
        <v>3420.15</v>
      </c>
      <c r="D330" s="182">
        <f t="shared" si="13"/>
        <v>7.3101552676978852E-5</v>
      </c>
      <c r="E330" s="182">
        <v>1.568717477808387E-2</v>
      </c>
      <c r="F330" s="168"/>
      <c r="G330" s="168">
        <v>327</v>
      </c>
      <c r="H330" s="183">
        <f t="shared" ca="1" si="14"/>
        <v>-6.8547875691225531E-3</v>
      </c>
      <c r="K330" s="36"/>
    </row>
    <row r="331" spans="2:11">
      <c r="B331" s="36">
        <v>45692</v>
      </c>
      <c r="C331" s="182">
        <v>3419.9</v>
      </c>
      <c r="D331" s="182">
        <f t="shared" si="13"/>
        <v>-4.9173649906890391E-3</v>
      </c>
      <c r="E331" s="182">
        <v>1.5629738493479834E-2</v>
      </c>
      <c r="F331" s="168"/>
      <c r="G331" s="168">
        <v>328</v>
      </c>
      <c r="H331" s="183">
        <f t="shared" ca="1" si="14"/>
        <v>4.6363081473101368E-3</v>
      </c>
      <c r="K331" s="36"/>
    </row>
    <row r="332" spans="2:11">
      <c r="B332" s="36">
        <v>45661</v>
      </c>
      <c r="C332" s="182">
        <v>3436.8</v>
      </c>
      <c r="D332" s="182">
        <f t="shared" si="13"/>
        <v>-1.5892105489219138E-2</v>
      </c>
      <c r="E332" s="182">
        <v>1.5626113605587758E-2</v>
      </c>
      <c r="F332" s="168"/>
      <c r="G332" s="168">
        <v>329</v>
      </c>
      <c r="H332" s="183">
        <f t="shared" ca="1" si="14"/>
        <v>1.0461758537882905E-2</v>
      </c>
      <c r="K332" s="36"/>
    </row>
    <row r="333" spans="2:11">
      <c r="B333" s="36" t="s">
        <v>8792</v>
      </c>
      <c r="C333" s="182">
        <v>3492.3</v>
      </c>
      <c r="D333" s="182">
        <f t="shared" si="13"/>
        <v>-2.6559287183001278E-3</v>
      </c>
      <c r="E333" s="182">
        <v>1.5603280511537424E-2</v>
      </c>
      <c r="F333" s="168"/>
      <c r="G333" s="168">
        <v>330</v>
      </c>
      <c r="H333" s="183">
        <f t="shared" ca="1" si="14"/>
        <v>8.2263464228339352E-3</v>
      </c>
      <c r="K333" s="36"/>
    </row>
    <row r="334" spans="2:11">
      <c r="B334" s="36" t="s">
        <v>8793</v>
      </c>
      <c r="C334" s="182">
        <v>3501.6</v>
      </c>
      <c r="D334" s="182">
        <f t="shared" si="13"/>
        <v>1.6488620529493649E-2</v>
      </c>
      <c r="E334" s="182">
        <v>1.5594309862508211E-2</v>
      </c>
      <c r="F334" s="168"/>
      <c r="G334" s="168">
        <v>331</v>
      </c>
      <c r="H334" s="183">
        <f t="shared" ca="1" si="14"/>
        <v>7.4857281023710011E-3</v>
      </c>
      <c r="K334" s="36"/>
    </row>
    <row r="335" spans="2:11">
      <c r="B335" s="36" t="s">
        <v>8794</v>
      </c>
      <c r="C335" s="182">
        <v>3444.8</v>
      </c>
      <c r="D335" s="182">
        <f t="shared" si="13"/>
        <v>-7.1477980170624074E-3</v>
      </c>
      <c r="E335" s="182">
        <v>1.5585677838138082E-2</v>
      </c>
      <c r="F335" s="168"/>
      <c r="G335" s="168">
        <v>332</v>
      </c>
      <c r="H335" s="183">
        <f t="shared" ca="1" si="14"/>
        <v>1.7355515623614405E-3</v>
      </c>
      <c r="K335" s="36"/>
    </row>
    <row r="336" spans="2:11">
      <c r="B336" s="36" t="s">
        <v>8795</v>
      </c>
      <c r="C336" s="182">
        <v>3469.6</v>
      </c>
      <c r="D336" s="182">
        <f t="shared" si="13"/>
        <v>-3.518244611341672E-3</v>
      </c>
      <c r="E336" s="182">
        <v>1.5572433479457618E-2</v>
      </c>
      <c r="F336" s="168"/>
      <c r="G336" s="168">
        <v>333</v>
      </c>
      <c r="H336" s="183">
        <f t="shared" ca="1" si="14"/>
        <v>2.4301339274085218E-2</v>
      </c>
      <c r="K336" s="36"/>
    </row>
    <row r="337" spans="2:11">
      <c r="B337" s="36" t="s">
        <v>8796</v>
      </c>
      <c r="C337" s="182">
        <v>3481.85</v>
      </c>
      <c r="D337" s="182">
        <f t="shared" si="13"/>
        <v>1.9291851461526104E-2</v>
      </c>
      <c r="E337" s="182">
        <v>1.5559380378657424E-2</v>
      </c>
      <c r="F337" s="168"/>
      <c r="G337" s="168">
        <v>334</v>
      </c>
      <c r="H337" s="183">
        <f t="shared" ca="1" si="14"/>
        <v>-1.7741407987479181E-3</v>
      </c>
      <c r="K337" s="36"/>
    </row>
    <row r="338" spans="2:11">
      <c r="B338" s="36" t="s">
        <v>8797</v>
      </c>
      <c r="C338" s="182">
        <v>3415.95</v>
      </c>
      <c r="D338" s="182">
        <f t="shared" si="13"/>
        <v>1.9367064054549958E-2</v>
      </c>
      <c r="E338" s="182">
        <v>1.553190858701132E-2</v>
      </c>
      <c r="F338" s="168"/>
      <c r="G338" s="168">
        <v>335</v>
      </c>
      <c r="H338" s="183">
        <f t="shared" ca="1" si="14"/>
        <v>1.809735921849286E-2</v>
      </c>
      <c r="K338" s="36"/>
    </row>
    <row r="339" spans="2:11">
      <c r="B339" s="36" t="s">
        <v>8798</v>
      </c>
      <c r="C339" s="182">
        <v>3351.05</v>
      </c>
      <c r="D339" s="182">
        <f t="shared" si="13"/>
        <v>9.4892379991263869E-3</v>
      </c>
      <c r="E339" s="182">
        <v>1.5531876467400955E-2</v>
      </c>
      <c r="F339" s="168"/>
      <c r="G339" s="168">
        <v>336</v>
      </c>
      <c r="H339" s="183">
        <f t="shared" ca="1" si="14"/>
        <v>1.2723593028696537E-5</v>
      </c>
      <c r="K339" s="36"/>
    </row>
    <row r="340" spans="2:11">
      <c r="B340" s="36" t="s">
        <v>8799</v>
      </c>
      <c r="C340" s="182">
        <v>3319.55</v>
      </c>
      <c r="D340" s="182">
        <f t="shared" si="13"/>
        <v>1.4935640688537734E-2</v>
      </c>
      <c r="E340" s="182">
        <v>1.5516883476335423E-2</v>
      </c>
      <c r="F340" s="168"/>
      <c r="G340" s="168">
        <v>337</v>
      </c>
      <c r="H340" s="183">
        <f t="shared" ca="1" si="14"/>
        <v>2.1970184839375613E-3</v>
      </c>
      <c r="K340" s="36"/>
    </row>
    <row r="341" spans="2:11">
      <c r="B341" s="36" t="s">
        <v>8800</v>
      </c>
      <c r="C341" s="182">
        <v>3270.7</v>
      </c>
      <c r="D341" s="182">
        <f t="shared" si="13"/>
        <v>3.0644881753296885E-2</v>
      </c>
      <c r="E341" s="182">
        <v>1.5466758525663139E-2</v>
      </c>
      <c r="F341" s="168"/>
      <c r="G341" s="168">
        <v>338</v>
      </c>
      <c r="H341" s="183">
        <f t="shared" ca="1" si="14"/>
        <v>5.976609329140424E-3</v>
      </c>
      <c r="K341" s="36"/>
    </row>
    <row r="342" spans="2:11">
      <c r="B342" s="36" t="s">
        <v>8801</v>
      </c>
      <c r="C342" s="182">
        <v>3173.45</v>
      </c>
      <c r="D342" s="182">
        <f t="shared" si="13"/>
        <v>-4.3453706899257566E-3</v>
      </c>
      <c r="E342" s="182">
        <v>1.5439739413680861E-2</v>
      </c>
      <c r="F342" s="168"/>
      <c r="G342" s="168">
        <v>339</v>
      </c>
      <c r="H342" s="183">
        <f t="shared" ca="1" si="14"/>
        <v>-1.6321165357920411E-2</v>
      </c>
      <c r="K342" s="36"/>
    </row>
    <row r="343" spans="2:11">
      <c r="B343" s="36" t="s">
        <v>8802</v>
      </c>
      <c r="C343" s="182">
        <v>3187.3</v>
      </c>
      <c r="D343" s="182">
        <f t="shared" si="13"/>
        <v>-1.9883205736382849E-3</v>
      </c>
      <c r="E343" s="182">
        <v>1.5373864430468124E-2</v>
      </c>
      <c r="F343" s="168"/>
      <c r="G343" s="168">
        <v>340</v>
      </c>
      <c r="H343" s="183">
        <f t="shared" ca="1" si="14"/>
        <v>1.3876546344625786E-2</v>
      </c>
      <c r="K343" s="36"/>
    </row>
    <row r="344" spans="2:11">
      <c r="B344" s="36">
        <v>45994</v>
      </c>
      <c r="C344" s="182">
        <v>3193.65</v>
      </c>
      <c r="D344" s="182">
        <f t="shared" si="13"/>
        <v>-5.6330094352899504E-4</v>
      </c>
      <c r="E344" s="182">
        <v>1.5338932722490818E-2</v>
      </c>
      <c r="F344" s="168"/>
      <c r="G344" s="168">
        <v>341</v>
      </c>
      <c r="H344" s="183">
        <f t="shared" ca="1" si="14"/>
        <v>5.5192045459195238E-3</v>
      </c>
      <c r="K344" s="36"/>
    </row>
    <row r="345" spans="2:11">
      <c r="B345" s="36">
        <v>45964</v>
      </c>
      <c r="C345" s="182">
        <v>3195.45</v>
      </c>
      <c r="D345" s="182">
        <f t="shared" si="13"/>
        <v>5.5858010510746771E-3</v>
      </c>
      <c r="E345" s="182">
        <v>1.5334974386268501E-2</v>
      </c>
      <c r="F345" s="168"/>
      <c r="G345" s="168">
        <v>342</v>
      </c>
      <c r="H345" s="183">
        <f t="shared" ca="1" si="14"/>
        <v>1.8484089024801975E-4</v>
      </c>
      <c r="K345" s="36"/>
    </row>
    <row r="346" spans="2:11">
      <c r="B346" s="36">
        <v>45933</v>
      </c>
      <c r="C346" s="182">
        <v>3177.7</v>
      </c>
      <c r="D346" s="182">
        <f t="shared" si="13"/>
        <v>-2.0649058464572996E-2</v>
      </c>
      <c r="E346" s="182">
        <v>1.530464914813736E-2</v>
      </c>
      <c r="F346" s="168"/>
      <c r="G346" s="168">
        <v>343</v>
      </c>
      <c r="H346" s="183">
        <f t="shared" ca="1" si="14"/>
        <v>7.1067493540811835E-3</v>
      </c>
      <c r="K346" s="36"/>
    </row>
    <row r="347" spans="2:11">
      <c r="B347" s="36">
        <v>45841</v>
      </c>
      <c r="C347" s="182">
        <v>3244.7</v>
      </c>
      <c r="D347" s="182">
        <f t="shared" si="13"/>
        <v>-4.6627197153287746E-3</v>
      </c>
      <c r="E347" s="182">
        <v>1.5274910865077807E-2</v>
      </c>
      <c r="F347" s="168"/>
      <c r="G347" s="168">
        <v>344</v>
      </c>
      <c r="H347" s="183">
        <f t="shared" ca="1" si="14"/>
        <v>1.6401561708483774E-2</v>
      </c>
      <c r="K347" s="36"/>
    </row>
    <row r="348" spans="2:11">
      <c r="B348" s="36">
        <v>45811</v>
      </c>
      <c r="C348" s="182">
        <v>3259.9</v>
      </c>
      <c r="D348" s="182">
        <f t="shared" si="13"/>
        <v>6.2506752272622037E-3</v>
      </c>
      <c r="E348" s="182">
        <v>1.5259987986817969E-2</v>
      </c>
      <c r="F348" s="168"/>
      <c r="G348" s="168">
        <v>345</v>
      </c>
      <c r="H348" s="183">
        <f t="shared" ca="1" si="14"/>
        <v>6.464163824257553E-3</v>
      </c>
      <c r="K348" s="36"/>
    </row>
    <row r="349" spans="2:11">
      <c r="B349" s="36">
        <v>45780</v>
      </c>
      <c r="C349" s="182">
        <v>3239.65</v>
      </c>
      <c r="D349" s="182">
        <f t="shared" si="13"/>
        <v>8.2944288826642051E-3</v>
      </c>
      <c r="E349" s="182">
        <v>1.525885558583109E-2</v>
      </c>
      <c r="F349" s="168"/>
      <c r="G349" s="168">
        <v>346</v>
      </c>
      <c r="H349" s="183">
        <f t="shared" ca="1" si="14"/>
        <v>1.2088253821533369E-2</v>
      </c>
      <c r="K349" s="36"/>
    </row>
    <row r="350" spans="2:11">
      <c r="B350" s="36">
        <v>45750</v>
      </c>
      <c r="C350" s="182">
        <v>3213</v>
      </c>
      <c r="D350" s="182">
        <f t="shared" si="13"/>
        <v>4.9103931442153748E-3</v>
      </c>
      <c r="E350" s="182">
        <v>1.5255332902391667E-2</v>
      </c>
      <c r="F350" s="168"/>
      <c r="G350" s="168">
        <v>347</v>
      </c>
      <c r="H350" s="183">
        <f t="shared" ca="1" si="14"/>
        <v>8.517407150572219E-4</v>
      </c>
      <c r="K350" s="36"/>
    </row>
    <row r="351" spans="2:11">
      <c r="B351" s="36">
        <v>45719</v>
      </c>
      <c r="C351" s="182">
        <v>3197.3</v>
      </c>
      <c r="D351" s="182">
        <f t="shared" si="13"/>
        <v>1.0572561910330855E-2</v>
      </c>
      <c r="E351" s="182">
        <v>1.5146576681941063E-2</v>
      </c>
      <c r="F351" s="168"/>
      <c r="G351" s="168">
        <v>348</v>
      </c>
      <c r="H351" s="183">
        <f t="shared" ca="1" si="14"/>
        <v>1.5008928705444874E-2</v>
      </c>
      <c r="K351" s="36"/>
    </row>
    <row r="352" spans="2:11">
      <c r="B352" s="36" t="s">
        <v>8803</v>
      </c>
      <c r="C352" s="182">
        <v>3163.85</v>
      </c>
      <c r="D352" s="182">
        <f t="shared" si="13"/>
        <v>-1.4223399283377501E-2</v>
      </c>
      <c r="E352" s="182">
        <v>1.5137368640616765E-2</v>
      </c>
      <c r="F352" s="168"/>
      <c r="G352" s="168">
        <v>349</v>
      </c>
      <c r="H352" s="183">
        <f t="shared" ca="1" si="14"/>
        <v>2.8070130157761414E-3</v>
      </c>
      <c r="K352" s="36"/>
    </row>
    <row r="353" spans="2:11">
      <c r="B353" s="36" t="s">
        <v>8804</v>
      </c>
      <c r="C353" s="182">
        <v>3209.5</v>
      </c>
      <c r="D353" s="182">
        <f t="shared" si="13"/>
        <v>-5.083852568275548E-3</v>
      </c>
      <c r="E353" s="182">
        <v>1.5093646713183955E-2</v>
      </c>
      <c r="F353" s="168"/>
      <c r="G353" s="168">
        <v>350</v>
      </c>
      <c r="H353" s="183">
        <f t="shared" ca="1" si="14"/>
        <v>1.0143442962609902E-2</v>
      </c>
      <c r="K353" s="36"/>
    </row>
    <row r="354" spans="2:11">
      <c r="B354" s="36" t="s">
        <v>8805</v>
      </c>
      <c r="C354" s="182">
        <v>3225.9</v>
      </c>
      <c r="D354" s="182">
        <f t="shared" si="13"/>
        <v>-9.7614881664977535E-3</v>
      </c>
      <c r="E354" s="182">
        <v>1.5072923658997874E-2</v>
      </c>
      <c r="F354" s="168"/>
      <c r="G354" s="168">
        <v>351</v>
      </c>
      <c r="H354" s="183">
        <f t="shared" ca="1" si="14"/>
        <v>-3.6292249567827775E-3</v>
      </c>
      <c r="K354" s="36"/>
    </row>
    <row r="355" spans="2:11">
      <c r="B355" s="36" t="s">
        <v>8806</v>
      </c>
      <c r="C355" s="182">
        <v>3257.7</v>
      </c>
      <c r="D355" s="182">
        <f t="shared" si="13"/>
        <v>-1.7314711471750503E-2</v>
      </c>
      <c r="E355" s="182">
        <v>1.4943844559264931E-2</v>
      </c>
      <c r="F355" s="168"/>
      <c r="G355" s="168">
        <v>352</v>
      </c>
      <c r="H355" s="183">
        <f t="shared" ca="1" si="14"/>
        <v>3.5280552598809106E-6</v>
      </c>
      <c r="K355" s="36"/>
    </row>
    <row r="356" spans="2:11">
      <c r="B356" s="36" t="s">
        <v>8807</v>
      </c>
      <c r="C356" s="182">
        <v>3315.1</v>
      </c>
      <c r="D356" s="182">
        <f t="shared" si="13"/>
        <v>1.1997069418157313E-2</v>
      </c>
      <c r="E356" s="182">
        <v>1.4913215113728902E-2</v>
      </c>
      <c r="F356" s="168"/>
      <c r="G356" s="168">
        <v>353</v>
      </c>
      <c r="H356" s="183">
        <f t="shared" ca="1" si="14"/>
        <v>2.3143441849607887E-3</v>
      </c>
      <c r="K356" s="36"/>
    </row>
    <row r="357" spans="2:11">
      <c r="B357" s="36" t="s">
        <v>8808</v>
      </c>
      <c r="C357" s="182">
        <v>3275.8</v>
      </c>
      <c r="D357" s="182">
        <f t="shared" si="13"/>
        <v>-3.0525962330934717E-5</v>
      </c>
      <c r="E357" s="182">
        <v>1.490698753882958E-2</v>
      </c>
      <c r="F357" s="168"/>
      <c r="G357" s="168">
        <v>354</v>
      </c>
      <c r="H357" s="183">
        <f t="shared" ca="1" si="14"/>
        <v>1.2185752805583452E-3</v>
      </c>
      <c r="K357" s="36"/>
    </row>
    <row r="358" spans="2:11">
      <c r="B358" s="36" t="s">
        <v>8809</v>
      </c>
      <c r="C358" s="182">
        <v>3275.9</v>
      </c>
      <c r="D358" s="182">
        <f t="shared" si="13"/>
        <v>1.7312858096672514E-2</v>
      </c>
      <c r="E358" s="182">
        <v>1.4898474107893715E-2</v>
      </c>
      <c r="F358" s="168"/>
      <c r="G358" s="168">
        <v>355</v>
      </c>
      <c r="H358" s="183">
        <f t="shared" ca="1" si="14"/>
        <v>1.240434308494575E-2</v>
      </c>
      <c r="K358" s="36"/>
    </row>
    <row r="359" spans="2:11">
      <c r="B359" s="36" t="s">
        <v>8810</v>
      </c>
      <c r="C359" s="182">
        <v>3220.15</v>
      </c>
      <c r="D359" s="182">
        <f t="shared" si="13"/>
        <v>-5.2764715924075243E-4</v>
      </c>
      <c r="E359" s="182">
        <v>1.4890911524561639E-2</v>
      </c>
      <c r="F359" s="168"/>
      <c r="G359" s="168">
        <v>356</v>
      </c>
      <c r="H359" s="183">
        <f t="shared" ca="1" si="14"/>
        <v>1.6862777132658706E-2</v>
      </c>
      <c r="K359" s="36"/>
    </row>
    <row r="360" spans="2:11">
      <c r="B360" s="36" t="s">
        <v>8811</v>
      </c>
      <c r="C360" s="182">
        <v>3221.85</v>
      </c>
      <c r="D360" s="182">
        <f t="shared" si="13"/>
        <v>-4.8800827760876507E-3</v>
      </c>
      <c r="E360" s="182">
        <v>1.4879906268307024E-2</v>
      </c>
      <c r="F360" s="168"/>
      <c r="G360" s="168">
        <v>357</v>
      </c>
      <c r="H360" s="183">
        <f t="shared" ca="1" si="14"/>
        <v>1.183578883099547E-2</v>
      </c>
      <c r="K360" s="36"/>
    </row>
    <row r="361" spans="2:11">
      <c r="B361" s="36" t="s">
        <v>8812</v>
      </c>
      <c r="C361" s="182">
        <v>3237.65</v>
      </c>
      <c r="D361" s="182">
        <f t="shared" si="13"/>
        <v>-7.9665405297749455E-3</v>
      </c>
      <c r="E361" s="182">
        <v>1.4841833846927954E-2</v>
      </c>
      <c r="F361" s="168"/>
      <c r="G361" s="168">
        <v>358</v>
      </c>
      <c r="H361" s="183">
        <f t="shared" ca="1" si="14"/>
        <v>3.0126768822741672E-2</v>
      </c>
      <c r="K361" s="36"/>
    </row>
    <row r="362" spans="2:11">
      <c r="B362" s="36" t="s">
        <v>8813</v>
      </c>
      <c r="C362" s="182">
        <v>3263.65</v>
      </c>
      <c r="D362" s="182">
        <f t="shared" si="13"/>
        <v>-7.9035763683066584E-3</v>
      </c>
      <c r="E362" s="182">
        <v>1.4784782343616631E-2</v>
      </c>
      <c r="F362" s="168"/>
      <c r="G362" s="168">
        <v>359</v>
      </c>
      <c r="H362" s="183">
        <f t="shared" ca="1" si="14"/>
        <v>1.9780569774033082E-2</v>
      </c>
      <c r="K362" s="36"/>
    </row>
    <row r="363" spans="2:11">
      <c r="B363" s="36">
        <v>45993</v>
      </c>
      <c r="C363" s="182">
        <v>3289.65</v>
      </c>
      <c r="D363" s="182">
        <f t="shared" si="13"/>
        <v>1.543376599324001E-2</v>
      </c>
      <c r="E363" s="182">
        <v>1.4751107636174031E-2</v>
      </c>
      <c r="F363" s="168"/>
      <c r="G363" s="168">
        <v>360</v>
      </c>
      <c r="H363" s="183">
        <f t="shared" ca="1" si="14"/>
        <v>7.8337996540664145E-3</v>
      </c>
      <c r="K363" s="36"/>
    </row>
    <row r="364" spans="2:11">
      <c r="B364" s="36">
        <v>45963</v>
      </c>
      <c r="C364" s="182">
        <v>3239.65</v>
      </c>
      <c r="D364" s="182">
        <f t="shared" si="13"/>
        <v>-2.6737566280624278E-2</v>
      </c>
      <c r="E364" s="182">
        <v>1.474756898345829E-2</v>
      </c>
      <c r="F364" s="168"/>
      <c r="G364" s="168">
        <v>361</v>
      </c>
      <c r="H364" s="183">
        <f t="shared" ca="1" si="14"/>
        <v>-2.6274488357990906E-3</v>
      </c>
      <c r="K364" s="36"/>
    </row>
    <row r="365" spans="2:11">
      <c r="B365" s="36">
        <v>45932</v>
      </c>
      <c r="C365" s="182">
        <v>3328.65</v>
      </c>
      <c r="D365" s="182">
        <f t="shared" si="13"/>
        <v>-2.4723545805987591E-3</v>
      </c>
      <c r="E365" s="182">
        <v>1.4676300340736482E-2</v>
      </c>
      <c r="F365" s="168"/>
      <c r="G365" s="168">
        <v>362</v>
      </c>
      <c r="H365" s="183">
        <f t="shared" ca="1" si="14"/>
        <v>6.4716512305182938E-3</v>
      </c>
      <c r="K365" s="36"/>
    </row>
    <row r="366" spans="2:11">
      <c r="B366" s="36">
        <v>45840</v>
      </c>
      <c r="C366" s="182">
        <v>3336.9</v>
      </c>
      <c r="D366" s="182">
        <f t="shared" si="13"/>
        <v>-4.7274625307583053E-3</v>
      </c>
      <c r="E366" s="182">
        <v>1.4651311580294365E-2</v>
      </c>
      <c r="F366" s="168"/>
      <c r="G366" s="168">
        <v>363</v>
      </c>
      <c r="H366" s="183">
        <f t="shared" ca="1" si="14"/>
        <v>8.5356255360778538E-3</v>
      </c>
      <c r="K366" s="36"/>
    </row>
    <row r="367" spans="2:11">
      <c r="B367" s="36">
        <v>45810</v>
      </c>
      <c r="C367" s="182">
        <v>3352.75</v>
      </c>
      <c r="D367" s="182">
        <f t="shared" si="13"/>
        <v>-9.0003546937809827E-3</v>
      </c>
      <c r="E367" s="182">
        <v>1.4584855899081723E-2</v>
      </c>
      <c r="F367" s="168"/>
      <c r="G367" s="168">
        <v>364</v>
      </c>
      <c r="H367" s="183">
        <f t="shared" ca="1" si="14"/>
        <v>8.9281989283918235E-3</v>
      </c>
      <c r="K367" s="36"/>
    </row>
    <row r="368" spans="2:11">
      <c r="B368" s="36">
        <v>45779</v>
      </c>
      <c r="C368" s="182">
        <v>3383.2</v>
      </c>
      <c r="D368" s="182">
        <f t="shared" si="13"/>
        <v>-1.6268554730093272E-2</v>
      </c>
      <c r="E368" s="182">
        <v>1.4560183918112599E-2</v>
      </c>
      <c r="F368" s="168"/>
      <c r="G368" s="168">
        <v>365</v>
      </c>
      <c r="H368" s="183">
        <f t="shared" ca="1" si="14"/>
        <v>4.9816031434005642E-3</v>
      </c>
      <c r="K368" s="36"/>
    </row>
    <row r="369" spans="2:11">
      <c r="B369" s="36">
        <v>45749</v>
      </c>
      <c r="C369" s="182">
        <v>3439.15</v>
      </c>
      <c r="D369" s="182">
        <f t="shared" si="13"/>
        <v>4.5588592970935267E-2</v>
      </c>
      <c r="E369" s="182">
        <v>1.4554265714330905E-2</v>
      </c>
      <c r="F369" s="168"/>
      <c r="G369" s="168">
        <v>366</v>
      </c>
      <c r="H369" s="183">
        <f t="shared" ca="1" si="14"/>
        <v>1.0178614294803372E-2</v>
      </c>
      <c r="K369" s="36"/>
    </row>
    <row r="370" spans="2:11">
      <c r="B370" s="36">
        <v>45718</v>
      </c>
      <c r="C370" s="182">
        <v>3289.2</v>
      </c>
      <c r="D370" s="182">
        <f t="shared" si="13"/>
        <v>-4.5917331399564956E-2</v>
      </c>
      <c r="E370" s="182">
        <v>1.4553014553014554E-2</v>
      </c>
      <c r="F370" s="168"/>
      <c r="G370" s="168">
        <v>367</v>
      </c>
      <c r="H370" s="183">
        <f t="shared" ca="1" si="14"/>
        <v>-3.0085887226464847E-3</v>
      </c>
      <c r="K370" s="36"/>
    </row>
    <row r="371" spans="2:11">
      <c r="B371" s="36">
        <v>45659</v>
      </c>
      <c r="C371" s="182">
        <v>3447.5</v>
      </c>
      <c r="D371" s="182">
        <f t="shared" si="13"/>
        <v>-3.3609911980714273E-2</v>
      </c>
      <c r="E371" s="182">
        <v>1.4527388214577787E-2</v>
      </c>
      <c r="F371" s="168"/>
      <c r="G371" s="168">
        <v>368</v>
      </c>
      <c r="H371" s="183">
        <f t="shared" ca="1" si="14"/>
        <v>-8.8962905251614918E-3</v>
      </c>
      <c r="K371" s="36"/>
    </row>
    <row r="372" spans="2:11">
      <c r="B372" s="36" t="s">
        <v>8814</v>
      </c>
      <c r="C372" s="182">
        <v>3567.4</v>
      </c>
      <c r="D372" s="182">
        <f t="shared" si="13"/>
        <v>4.2809745830836549E-2</v>
      </c>
      <c r="E372" s="182">
        <v>1.4457307462362118E-2</v>
      </c>
      <c r="F372" s="168"/>
      <c r="G372" s="168">
        <v>369</v>
      </c>
      <c r="H372" s="183">
        <f t="shared" ca="1" si="14"/>
        <v>-1.2269603322925426E-2</v>
      </c>
      <c r="K372" s="36"/>
    </row>
    <row r="373" spans="2:11">
      <c r="B373" s="36" t="s">
        <v>8815</v>
      </c>
      <c r="C373" s="182">
        <v>3420.95</v>
      </c>
      <c r="D373" s="182">
        <f t="shared" si="13"/>
        <v>-8.3340580340319458E-3</v>
      </c>
      <c r="E373" s="182">
        <v>1.4403947159000587E-2</v>
      </c>
      <c r="F373" s="168"/>
      <c r="G373" s="168">
        <v>370</v>
      </c>
      <c r="H373" s="183">
        <f t="shared" ca="1" si="14"/>
        <v>9.8895381761398143E-3</v>
      </c>
      <c r="K373" s="36"/>
    </row>
    <row r="374" spans="2:11">
      <c r="B374" s="36" t="s">
        <v>8816</v>
      </c>
      <c r="C374" s="182">
        <v>3449.7</v>
      </c>
      <c r="D374" s="182">
        <f t="shared" si="13"/>
        <v>1.0486540320454532E-2</v>
      </c>
      <c r="E374" s="182">
        <v>1.4354066985645808E-2</v>
      </c>
      <c r="F374" s="168"/>
      <c r="G374" s="168">
        <v>371</v>
      </c>
      <c r="H374" s="183">
        <f t="shared" ca="1" si="14"/>
        <v>1.3121071257389486E-2</v>
      </c>
      <c r="K374" s="36"/>
    </row>
    <row r="375" spans="2:11">
      <c r="B375" s="36" t="s">
        <v>8817</v>
      </c>
      <c r="C375" s="182">
        <v>3413.9</v>
      </c>
      <c r="D375" s="182">
        <f t="shared" si="13"/>
        <v>-1.265310254074299E-2</v>
      </c>
      <c r="E375" s="182">
        <v>1.4340462356286342E-2</v>
      </c>
      <c r="F375" s="168"/>
      <c r="G375" s="168">
        <v>372</v>
      </c>
      <c r="H375" s="183">
        <f t="shared" ca="1" si="14"/>
        <v>3.0632851196969017E-2</v>
      </c>
      <c r="K375" s="36"/>
    </row>
    <row r="376" spans="2:11">
      <c r="B376" s="36" t="s">
        <v>8818</v>
      </c>
      <c r="C376" s="182">
        <v>3457.65</v>
      </c>
      <c r="D376" s="182">
        <f t="shared" si="13"/>
        <v>-1.5904227632864703E-4</v>
      </c>
      <c r="E376" s="182">
        <v>1.4312070218594458E-2</v>
      </c>
      <c r="F376" s="168"/>
      <c r="G376" s="168">
        <v>373</v>
      </c>
      <c r="H376" s="183">
        <f t="shared" ca="1" si="14"/>
        <v>-3.8228072401679317E-4</v>
      </c>
      <c r="K376" s="36"/>
    </row>
    <row r="377" spans="2:11">
      <c r="B377" s="36" t="s">
        <v>8819</v>
      </c>
      <c r="C377" s="182">
        <v>3458.2</v>
      </c>
      <c r="D377" s="182">
        <f t="shared" si="13"/>
        <v>-1.2859487618639887E-2</v>
      </c>
      <c r="E377" s="182">
        <v>1.4287462522180834E-2</v>
      </c>
      <c r="F377" s="168"/>
      <c r="G377" s="168">
        <v>374</v>
      </c>
      <c r="H377" s="183">
        <f t="shared" ca="1" si="14"/>
        <v>1.9229478706486721E-2</v>
      </c>
      <c r="K377" s="36"/>
    </row>
    <row r="378" spans="2:11">
      <c r="B378" s="36" t="s">
        <v>8820</v>
      </c>
      <c r="C378" s="182">
        <v>3503.25</v>
      </c>
      <c r="D378" s="182">
        <f t="shared" si="13"/>
        <v>-4.2493320447955828E-3</v>
      </c>
      <c r="E378" s="182">
        <v>1.425220676442668E-2</v>
      </c>
      <c r="F378" s="168"/>
      <c r="G378" s="168">
        <v>375</v>
      </c>
      <c r="H378" s="183">
        <f t="shared" ca="1" si="14"/>
        <v>2.2295142518221848E-3</v>
      </c>
      <c r="K378" s="36"/>
    </row>
    <row r="379" spans="2:11">
      <c r="B379" s="36" t="s">
        <v>8821</v>
      </c>
      <c r="C379" s="182">
        <v>3518.2</v>
      </c>
      <c r="D379" s="182">
        <f t="shared" si="13"/>
        <v>-6.4669170596707492E-3</v>
      </c>
      <c r="E379" s="182">
        <v>1.4251396798833903E-2</v>
      </c>
      <c r="F379" s="168"/>
      <c r="G379" s="168">
        <v>376</v>
      </c>
      <c r="H379" s="183">
        <f t="shared" ca="1" si="14"/>
        <v>3.9233417858663983E-3</v>
      </c>
      <c r="K379" s="36"/>
    </row>
    <row r="380" spans="2:11">
      <c r="B380" s="36" t="s">
        <v>8822</v>
      </c>
      <c r="C380" s="182">
        <v>3541.1</v>
      </c>
      <c r="D380" s="182">
        <f t="shared" si="13"/>
        <v>-1.444475368772616E-2</v>
      </c>
      <c r="E380" s="182">
        <v>1.4233797698364655E-2</v>
      </c>
      <c r="F380" s="168"/>
      <c r="G380" s="168">
        <v>377</v>
      </c>
      <c r="H380" s="183">
        <f t="shared" ca="1" si="14"/>
        <v>-9.3820830314464039E-3</v>
      </c>
      <c r="K380" s="36"/>
    </row>
    <row r="381" spans="2:11">
      <c r="B381" s="36" t="s">
        <v>8823</v>
      </c>
      <c r="C381" s="182">
        <v>3593</v>
      </c>
      <c r="D381" s="182">
        <f t="shared" si="13"/>
        <v>6.8233085340394569E-3</v>
      </c>
      <c r="E381" s="182">
        <v>1.4203486686819216E-2</v>
      </c>
      <c r="F381" s="168"/>
      <c r="G381" s="168">
        <v>378</v>
      </c>
      <c r="H381" s="183">
        <f t="shared" ca="1" si="14"/>
        <v>1.1608727309371712E-2</v>
      </c>
      <c r="K381" s="36"/>
    </row>
    <row r="382" spans="2:11">
      <c r="B382" s="36" t="s">
        <v>8824</v>
      </c>
      <c r="C382" s="182">
        <v>3568.65</v>
      </c>
      <c r="D382" s="182">
        <f t="shared" si="13"/>
        <v>1.7318053536303772E-2</v>
      </c>
      <c r="E382" s="182">
        <v>1.4152403697315467E-2</v>
      </c>
      <c r="F382" s="168"/>
      <c r="G382" s="168">
        <v>379</v>
      </c>
      <c r="H382" s="183">
        <f t="shared" ca="1" si="14"/>
        <v>1.6062757017211739E-2</v>
      </c>
      <c r="K382" s="36"/>
    </row>
    <row r="383" spans="2:11">
      <c r="B383" s="36" t="s">
        <v>8825</v>
      </c>
      <c r="C383" s="182">
        <v>3507.9</v>
      </c>
      <c r="D383" s="182">
        <f t="shared" si="13"/>
        <v>1.8564002970240475E-3</v>
      </c>
      <c r="E383" s="182">
        <v>1.4113315606463559E-2</v>
      </c>
      <c r="F383" s="168"/>
      <c r="G383" s="168">
        <v>380</v>
      </c>
      <c r="H383" s="183">
        <f t="shared" ca="1" si="14"/>
        <v>1.9630557511202743E-2</v>
      </c>
      <c r="K383" s="36"/>
    </row>
    <row r="384" spans="2:11">
      <c r="B384" s="36" t="s">
        <v>8826</v>
      </c>
      <c r="C384" s="182">
        <v>3501.4</v>
      </c>
      <c r="D384" s="182">
        <f t="shared" si="13"/>
        <v>1.1205452550106909E-2</v>
      </c>
      <c r="E384" s="182">
        <v>1.4071109944896232E-2</v>
      </c>
      <c r="F384" s="168"/>
      <c r="G384" s="168">
        <v>381</v>
      </c>
      <c r="H384" s="183">
        <f t="shared" ca="1" si="14"/>
        <v>-2.3196609887544553E-3</v>
      </c>
      <c r="K384" s="36"/>
    </row>
    <row r="385" spans="2:11">
      <c r="B385" s="36" t="s">
        <v>8827</v>
      </c>
      <c r="C385" s="182">
        <v>3462.6</v>
      </c>
      <c r="D385" s="182">
        <f t="shared" si="13"/>
        <v>-4.9071962589852867E-4</v>
      </c>
      <c r="E385" s="182">
        <v>1.4063062314868566E-2</v>
      </c>
      <c r="F385" s="168"/>
      <c r="G385" s="168">
        <v>382</v>
      </c>
      <c r="H385" s="183">
        <f t="shared" ca="1" si="14"/>
        <v>-1.0939027300140524E-2</v>
      </c>
      <c r="K385" s="36"/>
    </row>
    <row r="386" spans="2:11">
      <c r="B386" s="36" t="s">
        <v>8828</v>
      </c>
      <c r="C386" s="182">
        <v>3464.3</v>
      </c>
      <c r="D386" s="182">
        <f t="shared" si="13"/>
        <v>-2.0318708199595577E-2</v>
      </c>
      <c r="E386" s="182">
        <v>1.4036124552136814E-2</v>
      </c>
      <c r="F386" s="168"/>
      <c r="G386" s="168">
        <v>383</v>
      </c>
      <c r="H386" s="183">
        <f t="shared" ca="1" si="14"/>
        <v>7.4737934176545041E-3</v>
      </c>
      <c r="K386" s="36"/>
    </row>
    <row r="387" spans="2:11">
      <c r="B387" s="36">
        <v>45931</v>
      </c>
      <c r="C387" s="182">
        <v>3536.15</v>
      </c>
      <c r="D387" s="182">
        <f t="shared" si="13"/>
        <v>2.3385016582102669E-3</v>
      </c>
      <c r="E387" s="182">
        <v>1.4024201054917721E-2</v>
      </c>
      <c r="F387" s="168"/>
      <c r="G387" s="168">
        <v>384</v>
      </c>
      <c r="H387" s="183">
        <f t="shared" ca="1" si="14"/>
        <v>-1.0130827085326897E-2</v>
      </c>
      <c r="K387" s="36"/>
    </row>
    <row r="388" spans="2:11">
      <c r="B388" s="36">
        <v>45901</v>
      </c>
      <c r="C388" s="182">
        <v>3527.9</v>
      </c>
      <c r="D388" s="182">
        <f t="shared" ref="D388:D451" si="15">(C388-C389)/C389</f>
        <v>-1.9033186425125425E-2</v>
      </c>
      <c r="E388" s="182">
        <v>1.4001423873614329E-2</v>
      </c>
      <c r="F388" s="168"/>
      <c r="G388" s="168">
        <v>385</v>
      </c>
      <c r="H388" s="183">
        <f t="shared" ca="1" si="14"/>
        <v>1.566107364545255E-2</v>
      </c>
      <c r="K388" s="36"/>
    </row>
    <row r="389" spans="2:11">
      <c r="B389" s="36">
        <v>45870</v>
      </c>
      <c r="C389" s="182">
        <v>3596.35</v>
      </c>
      <c r="D389" s="182">
        <f t="shared" si="15"/>
        <v>-1.2886668679493939E-2</v>
      </c>
      <c r="E389" s="182">
        <v>1.394091997789108E-2</v>
      </c>
      <c r="F389" s="168"/>
      <c r="G389" s="168">
        <v>386</v>
      </c>
      <c r="H389" s="183">
        <f t="shared" ref="H389:H452" ca="1" si="16">_xlfn.NORM.INV(RAND(),N$6,N$7)</f>
        <v>2.2834205336621297E-2</v>
      </c>
      <c r="K389" s="36"/>
    </row>
    <row r="390" spans="2:11">
      <c r="B390" s="36">
        <v>45839</v>
      </c>
      <c r="C390" s="182">
        <v>3643.3</v>
      </c>
      <c r="D390" s="182">
        <f t="shared" si="15"/>
        <v>1.1128996447602233E-2</v>
      </c>
      <c r="E390" s="182">
        <v>1.3940520446096654E-2</v>
      </c>
      <c r="F390" s="168"/>
      <c r="G390" s="168">
        <v>387</v>
      </c>
      <c r="H390" s="183">
        <f t="shared" ca="1" si="16"/>
        <v>1.2643146254453969E-2</v>
      </c>
      <c r="K390" s="36"/>
    </row>
    <row r="391" spans="2:11">
      <c r="B391" s="36">
        <v>45809</v>
      </c>
      <c r="C391" s="182">
        <v>3603.2</v>
      </c>
      <c r="D391" s="182">
        <f t="shared" si="15"/>
        <v>-1.5492226563567385E-2</v>
      </c>
      <c r="E391" s="182">
        <v>1.3939194380419198E-2</v>
      </c>
      <c r="F391" s="168"/>
      <c r="G391" s="168">
        <v>388</v>
      </c>
      <c r="H391" s="183">
        <f t="shared" ca="1" si="16"/>
        <v>-7.5737696086161177E-3</v>
      </c>
      <c r="K391" s="36"/>
    </row>
    <row r="392" spans="2:11">
      <c r="B392" s="36">
        <v>45717</v>
      </c>
      <c r="C392" s="182">
        <v>3659.9</v>
      </c>
      <c r="D392" s="182">
        <f t="shared" si="15"/>
        <v>-1.4433822539383306E-2</v>
      </c>
      <c r="E392" s="182">
        <v>1.3936852491366454E-2</v>
      </c>
      <c r="F392" s="168"/>
      <c r="G392" s="168">
        <v>389</v>
      </c>
      <c r="H392" s="183">
        <f t="shared" ca="1" si="16"/>
        <v>2.677614106143028E-3</v>
      </c>
      <c r="K392" s="36"/>
    </row>
    <row r="393" spans="2:11">
      <c r="B393" s="36">
        <v>45689</v>
      </c>
      <c r="C393" s="182">
        <v>3713.5</v>
      </c>
      <c r="D393" s="182">
        <f t="shared" si="15"/>
        <v>1.2542603953646899E-2</v>
      </c>
      <c r="E393" s="182">
        <v>1.3919459342158319E-2</v>
      </c>
      <c r="F393" s="168"/>
      <c r="G393" s="168">
        <v>390</v>
      </c>
      <c r="H393" s="183">
        <f t="shared" ca="1" si="16"/>
        <v>-1.6616985981541708E-3</v>
      </c>
      <c r="K393" s="36"/>
    </row>
    <row r="394" spans="2:11">
      <c r="B394" s="36">
        <v>45658</v>
      </c>
      <c r="C394" s="182">
        <v>3667.5</v>
      </c>
      <c r="D394" s="182">
        <f t="shared" si="15"/>
        <v>1.6589746788075316E-2</v>
      </c>
      <c r="E394" s="182">
        <v>1.3882505823996362E-2</v>
      </c>
      <c r="F394" s="168"/>
      <c r="G394" s="168">
        <v>391</v>
      </c>
      <c r="H394" s="183">
        <f t="shared" ca="1" si="16"/>
        <v>-5.4685578631439762E-3</v>
      </c>
      <c r="K394" s="36"/>
    </row>
    <row r="395" spans="2:11">
      <c r="B395" s="36" t="s">
        <v>8829</v>
      </c>
      <c r="C395" s="182">
        <v>3607.65</v>
      </c>
      <c r="D395" s="182">
        <f t="shared" si="15"/>
        <v>8.0191117506532017E-3</v>
      </c>
      <c r="E395" s="182">
        <v>1.3837058157574741E-2</v>
      </c>
      <c r="F395" s="168"/>
      <c r="G395" s="168">
        <v>392</v>
      </c>
      <c r="H395" s="183">
        <f t="shared" ca="1" si="16"/>
        <v>-4.6943101417937045E-3</v>
      </c>
      <c r="K395" s="36"/>
    </row>
    <row r="396" spans="2:11">
      <c r="B396" s="36" t="s">
        <v>8830</v>
      </c>
      <c r="C396" s="182">
        <v>3578.95</v>
      </c>
      <c r="D396" s="182">
        <f t="shared" si="15"/>
        <v>-8.0790443723843825E-3</v>
      </c>
      <c r="E396" s="182">
        <v>1.382717804713313E-2</v>
      </c>
      <c r="F396" s="168"/>
      <c r="G396" s="168">
        <v>393</v>
      </c>
      <c r="H396" s="183">
        <f t="shared" ca="1" si="16"/>
        <v>-3.8095137301176222E-3</v>
      </c>
      <c r="K396" s="36"/>
    </row>
    <row r="397" spans="2:11">
      <c r="B397" s="36" t="s">
        <v>8831</v>
      </c>
      <c r="C397" s="182">
        <v>3608.1</v>
      </c>
      <c r="D397" s="182">
        <f t="shared" si="15"/>
        <v>-5.8961289433806562E-3</v>
      </c>
      <c r="E397" s="182">
        <v>1.3815516115628814E-2</v>
      </c>
      <c r="F397" s="168"/>
      <c r="G397" s="168">
        <v>394</v>
      </c>
      <c r="H397" s="183">
        <f t="shared" ca="1" si="16"/>
        <v>4.2097716716230525E-3</v>
      </c>
      <c r="K397" s="36"/>
    </row>
    <row r="398" spans="2:11">
      <c r="B398" s="36" t="s">
        <v>8832</v>
      </c>
      <c r="C398" s="182">
        <v>3629.5</v>
      </c>
      <c r="D398" s="182">
        <f t="shared" si="15"/>
        <v>-2.8161274812830549E-3</v>
      </c>
      <c r="E398" s="182">
        <v>1.3803901519387712E-2</v>
      </c>
      <c r="F398" s="168"/>
      <c r="G398" s="168">
        <v>395</v>
      </c>
      <c r="H398" s="183">
        <f t="shared" ca="1" si="16"/>
        <v>-1.3184467693426374E-2</v>
      </c>
      <c r="K398" s="36"/>
    </row>
    <row r="399" spans="2:11">
      <c r="B399" s="36" t="s">
        <v>8833</v>
      </c>
      <c r="C399" s="182">
        <v>3639.75</v>
      </c>
      <c r="D399" s="182">
        <f t="shared" si="15"/>
        <v>-2.0601565718994644E-4</v>
      </c>
      <c r="E399" s="182">
        <v>1.3773511815090603E-2</v>
      </c>
      <c r="F399" s="168"/>
      <c r="G399" s="168">
        <v>396</v>
      </c>
      <c r="H399" s="183">
        <f t="shared" ca="1" si="16"/>
        <v>-1.3202873531369095E-2</v>
      </c>
      <c r="K399" s="36"/>
    </row>
    <row r="400" spans="2:11">
      <c r="B400" s="36" t="s">
        <v>8834</v>
      </c>
      <c r="C400" s="182">
        <v>3640.5</v>
      </c>
      <c r="D400" s="182">
        <f t="shared" si="15"/>
        <v>2.9340055374189266E-3</v>
      </c>
      <c r="E400" s="182">
        <v>1.3713531635637283E-2</v>
      </c>
      <c r="F400" s="168"/>
      <c r="G400" s="168">
        <v>397</v>
      </c>
      <c r="H400" s="183">
        <f t="shared" ca="1" si="16"/>
        <v>2.0001613643932284E-2</v>
      </c>
      <c r="K400" s="36"/>
    </row>
    <row r="401" spans="2:11">
      <c r="B401" s="36" t="s">
        <v>8835</v>
      </c>
      <c r="C401" s="182">
        <v>3629.85</v>
      </c>
      <c r="D401" s="182">
        <f t="shared" si="15"/>
        <v>-2.3275525717437809E-2</v>
      </c>
      <c r="E401" s="182">
        <v>1.3707230302396213E-2</v>
      </c>
      <c r="F401" s="168"/>
      <c r="G401" s="168">
        <v>398</v>
      </c>
      <c r="H401" s="183">
        <f t="shared" ca="1" si="16"/>
        <v>1.6473824777621288E-2</v>
      </c>
      <c r="K401" s="36"/>
    </row>
    <row r="402" spans="2:11">
      <c r="B402" s="36" t="s">
        <v>8836</v>
      </c>
      <c r="C402" s="182">
        <v>3716.35</v>
      </c>
      <c r="D402" s="182">
        <f t="shared" si="15"/>
        <v>-1.1122493780184447E-2</v>
      </c>
      <c r="E402" s="182">
        <v>1.3698125713444149E-2</v>
      </c>
      <c r="F402" s="168"/>
      <c r="G402" s="168">
        <v>399</v>
      </c>
      <c r="H402" s="183">
        <f t="shared" ca="1" si="16"/>
        <v>2.5925578041676674E-2</v>
      </c>
      <c r="K402" s="36"/>
    </row>
    <row r="403" spans="2:11">
      <c r="B403" s="36" t="s">
        <v>8837</v>
      </c>
      <c r="C403" s="182">
        <v>3758.15</v>
      </c>
      <c r="D403" s="182">
        <f t="shared" si="15"/>
        <v>-1.2883483925194297E-2</v>
      </c>
      <c r="E403" s="182">
        <v>1.3692241063397529E-2</v>
      </c>
      <c r="F403" s="168"/>
      <c r="G403" s="168">
        <v>400</v>
      </c>
      <c r="H403" s="183">
        <f t="shared" ca="1" si="16"/>
        <v>2.3023891916619407E-2</v>
      </c>
      <c r="K403" s="36"/>
    </row>
    <row r="404" spans="2:11">
      <c r="B404" s="36" t="s">
        <v>8838</v>
      </c>
      <c r="C404" s="182">
        <v>3807.2</v>
      </c>
      <c r="D404" s="182">
        <f t="shared" si="15"/>
        <v>-1.8218858388024315E-2</v>
      </c>
      <c r="E404" s="182">
        <v>1.3685700802265258E-2</v>
      </c>
      <c r="F404" s="168"/>
      <c r="G404" s="168">
        <v>401</v>
      </c>
      <c r="H404" s="183">
        <f t="shared" ca="1" si="16"/>
        <v>-1.3979994083867832E-2</v>
      </c>
      <c r="K404" s="36"/>
    </row>
    <row r="405" spans="2:11">
      <c r="B405" s="36" t="s">
        <v>8839</v>
      </c>
      <c r="C405" s="182">
        <v>3877.85</v>
      </c>
      <c r="D405" s="182">
        <f t="shared" si="15"/>
        <v>-2.3540005145356552E-3</v>
      </c>
      <c r="E405" s="182">
        <v>1.3678395225855927E-2</v>
      </c>
      <c r="F405" s="168"/>
      <c r="G405" s="168">
        <v>402</v>
      </c>
      <c r="H405" s="183">
        <f t="shared" ca="1" si="16"/>
        <v>9.1424600813804976E-3</v>
      </c>
      <c r="K405" s="36"/>
    </row>
    <row r="406" spans="2:11">
      <c r="B406" s="36" t="s">
        <v>8840</v>
      </c>
      <c r="C406" s="182">
        <v>3887</v>
      </c>
      <c r="D406" s="182">
        <f t="shared" si="15"/>
        <v>7.0209072773905826E-3</v>
      </c>
      <c r="E406" s="182">
        <v>1.364602363819392E-2</v>
      </c>
      <c r="F406" s="168"/>
      <c r="G406" s="168">
        <v>403</v>
      </c>
      <c r="H406" s="183">
        <f t="shared" ca="1" si="16"/>
        <v>-8.4637903045507272E-3</v>
      </c>
      <c r="K406" s="36"/>
    </row>
    <row r="407" spans="2:11">
      <c r="B407" s="36">
        <v>45638</v>
      </c>
      <c r="C407" s="182">
        <v>3859.9</v>
      </c>
      <c r="D407" s="182">
        <f t="shared" si="15"/>
        <v>-1.4514584796068146E-2</v>
      </c>
      <c r="E407" s="182">
        <v>1.3627738485423455E-2</v>
      </c>
      <c r="F407" s="168"/>
      <c r="G407" s="168">
        <v>404</v>
      </c>
      <c r="H407" s="183">
        <f t="shared" ca="1" si="16"/>
        <v>1.2451769973796552E-2</v>
      </c>
      <c r="K407" s="36"/>
    </row>
    <row r="408" spans="2:11">
      <c r="B408" s="36">
        <v>45608</v>
      </c>
      <c r="C408" s="182">
        <v>3916.75</v>
      </c>
      <c r="D408" s="182">
        <f t="shared" si="15"/>
        <v>-1.6313421612734896E-3</v>
      </c>
      <c r="E408" s="182">
        <v>1.361876362989003E-2</v>
      </c>
      <c r="F408" s="168"/>
      <c r="G408" s="168">
        <v>405</v>
      </c>
      <c r="H408" s="183">
        <f t="shared" ca="1" si="16"/>
        <v>8.7911634719994927E-3</v>
      </c>
      <c r="K408" s="36"/>
    </row>
    <row r="409" spans="2:11">
      <c r="B409" s="36">
        <v>45577</v>
      </c>
      <c r="C409" s="182">
        <v>3923.15</v>
      </c>
      <c r="D409" s="182">
        <f t="shared" si="15"/>
        <v>-6.118106047171507E-3</v>
      </c>
      <c r="E409" s="182">
        <v>1.3601058236950075E-2</v>
      </c>
      <c r="F409" s="168"/>
      <c r="G409" s="168">
        <v>406</v>
      </c>
      <c r="H409" s="183">
        <f t="shared" ca="1" si="16"/>
        <v>1.8574469490493319E-2</v>
      </c>
      <c r="K409" s="36"/>
    </row>
    <row r="410" spans="2:11">
      <c r="B410" s="36">
        <v>45547</v>
      </c>
      <c r="C410" s="182">
        <v>3947.3</v>
      </c>
      <c r="D410" s="182">
        <f t="shared" si="15"/>
        <v>2.0844647890966551E-2</v>
      </c>
      <c r="E410" s="182">
        <v>1.355397093244793E-2</v>
      </c>
      <c r="F410" s="168"/>
      <c r="G410" s="168">
        <v>407</v>
      </c>
      <c r="H410" s="183">
        <f t="shared" ca="1" si="16"/>
        <v>5.2414656519681989E-3</v>
      </c>
      <c r="K410" s="36"/>
    </row>
    <row r="411" spans="2:11">
      <c r="B411" s="36">
        <v>45455</v>
      </c>
      <c r="C411" s="182">
        <v>3866.7</v>
      </c>
      <c r="D411" s="182">
        <f t="shared" si="15"/>
        <v>9.1738330440682327E-3</v>
      </c>
      <c r="E411" s="182">
        <v>1.3530927835051448E-2</v>
      </c>
      <c r="F411" s="168"/>
      <c r="G411" s="168">
        <v>408</v>
      </c>
      <c r="H411" s="183">
        <f t="shared" ca="1" si="16"/>
        <v>-1.5401889536274183E-2</v>
      </c>
      <c r="K411" s="36"/>
    </row>
    <row r="412" spans="2:11">
      <c r="B412" s="36">
        <v>45424</v>
      </c>
      <c r="C412" s="182">
        <v>3831.55</v>
      </c>
      <c r="D412" s="182">
        <f t="shared" si="15"/>
        <v>1.098973587693609E-2</v>
      </c>
      <c r="E412" s="182">
        <v>1.3519068280429281E-2</v>
      </c>
      <c r="F412" s="168"/>
      <c r="G412" s="168">
        <v>409</v>
      </c>
      <c r="H412" s="183">
        <f t="shared" ca="1" si="16"/>
        <v>-7.9587094911821518E-3</v>
      </c>
      <c r="K412" s="36"/>
    </row>
    <row r="413" spans="2:11">
      <c r="B413" s="36">
        <v>45394</v>
      </c>
      <c r="C413" s="182">
        <v>3789.9</v>
      </c>
      <c r="D413" s="182">
        <f t="shared" si="15"/>
        <v>7.525646611478351E-4</v>
      </c>
      <c r="E413" s="182">
        <v>1.3471275864224513E-2</v>
      </c>
      <c r="F413" s="168"/>
      <c r="G413" s="168">
        <v>410</v>
      </c>
      <c r="H413" s="183">
        <f t="shared" ca="1" si="16"/>
        <v>-2.6367802823694412E-3</v>
      </c>
      <c r="K413" s="36"/>
    </row>
    <row r="414" spans="2:11">
      <c r="B414" s="36">
        <v>45363</v>
      </c>
      <c r="C414" s="182">
        <v>3787.05</v>
      </c>
      <c r="D414" s="182">
        <f t="shared" si="15"/>
        <v>2.2407904860895504E-2</v>
      </c>
      <c r="E414" s="182">
        <v>1.3458250930177868E-2</v>
      </c>
      <c r="F414" s="168"/>
      <c r="G414" s="168">
        <v>411</v>
      </c>
      <c r="H414" s="183">
        <f t="shared" ca="1" si="16"/>
        <v>1.3110938442843299E-2</v>
      </c>
      <c r="K414" s="36"/>
    </row>
    <row r="415" spans="2:11">
      <c r="B415" s="36">
        <v>45334</v>
      </c>
      <c r="C415" s="182">
        <v>3704.05</v>
      </c>
      <c r="D415" s="182">
        <f t="shared" si="15"/>
        <v>-5.5707689003436428E-3</v>
      </c>
      <c r="E415" s="182">
        <v>1.3444738636183498E-2</v>
      </c>
      <c r="F415" s="168"/>
      <c r="G415" s="168">
        <v>412</v>
      </c>
      <c r="H415" s="183">
        <f t="shared" ca="1" si="16"/>
        <v>-1.8627129642380972E-3</v>
      </c>
      <c r="K415" s="36"/>
    </row>
    <row r="416" spans="2:11">
      <c r="B416" s="36" t="s">
        <v>8841</v>
      </c>
      <c r="C416" s="182">
        <v>3724.8</v>
      </c>
      <c r="D416" s="182">
        <f t="shared" si="15"/>
        <v>1.6025422457413292E-2</v>
      </c>
      <c r="E416" s="182">
        <v>1.3399598305258628E-2</v>
      </c>
      <c r="F416" s="168"/>
      <c r="G416" s="168">
        <v>413</v>
      </c>
      <c r="H416" s="183">
        <f t="shared" ca="1" si="16"/>
        <v>-1.6009733474406651E-3</v>
      </c>
      <c r="K416" s="36"/>
    </row>
    <row r="417" spans="2:11">
      <c r="B417" s="36" t="s">
        <v>8842</v>
      </c>
      <c r="C417" s="182">
        <v>3666.05</v>
      </c>
      <c r="D417" s="182">
        <f t="shared" si="15"/>
        <v>-8.8274258523263951E-3</v>
      </c>
      <c r="E417" s="182">
        <v>1.3375281214848047E-2</v>
      </c>
      <c r="F417" s="168"/>
      <c r="G417" s="168">
        <v>414</v>
      </c>
      <c r="H417" s="183">
        <f t="shared" ca="1" si="16"/>
        <v>-4.4590963171851359E-3</v>
      </c>
      <c r="K417" s="36"/>
    </row>
    <row r="418" spans="2:11">
      <c r="B418" s="36" t="s">
        <v>8843</v>
      </c>
      <c r="C418" s="182">
        <v>3698.7</v>
      </c>
      <c r="D418" s="182">
        <f t="shared" si="15"/>
        <v>-1.053313887538511E-3</v>
      </c>
      <c r="E418" s="182">
        <v>1.3337952537675356E-2</v>
      </c>
      <c r="F418" s="168"/>
      <c r="G418" s="168">
        <v>415</v>
      </c>
      <c r="H418" s="183">
        <f t="shared" ca="1" si="16"/>
        <v>1.9643497021533923E-2</v>
      </c>
      <c r="K418" s="36"/>
    </row>
    <row r="419" spans="2:11">
      <c r="B419" s="36" t="s">
        <v>8844</v>
      </c>
      <c r="C419" s="182">
        <v>3702.6</v>
      </c>
      <c r="D419" s="182">
        <f t="shared" si="15"/>
        <v>-1.3429256594724244E-2</v>
      </c>
      <c r="E419" s="182">
        <v>1.3271539919949442E-2</v>
      </c>
      <c r="F419" s="168"/>
      <c r="G419" s="168">
        <v>416</v>
      </c>
      <c r="H419" s="183">
        <f t="shared" ca="1" si="16"/>
        <v>-1.0161471750087681E-3</v>
      </c>
      <c r="K419" s="36"/>
    </row>
    <row r="420" spans="2:11">
      <c r="B420" s="36" t="s">
        <v>8845</v>
      </c>
      <c r="C420" s="182">
        <v>3753</v>
      </c>
      <c r="D420" s="182">
        <f t="shared" si="15"/>
        <v>4.1487442763979462E-2</v>
      </c>
      <c r="E420" s="182">
        <v>1.3250682438580502E-2</v>
      </c>
      <c r="F420" s="168"/>
      <c r="G420" s="168">
        <v>417</v>
      </c>
      <c r="H420" s="183">
        <f t="shared" ca="1" si="16"/>
        <v>1.7648829261575941E-3</v>
      </c>
      <c r="K420" s="36"/>
    </row>
    <row r="421" spans="2:11">
      <c r="B421" s="36" t="s">
        <v>8846</v>
      </c>
      <c r="C421" s="182">
        <v>3603.5</v>
      </c>
      <c r="D421" s="182">
        <f t="shared" si="15"/>
        <v>3.4448112530500931E-2</v>
      </c>
      <c r="E421" s="182">
        <v>1.3166212140367454E-2</v>
      </c>
      <c r="F421" s="168"/>
      <c r="G421" s="168">
        <v>418</v>
      </c>
      <c r="H421" s="183">
        <f t="shared" ca="1" si="16"/>
        <v>7.2445375101665242E-4</v>
      </c>
      <c r="K421" s="36"/>
    </row>
    <row r="422" spans="2:11">
      <c r="B422" s="36" t="s">
        <v>8847</v>
      </c>
      <c r="C422" s="182">
        <v>3483.5</v>
      </c>
      <c r="D422" s="182">
        <f t="shared" si="15"/>
        <v>-6.3892295844148695E-3</v>
      </c>
      <c r="E422" s="182">
        <v>1.3145943878770496E-2</v>
      </c>
      <c r="F422" s="168"/>
      <c r="G422" s="168">
        <v>419</v>
      </c>
      <c r="H422" s="183">
        <f t="shared" ca="1" si="16"/>
        <v>-9.3847557609398891E-3</v>
      </c>
      <c r="K422" s="36"/>
    </row>
    <row r="423" spans="2:11">
      <c r="B423" s="36" t="s">
        <v>8848</v>
      </c>
      <c r="C423" s="182">
        <v>3505.9</v>
      </c>
      <c r="D423" s="182">
        <f t="shared" si="15"/>
        <v>-1.0233897491636435E-2</v>
      </c>
      <c r="E423" s="182">
        <v>1.3102282333051605E-2</v>
      </c>
      <c r="F423" s="168"/>
      <c r="G423" s="168">
        <v>420</v>
      </c>
      <c r="H423" s="183">
        <f t="shared" ca="1" si="16"/>
        <v>5.0751028474124073E-3</v>
      </c>
      <c r="K423" s="36"/>
    </row>
    <row r="424" spans="2:11">
      <c r="B424" s="36" t="s">
        <v>8849</v>
      </c>
      <c r="C424" s="182">
        <v>3542.15</v>
      </c>
      <c r="D424" s="182">
        <f t="shared" si="15"/>
        <v>4.5090393477490512E-3</v>
      </c>
      <c r="E424" s="182">
        <v>1.3093965601010725E-2</v>
      </c>
      <c r="F424" s="168"/>
      <c r="G424" s="168">
        <v>421</v>
      </c>
      <c r="H424" s="183">
        <f t="shared" ca="1" si="16"/>
        <v>-1.1870138911739828E-2</v>
      </c>
      <c r="K424" s="36"/>
    </row>
    <row r="425" spans="2:11">
      <c r="B425" s="36" t="s">
        <v>8850</v>
      </c>
      <c r="C425" s="182">
        <v>3526.25</v>
      </c>
      <c r="D425" s="182">
        <f t="shared" si="15"/>
        <v>-6.1162079510702853E-3</v>
      </c>
      <c r="E425" s="182">
        <v>1.3090895624641217E-2</v>
      </c>
      <c r="F425" s="168"/>
      <c r="G425" s="168">
        <v>422</v>
      </c>
      <c r="H425" s="183">
        <f t="shared" ca="1" si="16"/>
        <v>2.9605428310257916E-4</v>
      </c>
      <c r="K425" s="36"/>
    </row>
    <row r="426" spans="2:11">
      <c r="B426" s="36" t="s">
        <v>8851</v>
      </c>
      <c r="C426" s="182">
        <v>3547.95</v>
      </c>
      <c r="D426" s="182">
        <f t="shared" si="15"/>
        <v>-1.2084592145015132E-2</v>
      </c>
      <c r="E426" s="182">
        <v>1.3067595652108853E-2</v>
      </c>
      <c r="F426" s="168"/>
      <c r="G426" s="168">
        <v>423</v>
      </c>
      <c r="H426" s="183">
        <f t="shared" ca="1" si="16"/>
        <v>-1.6897607977454578E-2</v>
      </c>
      <c r="K426" s="36"/>
    </row>
    <row r="427" spans="2:11">
      <c r="B427" s="36">
        <v>45637</v>
      </c>
      <c r="C427" s="182">
        <v>3591.35</v>
      </c>
      <c r="D427" s="182">
        <f t="shared" si="15"/>
        <v>-1.0333852322361078E-2</v>
      </c>
      <c r="E427" s="182">
        <v>1.3045295554040123E-2</v>
      </c>
      <c r="F427" s="168"/>
      <c r="G427" s="168">
        <v>424</v>
      </c>
      <c r="H427" s="183">
        <f t="shared" ca="1" si="16"/>
        <v>7.7069828828439432E-3</v>
      </c>
      <c r="K427" s="36"/>
    </row>
    <row r="428" spans="2:11">
      <c r="B428" s="36">
        <v>45607</v>
      </c>
      <c r="C428" s="182">
        <v>3628.85</v>
      </c>
      <c r="D428" s="182">
        <f t="shared" si="15"/>
        <v>-8.5921918968391315E-3</v>
      </c>
      <c r="E428" s="182">
        <v>1.3023010251220867E-2</v>
      </c>
      <c r="F428" s="168"/>
      <c r="G428" s="168">
        <v>425</v>
      </c>
      <c r="H428" s="183">
        <f t="shared" ca="1" si="16"/>
        <v>3.0164132352474412E-3</v>
      </c>
      <c r="K428" s="36"/>
    </row>
    <row r="429" spans="2:11">
      <c r="B429" s="36">
        <v>45515</v>
      </c>
      <c r="C429" s="182">
        <v>3660.3</v>
      </c>
      <c r="D429" s="182">
        <f t="shared" si="15"/>
        <v>3.7706873620271214E-3</v>
      </c>
      <c r="E429" s="182">
        <v>1.2951334379905852E-2</v>
      </c>
      <c r="F429" s="168"/>
      <c r="G429" s="168">
        <v>426</v>
      </c>
      <c r="H429" s="183">
        <f t="shared" ca="1" si="16"/>
        <v>9.461803662431531E-3</v>
      </c>
      <c r="K429" s="36"/>
    </row>
    <row r="430" spans="2:11">
      <c r="B430" s="36">
        <v>45484</v>
      </c>
      <c r="C430" s="182">
        <v>3646.55</v>
      </c>
      <c r="D430" s="182">
        <f t="shared" si="15"/>
        <v>3.0174601215223466E-4</v>
      </c>
      <c r="E430" s="182">
        <v>1.2949975264092192E-2</v>
      </c>
      <c r="F430" s="168"/>
      <c r="G430" s="168">
        <v>427</v>
      </c>
      <c r="H430" s="183">
        <f t="shared" ca="1" si="16"/>
        <v>-6.6109776316252934E-3</v>
      </c>
      <c r="K430" s="36"/>
    </row>
    <row r="431" spans="2:11">
      <c r="B431" s="36">
        <v>45454</v>
      </c>
      <c r="C431" s="182">
        <v>3645.45</v>
      </c>
      <c r="D431" s="182">
        <f t="shared" si="15"/>
        <v>1.9763343403826683E-2</v>
      </c>
      <c r="E431" s="182">
        <v>1.2897837988308307E-2</v>
      </c>
      <c r="F431" s="168"/>
      <c r="G431" s="168">
        <v>428</v>
      </c>
      <c r="H431" s="183">
        <f t="shared" ca="1" si="16"/>
        <v>1.4514082385016714E-2</v>
      </c>
      <c r="K431" s="36"/>
    </row>
    <row r="432" spans="2:11">
      <c r="B432" s="36">
        <v>45423</v>
      </c>
      <c r="C432" s="182">
        <v>3574.8</v>
      </c>
      <c r="D432" s="182">
        <f t="shared" si="15"/>
        <v>9.7917162080981358E-5</v>
      </c>
      <c r="E432" s="182">
        <v>1.2839981102787246E-2</v>
      </c>
      <c r="F432" s="168"/>
      <c r="G432" s="168">
        <v>429</v>
      </c>
      <c r="H432" s="183">
        <f t="shared" ca="1" si="16"/>
        <v>1.616738717746169E-2</v>
      </c>
      <c r="K432" s="36"/>
    </row>
    <row r="433" spans="2:11">
      <c r="B433" s="36">
        <v>45393</v>
      </c>
      <c r="C433" s="182">
        <v>3574.45</v>
      </c>
      <c r="D433" s="182">
        <f t="shared" si="15"/>
        <v>-1.431191142608962E-2</v>
      </c>
      <c r="E433" s="182">
        <v>1.2828517908838002E-2</v>
      </c>
      <c r="F433" s="168"/>
      <c r="G433" s="168">
        <v>430</v>
      </c>
      <c r="H433" s="183">
        <f t="shared" ca="1" si="16"/>
        <v>-8.727462770961817E-3</v>
      </c>
      <c r="K433" s="36"/>
    </row>
    <row r="434" spans="2:11">
      <c r="B434" s="36">
        <v>45302</v>
      </c>
      <c r="C434" s="182">
        <v>3626.35</v>
      </c>
      <c r="D434" s="182">
        <f t="shared" si="15"/>
        <v>1.1180741517819416E-3</v>
      </c>
      <c r="E434" s="182">
        <v>1.2791693427531505E-2</v>
      </c>
      <c r="F434" s="168"/>
      <c r="G434" s="168">
        <v>431</v>
      </c>
      <c r="H434" s="183">
        <f t="shared" ca="1" si="16"/>
        <v>-8.57789515393571E-3</v>
      </c>
      <c r="K434" s="36"/>
    </row>
    <row r="435" spans="2:11">
      <c r="B435" s="36" t="s">
        <v>8852</v>
      </c>
      <c r="C435" s="182">
        <v>3622.3</v>
      </c>
      <c r="D435" s="182">
        <f t="shared" si="15"/>
        <v>6.2772309181862274E-2</v>
      </c>
      <c r="E435" s="182">
        <v>1.2782239414707831E-2</v>
      </c>
      <c r="F435" s="168"/>
      <c r="G435" s="168">
        <v>432</v>
      </c>
      <c r="H435" s="183">
        <f t="shared" ca="1" si="16"/>
        <v>2.3128633341659925E-2</v>
      </c>
      <c r="K435" s="36"/>
    </row>
    <row r="436" spans="2:11">
      <c r="B436" s="36" t="s">
        <v>8853</v>
      </c>
      <c r="C436" s="182">
        <v>3408.35</v>
      </c>
      <c r="D436" s="182">
        <f t="shared" si="15"/>
        <v>8.1191398739979947E-3</v>
      </c>
      <c r="E436" s="182">
        <v>1.2764617144372792E-2</v>
      </c>
      <c r="F436" s="168"/>
      <c r="G436" s="168">
        <v>433</v>
      </c>
      <c r="H436" s="183">
        <f t="shared" ca="1" si="16"/>
        <v>1.4507195068914208E-2</v>
      </c>
      <c r="K436" s="36"/>
    </row>
    <row r="437" spans="2:11">
      <c r="B437" s="36" t="s">
        <v>8854</v>
      </c>
      <c r="C437" s="182">
        <v>3380.9</v>
      </c>
      <c r="D437" s="182">
        <f t="shared" si="15"/>
        <v>1.2003113026819896E-2</v>
      </c>
      <c r="E437" s="182">
        <v>1.2725534711435031E-2</v>
      </c>
      <c r="F437" s="168"/>
      <c r="G437" s="168">
        <v>434</v>
      </c>
      <c r="H437" s="183">
        <f t="shared" ca="1" si="16"/>
        <v>1.3379820952372939E-3</v>
      </c>
      <c r="K437" s="36"/>
    </row>
    <row r="438" spans="2:11">
      <c r="B438" s="36" t="s">
        <v>8855</v>
      </c>
      <c r="C438" s="182">
        <v>3340.8</v>
      </c>
      <c r="D438" s="182">
        <f t="shared" si="15"/>
        <v>4.3290043290043559E-3</v>
      </c>
      <c r="E438" s="182">
        <v>1.2704174228675206E-2</v>
      </c>
      <c r="F438" s="168"/>
      <c r="G438" s="168">
        <v>435</v>
      </c>
      <c r="H438" s="183">
        <f t="shared" ca="1" si="16"/>
        <v>-1.3221655577018439E-2</v>
      </c>
      <c r="K438" s="36"/>
    </row>
    <row r="439" spans="2:11">
      <c r="B439" s="36" t="s">
        <v>8856</v>
      </c>
      <c r="C439" s="182">
        <v>3326.4</v>
      </c>
      <c r="D439" s="182">
        <f t="shared" si="15"/>
        <v>-3.3767591826064224E-2</v>
      </c>
      <c r="E439" s="182">
        <v>1.2693271059718743E-2</v>
      </c>
      <c r="F439" s="168"/>
      <c r="G439" s="168">
        <v>436</v>
      </c>
      <c r="H439" s="183">
        <f t="shared" ca="1" si="16"/>
        <v>1.3521079675220978E-2</v>
      </c>
      <c r="K439" s="36"/>
    </row>
    <row r="440" spans="2:11">
      <c r="B440" s="36" t="s">
        <v>8857</v>
      </c>
      <c r="C440" s="182">
        <v>3442.65</v>
      </c>
      <c r="D440" s="182">
        <f t="shared" si="15"/>
        <v>-3.6898767147074143E-3</v>
      </c>
      <c r="E440" s="182">
        <v>1.2613355317394851E-2</v>
      </c>
      <c r="F440" s="168"/>
      <c r="G440" s="168">
        <v>437</v>
      </c>
      <c r="H440" s="183">
        <f t="shared" ca="1" si="16"/>
        <v>1.6071483342013356E-2</v>
      </c>
      <c r="K440" s="36"/>
    </row>
    <row r="441" spans="2:11">
      <c r="B441" s="36" t="s">
        <v>8858</v>
      </c>
      <c r="C441" s="182">
        <v>3455.4</v>
      </c>
      <c r="D441" s="182">
        <f t="shared" si="15"/>
        <v>-1.6088157407671062E-2</v>
      </c>
      <c r="E441" s="182">
        <v>1.2610917596806567E-2</v>
      </c>
      <c r="F441" s="168"/>
      <c r="G441" s="168">
        <v>438</v>
      </c>
      <c r="H441" s="183">
        <f t="shared" ca="1" si="16"/>
        <v>-1.5515714992961642E-4</v>
      </c>
      <c r="K441" s="36"/>
    </row>
    <row r="442" spans="2:11">
      <c r="B442" s="36" t="s">
        <v>8859</v>
      </c>
      <c r="C442" s="182">
        <v>3511.9</v>
      </c>
      <c r="D442" s="182">
        <f t="shared" si="15"/>
        <v>-2.0554439982150775E-2</v>
      </c>
      <c r="E442" s="182">
        <v>1.2592389816589104E-2</v>
      </c>
      <c r="F442" s="168"/>
      <c r="G442" s="168">
        <v>439</v>
      </c>
      <c r="H442" s="183">
        <f t="shared" ca="1" si="16"/>
        <v>8.0287878876491095E-3</v>
      </c>
      <c r="K442" s="36"/>
    </row>
    <row r="443" spans="2:11">
      <c r="B443" s="36" t="s">
        <v>8860</v>
      </c>
      <c r="C443" s="182">
        <v>3585.6</v>
      </c>
      <c r="D443" s="182">
        <f t="shared" si="15"/>
        <v>2.1801106825422682E-3</v>
      </c>
      <c r="E443" s="182">
        <v>1.2588097840424993E-2</v>
      </c>
      <c r="F443" s="168"/>
      <c r="G443" s="168">
        <v>440</v>
      </c>
      <c r="H443" s="183">
        <f t="shared" ca="1" si="16"/>
        <v>-8.1777821349664215E-3</v>
      </c>
      <c r="K443" s="36"/>
    </row>
    <row r="444" spans="2:11">
      <c r="B444" s="36" t="s">
        <v>8861</v>
      </c>
      <c r="C444" s="182">
        <v>3577.8</v>
      </c>
      <c r="D444" s="182">
        <f t="shared" si="15"/>
        <v>2.1006638097638853E-3</v>
      </c>
      <c r="E444" s="182">
        <v>1.2580279561768107E-2</v>
      </c>
      <c r="F444" s="168"/>
      <c r="G444" s="168">
        <v>441</v>
      </c>
      <c r="H444" s="183">
        <f t="shared" ca="1" si="16"/>
        <v>7.6240998717693447E-3</v>
      </c>
      <c r="K444" s="36"/>
    </row>
    <row r="445" spans="2:11">
      <c r="B445" s="36" t="s">
        <v>8862</v>
      </c>
      <c r="C445" s="182">
        <v>3570.3</v>
      </c>
      <c r="D445" s="182">
        <f t="shared" si="15"/>
        <v>1.0672026269603202E-2</v>
      </c>
      <c r="E445" s="182">
        <v>1.2539286524317083E-2</v>
      </c>
      <c r="F445" s="168"/>
      <c r="G445" s="168">
        <v>442</v>
      </c>
      <c r="H445" s="183">
        <f t="shared" ca="1" si="16"/>
        <v>-2.3865348960230293E-3</v>
      </c>
      <c r="K445" s="36"/>
    </row>
    <row r="446" spans="2:11">
      <c r="B446" s="36" t="s">
        <v>8863</v>
      </c>
      <c r="C446" s="182">
        <v>3532.6</v>
      </c>
      <c r="D446" s="182">
        <f t="shared" si="15"/>
        <v>-5.433711534671635E-3</v>
      </c>
      <c r="E446" s="182">
        <v>1.249140084724284E-2</v>
      </c>
      <c r="F446" s="168"/>
      <c r="G446" s="168">
        <v>443</v>
      </c>
      <c r="H446" s="183">
        <f t="shared" ca="1" si="16"/>
        <v>8.4520684701322735E-3</v>
      </c>
      <c r="K446" s="36"/>
    </row>
    <row r="447" spans="2:11">
      <c r="B447" s="36" t="s">
        <v>8864</v>
      </c>
      <c r="C447" s="182">
        <v>3551.9</v>
      </c>
      <c r="D447" s="182">
        <f t="shared" si="15"/>
        <v>-8.8606348715210498E-4</v>
      </c>
      <c r="E447" s="182">
        <v>1.2486096659610414E-2</v>
      </c>
      <c r="F447" s="168"/>
      <c r="G447" s="168">
        <v>444</v>
      </c>
      <c r="H447" s="183">
        <f t="shared" ca="1" si="16"/>
        <v>-1.3857232500361312E-2</v>
      </c>
      <c r="K447" s="36"/>
    </row>
    <row r="448" spans="2:11">
      <c r="B448" s="36" t="s">
        <v>8865</v>
      </c>
      <c r="C448" s="182">
        <v>3555.05</v>
      </c>
      <c r="D448" s="182">
        <f t="shared" si="15"/>
        <v>2.0818078706694807E-2</v>
      </c>
      <c r="E448" s="182">
        <v>1.2457490603186032E-2</v>
      </c>
      <c r="F448" s="168"/>
      <c r="G448" s="168">
        <v>445</v>
      </c>
      <c r="H448" s="183">
        <f t="shared" ca="1" si="16"/>
        <v>-9.603157759791852E-3</v>
      </c>
      <c r="K448" s="36"/>
    </row>
    <row r="449" spans="2:11">
      <c r="B449" s="36">
        <v>45606</v>
      </c>
      <c r="C449" s="182">
        <v>3482.55</v>
      </c>
      <c r="D449" s="182">
        <f t="shared" si="15"/>
        <v>6.4155360006936503E-3</v>
      </c>
      <c r="E449" s="182">
        <v>1.2397066102686281E-2</v>
      </c>
      <c r="F449" s="168"/>
      <c r="G449" s="168">
        <v>446</v>
      </c>
      <c r="H449" s="183">
        <f t="shared" ca="1" si="16"/>
        <v>-2.2421400867562533E-3</v>
      </c>
      <c r="K449" s="36"/>
    </row>
    <row r="450" spans="2:11">
      <c r="B450" s="36">
        <v>45575</v>
      </c>
      <c r="C450" s="182">
        <v>3460.35</v>
      </c>
      <c r="D450" s="182">
        <f t="shared" si="15"/>
        <v>-7.6711307390094925E-3</v>
      </c>
      <c r="E450" s="182">
        <v>1.2392875147034112E-2</v>
      </c>
      <c r="F450" s="168"/>
      <c r="G450" s="168">
        <v>447</v>
      </c>
      <c r="H450" s="183">
        <f t="shared" ca="1" si="16"/>
        <v>-7.6210575580141623E-3</v>
      </c>
      <c r="K450" s="36"/>
    </row>
    <row r="451" spans="2:11">
      <c r="B451" s="36">
        <v>45545</v>
      </c>
      <c r="C451" s="182">
        <v>3487.1</v>
      </c>
      <c r="D451" s="182">
        <f t="shared" si="15"/>
        <v>-1.2824142226248494E-2</v>
      </c>
      <c r="E451" s="182">
        <v>1.2384412153236459E-2</v>
      </c>
      <c r="F451" s="168"/>
      <c r="G451" s="168">
        <v>448</v>
      </c>
      <c r="H451" s="183">
        <f t="shared" ca="1" si="16"/>
        <v>1.7204481646424057E-2</v>
      </c>
      <c r="K451" s="36"/>
    </row>
    <row r="452" spans="2:11">
      <c r="B452" s="36">
        <v>45514</v>
      </c>
      <c r="C452" s="182">
        <v>3532.4</v>
      </c>
      <c r="D452" s="182">
        <f t="shared" ref="D452:D515" si="17">(C452-C453)/C453</f>
        <v>1.8466994392146174E-2</v>
      </c>
      <c r="E452" s="182">
        <v>1.2382541494686924E-2</v>
      </c>
      <c r="F452" s="168"/>
      <c r="G452" s="168">
        <v>449</v>
      </c>
      <c r="H452" s="183">
        <f t="shared" ca="1" si="16"/>
        <v>3.5053132326500506E-3</v>
      </c>
      <c r="K452" s="36"/>
    </row>
    <row r="453" spans="2:11">
      <c r="B453" s="36">
        <v>45483</v>
      </c>
      <c r="C453" s="182">
        <v>3468.35</v>
      </c>
      <c r="D453" s="182">
        <f t="shared" si="17"/>
        <v>-7.3269508722219583E-3</v>
      </c>
      <c r="E453" s="182">
        <v>1.237908288680213E-2</v>
      </c>
      <c r="F453" s="168"/>
      <c r="G453" s="168">
        <v>450</v>
      </c>
      <c r="H453" s="183">
        <f t="shared" ref="H453:H516" ca="1" si="18">_xlfn.NORM.INV(RAND(),N$6,N$7)</f>
        <v>1.7610946603263119E-2</v>
      </c>
      <c r="K453" s="36"/>
    </row>
    <row r="454" spans="2:11">
      <c r="B454" s="36">
        <v>45392</v>
      </c>
      <c r="C454" s="182">
        <v>3493.95</v>
      </c>
      <c r="D454" s="182">
        <f t="shared" si="17"/>
        <v>-1.0578531299587645E-3</v>
      </c>
      <c r="E454" s="182">
        <v>1.2368930062099248E-2</v>
      </c>
      <c r="F454" s="168"/>
      <c r="G454" s="168">
        <v>451</v>
      </c>
      <c r="H454" s="183">
        <f t="shared" ca="1" si="18"/>
        <v>2.5248290349819243E-2</v>
      </c>
      <c r="K454" s="36"/>
    </row>
    <row r="455" spans="2:11">
      <c r="B455" s="36">
        <v>45361</v>
      </c>
      <c r="C455" s="182">
        <v>3497.65</v>
      </c>
      <c r="D455" s="182">
        <f t="shared" si="17"/>
        <v>-4.2657725468728591E-2</v>
      </c>
      <c r="E455" s="182">
        <v>1.2368491640091794E-2</v>
      </c>
      <c r="F455" s="168"/>
      <c r="G455" s="168">
        <v>452</v>
      </c>
      <c r="H455" s="183">
        <f t="shared" ca="1" si="18"/>
        <v>-8.1109980484633699E-3</v>
      </c>
      <c r="K455" s="36"/>
    </row>
    <row r="456" spans="2:11">
      <c r="B456" s="36">
        <v>45301</v>
      </c>
      <c r="C456" s="182">
        <v>3653.5</v>
      </c>
      <c r="D456" s="182">
        <f t="shared" si="17"/>
        <v>-5.9991021751847158E-3</v>
      </c>
      <c r="E456" s="182">
        <v>1.2367518109035511E-2</v>
      </c>
      <c r="F456" s="168"/>
      <c r="G456" s="168">
        <v>453</v>
      </c>
      <c r="H456" s="183">
        <f t="shared" ca="1" si="18"/>
        <v>-2.8956497930165926E-3</v>
      </c>
      <c r="K456" s="36"/>
    </row>
    <row r="457" spans="2:11">
      <c r="B457" s="36" t="s">
        <v>8866</v>
      </c>
      <c r="C457" s="182">
        <v>3675.55</v>
      </c>
      <c r="D457" s="182">
        <f t="shared" si="17"/>
        <v>-8.1227315045943101E-3</v>
      </c>
      <c r="E457" s="182">
        <v>1.234930470918187E-2</v>
      </c>
      <c r="F457" s="168"/>
      <c r="G457" s="168">
        <v>454</v>
      </c>
      <c r="H457" s="183">
        <f t="shared" ca="1" si="18"/>
        <v>1.0139364801301769E-2</v>
      </c>
      <c r="K457" s="36"/>
    </row>
    <row r="458" spans="2:11">
      <c r="B458" s="36" t="s">
        <v>8867</v>
      </c>
      <c r="C458" s="182">
        <v>3705.65</v>
      </c>
      <c r="D458" s="182">
        <f t="shared" si="17"/>
        <v>-1.5018008319710804E-2</v>
      </c>
      <c r="E458" s="182">
        <v>1.2342957901697156E-2</v>
      </c>
      <c r="F458" s="168"/>
      <c r="G458" s="168">
        <v>455</v>
      </c>
      <c r="H458" s="183">
        <f t="shared" ca="1" si="18"/>
        <v>2.9678093393286854E-2</v>
      </c>
      <c r="K458" s="36"/>
    </row>
    <row r="459" spans="2:11">
      <c r="B459" s="36" t="s">
        <v>8868</v>
      </c>
      <c r="C459" s="182">
        <v>3762.15</v>
      </c>
      <c r="D459" s="182">
        <f t="shared" si="17"/>
        <v>-8.3556281877248222E-3</v>
      </c>
      <c r="E459" s="182">
        <v>1.23392513146249E-2</v>
      </c>
      <c r="F459" s="168"/>
      <c r="G459" s="168">
        <v>456</v>
      </c>
      <c r="H459" s="183">
        <f t="shared" ca="1" si="18"/>
        <v>6.2750178612028156E-3</v>
      </c>
      <c r="K459" s="36"/>
    </row>
    <row r="460" spans="2:11">
      <c r="B460" s="36" t="s">
        <v>8869</v>
      </c>
      <c r="C460" s="182">
        <v>3793.85</v>
      </c>
      <c r="D460" s="182">
        <f t="shared" si="17"/>
        <v>5.9341702711256464E-4</v>
      </c>
      <c r="E460" s="182">
        <v>1.2267435931057566E-2</v>
      </c>
      <c r="F460" s="168"/>
      <c r="G460" s="168">
        <v>457</v>
      </c>
      <c r="H460" s="183">
        <f t="shared" ca="1" si="18"/>
        <v>-1.6621816269648232E-2</v>
      </c>
      <c r="K460" s="36"/>
    </row>
    <row r="461" spans="2:11">
      <c r="B461" s="36" t="s">
        <v>8870</v>
      </c>
      <c r="C461" s="182">
        <v>3791.6</v>
      </c>
      <c r="D461" s="182">
        <f t="shared" si="17"/>
        <v>1.0296485994139165E-3</v>
      </c>
      <c r="E461" s="182">
        <v>1.2241171832856135E-2</v>
      </c>
      <c r="F461" s="168"/>
      <c r="G461" s="168">
        <v>458</v>
      </c>
      <c r="H461" s="183">
        <f t="shared" ca="1" si="18"/>
        <v>4.7376210126654286E-3</v>
      </c>
      <c r="K461" s="36"/>
    </row>
    <row r="462" spans="2:11">
      <c r="B462" s="36" t="s">
        <v>8871</v>
      </c>
      <c r="C462" s="182">
        <v>3787.7</v>
      </c>
      <c r="D462" s="182">
        <f t="shared" si="17"/>
        <v>-1.6342022720683921E-3</v>
      </c>
      <c r="E462" s="182">
        <v>1.2205387205387205E-2</v>
      </c>
      <c r="F462" s="168"/>
      <c r="G462" s="168">
        <v>459</v>
      </c>
      <c r="H462" s="183">
        <f t="shared" ca="1" si="18"/>
        <v>7.357242911992563E-3</v>
      </c>
      <c r="K462" s="36"/>
    </row>
    <row r="463" spans="2:11">
      <c r="B463" s="36" t="s">
        <v>8872</v>
      </c>
      <c r="C463" s="182">
        <v>3793.9</v>
      </c>
      <c r="D463" s="182">
        <f t="shared" si="17"/>
        <v>2.9915574015256477E-2</v>
      </c>
      <c r="E463" s="182">
        <v>1.2192966955292414E-2</v>
      </c>
      <c r="F463" s="168"/>
      <c r="G463" s="168">
        <v>460</v>
      </c>
      <c r="H463" s="183">
        <f t="shared" ca="1" si="18"/>
        <v>2.1448952466121048E-2</v>
      </c>
      <c r="K463" s="36"/>
    </row>
    <row r="464" spans="2:11">
      <c r="B464" s="36" t="s">
        <v>8873</v>
      </c>
      <c r="C464" s="182">
        <v>3683.7</v>
      </c>
      <c r="D464" s="182">
        <f t="shared" si="17"/>
        <v>-1.2532000160838505E-2</v>
      </c>
      <c r="E464" s="182">
        <v>1.2169613995056068E-2</v>
      </c>
      <c r="F464" s="168"/>
      <c r="G464" s="168">
        <v>461</v>
      </c>
      <c r="H464" s="183">
        <f t="shared" ca="1" si="18"/>
        <v>1.1316515179723225E-2</v>
      </c>
      <c r="K464" s="36"/>
    </row>
    <row r="465" spans="2:11">
      <c r="B465" s="36" t="s">
        <v>8874</v>
      </c>
      <c r="C465" s="182">
        <v>3730.45</v>
      </c>
      <c r="D465" s="182">
        <f t="shared" si="17"/>
        <v>9.5394024680666815E-3</v>
      </c>
      <c r="E465" s="182">
        <v>1.2137529240411353E-2</v>
      </c>
      <c r="F465" s="168"/>
      <c r="G465" s="168">
        <v>462</v>
      </c>
      <c r="H465" s="183">
        <f t="shared" ca="1" si="18"/>
        <v>2.5146281981003077E-2</v>
      </c>
      <c r="K465" s="36"/>
    </row>
    <row r="466" spans="2:11">
      <c r="B466" s="36" t="s">
        <v>8875</v>
      </c>
      <c r="C466" s="182">
        <v>3695.2</v>
      </c>
      <c r="D466" s="182">
        <f t="shared" si="17"/>
        <v>8.9972011741415291E-3</v>
      </c>
      <c r="E466" s="182">
        <v>1.2103369316323193E-2</v>
      </c>
      <c r="F466" s="168"/>
      <c r="G466" s="168">
        <v>463</v>
      </c>
      <c r="H466" s="183">
        <f t="shared" ca="1" si="18"/>
        <v>-9.9218614951272766E-4</v>
      </c>
      <c r="K466" s="36"/>
    </row>
    <row r="467" spans="2:11">
      <c r="B467" s="36" t="s">
        <v>8876</v>
      </c>
      <c r="C467" s="182">
        <v>3662.25</v>
      </c>
      <c r="D467" s="182">
        <f t="shared" si="17"/>
        <v>1.3631331303625796E-2</v>
      </c>
      <c r="E467" s="182">
        <v>1.2075586095392008E-2</v>
      </c>
      <c r="F467" s="168"/>
      <c r="G467" s="168">
        <v>464</v>
      </c>
      <c r="H467" s="183">
        <f t="shared" ca="1" si="18"/>
        <v>-8.0275484002030693E-4</v>
      </c>
      <c r="K467" s="36"/>
    </row>
    <row r="468" spans="2:11">
      <c r="B468" s="36" t="s">
        <v>8877</v>
      </c>
      <c r="C468" s="182">
        <v>3613</v>
      </c>
      <c r="D468" s="182">
        <f t="shared" si="17"/>
        <v>-2.4848150193263392E-3</v>
      </c>
      <c r="E468" s="182">
        <v>1.2070160084600485E-2</v>
      </c>
      <c r="F468" s="168"/>
      <c r="G468" s="168">
        <v>465</v>
      </c>
      <c r="H468" s="183">
        <f t="shared" ca="1" si="18"/>
        <v>2.8304648873954692E-3</v>
      </c>
      <c r="K468" s="36"/>
    </row>
    <row r="469" spans="2:11">
      <c r="B469" s="36">
        <v>45635</v>
      </c>
      <c r="C469" s="182">
        <v>3622</v>
      </c>
      <c r="D469" s="182">
        <f t="shared" si="17"/>
        <v>2.4046141449554047E-2</v>
      </c>
      <c r="E469" s="182">
        <v>1.2056342511539147E-2</v>
      </c>
      <c r="F469" s="168"/>
      <c r="G469" s="168">
        <v>466</v>
      </c>
      <c r="H469" s="183">
        <f t="shared" ca="1" si="18"/>
        <v>-6.3367658185085234E-3</v>
      </c>
      <c r="K469" s="36"/>
    </row>
    <row r="470" spans="2:11">
      <c r="B470" s="36">
        <v>45605</v>
      </c>
      <c r="C470" s="182">
        <v>3536.95</v>
      </c>
      <c r="D470" s="182">
        <f t="shared" si="17"/>
        <v>-1.6462049692031831E-2</v>
      </c>
      <c r="E470" s="182">
        <v>1.2051377744604092E-2</v>
      </c>
      <c r="F470" s="168"/>
      <c r="G470" s="168">
        <v>467</v>
      </c>
      <c r="H470" s="183">
        <f t="shared" ca="1" si="18"/>
        <v>1.2638179225908389E-2</v>
      </c>
      <c r="K470" s="36"/>
    </row>
    <row r="471" spans="2:11">
      <c r="B471" s="36">
        <v>45574</v>
      </c>
      <c r="C471" s="182">
        <v>3596.15</v>
      </c>
      <c r="D471" s="182">
        <f t="shared" si="17"/>
        <v>4.9884023139479382E-3</v>
      </c>
      <c r="E471" s="182">
        <v>1.2044156589988194E-2</v>
      </c>
      <c r="F471" s="168"/>
      <c r="G471" s="168">
        <v>468</v>
      </c>
      <c r="H471" s="183">
        <f t="shared" ca="1" si="18"/>
        <v>1.9809024158348437E-2</v>
      </c>
      <c r="K471" s="36"/>
    </row>
    <row r="472" spans="2:11">
      <c r="B472" s="36">
        <v>45544</v>
      </c>
      <c r="C472" s="182">
        <v>3578.3</v>
      </c>
      <c r="D472" s="182">
        <f t="shared" si="17"/>
        <v>9.9307643891186287E-4</v>
      </c>
      <c r="E472" s="182">
        <v>1.2006647278770292E-2</v>
      </c>
      <c r="F472" s="168"/>
      <c r="G472" s="168">
        <v>469</v>
      </c>
      <c r="H472" s="183">
        <f t="shared" ca="1" si="18"/>
        <v>1.1794937675261196E-2</v>
      </c>
      <c r="K472" s="36"/>
    </row>
    <row r="473" spans="2:11">
      <c r="B473" s="36">
        <v>45452</v>
      </c>
      <c r="C473" s="182">
        <v>3574.75</v>
      </c>
      <c r="D473" s="182">
        <f t="shared" si="17"/>
        <v>-1.3630782390353625E-2</v>
      </c>
      <c r="E473" s="182">
        <v>1.1987833243871837E-2</v>
      </c>
      <c r="F473" s="168"/>
      <c r="G473" s="168">
        <v>470</v>
      </c>
      <c r="H473" s="183">
        <f t="shared" ca="1" si="18"/>
        <v>-6.0305792989356439E-3</v>
      </c>
      <c r="K473" s="36"/>
    </row>
    <row r="474" spans="2:11">
      <c r="B474" s="36">
        <v>45421</v>
      </c>
      <c r="C474" s="182">
        <v>3624.15</v>
      </c>
      <c r="D474" s="182">
        <f t="shared" si="17"/>
        <v>-7.2997699134436534E-3</v>
      </c>
      <c r="E474" s="182">
        <v>1.1923388184515733E-2</v>
      </c>
      <c r="F474" s="168"/>
      <c r="G474" s="168">
        <v>471</v>
      </c>
      <c r="H474" s="183">
        <f t="shared" ca="1" si="18"/>
        <v>-2.5089622509142616E-3</v>
      </c>
      <c r="K474" s="36"/>
    </row>
    <row r="475" spans="2:11">
      <c r="B475" s="36">
        <v>45391</v>
      </c>
      <c r="C475" s="182">
        <v>3650.8</v>
      </c>
      <c r="D475" s="182">
        <f t="shared" si="17"/>
        <v>-1.0663523163015028E-2</v>
      </c>
      <c r="E475" s="182">
        <v>1.1911345556642703E-2</v>
      </c>
      <c r="F475" s="168"/>
      <c r="G475" s="168">
        <v>472</v>
      </c>
      <c r="H475" s="183">
        <f t="shared" ca="1" si="18"/>
        <v>1.9106820263959799E-2</v>
      </c>
      <c r="K475" s="36"/>
    </row>
    <row r="476" spans="2:11">
      <c r="B476" s="36">
        <v>45360</v>
      </c>
      <c r="C476" s="182">
        <v>3690.15</v>
      </c>
      <c r="D476" s="182">
        <f t="shared" si="17"/>
        <v>1.9141484075914806E-3</v>
      </c>
      <c r="E476" s="182">
        <v>1.190155891429925E-2</v>
      </c>
      <c r="F476" s="168"/>
      <c r="G476" s="168">
        <v>473</v>
      </c>
      <c r="H476" s="183">
        <f t="shared" ca="1" si="18"/>
        <v>1.1199210367708608E-2</v>
      </c>
      <c r="K476" s="36"/>
    </row>
    <row r="477" spans="2:11">
      <c r="B477" s="36">
        <v>45331</v>
      </c>
      <c r="C477" s="182">
        <v>3683.1</v>
      </c>
      <c r="D477" s="182">
        <f t="shared" si="17"/>
        <v>-5.8170137529861606E-3</v>
      </c>
      <c r="E477" s="182">
        <v>1.188753900054031E-2</v>
      </c>
      <c r="F477" s="168"/>
      <c r="G477" s="168">
        <v>474</v>
      </c>
      <c r="H477" s="183">
        <f t="shared" ca="1" si="18"/>
        <v>-9.2579514800431896E-3</v>
      </c>
      <c r="K477" s="36"/>
    </row>
    <row r="478" spans="2:11">
      <c r="B478" s="36" t="s">
        <v>8878</v>
      </c>
      <c r="C478" s="182">
        <v>3704.65</v>
      </c>
      <c r="D478" s="182">
        <f t="shared" si="17"/>
        <v>5.7554738085219765E-3</v>
      </c>
      <c r="E478" s="182">
        <v>1.1825975482733784E-2</v>
      </c>
      <c r="F478" s="168"/>
      <c r="G478" s="168">
        <v>475</v>
      </c>
      <c r="H478" s="183">
        <f t="shared" ca="1" si="18"/>
        <v>1.4829484649825746E-2</v>
      </c>
      <c r="K478" s="36"/>
    </row>
    <row r="479" spans="2:11">
      <c r="B479" s="36" t="s">
        <v>8879</v>
      </c>
      <c r="C479" s="182">
        <v>3683.45</v>
      </c>
      <c r="D479" s="182">
        <f t="shared" si="17"/>
        <v>-1.5180059907023119E-3</v>
      </c>
      <c r="E479" s="182">
        <v>1.1825849876458999E-2</v>
      </c>
      <c r="F479" s="168"/>
      <c r="G479" s="168">
        <v>476</v>
      </c>
      <c r="H479" s="183">
        <f t="shared" ca="1" si="18"/>
        <v>-1.5548458833826783E-2</v>
      </c>
      <c r="K479" s="36"/>
    </row>
    <row r="480" spans="2:11">
      <c r="B480" s="36" t="s">
        <v>8880</v>
      </c>
      <c r="C480" s="182">
        <v>3689.05</v>
      </c>
      <c r="D480" s="182">
        <f t="shared" si="17"/>
        <v>-3.686499041240078E-3</v>
      </c>
      <c r="E480" s="182">
        <v>1.1821410451547415E-2</v>
      </c>
      <c r="F480" s="168"/>
      <c r="G480" s="168">
        <v>477</v>
      </c>
      <c r="H480" s="183">
        <f t="shared" ca="1" si="18"/>
        <v>2.2787908948337692E-2</v>
      </c>
      <c r="K480" s="36"/>
    </row>
    <row r="481" spans="2:11">
      <c r="B481" s="36" t="s">
        <v>8881</v>
      </c>
      <c r="C481" s="182">
        <v>3702.7</v>
      </c>
      <c r="D481" s="182">
        <f t="shared" si="17"/>
        <v>1.6694582498146496E-2</v>
      </c>
      <c r="E481" s="182">
        <v>1.180421951935314E-2</v>
      </c>
      <c r="F481" s="168"/>
      <c r="G481" s="168">
        <v>478</v>
      </c>
      <c r="H481" s="183">
        <f t="shared" ca="1" si="18"/>
        <v>-1.1577846303135082E-2</v>
      </c>
      <c r="K481" s="36"/>
    </row>
    <row r="482" spans="2:11">
      <c r="B482" s="36" t="s">
        <v>8882</v>
      </c>
      <c r="C482" s="182">
        <v>3641.9</v>
      </c>
      <c r="D482" s="182">
        <f t="shared" si="17"/>
        <v>1.2046518736713372E-2</v>
      </c>
      <c r="E482" s="182">
        <v>1.1799619711051416E-2</v>
      </c>
      <c r="F482" s="168"/>
      <c r="G482" s="168">
        <v>479</v>
      </c>
      <c r="H482" s="183">
        <f t="shared" ca="1" si="18"/>
        <v>-7.6036986718518865E-3</v>
      </c>
      <c r="K482" s="36"/>
    </row>
    <row r="483" spans="2:11">
      <c r="B483" s="36" t="s">
        <v>8883</v>
      </c>
      <c r="C483" s="182">
        <v>3598.55</v>
      </c>
      <c r="D483" s="182">
        <f t="shared" si="17"/>
        <v>-2.2043532510743983E-3</v>
      </c>
      <c r="E483" s="182">
        <v>1.1763974897997262E-2</v>
      </c>
      <c r="F483" s="168"/>
      <c r="G483" s="168">
        <v>480</v>
      </c>
      <c r="H483" s="183">
        <f t="shared" ca="1" si="18"/>
        <v>1.348725297180519E-2</v>
      </c>
      <c r="K483" s="36"/>
    </row>
    <row r="484" spans="2:11">
      <c r="B484" s="36" t="s">
        <v>8884</v>
      </c>
      <c r="C484" s="182">
        <v>3606.5</v>
      </c>
      <c r="D484" s="182">
        <f t="shared" si="17"/>
        <v>2.9059662685446026E-3</v>
      </c>
      <c r="E484" s="182">
        <v>1.1735589972856434E-2</v>
      </c>
      <c r="F484" s="168"/>
      <c r="G484" s="168">
        <v>481</v>
      </c>
      <c r="H484" s="183">
        <f t="shared" ca="1" si="18"/>
        <v>1.694763413832057E-2</v>
      </c>
      <c r="K484" s="36"/>
    </row>
    <row r="485" spans="2:11">
      <c r="B485" s="36" t="s">
        <v>8885</v>
      </c>
      <c r="C485" s="182">
        <v>3596.05</v>
      </c>
      <c r="D485" s="182">
        <f t="shared" si="17"/>
        <v>6.5356733003051936E-3</v>
      </c>
      <c r="E485" s="182">
        <v>1.1734219918838313E-2</v>
      </c>
      <c r="F485" s="168"/>
      <c r="G485" s="168">
        <v>482</v>
      </c>
      <c r="H485" s="183">
        <f t="shared" ca="1" si="18"/>
        <v>-3.6688755638910652E-3</v>
      </c>
      <c r="K485" s="36"/>
    </row>
    <row r="486" spans="2:11">
      <c r="B486" s="36" t="s">
        <v>8886</v>
      </c>
      <c r="C486" s="182">
        <v>3572.7</v>
      </c>
      <c r="D486" s="182">
        <f t="shared" si="17"/>
        <v>4.9647684280107549E-3</v>
      </c>
      <c r="E486" s="182">
        <v>1.1687981705767791E-2</v>
      </c>
      <c r="F486" s="168"/>
      <c r="G486" s="168">
        <v>483</v>
      </c>
      <c r="H486" s="183">
        <f t="shared" ca="1" si="18"/>
        <v>4.8337711194207647E-3</v>
      </c>
      <c r="K486" s="36"/>
    </row>
    <row r="487" spans="2:11">
      <c r="B487" s="36" t="s">
        <v>8887</v>
      </c>
      <c r="C487" s="182">
        <v>3555.05</v>
      </c>
      <c r="D487" s="182">
        <f t="shared" si="17"/>
        <v>-3.7272128574830743E-3</v>
      </c>
      <c r="E487" s="182">
        <v>1.1646502572660269E-2</v>
      </c>
      <c r="F487" s="168"/>
      <c r="G487" s="168">
        <v>484</v>
      </c>
      <c r="H487" s="183">
        <f t="shared" ca="1" si="18"/>
        <v>6.108692003522256E-3</v>
      </c>
      <c r="K487" s="36"/>
    </row>
    <row r="488" spans="2:11">
      <c r="B488" s="36" t="s">
        <v>8888</v>
      </c>
      <c r="C488" s="182">
        <v>3568.35</v>
      </c>
      <c r="D488" s="182">
        <f t="shared" si="17"/>
        <v>6.5299559968408248E-3</v>
      </c>
      <c r="E488" s="182">
        <v>1.1621775537322446E-2</v>
      </c>
      <c r="F488" s="168"/>
      <c r="G488" s="168">
        <v>485</v>
      </c>
      <c r="H488" s="183">
        <f t="shared" ca="1" si="18"/>
        <v>-6.8938417497263699E-3</v>
      </c>
      <c r="K488" s="36"/>
    </row>
    <row r="489" spans="2:11">
      <c r="B489" s="36" t="s">
        <v>8889</v>
      </c>
      <c r="C489" s="182">
        <v>3545.2</v>
      </c>
      <c r="D489" s="182">
        <f t="shared" si="17"/>
        <v>-1.8582127372037736E-3</v>
      </c>
      <c r="E489" s="182">
        <v>1.16107876597739E-2</v>
      </c>
      <c r="F489" s="168"/>
      <c r="G489" s="168">
        <v>486</v>
      </c>
      <c r="H489" s="183">
        <f t="shared" ca="1" si="18"/>
        <v>1.314244319007259E-3</v>
      </c>
      <c r="K489" s="36"/>
    </row>
    <row r="490" spans="2:11">
      <c r="B490" s="36" t="s">
        <v>8890</v>
      </c>
      <c r="C490" s="182">
        <v>3551.8</v>
      </c>
      <c r="D490" s="182">
        <f t="shared" si="17"/>
        <v>-5.6411763882472142E-3</v>
      </c>
      <c r="E490" s="182">
        <v>1.1593052984219422E-2</v>
      </c>
      <c r="F490" s="168"/>
      <c r="G490" s="168">
        <v>487</v>
      </c>
      <c r="H490" s="183">
        <f t="shared" ca="1" si="18"/>
        <v>2.6942149520370129E-3</v>
      </c>
      <c r="K490" s="36"/>
    </row>
    <row r="491" spans="2:11">
      <c r="B491" s="36">
        <v>45634</v>
      </c>
      <c r="C491" s="182">
        <v>3571.95</v>
      </c>
      <c r="D491" s="182">
        <f t="shared" si="17"/>
        <v>-5.5956904831503916E-3</v>
      </c>
      <c r="E491" s="182">
        <v>1.1560438914758261E-2</v>
      </c>
      <c r="F491" s="168"/>
      <c r="G491" s="168">
        <v>488</v>
      </c>
      <c r="H491" s="183">
        <f t="shared" ca="1" si="18"/>
        <v>1.6268408752611891E-2</v>
      </c>
      <c r="K491" s="36"/>
    </row>
    <row r="492" spans="2:11">
      <c r="B492" s="36">
        <v>45543</v>
      </c>
      <c r="C492" s="182">
        <v>3592.05</v>
      </c>
      <c r="D492" s="182">
        <f t="shared" si="17"/>
        <v>1.0834236186348862E-2</v>
      </c>
      <c r="E492" s="182">
        <v>1.1556134695837142E-2</v>
      </c>
      <c r="F492" s="168"/>
      <c r="G492" s="168">
        <v>489</v>
      </c>
      <c r="H492" s="183">
        <f t="shared" ca="1" si="18"/>
        <v>-2.4164098111230711E-2</v>
      </c>
      <c r="K492" s="36"/>
    </row>
    <row r="493" spans="2:11">
      <c r="B493" s="36">
        <v>45512</v>
      </c>
      <c r="C493" s="182">
        <v>3553.55</v>
      </c>
      <c r="D493" s="182">
        <f t="shared" si="17"/>
        <v>-2.3280423280423231E-2</v>
      </c>
      <c r="E493" s="182">
        <v>1.1536250923721122E-2</v>
      </c>
      <c r="F493" s="168"/>
      <c r="G493" s="168">
        <v>490</v>
      </c>
      <c r="H493" s="183">
        <f t="shared" ca="1" si="18"/>
        <v>1.335075274839944E-2</v>
      </c>
      <c r="K493" s="36"/>
    </row>
    <row r="494" spans="2:11">
      <c r="B494" s="36">
        <v>45481</v>
      </c>
      <c r="C494" s="182">
        <v>3638.25</v>
      </c>
      <c r="D494" s="182">
        <f t="shared" si="17"/>
        <v>1.7350819305408025E-2</v>
      </c>
      <c r="E494" s="182">
        <v>1.1531550391653923E-2</v>
      </c>
      <c r="F494" s="168"/>
      <c r="G494" s="168">
        <v>491</v>
      </c>
      <c r="H494" s="183">
        <f t="shared" ca="1" si="18"/>
        <v>1.4711405373022561E-2</v>
      </c>
      <c r="K494" s="36"/>
    </row>
    <row r="495" spans="2:11">
      <c r="B495" s="36">
        <v>45451</v>
      </c>
      <c r="C495" s="182">
        <v>3576.2</v>
      </c>
      <c r="D495" s="182">
        <f t="shared" si="17"/>
        <v>1.3662131519274324E-2</v>
      </c>
      <c r="E495" s="182">
        <v>1.1523516012327361E-2</v>
      </c>
      <c r="F495" s="168"/>
      <c r="G495" s="168">
        <v>492</v>
      </c>
      <c r="H495" s="183">
        <f t="shared" ca="1" si="18"/>
        <v>-1.1820724626763375E-2</v>
      </c>
      <c r="K495" s="36"/>
    </row>
    <row r="496" spans="2:11">
      <c r="B496" s="36">
        <v>45420</v>
      </c>
      <c r="C496" s="182">
        <v>3528</v>
      </c>
      <c r="D496" s="182">
        <f t="shared" si="17"/>
        <v>-3.7564448809231474E-2</v>
      </c>
      <c r="E496" s="182">
        <v>1.1503477795612504E-2</v>
      </c>
      <c r="F496" s="168"/>
      <c r="G496" s="168">
        <v>493</v>
      </c>
      <c r="H496" s="183">
        <f t="shared" ca="1" si="18"/>
        <v>5.3458204825095742E-3</v>
      </c>
      <c r="K496" s="36"/>
    </row>
    <row r="497" spans="2:11">
      <c r="B497" s="36">
        <v>45330</v>
      </c>
      <c r="C497" s="182">
        <v>3665.7</v>
      </c>
      <c r="D497" s="182">
        <f t="shared" si="17"/>
        <v>-3.0058476437435599E-2</v>
      </c>
      <c r="E497" s="182">
        <v>1.148362882670924E-2</v>
      </c>
      <c r="F497" s="168"/>
      <c r="G497" s="168">
        <v>494</v>
      </c>
      <c r="H497" s="183">
        <f t="shared" ca="1" si="18"/>
        <v>9.7337711199666239E-3</v>
      </c>
      <c r="K497" s="36"/>
    </row>
    <row r="498" spans="2:11">
      <c r="B498" s="36">
        <v>45299</v>
      </c>
      <c r="C498" s="182">
        <v>3779.3</v>
      </c>
      <c r="D498" s="182">
        <f t="shared" si="17"/>
        <v>-9.3577981651375673E-3</v>
      </c>
      <c r="E498" s="182">
        <v>1.1480335441051127E-2</v>
      </c>
      <c r="F498" s="168"/>
      <c r="G498" s="168">
        <v>495</v>
      </c>
      <c r="H498" s="183">
        <f t="shared" ca="1" si="18"/>
        <v>-6.1652306589974901E-3</v>
      </c>
      <c r="K498" s="36"/>
    </row>
    <row r="499" spans="2:11">
      <c r="B499" s="36" t="s">
        <v>8891</v>
      </c>
      <c r="C499" s="182">
        <v>3815</v>
      </c>
      <c r="D499" s="182">
        <f t="shared" si="17"/>
        <v>8.0192355964223659E-3</v>
      </c>
      <c r="E499" s="182">
        <v>1.1467353147671371E-2</v>
      </c>
      <c r="F499" s="168"/>
      <c r="G499" s="168">
        <v>496</v>
      </c>
      <c r="H499" s="183">
        <f t="shared" ca="1" si="18"/>
        <v>3.2938554529214794E-3</v>
      </c>
      <c r="K499" s="36"/>
    </row>
    <row r="500" spans="2:11">
      <c r="B500" s="36" t="s">
        <v>8892</v>
      </c>
      <c r="C500" s="182">
        <v>3784.65</v>
      </c>
      <c r="D500" s="182">
        <f t="shared" si="17"/>
        <v>2.5695704578869317E-3</v>
      </c>
      <c r="E500" s="182">
        <v>1.1458333333333333E-2</v>
      </c>
      <c r="F500" s="168"/>
      <c r="G500" s="168">
        <v>497</v>
      </c>
      <c r="H500" s="183">
        <f t="shared" ca="1" si="18"/>
        <v>-2.7875185210590136E-2</v>
      </c>
      <c r="K500" s="36"/>
    </row>
    <row r="501" spans="2:11">
      <c r="B501" s="36" t="s">
        <v>8893</v>
      </c>
      <c r="C501" s="182">
        <v>3774.95</v>
      </c>
      <c r="D501" s="182">
        <f t="shared" si="17"/>
        <v>2.582950623658244E-2</v>
      </c>
      <c r="E501" s="182">
        <v>1.1453919491525393E-2</v>
      </c>
      <c r="F501" s="168"/>
      <c r="G501" s="168">
        <v>498</v>
      </c>
      <c r="H501" s="183">
        <f t="shared" ca="1" si="18"/>
        <v>-4.5832774083258759E-3</v>
      </c>
      <c r="K501" s="36"/>
    </row>
    <row r="502" spans="2:11">
      <c r="B502" s="36" t="s">
        <v>8894</v>
      </c>
      <c r="C502" s="182">
        <v>3679.9</v>
      </c>
      <c r="D502" s="182">
        <f t="shared" si="17"/>
        <v>1.6785709351643342E-2</v>
      </c>
      <c r="E502" s="182">
        <v>1.1396168244879882E-2</v>
      </c>
      <c r="F502" s="168"/>
      <c r="G502" s="168">
        <v>499</v>
      </c>
      <c r="H502" s="183">
        <f t="shared" ca="1" si="18"/>
        <v>-9.6065726904534625E-3</v>
      </c>
      <c r="K502" s="36"/>
    </row>
    <row r="503" spans="2:11">
      <c r="B503" s="36" t="s">
        <v>8895</v>
      </c>
      <c r="C503" s="182">
        <v>3619.15</v>
      </c>
      <c r="D503" s="182">
        <f t="shared" si="17"/>
        <v>2.8328289931665539E-2</v>
      </c>
      <c r="E503" s="182">
        <v>1.1379924423402604E-2</v>
      </c>
      <c r="F503" s="168"/>
      <c r="G503" s="168">
        <v>500</v>
      </c>
      <c r="H503" s="183">
        <f t="shared" ca="1" si="18"/>
        <v>2.2082420427676649E-3</v>
      </c>
      <c r="K503" s="36"/>
    </row>
    <row r="504" spans="2:11">
      <c r="B504" s="36" t="s">
        <v>8896</v>
      </c>
      <c r="C504" s="182">
        <v>3519.45</v>
      </c>
      <c r="D504" s="182">
        <f t="shared" si="17"/>
        <v>-5.2571331665749108E-3</v>
      </c>
      <c r="E504" s="182">
        <v>1.1319345926976806E-2</v>
      </c>
      <c r="F504" s="168"/>
      <c r="G504" s="168">
        <v>501</v>
      </c>
      <c r="H504" s="183">
        <f t="shared" ca="1" si="18"/>
        <v>1.2339648094350161E-2</v>
      </c>
      <c r="K504" s="36"/>
    </row>
    <row r="505" spans="2:11">
      <c r="B505" s="36" t="s">
        <v>8897</v>
      </c>
      <c r="C505" s="182">
        <v>3538.05</v>
      </c>
      <c r="D505" s="182">
        <f t="shared" si="17"/>
        <v>-3.1056155773733624E-2</v>
      </c>
      <c r="E505" s="182">
        <v>1.1289092295957251E-2</v>
      </c>
      <c r="F505" s="168"/>
      <c r="G505" s="168">
        <v>502</v>
      </c>
      <c r="H505" s="183">
        <f t="shared" ca="1" si="18"/>
        <v>3.1338834046787155E-3</v>
      </c>
      <c r="K505" s="36"/>
    </row>
    <row r="506" spans="2:11">
      <c r="B506" s="36" t="s">
        <v>8898</v>
      </c>
      <c r="C506" s="182">
        <v>3651.45</v>
      </c>
      <c r="D506" s="182">
        <f t="shared" si="17"/>
        <v>9.1059831421859382E-3</v>
      </c>
      <c r="E506" s="182">
        <v>1.127412161880537E-2</v>
      </c>
      <c r="F506" s="168"/>
      <c r="G506" s="168">
        <v>503</v>
      </c>
      <c r="H506" s="183">
        <f t="shared" ca="1" si="18"/>
        <v>1.5870720504989552E-2</v>
      </c>
      <c r="K506" s="36"/>
    </row>
    <row r="507" spans="2:11">
      <c r="B507" s="36" t="s">
        <v>8899</v>
      </c>
      <c r="C507" s="182">
        <v>3618.5</v>
      </c>
      <c r="D507" s="182">
        <f t="shared" si="17"/>
        <v>-1.0311252119687057E-2</v>
      </c>
      <c r="E507" s="182">
        <v>1.1260582481711802E-2</v>
      </c>
      <c r="F507" s="168"/>
      <c r="G507" s="168">
        <v>504</v>
      </c>
      <c r="H507" s="183">
        <f t="shared" ca="1" si="18"/>
        <v>-1.1621002578076443E-2</v>
      </c>
      <c r="K507" s="36"/>
    </row>
    <row r="508" spans="2:11">
      <c r="B508" s="36" t="s">
        <v>8900</v>
      </c>
      <c r="C508" s="182">
        <v>3656.2</v>
      </c>
      <c r="D508" s="182">
        <f t="shared" si="17"/>
        <v>5.4034730720049591E-3</v>
      </c>
      <c r="E508" s="182">
        <v>1.1229623666733786E-2</v>
      </c>
      <c r="F508" s="168"/>
      <c r="G508" s="168">
        <v>505</v>
      </c>
      <c r="H508" s="183">
        <f t="shared" ca="1" si="18"/>
        <v>2.199627128938509E-2</v>
      </c>
      <c r="K508" s="36"/>
    </row>
    <row r="509" spans="2:11">
      <c r="B509" s="36" t="s">
        <v>8901</v>
      </c>
      <c r="C509" s="182">
        <v>3636.55</v>
      </c>
      <c r="D509" s="182">
        <f t="shared" si="17"/>
        <v>-4.1214809946324149E-3</v>
      </c>
      <c r="E509" s="182">
        <v>1.1202504450309987E-2</v>
      </c>
      <c r="F509" s="168"/>
      <c r="G509" s="168">
        <v>506</v>
      </c>
      <c r="H509" s="183">
        <f t="shared" ca="1" si="18"/>
        <v>-7.8107426066086642E-3</v>
      </c>
      <c r="K509" s="36"/>
    </row>
    <row r="510" spans="2:11">
      <c r="B510" s="36" t="s">
        <v>8902</v>
      </c>
      <c r="C510" s="182">
        <v>3651.6</v>
      </c>
      <c r="D510" s="182">
        <f t="shared" si="17"/>
        <v>6.1654815241070327E-4</v>
      </c>
      <c r="E510" s="182">
        <v>1.11867954635142E-2</v>
      </c>
      <c r="F510" s="168"/>
      <c r="G510" s="168">
        <v>507</v>
      </c>
      <c r="H510" s="183">
        <f t="shared" ca="1" si="18"/>
        <v>3.0354479856500262E-3</v>
      </c>
      <c r="K510" s="36"/>
    </row>
    <row r="511" spans="2:11">
      <c r="B511" s="36">
        <v>45633</v>
      </c>
      <c r="C511" s="182">
        <v>3649.35</v>
      </c>
      <c r="D511" s="182">
        <f t="shared" si="17"/>
        <v>7.8014967827455747E-3</v>
      </c>
      <c r="E511" s="182">
        <v>1.1148475160269714E-2</v>
      </c>
      <c r="F511" s="168"/>
      <c r="G511" s="168">
        <v>508</v>
      </c>
      <c r="H511" s="183">
        <f t="shared" ca="1" si="18"/>
        <v>-9.4663897250631159E-3</v>
      </c>
      <c r="K511" s="36"/>
    </row>
    <row r="512" spans="2:11">
      <c r="B512" s="36">
        <v>45603</v>
      </c>
      <c r="C512" s="182">
        <v>3621.1</v>
      </c>
      <c r="D512" s="182">
        <f t="shared" si="17"/>
        <v>-7.9313982000247321E-3</v>
      </c>
      <c r="E512" s="182">
        <v>1.1123296255679106E-2</v>
      </c>
      <c r="F512" s="168"/>
      <c r="G512" s="168">
        <v>509</v>
      </c>
      <c r="H512" s="183">
        <f t="shared" ca="1" si="18"/>
        <v>2.9074584845428923E-3</v>
      </c>
      <c r="K512" s="36"/>
    </row>
    <row r="513" spans="2:11">
      <c r="B513" s="36">
        <v>45572</v>
      </c>
      <c r="C513" s="182">
        <v>3650.05</v>
      </c>
      <c r="D513" s="182">
        <f t="shared" si="17"/>
        <v>-4.3779493194402025E-3</v>
      </c>
      <c r="E513" s="182">
        <v>1.1104669312759058E-2</v>
      </c>
      <c r="F513" s="168"/>
      <c r="G513" s="168">
        <v>510</v>
      </c>
      <c r="H513" s="183">
        <f t="shared" ca="1" si="18"/>
        <v>3.9239134106395582E-3</v>
      </c>
      <c r="K513" s="36"/>
    </row>
    <row r="514" spans="2:11">
      <c r="B514" s="36">
        <v>45542</v>
      </c>
      <c r="C514" s="182">
        <v>3666.1</v>
      </c>
      <c r="D514" s="182">
        <f t="shared" si="17"/>
        <v>9.3887665198237637E-3</v>
      </c>
      <c r="E514" s="182">
        <v>1.1103291891469231E-2</v>
      </c>
      <c r="F514" s="168"/>
      <c r="G514" s="168">
        <v>511</v>
      </c>
      <c r="H514" s="183">
        <f t="shared" ca="1" si="18"/>
        <v>5.4674200643983579E-3</v>
      </c>
      <c r="K514" s="36"/>
    </row>
    <row r="515" spans="2:11">
      <c r="B515" s="36">
        <v>45511</v>
      </c>
      <c r="C515" s="182">
        <v>3632</v>
      </c>
      <c r="D515" s="182">
        <f t="shared" si="17"/>
        <v>1.3371379733399249E-3</v>
      </c>
      <c r="E515" s="182">
        <v>1.1077027948193593E-2</v>
      </c>
      <c r="F515" s="168"/>
      <c r="G515" s="168">
        <v>512</v>
      </c>
      <c r="H515" s="183">
        <f t="shared" ca="1" si="18"/>
        <v>2.3829849093414011E-3</v>
      </c>
      <c r="K515" s="36"/>
    </row>
    <row r="516" spans="2:11">
      <c r="B516" s="36">
        <v>45419</v>
      </c>
      <c r="C516" s="182">
        <v>3627.15</v>
      </c>
      <c r="D516" s="182">
        <f t="shared" ref="D516:D579" si="19">(C516-C517)/C517</f>
        <v>1.5070103265888648E-2</v>
      </c>
      <c r="E516" s="182">
        <v>1.1065123743559474E-2</v>
      </c>
      <c r="F516" s="168"/>
      <c r="G516" s="168">
        <v>513</v>
      </c>
      <c r="H516" s="183">
        <f t="shared" ca="1" si="18"/>
        <v>1.2813913375439606E-2</v>
      </c>
      <c r="K516" s="36"/>
    </row>
    <row r="517" spans="2:11">
      <c r="B517" s="36">
        <v>45389</v>
      </c>
      <c r="C517" s="182">
        <v>3573.3</v>
      </c>
      <c r="D517" s="182">
        <f t="shared" si="19"/>
        <v>-1.1357505498913976E-2</v>
      </c>
      <c r="E517" s="182">
        <v>1.1046983497159346E-2</v>
      </c>
      <c r="F517" s="168"/>
      <c r="G517" s="168">
        <v>514</v>
      </c>
      <c r="H517" s="183">
        <f t="shared" ref="H517:H580" ca="1" si="20">_xlfn.NORM.INV(RAND(),N$6,N$7)</f>
        <v>8.6599945987500329E-3</v>
      </c>
      <c r="K517" s="36"/>
    </row>
    <row r="518" spans="2:11">
      <c r="B518" s="36">
        <v>45358</v>
      </c>
      <c r="C518" s="182">
        <v>3614.35</v>
      </c>
      <c r="D518" s="182">
        <f t="shared" si="19"/>
        <v>-3.3503377912588147E-3</v>
      </c>
      <c r="E518" s="182">
        <v>1.1039879819029787E-2</v>
      </c>
      <c r="F518" s="168"/>
      <c r="G518" s="168">
        <v>515</v>
      </c>
      <c r="H518" s="183">
        <f t="shared" ca="1" si="20"/>
        <v>1.6330763633101853E-3</v>
      </c>
      <c r="K518" s="36"/>
    </row>
    <row r="519" spans="2:11">
      <c r="B519" s="36">
        <v>45329</v>
      </c>
      <c r="C519" s="182">
        <v>3626.5</v>
      </c>
      <c r="D519" s="182">
        <f t="shared" si="19"/>
        <v>2.8342147424536675E-2</v>
      </c>
      <c r="E519" s="182">
        <v>1.1038444236824835E-2</v>
      </c>
      <c r="F519" s="168"/>
      <c r="G519" s="168">
        <v>516</v>
      </c>
      <c r="H519" s="183">
        <f t="shared" ca="1" si="20"/>
        <v>2.6020598812552193E-3</v>
      </c>
      <c r="K519" s="36"/>
    </row>
    <row r="520" spans="2:11">
      <c r="B520" s="36">
        <v>45298</v>
      </c>
      <c r="C520" s="182">
        <v>3526.55</v>
      </c>
      <c r="D520" s="182">
        <f t="shared" si="19"/>
        <v>-6.1717087742534449E-3</v>
      </c>
      <c r="E520" s="182">
        <v>1.1009633429250631E-2</v>
      </c>
      <c r="F520" s="168"/>
      <c r="G520" s="168">
        <v>517</v>
      </c>
      <c r="H520" s="183">
        <f t="shared" ca="1" si="20"/>
        <v>1.8838860143522752E-2</v>
      </c>
      <c r="K520" s="36"/>
    </row>
    <row r="521" spans="2:11">
      <c r="B521" s="36" t="s">
        <v>8903</v>
      </c>
      <c r="C521" s="182">
        <v>3548.45</v>
      </c>
      <c r="D521" s="182">
        <f t="shared" si="19"/>
        <v>-4.4748064190327326E-3</v>
      </c>
      <c r="E521" s="182">
        <v>1.0969000650336087E-2</v>
      </c>
      <c r="F521" s="168"/>
      <c r="G521" s="168">
        <v>518</v>
      </c>
      <c r="H521" s="183">
        <f t="shared" ca="1" si="20"/>
        <v>3.1401720350359139E-2</v>
      </c>
      <c r="K521" s="36"/>
    </row>
    <row r="522" spans="2:11">
      <c r="B522" s="36" t="s">
        <v>8904</v>
      </c>
      <c r="C522" s="182">
        <v>3564.4</v>
      </c>
      <c r="D522" s="182">
        <f t="shared" si="19"/>
        <v>-1.069956563371674E-2</v>
      </c>
      <c r="E522" s="182">
        <v>1.0959083899333954E-2</v>
      </c>
      <c r="F522" s="168"/>
      <c r="G522" s="168">
        <v>519</v>
      </c>
      <c r="H522" s="183">
        <f t="shared" ca="1" si="20"/>
        <v>3.0452915213598393E-3</v>
      </c>
      <c r="K522" s="36"/>
    </row>
    <row r="523" spans="2:11">
      <c r="B523" s="36" t="s">
        <v>8905</v>
      </c>
      <c r="C523" s="182">
        <v>3602.95</v>
      </c>
      <c r="D523" s="182">
        <f t="shared" si="19"/>
        <v>4.222643402642186E-3</v>
      </c>
      <c r="E523" s="182">
        <v>1.094797897408005E-2</v>
      </c>
      <c r="F523" s="168"/>
      <c r="G523" s="168">
        <v>520</v>
      </c>
      <c r="H523" s="183">
        <f t="shared" ca="1" si="20"/>
        <v>-7.6018758108121484E-3</v>
      </c>
      <c r="K523" s="36"/>
    </row>
    <row r="524" spans="2:11">
      <c r="B524" s="36" t="s">
        <v>8906</v>
      </c>
      <c r="C524" s="182">
        <v>3587.8</v>
      </c>
      <c r="D524" s="182">
        <f t="shared" si="19"/>
        <v>1.5913466983803453E-2</v>
      </c>
      <c r="E524" s="182">
        <v>1.0911757094798665E-2</v>
      </c>
      <c r="F524" s="168"/>
      <c r="G524" s="168">
        <v>521</v>
      </c>
      <c r="H524" s="183">
        <f t="shared" ca="1" si="20"/>
        <v>8.4992598388873193E-3</v>
      </c>
      <c r="K524" s="36"/>
    </row>
    <row r="525" spans="2:11">
      <c r="B525" s="36" t="s">
        <v>8907</v>
      </c>
      <c r="C525" s="182">
        <v>3531.6</v>
      </c>
      <c r="D525" s="182">
        <f t="shared" si="19"/>
        <v>-9.6181046676098751E-4</v>
      </c>
      <c r="E525" s="182">
        <v>1.0899050571594652E-2</v>
      </c>
      <c r="F525" s="168"/>
      <c r="G525" s="168">
        <v>522</v>
      </c>
      <c r="H525" s="183">
        <f t="shared" ca="1" si="20"/>
        <v>-1.5764407027459688E-2</v>
      </c>
      <c r="K525" s="36"/>
    </row>
    <row r="526" spans="2:11">
      <c r="B526" s="36" t="s">
        <v>8908</v>
      </c>
      <c r="C526" s="182">
        <v>3535</v>
      </c>
      <c r="D526" s="182">
        <f t="shared" si="19"/>
        <v>-1.6539387110684478E-2</v>
      </c>
      <c r="E526" s="182">
        <v>1.0870011075105624E-2</v>
      </c>
      <c r="F526" s="168"/>
      <c r="G526" s="168">
        <v>523</v>
      </c>
      <c r="H526" s="183">
        <f t="shared" ca="1" si="20"/>
        <v>2.8649211195617967E-2</v>
      </c>
      <c r="K526" s="36"/>
    </row>
    <row r="527" spans="2:11">
      <c r="B527" s="36" t="s">
        <v>8909</v>
      </c>
      <c r="C527" s="182">
        <v>3594.45</v>
      </c>
      <c r="D527" s="182">
        <f t="shared" si="19"/>
        <v>1.253499352358668E-3</v>
      </c>
      <c r="E527" s="182">
        <v>1.0855206478662968E-2</v>
      </c>
      <c r="F527" s="168"/>
      <c r="G527" s="168">
        <v>524</v>
      </c>
      <c r="H527" s="183">
        <f t="shared" ca="1" si="20"/>
        <v>-3.1014320297252833E-3</v>
      </c>
      <c r="K527" s="36"/>
    </row>
    <row r="528" spans="2:11">
      <c r="B528" s="36" t="s">
        <v>8910</v>
      </c>
      <c r="C528" s="182">
        <v>3589.95</v>
      </c>
      <c r="D528" s="182">
        <f t="shared" si="19"/>
        <v>-2.6902851566735338E-2</v>
      </c>
      <c r="E528" s="182">
        <v>1.0846872302017167E-2</v>
      </c>
      <c r="F528" s="168"/>
      <c r="G528" s="168">
        <v>525</v>
      </c>
      <c r="H528" s="183">
        <f t="shared" ca="1" si="20"/>
        <v>4.7822530368000025E-3</v>
      </c>
      <c r="K528" s="36"/>
    </row>
    <row r="529" spans="2:11">
      <c r="B529" s="36" t="s">
        <v>8911</v>
      </c>
      <c r="C529" s="182">
        <v>3689.2</v>
      </c>
      <c r="D529" s="182">
        <f t="shared" si="19"/>
        <v>3.7963013178578996E-4</v>
      </c>
      <c r="E529" s="182">
        <v>1.0806523571109989E-2</v>
      </c>
      <c r="F529" s="168"/>
      <c r="G529" s="168">
        <v>526</v>
      </c>
      <c r="H529" s="183">
        <f t="shared" ca="1" si="20"/>
        <v>8.516184913733571E-3</v>
      </c>
      <c r="K529" s="36"/>
    </row>
    <row r="530" spans="2:11">
      <c r="B530" s="36" t="s">
        <v>8912</v>
      </c>
      <c r="C530" s="182">
        <v>3687.8</v>
      </c>
      <c r="D530" s="182">
        <f t="shared" si="19"/>
        <v>-4.2795620536497537E-3</v>
      </c>
      <c r="E530" s="182">
        <v>1.0760121959866663E-2</v>
      </c>
      <c r="F530" s="168"/>
      <c r="G530" s="168">
        <v>527</v>
      </c>
      <c r="H530" s="183">
        <f t="shared" ca="1" si="20"/>
        <v>-1.5216113472298638E-3</v>
      </c>
      <c r="K530" s="36"/>
    </row>
    <row r="531" spans="2:11">
      <c r="B531" s="36" t="s">
        <v>8913</v>
      </c>
      <c r="C531" s="182">
        <v>3703.65</v>
      </c>
      <c r="D531" s="182">
        <f t="shared" si="19"/>
        <v>2.0204941740352009E-2</v>
      </c>
      <c r="E531" s="182">
        <v>1.0737294201861132E-2</v>
      </c>
      <c r="F531" s="168"/>
      <c r="G531" s="168">
        <v>528</v>
      </c>
      <c r="H531" s="183">
        <f t="shared" ca="1" si="20"/>
        <v>1.8834646499982033E-3</v>
      </c>
      <c r="K531" s="36"/>
    </row>
    <row r="532" spans="2:11">
      <c r="B532" s="36">
        <v>45632</v>
      </c>
      <c r="C532" s="182">
        <v>3630.3</v>
      </c>
      <c r="D532" s="182">
        <f t="shared" si="19"/>
        <v>8.7809486759108466E-3</v>
      </c>
      <c r="E532" s="182">
        <v>1.0701419792328908E-2</v>
      </c>
      <c r="F532" s="168"/>
      <c r="G532" s="168">
        <v>529</v>
      </c>
      <c r="H532" s="183">
        <f t="shared" ca="1" si="20"/>
        <v>-1.5083766795143004E-3</v>
      </c>
      <c r="K532" s="36"/>
    </row>
    <row r="533" spans="2:11">
      <c r="B533" s="36">
        <v>45602</v>
      </c>
      <c r="C533" s="182">
        <v>3598.7</v>
      </c>
      <c r="D533" s="182">
        <f t="shared" si="19"/>
        <v>1.5506172839506121E-2</v>
      </c>
      <c r="E533" s="182">
        <v>1.0693086592178772E-2</v>
      </c>
      <c r="F533" s="168"/>
      <c r="G533" s="168">
        <v>530</v>
      </c>
      <c r="H533" s="183">
        <f t="shared" ca="1" si="20"/>
        <v>-1.9610312962067096E-3</v>
      </c>
      <c r="K533" s="36"/>
    </row>
    <row r="534" spans="2:11">
      <c r="B534" s="36">
        <v>45571</v>
      </c>
      <c r="C534" s="182">
        <v>3543.75</v>
      </c>
      <c r="D534" s="182">
        <f t="shared" si="19"/>
        <v>3.1847133757961785E-3</v>
      </c>
      <c r="E534" s="182">
        <v>1.0677836115863452E-2</v>
      </c>
      <c r="F534" s="168"/>
      <c r="G534" s="168">
        <v>531</v>
      </c>
      <c r="H534" s="183">
        <f t="shared" ca="1" si="20"/>
        <v>3.6542411489787836E-3</v>
      </c>
      <c r="K534" s="36"/>
    </row>
    <row r="535" spans="2:11">
      <c r="B535" s="36">
        <v>45479</v>
      </c>
      <c r="C535" s="182">
        <v>3532.5</v>
      </c>
      <c r="D535" s="182">
        <f t="shared" si="19"/>
        <v>1.4342938364129679E-2</v>
      </c>
      <c r="E535" s="182">
        <v>1.0630296344582083E-2</v>
      </c>
      <c r="F535" s="168"/>
      <c r="G535" s="168">
        <v>532</v>
      </c>
      <c r="H535" s="183">
        <f t="shared" ca="1" si="20"/>
        <v>6.7605534156859959E-3</v>
      </c>
      <c r="K535" s="36"/>
    </row>
    <row r="536" spans="2:11">
      <c r="B536" s="36">
        <v>45449</v>
      </c>
      <c r="C536" s="182">
        <v>3482.55</v>
      </c>
      <c r="D536" s="182">
        <f t="shared" si="19"/>
        <v>2.1575242006453558E-2</v>
      </c>
      <c r="E536" s="182">
        <v>1.0621525184632132E-2</v>
      </c>
      <c r="F536" s="168"/>
      <c r="G536" s="168">
        <v>533</v>
      </c>
      <c r="H536" s="183">
        <f t="shared" ca="1" si="20"/>
        <v>-8.900620754440508E-4</v>
      </c>
      <c r="K536" s="36"/>
    </row>
    <row r="537" spans="2:11">
      <c r="B537" s="36">
        <v>45418</v>
      </c>
      <c r="C537" s="182">
        <v>3409</v>
      </c>
      <c r="D537" s="182">
        <f t="shared" si="19"/>
        <v>1.7042783262812007E-3</v>
      </c>
      <c r="E537" s="182">
        <v>1.0581441228164568E-2</v>
      </c>
      <c r="F537" s="168"/>
      <c r="G537" s="168">
        <v>534</v>
      </c>
      <c r="H537" s="183">
        <f t="shared" ca="1" si="20"/>
        <v>2.7500973538669535E-3</v>
      </c>
      <c r="K537" s="36"/>
    </row>
    <row r="538" spans="2:11">
      <c r="B538" s="36">
        <v>45388</v>
      </c>
      <c r="C538" s="182">
        <v>3403.2</v>
      </c>
      <c r="D538" s="182">
        <f t="shared" si="19"/>
        <v>-0.12674646857318816</v>
      </c>
      <c r="E538" s="182">
        <v>1.0570824524312896E-2</v>
      </c>
      <c r="F538" s="168"/>
      <c r="G538" s="168">
        <v>535</v>
      </c>
      <c r="H538" s="183">
        <f t="shared" ca="1" si="20"/>
        <v>1.1542491195403244E-2</v>
      </c>
      <c r="K538" s="36"/>
    </row>
    <row r="539" spans="2:11">
      <c r="B539" s="36">
        <v>45357</v>
      </c>
      <c r="C539" s="182">
        <v>3897.15</v>
      </c>
      <c r="D539" s="182">
        <f t="shared" si="19"/>
        <v>6.2096312648189003E-2</v>
      </c>
      <c r="E539" s="182">
        <v>1.0564061099295047E-2</v>
      </c>
      <c r="F539" s="168"/>
      <c r="G539" s="168">
        <v>536</v>
      </c>
      <c r="H539" s="183">
        <f t="shared" ca="1" si="20"/>
        <v>-1.3327554333722267E-2</v>
      </c>
      <c r="K539" s="36"/>
    </row>
    <row r="540" spans="2:11">
      <c r="B540" s="36" t="s">
        <v>8914</v>
      </c>
      <c r="C540" s="182">
        <v>3669.3</v>
      </c>
      <c r="D540" s="182">
        <f t="shared" si="19"/>
        <v>9.5193551049606202E-3</v>
      </c>
      <c r="E540" s="182">
        <v>1.0551756661164738E-2</v>
      </c>
      <c r="F540" s="168"/>
      <c r="G540" s="168">
        <v>537</v>
      </c>
      <c r="H540" s="183">
        <f t="shared" ca="1" si="20"/>
        <v>5.4020523575029292E-3</v>
      </c>
      <c r="K540" s="36"/>
    </row>
    <row r="541" spans="2:11">
      <c r="B541" s="36" t="s">
        <v>8915</v>
      </c>
      <c r="C541" s="182">
        <v>3634.7</v>
      </c>
      <c r="D541" s="182">
        <f t="shared" si="19"/>
        <v>-2.7511830087037469E-5</v>
      </c>
      <c r="E541" s="182">
        <v>1.0541546093426965E-2</v>
      </c>
      <c r="F541" s="168"/>
      <c r="G541" s="168">
        <v>538</v>
      </c>
      <c r="H541" s="183">
        <f t="shared" ca="1" si="20"/>
        <v>-1.3252570654906509E-2</v>
      </c>
      <c r="K541" s="36"/>
    </row>
    <row r="542" spans="2:11">
      <c r="B542" s="36" t="s">
        <v>8916</v>
      </c>
      <c r="C542" s="182">
        <v>3634.8</v>
      </c>
      <c r="D542" s="182">
        <f t="shared" si="19"/>
        <v>-6.3965884861406259E-3</v>
      </c>
      <c r="E542" s="182">
        <v>1.0531170727957428E-2</v>
      </c>
      <c r="F542" s="168"/>
      <c r="G542" s="168">
        <v>539</v>
      </c>
      <c r="H542" s="183">
        <f t="shared" ca="1" si="20"/>
        <v>-8.9596709440445486E-4</v>
      </c>
      <c r="K542" s="36"/>
    </row>
    <row r="543" spans="2:11">
      <c r="B543" s="36" t="s">
        <v>8917</v>
      </c>
      <c r="C543" s="182">
        <v>3658.2</v>
      </c>
      <c r="D543" s="182">
        <f t="shared" si="19"/>
        <v>1.6976998904709251E-3</v>
      </c>
      <c r="E543" s="182">
        <v>1.0527470117337494E-2</v>
      </c>
      <c r="F543" s="168"/>
      <c r="G543" s="168">
        <v>540</v>
      </c>
      <c r="H543" s="183">
        <f t="shared" ca="1" si="20"/>
        <v>-1.7055831384547988E-2</v>
      </c>
      <c r="K543" s="36"/>
    </row>
    <row r="544" spans="2:11">
      <c r="B544" s="36" t="s">
        <v>8918</v>
      </c>
      <c r="C544" s="182">
        <v>3652</v>
      </c>
      <c r="D544" s="182">
        <f t="shared" si="19"/>
        <v>7.1982128574974236E-3</v>
      </c>
      <c r="E544" s="182">
        <v>1.052260819794815E-2</v>
      </c>
      <c r="F544" s="168"/>
      <c r="G544" s="168">
        <v>541</v>
      </c>
      <c r="H544" s="183">
        <f t="shared" ca="1" si="20"/>
        <v>6.1228346381083012E-3</v>
      </c>
      <c r="K544" s="36"/>
    </row>
    <row r="545" spans="2:11">
      <c r="B545" s="36" t="s">
        <v>8919</v>
      </c>
      <c r="C545" s="182">
        <v>3625.9</v>
      </c>
      <c r="D545" s="182">
        <f t="shared" si="19"/>
        <v>1.1295810788196574E-2</v>
      </c>
      <c r="E545" s="182">
        <v>1.0513836458365775E-2</v>
      </c>
      <c r="F545" s="168"/>
      <c r="G545" s="168">
        <v>542</v>
      </c>
      <c r="H545" s="183">
        <f t="shared" ca="1" si="20"/>
        <v>5.2847186502195942E-3</v>
      </c>
      <c r="K545" s="36"/>
    </row>
    <row r="546" spans="2:11">
      <c r="B546" s="36" t="s">
        <v>8920</v>
      </c>
      <c r="C546" s="182">
        <v>3585.4</v>
      </c>
      <c r="D546" s="182">
        <f t="shared" si="19"/>
        <v>3.5988268777901435E-2</v>
      </c>
      <c r="E546" s="182">
        <v>1.0491344640671446E-2</v>
      </c>
      <c r="F546" s="168"/>
      <c r="G546" s="168">
        <v>543</v>
      </c>
      <c r="H546" s="183">
        <f t="shared" ca="1" si="20"/>
        <v>5.2582946545178689E-3</v>
      </c>
      <c r="K546" s="36"/>
    </row>
    <row r="547" spans="2:11">
      <c r="B547" s="36" t="s">
        <v>8921</v>
      </c>
      <c r="C547" s="182">
        <v>3460.85</v>
      </c>
      <c r="D547" s="182">
        <f t="shared" si="19"/>
        <v>5.7832865923655068E-3</v>
      </c>
      <c r="E547" s="182">
        <v>1.0484367059830383E-2</v>
      </c>
      <c r="F547" s="168"/>
      <c r="G547" s="168">
        <v>544</v>
      </c>
      <c r="H547" s="183">
        <f t="shared" ca="1" si="20"/>
        <v>-9.5134668309489103E-4</v>
      </c>
      <c r="K547" s="36"/>
    </row>
    <row r="548" spans="2:11">
      <c r="B548" s="36" t="s">
        <v>8922</v>
      </c>
      <c r="C548" s="182">
        <v>3440.95</v>
      </c>
      <c r="D548" s="182">
        <f t="shared" si="19"/>
        <v>-6.7115062640725138E-3</v>
      </c>
      <c r="E548" s="182">
        <v>1.0453881760850008E-2</v>
      </c>
      <c r="F548" s="168"/>
      <c r="G548" s="168">
        <v>545</v>
      </c>
      <c r="H548" s="183">
        <f t="shared" ca="1" si="20"/>
        <v>-1.1134780187831983E-3</v>
      </c>
      <c r="K548" s="36"/>
    </row>
    <row r="549" spans="2:11">
      <c r="B549" s="36" t="s">
        <v>8923</v>
      </c>
      <c r="C549" s="182">
        <v>3464.2</v>
      </c>
      <c r="D549" s="182">
        <f t="shared" si="19"/>
        <v>3.897703397812017E-3</v>
      </c>
      <c r="E549" s="182">
        <v>1.044293995309523E-2</v>
      </c>
      <c r="F549" s="168"/>
      <c r="G549" s="168">
        <v>546</v>
      </c>
      <c r="H549" s="183">
        <f t="shared" ca="1" si="20"/>
        <v>1.6642600048314398E-2</v>
      </c>
      <c r="K549" s="36"/>
    </row>
    <row r="550" spans="2:11">
      <c r="B550" s="36" t="s">
        <v>8924</v>
      </c>
      <c r="C550" s="182">
        <v>3450.75</v>
      </c>
      <c r="D550" s="182">
        <f t="shared" si="19"/>
        <v>-2.8463272264924898E-3</v>
      </c>
      <c r="E550" s="182">
        <v>1.0424621286117802E-2</v>
      </c>
      <c r="F550" s="168"/>
      <c r="G550" s="168">
        <v>547</v>
      </c>
      <c r="H550" s="183">
        <f t="shared" ca="1" si="20"/>
        <v>2.6889595331365961E-2</v>
      </c>
      <c r="K550" s="36"/>
    </row>
    <row r="551" spans="2:11">
      <c r="B551" s="36" t="s">
        <v>8925</v>
      </c>
      <c r="C551" s="182">
        <v>3460.6</v>
      </c>
      <c r="D551" s="182">
        <f t="shared" si="19"/>
        <v>1.4451968457772616E-2</v>
      </c>
      <c r="E551" s="182">
        <v>1.0424028268551197E-2</v>
      </c>
      <c r="F551" s="168"/>
      <c r="G551" s="168">
        <v>548</v>
      </c>
      <c r="H551" s="183">
        <f t="shared" ca="1" si="20"/>
        <v>1.4735529828519056E-2</v>
      </c>
      <c r="K551" s="36"/>
    </row>
    <row r="552" spans="2:11">
      <c r="B552" s="36" t="s">
        <v>8926</v>
      </c>
      <c r="C552" s="182">
        <v>3411.3</v>
      </c>
      <c r="D552" s="182">
        <f t="shared" si="19"/>
        <v>9.4246105135452115E-3</v>
      </c>
      <c r="E552" s="182">
        <v>1.0422165835050462E-2</v>
      </c>
      <c r="F552" s="168"/>
      <c r="G552" s="168">
        <v>549</v>
      </c>
      <c r="H552" s="183">
        <f t="shared" ca="1" si="20"/>
        <v>-1.4485371999339653E-2</v>
      </c>
      <c r="K552" s="36"/>
    </row>
    <row r="553" spans="2:11">
      <c r="B553" s="36" t="s">
        <v>8927</v>
      </c>
      <c r="C553" s="182">
        <v>3379.45</v>
      </c>
      <c r="D553" s="182">
        <f t="shared" si="19"/>
        <v>2.598782579656023E-2</v>
      </c>
      <c r="E553" s="182">
        <v>1.0394404507480203E-2</v>
      </c>
      <c r="F553" s="168"/>
      <c r="G553" s="168">
        <v>550</v>
      </c>
      <c r="H553" s="183">
        <f t="shared" ca="1" si="20"/>
        <v>-6.4935702185724515E-3</v>
      </c>
      <c r="K553" s="36"/>
    </row>
    <row r="554" spans="2:11">
      <c r="B554" s="36" t="s">
        <v>8928</v>
      </c>
      <c r="C554" s="182">
        <v>3293.85</v>
      </c>
      <c r="D554" s="182">
        <f t="shared" si="19"/>
        <v>6.8471167219428973E-3</v>
      </c>
      <c r="E554" s="182">
        <v>1.0384169712095635E-2</v>
      </c>
      <c r="F554" s="168"/>
      <c r="G554" s="168">
        <v>551</v>
      </c>
      <c r="H554" s="183">
        <f t="shared" ca="1" si="20"/>
        <v>9.0827240468226156E-3</v>
      </c>
      <c r="K554" s="36"/>
    </row>
    <row r="555" spans="2:11">
      <c r="B555" s="36">
        <v>45570</v>
      </c>
      <c r="C555" s="182">
        <v>3271.45</v>
      </c>
      <c r="D555" s="182">
        <f t="shared" si="19"/>
        <v>-1.2212062464699509E-3</v>
      </c>
      <c r="E555" s="182">
        <v>1.029630477062121E-2</v>
      </c>
      <c r="F555" s="168"/>
      <c r="G555" s="168">
        <v>552</v>
      </c>
      <c r="H555" s="183">
        <f t="shared" ca="1" si="20"/>
        <v>2.8679800423980421E-3</v>
      </c>
      <c r="K555" s="36"/>
    </row>
    <row r="556" spans="2:11">
      <c r="B556" s="36">
        <v>45540</v>
      </c>
      <c r="C556" s="182">
        <v>3275.45</v>
      </c>
      <c r="D556" s="182">
        <f t="shared" si="19"/>
        <v>-6.0627787257840196E-2</v>
      </c>
      <c r="E556" s="182">
        <v>1.0284358106623141E-2</v>
      </c>
      <c r="F556" s="168"/>
      <c r="G556" s="168">
        <v>553</v>
      </c>
      <c r="H556" s="183">
        <f t="shared" ca="1" si="20"/>
        <v>1.0840037857225196E-2</v>
      </c>
      <c r="K556" s="36"/>
    </row>
    <row r="557" spans="2:11">
      <c r="B557" s="36">
        <v>45509</v>
      </c>
      <c r="C557" s="182">
        <v>3486.85</v>
      </c>
      <c r="D557" s="182">
        <f t="shared" si="19"/>
        <v>1.724163080738091E-2</v>
      </c>
      <c r="E557" s="182">
        <v>1.025667815971853E-2</v>
      </c>
      <c r="F557" s="168"/>
      <c r="G557" s="168">
        <v>554</v>
      </c>
      <c r="H557" s="183">
        <f t="shared" ca="1" si="20"/>
        <v>1.5809587848235416E-4</v>
      </c>
      <c r="K557" s="36"/>
    </row>
    <row r="558" spans="2:11">
      <c r="B558" s="36">
        <v>45478</v>
      </c>
      <c r="C558" s="182">
        <v>3427.75</v>
      </c>
      <c r="D558" s="182">
        <f t="shared" si="19"/>
        <v>-1.0264776369358757E-2</v>
      </c>
      <c r="E558" s="182">
        <v>1.0238413950291301E-2</v>
      </c>
      <c r="F558" s="168"/>
      <c r="G558" s="168">
        <v>555</v>
      </c>
      <c r="H558" s="183">
        <f t="shared" ca="1" si="20"/>
        <v>-3.8376108963757948E-3</v>
      </c>
      <c r="K558" s="36"/>
    </row>
    <row r="559" spans="2:11">
      <c r="B559" s="36">
        <v>45448</v>
      </c>
      <c r="C559" s="182">
        <v>3463.3</v>
      </c>
      <c r="D559" s="182">
        <f t="shared" si="19"/>
        <v>-1.0429167380993198E-2</v>
      </c>
      <c r="E559" s="182">
        <v>1.022336769759458E-2</v>
      </c>
      <c r="F559" s="168"/>
      <c r="G559" s="168">
        <v>556</v>
      </c>
      <c r="H559" s="183">
        <f t="shared" ca="1" si="20"/>
        <v>4.7225832766777873E-3</v>
      </c>
      <c r="K559" s="36"/>
    </row>
    <row r="560" spans="2:11">
      <c r="B560" s="36">
        <v>45356</v>
      </c>
      <c r="C560" s="182">
        <v>3499.8</v>
      </c>
      <c r="D560" s="182">
        <f t="shared" si="19"/>
        <v>-2.7698291429365141E-2</v>
      </c>
      <c r="E560" s="182">
        <v>1.021703994458544E-2</v>
      </c>
      <c r="F560" s="168"/>
      <c r="G560" s="168">
        <v>557</v>
      </c>
      <c r="H560" s="183">
        <f t="shared" ca="1" si="20"/>
        <v>-1.7653133989763092E-2</v>
      </c>
      <c r="K560" s="36"/>
    </row>
    <row r="561" spans="2:11">
      <c r="B561" s="36">
        <v>45327</v>
      </c>
      <c r="C561" s="182">
        <v>3599.5</v>
      </c>
      <c r="D561" s="182">
        <f t="shared" si="19"/>
        <v>1.4467351083659733E-3</v>
      </c>
      <c r="E561" s="182">
        <v>1.0212435902960433E-2</v>
      </c>
      <c r="F561" s="168"/>
      <c r="G561" s="168">
        <v>558</v>
      </c>
      <c r="H561" s="183">
        <f t="shared" ca="1" si="20"/>
        <v>-2.9199464108846346E-2</v>
      </c>
      <c r="K561" s="36"/>
    </row>
    <row r="562" spans="2:11">
      <c r="B562" s="36" t="s">
        <v>8929</v>
      </c>
      <c r="C562" s="182">
        <v>3594.3</v>
      </c>
      <c r="D562" s="182">
        <f t="shared" si="19"/>
        <v>-1.1006246044630328E-2</v>
      </c>
      <c r="E562" s="182">
        <v>1.0205882824911399E-2</v>
      </c>
      <c r="F562" s="168"/>
      <c r="G562" s="168">
        <v>559</v>
      </c>
      <c r="H562" s="183">
        <f t="shared" ca="1" si="20"/>
        <v>2.5121143082616162E-2</v>
      </c>
      <c r="K562" s="36"/>
    </row>
    <row r="563" spans="2:11">
      <c r="B563" s="36" t="s">
        <v>8930</v>
      </c>
      <c r="C563" s="182">
        <v>3634.3</v>
      </c>
      <c r="D563" s="182">
        <f t="shared" si="19"/>
        <v>8.0716742483081007E-3</v>
      </c>
      <c r="E563" s="182">
        <v>1.0175292539660515E-2</v>
      </c>
      <c r="F563" s="168"/>
      <c r="G563" s="168">
        <v>560</v>
      </c>
      <c r="H563" s="183">
        <f t="shared" ca="1" si="20"/>
        <v>8.7343740829594375E-3</v>
      </c>
      <c r="K563" s="36"/>
    </row>
    <row r="564" spans="2:11">
      <c r="B564" s="36" t="s">
        <v>8931</v>
      </c>
      <c r="C564" s="182">
        <v>3605.2</v>
      </c>
      <c r="D564" s="182">
        <f t="shared" si="19"/>
        <v>-1.289598335295577E-2</v>
      </c>
      <c r="E564" s="182">
        <v>1.016248492851814E-2</v>
      </c>
      <c r="F564" s="168"/>
      <c r="G564" s="168">
        <v>561</v>
      </c>
      <c r="H564" s="183">
        <f t="shared" ca="1" si="20"/>
        <v>9.5185731846375993E-3</v>
      </c>
      <c r="K564" s="36"/>
    </row>
    <row r="565" spans="2:11">
      <c r="B565" s="36" t="s">
        <v>8932</v>
      </c>
      <c r="C565" s="182">
        <v>3652.3</v>
      </c>
      <c r="D565" s="182">
        <f t="shared" si="19"/>
        <v>4.8007483114847309E-3</v>
      </c>
      <c r="E565" s="182">
        <v>1.0068684429013482E-2</v>
      </c>
      <c r="F565" s="168"/>
      <c r="G565" s="168">
        <v>562</v>
      </c>
      <c r="H565" s="183">
        <f t="shared" ca="1" si="20"/>
        <v>2.2819086022915951E-3</v>
      </c>
      <c r="K565" s="36"/>
    </row>
    <row r="566" spans="2:11">
      <c r="B566" s="36" t="s">
        <v>8933</v>
      </c>
      <c r="C566" s="182">
        <v>3634.85</v>
      </c>
      <c r="D566" s="182">
        <f t="shared" si="19"/>
        <v>6.8418209769676658E-3</v>
      </c>
      <c r="E566" s="182">
        <v>1.0060812019316759E-2</v>
      </c>
      <c r="F566" s="168"/>
      <c r="G566" s="168">
        <v>563</v>
      </c>
      <c r="H566" s="183">
        <f t="shared" ca="1" si="20"/>
        <v>-5.6243854533071591E-3</v>
      </c>
      <c r="K566" s="36"/>
    </row>
    <row r="567" spans="2:11">
      <c r="B567" s="36" t="s">
        <v>8934</v>
      </c>
      <c r="C567" s="182">
        <v>3610.15</v>
      </c>
      <c r="D567" s="182">
        <f t="shared" si="19"/>
        <v>-7.0584327511272107E-4</v>
      </c>
      <c r="E567" s="182">
        <v>1.0038629663515299E-2</v>
      </c>
      <c r="F567" s="168"/>
      <c r="G567" s="168">
        <v>564</v>
      </c>
      <c r="H567" s="183">
        <f t="shared" ca="1" si="20"/>
        <v>1.0225688784474659E-2</v>
      </c>
      <c r="K567" s="36"/>
    </row>
    <row r="568" spans="2:11">
      <c r="B568" s="36" t="s">
        <v>8935</v>
      </c>
      <c r="C568" s="182">
        <v>3612.7</v>
      </c>
      <c r="D568" s="182">
        <f t="shared" si="19"/>
        <v>2.6816547529381646E-2</v>
      </c>
      <c r="E568" s="182">
        <v>1.0036837328492971E-2</v>
      </c>
      <c r="F568" s="168"/>
      <c r="G568" s="168">
        <v>565</v>
      </c>
      <c r="H568" s="183">
        <f t="shared" ca="1" si="20"/>
        <v>2.2935492768793163E-2</v>
      </c>
      <c r="K568" s="36"/>
    </row>
    <row r="569" spans="2:11">
      <c r="B569" s="36" t="s">
        <v>8936</v>
      </c>
      <c r="C569" s="182">
        <v>3518.35</v>
      </c>
      <c r="D569" s="182">
        <f t="shared" si="19"/>
        <v>-9.1806418000816431E-3</v>
      </c>
      <c r="E569" s="182">
        <v>1.0016265730673784E-2</v>
      </c>
      <c r="F569" s="168"/>
      <c r="G569" s="168">
        <v>566</v>
      </c>
      <c r="H569" s="183">
        <f t="shared" ca="1" si="20"/>
        <v>-1.1098929542210749E-3</v>
      </c>
      <c r="K569" s="36"/>
    </row>
    <row r="570" spans="2:11">
      <c r="B570" s="36" t="s">
        <v>8937</v>
      </c>
      <c r="C570" s="182">
        <v>3550.95</v>
      </c>
      <c r="D570" s="182">
        <f t="shared" si="19"/>
        <v>2.1165812978876518E-3</v>
      </c>
      <c r="E570" s="182">
        <v>1.0014758591608686E-2</v>
      </c>
      <c r="F570" s="168"/>
      <c r="G570" s="168">
        <v>567</v>
      </c>
      <c r="H570" s="183">
        <f t="shared" ca="1" si="20"/>
        <v>-6.1632334286100847E-3</v>
      </c>
      <c r="K570" s="36"/>
    </row>
    <row r="571" spans="2:11">
      <c r="B571" s="36" t="s">
        <v>8938</v>
      </c>
      <c r="C571" s="182">
        <v>3543.45</v>
      </c>
      <c r="D571" s="182">
        <f t="shared" si="19"/>
        <v>-1.5927016218618185E-2</v>
      </c>
      <c r="E571" s="182">
        <v>1.0014377076000109E-2</v>
      </c>
      <c r="F571" s="168"/>
      <c r="G571" s="168">
        <v>568</v>
      </c>
      <c r="H571" s="183">
        <f t="shared" ca="1" si="20"/>
        <v>2.5946567066652149E-2</v>
      </c>
      <c r="K571" s="36"/>
    </row>
    <row r="572" spans="2:11">
      <c r="B572" s="36" t="s">
        <v>8939</v>
      </c>
      <c r="C572" s="182">
        <v>3600.8</v>
      </c>
      <c r="D572" s="182">
        <f t="shared" si="19"/>
        <v>-2.1322280356050775E-2</v>
      </c>
      <c r="E572" s="182">
        <v>9.9716136545598792E-3</v>
      </c>
      <c r="F572" s="168"/>
      <c r="G572" s="168">
        <v>569</v>
      </c>
      <c r="H572" s="183">
        <f t="shared" ca="1" si="20"/>
        <v>1.114179981624926E-2</v>
      </c>
      <c r="K572" s="36"/>
    </row>
    <row r="573" spans="2:11">
      <c r="B573" s="36">
        <v>45630</v>
      </c>
      <c r="C573" s="182">
        <v>3679.25</v>
      </c>
      <c r="D573" s="182">
        <f t="shared" si="19"/>
        <v>-1.9703186614089263E-2</v>
      </c>
      <c r="E573" s="182">
        <v>9.8947368421052635E-3</v>
      </c>
      <c r="F573" s="168"/>
      <c r="G573" s="168">
        <v>570</v>
      </c>
      <c r="H573" s="183">
        <f t="shared" ca="1" si="20"/>
        <v>-1.8498323771850442E-2</v>
      </c>
      <c r="K573" s="36"/>
    </row>
    <row r="574" spans="2:11">
      <c r="B574" s="36">
        <v>45569</v>
      </c>
      <c r="C574" s="182">
        <v>3753.2</v>
      </c>
      <c r="D574" s="182">
        <f t="shared" si="19"/>
        <v>-8.4670761508487367E-3</v>
      </c>
      <c r="E574" s="182">
        <v>9.8901730780288927E-3</v>
      </c>
      <c r="F574" s="168"/>
      <c r="G574" s="168">
        <v>571</v>
      </c>
      <c r="H574" s="183">
        <f t="shared" ca="1" si="20"/>
        <v>4.7422425548662309E-3</v>
      </c>
      <c r="K574" s="36"/>
    </row>
    <row r="575" spans="2:11">
      <c r="B575" s="36">
        <v>45539</v>
      </c>
      <c r="C575" s="182">
        <v>3785.25</v>
      </c>
      <c r="D575" s="182">
        <f t="shared" si="19"/>
        <v>-5.9351077379623434E-3</v>
      </c>
      <c r="E575" s="182">
        <v>9.8836818395751005E-3</v>
      </c>
      <c r="F575" s="168"/>
      <c r="G575" s="168">
        <v>572</v>
      </c>
      <c r="H575" s="183">
        <f t="shared" ca="1" si="20"/>
        <v>2.6992773042166609E-3</v>
      </c>
      <c r="K575" s="36"/>
    </row>
    <row r="576" spans="2:11">
      <c r="B576" s="36">
        <v>45508</v>
      </c>
      <c r="C576" s="182">
        <v>3807.85</v>
      </c>
      <c r="D576" s="182">
        <f t="shared" si="19"/>
        <v>1.7298495899121049E-2</v>
      </c>
      <c r="E576" s="182">
        <v>9.85881789901886E-3</v>
      </c>
      <c r="F576" s="168"/>
      <c r="G576" s="168">
        <v>573</v>
      </c>
      <c r="H576" s="183">
        <f t="shared" ca="1" si="20"/>
        <v>7.9483244891031916E-3</v>
      </c>
      <c r="K576" s="36"/>
    </row>
    <row r="577" spans="2:11">
      <c r="B577" s="36">
        <v>45416</v>
      </c>
      <c r="C577" s="182">
        <v>3743.1</v>
      </c>
      <c r="D577" s="182">
        <f t="shared" si="19"/>
        <v>-1.4416051186855721E-2</v>
      </c>
      <c r="E577" s="182">
        <v>9.7981248416250596E-3</v>
      </c>
      <c r="F577" s="168"/>
      <c r="G577" s="168">
        <v>574</v>
      </c>
      <c r="H577" s="183">
        <f t="shared" ca="1" si="20"/>
        <v>1.2545496686113048E-2</v>
      </c>
      <c r="K577" s="36"/>
    </row>
    <row r="578" spans="2:11">
      <c r="B578" s="36">
        <v>45386</v>
      </c>
      <c r="C578" s="182">
        <v>3797.85</v>
      </c>
      <c r="D578" s="182">
        <f t="shared" si="19"/>
        <v>4.0714351809012922E-3</v>
      </c>
      <c r="E578" s="182">
        <v>9.7480995677447658E-3</v>
      </c>
      <c r="F578" s="168"/>
      <c r="G578" s="168">
        <v>575</v>
      </c>
      <c r="H578" s="183">
        <f t="shared" ca="1" si="20"/>
        <v>2.8477289763155538E-2</v>
      </c>
      <c r="K578" s="36"/>
    </row>
    <row r="579" spans="2:11">
      <c r="B579" s="36">
        <v>45355</v>
      </c>
      <c r="C579" s="182">
        <v>3782.45</v>
      </c>
      <c r="D579" s="182">
        <f t="shared" si="19"/>
        <v>-6.5530283132847278E-3</v>
      </c>
      <c r="E579" s="182">
        <v>9.7366042403386616E-3</v>
      </c>
      <c r="F579" s="168"/>
      <c r="G579" s="168">
        <v>576</v>
      </c>
      <c r="H579" s="183">
        <f t="shared" ca="1" si="20"/>
        <v>1.1099073867363335E-2</v>
      </c>
      <c r="K579" s="36"/>
    </row>
    <row r="580" spans="2:11">
      <c r="B580" s="36">
        <v>45326</v>
      </c>
      <c r="C580" s="182">
        <v>3807.4</v>
      </c>
      <c r="D580" s="182">
        <f t="shared" ref="D580:D643" si="21">(C580-C581)/C581</f>
        <v>-7.9729025534132116E-3</v>
      </c>
      <c r="E580" s="182">
        <v>9.7172371531122625E-3</v>
      </c>
      <c r="F580" s="168"/>
      <c r="G580" s="168">
        <v>577</v>
      </c>
      <c r="H580" s="183">
        <f t="shared" ca="1" si="20"/>
        <v>-8.6221076921069173E-3</v>
      </c>
      <c r="K580" s="36"/>
    </row>
    <row r="581" spans="2:11">
      <c r="B581" s="36">
        <v>45295</v>
      </c>
      <c r="C581" s="182">
        <v>3838</v>
      </c>
      <c r="D581" s="182">
        <f t="shared" si="21"/>
        <v>1.968702675416454E-2</v>
      </c>
      <c r="E581" s="182">
        <v>9.7099333321607646E-3</v>
      </c>
      <c r="F581" s="168"/>
      <c r="G581" s="168">
        <v>578</v>
      </c>
      <c r="H581" s="183">
        <f t="shared" ref="H581:H644" ca="1" si="22">_xlfn.NORM.INV(RAND(),N$6,N$7)</f>
        <v>6.5423579631067076E-3</v>
      </c>
      <c r="K581" s="36"/>
    </row>
    <row r="582" spans="2:11">
      <c r="B582" s="36" t="s">
        <v>8940</v>
      </c>
      <c r="C582" s="182">
        <v>3763.9</v>
      </c>
      <c r="D582" s="182">
        <f t="shared" si="21"/>
        <v>1.5513706022015973E-2</v>
      </c>
      <c r="E582" s="182">
        <v>9.6759638362941477E-3</v>
      </c>
      <c r="F582" s="168"/>
      <c r="G582" s="168">
        <v>579</v>
      </c>
      <c r="H582" s="183">
        <f t="shared" ca="1" si="22"/>
        <v>-1.1363344346424168E-3</v>
      </c>
      <c r="K582" s="36"/>
    </row>
    <row r="583" spans="2:11">
      <c r="B583" s="36" t="s">
        <v>8941</v>
      </c>
      <c r="C583" s="182">
        <v>3706.4</v>
      </c>
      <c r="D583" s="182">
        <f t="shared" si="21"/>
        <v>9.8907386719708414E-3</v>
      </c>
      <c r="E583" s="182">
        <v>9.6720400222346254E-3</v>
      </c>
      <c r="F583" s="168"/>
      <c r="G583" s="168">
        <v>580</v>
      </c>
      <c r="H583" s="183">
        <f t="shared" ca="1" si="22"/>
        <v>-5.1540157266160751E-3</v>
      </c>
      <c r="K583" s="36"/>
    </row>
    <row r="584" spans="2:11">
      <c r="B584" s="36" t="s">
        <v>8942</v>
      </c>
      <c r="C584" s="182">
        <v>3670.1</v>
      </c>
      <c r="D584" s="182">
        <f t="shared" si="21"/>
        <v>1.4456299408480216E-2</v>
      </c>
      <c r="E584" s="182">
        <v>9.6719056155418655E-3</v>
      </c>
      <c r="F584" s="168"/>
      <c r="G584" s="168">
        <v>581</v>
      </c>
      <c r="H584" s="183">
        <f t="shared" ca="1" si="22"/>
        <v>1.1810565277295376E-2</v>
      </c>
      <c r="K584" s="36"/>
    </row>
    <row r="585" spans="2:11">
      <c r="B585" s="36" t="s">
        <v>8943</v>
      </c>
      <c r="C585" s="182">
        <v>3617.8</v>
      </c>
      <c r="D585" s="182">
        <f t="shared" si="21"/>
        <v>1.6235955056179828E-2</v>
      </c>
      <c r="E585" s="182">
        <v>9.6697280113035335E-3</v>
      </c>
      <c r="F585" s="168"/>
      <c r="G585" s="168">
        <v>582</v>
      </c>
      <c r="H585" s="183">
        <f t="shared" ca="1" si="22"/>
        <v>8.010800957624447E-3</v>
      </c>
      <c r="K585" s="36"/>
    </row>
    <row r="586" spans="2:11">
      <c r="B586" s="36" t="s">
        <v>8944</v>
      </c>
      <c r="C586" s="182">
        <v>3560</v>
      </c>
      <c r="D586" s="182">
        <f t="shared" si="21"/>
        <v>1.4331709262900016E-2</v>
      </c>
      <c r="E586" s="182">
        <v>9.6549175405367671E-3</v>
      </c>
      <c r="F586" s="168"/>
      <c r="G586" s="168">
        <v>583</v>
      </c>
      <c r="H586" s="183">
        <f t="shared" ca="1" si="22"/>
        <v>1.0616052065972173E-2</v>
      </c>
      <c r="K586" s="36"/>
    </row>
    <row r="587" spans="2:11">
      <c r="B587" s="36" t="s">
        <v>8945</v>
      </c>
      <c r="C587" s="182">
        <v>3509.7</v>
      </c>
      <c r="D587" s="182">
        <f t="shared" si="21"/>
        <v>2.2846046206128454E-3</v>
      </c>
      <c r="E587" s="182">
        <v>9.6487972740460538E-3</v>
      </c>
      <c r="F587" s="168"/>
      <c r="G587" s="168">
        <v>584</v>
      </c>
      <c r="H587" s="183">
        <f t="shared" ca="1" si="22"/>
        <v>1.7096269854896352E-2</v>
      </c>
      <c r="K587" s="36"/>
    </row>
    <row r="588" spans="2:11">
      <c r="B588" s="36" t="s">
        <v>8946</v>
      </c>
      <c r="C588" s="182">
        <v>3501.7</v>
      </c>
      <c r="D588" s="182">
        <f t="shared" si="21"/>
        <v>-1.6707851286083344E-2</v>
      </c>
      <c r="E588" s="182">
        <v>9.5699557729174104E-3</v>
      </c>
      <c r="F588" s="168"/>
      <c r="G588" s="168">
        <v>585</v>
      </c>
      <c r="H588" s="183">
        <f t="shared" ca="1" si="22"/>
        <v>-1.8750540459259866E-2</v>
      </c>
      <c r="K588" s="36"/>
    </row>
    <row r="589" spans="2:11">
      <c r="B589" s="36" t="s">
        <v>8947</v>
      </c>
      <c r="C589" s="182">
        <v>3561.2</v>
      </c>
      <c r="D589" s="182">
        <f t="shared" si="21"/>
        <v>6.7992592906717915E-3</v>
      </c>
      <c r="E589" s="182">
        <v>9.5686224973157898E-3</v>
      </c>
      <c r="F589" s="168"/>
      <c r="G589" s="168">
        <v>586</v>
      </c>
      <c r="H589" s="183">
        <f t="shared" ca="1" si="22"/>
        <v>-9.5569319899090066E-3</v>
      </c>
      <c r="K589" s="36"/>
    </row>
    <row r="590" spans="2:11">
      <c r="B590" s="36" t="s">
        <v>8948</v>
      </c>
      <c r="C590" s="182">
        <v>3537.15</v>
      </c>
      <c r="D590" s="182">
        <f t="shared" si="21"/>
        <v>-1.9691258799401288E-2</v>
      </c>
      <c r="E590" s="182">
        <v>9.5593590677348871E-3</v>
      </c>
      <c r="F590" s="168"/>
      <c r="G590" s="168">
        <v>587</v>
      </c>
      <c r="H590" s="183">
        <f t="shared" ca="1" si="22"/>
        <v>8.6268582219578768E-3</v>
      </c>
      <c r="K590" s="36"/>
    </row>
    <row r="591" spans="2:11">
      <c r="B591" s="36" t="s">
        <v>8949</v>
      </c>
      <c r="C591" s="182">
        <v>3608.2</v>
      </c>
      <c r="D591" s="182">
        <f t="shared" si="21"/>
        <v>1.9683203572084508E-2</v>
      </c>
      <c r="E591" s="182">
        <v>9.5589542948603962E-3</v>
      </c>
      <c r="F591" s="168"/>
      <c r="G591" s="168">
        <v>588</v>
      </c>
      <c r="H591" s="183">
        <f t="shared" ca="1" si="22"/>
        <v>3.5120437703641705E-2</v>
      </c>
      <c r="K591" s="36"/>
    </row>
    <row r="592" spans="2:11">
      <c r="B592" s="36" t="s">
        <v>8950</v>
      </c>
      <c r="C592" s="182">
        <v>3538.55</v>
      </c>
      <c r="D592" s="182">
        <f t="shared" si="21"/>
        <v>-2.2945342592464734E-2</v>
      </c>
      <c r="E592" s="182">
        <v>9.5561568130793483E-3</v>
      </c>
      <c r="F592" s="168"/>
      <c r="G592" s="168">
        <v>589</v>
      </c>
      <c r="H592" s="183">
        <f t="shared" ca="1" si="22"/>
        <v>-5.8810601012473226E-3</v>
      </c>
      <c r="K592" s="36"/>
    </row>
    <row r="593" spans="2:11">
      <c r="B593" s="36">
        <v>45629</v>
      </c>
      <c r="C593" s="182">
        <v>3621.65</v>
      </c>
      <c r="D593" s="182">
        <f t="shared" si="21"/>
        <v>-5.2051859583584622E-3</v>
      </c>
      <c r="E593" s="182">
        <v>9.5477823105633193E-3</v>
      </c>
      <c r="F593" s="168"/>
      <c r="G593" s="168">
        <v>590</v>
      </c>
      <c r="H593" s="183">
        <f t="shared" ca="1" si="22"/>
        <v>-1.8982558670981652E-2</v>
      </c>
      <c r="K593" s="36"/>
    </row>
    <row r="594" spans="2:11">
      <c r="B594" s="36">
        <v>45599</v>
      </c>
      <c r="C594" s="182">
        <v>3640.6</v>
      </c>
      <c r="D594" s="182">
        <f t="shared" si="21"/>
        <v>-9.8859108772215865E-3</v>
      </c>
      <c r="E594" s="182">
        <v>9.5462648800965604E-3</v>
      </c>
      <c r="F594" s="168"/>
      <c r="G594" s="168">
        <v>591</v>
      </c>
      <c r="H594" s="183">
        <f t="shared" ca="1" si="22"/>
        <v>-2.3848672818948284E-3</v>
      </c>
      <c r="K594" s="36"/>
    </row>
    <row r="595" spans="2:11">
      <c r="B595" s="36">
        <v>45476</v>
      </c>
      <c r="C595" s="182">
        <v>3676.95</v>
      </c>
      <c r="D595" s="182">
        <f t="shared" si="21"/>
        <v>9.5409367964417111E-3</v>
      </c>
      <c r="E595" s="182">
        <v>9.5390141688286127E-3</v>
      </c>
      <c r="F595" s="168"/>
      <c r="G595" s="168">
        <v>592</v>
      </c>
      <c r="H595" s="183">
        <f t="shared" ca="1" si="22"/>
        <v>-2.3704598889389738E-3</v>
      </c>
      <c r="K595" s="36"/>
    </row>
    <row r="596" spans="2:11">
      <c r="B596" s="36">
        <v>45446</v>
      </c>
      <c r="C596" s="182">
        <v>3642.2</v>
      </c>
      <c r="D596" s="182">
        <f t="shared" si="21"/>
        <v>8.193544815368407E-3</v>
      </c>
      <c r="E596" s="182">
        <v>9.5221455403163204E-3</v>
      </c>
      <c r="F596" s="168"/>
      <c r="G596" s="168">
        <v>593</v>
      </c>
      <c r="H596" s="183">
        <f t="shared" ca="1" si="22"/>
        <v>1.4068446089256319E-2</v>
      </c>
      <c r="K596" s="36"/>
    </row>
    <row r="597" spans="2:11">
      <c r="B597" s="36">
        <v>45415</v>
      </c>
      <c r="C597" s="182">
        <v>3612.6</v>
      </c>
      <c r="D597" s="182">
        <f t="shared" si="21"/>
        <v>-8.739315946164691E-3</v>
      </c>
      <c r="E597" s="182">
        <v>9.5210946408210064E-3</v>
      </c>
      <c r="F597" s="168"/>
      <c r="G597" s="168">
        <v>594</v>
      </c>
      <c r="H597" s="183">
        <f t="shared" ca="1" si="22"/>
        <v>2.1009832833344486E-3</v>
      </c>
      <c r="K597" s="36"/>
    </row>
    <row r="598" spans="2:11">
      <c r="B598" s="36">
        <v>45385</v>
      </c>
      <c r="C598" s="182">
        <v>3644.45</v>
      </c>
      <c r="D598" s="182">
        <f t="shared" si="21"/>
        <v>-2.9546542644142484E-3</v>
      </c>
      <c r="E598" s="182">
        <v>9.5048919824019355E-3</v>
      </c>
      <c r="F598" s="168"/>
      <c r="G598" s="168">
        <v>595</v>
      </c>
      <c r="H598" s="183">
        <f t="shared" ca="1" si="22"/>
        <v>3.9466743090856267E-3</v>
      </c>
      <c r="K598" s="36"/>
    </row>
    <row r="599" spans="2:11">
      <c r="B599" s="36">
        <v>45325</v>
      </c>
      <c r="C599" s="182">
        <v>3655.25</v>
      </c>
      <c r="D599" s="182">
        <f t="shared" si="21"/>
        <v>5.9859639466079539E-3</v>
      </c>
      <c r="E599" s="182">
        <v>9.4906062366841484E-3</v>
      </c>
      <c r="F599" s="168"/>
      <c r="G599" s="168">
        <v>596</v>
      </c>
      <c r="H599" s="183">
        <f t="shared" ca="1" si="22"/>
        <v>-8.7169426839236556E-3</v>
      </c>
      <c r="K599" s="36"/>
    </row>
    <row r="600" spans="2:11">
      <c r="B600" s="36">
        <v>45294</v>
      </c>
      <c r="C600" s="182">
        <v>3633.5</v>
      </c>
      <c r="D600" s="182">
        <f t="shared" si="21"/>
        <v>4.4844790153987665E-2</v>
      </c>
      <c r="E600" s="182">
        <v>9.4755687524563439E-3</v>
      </c>
      <c r="F600" s="168"/>
      <c r="G600" s="168">
        <v>597</v>
      </c>
      <c r="H600" s="183">
        <f t="shared" ca="1" si="22"/>
        <v>-3.4156630819134988E-3</v>
      </c>
      <c r="K600" s="36"/>
    </row>
    <row r="601" spans="2:11">
      <c r="B601" s="36" t="s">
        <v>8951</v>
      </c>
      <c r="C601" s="182">
        <v>3477.55</v>
      </c>
      <c r="D601" s="182">
        <f t="shared" si="21"/>
        <v>2.118033542735394E-3</v>
      </c>
      <c r="E601" s="182">
        <v>9.4693233379364514E-3</v>
      </c>
      <c r="F601" s="168"/>
      <c r="G601" s="168">
        <v>598</v>
      </c>
      <c r="H601" s="183">
        <f t="shared" ca="1" si="22"/>
        <v>-9.5074096941681358E-4</v>
      </c>
      <c r="K601" s="36"/>
    </row>
    <row r="602" spans="2:11">
      <c r="B602" s="36" t="s">
        <v>8952</v>
      </c>
      <c r="C602" s="182">
        <v>3470.2</v>
      </c>
      <c r="D602" s="182">
        <f t="shared" si="21"/>
        <v>-1.0338091231872692E-2</v>
      </c>
      <c r="E602" s="182">
        <v>9.4626434597552978E-3</v>
      </c>
      <c r="F602" s="168"/>
      <c r="G602" s="168">
        <v>599</v>
      </c>
      <c r="H602" s="183">
        <f t="shared" ca="1" si="22"/>
        <v>-2.0780104221123495E-2</v>
      </c>
      <c r="K602" s="36"/>
    </row>
    <row r="603" spans="2:11">
      <c r="B603" s="36" t="s">
        <v>8953</v>
      </c>
      <c r="C603" s="182">
        <v>3506.45</v>
      </c>
      <c r="D603" s="182">
        <f t="shared" si="21"/>
        <v>1.0460642911689617E-2</v>
      </c>
      <c r="E603" s="182">
        <v>9.4410046985465238E-3</v>
      </c>
      <c r="F603" s="168"/>
      <c r="G603" s="168">
        <v>600</v>
      </c>
      <c r="H603" s="183">
        <f t="shared" ca="1" si="22"/>
        <v>3.3839440706846845E-3</v>
      </c>
      <c r="K603" s="36"/>
    </row>
    <row r="604" spans="2:11">
      <c r="B604" s="36" t="s">
        <v>8954</v>
      </c>
      <c r="C604" s="182">
        <v>3470.15</v>
      </c>
      <c r="D604" s="182">
        <f t="shared" si="21"/>
        <v>2.4262459599462882E-2</v>
      </c>
      <c r="E604" s="182">
        <v>9.4354057224460657E-3</v>
      </c>
      <c r="F604" s="168"/>
      <c r="G604" s="168">
        <v>601</v>
      </c>
      <c r="H604" s="183">
        <f t="shared" ca="1" si="22"/>
        <v>9.9059789024065238E-3</v>
      </c>
      <c r="K604" s="36"/>
    </row>
    <row r="605" spans="2:11">
      <c r="B605" s="36" t="s">
        <v>8955</v>
      </c>
      <c r="C605" s="182">
        <v>3387.95</v>
      </c>
      <c r="D605" s="182">
        <f t="shared" si="21"/>
        <v>7.1943515421775753E-3</v>
      </c>
      <c r="E605" s="182">
        <v>9.3916838782588021E-3</v>
      </c>
      <c r="F605" s="168"/>
      <c r="G605" s="168">
        <v>602</v>
      </c>
      <c r="H605" s="183">
        <f t="shared" ca="1" si="22"/>
        <v>7.0829655566050399E-3</v>
      </c>
      <c r="K605" s="36"/>
    </row>
    <row r="606" spans="2:11">
      <c r="B606" s="36" t="s">
        <v>8956</v>
      </c>
      <c r="C606" s="182">
        <v>3363.75</v>
      </c>
      <c r="D606" s="182">
        <f t="shared" si="21"/>
        <v>2.0431379686931171E-2</v>
      </c>
      <c r="E606" s="182">
        <v>9.388596290359567E-3</v>
      </c>
      <c r="F606" s="168"/>
      <c r="G606" s="168">
        <v>603</v>
      </c>
      <c r="H606" s="183">
        <f t="shared" ca="1" si="22"/>
        <v>1.7670100065816062E-2</v>
      </c>
      <c r="K606" s="36"/>
    </row>
    <row r="607" spans="2:11">
      <c r="B607" s="36" t="s">
        <v>8957</v>
      </c>
      <c r="C607" s="182">
        <v>3296.4</v>
      </c>
      <c r="D607" s="182">
        <f t="shared" si="21"/>
        <v>-1.7978699635063652E-2</v>
      </c>
      <c r="E607" s="182">
        <v>9.3461708899004216E-3</v>
      </c>
      <c r="F607" s="168"/>
      <c r="G607" s="168">
        <v>604</v>
      </c>
      <c r="H607" s="183">
        <f t="shared" ca="1" si="22"/>
        <v>2.4104955907988095E-3</v>
      </c>
      <c r="K607" s="36"/>
    </row>
    <row r="608" spans="2:11">
      <c r="B608" s="36" t="s">
        <v>8958</v>
      </c>
      <c r="C608" s="182">
        <v>3356.75</v>
      </c>
      <c r="D608" s="182">
        <f t="shared" si="21"/>
        <v>5.0601074898573564E-3</v>
      </c>
      <c r="E608" s="182">
        <v>9.3277841654385279E-3</v>
      </c>
      <c r="F608" s="168"/>
      <c r="G608" s="168">
        <v>605</v>
      </c>
      <c r="H608" s="183">
        <f t="shared" ca="1" si="22"/>
        <v>2.2127194796617674E-2</v>
      </c>
      <c r="K608" s="36"/>
    </row>
    <row r="609" spans="2:11">
      <c r="B609" s="36" t="s">
        <v>8959</v>
      </c>
      <c r="C609" s="182">
        <v>3339.85</v>
      </c>
      <c r="D609" s="182">
        <f t="shared" si="21"/>
        <v>-1.3848084446741002E-2</v>
      </c>
      <c r="E609" s="182">
        <v>9.2510160634798107E-3</v>
      </c>
      <c r="F609" s="168"/>
      <c r="G609" s="168">
        <v>606</v>
      </c>
      <c r="H609" s="183">
        <f t="shared" ca="1" si="22"/>
        <v>2.4726295237908626E-2</v>
      </c>
      <c r="K609" s="36"/>
    </row>
    <row r="610" spans="2:11">
      <c r="B610" s="36" t="s">
        <v>8960</v>
      </c>
      <c r="C610" s="182">
        <v>3386.75</v>
      </c>
      <c r="D610" s="182">
        <f t="shared" si="21"/>
        <v>2.6194588370754116E-2</v>
      </c>
      <c r="E610" s="182">
        <v>9.2319627618309471E-3</v>
      </c>
      <c r="F610" s="168"/>
      <c r="G610" s="168">
        <v>607</v>
      </c>
      <c r="H610" s="183">
        <f t="shared" ca="1" si="22"/>
        <v>1.1075805329323183E-2</v>
      </c>
      <c r="K610" s="36"/>
    </row>
    <row r="611" spans="2:11">
      <c r="B611" s="36" t="s">
        <v>8961</v>
      </c>
      <c r="C611" s="182">
        <v>3300.3</v>
      </c>
      <c r="D611" s="182">
        <f t="shared" si="21"/>
        <v>-2.6291931097007608E-3</v>
      </c>
      <c r="E611" s="182">
        <v>9.2288634252090992E-3</v>
      </c>
      <c r="F611" s="168"/>
      <c r="G611" s="168">
        <v>608</v>
      </c>
      <c r="H611" s="183">
        <f t="shared" ca="1" si="22"/>
        <v>1.7404458376002154E-2</v>
      </c>
      <c r="K611" s="36"/>
    </row>
    <row r="612" spans="2:11">
      <c r="B612" s="36" t="s">
        <v>8962</v>
      </c>
      <c r="C612" s="182">
        <v>3309</v>
      </c>
      <c r="D612" s="182">
        <f t="shared" si="21"/>
        <v>-3.7633599277434892E-3</v>
      </c>
      <c r="E612" s="182">
        <v>9.2262471763328077E-3</v>
      </c>
      <c r="F612" s="168"/>
      <c r="G612" s="168">
        <v>609</v>
      </c>
      <c r="H612" s="183">
        <f t="shared" ca="1" si="22"/>
        <v>1.1433834109747357E-2</v>
      </c>
      <c r="K612" s="36"/>
    </row>
    <row r="613" spans="2:11">
      <c r="B613" s="36" t="s">
        <v>8963</v>
      </c>
      <c r="C613" s="182">
        <v>3321.5</v>
      </c>
      <c r="D613" s="182">
        <f t="shared" si="21"/>
        <v>6.6524223000105518E-3</v>
      </c>
      <c r="E613" s="182">
        <v>9.1966501240695071E-3</v>
      </c>
      <c r="F613" s="168"/>
      <c r="G613" s="168">
        <v>610</v>
      </c>
      <c r="H613" s="183">
        <f t="shared" ca="1" si="22"/>
        <v>1.6435364083563997E-2</v>
      </c>
      <c r="K613" s="36"/>
    </row>
    <row r="614" spans="2:11">
      <c r="B614" s="36">
        <v>45628</v>
      </c>
      <c r="C614" s="182">
        <v>3299.55</v>
      </c>
      <c r="D614" s="182">
        <f t="shared" si="21"/>
        <v>-7.5198147117655021E-3</v>
      </c>
      <c r="E614" s="182">
        <v>9.1747165982973312E-3</v>
      </c>
      <c r="F614" s="168"/>
      <c r="G614" s="168">
        <v>611</v>
      </c>
      <c r="H614" s="183">
        <f t="shared" ca="1" si="22"/>
        <v>-8.8413396178821657E-3</v>
      </c>
      <c r="K614" s="36"/>
    </row>
    <row r="615" spans="2:11">
      <c r="B615" s="36">
        <v>45537</v>
      </c>
      <c r="C615" s="182">
        <v>3324.55</v>
      </c>
      <c r="D615" s="182">
        <f t="shared" si="21"/>
        <v>-3.2828661370108885E-3</v>
      </c>
      <c r="E615" s="182">
        <v>9.1719360338390482E-3</v>
      </c>
      <c r="F615" s="168"/>
      <c r="G615" s="168">
        <v>612</v>
      </c>
      <c r="H615" s="183">
        <f t="shared" ca="1" si="22"/>
        <v>2.0510798219959495E-2</v>
      </c>
      <c r="K615" s="36"/>
    </row>
    <row r="616" spans="2:11">
      <c r="B616" s="36">
        <v>45506</v>
      </c>
      <c r="C616" s="182">
        <v>3335.5</v>
      </c>
      <c r="D616" s="182">
        <f t="shared" si="21"/>
        <v>-1.743894894983351E-2</v>
      </c>
      <c r="E616" s="182">
        <v>9.1508206355201804E-3</v>
      </c>
      <c r="F616" s="168"/>
      <c r="G616" s="168">
        <v>613</v>
      </c>
      <c r="H616" s="183">
        <f t="shared" ca="1" si="22"/>
        <v>6.29916050634331E-3</v>
      </c>
      <c r="K616" s="36"/>
    </row>
    <row r="617" spans="2:11">
      <c r="B617" s="36">
        <v>45475</v>
      </c>
      <c r="C617" s="182">
        <v>3394.7</v>
      </c>
      <c r="D617" s="182">
        <f t="shared" si="21"/>
        <v>-8.6296269256042005E-3</v>
      </c>
      <c r="E617" s="182">
        <v>9.1395415136422322E-3</v>
      </c>
      <c r="F617" s="168"/>
      <c r="G617" s="168">
        <v>614</v>
      </c>
      <c r="H617" s="183">
        <f t="shared" ca="1" si="22"/>
        <v>-1.2570563256673224E-2</v>
      </c>
      <c r="K617" s="36"/>
    </row>
    <row r="618" spans="2:11">
      <c r="B618" s="36">
        <v>45445</v>
      </c>
      <c r="C618" s="182">
        <v>3424.25</v>
      </c>
      <c r="D618" s="182">
        <f t="shared" si="21"/>
        <v>2.4687663649285554E-2</v>
      </c>
      <c r="E618" s="182">
        <v>9.12344260846518E-3</v>
      </c>
      <c r="F618" s="168"/>
      <c r="G618" s="168">
        <v>615</v>
      </c>
      <c r="H618" s="183">
        <f t="shared" ca="1" si="22"/>
        <v>-1.2170770848541079E-2</v>
      </c>
      <c r="K618" s="36"/>
    </row>
    <row r="619" spans="2:11">
      <c r="B619" s="36">
        <v>45414</v>
      </c>
      <c r="C619" s="182">
        <v>3341.75</v>
      </c>
      <c r="D619" s="182">
        <f t="shared" si="21"/>
        <v>-1.015980213563193E-2</v>
      </c>
      <c r="E619" s="182">
        <v>9.1017365348704648E-3</v>
      </c>
      <c r="F619" s="168"/>
      <c r="G619" s="168">
        <v>616</v>
      </c>
      <c r="H619" s="183">
        <f t="shared" ca="1" si="22"/>
        <v>9.2621174610357047E-3</v>
      </c>
      <c r="K619" s="36"/>
    </row>
    <row r="620" spans="2:11">
      <c r="B620" s="36">
        <v>45324</v>
      </c>
      <c r="C620" s="182">
        <v>3376.05</v>
      </c>
      <c r="D620" s="182">
        <f t="shared" si="21"/>
        <v>-6.4596821659799351E-3</v>
      </c>
      <c r="E620" s="182">
        <v>9.0836598134728767E-3</v>
      </c>
      <c r="F620" s="168"/>
      <c r="G620" s="168">
        <v>617</v>
      </c>
      <c r="H620" s="183">
        <f t="shared" ca="1" si="22"/>
        <v>-9.6560054075004315E-3</v>
      </c>
      <c r="K620" s="36"/>
    </row>
    <row r="621" spans="2:11">
      <c r="B621" s="36">
        <v>45293</v>
      </c>
      <c r="C621" s="182">
        <v>3398</v>
      </c>
      <c r="D621" s="182">
        <f t="shared" si="21"/>
        <v>-2.3493067030677491E-2</v>
      </c>
      <c r="E621" s="182">
        <v>9.0832632464255929E-3</v>
      </c>
      <c r="F621" s="168"/>
      <c r="G621" s="168">
        <v>618</v>
      </c>
      <c r="H621" s="183">
        <f t="shared" ca="1" si="22"/>
        <v>-1.4110618315217417E-2</v>
      </c>
      <c r="K621" s="36"/>
    </row>
    <row r="622" spans="2:11">
      <c r="B622" s="36" t="s">
        <v>8964</v>
      </c>
      <c r="C622" s="182">
        <v>3479.75</v>
      </c>
      <c r="D622" s="182">
        <f t="shared" si="21"/>
        <v>-4.2261855613354299E-2</v>
      </c>
      <c r="E622" s="182">
        <v>9.0752157829840155E-3</v>
      </c>
      <c r="F622" s="168"/>
      <c r="G622" s="168">
        <v>619</v>
      </c>
      <c r="H622" s="183">
        <f t="shared" ca="1" si="22"/>
        <v>-1.0821981140667406E-2</v>
      </c>
      <c r="K622" s="36"/>
    </row>
    <row r="623" spans="2:11">
      <c r="B623" s="36" t="s">
        <v>8965</v>
      </c>
      <c r="C623" s="182">
        <v>3633.3</v>
      </c>
      <c r="D623" s="182">
        <f t="shared" si="21"/>
        <v>-2.0145631067961117E-2</v>
      </c>
      <c r="E623" s="182">
        <v>9.0613742347558958E-3</v>
      </c>
      <c r="F623" s="168"/>
      <c r="G623" s="168">
        <v>620</v>
      </c>
      <c r="H623" s="183">
        <f t="shared" ca="1" si="22"/>
        <v>7.6361353559826657E-3</v>
      </c>
      <c r="K623" s="36"/>
    </row>
    <row r="624" spans="2:11">
      <c r="B624" s="36" t="s">
        <v>8966</v>
      </c>
      <c r="C624" s="182">
        <v>3708</v>
      </c>
      <c r="D624" s="182">
        <f t="shared" si="21"/>
        <v>3.1877443682255265E-2</v>
      </c>
      <c r="E624" s="182">
        <v>9.0070584159700883E-3</v>
      </c>
      <c r="F624" s="168"/>
      <c r="G624" s="168">
        <v>621</v>
      </c>
      <c r="H624" s="183">
        <f t="shared" ca="1" si="22"/>
        <v>-1.7877484409600884E-3</v>
      </c>
      <c r="K624" s="36"/>
    </row>
    <row r="625" spans="2:11">
      <c r="B625" s="36" t="s">
        <v>8967</v>
      </c>
      <c r="C625" s="182">
        <v>3593.45</v>
      </c>
      <c r="D625" s="182">
        <f t="shared" si="21"/>
        <v>1.184107879193135E-3</v>
      </c>
      <c r="E625" s="182">
        <v>8.9665902391091092E-3</v>
      </c>
      <c r="F625" s="168"/>
      <c r="G625" s="168">
        <v>622</v>
      </c>
      <c r="H625" s="183">
        <f t="shared" ca="1" si="22"/>
        <v>-6.1655584008173071E-3</v>
      </c>
      <c r="K625" s="36"/>
    </row>
    <row r="626" spans="2:11">
      <c r="B626" s="36" t="s">
        <v>8968</v>
      </c>
      <c r="C626" s="182">
        <v>3589.2</v>
      </c>
      <c r="D626" s="182">
        <f t="shared" si="21"/>
        <v>1.0757533089270577E-2</v>
      </c>
      <c r="E626" s="182">
        <v>8.964893777309026E-3</v>
      </c>
      <c r="F626" s="168"/>
      <c r="G626" s="168">
        <v>623</v>
      </c>
      <c r="H626" s="183">
        <f t="shared" ca="1" si="22"/>
        <v>2.9217369824410117E-3</v>
      </c>
      <c r="K626" s="36"/>
    </row>
    <row r="627" spans="2:11">
      <c r="B627" s="36" t="s">
        <v>8969</v>
      </c>
      <c r="C627" s="182">
        <v>3551</v>
      </c>
      <c r="D627" s="182">
        <f t="shared" si="21"/>
        <v>-2.2974274315586737E-2</v>
      </c>
      <c r="E627" s="182">
        <v>8.958160729080341E-3</v>
      </c>
      <c r="F627" s="168"/>
      <c r="G627" s="168">
        <v>624</v>
      </c>
      <c r="H627" s="183">
        <f t="shared" ca="1" si="22"/>
        <v>4.5902877413073247E-3</v>
      </c>
      <c r="K627" s="36"/>
    </row>
    <row r="628" spans="2:11">
      <c r="B628" s="36" t="s">
        <v>8970</v>
      </c>
      <c r="C628" s="182">
        <v>3634.5</v>
      </c>
      <c r="D628" s="182">
        <f t="shared" si="21"/>
        <v>-3.154141524958859E-3</v>
      </c>
      <c r="E628" s="182">
        <v>8.9503901074635926E-3</v>
      </c>
      <c r="F628" s="168"/>
      <c r="G628" s="168">
        <v>625</v>
      </c>
      <c r="H628" s="183">
        <f t="shared" ca="1" si="22"/>
        <v>9.4841008387920797E-3</v>
      </c>
      <c r="K628" s="36"/>
    </row>
    <row r="629" spans="2:11">
      <c r="B629" s="36" t="s">
        <v>8971</v>
      </c>
      <c r="C629" s="182">
        <v>3646</v>
      </c>
      <c r="D629" s="182">
        <f t="shared" si="21"/>
        <v>1.3904338153503892E-2</v>
      </c>
      <c r="E629" s="182">
        <v>8.9434507276968719E-3</v>
      </c>
      <c r="F629" s="168"/>
      <c r="G629" s="168">
        <v>626</v>
      </c>
      <c r="H629" s="183">
        <f t="shared" ca="1" si="22"/>
        <v>4.301050195646001E-3</v>
      </c>
      <c r="K629" s="36"/>
    </row>
    <row r="630" spans="2:11">
      <c r="B630" s="36" t="s">
        <v>8972</v>
      </c>
      <c r="C630" s="182">
        <v>3596</v>
      </c>
      <c r="D630" s="182">
        <f t="shared" si="21"/>
        <v>7.0149400019603137E-3</v>
      </c>
      <c r="E630" s="182">
        <v>8.90987476904119E-3</v>
      </c>
      <c r="F630" s="168"/>
      <c r="G630" s="168">
        <v>627</v>
      </c>
      <c r="H630" s="183">
        <f t="shared" ca="1" si="22"/>
        <v>-6.0220599314183563E-3</v>
      </c>
      <c r="K630" s="36"/>
    </row>
    <row r="631" spans="2:11">
      <c r="B631" s="36" t="s">
        <v>8973</v>
      </c>
      <c r="C631" s="182">
        <v>3570.95</v>
      </c>
      <c r="D631" s="182">
        <f t="shared" si="21"/>
        <v>-7.1358612005042164E-4</v>
      </c>
      <c r="E631" s="182">
        <v>8.8870770485120262E-3</v>
      </c>
      <c r="F631" s="168"/>
      <c r="G631" s="168">
        <v>628</v>
      </c>
      <c r="H631" s="183">
        <f t="shared" ca="1" si="22"/>
        <v>9.9666369870193283E-3</v>
      </c>
      <c r="K631" s="36"/>
    </row>
    <row r="632" spans="2:11">
      <c r="B632" s="36" t="s">
        <v>8974</v>
      </c>
      <c r="C632" s="182">
        <v>3573.5</v>
      </c>
      <c r="D632" s="182">
        <f t="shared" si="21"/>
        <v>8.594290230168871E-3</v>
      </c>
      <c r="E632" s="182">
        <v>8.8827615091969826E-3</v>
      </c>
      <c r="F632" s="168"/>
      <c r="G632" s="168">
        <v>629</v>
      </c>
      <c r="H632" s="183">
        <f t="shared" ca="1" si="22"/>
        <v>-3.8157124854565523E-4</v>
      </c>
      <c r="K632" s="36"/>
    </row>
    <row r="633" spans="2:11">
      <c r="B633" s="36" t="s">
        <v>8975</v>
      </c>
      <c r="C633" s="182">
        <v>3543.05</v>
      </c>
      <c r="D633" s="182">
        <f t="shared" si="21"/>
        <v>-7.2153104685048191E-3</v>
      </c>
      <c r="E633" s="182">
        <v>8.8419753932621834E-3</v>
      </c>
      <c r="F633" s="168"/>
      <c r="G633" s="168">
        <v>630</v>
      </c>
      <c r="H633" s="183">
        <f t="shared" ca="1" si="22"/>
        <v>2.029193490268158E-2</v>
      </c>
      <c r="K633" s="36"/>
    </row>
    <row r="634" spans="2:11">
      <c r="B634" s="36">
        <v>45627</v>
      </c>
      <c r="C634" s="182">
        <v>3568.8</v>
      </c>
      <c r="D634" s="182">
        <f t="shared" si="21"/>
        <v>1.8246144628158201E-2</v>
      </c>
      <c r="E634" s="182">
        <v>8.8317462224759193E-3</v>
      </c>
      <c r="F634" s="168"/>
      <c r="G634" s="168">
        <v>631</v>
      </c>
      <c r="H634" s="183">
        <f t="shared" ca="1" si="22"/>
        <v>4.1489233994032046E-3</v>
      </c>
      <c r="K634" s="36"/>
    </row>
    <row r="635" spans="2:11">
      <c r="B635" s="36">
        <v>45597</v>
      </c>
      <c r="C635" s="182">
        <v>3504.85</v>
      </c>
      <c r="D635" s="182">
        <f t="shared" si="21"/>
        <v>-1.1465237625158678E-2</v>
      </c>
      <c r="E635" s="182">
        <v>8.7971431060013382E-3</v>
      </c>
      <c r="F635" s="168"/>
      <c r="G635" s="168">
        <v>632</v>
      </c>
      <c r="H635" s="183">
        <f t="shared" ca="1" si="22"/>
        <v>3.3667754939563465E-3</v>
      </c>
      <c r="K635" s="36"/>
    </row>
    <row r="636" spans="2:11">
      <c r="B636" s="36">
        <v>45566</v>
      </c>
      <c r="C636" s="182">
        <v>3545.5</v>
      </c>
      <c r="D636" s="182">
        <f t="shared" si="21"/>
        <v>-2.9387364839212641E-3</v>
      </c>
      <c r="E636" s="182">
        <v>8.7580860546990161E-3</v>
      </c>
      <c r="F636" s="168"/>
      <c r="G636" s="168">
        <v>633</v>
      </c>
      <c r="H636" s="183">
        <f t="shared" ca="1" si="22"/>
        <v>7.6765511910164954E-3</v>
      </c>
      <c r="K636" s="36"/>
    </row>
    <row r="637" spans="2:11">
      <c r="B637" s="36">
        <v>45536</v>
      </c>
      <c r="C637" s="182">
        <v>3555.95</v>
      </c>
      <c r="D637" s="182">
        <f t="shared" si="21"/>
        <v>1.5666504812773104E-2</v>
      </c>
      <c r="E637" s="182">
        <v>8.7427745664739234E-3</v>
      </c>
      <c r="F637" s="168"/>
      <c r="G637" s="168">
        <v>634</v>
      </c>
      <c r="H637" s="183">
        <f t="shared" ca="1" si="22"/>
        <v>1.6655567969486654E-2</v>
      </c>
      <c r="K637" s="36"/>
    </row>
    <row r="638" spans="2:11">
      <c r="B638" s="36">
        <v>45505</v>
      </c>
      <c r="C638" s="182">
        <v>3501.1</v>
      </c>
      <c r="D638" s="182">
        <f t="shared" si="21"/>
        <v>-5.9059030636872661E-3</v>
      </c>
      <c r="E638" s="182">
        <v>8.7067974896138395E-3</v>
      </c>
      <c r="F638" s="168"/>
      <c r="G638" s="168">
        <v>635</v>
      </c>
      <c r="H638" s="183">
        <f t="shared" ca="1" si="22"/>
        <v>-1.3984691628657769E-2</v>
      </c>
      <c r="K638" s="36"/>
    </row>
    <row r="639" spans="2:11">
      <c r="B639" s="36">
        <v>45413</v>
      </c>
      <c r="C639" s="182">
        <v>3521.9</v>
      </c>
      <c r="D639" s="182">
        <f t="shared" si="21"/>
        <v>1.8272761442160428E-2</v>
      </c>
      <c r="E639" s="182">
        <v>8.6997717386622236E-3</v>
      </c>
      <c r="F639" s="168"/>
      <c r="G639" s="168">
        <v>636</v>
      </c>
      <c r="H639" s="183">
        <f t="shared" ca="1" si="22"/>
        <v>-8.5669124494063865E-3</v>
      </c>
      <c r="K639" s="36"/>
    </row>
    <row r="640" spans="2:11">
      <c r="B640" s="36">
        <v>45383</v>
      </c>
      <c r="C640" s="182">
        <v>3458.7</v>
      </c>
      <c r="D640" s="182">
        <f t="shared" si="21"/>
        <v>5.3337596465475633E-3</v>
      </c>
      <c r="E640" s="182">
        <v>8.6883876357560057E-3</v>
      </c>
      <c r="F640" s="168"/>
      <c r="G640" s="168">
        <v>637</v>
      </c>
      <c r="H640" s="183">
        <f t="shared" ca="1" si="22"/>
        <v>4.4198471761536531E-2</v>
      </c>
      <c r="K640" s="36"/>
    </row>
    <row r="641" spans="2:11">
      <c r="B641" s="36">
        <v>45352</v>
      </c>
      <c r="C641" s="182">
        <v>3440.35</v>
      </c>
      <c r="D641" s="182">
        <f t="shared" si="21"/>
        <v>6.544312265495477E-4</v>
      </c>
      <c r="E641" s="182">
        <v>8.6316765148881144E-3</v>
      </c>
      <c r="F641" s="168"/>
      <c r="G641" s="168">
        <v>638</v>
      </c>
      <c r="H641" s="183">
        <f t="shared" ca="1" si="22"/>
        <v>2.1246750531503527E-2</v>
      </c>
      <c r="K641" s="36"/>
    </row>
    <row r="642" spans="2:11">
      <c r="B642" s="36">
        <v>45323</v>
      </c>
      <c r="C642" s="182">
        <v>3438.1</v>
      </c>
      <c r="D642" s="182">
        <f t="shared" si="21"/>
        <v>-2.4776978825398151E-2</v>
      </c>
      <c r="E642" s="182">
        <v>8.6210612526401997E-3</v>
      </c>
      <c r="F642" s="168"/>
      <c r="G642" s="168">
        <v>639</v>
      </c>
      <c r="H642" s="183">
        <f t="shared" ca="1" si="22"/>
        <v>4.1491655015679996E-3</v>
      </c>
      <c r="K642" s="36"/>
    </row>
    <row r="643" spans="2:11">
      <c r="B643" s="36">
        <v>45292</v>
      </c>
      <c r="C643" s="182">
        <v>3525.45</v>
      </c>
      <c r="D643" s="182">
        <f t="shared" si="21"/>
        <v>-1.5598411798076629E-4</v>
      </c>
      <c r="E643" s="182">
        <v>8.6018260016600696E-3</v>
      </c>
      <c r="F643" s="168"/>
      <c r="G643" s="168">
        <v>640</v>
      </c>
      <c r="H643" s="183">
        <f t="shared" ca="1" si="22"/>
        <v>1.6581195067030988E-2</v>
      </c>
      <c r="K643" s="36"/>
    </row>
    <row r="644" spans="2:11">
      <c r="B644" s="36" t="s">
        <v>8976</v>
      </c>
      <c r="C644" s="182">
        <v>3526</v>
      </c>
      <c r="D644" s="182">
        <f t="shared" ref="D644:D707" si="23">(C644-C645)/C645</f>
        <v>2.2597745910375969E-3</v>
      </c>
      <c r="E644" s="182">
        <v>8.5625580889478106E-3</v>
      </c>
      <c r="F644" s="168"/>
      <c r="G644" s="168">
        <v>641</v>
      </c>
      <c r="H644" s="183">
        <f t="shared" ca="1" si="22"/>
        <v>-6.379178026826267E-3</v>
      </c>
      <c r="K644" s="36"/>
    </row>
    <row r="645" spans="2:11">
      <c r="B645" s="36" t="s">
        <v>8977</v>
      </c>
      <c r="C645" s="182">
        <v>3518.05</v>
      </c>
      <c r="D645" s="182">
        <f t="shared" si="23"/>
        <v>-7.322234762979633E-3</v>
      </c>
      <c r="E645" s="182">
        <v>8.5559946343762121E-3</v>
      </c>
      <c r="F645" s="168"/>
      <c r="G645" s="168">
        <v>642</v>
      </c>
      <c r="H645" s="183">
        <f t="shared" ref="H645:H708" ca="1" si="24">_xlfn.NORM.INV(RAND(),N$6,N$7)</f>
        <v>-9.4899604086536235E-3</v>
      </c>
      <c r="K645" s="36"/>
    </row>
    <row r="646" spans="2:11">
      <c r="B646" s="36" t="s">
        <v>8978</v>
      </c>
      <c r="C646" s="182">
        <v>3544</v>
      </c>
      <c r="D646" s="182">
        <f t="shared" si="23"/>
        <v>1.5458231257431789E-2</v>
      </c>
      <c r="E646" s="182">
        <v>8.5537226149951587E-3</v>
      </c>
      <c r="F646" s="168"/>
      <c r="G646" s="168">
        <v>643</v>
      </c>
      <c r="H646" s="183">
        <f t="shared" ca="1" si="24"/>
        <v>-6.8726248522921812E-3</v>
      </c>
      <c r="K646" s="36"/>
    </row>
    <row r="647" spans="2:11">
      <c r="B647" s="36" t="s">
        <v>8979</v>
      </c>
      <c r="C647" s="182">
        <v>3490.05</v>
      </c>
      <c r="D647" s="182">
        <f t="shared" si="23"/>
        <v>3.4790609410717131E-3</v>
      </c>
      <c r="E647" s="182">
        <v>8.547438282467696E-3</v>
      </c>
      <c r="F647" s="168"/>
      <c r="G647" s="168">
        <v>644</v>
      </c>
      <c r="H647" s="183">
        <f t="shared" ca="1" si="24"/>
        <v>3.2388873880829267E-3</v>
      </c>
      <c r="K647" s="36"/>
    </row>
    <row r="648" spans="2:11">
      <c r="B648" s="36" t="s">
        <v>8980</v>
      </c>
      <c r="C648" s="182">
        <v>3477.95</v>
      </c>
      <c r="D648" s="182">
        <f t="shared" si="23"/>
        <v>1.5711928507804777E-2</v>
      </c>
      <c r="E648" s="182">
        <v>8.5146053449347697E-3</v>
      </c>
      <c r="F648" s="168"/>
      <c r="G648" s="168">
        <v>645</v>
      </c>
      <c r="H648" s="183">
        <f t="shared" ca="1" si="24"/>
        <v>3.1429672316476099E-3</v>
      </c>
      <c r="K648" s="36"/>
    </row>
    <row r="649" spans="2:11">
      <c r="B649" s="36" t="s">
        <v>8981</v>
      </c>
      <c r="C649" s="182">
        <v>3424.15</v>
      </c>
      <c r="D649" s="182">
        <f t="shared" si="23"/>
        <v>1.652771683486936E-3</v>
      </c>
      <c r="E649" s="182">
        <v>8.5031196510408549E-3</v>
      </c>
      <c r="F649" s="168"/>
      <c r="G649" s="168">
        <v>646</v>
      </c>
      <c r="H649" s="183">
        <f t="shared" ca="1" si="24"/>
        <v>1.564363435980877E-2</v>
      </c>
      <c r="K649" s="36"/>
    </row>
    <row r="650" spans="2:11">
      <c r="B650" s="36" t="s">
        <v>8982</v>
      </c>
      <c r="C650" s="182">
        <v>3418.5</v>
      </c>
      <c r="D650" s="182">
        <f t="shared" si="23"/>
        <v>-2.2992612069335037E-2</v>
      </c>
      <c r="E650" s="182">
        <v>8.4779813564769806E-3</v>
      </c>
      <c r="F650" s="168"/>
      <c r="G650" s="168">
        <v>647</v>
      </c>
      <c r="H650" s="183">
        <f t="shared" ca="1" si="24"/>
        <v>-3.3591551709477724E-3</v>
      </c>
      <c r="K650" s="36"/>
    </row>
    <row r="651" spans="2:11">
      <c r="B651" s="36" t="s">
        <v>8983</v>
      </c>
      <c r="C651" s="182">
        <v>3498.95</v>
      </c>
      <c r="D651" s="182">
        <f t="shared" si="23"/>
        <v>2.1050521251002145E-3</v>
      </c>
      <c r="E651" s="182">
        <v>8.4618154440406906E-3</v>
      </c>
      <c r="F651" s="168"/>
      <c r="G651" s="168">
        <v>648</v>
      </c>
      <c r="H651" s="183">
        <f t="shared" ca="1" si="24"/>
        <v>-1.0068991534176789E-2</v>
      </c>
      <c r="K651" s="36"/>
    </row>
    <row r="652" spans="2:11">
      <c r="B652" s="36" t="s">
        <v>8984</v>
      </c>
      <c r="C652" s="182">
        <v>3491.6</v>
      </c>
      <c r="D652" s="182">
        <f t="shared" si="23"/>
        <v>1.0321100917430931E-3</v>
      </c>
      <c r="E652" s="182">
        <v>8.460977388767367E-3</v>
      </c>
      <c r="F652" s="168"/>
      <c r="G652" s="168">
        <v>649</v>
      </c>
      <c r="H652" s="183">
        <f t="shared" ca="1" si="24"/>
        <v>1.0235412293822164E-2</v>
      </c>
      <c r="K652" s="36"/>
    </row>
    <row r="653" spans="2:11">
      <c r="B653" s="36" t="s">
        <v>8985</v>
      </c>
      <c r="C653" s="182">
        <v>3488</v>
      </c>
      <c r="D653" s="182">
        <f t="shared" si="23"/>
        <v>1.5991378054819285E-2</v>
      </c>
      <c r="E653" s="182">
        <v>8.4459459459459464E-3</v>
      </c>
      <c r="F653" s="168"/>
      <c r="G653" s="168">
        <v>650</v>
      </c>
      <c r="H653" s="183">
        <f t="shared" ca="1" si="24"/>
        <v>7.8268392245415611E-3</v>
      </c>
      <c r="K653" s="36"/>
    </row>
    <row r="654" spans="2:11">
      <c r="B654" s="36" t="s">
        <v>8986</v>
      </c>
      <c r="C654" s="182">
        <v>3433.1</v>
      </c>
      <c r="D654" s="182">
        <f t="shared" si="23"/>
        <v>9.7946938055178904E-3</v>
      </c>
      <c r="E654" s="182">
        <v>8.3851313927010892E-3</v>
      </c>
      <c r="F654" s="168"/>
      <c r="G654" s="168">
        <v>651</v>
      </c>
      <c r="H654" s="183">
        <f t="shared" ca="1" si="24"/>
        <v>2.3324979269931243E-2</v>
      </c>
      <c r="K654" s="36"/>
    </row>
    <row r="655" spans="2:11">
      <c r="B655" s="36" t="s">
        <v>8987</v>
      </c>
      <c r="C655" s="182">
        <v>3399.8</v>
      </c>
      <c r="D655" s="182">
        <f t="shared" si="23"/>
        <v>1.7173288654858811E-2</v>
      </c>
      <c r="E655" s="182">
        <v>8.3491167716748128E-3</v>
      </c>
      <c r="F655" s="168"/>
      <c r="G655" s="168">
        <v>652</v>
      </c>
      <c r="H655" s="183">
        <f t="shared" ca="1" si="24"/>
        <v>1.4620948587704938E-2</v>
      </c>
      <c r="K655" s="36"/>
    </row>
    <row r="656" spans="2:11">
      <c r="B656" s="36">
        <v>45272</v>
      </c>
      <c r="C656" s="182">
        <v>3342.4</v>
      </c>
      <c r="D656" s="182">
        <f t="shared" si="23"/>
        <v>-1.2818240888416352E-2</v>
      </c>
      <c r="E656" s="182">
        <v>8.335728657660248E-3</v>
      </c>
      <c r="F656" s="168"/>
      <c r="G656" s="168">
        <v>653</v>
      </c>
      <c r="H656" s="183">
        <f t="shared" ca="1" si="24"/>
        <v>3.7161237534770672E-3</v>
      </c>
      <c r="K656" s="36"/>
    </row>
    <row r="657" spans="2:11">
      <c r="B657" s="36">
        <v>45242</v>
      </c>
      <c r="C657" s="182">
        <v>3385.8</v>
      </c>
      <c r="D657" s="182">
        <f t="shared" si="23"/>
        <v>2.1755538782578889E-3</v>
      </c>
      <c r="E657" s="182">
        <v>8.3311861204156748E-3</v>
      </c>
      <c r="F657" s="168"/>
      <c r="G657" s="168">
        <v>654</v>
      </c>
      <c r="H657" s="183">
        <f t="shared" ca="1" si="24"/>
        <v>9.6573231335200724E-3</v>
      </c>
      <c r="K657" s="36"/>
    </row>
    <row r="658" spans="2:11">
      <c r="B658" s="36">
        <v>45150</v>
      </c>
      <c r="C658" s="182">
        <v>3378.45</v>
      </c>
      <c r="D658" s="182">
        <f t="shared" si="23"/>
        <v>6.8095124567886245E-3</v>
      </c>
      <c r="E658" s="182">
        <v>8.3302707337987517E-3</v>
      </c>
      <c r="F658" s="168"/>
      <c r="G658" s="168">
        <v>655</v>
      </c>
      <c r="H658" s="183">
        <f t="shared" ca="1" si="24"/>
        <v>1.2250033213144992E-2</v>
      </c>
      <c r="K658" s="36"/>
    </row>
    <row r="659" spans="2:11">
      <c r="B659" s="36">
        <v>45119</v>
      </c>
      <c r="C659" s="182">
        <v>3355.6</v>
      </c>
      <c r="D659" s="182">
        <f t="shared" si="23"/>
        <v>-1.0818618636323519E-2</v>
      </c>
      <c r="E659" s="182">
        <v>8.3219851717355117E-3</v>
      </c>
      <c r="F659" s="168"/>
      <c r="G659" s="168">
        <v>656</v>
      </c>
      <c r="H659" s="183">
        <f t="shared" ca="1" si="24"/>
        <v>1.2713115833230478E-2</v>
      </c>
      <c r="K659" s="36"/>
    </row>
    <row r="660" spans="2:11">
      <c r="B660" s="36">
        <v>45089</v>
      </c>
      <c r="C660" s="182">
        <v>3392.3</v>
      </c>
      <c r="D660" s="182">
        <f t="shared" si="23"/>
        <v>2.3179357251655239E-2</v>
      </c>
      <c r="E660" s="182">
        <v>8.3080040526849492E-3</v>
      </c>
      <c r="F660" s="168"/>
      <c r="G660" s="168">
        <v>657</v>
      </c>
      <c r="H660" s="183">
        <f t="shared" ca="1" si="24"/>
        <v>-1.2167835393522033E-2</v>
      </c>
      <c r="K660" s="36"/>
    </row>
    <row r="661" spans="2:11">
      <c r="B661" s="36">
        <v>45058</v>
      </c>
      <c r="C661" s="182">
        <v>3315.45</v>
      </c>
      <c r="D661" s="182">
        <f t="shared" si="23"/>
        <v>5.7340314768137982E-4</v>
      </c>
      <c r="E661" s="182">
        <v>8.2949308755759631E-3</v>
      </c>
      <c r="F661" s="168"/>
      <c r="G661" s="168">
        <v>658</v>
      </c>
      <c r="H661" s="183">
        <f t="shared" ca="1" si="24"/>
        <v>2.1032993100720439E-2</v>
      </c>
      <c r="K661" s="36"/>
    </row>
    <row r="662" spans="2:11">
      <c r="B662" s="36">
        <v>45028</v>
      </c>
      <c r="C662" s="182">
        <v>3313.55</v>
      </c>
      <c r="D662" s="182">
        <f t="shared" si="23"/>
        <v>3.8518797110306702E-2</v>
      </c>
      <c r="E662" s="182">
        <v>8.2872039134912461E-3</v>
      </c>
      <c r="F662" s="168"/>
      <c r="G662" s="168">
        <v>659</v>
      </c>
      <c r="H662" s="183">
        <f t="shared" ca="1" si="24"/>
        <v>-1.0535435773268167E-2</v>
      </c>
      <c r="K662" s="36"/>
    </row>
    <row r="663" spans="2:11">
      <c r="B663" s="36">
        <v>44938</v>
      </c>
      <c r="C663" s="182">
        <v>3190.65</v>
      </c>
      <c r="D663" s="182">
        <f t="shared" si="23"/>
        <v>2.6196449247394917E-2</v>
      </c>
      <c r="E663" s="182">
        <v>8.2773862641257294E-3</v>
      </c>
      <c r="F663" s="168"/>
      <c r="G663" s="168">
        <v>660</v>
      </c>
      <c r="H663" s="183">
        <f t="shared" ca="1" si="24"/>
        <v>4.497647980374715E-3</v>
      </c>
      <c r="K663" s="36"/>
    </row>
    <row r="664" spans="2:11">
      <c r="B664" s="36" t="s">
        <v>8988</v>
      </c>
      <c r="C664" s="182">
        <v>3109.2</v>
      </c>
      <c r="D664" s="182">
        <f t="shared" si="23"/>
        <v>8.2529387920550687E-3</v>
      </c>
      <c r="E664" s="182">
        <v>8.2706257202901819E-3</v>
      </c>
      <c r="F664" s="168"/>
      <c r="G664" s="168">
        <v>661</v>
      </c>
      <c r="H664" s="183">
        <f t="shared" ca="1" si="24"/>
        <v>3.1588494818238552E-3</v>
      </c>
      <c r="K664" s="36"/>
    </row>
    <row r="665" spans="2:11">
      <c r="B665" s="36" t="s">
        <v>8989</v>
      </c>
      <c r="C665" s="182">
        <v>3083.75</v>
      </c>
      <c r="D665" s="182">
        <f t="shared" si="23"/>
        <v>1.1065573770491803E-2</v>
      </c>
      <c r="E665" s="182">
        <v>8.2351918647604501E-3</v>
      </c>
      <c r="F665" s="168"/>
      <c r="G665" s="168">
        <v>662</v>
      </c>
      <c r="H665" s="183">
        <f t="shared" ca="1" si="24"/>
        <v>3.0973379569277323E-3</v>
      </c>
      <c r="K665" s="36"/>
    </row>
    <row r="666" spans="2:11">
      <c r="B666" s="36" t="s">
        <v>8990</v>
      </c>
      <c r="C666" s="182">
        <v>3050</v>
      </c>
      <c r="D666" s="182">
        <f t="shared" si="23"/>
        <v>-1.3915036424654171E-3</v>
      </c>
      <c r="E666" s="182">
        <v>8.1996434937611409E-3</v>
      </c>
      <c r="F666" s="168"/>
      <c r="G666" s="168">
        <v>663</v>
      </c>
      <c r="H666" s="183">
        <f t="shared" ca="1" si="24"/>
        <v>-6.6642325092005966E-3</v>
      </c>
      <c r="K666" s="36"/>
    </row>
    <row r="667" spans="2:11">
      <c r="B667" s="36" t="s">
        <v>8991</v>
      </c>
      <c r="C667" s="182">
        <v>3054.25</v>
      </c>
      <c r="D667" s="182">
        <f t="shared" si="23"/>
        <v>2.8236993745177248E-3</v>
      </c>
      <c r="E667" s="182">
        <v>8.1899217206375871E-3</v>
      </c>
      <c r="F667" s="168"/>
      <c r="G667" s="168">
        <v>664</v>
      </c>
      <c r="H667" s="183">
        <f t="shared" ca="1" si="24"/>
        <v>-1.5386867581455351E-3</v>
      </c>
      <c r="K667" s="36"/>
    </row>
    <row r="668" spans="2:11">
      <c r="B668" s="36" t="s">
        <v>8992</v>
      </c>
      <c r="C668" s="182">
        <v>3045.65</v>
      </c>
      <c r="D668" s="182">
        <f t="shared" si="23"/>
        <v>-1.1890471401226385E-2</v>
      </c>
      <c r="E668" s="182">
        <v>8.1859739891562092E-3</v>
      </c>
      <c r="F668" s="168"/>
      <c r="G668" s="168">
        <v>665</v>
      </c>
      <c r="H668" s="183">
        <f t="shared" ca="1" si="24"/>
        <v>1.6288243737416779E-3</v>
      </c>
      <c r="K668" s="36"/>
    </row>
    <row r="669" spans="2:11">
      <c r="B669" s="36" t="s">
        <v>8993</v>
      </c>
      <c r="C669" s="182">
        <v>3082.3</v>
      </c>
      <c r="D669" s="182">
        <f t="shared" si="23"/>
        <v>2.4228824170285618E-3</v>
      </c>
      <c r="E669" s="182">
        <v>8.1773702398467481E-3</v>
      </c>
      <c r="F669" s="168"/>
      <c r="G669" s="168">
        <v>666</v>
      </c>
      <c r="H669" s="183">
        <f t="shared" ca="1" si="24"/>
        <v>-7.0381295266914749E-3</v>
      </c>
      <c r="K669" s="36"/>
    </row>
    <row r="670" spans="2:11">
      <c r="B670" s="36" t="s">
        <v>8994</v>
      </c>
      <c r="C670" s="182">
        <v>3074.85</v>
      </c>
      <c r="D670" s="182">
        <f t="shared" si="23"/>
        <v>-4.5163170163171045E-3</v>
      </c>
      <c r="E670" s="182">
        <v>8.1453248908833834E-3</v>
      </c>
      <c r="F670" s="168"/>
      <c r="G670" s="168">
        <v>667</v>
      </c>
      <c r="H670" s="183">
        <f t="shared" ca="1" si="24"/>
        <v>-1.6768123259837632E-3</v>
      </c>
      <c r="K670" s="36"/>
    </row>
    <row r="671" spans="2:11">
      <c r="B671" s="36" t="s">
        <v>8995</v>
      </c>
      <c r="C671" s="182">
        <v>3088.8</v>
      </c>
      <c r="D671" s="182">
        <f t="shared" si="23"/>
        <v>-6.4972660019298224E-3</v>
      </c>
      <c r="E671" s="182">
        <v>8.1072760236718146E-3</v>
      </c>
      <c r="F671" s="168"/>
      <c r="G671" s="168">
        <v>668</v>
      </c>
      <c r="H671" s="183">
        <f t="shared" ca="1" si="24"/>
        <v>1.6132720341452123E-2</v>
      </c>
      <c r="K671" s="36"/>
    </row>
    <row r="672" spans="2:11">
      <c r="B672" s="36" t="s">
        <v>8996</v>
      </c>
      <c r="C672" s="182">
        <v>3109</v>
      </c>
      <c r="D672" s="182">
        <f t="shared" si="23"/>
        <v>1.8960064238074139E-2</v>
      </c>
      <c r="E672" s="182">
        <v>8.0831408775980332E-3</v>
      </c>
      <c r="F672" s="168"/>
      <c r="G672" s="168">
        <v>669</v>
      </c>
      <c r="H672" s="183">
        <f t="shared" ca="1" si="24"/>
        <v>3.1149435688707918E-4</v>
      </c>
      <c r="K672" s="36"/>
    </row>
    <row r="673" spans="2:11">
      <c r="B673" s="36" t="s">
        <v>8997</v>
      </c>
      <c r="C673" s="182">
        <v>3051.15</v>
      </c>
      <c r="D673" s="182">
        <f t="shared" si="23"/>
        <v>-4.5025204326333964E-3</v>
      </c>
      <c r="E673" s="182">
        <v>8.0820308327697061E-3</v>
      </c>
      <c r="F673" s="168"/>
      <c r="G673" s="168">
        <v>670</v>
      </c>
      <c r="H673" s="183">
        <f t="shared" ca="1" si="24"/>
        <v>4.725550831412041E-3</v>
      </c>
      <c r="K673" s="36"/>
    </row>
    <row r="674" spans="2:11">
      <c r="B674" s="36" t="s">
        <v>8998</v>
      </c>
      <c r="C674" s="182">
        <v>3064.95</v>
      </c>
      <c r="D674" s="182">
        <f t="shared" si="23"/>
        <v>5.3960964408725004E-3</v>
      </c>
      <c r="E674" s="182">
        <v>8.0788446644697604E-3</v>
      </c>
      <c r="F674" s="168"/>
      <c r="G674" s="168">
        <v>671</v>
      </c>
      <c r="H674" s="183">
        <f t="shared" ca="1" si="24"/>
        <v>6.2104036035839864E-3</v>
      </c>
      <c r="K674" s="36"/>
    </row>
    <row r="675" spans="2:11">
      <c r="B675" s="36" t="s">
        <v>8999</v>
      </c>
      <c r="C675" s="182">
        <v>3048.5</v>
      </c>
      <c r="D675" s="182">
        <f t="shared" si="23"/>
        <v>-1.1467889908256881E-3</v>
      </c>
      <c r="E675" s="182">
        <v>8.0632892134490618E-3</v>
      </c>
      <c r="F675" s="168"/>
      <c r="G675" s="168">
        <v>672</v>
      </c>
      <c r="H675" s="183">
        <f t="shared" ca="1" si="24"/>
        <v>8.024420407603771E-3</v>
      </c>
      <c r="K675" s="36"/>
    </row>
    <row r="676" spans="2:11">
      <c r="B676" s="36">
        <v>45271</v>
      </c>
      <c r="C676" s="182">
        <v>3052</v>
      </c>
      <c r="D676" s="182">
        <f t="shared" si="23"/>
        <v>6.1814885024313853E-3</v>
      </c>
      <c r="E676" s="182">
        <v>8.0602997560125494E-3</v>
      </c>
      <c r="F676" s="168"/>
      <c r="G676" s="168">
        <v>673</v>
      </c>
      <c r="H676" s="183">
        <f t="shared" ca="1" si="24"/>
        <v>-9.2354527822010313E-3</v>
      </c>
      <c r="K676" s="36"/>
    </row>
    <row r="677" spans="2:11">
      <c r="B677" s="36">
        <v>45210</v>
      </c>
      <c r="C677" s="182">
        <v>3033.25</v>
      </c>
      <c r="D677" s="182">
        <f t="shared" si="23"/>
        <v>2.7769972064730785E-3</v>
      </c>
      <c r="E677" s="182">
        <v>8.0597422703885396E-3</v>
      </c>
      <c r="F677" s="168"/>
      <c r="G677" s="168">
        <v>674</v>
      </c>
      <c r="H677" s="183">
        <f t="shared" ca="1" si="24"/>
        <v>1.8258616185987152E-3</v>
      </c>
      <c r="K677" s="36"/>
    </row>
    <row r="678" spans="2:11">
      <c r="B678" s="36">
        <v>45180</v>
      </c>
      <c r="C678" s="182">
        <v>3024.85</v>
      </c>
      <c r="D678" s="182">
        <f t="shared" si="23"/>
        <v>9.4778821605566894E-3</v>
      </c>
      <c r="E678" s="182">
        <v>8.0425104121786915E-3</v>
      </c>
      <c r="F678" s="168"/>
      <c r="G678" s="168">
        <v>675</v>
      </c>
      <c r="H678" s="183">
        <f t="shared" ca="1" si="24"/>
        <v>8.7207975414006558E-3</v>
      </c>
      <c r="K678" s="36"/>
    </row>
    <row r="679" spans="2:11">
      <c r="B679" s="36">
        <v>45149</v>
      </c>
      <c r="C679" s="182">
        <v>2996.45</v>
      </c>
      <c r="D679" s="182">
        <f t="shared" si="23"/>
        <v>1.1869786917907552E-2</v>
      </c>
      <c r="E679" s="182">
        <v>8.0328267899990834E-3</v>
      </c>
      <c r="F679" s="168"/>
      <c r="G679" s="168">
        <v>676</v>
      </c>
      <c r="H679" s="183">
        <f t="shared" ca="1" si="24"/>
        <v>-1.5405206441995806E-2</v>
      </c>
      <c r="K679" s="36"/>
    </row>
    <row r="680" spans="2:11">
      <c r="B680" s="36">
        <v>45118</v>
      </c>
      <c r="C680" s="182">
        <v>2961.3</v>
      </c>
      <c r="D680" s="182">
        <f t="shared" si="23"/>
        <v>-4.7555831890973253E-3</v>
      </c>
      <c r="E680" s="182">
        <v>8.0253276395227981E-3</v>
      </c>
      <c r="F680" s="168"/>
      <c r="G680" s="168">
        <v>677</v>
      </c>
      <c r="H680" s="183">
        <f t="shared" ca="1" si="24"/>
        <v>-7.7412084809386E-3</v>
      </c>
      <c r="K680" s="36"/>
    </row>
    <row r="681" spans="2:11">
      <c r="B681" s="36">
        <v>45088</v>
      </c>
      <c r="C681" s="182">
        <v>2975.45</v>
      </c>
      <c r="D681" s="182">
        <f t="shared" si="23"/>
        <v>2.2052382996994357E-2</v>
      </c>
      <c r="E681" s="182">
        <v>8.0213903743314545E-3</v>
      </c>
      <c r="F681" s="168"/>
      <c r="G681" s="168">
        <v>678</v>
      </c>
      <c r="H681" s="183">
        <f t="shared" ca="1" si="24"/>
        <v>-4.0208228972686486E-3</v>
      </c>
      <c r="K681" s="36"/>
    </row>
    <row r="682" spans="2:11">
      <c r="B682" s="36">
        <v>44996</v>
      </c>
      <c r="C682" s="182">
        <v>2911.25</v>
      </c>
      <c r="D682" s="182">
        <f t="shared" si="23"/>
        <v>-2.3474178403755557E-3</v>
      </c>
      <c r="E682" s="182">
        <v>7.994251324890048E-3</v>
      </c>
      <c r="F682" s="168"/>
      <c r="G682" s="168">
        <v>679</v>
      </c>
      <c r="H682" s="183">
        <f t="shared" ca="1" si="24"/>
        <v>1.2110583340630555E-3</v>
      </c>
      <c r="K682" s="36"/>
    </row>
    <row r="683" spans="2:11">
      <c r="B683" s="36">
        <v>44968</v>
      </c>
      <c r="C683" s="182">
        <v>2918.1</v>
      </c>
      <c r="D683" s="182">
        <f t="shared" si="23"/>
        <v>7.8748316236658469E-3</v>
      </c>
      <c r="E683" s="182">
        <v>7.9739548928942586E-3</v>
      </c>
      <c r="F683" s="168"/>
      <c r="G683" s="168">
        <v>680</v>
      </c>
      <c r="H683" s="183">
        <f t="shared" ca="1" si="24"/>
        <v>1.6091987147608504E-2</v>
      </c>
      <c r="K683" s="36"/>
    </row>
    <row r="684" spans="2:11">
      <c r="B684" s="36">
        <v>44937</v>
      </c>
      <c r="C684" s="182">
        <v>2895.3</v>
      </c>
      <c r="D684" s="182">
        <f t="shared" si="23"/>
        <v>-1.1522507297587954E-2</v>
      </c>
      <c r="E684" s="182">
        <v>7.9579407032865489E-3</v>
      </c>
      <c r="F684" s="168"/>
      <c r="G684" s="168">
        <v>681</v>
      </c>
      <c r="H684" s="183">
        <f t="shared" ca="1" si="24"/>
        <v>1.6662378453456011E-2</v>
      </c>
      <c r="K684" s="36"/>
    </row>
    <row r="685" spans="2:11">
      <c r="B685" s="36" t="s">
        <v>9000</v>
      </c>
      <c r="C685" s="182">
        <v>2929.05</v>
      </c>
      <c r="D685" s="182">
        <f t="shared" si="23"/>
        <v>9.2265108411511713E-4</v>
      </c>
      <c r="E685" s="182">
        <v>7.9561527581329568E-3</v>
      </c>
      <c r="F685" s="168"/>
      <c r="G685" s="168">
        <v>682</v>
      </c>
      <c r="H685" s="183">
        <f t="shared" ca="1" si="24"/>
        <v>1.0310608534436567E-2</v>
      </c>
      <c r="K685" s="36"/>
    </row>
    <row r="686" spans="2:11">
      <c r="B686" s="36" t="s">
        <v>9001</v>
      </c>
      <c r="C686" s="182">
        <v>2926.35</v>
      </c>
      <c r="D686" s="182">
        <f t="shared" si="23"/>
        <v>8.4255143182052506E-3</v>
      </c>
      <c r="E686" s="182">
        <v>7.9502637528258892E-3</v>
      </c>
      <c r="F686" s="168"/>
      <c r="G686" s="168">
        <v>683</v>
      </c>
      <c r="H686" s="183">
        <f t="shared" ca="1" si="24"/>
        <v>-2.668175517548544E-3</v>
      </c>
      <c r="K686" s="36"/>
    </row>
    <row r="687" spans="2:11">
      <c r="B687" s="36" t="s">
        <v>9002</v>
      </c>
      <c r="C687" s="182">
        <v>2901.9</v>
      </c>
      <c r="D687" s="182">
        <f t="shared" si="23"/>
        <v>1.3021015150457371E-2</v>
      </c>
      <c r="E687" s="182">
        <v>7.9447795110116366E-3</v>
      </c>
      <c r="F687" s="168"/>
      <c r="G687" s="168">
        <v>684</v>
      </c>
      <c r="H687" s="183">
        <f t="shared" ca="1" si="24"/>
        <v>1.4480882420532977E-2</v>
      </c>
      <c r="K687" s="36"/>
    </row>
    <row r="688" spans="2:11">
      <c r="B688" s="36" t="s">
        <v>9003</v>
      </c>
      <c r="C688" s="182">
        <v>2864.6</v>
      </c>
      <c r="D688" s="182">
        <f t="shared" si="23"/>
        <v>-1.7660574054387711E-2</v>
      </c>
      <c r="E688" s="182">
        <v>7.9302277575174374E-3</v>
      </c>
      <c r="F688" s="168"/>
      <c r="G688" s="168">
        <v>685</v>
      </c>
      <c r="H688" s="183">
        <f t="shared" ca="1" si="24"/>
        <v>2.4390585478892063E-3</v>
      </c>
      <c r="K688" s="36"/>
    </row>
    <row r="689" spans="2:11">
      <c r="B689" s="36" t="s">
        <v>9004</v>
      </c>
      <c r="C689" s="182">
        <v>2916.1</v>
      </c>
      <c r="D689" s="182">
        <f t="shared" si="23"/>
        <v>-1.4264949464219407E-2</v>
      </c>
      <c r="E689" s="182">
        <v>7.9206741506118901E-3</v>
      </c>
      <c r="F689" s="168"/>
      <c r="G689" s="168">
        <v>686</v>
      </c>
      <c r="H689" s="183">
        <f t="shared" ca="1" si="24"/>
        <v>7.1330607600089942E-3</v>
      </c>
      <c r="K689" s="36"/>
    </row>
    <row r="690" spans="2:11">
      <c r="B690" s="36" t="s">
        <v>9005</v>
      </c>
      <c r="C690" s="182">
        <v>2958.3</v>
      </c>
      <c r="D690" s="182">
        <f t="shared" si="23"/>
        <v>-1.794280213122636E-2</v>
      </c>
      <c r="E690" s="182">
        <v>7.9103173832863628E-3</v>
      </c>
      <c r="F690" s="168"/>
      <c r="G690" s="168">
        <v>687</v>
      </c>
      <c r="H690" s="183">
        <f t="shared" ca="1" si="24"/>
        <v>-4.1403068046204717E-3</v>
      </c>
      <c r="K690" s="36"/>
    </row>
    <row r="691" spans="2:11">
      <c r="B691" s="36" t="s">
        <v>9006</v>
      </c>
      <c r="C691" s="182">
        <v>3012.35</v>
      </c>
      <c r="D691" s="182">
        <f t="shared" si="23"/>
        <v>-1.3767024620220069E-2</v>
      </c>
      <c r="E691" s="182">
        <v>7.8931022467314624E-3</v>
      </c>
      <c r="F691" s="168"/>
      <c r="G691" s="168">
        <v>688</v>
      </c>
      <c r="H691" s="183">
        <f t="shared" ca="1" si="24"/>
        <v>-5.218526353487061E-3</v>
      </c>
      <c r="K691" s="36"/>
    </row>
    <row r="692" spans="2:11">
      <c r="B692" s="36" t="s">
        <v>9007</v>
      </c>
      <c r="C692" s="182">
        <v>3054.4</v>
      </c>
      <c r="D692" s="182">
        <f t="shared" si="23"/>
        <v>2.8894142369320273E-3</v>
      </c>
      <c r="E692" s="182">
        <v>7.8816322143803949E-3</v>
      </c>
      <c r="F692" s="168"/>
      <c r="G692" s="168">
        <v>689</v>
      </c>
      <c r="H692" s="183">
        <f t="shared" ca="1" si="24"/>
        <v>3.0203658777139313E-2</v>
      </c>
      <c r="K692" s="36"/>
    </row>
    <row r="693" spans="2:11">
      <c r="B693" s="36" t="s">
        <v>9008</v>
      </c>
      <c r="C693" s="182">
        <v>3045.6</v>
      </c>
      <c r="D693" s="182">
        <f t="shared" si="23"/>
        <v>-6.750807161725947E-3</v>
      </c>
      <c r="E693" s="182">
        <v>7.8765999343617787E-3</v>
      </c>
      <c r="F693" s="168"/>
      <c r="G693" s="168">
        <v>690</v>
      </c>
      <c r="H693" s="183">
        <f t="shared" ca="1" si="24"/>
        <v>3.2484542615991915E-3</v>
      </c>
      <c r="K693" s="36"/>
    </row>
    <row r="694" spans="2:11">
      <c r="B694" s="36" t="s">
        <v>9009</v>
      </c>
      <c r="C694" s="182">
        <v>3066.3</v>
      </c>
      <c r="D694" s="182">
        <f t="shared" si="23"/>
        <v>-1.1476836777458947E-2</v>
      </c>
      <c r="E694" s="182">
        <v>7.827307827307891E-3</v>
      </c>
      <c r="F694" s="168"/>
      <c r="G694" s="168">
        <v>691</v>
      </c>
      <c r="H694" s="183">
        <f t="shared" ca="1" si="24"/>
        <v>1.1209704607799837E-2</v>
      </c>
      <c r="K694" s="36"/>
    </row>
    <row r="695" spans="2:11">
      <c r="B695" s="36" t="s">
        <v>9010</v>
      </c>
      <c r="C695" s="182">
        <v>3101.9</v>
      </c>
      <c r="D695" s="182">
        <f t="shared" si="23"/>
        <v>3.9810978767478578E-3</v>
      </c>
      <c r="E695" s="182">
        <v>7.8264620693905499E-3</v>
      </c>
      <c r="F695" s="168"/>
      <c r="G695" s="168">
        <v>692</v>
      </c>
      <c r="H695" s="183">
        <f t="shared" ca="1" si="24"/>
        <v>3.0207799967147814E-3</v>
      </c>
      <c r="K695" s="36"/>
    </row>
    <row r="696" spans="2:11">
      <c r="B696" s="36" t="s">
        <v>9011</v>
      </c>
      <c r="C696" s="182">
        <v>3089.6</v>
      </c>
      <c r="D696" s="182">
        <f t="shared" si="23"/>
        <v>2.5472539952948515E-3</v>
      </c>
      <c r="E696" s="182">
        <v>7.8244736629829795E-3</v>
      </c>
      <c r="F696" s="168"/>
      <c r="G696" s="168">
        <v>693</v>
      </c>
      <c r="H696" s="183">
        <f t="shared" ca="1" si="24"/>
        <v>2.2670663963836241E-3</v>
      </c>
      <c r="K696" s="36"/>
    </row>
    <row r="697" spans="2:11">
      <c r="B697" s="36">
        <v>45270</v>
      </c>
      <c r="C697" s="182">
        <v>3081.75</v>
      </c>
      <c r="D697" s="182">
        <f t="shared" si="23"/>
        <v>-2.250137598342286E-3</v>
      </c>
      <c r="E697" s="182">
        <v>7.7953044754218628E-3</v>
      </c>
      <c r="F697" s="168"/>
      <c r="G697" s="168">
        <v>694</v>
      </c>
      <c r="H697" s="183">
        <f t="shared" ca="1" si="24"/>
        <v>-1.7841890667725756E-3</v>
      </c>
      <c r="K697" s="36"/>
    </row>
    <row r="698" spans="2:11">
      <c r="B698" s="36">
        <v>45240</v>
      </c>
      <c r="C698" s="182">
        <v>3088.7</v>
      </c>
      <c r="D698" s="182">
        <f t="shared" si="23"/>
        <v>4.1287386215864167E-3</v>
      </c>
      <c r="E698" s="182">
        <v>7.7929630706601288E-3</v>
      </c>
      <c r="F698" s="168"/>
      <c r="G698" s="168">
        <v>695</v>
      </c>
      <c r="H698" s="183">
        <f t="shared" ca="1" si="24"/>
        <v>1.0302501003473815E-2</v>
      </c>
      <c r="K698" s="36"/>
    </row>
    <row r="699" spans="2:11">
      <c r="B699" s="36">
        <v>45209</v>
      </c>
      <c r="C699" s="182">
        <v>3076</v>
      </c>
      <c r="D699" s="182">
        <f t="shared" si="23"/>
        <v>4.2280547695716067E-4</v>
      </c>
      <c r="E699" s="182">
        <v>7.7925437320142156E-3</v>
      </c>
      <c r="F699" s="168"/>
      <c r="G699" s="168">
        <v>696</v>
      </c>
      <c r="H699" s="183">
        <f t="shared" ca="1" si="24"/>
        <v>7.7500670527614066E-3</v>
      </c>
      <c r="K699" s="36"/>
    </row>
    <row r="700" spans="2:11">
      <c r="B700" s="36">
        <v>45179</v>
      </c>
      <c r="C700" s="182">
        <v>3074.7</v>
      </c>
      <c r="D700" s="182">
        <f t="shared" si="23"/>
        <v>-6.1415133981963348E-3</v>
      </c>
      <c r="E700" s="182">
        <v>7.7788773561021079E-3</v>
      </c>
      <c r="F700" s="168"/>
      <c r="G700" s="168">
        <v>697</v>
      </c>
      <c r="H700" s="183">
        <f t="shared" ca="1" si="24"/>
        <v>-1.0632258320356996E-2</v>
      </c>
      <c r="K700" s="36"/>
    </row>
    <row r="701" spans="2:11">
      <c r="B701" s="36">
        <v>45087</v>
      </c>
      <c r="C701" s="182">
        <v>3093.7</v>
      </c>
      <c r="D701" s="182">
        <f t="shared" si="23"/>
        <v>-7.5903166938530182E-4</v>
      </c>
      <c r="E701" s="182">
        <v>7.7481502163898762E-3</v>
      </c>
      <c r="F701" s="168"/>
      <c r="G701" s="168">
        <v>698</v>
      </c>
      <c r="H701" s="183">
        <f t="shared" ca="1" si="24"/>
        <v>2.1332906348667649E-2</v>
      </c>
      <c r="K701" s="36"/>
    </row>
    <row r="702" spans="2:11">
      <c r="B702" s="36">
        <v>45056</v>
      </c>
      <c r="C702" s="182">
        <v>3096.05</v>
      </c>
      <c r="D702" s="182">
        <f t="shared" si="23"/>
        <v>2.2558005119313083E-2</v>
      </c>
      <c r="E702" s="182">
        <v>7.7253717472120023E-3</v>
      </c>
      <c r="F702" s="168"/>
      <c r="G702" s="168">
        <v>699</v>
      </c>
      <c r="H702" s="183">
        <f t="shared" ca="1" si="24"/>
        <v>3.2035805181817537E-4</v>
      </c>
      <c r="K702" s="36"/>
    </row>
    <row r="703" spans="2:11">
      <c r="B703" s="36">
        <v>45026</v>
      </c>
      <c r="C703" s="182">
        <v>3027.75</v>
      </c>
      <c r="D703" s="182">
        <f t="shared" si="23"/>
        <v>-1.4805173676075815E-2</v>
      </c>
      <c r="E703" s="182">
        <v>7.7155212643498505E-3</v>
      </c>
      <c r="F703" s="168"/>
      <c r="G703" s="168">
        <v>700</v>
      </c>
      <c r="H703" s="183">
        <f t="shared" ca="1" si="24"/>
        <v>1.3280964294257184E-2</v>
      </c>
      <c r="K703" s="36"/>
    </row>
    <row r="704" spans="2:11">
      <c r="B704" s="36">
        <v>44995</v>
      </c>
      <c r="C704" s="182">
        <v>3073.25</v>
      </c>
      <c r="D704" s="182">
        <f t="shared" si="23"/>
        <v>1.643763126126567E-2</v>
      </c>
      <c r="E704" s="182">
        <v>7.7130147578228963E-3</v>
      </c>
      <c r="F704" s="168"/>
      <c r="G704" s="168">
        <v>701</v>
      </c>
      <c r="H704" s="183">
        <f t="shared" ca="1" si="24"/>
        <v>3.6303288307929387E-3</v>
      </c>
      <c r="K704" s="36"/>
    </row>
    <row r="705" spans="2:11">
      <c r="B705" s="36" t="s">
        <v>9012</v>
      </c>
      <c r="C705" s="182">
        <v>3023.55</v>
      </c>
      <c r="D705" s="182">
        <f t="shared" si="23"/>
        <v>4.5016611295681666E-3</v>
      </c>
      <c r="E705" s="182">
        <v>7.6928313704132034E-3</v>
      </c>
      <c r="F705" s="168"/>
      <c r="G705" s="168">
        <v>702</v>
      </c>
      <c r="H705" s="183">
        <f t="shared" ca="1" si="24"/>
        <v>-3.8049526886396234E-2</v>
      </c>
      <c r="K705" s="36"/>
    </row>
    <row r="706" spans="2:11">
      <c r="B706" s="36" t="s">
        <v>9013</v>
      </c>
      <c r="C706" s="182">
        <v>3010</v>
      </c>
      <c r="D706" s="182">
        <f t="shared" si="23"/>
        <v>1.5159946712534296E-2</v>
      </c>
      <c r="E706" s="182">
        <v>7.6809581669848191E-3</v>
      </c>
      <c r="F706" s="168"/>
      <c r="G706" s="168">
        <v>703</v>
      </c>
      <c r="H706" s="183">
        <f t="shared" ca="1" si="24"/>
        <v>-8.9154429192162439E-3</v>
      </c>
      <c r="K706" s="36"/>
    </row>
    <row r="707" spans="2:11">
      <c r="B707" s="36" t="s">
        <v>9014</v>
      </c>
      <c r="C707" s="182">
        <v>2965.05</v>
      </c>
      <c r="D707" s="182">
        <f t="shared" si="23"/>
        <v>1.802544162331977E-2</v>
      </c>
      <c r="E707" s="182">
        <v>7.6731599260088986E-3</v>
      </c>
      <c r="F707" s="168"/>
      <c r="G707" s="168">
        <v>704</v>
      </c>
      <c r="H707" s="183">
        <f t="shared" ca="1" si="24"/>
        <v>2.8316441846635313E-3</v>
      </c>
      <c r="K707" s="36"/>
    </row>
    <row r="708" spans="2:11">
      <c r="B708" s="36" t="s">
        <v>9015</v>
      </c>
      <c r="C708" s="182">
        <v>2912.55</v>
      </c>
      <c r="D708" s="182">
        <f t="shared" ref="D708:D771" si="25">(C708-C709)/C709</f>
        <v>3.4625322997416646E-3</v>
      </c>
      <c r="E708" s="182">
        <v>7.6693271503100163E-3</v>
      </c>
      <c r="F708" s="168"/>
      <c r="G708" s="168">
        <v>705</v>
      </c>
      <c r="H708" s="183">
        <f t="shared" ca="1" si="24"/>
        <v>1.2357610598270653E-2</v>
      </c>
      <c r="K708" s="36"/>
    </row>
    <row r="709" spans="2:11">
      <c r="B709" s="36" t="s">
        <v>9016</v>
      </c>
      <c r="C709" s="182">
        <v>2902.5</v>
      </c>
      <c r="D709" s="182">
        <f t="shared" si="25"/>
        <v>-5.482268288504369E-3</v>
      </c>
      <c r="E709" s="182">
        <v>7.6644749640119121E-3</v>
      </c>
      <c r="F709" s="168"/>
      <c r="G709" s="168">
        <v>706</v>
      </c>
      <c r="H709" s="183">
        <f t="shared" ref="H709:H772" ca="1" si="26">_xlfn.NORM.INV(RAND(),N$6,N$7)</f>
        <v>6.6925407872592277E-3</v>
      </c>
      <c r="K709" s="36"/>
    </row>
    <row r="710" spans="2:11">
      <c r="B710" s="36" t="s">
        <v>9017</v>
      </c>
      <c r="C710" s="182">
        <v>2918.5</v>
      </c>
      <c r="D710" s="182">
        <f t="shared" si="25"/>
        <v>6.6049286909135125E-3</v>
      </c>
      <c r="E710" s="182">
        <v>7.6211579459803652E-3</v>
      </c>
      <c r="F710" s="168"/>
      <c r="G710" s="168">
        <v>707</v>
      </c>
      <c r="H710" s="183">
        <f t="shared" ca="1" si="26"/>
        <v>-1.6400917377142618E-4</v>
      </c>
      <c r="K710" s="36"/>
    </row>
    <row r="711" spans="2:11">
      <c r="B711" s="36" t="s">
        <v>9018</v>
      </c>
      <c r="C711" s="182">
        <v>2899.35</v>
      </c>
      <c r="D711" s="182">
        <f t="shared" si="25"/>
        <v>3.2352941176470272E-3</v>
      </c>
      <c r="E711" s="182">
        <v>7.6041872407663141E-3</v>
      </c>
      <c r="F711" s="168"/>
      <c r="G711" s="168">
        <v>708</v>
      </c>
      <c r="H711" s="183">
        <f t="shared" ca="1" si="26"/>
        <v>1.0039698848279566E-2</v>
      </c>
      <c r="K711" s="36"/>
    </row>
    <row r="712" spans="2:11">
      <c r="B712" s="36" t="s">
        <v>9019</v>
      </c>
      <c r="C712" s="182">
        <v>2890</v>
      </c>
      <c r="D712" s="182">
        <f t="shared" si="25"/>
        <v>-1.0223127900405813E-2</v>
      </c>
      <c r="E712" s="182">
        <v>7.5617487782327596E-3</v>
      </c>
      <c r="F712" s="168"/>
      <c r="G712" s="168">
        <v>709</v>
      </c>
      <c r="H712" s="183">
        <f t="shared" ca="1" si="26"/>
        <v>-2.4368159569020772E-2</v>
      </c>
      <c r="K712" s="36"/>
    </row>
    <row r="713" spans="2:11">
      <c r="B713" s="36" t="s">
        <v>9020</v>
      </c>
      <c r="C713" s="182">
        <v>2919.85</v>
      </c>
      <c r="D713" s="182">
        <f t="shared" si="25"/>
        <v>3.8850973852949844E-3</v>
      </c>
      <c r="E713" s="182">
        <v>7.5547866205305124E-3</v>
      </c>
      <c r="F713" s="168"/>
      <c r="G713" s="168">
        <v>710</v>
      </c>
      <c r="H713" s="183">
        <f t="shared" ca="1" si="26"/>
        <v>-1.5166549150097842E-2</v>
      </c>
      <c r="K713" s="36"/>
    </row>
    <row r="714" spans="2:11">
      <c r="B714" s="36" t="s">
        <v>9021</v>
      </c>
      <c r="C714" s="182">
        <v>2908.55</v>
      </c>
      <c r="D714" s="182">
        <f t="shared" si="25"/>
        <v>-3.4434317823613127E-3</v>
      </c>
      <c r="E714" s="182">
        <v>7.5431484809226155E-3</v>
      </c>
      <c r="F714" s="168"/>
      <c r="G714" s="168">
        <v>711</v>
      </c>
      <c r="H714" s="183">
        <f t="shared" ca="1" si="26"/>
        <v>1.4588286556538824E-2</v>
      </c>
      <c r="K714" s="36"/>
    </row>
    <row r="715" spans="2:11">
      <c r="B715" s="36" t="s">
        <v>9022</v>
      </c>
      <c r="C715" s="182">
        <v>2918.6</v>
      </c>
      <c r="D715" s="182">
        <f t="shared" si="25"/>
        <v>4.076717984002721E-3</v>
      </c>
      <c r="E715" s="182">
        <v>7.5343612535959453E-3</v>
      </c>
      <c r="F715" s="168"/>
      <c r="G715" s="168">
        <v>712</v>
      </c>
      <c r="H715" s="183">
        <f t="shared" ca="1" si="26"/>
        <v>1.0795913783744289E-2</v>
      </c>
      <c r="K715" s="36"/>
    </row>
    <row r="716" spans="2:11">
      <c r="B716" s="36" t="s">
        <v>9023</v>
      </c>
      <c r="C716" s="182">
        <v>2906.75</v>
      </c>
      <c r="D716" s="182">
        <f t="shared" si="25"/>
        <v>-1.2686389728609731E-2</v>
      </c>
      <c r="E716" s="182">
        <v>7.532631821056947E-3</v>
      </c>
      <c r="F716" s="168"/>
      <c r="G716" s="168">
        <v>713</v>
      </c>
      <c r="H716" s="183">
        <f t="shared" ca="1" si="26"/>
        <v>4.2052729191251236E-3</v>
      </c>
      <c r="K716" s="36"/>
    </row>
    <row r="717" spans="2:11">
      <c r="B717" s="36">
        <v>45269</v>
      </c>
      <c r="C717" s="182">
        <v>2944.1</v>
      </c>
      <c r="D717" s="182">
        <f t="shared" si="25"/>
        <v>1.7241379310344859E-2</v>
      </c>
      <c r="E717" s="182">
        <v>7.5140889167188479E-3</v>
      </c>
      <c r="F717" s="168"/>
      <c r="G717" s="168">
        <v>714</v>
      </c>
      <c r="H717" s="183">
        <f t="shared" ca="1" si="26"/>
        <v>1.5486305984618622E-2</v>
      </c>
      <c r="K717" s="36"/>
    </row>
    <row r="718" spans="2:11">
      <c r="B718" s="36">
        <v>45239</v>
      </c>
      <c r="C718" s="182">
        <v>2894.2</v>
      </c>
      <c r="D718" s="182">
        <f t="shared" si="25"/>
        <v>-2.5503170664461301E-3</v>
      </c>
      <c r="E718" s="182">
        <v>7.509118214975327E-3</v>
      </c>
      <c r="F718" s="168"/>
      <c r="G718" s="168">
        <v>715</v>
      </c>
      <c r="H718" s="183">
        <f t="shared" ca="1" si="26"/>
        <v>-2.0962245404227114E-2</v>
      </c>
      <c r="K718" s="36"/>
    </row>
    <row r="719" spans="2:11">
      <c r="B719" s="36">
        <v>45147</v>
      </c>
      <c r="C719" s="182">
        <v>2901.6</v>
      </c>
      <c r="D719" s="182">
        <f t="shared" si="25"/>
        <v>1.9392917369308534E-2</v>
      </c>
      <c r="E719" s="182">
        <v>7.4926336466956131E-3</v>
      </c>
      <c r="F719" s="168"/>
      <c r="G719" s="168">
        <v>716</v>
      </c>
      <c r="H719" s="183">
        <f t="shared" ca="1" si="26"/>
        <v>-3.0143483086684025E-3</v>
      </c>
      <c r="K719" s="36"/>
    </row>
    <row r="720" spans="2:11">
      <c r="B720" s="36">
        <v>45116</v>
      </c>
      <c r="C720" s="182">
        <v>2846.4</v>
      </c>
      <c r="D720" s="182">
        <f t="shared" si="25"/>
        <v>4.2465527660275879E-2</v>
      </c>
      <c r="E720" s="182">
        <v>7.4676114063422601E-3</v>
      </c>
      <c r="F720" s="168"/>
      <c r="G720" s="168">
        <v>717</v>
      </c>
      <c r="H720" s="183">
        <f t="shared" ca="1" si="26"/>
        <v>-1.5601423316385598E-2</v>
      </c>
      <c r="K720" s="36"/>
    </row>
    <row r="721" spans="2:11">
      <c r="B721" s="36">
        <v>45086</v>
      </c>
      <c r="C721" s="182">
        <v>2730.45</v>
      </c>
      <c r="D721" s="182">
        <f t="shared" si="25"/>
        <v>-9.1476243619532016E-4</v>
      </c>
      <c r="E721" s="182">
        <v>7.4645245628326608E-3</v>
      </c>
      <c r="F721" s="168"/>
      <c r="G721" s="168">
        <v>718</v>
      </c>
      <c r="H721" s="183">
        <f t="shared" ca="1" si="26"/>
        <v>1.8598453324615129E-3</v>
      </c>
      <c r="K721" s="36"/>
    </row>
    <row r="722" spans="2:11">
      <c r="B722" s="36">
        <v>45055</v>
      </c>
      <c r="C722" s="182">
        <v>2732.95</v>
      </c>
      <c r="D722" s="182">
        <f t="shared" si="25"/>
        <v>8.0594592600789008E-3</v>
      </c>
      <c r="E722" s="182">
        <v>7.4245174063685858E-3</v>
      </c>
      <c r="F722" s="168"/>
      <c r="G722" s="168">
        <v>719</v>
      </c>
      <c r="H722" s="183">
        <f t="shared" ca="1" si="26"/>
        <v>1.5491998175287312E-2</v>
      </c>
      <c r="K722" s="36"/>
    </row>
    <row r="723" spans="2:11">
      <c r="B723" s="36">
        <v>45025</v>
      </c>
      <c r="C723" s="182">
        <v>2711.1</v>
      </c>
      <c r="D723" s="182">
        <f t="shared" si="25"/>
        <v>3.3307427556345066E-3</v>
      </c>
      <c r="E723" s="182">
        <v>7.404588076537176E-3</v>
      </c>
      <c r="F723" s="168"/>
      <c r="G723" s="168">
        <v>720</v>
      </c>
      <c r="H723" s="183">
        <f t="shared" ca="1" si="26"/>
        <v>1.1900803328947624E-2</v>
      </c>
      <c r="K723" s="36"/>
    </row>
    <row r="724" spans="2:11">
      <c r="B724" s="36">
        <v>44935</v>
      </c>
      <c r="C724" s="182">
        <v>2702.1</v>
      </c>
      <c r="D724" s="182">
        <f t="shared" si="25"/>
        <v>-2.2200022200018836E-4</v>
      </c>
      <c r="E724" s="182">
        <v>7.3605562953099907E-3</v>
      </c>
      <c r="F724" s="168"/>
      <c r="G724" s="168">
        <v>721</v>
      </c>
      <c r="H724" s="183">
        <f t="shared" ca="1" si="26"/>
        <v>1.199940517635998E-2</v>
      </c>
      <c r="K724" s="36"/>
    </row>
    <row r="725" spans="2:11">
      <c r="B725" s="36" t="s">
        <v>9024</v>
      </c>
      <c r="C725" s="182">
        <v>2702.7</v>
      </c>
      <c r="D725" s="182">
        <f t="shared" si="25"/>
        <v>-2.3255813953489044E-3</v>
      </c>
      <c r="E725" s="182">
        <v>7.3375262054508001E-3</v>
      </c>
      <c r="F725" s="168"/>
      <c r="G725" s="168">
        <v>722</v>
      </c>
      <c r="H725" s="183">
        <f t="shared" ca="1" si="26"/>
        <v>3.7605026588735562E-3</v>
      </c>
      <c r="K725" s="36"/>
    </row>
    <row r="726" spans="2:11">
      <c r="B726" s="36" t="s">
        <v>9025</v>
      </c>
      <c r="C726" s="182">
        <v>2709</v>
      </c>
      <c r="D726" s="182">
        <f t="shared" si="25"/>
        <v>-3.659500910277798E-3</v>
      </c>
      <c r="E726" s="182">
        <v>7.3308270676692017E-3</v>
      </c>
      <c r="F726" s="168"/>
      <c r="G726" s="168">
        <v>723</v>
      </c>
      <c r="H726" s="183">
        <f t="shared" ca="1" si="26"/>
        <v>-6.3525059010247336E-4</v>
      </c>
      <c r="K726" s="36"/>
    </row>
    <row r="727" spans="2:11">
      <c r="B727" s="36" t="s">
        <v>9026</v>
      </c>
      <c r="C727" s="182">
        <v>2718.95</v>
      </c>
      <c r="D727" s="182">
        <f t="shared" si="25"/>
        <v>8.7558202088782195E-3</v>
      </c>
      <c r="E727" s="182">
        <v>7.2969086987779231E-3</v>
      </c>
      <c r="F727" s="168"/>
      <c r="G727" s="168">
        <v>724</v>
      </c>
      <c r="H727" s="183">
        <f t="shared" ca="1" si="26"/>
        <v>-8.3347641266298608E-3</v>
      </c>
      <c r="K727" s="36"/>
    </row>
    <row r="728" spans="2:11">
      <c r="B728" s="36" t="s">
        <v>9027</v>
      </c>
      <c r="C728" s="182">
        <v>2695.35</v>
      </c>
      <c r="D728" s="182">
        <f t="shared" si="25"/>
        <v>2.1585051546391683E-2</v>
      </c>
      <c r="E728" s="182">
        <v>7.2943534475678178E-3</v>
      </c>
      <c r="F728" s="168"/>
      <c r="G728" s="168">
        <v>725</v>
      </c>
      <c r="H728" s="183">
        <f t="shared" ca="1" si="26"/>
        <v>8.6062559473461669E-3</v>
      </c>
      <c r="K728" s="36"/>
    </row>
    <row r="729" spans="2:11">
      <c r="B729" s="36" t="s">
        <v>9028</v>
      </c>
      <c r="C729" s="182">
        <v>2638.4</v>
      </c>
      <c r="D729" s="182">
        <f t="shared" si="25"/>
        <v>-1.8507151758644421E-2</v>
      </c>
      <c r="E729" s="182">
        <v>7.2844100900213418E-3</v>
      </c>
      <c r="F729" s="168"/>
      <c r="G729" s="168">
        <v>726</v>
      </c>
      <c r="H729" s="183">
        <f t="shared" ca="1" si="26"/>
        <v>1.6217368942983007E-2</v>
      </c>
      <c r="K729" s="36"/>
    </row>
    <row r="730" spans="2:11">
      <c r="B730" s="36" t="s">
        <v>9029</v>
      </c>
      <c r="C730" s="182">
        <v>2688.15</v>
      </c>
      <c r="D730" s="182">
        <f t="shared" si="25"/>
        <v>-1.083676773623779E-2</v>
      </c>
      <c r="E730" s="182">
        <v>7.2753790319844717E-3</v>
      </c>
      <c r="F730" s="168"/>
      <c r="G730" s="168">
        <v>727</v>
      </c>
      <c r="H730" s="183">
        <f t="shared" ca="1" si="26"/>
        <v>1.2884591625596159E-2</v>
      </c>
      <c r="K730" s="36"/>
    </row>
    <row r="731" spans="2:11">
      <c r="B731" s="36" t="s">
        <v>9030</v>
      </c>
      <c r="C731" s="182">
        <v>2717.6</v>
      </c>
      <c r="D731" s="182">
        <f t="shared" si="25"/>
        <v>1.4484097357025431E-2</v>
      </c>
      <c r="E731" s="182">
        <v>7.2659923065964138E-3</v>
      </c>
      <c r="F731" s="168"/>
      <c r="G731" s="168">
        <v>728</v>
      </c>
      <c r="H731" s="183">
        <f t="shared" ca="1" si="26"/>
        <v>-1.2785668736749283E-2</v>
      </c>
      <c r="K731" s="36"/>
    </row>
    <row r="732" spans="2:11">
      <c r="B732" s="36" t="s">
        <v>9031</v>
      </c>
      <c r="C732" s="182">
        <v>2678.8</v>
      </c>
      <c r="D732" s="182">
        <f t="shared" si="25"/>
        <v>6.2165461545685722E-3</v>
      </c>
      <c r="E732" s="182">
        <v>7.2619874913134441E-3</v>
      </c>
      <c r="F732" s="168"/>
      <c r="G732" s="168">
        <v>729</v>
      </c>
      <c r="H732" s="183">
        <f t="shared" ca="1" si="26"/>
        <v>-1.4704764406289934E-2</v>
      </c>
      <c r="K732" s="36"/>
    </row>
    <row r="733" spans="2:11">
      <c r="B733" s="36" t="s">
        <v>9032</v>
      </c>
      <c r="C733" s="182">
        <v>2662.25</v>
      </c>
      <c r="D733" s="182">
        <f t="shared" si="25"/>
        <v>7.6837184655274265E-3</v>
      </c>
      <c r="E733" s="182">
        <v>7.2005593822992023E-3</v>
      </c>
      <c r="F733" s="168"/>
      <c r="G733" s="168">
        <v>730</v>
      </c>
      <c r="H733" s="183">
        <f t="shared" ca="1" si="26"/>
        <v>-1.2543164216356466E-2</v>
      </c>
      <c r="K733" s="36"/>
    </row>
    <row r="734" spans="2:11">
      <c r="B734" s="36" t="s">
        <v>9033</v>
      </c>
      <c r="C734" s="182">
        <v>2641.95</v>
      </c>
      <c r="D734" s="182">
        <f t="shared" si="25"/>
        <v>-3.9773798303487963E-3</v>
      </c>
      <c r="E734" s="182">
        <v>7.2001888574127256E-3</v>
      </c>
      <c r="F734" s="168"/>
      <c r="G734" s="168">
        <v>731</v>
      </c>
      <c r="H734" s="183">
        <f t="shared" ca="1" si="26"/>
        <v>1.3992873761642027E-2</v>
      </c>
      <c r="K734" s="36"/>
    </row>
    <row r="735" spans="2:11">
      <c r="B735" s="36" t="s">
        <v>9034</v>
      </c>
      <c r="C735" s="182">
        <v>2652.5</v>
      </c>
      <c r="D735" s="182">
        <f t="shared" si="25"/>
        <v>-1.4325263373032898E-2</v>
      </c>
      <c r="E735" s="182">
        <v>7.169688341537756E-3</v>
      </c>
      <c r="F735" s="168"/>
      <c r="G735" s="168">
        <v>732</v>
      </c>
      <c r="H735" s="183">
        <f t="shared" ca="1" si="26"/>
        <v>2.179781287521906E-2</v>
      </c>
      <c r="K735" s="36"/>
    </row>
    <row r="736" spans="2:11">
      <c r="B736" s="36" t="s">
        <v>9035</v>
      </c>
      <c r="C736" s="182">
        <v>2691.05</v>
      </c>
      <c r="D736" s="182">
        <f t="shared" si="25"/>
        <v>1.1710966577690924E-2</v>
      </c>
      <c r="E736" s="182">
        <v>7.1639471639472208E-3</v>
      </c>
      <c r="F736" s="168"/>
      <c r="G736" s="168">
        <v>733</v>
      </c>
      <c r="H736" s="183">
        <f t="shared" ca="1" si="26"/>
        <v>2.003416927665478E-2</v>
      </c>
      <c r="K736" s="36"/>
    </row>
    <row r="737" spans="2:11">
      <c r="B737" s="36" t="s">
        <v>9036</v>
      </c>
      <c r="C737" s="182">
        <v>2659.9</v>
      </c>
      <c r="D737" s="182">
        <f t="shared" si="25"/>
        <v>8.1106689406860305E-3</v>
      </c>
      <c r="E737" s="182">
        <v>7.1560540217023598E-3</v>
      </c>
      <c r="F737" s="168"/>
      <c r="G737" s="168">
        <v>734</v>
      </c>
      <c r="H737" s="183">
        <f t="shared" ca="1" si="26"/>
        <v>7.3871372892761371E-3</v>
      </c>
      <c r="K737" s="36"/>
    </row>
    <row r="738" spans="2:11">
      <c r="B738" s="36">
        <v>45238</v>
      </c>
      <c r="C738" s="182">
        <v>2638.5</v>
      </c>
      <c r="D738" s="182">
        <f t="shared" si="25"/>
        <v>-1.8914318138831096E-3</v>
      </c>
      <c r="E738" s="182">
        <v>7.1180956782990945E-3</v>
      </c>
      <c r="F738" s="168"/>
      <c r="G738" s="168">
        <v>735</v>
      </c>
      <c r="H738" s="183">
        <f t="shared" ca="1" si="26"/>
        <v>9.9061420715996773E-3</v>
      </c>
      <c r="K738" s="36"/>
    </row>
    <row r="739" spans="2:11">
      <c r="B739" s="36">
        <v>45207</v>
      </c>
      <c r="C739" s="182">
        <v>2643.5</v>
      </c>
      <c r="D739" s="182">
        <f t="shared" si="25"/>
        <v>-3.0547593905566107E-3</v>
      </c>
      <c r="E739" s="182">
        <v>7.1071942573870395E-3</v>
      </c>
      <c r="F739" s="168"/>
      <c r="G739" s="168">
        <v>736</v>
      </c>
      <c r="H739" s="183">
        <f t="shared" ca="1" si="26"/>
        <v>-2.9910285431747029E-3</v>
      </c>
      <c r="K739" s="36"/>
    </row>
    <row r="740" spans="2:11">
      <c r="B740" s="36">
        <v>45177</v>
      </c>
      <c r="C740" s="182">
        <v>2651.6</v>
      </c>
      <c r="D740" s="182">
        <f t="shared" si="25"/>
        <v>7.3702606184940702E-3</v>
      </c>
      <c r="E740" s="182">
        <v>7.0960698689956957E-3</v>
      </c>
      <c r="F740" s="168"/>
      <c r="G740" s="168">
        <v>737</v>
      </c>
      <c r="H740" s="183">
        <f t="shared" ca="1" si="26"/>
        <v>-1.2784954850524492E-2</v>
      </c>
      <c r="K740" s="36"/>
    </row>
    <row r="741" spans="2:11">
      <c r="B741" s="36">
        <v>45146</v>
      </c>
      <c r="C741" s="182">
        <v>2632.2</v>
      </c>
      <c r="D741" s="182">
        <f t="shared" si="25"/>
        <v>-1.4036951325923869E-3</v>
      </c>
      <c r="E741" s="182">
        <v>7.095793208312347E-3</v>
      </c>
      <c r="F741" s="168"/>
      <c r="G741" s="168">
        <v>738</v>
      </c>
      <c r="H741" s="183">
        <f t="shared" ca="1" si="26"/>
        <v>1.2133304836901466E-2</v>
      </c>
      <c r="K741" s="36"/>
    </row>
    <row r="742" spans="2:11">
      <c r="B742" s="36">
        <v>45115</v>
      </c>
      <c r="C742" s="182">
        <v>2635.9</v>
      </c>
      <c r="D742" s="182">
        <f t="shared" si="25"/>
        <v>3.4260915908485286E-3</v>
      </c>
      <c r="E742" s="182">
        <v>7.0449928685655805E-3</v>
      </c>
      <c r="F742" s="168"/>
      <c r="G742" s="168">
        <v>739</v>
      </c>
      <c r="H742" s="183">
        <f t="shared" ca="1" si="26"/>
        <v>-5.6250677516722176E-3</v>
      </c>
      <c r="K742" s="36"/>
    </row>
    <row r="743" spans="2:11">
      <c r="B743" s="36">
        <v>45024</v>
      </c>
      <c r="C743" s="182">
        <v>2626.9</v>
      </c>
      <c r="D743" s="182">
        <f t="shared" si="25"/>
        <v>1.1085023671144369E-2</v>
      </c>
      <c r="E743" s="182">
        <v>7.043811771647702E-3</v>
      </c>
      <c r="F743" s="168"/>
      <c r="G743" s="168">
        <v>740</v>
      </c>
      <c r="H743" s="183">
        <f t="shared" ca="1" si="26"/>
        <v>1.2642293291616851E-2</v>
      </c>
      <c r="K743" s="36"/>
    </row>
    <row r="744" spans="2:11">
      <c r="B744" s="36">
        <v>44993</v>
      </c>
      <c r="C744" s="182">
        <v>2598.1</v>
      </c>
      <c r="D744" s="182">
        <f t="shared" si="25"/>
        <v>-9.1718627843564177E-3</v>
      </c>
      <c r="E744" s="182">
        <v>7.0437393491843926E-3</v>
      </c>
      <c r="F744" s="168"/>
      <c r="G744" s="168">
        <v>741</v>
      </c>
      <c r="H744" s="183">
        <f t="shared" ca="1" si="26"/>
        <v>2.5818741394640431E-2</v>
      </c>
      <c r="K744" s="36"/>
    </row>
    <row r="745" spans="2:11">
      <c r="B745" s="36">
        <v>44965</v>
      </c>
      <c r="C745" s="182">
        <v>2622.15</v>
      </c>
      <c r="D745" s="182">
        <f t="shared" si="25"/>
        <v>-1.4470148272038788E-2</v>
      </c>
      <c r="E745" s="182">
        <v>7.0305580159432113E-3</v>
      </c>
      <c r="F745" s="168"/>
      <c r="G745" s="168">
        <v>742</v>
      </c>
      <c r="H745" s="183">
        <f t="shared" ca="1" si="26"/>
        <v>-4.9743690913214124E-3</v>
      </c>
      <c r="K745" s="36"/>
    </row>
    <row r="746" spans="2:11">
      <c r="B746" s="36">
        <v>44934</v>
      </c>
      <c r="C746" s="182">
        <v>2660.65</v>
      </c>
      <c r="D746" s="182">
        <f t="shared" si="25"/>
        <v>-5.483456184680738E-3</v>
      </c>
      <c r="E746" s="182">
        <v>7.0178858618840777E-3</v>
      </c>
      <c r="F746" s="168"/>
      <c r="G746" s="168">
        <v>743</v>
      </c>
      <c r="H746" s="183">
        <f t="shared" ca="1" si="26"/>
        <v>-5.8117261088737786E-3</v>
      </c>
      <c r="K746" s="36"/>
    </row>
    <row r="747" spans="2:11">
      <c r="B747" s="36" t="s">
        <v>9037</v>
      </c>
      <c r="C747" s="182">
        <v>2675.32</v>
      </c>
      <c r="D747" s="182">
        <f t="shared" si="25"/>
        <v>1.2002617652510417E-2</v>
      </c>
      <c r="E747" s="182">
        <v>7.0080358811437111E-3</v>
      </c>
      <c r="F747" s="168"/>
      <c r="G747" s="168">
        <v>744</v>
      </c>
      <c r="H747" s="183">
        <f t="shared" ca="1" si="26"/>
        <v>1.2566285832119532E-3</v>
      </c>
      <c r="K747" s="36"/>
    </row>
    <row r="748" spans="2:11">
      <c r="B748" s="36" t="s">
        <v>9038</v>
      </c>
      <c r="C748" s="182">
        <v>2643.59</v>
      </c>
      <c r="D748" s="182">
        <f t="shared" si="25"/>
        <v>-4.0049430717874384E-3</v>
      </c>
      <c r="E748" s="182">
        <v>7.0031712473573333E-3</v>
      </c>
      <c r="F748" s="168"/>
      <c r="G748" s="168">
        <v>745</v>
      </c>
      <c r="H748" s="183">
        <f t="shared" ca="1" si="26"/>
        <v>1.3003091400990555E-2</v>
      </c>
      <c r="K748" s="36"/>
    </row>
    <row r="749" spans="2:11">
      <c r="B749" s="36" t="s">
        <v>9039</v>
      </c>
      <c r="C749" s="182">
        <v>2654.22</v>
      </c>
      <c r="D749" s="182">
        <f t="shared" si="25"/>
        <v>5.2721281672535765E-3</v>
      </c>
      <c r="E749" s="182">
        <v>6.9924225540449938E-3</v>
      </c>
      <c r="F749" s="168"/>
      <c r="G749" s="168">
        <v>746</v>
      </c>
      <c r="H749" s="183">
        <f t="shared" ca="1" si="26"/>
        <v>8.5311833618916429E-3</v>
      </c>
      <c r="K749" s="36"/>
    </row>
    <row r="750" spans="2:11">
      <c r="B750" s="36" t="s">
        <v>9040</v>
      </c>
      <c r="C750" s="182">
        <v>2640.3</v>
      </c>
      <c r="D750" s="182">
        <f t="shared" si="25"/>
        <v>3.3328897829473264E-2</v>
      </c>
      <c r="E750" s="182">
        <v>6.986602856678523E-3</v>
      </c>
      <c r="F750" s="168"/>
      <c r="G750" s="168">
        <v>747</v>
      </c>
      <c r="H750" s="183">
        <f t="shared" ca="1" si="26"/>
        <v>5.75390546771624E-3</v>
      </c>
      <c r="K750" s="36"/>
    </row>
    <row r="751" spans="2:11">
      <c r="B751" s="36" t="s">
        <v>9041</v>
      </c>
      <c r="C751" s="182">
        <v>2555.14</v>
      </c>
      <c r="D751" s="182">
        <f t="shared" si="25"/>
        <v>-1.7023224679636378E-2</v>
      </c>
      <c r="E751" s="182">
        <v>6.9783389133153901E-3</v>
      </c>
      <c r="F751" s="168"/>
      <c r="G751" s="168">
        <v>748</v>
      </c>
      <c r="H751" s="183">
        <f t="shared" ca="1" si="26"/>
        <v>-1.2115378637608257E-2</v>
      </c>
      <c r="K751" s="36"/>
    </row>
    <row r="752" spans="2:11">
      <c r="B752" s="36" t="s">
        <v>9042</v>
      </c>
      <c r="C752" s="182">
        <v>2599.39</v>
      </c>
      <c r="D752" s="182">
        <f t="shared" si="25"/>
        <v>7.34761260720114E-3</v>
      </c>
      <c r="E752" s="182">
        <v>6.9715698393078172E-3</v>
      </c>
      <c r="F752" s="168"/>
      <c r="G752" s="168">
        <v>749</v>
      </c>
      <c r="H752" s="183">
        <f t="shared" ca="1" si="26"/>
        <v>6.3424073873430912E-3</v>
      </c>
      <c r="K752" s="36"/>
    </row>
    <row r="753" spans="2:11">
      <c r="B753" s="36" t="s">
        <v>9043</v>
      </c>
      <c r="C753" s="182">
        <v>2580.4299999999998</v>
      </c>
      <c r="D753" s="182">
        <f t="shared" si="25"/>
        <v>3.8778632100156973E-2</v>
      </c>
      <c r="E753" s="182">
        <v>6.9710460020016816E-3</v>
      </c>
      <c r="F753" s="168"/>
      <c r="G753" s="168">
        <v>750</v>
      </c>
      <c r="H753" s="183">
        <f t="shared" ca="1" si="26"/>
        <v>-2.7953154619019876E-3</v>
      </c>
      <c r="K753" s="36"/>
    </row>
    <row r="754" spans="2:11">
      <c r="B754" s="36" t="s">
        <v>9044</v>
      </c>
      <c r="C754" s="182">
        <v>2484.1</v>
      </c>
      <c r="D754" s="182">
        <f t="shared" si="25"/>
        <v>-1.7841786750464347E-3</v>
      </c>
      <c r="E754" s="182">
        <v>6.9590696822636544E-3</v>
      </c>
      <c r="F754" s="168"/>
      <c r="G754" s="168">
        <v>751</v>
      </c>
      <c r="H754" s="183">
        <f t="shared" ca="1" si="26"/>
        <v>1.4605066119645977E-2</v>
      </c>
      <c r="K754" s="36"/>
    </row>
    <row r="755" spans="2:11">
      <c r="B755" s="36" t="s">
        <v>9045</v>
      </c>
      <c r="C755" s="182">
        <v>2488.54</v>
      </c>
      <c r="D755" s="182">
        <f t="shared" si="25"/>
        <v>7.8610684735108526E-3</v>
      </c>
      <c r="E755" s="182">
        <v>6.9557789404640791E-3</v>
      </c>
      <c r="F755" s="168"/>
      <c r="G755" s="168">
        <v>752</v>
      </c>
      <c r="H755" s="183">
        <f t="shared" ca="1" si="26"/>
        <v>1.4355440018008939E-2</v>
      </c>
      <c r="K755" s="36"/>
    </row>
    <row r="756" spans="2:11">
      <c r="B756" s="36" t="s">
        <v>9046</v>
      </c>
      <c r="C756" s="182">
        <v>2469.13</v>
      </c>
      <c r="D756" s="182">
        <f t="shared" si="25"/>
        <v>2.3870902263270514E-3</v>
      </c>
      <c r="E756" s="182">
        <v>6.9418760135423743E-3</v>
      </c>
      <c r="F756" s="168"/>
      <c r="G756" s="168">
        <v>753</v>
      </c>
      <c r="H756" s="183">
        <f t="shared" ca="1" si="26"/>
        <v>7.2063564028093325E-3</v>
      </c>
      <c r="K756" s="36"/>
    </row>
    <row r="757" spans="2:11">
      <c r="B757" s="36" t="s">
        <v>9047</v>
      </c>
      <c r="C757" s="182">
        <v>2463.25</v>
      </c>
      <c r="D757" s="182">
        <f t="shared" si="25"/>
        <v>-1.3945814026083759E-3</v>
      </c>
      <c r="E757" s="182">
        <v>6.9414655071558425E-3</v>
      </c>
      <c r="F757" s="168"/>
      <c r="G757" s="168">
        <v>754</v>
      </c>
      <c r="H757" s="183">
        <f t="shared" ca="1" si="26"/>
        <v>7.9365110451309244E-4</v>
      </c>
      <c r="K757" s="36"/>
    </row>
    <row r="758" spans="2:11">
      <c r="B758" s="36" t="s">
        <v>9048</v>
      </c>
      <c r="C758" s="182">
        <v>2466.69</v>
      </c>
      <c r="D758" s="182">
        <f t="shared" si="25"/>
        <v>9.0197329668172746E-3</v>
      </c>
      <c r="E758" s="182">
        <v>6.9270052078943345E-3</v>
      </c>
      <c r="F758" s="168"/>
      <c r="G758" s="168">
        <v>755</v>
      </c>
      <c r="H758" s="183">
        <f t="shared" ca="1" si="26"/>
        <v>1.4595865241829448E-2</v>
      </c>
      <c r="K758" s="36"/>
    </row>
    <row r="759" spans="2:11">
      <c r="B759" s="36" t="s">
        <v>9049</v>
      </c>
      <c r="C759" s="182">
        <v>2444.64</v>
      </c>
      <c r="D759" s="182">
        <f t="shared" si="25"/>
        <v>-1.9555570071404221E-3</v>
      </c>
      <c r="E759" s="182">
        <v>6.9191033600302879E-3</v>
      </c>
      <c r="F759" s="168"/>
      <c r="G759" s="168">
        <v>756</v>
      </c>
      <c r="H759" s="183">
        <f t="shared" ca="1" si="26"/>
        <v>-2.1561520775243623E-2</v>
      </c>
      <c r="K759" s="36"/>
    </row>
    <row r="760" spans="2:11">
      <c r="B760" s="36">
        <v>45267</v>
      </c>
      <c r="C760" s="182">
        <v>2449.4299999999998</v>
      </c>
      <c r="D760" s="182">
        <f t="shared" si="25"/>
        <v>-7.9182496415524557E-3</v>
      </c>
      <c r="E760" s="182">
        <v>6.9167024332265235E-3</v>
      </c>
      <c r="F760" s="168"/>
      <c r="G760" s="168">
        <v>757</v>
      </c>
      <c r="H760" s="183">
        <f t="shared" ca="1" si="26"/>
        <v>9.2172418199412236E-3</v>
      </c>
      <c r="K760" s="36"/>
    </row>
    <row r="761" spans="2:11">
      <c r="B761" s="36">
        <v>45237</v>
      </c>
      <c r="C761" s="182">
        <v>2468.98</v>
      </c>
      <c r="D761" s="182">
        <f t="shared" si="25"/>
        <v>1.4679894462572762E-2</v>
      </c>
      <c r="E761" s="182">
        <v>6.9058055282226255E-3</v>
      </c>
      <c r="F761" s="168"/>
      <c r="G761" s="168">
        <v>758</v>
      </c>
      <c r="H761" s="183">
        <f t="shared" ca="1" si="26"/>
        <v>-5.3006780687066624E-3</v>
      </c>
      <c r="K761" s="36"/>
    </row>
    <row r="762" spans="2:11">
      <c r="B762" s="36">
        <v>45206</v>
      </c>
      <c r="C762" s="182">
        <v>2433.2600000000002</v>
      </c>
      <c r="D762" s="182">
        <f t="shared" si="25"/>
        <v>-4.3292523242110473E-3</v>
      </c>
      <c r="E762" s="182">
        <v>6.8770939869511822E-3</v>
      </c>
      <c r="F762" s="168"/>
      <c r="G762" s="168">
        <v>759</v>
      </c>
      <c r="H762" s="183">
        <f t="shared" ca="1" si="26"/>
        <v>2.6518175859914185E-3</v>
      </c>
      <c r="K762" s="36"/>
    </row>
    <row r="763" spans="2:11">
      <c r="B763" s="36">
        <v>45114</v>
      </c>
      <c r="C763" s="182">
        <v>2443.84</v>
      </c>
      <c r="D763" s="182">
        <f t="shared" si="25"/>
        <v>-1.5771244462343879E-2</v>
      </c>
      <c r="E763" s="182">
        <v>6.8727669710202006E-3</v>
      </c>
      <c r="F763" s="168"/>
      <c r="G763" s="168">
        <v>760</v>
      </c>
      <c r="H763" s="183">
        <f t="shared" ca="1" si="26"/>
        <v>1.0864698003474296E-2</v>
      </c>
      <c r="K763" s="36"/>
    </row>
    <row r="764" spans="2:11">
      <c r="B764" s="36">
        <v>45084</v>
      </c>
      <c r="C764" s="182">
        <v>2483</v>
      </c>
      <c r="D764" s="182">
        <f t="shared" si="25"/>
        <v>7.2041667342734256E-3</v>
      </c>
      <c r="E764" s="182">
        <v>6.8594251975339611E-3</v>
      </c>
      <c r="F764" s="168"/>
      <c r="G764" s="168">
        <v>761</v>
      </c>
      <c r="H764" s="183">
        <f t="shared" ca="1" si="26"/>
        <v>1.056021098479264E-2</v>
      </c>
      <c r="K764" s="36"/>
    </row>
    <row r="765" spans="2:11">
      <c r="B765" s="36">
        <v>45053</v>
      </c>
      <c r="C765" s="182">
        <v>2465.2399999999998</v>
      </c>
      <c r="D765" s="182">
        <f t="shared" si="25"/>
        <v>3.6355346027170171E-3</v>
      </c>
      <c r="E765" s="182">
        <v>6.8313277042750427E-3</v>
      </c>
      <c r="F765" s="168"/>
      <c r="G765" s="168">
        <v>762</v>
      </c>
      <c r="H765" s="183">
        <f t="shared" ca="1" si="26"/>
        <v>9.9437572731853417E-3</v>
      </c>
      <c r="K765" s="36"/>
    </row>
    <row r="766" spans="2:11">
      <c r="B766" s="36">
        <v>45023</v>
      </c>
      <c r="C766" s="182">
        <v>2456.31</v>
      </c>
      <c r="D766" s="182">
        <f t="shared" si="25"/>
        <v>3.1774166540739727E-3</v>
      </c>
      <c r="E766" s="182">
        <v>6.8260154542792552E-3</v>
      </c>
      <c r="F766" s="168"/>
      <c r="G766" s="168">
        <v>763</v>
      </c>
      <c r="H766" s="183">
        <f t="shared" ca="1" si="26"/>
        <v>-5.7506122599474989E-3</v>
      </c>
      <c r="K766" s="36"/>
    </row>
    <row r="767" spans="2:11">
      <c r="B767" s="36">
        <v>44992</v>
      </c>
      <c r="C767" s="182">
        <v>2448.5300000000002</v>
      </c>
      <c r="D767" s="182">
        <f t="shared" si="25"/>
        <v>-8.6842808443792323E-3</v>
      </c>
      <c r="E767" s="182">
        <v>6.8107693291551211E-3</v>
      </c>
      <c r="F767" s="168"/>
      <c r="G767" s="168">
        <v>764</v>
      </c>
      <c r="H767" s="183">
        <f t="shared" ca="1" si="26"/>
        <v>1.412479731108561E-2</v>
      </c>
      <c r="K767" s="36"/>
    </row>
    <row r="768" spans="2:11">
      <c r="B768" s="36" t="s">
        <v>9050</v>
      </c>
      <c r="C768" s="182">
        <v>2469.98</v>
      </c>
      <c r="D768" s="182">
        <f t="shared" si="25"/>
        <v>2.2342715231788088E-2</v>
      </c>
      <c r="E768" s="182">
        <v>6.8092481970967837E-3</v>
      </c>
      <c r="F768" s="168"/>
      <c r="G768" s="168">
        <v>765</v>
      </c>
      <c r="H768" s="183">
        <f t="shared" ca="1" si="26"/>
        <v>9.0862169353636384E-3</v>
      </c>
      <c r="K768" s="36"/>
    </row>
    <row r="769" spans="2:11">
      <c r="B769" s="36" t="s">
        <v>9051</v>
      </c>
      <c r="C769" s="182">
        <v>2416</v>
      </c>
      <c r="D769" s="182">
        <f t="shared" si="25"/>
        <v>1.39842530260044E-2</v>
      </c>
      <c r="E769" s="182">
        <v>6.7896466869039173E-3</v>
      </c>
      <c r="F769" s="168"/>
      <c r="G769" s="168">
        <v>766</v>
      </c>
      <c r="H769" s="183">
        <f t="shared" ca="1" si="26"/>
        <v>-9.0624481535382731E-3</v>
      </c>
      <c r="K769" s="36"/>
    </row>
    <row r="770" spans="2:11">
      <c r="B770" s="36" t="s">
        <v>9052</v>
      </c>
      <c r="C770" s="182">
        <v>2382.6799999999998</v>
      </c>
      <c r="D770" s="182">
        <f t="shared" si="25"/>
        <v>4.4178399797656261E-3</v>
      </c>
      <c r="E770" s="182">
        <v>6.7884472969637127E-3</v>
      </c>
      <c r="F770" s="168"/>
      <c r="G770" s="168">
        <v>767</v>
      </c>
      <c r="H770" s="183">
        <f t="shared" ca="1" si="26"/>
        <v>5.9354500787410676E-3</v>
      </c>
      <c r="K770" s="36"/>
    </row>
    <row r="771" spans="2:11">
      <c r="B771" s="36" t="s">
        <v>9053</v>
      </c>
      <c r="C771" s="182">
        <v>2372.1999999999998</v>
      </c>
      <c r="D771" s="182">
        <f t="shared" si="25"/>
        <v>-5.0206151406989663E-3</v>
      </c>
      <c r="E771" s="182">
        <v>6.7840834964122236E-3</v>
      </c>
      <c r="F771" s="168"/>
      <c r="G771" s="168">
        <v>768</v>
      </c>
      <c r="H771" s="183">
        <f t="shared" ca="1" si="26"/>
        <v>-7.0585696448389338E-3</v>
      </c>
      <c r="K771" s="36"/>
    </row>
    <row r="772" spans="2:11">
      <c r="B772" s="36" t="s">
        <v>9054</v>
      </c>
      <c r="C772" s="182">
        <v>2384.17</v>
      </c>
      <c r="D772" s="182">
        <f t="shared" ref="D772:D835" si="27">(C772-C773)/C773</f>
        <v>-1.1050227931690956E-2</v>
      </c>
      <c r="E772" s="182">
        <v>6.7709046789689933E-3</v>
      </c>
      <c r="F772" s="168"/>
      <c r="G772" s="168">
        <v>769</v>
      </c>
      <c r="H772" s="183">
        <f t="shared" ca="1" si="26"/>
        <v>2.0544480964988236E-2</v>
      </c>
      <c r="K772" s="36"/>
    </row>
    <row r="773" spans="2:11">
      <c r="B773" s="36" t="s">
        <v>9055</v>
      </c>
      <c r="C773" s="182">
        <v>2410.81</v>
      </c>
      <c r="D773" s="182">
        <f t="shared" si="27"/>
        <v>9.1039990623927401E-3</v>
      </c>
      <c r="E773" s="182">
        <v>6.7593082093497818E-3</v>
      </c>
      <c r="F773" s="168"/>
      <c r="G773" s="168">
        <v>770</v>
      </c>
      <c r="H773" s="183">
        <f t="shared" ref="H773:H836" ca="1" si="28">_xlfn.NORM.INV(RAND(),N$6,N$7)</f>
        <v>-2.331316263331008E-2</v>
      </c>
      <c r="K773" s="36"/>
    </row>
    <row r="774" spans="2:11">
      <c r="B774" s="36" t="s">
        <v>9056</v>
      </c>
      <c r="C774" s="182">
        <v>2389.06</v>
      </c>
      <c r="D774" s="182">
        <f t="shared" si="27"/>
        <v>5.2258650868453249E-3</v>
      </c>
      <c r="E774" s="182">
        <v>6.7407624501207358E-3</v>
      </c>
      <c r="F774" s="168"/>
      <c r="G774" s="168">
        <v>771</v>
      </c>
      <c r="H774" s="183">
        <f t="shared" ca="1" si="28"/>
        <v>1.180291673269698E-2</v>
      </c>
      <c r="K774" s="36"/>
    </row>
    <row r="775" spans="2:11">
      <c r="B775" s="36" t="s">
        <v>9057</v>
      </c>
      <c r="C775" s="182">
        <v>2376.64</v>
      </c>
      <c r="D775" s="182">
        <f t="shared" si="27"/>
        <v>6.6115212428472618E-3</v>
      </c>
      <c r="E775" s="182">
        <v>6.7272053372869128E-3</v>
      </c>
      <c r="F775" s="168"/>
      <c r="G775" s="168">
        <v>772</v>
      </c>
      <c r="H775" s="183">
        <f t="shared" ca="1" si="28"/>
        <v>1.0900299996832147E-2</v>
      </c>
      <c r="K775" s="36"/>
    </row>
    <row r="776" spans="2:11">
      <c r="B776" s="36" t="s">
        <v>9058</v>
      </c>
      <c r="C776" s="182">
        <v>2361.0300000000002</v>
      </c>
      <c r="D776" s="182">
        <f t="shared" si="27"/>
        <v>-1.9055846333647462E-4</v>
      </c>
      <c r="E776" s="182">
        <v>6.705272782688205E-3</v>
      </c>
      <c r="F776" s="168"/>
      <c r="G776" s="168">
        <v>773</v>
      </c>
      <c r="H776" s="183">
        <f t="shared" ca="1" si="28"/>
        <v>9.4682952429980295E-3</v>
      </c>
      <c r="K776" s="36"/>
    </row>
    <row r="777" spans="2:11">
      <c r="B777" s="36" t="s">
        <v>9059</v>
      </c>
      <c r="C777" s="182">
        <v>2361.48</v>
      </c>
      <c r="D777" s="182">
        <f t="shared" si="27"/>
        <v>2.3302306036953623E-3</v>
      </c>
      <c r="E777" s="182">
        <v>6.6917775284501815E-3</v>
      </c>
      <c r="F777" s="168"/>
      <c r="G777" s="168">
        <v>774</v>
      </c>
      <c r="H777" s="183">
        <f t="shared" ca="1" si="28"/>
        <v>-1.0161514330700398E-2</v>
      </c>
      <c r="K777" s="36"/>
    </row>
    <row r="778" spans="2:11">
      <c r="B778" s="36" t="s">
        <v>9060</v>
      </c>
      <c r="C778" s="182">
        <v>2355.9899999999998</v>
      </c>
      <c r="D778" s="182">
        <f t="shared" si="27"/>
        <v>2.6556016597509445E-3</v>
      </c>
      <c r="E778" s="182">
        <v>6.690096117203787E-3</v>
      </c>
      <c r="F778" s="168"/>
      <c r="G778" s="168">
        <v>775</v>
      </c>
      <c r="H778" s="183">
        <f t="shared" ca="1" si="28"/>
        <v>-4.5041232358877048E-3</v>
      </c>
      <c r="K778" s="36"/>
    </row>
    <row r="779" spans="2:11">
      <c r="B779" s="36" t="s">
        <v>9061</v>
      </c>
      <c r="C779" s="182">
        <v>2349.75</v>
      </c>
      <c r="D779" s="182">
        <f t="shared" si="27"/>
        <v>2.7670171555067516E-4</v>
      </c>
      <c r="E779" s="182">
        <v>6.6833390824422223E-3</v>
      </c>
      <c r="F779" s="168"/>
      <c r="G779" s="168">
        <v>776</v>
      </c>
      <c r="H779" s="183">
        <f t="shared" ca="1" si="28"/>
        <v>9.5397012680476442E-3</v>
      </c>
      <c r="K779" s="36"/>
    </row>
    <row r="780" spans="2:11">
      <c r="B780" s="36" t="s">
        <v>9062</v>
      </c>
      <c r="C780" s="182">
        <v>2349.1</v>
      </c>
      <c r="D780" s="182">
        <f t="shared" si="27"/>
        <v>6.172125635523283E-3</v>
      </c>
      <c r="E780" s="182">
        <v>6.6613930638244724E-3</v>
      </c>
      <c r="F780" s="168"/>
      <c r="G780" s="168">
        <v>777</v>
      </c>
      <c r="H780" s="183">
        <f t="shared" ca="1" si="28"/>
        <v>5.5990005594017817E-3</v>
      </c>
      <c r="K780" s="36"/>
    </row>
    <row r="781" spans="2:11">
      <c r="B781" s="36">
        <v>45266</v>
      </c>
      <c r="C781" s="182">
        <v>2334.69</v>
      </c>
      <c r="D781" s="182">
        <f t="shared" si="27"/>
        <v>-9.7511112619184034E-3</v>
      </c>
      <c r="E781" s="182">
        <v>6.6440166100414904E-3</v>
      </c>
      <c r="F781" s="168"/>
      <c r="G781" s="168">
        <v>778</v>
      </c>
      <c r="H781" s="183">
        <f t="shared" ca="1" si="28"/>
        <v>1.2166033985491032E-2</v>
      </c>
      <c r="K781" s="36"/>
    </row>
    <row r="782" spans="2:11">
      <c r="B782" s="36">
        <v>45175</v>
      </c>
      <c r="C782" s="182">
        <v>2357.6799999999998</v>
      </c>
      <c r="D782" s="182">
        <f t="shared" si="27"/>
        <v>9.7000895063445152E-3</v>
      </c>
      <c r="E782" s="182">
        <v>6.6369239985495645E-3</v>
      </c>
      <c r="F782" s="168"/>
      <c r="G782" s="168">
        <v>779</v>
      </c>
      <c r="H782" s="183">
        <f t="shared" ca="1" si="28"/>
        <v>-1.2328816843887463E-2</v>
      </c>
      <c r="K782" s="36"/>
    </row>
    <row r="783" spans="2:11">
      <c r="B783" s="36">
        <v>45144</v>
      </c>
      <c r="C783" s="182">
        <v>2335.0300000000002</v>
      </c>
      <c r="D783" s="182">
        <f t="shared" si="27"/>
        <v>1.0708612338710828E-2</v>
      </c>
      <c r="E783" s="182">
        <v>6.6210337768679052E-3</v>
      </c>
      <c r="F783" s="168"/>
      <c r="G783" s="168">
        <v>780</v>
      </c>
      <c r="H783" s="183">
        <f t="shared" ca="1" si="28"/>
        <v>7.9708647833333177E-3</v>
      </c>
      <c r="K783" s="36"/>
    </row>
    <row r="784" spans="2:11">
      <c r="B784" s="36">
        <v>45113</v>
      </c>
      <c r="C784" s="182">
        <v>2310.29</v>
      </c>
      <c r="D784" s="182">
        <f t="shared" si="27"/>
        <v>1.6486127366003377E-2</v>
      </c>
      <c r="E784" s="182">
        <v>6.5799337009211905E-3</v>
      </c>
      <c r="F784" s="168"/>
      <c r="G784" s="168">
        <v>781</v>
      </c>
      <c r="H784" s="183">
        <f t="shared" ca="1" si="28"/>
        <v>1.4238857302981615E-3</v>
      </c>
      <c r="K784" s="36"/>
    </row>
    <row r="785" spans="2:11">
      <c r="B785" s="36">
        <v>45083</v>
      </c>
      <c r="C785" s="182">
        <v>2272.8200000000002</v>
      </c>
      <c r="D785" s="182">
        <f t="shared" si="27"/>
        <v>4.2506185931426065E-3</v>
      </c>
      <c r="E785" s="182">
        <v>6.5459023299523052E-3</v>
      </c>
      <c r="F785" s="168"/>
      <c r="G785" s="168">
        <v>782</v>
      </c>
      <c r="H785" s="183">
        <f t="shared" ca="1" si="28"/>
        <v>-7.9305290086069645E-3</v>
      </c>
      <c r="K785" s="36"/>
    </row>
    <row r="786" spans="2:11">
      <c r="B786" s="36">
        <v>45052</v>
      </c>
      <c r="C786" s="182">
        <v>2263.1999999999998</v>
      </c>
      <c r="D786" s="182">
        <f t="shared" si="27"/>
        <v>1.5106390613226092E-2</v>
      </c>
      <c r="E786" s="182">
        <v>6.5418941166278336E-3</v>
      </c>
      <c r="F786" s="168"/>
      <c r="G786" s="168">
        <v>783</v>
      </c>
      <c r="H786" s="183">
        <f t="shared" ca="1" si="28"/>
        <v>-2.3978609536619233E-2</v>
      </c>
      <c r="K786" s="36"/>
    </row>
    <row r="787" spans="2:11">
      <c r="B787" s="36">
        <v>44963</v>
      </c>
      <c r="C787" s="182">
        <v>2229.52</v>
      </c>
      <c r="D787" s="182">
        <f t="shared" si="27"/>
        <v>1.211623230117624E-2</v>
      </c>
      <c r="E787" s="182">
        <v>6.5111314425129333E-3</v>
      </c>
      <c r="F787" s="168"/>
      <c r="G787" s="168">
        <v>784</v>
      </c>
      <c r="H787" s="183">
        <f t="shared" ca="1" si="28"/>
        <v>5.5195212111034406E-4</v>
      </c>
      <c r="K787" s="36"/>
    </row>
    <row r="788" spans="2:11">
      <c r="B788" s="36">
        <v>44932</v>
      </c>
      <c r="C788" s="182">
        <v>2202.83</v>
      </c>
      <c r="D788" s="182">
        <f t="shared" si="27"/>
        <v>9.7242228573759712E-4</v>
      </c>
      <c r="E788" s="182">
        <v>6.5111231687466084E-3</v>
      </c>
      <c r="F788" s="168"/>
      <c r="G788" s="168">
        <v>785</v>
      </c>
      <c r="H788" s="183">
        <f t="shared" ca="1" si="28"/>
        <v>1.693973815521738E-2</v>
      </c>
      <c r="K788" s="36"/>
    </row>
    <row r="789" spans="2:11">
      <c r="B789" s="36" t="s">
        <v>9063</v>
      </c>
      <c r="C789" s="182">
        <v>2200.69</v>
      </c>
      <c r="D789" s="182">
        <f t="shared" si="27"/>
        <v>-2.3301886364769145E-3</v>
      </c>
      <c r="E789" s="182">
        <v>6.4838915818513955E-3</v>
      </c>
      <c r="F789" s="168"/>
      <c r="G789" s="168">
        <v>786</v>
      </c>
      <c r="H789" s="183">
        <f t="shared" ca="1" si="28"/>
        <v>1.7888436292597978E-2</v>
      </c>
      <c r="K789" s="36"/>
    </row>
    <row r="790" spans="2:11">
      <c r="B790" s="36" t="s">
        <v>9064</v>
      </c>
      <c r="C790" s="182">
        <v>2205.83</v>
      </c>
      <c r="D790" s="182">
        <f t="shared" si="27"/>
        <v>-6.1769555853915838E-3</v>
      </c>
      <c r="E790" s="182">
        <v>6.4814176377301878E-3</v>
      </c>
      <c r="F790" s="168"/>
      <c r="G790" s="168">
        <v>787</v>
      </c>
      <c r="H790" s="183">
        <f t="shared" ca="1" si="28"/>
        <v>-5.4164816479101282E-3</v>
      </c>
      <c r="K790" s="36"/>
    </row>
    <row r="791" spans="2:11">
      <c r="B791" s="36" t="s">
        <v>9065</v>
      </c>
      <c r="C791" s="182">
        <v>2219.54</v>
      </c>
      <c r="D791" s="182">
        <f t="shared" si="27"/>
        <v>2.7468307536616552E-3</v>
      </c>
      <c r="E791" s="182">
        <v>6.4802331144259706E-3</v>
      </c>
      <c r="F791" s="168"/>
      <c r="G791" s="168">
        <v>788</v>
      </c>
      <c r="H791" s="183">
        <f t="shared" ca="1" si="28"/>
        <v>7.2395420010335065E-3</v>
      </c>
      <c r="K791" s="36"/>
    </row>
    <row r="792" spans="2:11">
      <c r="B792" s="36" t="s">
        <v>9066</v>
      </c>
      <c r="C792" s="182">
        <v>2213.46</v>
      </c>
      <c r="D792" s="182">
        <f t="shared" si="27"/>
        <v>6.2371007482703664E-3</v>
      </c>
      <c r="E792" s="182">
        <v>6.475887268912156E-3</v>
      </c>
      <c r="F792" s="168"/>
      <c r="G792" s="168">
        <v>789</v>
      </c>
      <c r="H792" s="183">
        <f t="shared" ca="1" si="28"/>
        <v>-9.3322209265073452E-3</v>
      </c>
      <c r="K792" s="36"/>
    </row>
    <row r="793" spans="2:11">
      <c r="B793" s="36" t="s">
        <v>9067</v>
      </c>
      <c r="C793" s="182">
        <v>2199.7399999999998</v>
      </c>
      <c r="D793" s="182">
        <f t="shared" si="27"/>
        <v>8.9485971663539002E-3</v>
      </c>
      <c r="E793" s="182">
        <v>6.4674256799493414E-3</v>
      </c>
      <c r="F793" s="168"/>
      <c r="G793" s="168">
        <v>790</v>
      </c>
      <c r="H793" s="183">
        <f t="shared" ca="1" si="28"/>
        <v>-2.3674835782782179E-4</v>
      </c>
      <c r="K793" s="36"/>
    </row>
    <row r="794" spans="2:11">
      <c r="B794" s="36" t="s">
        <v>9068</v>
      </c>
      <c r="C794" s="182">
        <v>2180.23</v>
      </c>
      <c r="D794" s="182">
        <f t="shared" si="27"/>
        <v>-5.6915871227841428E-3</v>
      </c>
      <c r="E794" s="182">
        <v>6.4644675669691867E-3</v>
      </c>
      <c r="F794" s="168"/>
      <c r="G794" s="168">
        <v>791</v>
      </c>
      <c r="H794" s="183">
        <f t="shared" ca="1" si="28"/>
        <v>1.9092559314407769E-2</v>
      </c>
      <c r="K794" s="36"/>
    </row>
    <row r="795" spans="2:11">
      <c r="B795" s="36" t="s">
        <v>9069</v>
      </c>
      <c r="C795" s="182">
        <v>2192.71</v>
      </c>
      <c r="D795" s="182">
        <f t="shared" si="27"/>
        <v>-8.5458105181293667E-3</v>
      </c>
      <c r="E795" s="182">
        <v>6.4541175328772663E-3</v>
      </c>
      <c r="F795" s="168"/>
      <c r="G795" s="168">
        <v>792</v>
      </c>
      <c r="H795" s="183">
        <f t="shared" ca="1" si="28"/>
        <v>-5.2526220007122213E-3</v>
      </c>
      <c r="K795" s="36"/>
    </row>
    <row r="796" spans="2:11">
      <c r="B796" s="36" t="s">
        <v>9070</v>
      </c>
      <c r="C796" s="182">
        <v>2211.61</v>
      </c>
      <c r="D796" s="182">
        <f t="shared" si="27"/>
        <v>1.212290400527213E-2</v>
      </c>
      <c r="E796" s="182">
        <v>6.4519282467372877E-3</v>
      </c>
      <c r="F796" s="168"/>
      <c r="G796" s="168">
        <v>793</v>
      </c>
      <c r="H796" s="183">
        <f t="shared" ca="1" si="28"/>
        <v>-1.9244461208321982E-3</v>
      </c>
      <c r="K796" s="36"/>
    </row>
    <row r="797" spans="2:11">
      <c r="B797" s="36" t="s">
        <v>9071</v>
      </c>
      <c r="C797" s="182">
        <v>2185.12</v>
      </c>
      <c r="D797" s="182">
        <f t="shared" si="27"/>
        <v>8.4276867831871796E-4</v>
      </c>
      <c r="E797" s="182">
        <v>6.4312684120990836E-3</v>
      </c>
      <c r="F797" s="168"/>
      <c r="G797" s="168">
        <v>794</v>
      </c>
      <c r="H797" s="183">
        <f t="shared" ca="1" si="28"/>
        <v>-9.2692194920030793E-3</v>
      </c>
      <c r="K797" s="36"/>
    </row>
    <row r="798" spans="2:11">
      <c r="B798" s="36" t="s">
        <v>9072</v>
      </c>
      <c r="C798" s="182">
        <v>2183.2800000000002</v>
      </c>
      <c r="D798" s="182">
        <f t="shared" si="27"/>
        <v>-1.4146960412894335E-2</v>
      </c>
      <c r="E798" s="182">
        <v>6.4084306465394475E-3</v>
      </c>
      <c r="F798" s="168"/>
      <c r="G798" s="168">
        <v>795</v>
      </c>
      <c r="H798" s="183">
        <f t="shared" ca="1" si="28"/>
        <v>7.0893653820484747E-3</v>
      </c>
      <c r="K798" s="36"/>
    </row>
    <row r="799" spans="2:11">
      <c r="B799" s="36" t="s">
        <v>9073</v>
      </c>
      <c r="C799" s="182">
        <v>2214.61</v>
      </c>
      <c r="D799" s="182">
        <f t="shared" si="27"/>
        <v>-3.4110494602171402E-3</v>
      </c>
      <c r="E799" s="182">
        <v>6.3903648600779827E-3</v>
      </c>
      <c r="F799" s="168"/>
      <c r="G799" s="168">
        <v>796</v>
      </c>
      <c r="H799" s="183">
        <f t="shared" ca="1" si="28"/>
        <v>-2.6222273961832758E-3</v>
      </c>
      <c r="K799" s="36"/>
    </row>
    <row r="800" spans="2:11">
      <c r="B800" s="36" t="s">
        <v>9074</v>
      </c>
      <c r="C800" s="182">
        <v>2222.19</v>
      </c>
      <c r="D800" s="182">
        <f t="shared" si="27"/>
        <v>-8.7430133955454827E-3</v>
      </c>
      <c r="E800" s="182">
        <v>6.3821799524463882E-3</v>
      </c>
      <c r="F800" s="168"/>
      <c r="G800" s="168">
        <v>797</v>
      </c>
      <c r="H800" s="183">
        <f t="shared" ca="1" si="28"/>
        <v>3.3383401916362593E-3</v>
      </c>
      <c r="K800" s="36"/>
    </row>
    <row r="801" spans="2:11">
      <c r="B801" s="36" t="s">
        <v>9075</v>
      </c>
      <c r="C801" s="182">
        <v>2241.79</v>
      </c>
      <c r="D801" s="182">
        <f t="shared" si="27"/>
        <v>1.1592437164387914E-2</v>
      </c>
      <c r="E801" s="182">
        <v>6.3573442706997899E-3</v>
      </c>
      <c r="F801" s="168"/>
      <c r="G801" s="168">
        <v>798</v>
      </c>
      <c r="H801" s="183">
        <f t="shared" ca="1" si="28"/>
        <v>9.1858756223157402E-3</v>
      </c>
      <c r="K801" s="36"/>
    </row>
    <row r="802" spans="2:11">
      <c r="B802" s="36">
        <v>45265</v>
      </c>
      <c r="C802" s="182">
        <v>2216.1</v>
      </c>
      <c r="D802" s="182">
        <f t="shared" si="27"/>
        <v>-9.387153010594073E-3</v>
      </c>
      <c r="E802" s="182">
        <v>6.3176748351380253E-3</v>
      </c>
      <c r="F802" s="168"/>
      <c r="G802" s="168">
        <v>799</v>
      </c>
      <c r="H802" s="183">
        <f t="shared" ca="1" si="28"/>
        <v>5.8085172228283348E-3</v>
      </c>
      <c r="K802" s="36"/>
    </row>
    <row r="803" spans="2:11">
      <c r="B803" s="36">
        <v>45235</v>
      </c>
      <c r="C803" s="182">
        <v>2237.1</v>
      </c>
      <c r="D803" s="182">
        <f t="shared" si="27"/>
        <v>-5.1726695858218999E-2</v>
      </c>
      <c r="E803" s="182">
        <v>6.3165815215240079E-3</v>
      </c>
      <c r="F803" s="168"/>
      <c r="G803" s="168">
        <v>800</v>
      </c>
      <c r="H803" s="183">
        <f t="shared" ca="1" si="28"/>
        <v>1.1847612644530964E-2</v>
      </c>
      <c r="K803" s="36"/>
    </row>
    <row r="804" spans="2:11">
      <c r="B804" s="36">
        <v>45204</v>
      </c>
      <c r="C804" s="182">
        <v>2359.13</v>
      </c>
      <c r="D804" s="182">
        <f t="shared" si="27"/>
        <v>-4.1705184866252607E-3</v>
      </c>
      <c r="E804" s="182">
        <v>6.2857678956748453E-3</v>
      </c>
      <c r="F804" s="168"/>
      <c r="G804" s="168">
        <v>801</v>
      </c>
      <c r="H804" s="183">
        <f t="shared" ca="1" si="28"/>
        <v>2.1548105739362455E-2</v>
      </c>
      <c r="K804" s="36"/>
    </row>
    <row r="805" spans="2:11">
      <c r="B805" s="36">
        <v>45174</v>
      </c>
      <c r="C805" s="182">
        <v>2369.0100000000002</v>
      </c>
      <c r="D805" s="182">
        <f t="shared" si="27"/>
        <v>3.7837700416936252E-3</v>
      </c>
      <c r="E805" s="182">
        <v>6.2700863318418407E-3</v>
      </c>
      <c r="F805" s="168"/>
      <c r="G805" s="168">
        <v>802</v>
      </c>
      <c r="H805" s="183">
        <f t="shared" ca="1" si="28"/>
        <v>-2.599719989565457E-2</v>
      </c>
      <c r="K805" s="36"/>
    </row>
    <row r="806" spans="2:11">
      <c r="B806" s="36">
        <v>45143</v>
      </c>
      <c r="C806" s="182">
        <v>2360.08</v>
      </c>
      <c r="D806" s="182">
        <f t="shared" si="27"/>
        <v>-5.0882111164977607E-3</v>
      </c>
      <c r="E806" s="182">
        <v>6.2640996999365631E-3</v>
      </c>
      <c r="F806" s="168"/>
      <c r="G806" s="168">
        <v>803</v>
      </c>
      <c r="H806" s="183">
        <f t="shared" ca="1" si="28"/>
        <v>4.4518005114779552E-3</v>
      </c>
      <c r="K806" s="36"/>
    </row>
    <row r="807" spans="2:11">
      <c r="B807" s="36">
        <v>45051</v>
      </c>
      <c r="C807" s="182">
        <v>2372.15</v>
      </c>
      <c r="D807" s="182">
        <f t="shared" si="27"/>
        <v>8.738731076713805E-3</v>
      </c>
      <c r="E807" s="182">
        <v>6.2464203894617241E-3</v>
      </c>
      <c r="F807" s="168"/>
      <c r="G807" s="168">
        <v>804</v>
      </c>
      <c r="H807" s="183">
        <f t="shared" ca="1" si="28"/>
        <v>-1.2466612295552675E-2</v>
      </c>
      <c r="K807" s="36"/>
    </row>
    <row r="808" spans="2:11">
      <c r="B808" s="36">
        <v>45021</v>
      </c>
      <c r="C808" s="182">
        <v>2351.6</v>
      </c>
      <c r="D808" s="182">
        <f t="shared" si="27"/>
        <v>2.5521054870264101E-4</v>
      </c>
      <c r="E808" s="182">
        <v>6.2427525296650166E-3</v>
      </c>
      <c r="F808" s="168"/>
      <c r="G808" s="168">
        <v>805</v>
      </c>
      <c r="H808" s="183">
        <f t="shared" ca="1" si="28"/>
        <v>5.9943712982075169E-3</v>
      </c>
      <c r="K808" s="36"/>
    </row>
    <row r="809" spans="2:11">
      <c r="B809" s="36">
        <v>44990</v>
      </c>
      <c r="C809" s="182">
        <v>2351</v>
      </c>
      <c r="D809" s="182">
        <f t="shared" si="27"/>
        <v>-1.1802881786236665E-2</v>
      </c>
      <c r="E809" s="182">
        <v>6.2181420298364556E-3</v>
      </c>
      <c r="F809" s="168"/>
      <c r="G809" s="168">
        <v>806</v>
      </c>
      <c r="H809" s="183">
        <f t="shared" ca="1" si="28"/>
        <v>3.3860076645675936E-3</v>
      </c>
      <c r="K809" s="36"/>
    </row>
    <row r="810" spans="2:11">
      <c r="B810" s="36">
        <v>44962</v>
      </c>
      <c r="C810" s="182">
        <v>2379.08</v>
      </c>
      <c r="D810" s="182">
        <f t="shared" si="27"/>
        <v>8.4778812079285143E-3</v>
      </c>
      <c r="E810" s="182">
        <v>6.2092654571075864E-3</v>
      </c>
      <c r="F810" s="168"/>
      <c r="G810" s="168">
        <v>807</v>
      </c>
      <c r="H810" s="183">
        <f t="shared" ca="1" si="28"/>
        <v>-6.5110308426209393E-4</v>
      </c>
      <c r="K810" s="36"/>
    </row>
    <row r="811" spans="2:11">
      <c r="B811" s="36" t="s">
        <v>9076</v>
      </c>
      <c r="C811" s="182">
        <v>2359.08</v>
      </c>
      <c r="D811" s="182">
        <f t="shared" si="27"/>
        <v>2.5504149260349274E-2</v>
      </c>
      <c r="E811" s="182">
        <v>6.2053986968662739E-3</v>
      </c>
      <c r="F811" s="168"/>
      <c r="G811" s="168">
        <v>808</v>
      </c>
      <c r="H811" s="183">
        <f t="shared" ca="1" si="28"/>
        <v>1.6923474391056278E-2</v>
      </c>
      <c r="K811" s="36"/>
    </row>
    <row r="812" spans="2:11">
      <c r="B812" s="36" t="s">
        <v>9077</v>
      </c>
      <c r="C812" s="182">
        <v>2300.41</v>
      </c>
      <c r="D812" s="182">
        <f t="shared" si="27"/>
        <v>1.2936861247979839E-2</v>
      </c>
      <c r="E812" s="182">
        <v>6.189264229523395E-3</v>
      </c>
      <c r="F812" s="168"/>
      <c r="G812" s="168">
        <v>809</v>
      </c>
      <c r="H812" s="183">
        <f t="shared" ca="1" si="28"/>
        <v>2.9371690170736802E-2</v>
      </c>
      <c r="K812" s="36"/>
    </row>
    <row r="813" spans="2:11">
      <c r="B813" s="36" t="s">
        <v>9078</v>
      </c>
      <c r="C813" s="182">
        <v>2271.0300000000002</v>
      </c>
      <c r="D813" s="182">
        <f t="shared" si="27"/>
        <v>1.254631301579673E-2</v>
      </c>
      <c r="E813" s="182">
        <v>6.1719534950481275E-3</v>
      </c>
      <c r="F813" s="168"/>
      <c r="G813" s="168">
        <v>810</v>
      </c>
      <c r="H813" s="183">
        <f t="shared" ca="1" si="28"/>
        <v>4.2976344163094416E-5</v>
      </c>
      <c r="K813" s="36"/>
    </row>
    <row r="814" spans="2:11">
      <c r="B814" s="36" t="s">
        <v>9079</v>
      </c>
      <c r="C814" s="182">
        <v>2242.89</v>
      </c>
      <c r="D814" s="182">
        <f t="shared" si="27"/>
        <v>8.5435880371780987E-3</v>
      </c>
      <c r="E814" s="182">
        <v>6.1390190771667789E-3</v>
      </c>
      <c r="F814" s="168"/>
      <c r="G814" s="168">
        <v>811</v>
      </c>
      <c r="H814" s="183">
        <f t="shared" ca="1" si="28"/>
        <v>1.0131835488944647E-2</v>
      </c>
      <c r="K814" s="36"/>
    </row>
    <row r="815" spans="2:11">
      <c r="B815" s="36" t="s">
        <v>9080</v>
      </c>
      <c r="C815" s="182">
        <v>2223.89</v>
      </c>
      <c r="D815" s="182">
        <f t="shared" si="27"/>
        <v>6.1849046701233697E-3</v>
      </c>
      <c r="E815" s="182">
        <v>6.1261730969759771E-3</v>
      </c>
      <c r="F815" s="168"/>
      <c r="G815" s="168">
        <v>812</v>
      </c>
      <c r="H815" s="183">
        <f t="shared" ca="1" si="28"/>
        <v>7.187852446141417E-3</v>
      </c>
      <c r="K815" s="36"/>
    </row>
    <row r="816" spans="2:11">
      <c r="B816" s="36" t="s">
        <v>9081</v>
      </c>
      <c r="C816" s="182">
        <v>2210.2199999999998</v>
      </c>
      <c r="D816" s="182">
        <f t="shared" si="27"/>
        <v>-7.8600189430497493E-3</v>
      </c>
      <c r="E816" s="182">
        <v>6.1225157974003266E-3</v>
      </c>
      <c r="F816" s="168"/>
      <c r="G816" s="168">
        <v>813</v>
      </c>
      <c r="H816" s="183">
        <f t="shared" ca="1" si="28"/>
        <v>-3.1780469965049345E-4</v>
      </c>
      <c r="K816" s="36"/>
    </row>
    <row r="817" spans="2:11">
      <c r="B817" s="36" t="s">
        <v>9082</v>
      </c>
      <c r="C817" s="182">
        <v>2227.73</v>
      </c>
      <c r="D817" s="182">
        <f t="shared" si="27"/>
        <v>5.9242936679595459E-3</v>
      </c>
      <c r="E817" s="182">
        <v>6.1223557362817833E-3</v>
      </c>
      <c r="F817" s="168"/>
      <c r="G817" s="168">
        <v>814</v>
      </c>
      <c r="H817" s="183">
        <f t="shared" ca="1" si="28"/>
        <v>5.0118514868870553E-3</v>
      </c>
      <c r="K817" s="36"/>
    </row>
    <row r="818" spans="2:11">
      <c r="B818" s="36" t="s">
        <v>9083</v>
      </c>
      <c r="C818" s="182">
        <v>2214.61</v>
      </c>
      <c r="D818" s="182">
        <f t="shared" si="27"/>
        <v>1.3564778600205279E-3</v>
      </c>
      <c r="E818" s="182">
        <v>6.0216311020169274E-3</v>
      </c>
      <c r="F818" s="168"/>
      <c r="G818" s="168">
        <v>815</v>
      </c>
      <c r="H818" s="183">
        <f t="shared" ca="1" si="28"/>
        <v>-2.8060951678523056E-3</v>
      </c>
      <c r="K818" s="36"/>
    </row>
    <row r="819" spans="2:11">
      <c r="B819" s="36" t="s">
        <v>9084</v>
      </c>
      <c r="C819" s="182">
        <v>2211.61</v>
      </c>
      <c r="D819" s="182">
        <f t="shared" si="27"/>
        <v>1.1724656182380176E-3</v>
      </c>
      <c r="E819" s="182">
        <v>6.0065756196256955E-3</v>
      </c>
      <c r="F819" s="168"/>
      <c r="G819" s="168">
        <v>816</v>
      </c>
      <c r="H819" s="183">
        <f t="shared" ca="1" si="28"/>
        <v>-1.2404642612747849E-2</v>
      </c>
      <c r="K819" s="36"/>
    </row>
    <row r="820" spans="2:11">
      <c r="B820" s="36" t="s">
        <v>9085</v>
      </c>
      <c r="C820" s="182">
        <v>2209.02</v>
      </c>
      <c r="D820" s="182">
        <f t="shared" si="27"/>
        <v>-1.9812128661250355E-2</v>
      </c>
      <c r="E820" s="182">
        <v>5.9940510170356691E-3</v>
      </c>
      <c r="F820" s="168"/>
      <c r="G820" s="168">
        <v>817</v>
      </c>
      <c r="H820" s="183">
        <f t="shared" ca="1" si="28"/>
        <v>-1.0823376710658285E-2</v>
      </c>
      <c r="K820" s="36"/>
    </row>
    <row r="821" spans="2:11">
      <c r="B821" s="36" t="s">
        <v>9086</v>
      </c>
      <c r="C821" s="182">
        <v>2253.67</v>
      </c>
      <c r="D821" s="182">
        <f t="shared" si="27"/>
        <v>-1.2998445266822799E-2</v>
      </c>
      <c r="E821" s="182">
        <v>5.9918510825277618E-3</v>
      </c>
      <c r="F821" s="168"/>
      <c r="G821" s="168">
        <v>818</v>
      </c>
      <c r="H821" s="183">
        <f t="shared" ca="1" si="28"/>
        <v>-1.4097880161297342E-3</v>
      </c>
      <c r="K821" s="36"/>
    </row>
    <row r="822" spans="2:11">
      <c r="B822" s="36">
        <v>45264</v>
      </c>
      <c r="C822" s="182">
        <v>2283.35</v>
      </c>
      <c r="D822" s="182">
        <f t="shared" si="27"/>
        <v>-5.6481675027871782E-3</v>
      </c>
      <c r="E822" s="182">
        <v>5.9899260334892561E-3</v>
      </c>
      <c r="F822" s="168"/>
      <c r="G822" s="168">
        <v>819</v>
      </c>
      <c r="H822" s="183">
        <f t="shared" ca="1" si="28"/>
        <v>1.0854690266384394E-2</v>
      </c>
      <c r="K822" s="36"/>
    </row>
    <row r="823" spans="2:11">
      <c r="B823" s="36">
        <v>45234</v>
      </c>
      <c r="C823" s="182">
        <v>2296.3200000000002</v>
      </c>
      <c r="D823" s="182">
        <f t="shared" si="27"/>
        <v>-3.5495769147319751E-3</v>
      </c>
      <c r="E823" s="182">
        <v>5.9882819231432413E-3</v>
      </c>
      <c r="F823" s="168"/>
      <c r="G823" s="168">
        <v>820</v>
      </c>
      <c r="H823" s="183">
        <f t="shared" ca="1" si="28"/>
        <v>3.7384933474982904E-3</v>
      </c>
      <c r="K823" s="36"/>
    </row>
    <row r="824" spans="2:11">
      <c r="B824" s="36">
        <v>45203</v>
      </c>
      <c r="C824" s="182">
        <v>2304.5</v>
      </c>
      <c r="D824" s="182">
        <f t="shared" si="27"/>
        <v>1.5587471850444835E-2</v>
      </c>
      <c r="E824" s="182">
        <v>5.9683587013571538E-3</v>
      </c>
      <c r="F824" s="168"/>
      <c r="G824" s="168">
        <v>821</v>
      </c>
      <c r="H824" s="183">
        <f t="shared" ca="1" si="28"/>
        <v>1.9328743926578993E-2</v>
      </c>
      <c r="K824" s="36"/>
    </row>
    <row r="825" spans="2:11">
      <c r="B825" s="36">
        <v>45081</v>
      </c>
      <c r="C825" s="182">
        <v>2269.13</v>
      </c>
      <c r="D825" s="182">
        <f t="shared" si="27"/>
        <v>7.3068847190223317E-3</v>
      </c>
      <c r="E825" s="182">
        <v>5.9457117674300754E-3</v>
      </c>
      <c r="F825" s="168"/>
      <c r="G825" s="168">
        <v>822</v>
      </c>
      <c r="H825" s="183">
        <f t="shared" ca="1" si="28"/>
        <v>3.2800497984858422E-2</v>
      </c>
      <c r="K825" s="36"/>
    </row>
    <row r="826" spans="2:11">
      <c r="B826" s="36">
        <v>45050</v>
      </c>
      <c r="C826" s="182">
        <v>2252.67</v>
      </c>
      <c r="D826" s="182">
        <f t="shared" si="27"/>
        <v>4.036448110397322E-2</v>
      </c>
      <c r="E826" s="182">
        <v>5.9353955027964065E-3</v>
      </c>
      <c r="F826" s="168"/>
      <c r="G826" s="168">
        <v>823</v>
      </c>
      <c r="H826" s="183">
        <f t="shared" ca="1" si="28"/>
        <v>1.5749536127238759E-2</v>
      </c>
      <c r="K826" s="36"/>
    </row>
    <row r="827" spans="2:11">
      <c r="B827" s="36">
        <v>44989</v>
      </c>
      <c r="C827" s="182">
        <v>2165.27</v>
      </c>
      <c r="D827" s="182">
        <f t="shared" si="27"/>
        <v>2.7508532739322173E-3</v>
      </c>
      <c r="E827" s="182">
        <v>5.8976879353817369E-3</v>
      </c>
      <c r="F827" s="168"/>
      <c r="G827" s="168">
        <v>824</v>
      </c>
      <c r="H827" s="183">
        <f t="shared" ca="1" si="28"/>
        <v>-9.8573354777389509E-3</v>
      </c>
      <c r="K827" s="36"/>
    </row>
    <row r="828" spans="2:11">
      <c r="B828" s="36" t="s">
        <v>9087</v>
      </c>
      <c r="C828" s="182">
        <v>2159.33</v>
      </c>
      <c r="D828" s="182">
        <f t="shared" si="27"/>
        <v>7.7988630741802267E-3</v>
      </c>
      <c r="E828" s="182">
        <v>5.8921423109791335E-3</v>
      </c>
      <c r="F828" s="168"/>
      <c r="G828" s="168">
        <v>825</v>
      </c>
      <c r="H828" s="183">
        <f t="shared" ca="1" si="28"/>
        <v>1.1338461002221991E-2</v>
      </c>
      <c r="K828" s="36"/>
    </row>
    <row r="829" spans="2:11">
      <c r="B829" s="36" t="s">
        <v>9088</v>
      </c>
      <c r="C829" s="182">
        <v>2142.62</v>
      </c>
      <c r="D829" s="182">
        <f t="shared" si="27"/>
        <v>6.4919203307026059E-3</v>
      </c>
      <c r="E829" s="182">
        <v>5.8616130453945274E-3</v>
      </c>
      <c r="F829" s="168"/>
      <c r="G829" s="168">
        <v>826</v>
      </c>
      <c r="H829" s="183">
        <f t="shared" ca="1" si="28"/>
        <v>-7.449325225872278E-3</v>
      </c>
      <c r="K829" s="36"/>
    </row>
    <row r="830" spans="2:11">
      <c r="B830" s="36" t="s">
        <v>9089</v>
      </c>
      <c r="C830" s="182">
        <v>2128.8000000000002</v>
      </c>
      <c r="D830" s="182">
        <f t="shared" si="27"/>
        <v>-9.4688597817741468E-3</v>
      </c>
      <c r="E830" s="182">
        <v>5.8590790470578634E-3</v>
      </c>
      <c r="F830" s="168"/>
      <c r="G830" s="168">
        <v>827</v>
      </c>
      <c r="H830" s="183">
        <f t="shared" ca="1" si="28"/>
        <v>1.2348246467820375E-3</v>
      </c>
      <c r="K830" s="36"/>
    </row>
    <row r="831" spans="2:11">
      <c r="B831" s="36" t="s">
        <v>9090</v>
      </c>
      <c r="C831" s="182">
        <v>2149.15</v>
      </c>
      <c r="D831" s="182">
        <f t="shared" si="27"/>
        <v>-5.6124148652650779E-3</v>
      </c>
      <c r="E831" s="182">
        <v>5.8574113738689912E-3</v>
      </c>
      <c r="F831" s="168"/>
      <c r="G831" s="168">
        <v>828</v>
      </c>
      <c r="H831" s="183">
        <f t="shared" ca="1" si="28"/>
        <v>-9.2384105262053699E-3</v>
      </c>
      <c r="K831" s="36"/>
    </row>
    <row r="832" spans="2:11">
      <c r="B832" s="36" t="s">
        <v>9091</v>
      </c>
      <c r="C832" s="182">
        <v>2161.2800000000002</v>
      </c>
      <c r="D832" s="182">
        <f t="shared" si="27"/>
        <v>-1.8354082545680751E-2</v>
      </c>
      <c r="E832" s="182">
        <v>5.851040429369664E-3</v>
      </c>
      <c r="F832" s="168"/>
      <c r="G832" s="168">
        <v>829</v>
      </c>
      <c r="H832" s="183">
        <f t="shared" ca="1" si="28"/>
        <v>6.4966101106196193E-3</v>
      </c>
      <c r="K832" s="36"/>
    </row>
    <row r="833" spans="2:11">
      <c r="B833" s="36" t="s">
        <v>9092</v>
      </c>
      <c r="C833" s="182">
        <v>2201.69</v>
      </c>
      <c r="D833" s="182">
        <f t="shared" si="27"/>
        <v>-3.2956536304249249E-3</v>
      </c>
      <c r="E833" s="182">
        <v>5.8500914076781898E-3</v>
      </c>
      <c r="F833" s="168"/>
      <c r="G833" s="168">
        <v>830</v>
      </c>
      <c r="H833" s="183">
        <f t="shared" ca="1" si="28"/>
        <v>1.3597520766724595E-2</v>
      </c>
      <c r="K833" s="36"/>
    </row>
    <row r="834" spans="2:11">
      <c r="B834" s="36" t="s">
        <v>9093</v>
      </c>
      <c r="C834" s="182">
        <v>2208.9699999999998</v>
      </c>
      <c r="D834" s="182">
        <f t="shared" si="27"/>
        <v>2.4915134242197712E-3</v>
      </c>
      <c r="E834" s="182">
        <v>5.8453438043817368E-3</v>
      </c>
      <c r="F834" s="168"/>
      <c r="G834" s="168">
        <v>831</v>
      </c>
      <c r="H834" s="183">
        <f t="shared" ca="1" si="28"/>
        <v>-1.9641721148927534E-3</v>
      </c>
      <c r="K834" s="36"/>
    </row>
    <row r="835" spans="2:11">
      <c r="B835" s="36" t="s">
        <v>9094</v>
      </c>
      <c r="C835" s="182">
        <v>2203.48</v>
      </c>
      <c r="D835" s="182">
        <f t="shared" si="27"/>
        <v>1.4190044415805549E-2</v>
      </c>
      <c r="E835" s="182">
        <v>5.8274059473819124E-3</v>
      </c>
      <c r="F835" s="168"/>
      <c r="G835" s="168">
        <v>832</v>
      </c>
      <c r="H835" s="183">
        <f t="shared" ca="1" si="28"/>
        <v>-1.4339047109873077E-2</v>
      </c>
      <c r="K835" s="36"/>
    </row>
    <row r="836" spans="2:11">
      <c r="B836" s="36" t="s">
        <v>9095</v>
      </c>
      <c r="C836" s="182">
        <v>2172.65</v>
      </c>
      <c r="D836" s="182">
        <f t="shared" ref="D836:D899" si="29">(C836-C837)/C837</f>
        <v>-8.2891715849388384E-3</v>
      </c>
      <c r="E836" s="182">
        <v>5.8169375534644994E-3</v>
      </c>
      <c r="F836" s="168"/>
      <c r="G836" s="168">
        <v>833</v>
      </c>
      <c r="H836" s="183">
        <f t="shared" ca="1" si="28"/>
        <v>1.8917533535697653E-2</v>
      </c>
      <c r="K836" s="36"/>
    </row>
    <row r="837" spans="2:11">
      <c r="B837" s="36" t="s">
        <v>9096</v>
      </c>
      <c r="C837" s="182">
        <v>2190.81</v>
      </c>
      <c r="D837" s="182">
        <f t="shared" si="29"/>
        <v>1.0190389678656856E-2</v>
      </c>
      <c r="E837" s="182">
        <v>5.7991572447745384E-3</v>
      </c>
      <c r="F837" s="168"/>
      <c r="G837" s="168">
        <v>834</v>
      </c>
      <c r="H837" s="183">
        <f t="shared" ref="H837:H900" ca="1" si="30">_xlfn.NORM.INV(RAND(),N$6,N$7)</f>
        <v>2.9166982048506387E-2</v>
      </c>
      <c r="K837" s="36"/>
    </row>
    <row r="838" spans="2:11">
      <c r="B838" s="36" t="s">
        <v>9097</v>
      </c>
      <c r="C838" s="182">
        <v>2168.71</v>
      </c>
      <c r="D838" s="182">
        <f t="shared" si="29"/>
        <v>-1.3997927938298441E-3</v>
      </c>
      <c r="E838" s="182">
        <v>5.7866243070640146E-3</v>
      </c>
      <c r="F838" s="168"/>
      <c r="G838" s="168">
        <v>835</v>
      </c>
      <c r="H838" s="183">
        <f t="shared" ca="1" si="30"/>
        <v>3.0424515795565406E-4</v>
      </c>
      <c r="K838" s="36"/>
    </row>
    <row r="839" spans="2:11">
      <c r="B839" s="36" t="s">
        <v>9098</v>
      </c>
      <c r="C839" s="182">
        <v>2171.75</v>
      </c>
      <c r="D839" s="182">
        <f t="shared" si="29"/>
        <v>1.5130551842122432E-2</v>
      </c>
      <c r="E839" s="182">
        <v>5.7732484889079973E-3</v>
      </c>
      <c r="F839" s="168"/>
      <c r="G839" s="168">
        <v>836</v>
      </c>
      <c r="H839" s="183">
        <f t="shared" ca="1" si="30"/>
        <v>1.193732029126221E-2</v>
      </c>
      <c r="K839" s="36"/>
    </row>
    <row r="840" spans="2:11">
      <c r="B840" s="36" t="s">
        <v>9099</v>
      </c>
      <c r="C840" s="182">
        <v>2139.38</v>
      </c>
      <c r="D840" s="182">
        <f t="shared" si="29"/>
        <v>4.8519292642257936E-3</v>
      </c>
      <c r="E840" s="182">
        <v>5.7679117041840745E-3</v>
      </c>
      <c r="F840" s="168"/>
      <c r="G840" s="168">
        <v>837</v>
      </c>
      <c r="H840" s="183">
        <f t="shared" ca="1" si="30"/>
        <v>4.8325960118228428E-3</v>
      </c>
      <c r="K840" s="36"/>
    </row>
    <row r="841" spans="2:11">
      <c r="B841" s="36" t="s">
        <v>9100</v>
      </c>
      <c r="C841" s="182">
        <v>2129.0500000000002</v>
      </c>
      <c r="D841" s="182">
        <f t="shared" si="29"/>
        <v>-1.1124013005109066E-2</v>
      </c>
      <c r="E841" s="182">
        <v>5.7411872775289929E-3</v>
      </c>
      <c r="F841" s="168"/>
      <c r="G841" s="168">
        <v>838</v>
      </c>
      <c r="H841" s="183">
        <f t="shared" ca="1" si="30"/>
        <v>1.0605939874681922E-2</v>
      </c>
      <c r="K841" s="36"/>
    </row>
    <row r="842" spans="2:11">
      <c r="B842" s="36">
        <v>45202</v>
      </c>
      <c r="C842" s="182">
        <v>2153</v>
      </c>
      <c r="D842" s="182">
        <f t="shared" si="29"/>
        <v>-1.6113258936323937E-2</v>
      </c>
      <c r="E842" s="182">
        <v>5.7305908928784602E-3</v>
      </c>
      <c r="F842" s="168"/>
      <c r="G842" s="168">
        <v>839</v>
      </c>
      <c r="H842" s="183">
        <f t="shared" ca="1" si="30"/>
        <v>-2.8798469746292186E-3</v>
      </c>
      <c r="K842" s="36"/>
    </row>
    <row r="843" spans="2:11">
      <c r="B843" s="36">
        <v>45172</v>
      </c>
      <c r="C843" s="182">
        <v>2188.2600000000002</v>
      </c>
      <c r="D843" s="182">
        <f t="shared" si="29"/>
        <v>1.0314323705400082E-2</v>
      </c>
      <c r="E843" s="182">
        <v>5.7149487975400402E-3</v>
      </c>
      <c r="F843" s="168"/>
      <c r="G843" s="168">
        <v>840</v>
      </c>
      <c r="H843" s="183">
        <f t="shared" ca="1" si="30"/>
        <v>4.888260827944621E-3</v>
      </c>
      <c r="K843" s="36"/>
    </row>
    <row r="844" spans="2:11">
      <c r="B844" s="36">
        <v>45141</v>
      </c>
      <c r="C844" s="182">
        <v>2165.92</v>
      </c>
      <c r="D844" s="182">
        <f t="shared" si="29"/>
        <v>1.3850856375185551E-2</v>
      </c>
      <c r="E844" s="182">
        <v>5.6966808114863425E-3</v>
      </c>
      <c r="F844" s="168"/>
      <c r="G844" s="168">
        <v>841</v>
      </c>
      <c r="H844" s="183">
        <f t="shared" ca="1" si="30"/>
        <v>2.1019989439661563E-2</v>
      </c>
      <c r="K844" s="36"/>
    </row>
    <row r="845" spans="2:11">
      <c r="B845" s="36">
        <v>45080</v>
      </c>
      <c r="C845" s="182">
        <v>2136.33</v>
      </c>
      <c r="D845" s="182">
        <f t="shared" si="29"/>
        <v>-5.0670404850946616E-3</v>
      </c>
      <c r="E845" s="182">
        <v>5.6838365896979921E-3</v>
      </c>
      <c r="F845" s="168"/>
      <c r="G845" s="168">
        <v>842</v>
      </c>
      <c r="H845" s="183">
        <f t="shared" ca="1" si="30"/>
        <v>-9.6969391767464871E-4</v>
      </c>
      <c r="K845" s="36"/>
    </row>
    <row r="846" spans="2:11">
      <c r="B846" s="36">
        <v>44988</v>
      </c>
      <c r="C846" s="182">
        <v>2147.21</v>
      </c>
      <c r="D846" s="182">
        <f t="shared" si="29"/>
        <v>1.4351648455473567E-2</v>
      </c>
      <c r="E846" s="182">
        <v>5.6159178776162876E-3</v>
      </c>
      <c r="F846" s="168"/>
      <c r="G846" s="168">
        <v>843</v>
      </c>
      <c r="H846" s="183">
        <f t="shared" ca="1" si="30"/>
        <v>-8.4237833368432449E-3</v>
      </c>
      <c r="K846" s="36"/>
    </row>
    <row r="847" spans="2:11">
      <c r="B847" s="36">
        <v>44960</v>
      </c>
      <c r="C847" s="182">
        <v>2116.83</v>
      </c>
      <c r="D847" s="182">
        <f t="shared" si="29"/>
        <v>2.9802799283595496E-3</v>
      </c>
      <c r="E847" s="182">
        <v>5.5822261918052922E-3</v>
      </c>
      <c r="F847" s="168"/>
      <c r="G847" s="168">
        <v>844</v>
      </c>
      <c r="H847" s="183">
        <f t="shared" ca="1" si="30"/>
        <v>-3.8589649668132218E-3</v>
      </c>
      <c r="K847" s="36"/>
    </row>
    <row r="848" spans="2:11">
      <c r="B848" s="36">
        <v>44929</v>
      </c>
      <c r="C848" s="182">
        <v>2110.54</v>
      </c>
      <c r="D848" s="182">
        <f t="shared" si="29"/>
        <v>2.9176962554646798E-3</v>
      </c>
      <c r="E848" s="182">
        <v>5.5767370397769049E-3</v>
      </c>
      <c r="F848" s="168"/>
      <c r="G848" s="168">
        <v>845</v>
      </c>
      <c r="H848" s="183">
        <f t="shared" ca="1" si="30"/>
        <v>2.6163272503964569E-3</v>
      </c>
      <c r="K848" s="36"/>
    </row>
    <row r="849" spans="2:11">
      <c r="B849" s="36" t="s">
        <v>9101</v>
      </c>
      <c r="C849" s="182">
        <v>2104.4</v>
      </c>
      <c r="D849" s="182">
        <f t="shared" si="29"/>
        <v>-2.1527402391722681E-3</v>
      </c>
      <c r="E849" s="182">
        <v>5.533675656812358E-3</v>
      </c>
      <c r="F849" s="168"/>
      <c r="G849" s="168">
        <v>846</v>
      </c>
      <c r="H849" s="183">
        <f t="shared" ca="1" si="30"/>
        <v>7.2705230133680594E-3</v>
      </c>
      <c r="K849" s="36"/>
    </row>
    <row r="850" spans="2:11">
      <c r="B850" s="36" t="s">
        <v>9102</v>
      </c>
      <c r="C850" s="182">
        <v>2108.94</v>
      </c>
      <c r="D850" s="182">
        <f t="shared" si="29"/>
        <v>-9.538569918985532E-3</v>
      </c>
      <c r="E850" s="182">
        <v>5.5317297532474757E-3</v>
      </c>
      <c r="F850" s="168"/>
      <c r="G850" s="168">
        <v>847</v>
      </c>
      <c r="H850" s="183">
        <f t="shared" ca="1" si="30"/>
        <v>6.1708429337981275E-3</v>
      </c>
      <c r="K850" s="36"/>
    </row>
    <row r="851" spans="2:11">
      <c r="B851" s="36" t="s">
        <v>9103</v>
      </c>
      <c r="C851" s="182">
        <v>2129.25</v>
      </c>
      <c r="D851" s="182">
        <f t="shared" si="29"/>
        <v>-1.1623319051752533E-2</v>
      </c>
      <c r="E851" s="182">
        <v>5.5101283930557932E-3</v>
      </c>
      <c r="F851" s="168"/>
      <c r="G851" s="168">
        <v>848</v>
      </c>
      <c r="H851" s="183">
        <f t="shared" ca="1" si="30"/>
        <v>3.3487874592323694E-3</v>
      </c>
      <c r="K851" s="36"/>
    </row>
    <row r="852" spans="2:11">
      <c r="B852" s="36" t="s">
        <v>9104</v>
      </c>
      <c r="C852" s="182">
        <v>2154.29</v>
      </c>
      <c r="D852" s="182">
        <f t="shared" si="29"/>
        <v>-1.6220585347587226E-2</v>
      </c>
      <c r="E852" s="182">
        <v>5.5021615634713965E-3</v>
      </c>
      <c r="F852" s="168"/>
      <c r="G852" s="168">
        <v>849</v>
      </c>
      <c r="H852" s="183">
        <f t="shared" ca="1" si="30"/>
        <v>1.0129466533333534E-2</v>
      </c>
      <c r="K852" s="36"/>
    </row>
    <row r="853" spans="2:11">
      <c r="B853" s="36" t="s">
        <v>9105</v>
      </c>
      <c r="C853" s="182">
        <v>2189.81</v>
      </c>
      <c r="D853" s="182">
        <f t="shared" si="29"/>
        <v>-1.5563537625369148E-2</v>
      </c>
      <c r="E853" s="182">
        <v>5.4895104895104256E-3</v>
      </c>
      <c r="F853" s="168"/>
      <c r="G853" s="168">
        <v>850</v>
      </c>
      <c r="H853" s="183">
        <f t="shared" ca="1" si="30"/>
        <v>2.1335120247579872E-2</v>
      </c>
      <c r="K853" s="36"/>
    </row>
    <row r="854" spans="2:11">
      <c r="B854" s="36" t="s">
        <v>9106</v>
      </c>
      <c r="C854" s="182">
        <v>2224.4299999999998</v>
      </c>
      <c r="D854" s="182">
        <f t="shared" si="29"/>
        <v>1.7743831316511468E-3</v>
      </c>
      <c r="E854" s="182">
        <v>5.4881168317753512E-3</v>
      </c>
      <c r="F854" s="168"/>
      <c r="G854" s="168">
        <v>851</v>
      </c>
      <c r="H854" s="183">
        <f t="shared" ca="1" si="30"/>
        <v>-7.9629845268100151E-3</v>
      </c>
      <c r="K854" s="36"/>
    </row>
    <row r="855" spans="2:11">
      <c r="B855" s="36" t="s">
        <v>9107</v>
      </c>
      <c r="C855" s="182">
        <v>2220.4899999999998</v>
      </c>
      <c r="D855" s="182">
        <f t="shared" si="29"/>
        <v>-3.8265191280954905E-4</v>
      </c>
      <c r="E855" s="182">
        <v>5.4793251940915902E-3</v>
      </c>
      <c r="F855" s="168"/>
      <c r="G855" s="168">
        <v>852</v>
      </c>
      <c r="H855" s="183">
        <f t="shared" ca="1" si="30"/>
        <v>-1.4687972709267846E-2</v>
      </c>
      <c r="K855" s="36"/>
    </row>
    <row r="856" spans="2:11">
      <c r="B856" s="36" t="s">
        <v>9108</v>
      </c>
      <c r="C856" s="182">
        <v>2221.34</v>
      </c>
      <c r="D856" s="182">
        <f t="shared" si="29"/>
        <v>2.2057605594920426E-2</v>
      </c>
      <c r="E856" s="182">
        <v>5.4558417805883348E-3</v>
      </c>
      <c r="F856" s="168"/>
      <c r="G856" s="168">
        <v>853</v>
      </c>
      <c r="H856" s="183">
        <f t="shared" ca="1" si="30"/>
        <v>3.2918495501780068E-4</v>
      </c>
      <c r="K856" s="36"/>
    </row>
    <row r="857" spans="2:11">
      <c r="B857" s="36" t="s">
        <v>9109</v>
      </c>
      <c r="C857" s="182">
        <v>2173.4</v>
      </c>
      <c r="D857" s="182">
        <f t="shared" si="29"/>
        <v>1.4929774763152194E-3</v>
      </c>
      <c r="E857" s="182">
        <v>5.4414942883607457E-3</v>
      </c>
      <c r="F857" s="168"/>
      <c r="G857" s="168">
        <v>854</v>
      </c>
      <c r="H857" s="183">
        <f t="shared" ca="1" si="30"/>
        <v>2.2264333509668104E-2</v>
      </c>
      <c r="K857" s="36"/>
    </row>
    <row r="858" spans="2:11">
      <c r="B858" s="36" t="s">
        <v>9110</v>
      </c>
      <c r="C858" s="182">
        <v>2170.16</v>
      </c>
      <c r="D858" s="182">
        <f t="shared" si="29"/>
        <v>-7.5729860247310795E-3</v>
      </c>
      <c r="E858" s="182">
        <v>5.4335940785600438E-3</v>
      </c>
      <c r="F858" s="168"/>
      <c r="G858" s="168">
        <v>855</v>
      </c>
      <c r="H858" s="183">
        <f t="shared" ca="1" si="30"/>
        <v>-1.8416329206616164E-2</v>
      </c>
      <c r="K858" s="36"/>
    </row>
    <row r="859" spans="2:11">
      <c r="B859" s="36" t="s">
        <v>9111</v>
      </c>
      <c r="C859" s="182">
        <v>2186.7199999999998</v>
      </c>
      <c r="D859" s="182">
        <f t="shared" si="29"/>
        <v>-5.2858065631341579E-3</v>
      </c>
      <c r="E859" s="182">
        <v>5.4277104307925367E-3</v>
      </c>
      <c r="F859" s="168"/>
      <c r="G859" s="168">
        <v>856</v>
      </c>
      <c r="H859" s="183">
        <f t="shared" ca="1" si="30"/>
        <v>-5.5867994988799451E-3</v>
      </c>
      <c r="K859" s="36"/>
    </row>
    <row r="860" spans="2:11">
      <c r="B860" s="36" t="s">
        <v>9112</v>
      </c>
      <c r="C860" s="182">
        <v>2198.34</v>
      </c>
      <c r="D860" s="182">
        <f t="shared" si="29"/>
        <v>1.8230831225856715E-2</v>
      </c>
      <c r="E860" s="182">
        <v>5.4164873826217036E-3</v>
      </c>
      <c r="F860" s="168"/>
      <c r="G860" s="168">
        <v>857</v>
      </c>
      <c r="H860" s="183">
        <f t="shared" ca="1" si="30"/>
        <v>5.7207234261956279E-4</v>
      </c>
      <c r="K860" s="36"/>
    </row>
    <row r="861" spans="2:11">
      <c r="B861" s="36">
        <v>45201</v>
      </c>
      <c r="C861" s="182">
        <v>2158.98</v>
      </c>
      <c r="D861" s="182">
        <f t="shared" si="29"/>
        <v>7.6590263095254081E-3</v>
      </c>
      <c r="E861" s="182">
        <v>5.4115636570777554E-3</v>
      </c>
      <c r="F861" s="168"/>
      <c r="G861" s="168">
        <v>858</v>
      </c>
      <c r="H861" s="183">
        <f t="shared" ca="1" si="30"/>
        <v>8.4070875257839205E-3</v>
      </c>
      <c r="K861" s="36"/>
    </row>
    <row r="862" spans="2:11">
      <c r="B862" s="36">
        <v>45171</v>
      </c>
      <c r="C862" s="182">
        <v>2142.5700000000002</v>
      </c>
      <c r="D862" s="182">
        <f t="shared" si="29"/>
        <v>7.7655381315674156E-3</v>
      </c>
      <c r="E862" s="182">
        <v>5.4104319891790202E-3</v>
      </c>
      <c r="F862" s="168"/>
      <c r="G862" s="168">
        <v>859</v>
      </c>
      <c r="H862" s="183">
        <f t="shared" ca="1" si="30"/>
        <v>1.4601595732413947E-2</v>
      </c>
      <c r="K862" s="36"/>
    </row>
    <row r="863" spans="2:11">
      <c r="B863" s="36">
        <v>45140</v>
      </c>
      <c r="C863" s="182">
        <v>2126.06</v>
      </c>
      <c r="D863" s="182">
        <f t="shared" si="29"/>
        <v>-1.5908869993473473E-2</v>
      </c>
      <c r="E863" s="182">
        <v>5.3854505971770213E-3</v>
      </c>
      <c r="F863" s="168"/>
      <c r="G863" s="168">
        <v>860</v>
      </c>
      <c r="H863" s="183">
        <f t="shared" ca="1" si="30"/>
        <v>-8.2429383487253455E-3</v>
      </c>
      <c r="K863" s="36"/>
    </row>
    <row r="864" spans="2:11">
      <c r="B864" s="36">
        <v>45109</v>
      </c>
      <c r="C864" s="182">
        <v>2160.4299999999998</v>
      </c>
      <c r="D864" s="182">
        <f t="shared" si="29"/>
        <v>4.2672864613595984E-3</v>
      </c>
      <c r="E864" s="182">
        <v>5.3746567281286062E-3</v>
      </c>
      <c r="F864" s="168"/>
      <c r="G864" s="168">
        <v>861</v>
      </c>
      <c r="H864" s="183">
        <f t="shared" ca="1" si="30"/>
        <v>-8.5666671035472888E-3</v>
      </c>
      <c r="K864" s="36"/>
    </row>
    <row r="865" spans="2:11">
      <c r="B865" s="36">
        <v>45079</v>
      </c>
      <c r="C865" s="182">
        <v>2151.25</v>
      </c>
      <c r="D865" s="182">
        <f t="shared" si="29"/>
        <v>-4.824950964064911E-3</v>
      </c>
      <c r="E865" s="182">
        <v>5.3636839351125865E-3</v>
      </c>
      <c r="F865" s="168"/>
      <c r="G865" s="168">
        <v>862</v>
      </c>
      <c r="H865" s="183">
        <f t="shared" ca="1" si="30"/>
        <v>-1.5505705193217034E-2</v>
      </c>
      <c r="K865" s="36"/>
    </row>
    <row r="866" spans="2:11">
      <c r="B866" s="36">
        <v>44987</v>
      </c>
      <c r="C866" s="182">
        <v>2161.6799999999998</v>
      </c>
      <c r="D866" s="182">
        <f t="shared" si="29"/>
        <v>1.0097800539234545E-2</v>
      </c>
      <c r="E866" s="182">
        <v>5.3435751857728074E-3</v>
      </c>
      <c r="F866" s="168"/>
      <c r="G866" s="168">
        <v>863</v>
      </c>
      <c r="H866" s="183">
        <f t="shared" ca="1" si="30"/>
        <v>-3.3566324204629822E-3</v>
      </c>
      <c r="K866" s="36"/>
    </row>
    <row r="867" spans="2:11">
      <c r="B867" s="36">
        <v>44959</v>
      </c>
      <c r="C867" s="182">
        <v>2140.0700000000002</v>
      </c>
      <c r="D867" s="182">
        <f t="shared" si="29"/>
        <v>-3.03636159796534E-4</v>
      </c>
      <c r="E867" s="182">
        <v>5.3421348123446925E-3</v>
      </c>
      <c r="F867" s="168"/>
      <c r="G867" s="168">
        <v>864</v>
      </c>
      <c r="H867" s="183">
        <f t="shared" ca="1" si="30"/>
        <v>2.558347582047282E-2</v>
      </c>
      <c r="K867" s="36"/>
    </row>
    <row r="868" spans="2:11">
      <c r="B868" s="36">
        <v>44928</v>
      </c>
      <c r="C868" s="182">
        <v>2140.7199999999998</v>
      </c>
      <c r="D868" s="182">
        <f t="shared" si="29"/>
        <v>9.9546145063737421E-3</v>
      </c>
      <c r="E868" s="182">
        <v>5.3200012819279901E-3</v>
      </c>
      <c r="F868" s="168"/>
      <c r="G868" s="168">
        <v>865</v>
      </c>
      <c r="H868" s="183">
        <f t="shared" ca="1" si="30"/>
        <v>1.3281197631201305E-2</v>
      </c>
      <c r="K868" s="36"/>
    </row>
    <row r="869" spans="2:11">
      <c r="B869" s="36" t="s">
        <v>9113</v>
      </c>
      <c r="C869" s="182">
        <v>2119.62</v>
      </c>
      <c r="D869" s="182">
        <f t="shared" si="29"/>
        <v>5.4407893176480794E-3</v>
      </c>
      <c r="E869" s="182">
        <v>5.3160070880093162E-3</v>
      </c>
      <c r="F869" s="168"/>
      <c r="G869" s="168">
        <v>866</v>
      </c>
      <c r="H869" s="183">
        <f t="shared" ca="1" si="30"/>
        <v>-7.5002754180496347E-3</v>
      </c>
      <c r="K869" s="36"/>
    </row>
    <row r="870" spans="2:11">
      <c r="B870" s="36" t="s">
        <v>9114</v>
      </c>
      <c r="C870" s="182">
        <v>2108.15</v>
      </c>
      <c r="D870" s="182">
        <f t="shared" si="29"/>
        <v>-2.1735599701158563E-2</v>
      </c>
      <c r="E870" s="182">
        <v>5.3142397808806181E-3</v>
      </c>
      <c r="F870" s="168"/>
      <c r="G870" s="168">
        <v>867</v>
      </c>
      <c r="H870" s="183">
        <f t="shared" ca="1" si="30"/>
        <v>5.3307436364050638E-3</v>
      </c>
      <c r="K870" s="36"/>
    </row>
    <row r="871" spans="2:11">
      <c r="B871" s="36" t="s">
        <v>9115</v>
      </c>
      <c r="C871" s="182">
        <v>2154.9899999999998</v>
      </c>
      <c r="D871" s="182">
        <f t="shared" si="29"/>
        <v>-6.8300911139685802E-3</v>
      </c>
      <c r="E871" s="182">
        <v>5.3068989686592873E-3</v>
      </c>
      <c r="F871" s="168"/>
      <c r="G871" s="168">
        <v>868</v>
      </c>
      <c r="H871" s="183">
        <f t="shared" ca="1" si="30"/>
        <v>-4.104521505392973E-3</v>
      </c>
      <c r="K871" s="36"/>
    </row>
    <row r="872" spans="2:11">
      <c r="B872" s="36" t="s">
        <v>9116</v>
      </c>
      <c r="C872" s="182">
        <v>2169.81</v>
      </c>
      <c r="D872" s="182">
        <f t="shared" si="29"/>
        <v>-1.4855643282951992E-2</v>
      </c>
      <c r="E872" s="182">
        <v>5.3063193439460039E-3</v>
      </c>
      <c r="F872" s="168"/>
      <c r="G872" s="168">
        <v>869</v>
      </c>
      <c r="H872" s="183">
        <f t="shared" ca="1" si="30"/>
        <v>-2.2047513439412744E-3</v>
      </c>
      <c r="K872" s="36"/>
    </row>
    <row r="873" spans="2:11">
      <c r="B873" s="36" t="s">
        <v>9117</v>
      </c>
      <c r="C873" s="182">
        <v>2202.5300000000002</v>
      </c>
      <c r="D873" s="182">
        <f t="shared" si="29"/>
        <v>-1.1644708500861491E-2</v>
      </c>
      <c r="E873" s="182">
        <v>5.3034254912188395E-3</v>
      </c>
      <c r="F873" s="168"/>
      <c r="G873" s="168">
        <v>870</v>
      </c>
      <c r="H873" s="183">
        <f t="shared" ca="1" si="30"/>
        <v>-5.528964260894424E-3</v>
      </c>
      <c r="K873" s="36"/>
    </row>
    <row r="874" spans="2:11">
      <c r="B874" s="36" t="s">
        <v>9118</v>
      </c>
      <c r="C874" s="182">
        <v>2228.48</v>
      </c>
      <c r="D874" s="182">
        <f t="shared" si="29"/>
        <v>-7.3099350079513271E-3</v>
      </c>
      <c r="E874" s="182">
        <v>5.2883614407661121E-3</v>
      </c>
      <c r="F874" s="168"/>
      <c r="G874" s="168">
        <v>871</v>
      </c>
      <c r="H874" s="183">
        <f t="shared" ca="1" si="30"/>
        <v>9.0257163044692376E-3</v>
      </c>
      <c r="K874" s="36"/>
    </row>
    <row r="875" spans="2:11">
      <c r="B875" s="36" t="s">
        <v>9119</v>
      </c>
      <c r="C875" s="182">
        <v>2244.89</v>
      </c>
      <c r="D875" s="182">
        <f t="shared" si="29"/>
        <v>-1.0185230093607075E-2</v>
      </c>
      <c r="E875" s="182">
        <v>5.2707403633297026E-3</v>
      </c>
      <c r="F875" s="168"/>
      <c r="G875" s="168">
        <v>872</v>
      </c>
      <c r="H875" s="183">
        <f t="shared" ca="1" si="30"/>
        <v>7.0370454315628137E-3</v>
      </c>
      <c r="K875" s="36"/>
    </row>
    <row r="876" spans="2:11">
      <c r="B876" s="36" t="s">
        <v>9120</v>
      </c>
      <c r="C876" s="182">
        <v>2267.9899999999998</v>
      </c>
      <c r="D876" s="182">
        <f t="shared" si="29"/>
        <v>2.9141239939858895E-3</v>
      </c>
      <c r="E876" s="182">
        <v>5.2548330404217289E-3</v>
      </c>
      <c r="F876" s="168"/>
      <c r="G876" s="168">
        <v>873</v>
      </c>
      <c r="H876" s="183">
        <f t="shared" ca="1" si="30"/>
        <v>5.2656807774909518E-3</v>
      </c>
      <c r="K876" s="36"/>
    </row>
    <row r="877" spans="2:11">
      <c r="B877" s="36" t="s">
        <v>9121</v>
      </c>
      <c r="C877" s="182">
        <v>2261.4</v>
      </c>
      <c r="D877" s="182">
        <f t="shared" si="29"/>
        <v>2.4129123417205679E-2</v>
      </c>
      <c r="E877" s="182">
        <v>5.2203538850423125E-3</v>
      </c>
      <c r="F877" s="168"/>
      <c r="G877" s="168">
        <v>874</v>
      </c>
      <c r="H877" s="183">
        <f t="shared" ca="1" si="30"/>
        <v>7.0423263513997476E-3</v>
      </c>
      <c r="K877" s="36"/>
    </row>
    <row r="878" spans="2:11">
      <c r="B878" s="36" t="s">
        <v>9122</v>
      </c>
      <c r="C878" s="182">
        <v>2208.12</v>
      </c>
      <c r="D878" s="182">
        <f t="shared" si="29"/>
        <v>3.5514141409404482E-2</v>
      </c>
      <c r="E878" s="182">
        <v>5.2201012855473666E-3</v>
      </c>
      <c r="F878" s="168"/>
      <c r="G878" s="168">
        <v>875</v>
      </c>
      <c r="H878" s="183">
        <f t="shared" ca="1" si="30"/>
        <v>2.1636175475308529E-2</v>
      </c>
      <c r="K878" s="36"/>
    </row>
    <row r="879" spans="2:11">
      <c r="B879" s="36" t="s">
        <v>9123</v>
      </c>
      <c r="C879" s="182">
        <v>2132.39</v>
      </c>
      <c r="D879" s="182">
        <f t="shared" si="29"/>
        <v>-7.521351609224969E-3</v>
      </c>
      <c r="E879" s="182">
        <v>5.2171184246654874E-3</v>
      </c>
      <c r="F879" s="168"/>
      <c r="G879" s="168">
        <v>876</v>
      </c>
      <c r="H879" s="183">
        <f t="shared" ca="1" si="30"/>
        <v>1.4907629653411549E-2</v>
      </c>
      <c r="K879" s="36"/>
    </row>
    <row r="880" spans="2:11">
      <c r="B880" s="36" t="s">
        <v>9124</v>
      </c>
      <c r="C880" s="182">
        <v>2148.5500000000002</v>
      </c>
      <c r="D880" s="182">
        <f t="shared" si="29"/>
        <v>-2.9421455387512547E-3</v>
      </c>
      <c r="E880" s="182">
        <v>5.2075851170808787E-3</v>
      </c>
      <c r="F880" s="168"/>
      <c r="G880" s="168">
        <v>877</v>
      </c>
      <c r="H880" s="183">
        <f t="shared" ca="1" si="30"/>
        <v>-6.5758996253986388E-5</v>
      </c>
      <c r="K880" s="36"/>
    </row>
    <row r="881" spans="2:11">
      <c r="B881" s="36">
        <v>45261</v>
      </c>
      <c r="C881" s="182">
        <v>2154.89</v>
      </c>
      <c r="D881" s="182">
        <f t="shared" si="29"/>
        <v>1.618432779865777E-2</v>
      </c>
      <c r="E881" s="182">
        <v>5.2026209960910038E-3</v>
      </c>
      <c r="F881" s="168"/>
      <c r="G881" s="168">
        <v>878</v>
      </c>
      <c r="H881" s="183">
        <f t="shared" ca="1" si="30"/>
        <v>6.6529328325535845E-3</v>
      </c>
      <c r="K881" s="36"/>
    </row>
    <row r="882" spans="2:11">
      <c r="B882" s="36">
        <v>45231</v>
      </c>
      <c r="C882" s="182">
        <v>2120.5700000000002</v>
      </c>
      <c r="D882" s="182">
        <f t="shared" si="29"/>
        <v>8.8776398608885771E-3</v>
      </c>
      <c r="E882" s="182">
        <v>5.2021242007153252E-3</v>
      </c>
      <c r="F882" s="168"/>
      <c r="G882" s="168">
        <v>879</v>
      </c>
      <c r="H882" s="183">
        <f t="shared" ca="1" si="30"/>
        <v>-7.6554171784217013E-3</v>
      </c>
      <c r="K882" s="36"/>
    </row>
    <row r="883" spans="2:11">
      <c r="B883" s="36">
        <v>45200</v>
      </c>
      <c r="C883" s="182">
        <v>2101.91</v>
      </c>
      <c r="D883" s="182">
        <f t="shared" si="29"/>
        <v>-7.0951802846574916E-3</v>
      </c>
      <c r="E883" s="182">
        <v>5.1946569243065061E-3</v>
      </c>
      <c r="F883" s="168"/>
      <c r="G883" s="168">
        <v>880</v>
      </c>
      <c r="H883" s="183">
        <f t="shared" ca="1" si="30"/>
        <v>2.3275685918960065E-3</v>
      </c>
      <c r="K883" s="36"/>
    </row>
    <row r="884" spans="2:11">
      <c r="B884" s="36">
        <v>45170</v>
      </c>
      <c r="C884" s="182">
        <v>2116.9299999999998</v>
      </c>
      <c r="D884" s="182">
        <f t="shared" si="29"/>
        <v>1.6850397483007866E-2</v>
      </c>
      <c r="E884" s="182">
        <v>5.192107995846313E-3</v>
      </c>
      <c r="F884" s="168"/>
      <c r="G884" s="168">
        <v>881</v>
      </c>
      <c r="H884" s="183">
        <f t="shared" ca="1" si="30"/>
        <v>9.9903912629300453E-3</v>
      </c>
      <c r="K884" s="36"/>
    </row>
    <row r="885" spans="2:11">
      <c r="B885" s="36">
        <v>45078</v>
      </c>
      <c r="C885" s="182">
        <v>2081.85</v>
      </c>
      <c r="D885" s="182">
        <f t="shared" si="29"/>
        <v>-3.8412599332589818E-4</v>
      </c>
      <c r="E885" s="182">
        <v>5.1813471502591708E-3</v>
      </c>
      <c r="F885" s="168"/>
      <c r="G885" s="168">
        <v>882</v>
      </c>
      <c r="H885" s="183">
        <f t="shared" ca="1" si="30"/>
        <v>3.0052793634167342E-3</v>
      </c>
      <c r="K885" s="36"/>
    </row>
    <row r="886" spans="2:11">
      <c r="B886" s="36">
        <v>45047</v>
      </c>
      <c r="C886" s="182">
        <v>2082.65</v>
      </c>
      <c r="D886" s="182">
        <f t="shared" si="29"/>
        <v>8.1127262342139319E-3</v>
      </c>
      <c r="E886" s="182">
        <v>5.1540856866745732E-3</v>
      </c>
      <c r="F886" s="168"/>
      <c r="G886" s="168">
        <v>883</v>
      </c>
      <c r="H886" s="183">
        <f t="shared" ca="1" si="30"/>
        <v>-5.4890995405187789E-3</v>
      </c>
      <c r="K886" s="36"/>
    </row>
    <row r="887" spans="2:11">
      <c r="B887" s="36">
        <v>45017</v>
      </c>
      <c r="C887" s="182">
        <v>2065.89</v>
      </c>
      <c r="D887" s="182">
        <f t="shared" si="29"/>
        <v>-8.8089240734077617E-3</v>
      </c>
      <c r="E887" s="182">
        <v>5.152462201199348E-3</v>
      </c>
      <c r="F887" s="168"/>
      <c r="G887" s="168">
        <v>884</v>
      </c>
      <c r="H887" s="183">
        <f t="shared" ca="1" si="30"/>
        <v>4.3157024684423425E-3</v>
      </c>
      <c r="K887" s="36"/>
    </row>
    <row r="888" spans="2:11">
      <c r="B888" s="36">
        <v>44986</v>
      </c>
      <c r="C888" s="182">
        <v>2084.25</v>
      </c>
      <c r="D888" s="182">
        <f t="shared" si="29"/>
        <v>-2.398369109005876E-4</v>
      </c>
      <c r="E888" s="182">
        <v>5.1147944467944953E-3</v>
      </c>
      <c r="F888" s="168"/>
      <c r="G888" s="168">
        <v>885</v>
      </c>
      <c r="H888" s="183">
        <f t="shared" ca="1" si="30"/>
        <v>2.5279688889875231E-2</v>
      </c>
      <c r="K888" s="36"/>
    </row>
    <row r="889" spans="2:11">
      <c r="B889" s="36">
        <v>44958</v>
      </c>
      <c r="C889" s="182">
        <v>2084.75</v>
      </c>
      <c r="D889" s="182">
        <f t="shared" si="29"/>
        <v>1.7490666038795992E-3</v>
      </c>
      <c r="E889" s="182">
        <v>5.111603339580848E-3</v>
      </c>
      <c r="F889" s="168"/>
      <c r="G889" s="168">
        <v>886</v>
      </c>
      <c r="H889" s="183">
        <f t="shared" ca="1" si="30"/>
        <v>-1.0093435008338862E-2</v>
      </c>
      <c r="K889" s="36"/>
    </row>
    <row r="890" spans="2:11">
      <c r="B890" s="36" t="s">
        <v>9125</v>
      </c>
      <c r="C890" s="182">
        <v>2081.11</v>
      </c>
      <c r="D890" s="182">
        <f t="shared" si="29"/>
        <v>-1.1888991762220146E-2</v>
      </c>
      <c r="E890" s="182">
        <v>5.0972090691326901E-3</v>
      </c>
      <c r="F890" s="168"/>
      <c r="G890" s="168">
        <v>887</v>
      </c>
      <c r="H890" s="183">
        <f t="shared" ca="1" si="30"/>
        <v>1.1591426522663102E-2</v>
      </c>
      <c r="K890" s="36"/>
    </row>
    <row r="891" spans="2:11">
      <c r="B891" s="36" t="s">
        <v>9126</v>
      </c>
      <c r="C891" s="182">
        <v>2106.15</v>
      </c>
      <c r="D891" s="182">
        <f t="shared" si="29"/>
        <v>-4.8102139080388392E-3</v>
      </c>
      <c r="E891" s="182">
        <v>5.0911167150401188E-3</v>
      </c>
      <c r="F891" s="168"/>
      <c r="G891" s="168">
        <v>888</v>
      </c>
      <c r="H891" s="183">
        <f t="shared" ca="1" si="30"/>
        <v>1.2107619842181495E-2</v>
      </c>
      <c r="K891" s="36"/>
    </row>
    <row r="892" spans="2:11">
      <c r="B892" s="36" t="s">
        <v>9127</v>
      </c>
      <c r="C892" s="182">
        <v>2116.33</v>
      </c>
      <c r="D892" s="182">
        <f t="shared" si="29"/>
        <v>-1.4108298888323785E-3</v>
      </c>
      <c r="E892" s="182">
        <v>5.0840456293095235E-3</v>
      </c>
      <c r="F892" s="168"/>
      <c r="G892" s="168">
        <v>889</v>
      </c>
      <c r="H892" s="183">
        <f t="shared" ca="1" si="30"/>
        <v>-1.7901107468280265E-2</v>
      </c>
      <c r="K892" s="36"/>
    </row>
    <row r="893" spans="2:11">
      <c r="B893" s="36" t="s">
        <v>9128</v>
      </c>
      <c r="C893" s="182">
        <v>2119.3200000000002</v>
      </c>
      <c r="D893" s="182">
        <f t="shared" si="29"/>
        <v>1.5807586491175942E-2</v>
      </c>
      <c r="E893" s="182">
        <v>5.0647158131681908E-3</v>
      </c>
      <c r="F893" s="168"/>
      <c r="G893" s="168">
        <v>890</v>
      </c>
      <c r="H893" s="183">
        <f t="shared" ca="1" si="30"/>
        <v>-2.4616387672689297E-2</v>
      </c>
      <c r="K893" s="36"/>
    </row>
    <row r="894" spans="2:11">
      <c r="B894" s="36" t="s">
        <v>9129</v>
      </c>
      <c r="C894" s="182">
        <v>2086.34</v>
      </c>
      <c r="D894" s="182">
        <f t="shared" si="29"/>
        <v>1.3716468021631505E-2</v>
      </c>
      <c r="E894" s="182">
        <v>5.0632911392404804E-3</v>
      </c>
      <c r="F894" s="168"/>
      <c r="G894" s="168">
        <v>891</v>
      </c>
      <c r="H894" s="183">
        <f t="shared" ca="1" si="30"/>
        <v>1.3090746128762754E-2</v>
      </c>
      <c r="K894" s="36"/>
    </row>
    <row r="895" spans="2:11">
      <c r="B895" s="36" t="s">
        <v>9130</v>
      </c>
      <c r="C895" s="182">
        <v>2058.11</v>
      </c>
      <c r="D895" s="182">
        <f t="shared" si="29"/>
        <v>-2.2368421052631433E-2</v>
      </c>
      <c r="E895" s="182">
        <v>5.0585026832057709E-3</v>
      </c>
      <c r="F895" s="168"/>
      <c r="G895" s="168">
        <v>892</v>
      </c>
      <c r="H895" s="183">
        <f t="shared" ca="1" si="30"/>
        <v>3.6625801080901843E-3</v>
      </c>
      <c r="K895" s="36"/>
    </row>
    <row r="896" spans="2:11">
      <c r="B896" s="36" t="s">
        <v>9131</v>
      </c>
      <c r="C896" s="182">
        <v>2105.1999999999998</v>
      </c>
      <c r="D896" s="182">
        <f t="shared" si="29"/>
        <v>-1.6936963861272858E-2</v>
      </c>
      <c r="E896" s="182">
        <v>5.0439168623358155E-3</v>
      </c>
      <c r="F896" s="168"/>
      <c r="G896" s="168">
        <v>893</v>
      </c>
      <c r="H896" s="183">
        <f t="shared" ca="1" si="30"/>
        <v>5.2686965546226835E-4</v>
      </c>
      <c r="K896" s="36"/>
    </row>
    <row r="897" spans="2:11">
      <c r="B897" s="36" t="s">
        <v>9132</v>
      </c>
      <c r="C897" s="182">
        <v>2141.4699999999998</v>
      </c>
      <c r="D897" s="182">
        <f t="shared" si="29"/>
        <v>-7.8345796384326708E-3</v>
      </c>
      <c r="E897" s="182">
        <v>5.0306426768917866E-3</v>
      </c>
      <c r="F897" s="168"/>
      <c r="G897" s="168">
        <v>894</v>
      </c>
      <c r="H897" s="183">
        <f t="shared" ca="1" si="30"/>
        <v>1.4173200478914093E-2</v>
      </c>
      <c r="K897" s="36"/>
    </row>
    <row r="898" spans="2:11">
      <c r="B898" s="36" t="s">
        <v>9133</v>
      </c>
      <c r="C898" s="182">
        <v>2158.38</v>
      </c>
      <c r="D898" s="182">
        <f t="shared" si="29"/>
        <v>-9.503967252385186E-3</v>
      </c>
      <c r="E898" s="182">
        <v>5.0263534503822435E-3</v>
      </c>
      <c r="F898" s="168"/>
      <c r="G898" s="168">
        <v>895</v>
      </c>
      <c r="H898" s="183">
        <f t="shared" ca="1" si="30"/>
        <v>-1.0131403232381143E-3</v>
      </c>
      <c r="K898" s="36"/>
    </row>
    <row r="899" spans="2:11">
      <c r="B899" s="36" t="s">
        <v>9134</v>
      </c>
      <c r="C899" s="182">
        <v>2179.09</v>
      </c>
      <c r="D899" s="182">
        <f t="shared" si="29"/>
        <v>4.1380390855763156E-3</v>
      </c>
      <c r="E899" s="182">
        <v>5.0127479365627715E-3</v>
      </c>
      <c r="F899" s="168"/>
      <c r="G899" s="168">
        <v>896</v>
      </c>
      <c r="H899" s="183">
        <f t="shared" ca="1" si="30"/>
        <v>-2.0123156951795628E-2</v>
      </c>
      <c r="K899" s="36"/>
    </row>
    <row r="900" spans="2:11">
      <c r="B900" s="36" t="s">
        <v>9135</v>
      </c>
      <c r="C900" s="182">
        <v>2170.11</v>
      </c>
      <c r="D900" s="182">
        <f t="shared" ref="D900:D963" si="31">(C900-C901)/C901</f>
        <v>-1.1690792350355389E-3</v>
      </c>
      <c r="E900" s="182">
        <v>5.0041210408571764E-3</v>
      </c>
      <c r="F900" s="168"/>
      <c r="G900" s="168">
        <v>897</v>
      </c>
      <c r="H900" s="183">
        <f t="shared" ca="1" si="30"/>
        <v>-9.1355904945977888E-3</v>
      </c>
      <c r="K900" s="36"/>
    </row>
    <row r="901" spans="2:11">
      <c r="B901" s="36" t="s">
        <v>9136</v>
      </c>
      <c r="C901" s="182">
        <v>2172.65</v>
      </c>
      <c r="D901" s="182">
        <f t="shared" si="31"/>
        <v>-8.1533524156475554E-3</v>
      </c>
      <c r="E901" s="182">
        <v>4.9961178813758651E-3</v>
      </c>
      <c r="F901" s="168"/>
      <c r="G901" s="168">
        <v>898</v>
      </c>
      <c r="H901" s="183">
        <f t="shared" ref="H901:H964" ca="1" si="32">_xlfn.NORM.INV(RAND(),N$6,N$7)</f>
        <v>-1.1721738070092767E-2</v>
      </c>
      <c r="K901" s="36"/>
    </row>
    <row r="902" spans="2:11">
      <c r="B902" s="36" t="s">
        <v>9137</v>
      </c>
      <c r="C902" s="182">
        <v>2190.5100000000002</v>
      </c>
      <c r="D902" s="182">
        <f t="shared" si="31"/>
        <v>1.0378180912449665E-2</v>
      </c>
      <c r="E902" s="182">
        <v>4.9647289936601809E-3</v>
      </c>
      <c r="F902" s="168"/>
      <c r="G902" s="168">
        <v>899</v>
      </c>
      <c r="H902" s="183">
        <f t="shared" ca="1" si="32"/>
        <v>-8.2196902875657334E-3</v>
      </c>
      <c r="K902" s="36"/>
    </row>
    <row r="903" spans="2:11">
      <c r="B903" s="36" t="s">
        <v>9138</v>
      </c>
      <c r="C903" s="182">
        <v>2168.0100000000002</v>
      </c>
      <c r="D903" s="182">
        <f t="shared" si="31"/>
        <v>4.2523033309710776E-3</v>
      </c>
      <c r="E903" s="182">
        <v>4.9621188403983357E-3</v>
      </c>
      <c r="F903" s="168"/>
      <c r="G903" s="168">
        <v>900</v>
      </c>
      <c r="H903" s="183">
        <f t="shared" ca="1" si="32"/>
        <v>5.3319464032927678E-3</v>
      </c>
      <c r="K903" s="36"/>
    </row>
    <row r="904" spans="2:11">
      <c r="B904" s="36">
        <v>44907</v>
      </c>
      <c r="C904" s="182">
        <v>2158.83</v>
      </c>
      <c r="D904" s="182">
        <f t="shared" si="31"/>
        <v>4.4807370184255114E-3</v>
      </c>
      <c r="E904" s="182">
        <v>4.9546431563991071E-3</v>
      </c>
      <c r="F904" s="168"/>
      <c r="G904" s="168">
        <v>901</v>
      </c>
      <c r="H904" s="183">
        <f t="shared" ca="1" si="32"/>
        <v>-3.5915300914655234E-3</v>
      </c>
      <c r="K904" s="36"/>
    </row>
    <row r="905" spans="2:11">
      <c r="B905" s="36">
        <v>44816</v>
      </c>
      <c r="C905" s="182">
        <v>2149.1999999999998</v>
      </c>
      <c r="D905" s="182">
        <f t="shared" si="31"/>
        <v>-6.2973340361196697E-3</v>
      </c>
      <c r="E905" s="182">
        <v>4.9504950495049506E-3</v>
      </c>
      <c r="F905" s="168"/>
      <c r="G905" s="168">
        <v>902</v>
      </c>
      <c r="H905" s="183">
        <f t="shared" ca="1" si="32"/>
        <v>7.3802618625092792E-3</v>
      </c>
      <c r="K905" s="36"/>
    </row>
    <row r="906" spans="2:11">
      <c r="B906" s="36">
        <v>44785</v>
      </c>
      <c r="C906" s="182">
        <v>2162.8200000000002</v>
      </c>
      <c r="D906" s="182">
        <f t="shared" si="31"/>
        <v>2.0573607270599734E-2</v>
      </c>
      <c r="E906" s="182">
        <v>4.9345897834006322E-3</v>
      </c>
      <c r="F906" s="168"/>
      <c r="G906" s="168">
        <v>903</v>
      </c>
      <c r="H906" s="183">
        <f t="shared" ca="1" si="32"/>
        <v>5.0757486571339503E-3</v>
      </c>
      <c r="K906" s="36"/>
    </row>
    <row r="907" spans="2:11">
      <c r="B907" s="36">
        <v>44754</v>
      </c>
      <c r="C907" s="182">
        <v>2119.2199999999998</v>
      </c>
      <c r="D907" s="182">
        <f t="shared" si="31"/>
        <v>1.4568242858305448E-2</v>
      </c>
      <c r="E907" s="182">
        <v>4.9083265467832152E-3</v>
      </c>
      <c r="F907" s="168"/>
      <c r="G907" s="168">
        <v>904</v>
      </c>
      <c r="H907" s="183">
        <f t="shared" ca="1" si="32"/>
        <v>-3.1122644100880295E-3</v>
      </c>
      <c r="K907" s="36"/>
    </row>
    <row r="908" spans="2:11">
      <c r="B908" s="36">
        <v>44724</v>
      </c>
      <c r="C908" s="182">
        <v>2088.79</v>
      </c>
      <c r="D908" s="182">
        <f t="shared" si="31"/>
        <v>3.7868048113566225E-3</v>
      </c>
      <c r="E908" s="182">
        <v>4.9049662783567389E-3</v>
      </c>
      <c r="F908" s="168"/>
      <c r="G908" s="168">
        <v>905</v>
      </c>
      <c r="H908" s="183">
        <f t="shared" ca="1" si="32"/>
        <v>1.5474980016067143E-2</v>
      </c>
      <c r="K908" s="36"/>
    </row>
    <row r="909" spans="2:11">
      <c r="B909" s="36">
        <v>44693</v>
      </c>
      <c r="C909" s="182">
        <v>2080.91</v>
      </c>
      <c r="D909" s="182">
        <f t="shared" si="31"/>
        <v>4.8058208101609017E-5</v>
      </c>
      <c r="E909" s="182">
        <v>4.9024674768535339E-3</v>
      </c>
      <c r="F909" s="168"/>
      <c r="G909" s="168">
        <v>906</v>
      </c>
      <c r="H909" s="183">
        <f t="shared" ca="1" si="32"/>
        <v>1.5989080321295111E-2</v>
      </c>
      <c r="K909" s="36"/>
    </row>
    <row r="910" spans="2:11">
      <c r="B910" s="36">
        <v>44604</v>
      </c>
      <c r="C910" s="182">
        <v>2080.81</v>
      </c>
      <c r="D910" s="182">
        <f t="shared" si="31"/>
        <v>-8.9068401674677767E-3</v>
      </c>
      <c r="E910" s="182">
        <v>4.8866233081385447E-3</v>
      </c>
      <c r="F910" s="168"/>
      <c r="G910" s="168">
        <v>907</v>
      </c>
      <c r="H910" s="183">
        <f t="shared" ca="1" si="32"/>
        <v>-8.5715833074447127E-3</v>
      </c>
      <c r="K910" s="36"/>
    </row>
    <row r="911" spans="2:11">
      <c r="B911" s="36">
        <v>44573</v>
      </c>
      <c r="C911" s="182">
        <v>2099.5100000000002</v>
      </c>
      <c r="D911" s="182">
        <f t="shared" si="31"/>
        <v>1.4167850138635474E-2</v>
      </c>
      <c r="E911" s="182">
        <v>4.8855574889572709E-3</v>
      </c>
      <c r="F911" s="168"/>
      <c r="G911" s="168">
        <v>908</v>
      </c>
      <c r="H911" s="183">
        <f t="shared" ca="1" si="32"/>
        <v>1.7523496376394089E-2</v>
      </c>
      <c r="K911" s="36"/>
    </row>
    <row r="912" spans="2:11">
      <c r="B912" s="36" t="s">
        <v>9139</v>
      </c>
      <c r="C912" s="182">
        <v>2070.1799999999998</v>
      </c>
      <c r="D912" s="182">
        <f t="shared" si="31"/>
        <v>1.184785477579977E-2</v>
      </c>
      <c r="E912" s="182">
        <v>4.8757413673906182E-3</v>
      </c>
      <c r="F912" s="168"/>
      <c r="G912" s="168">
        <v>909</v>
      </c>
      <c r="H912" s="183">
        <f t="shared" ca="1" si="32"/>
        <v>-2.773384287304754E-3</v>
      </c>
      <c r="K912" s="36"/>
    </row>
    <row r="913" spans="2:11">
      <c r="B913" s="36" t="s">
        <v>9140</v>
      </c>
      <c r="C913" s="182">
        <v>2045.94</v>
      </c>
      <c r="D913" s="182">
        <f t="shared" si="31"/>
        <v>-6.7288086221963909E-3</v>
      </c>
      <c r="E913" s="182">
        <v>4.8733922829581082E-3</v>
      </c>
      <c r="F913" s="168"/>
      <c r="G913" s="168">
        <v>910</v>
      </c>
      <c r="H913" s="183">
        <f t="shared" ca="1" si="32"/>
        <v>1.2493414576766258E-2</v>
      </c>
      <c r="K913" s="36"/>
    </row>
    <row r="914" spans="2:11">
      <c r="B914" s="36" t="s">
        <v>9141</v>
      </c>
      <c r="C914" s="182">
        <v>2059.8000000000002</v>
      </c>
      <c r="D914" s="182">
        <f t="shared" si="31"/>
        <v>8.211417271185964E-4</v>
      </c>
      <c r="E914" s="182">
        <v>4.849438054982053E-3</v>
      </c>
      <c r="F914" s="168"/>
      <c r="G914" s="168">
        <v>911</v>
      </c>
      <c r="H914" s="183">
        <f t="shared" ca="1" si="32"/>
        <v>-5.0889168415380317E-3</v>
      </c>
      <c r="K914" s="36"/>
    </row>
    <row r="915" spans="2:11">
      <c r="B915" s="36" t="s">
        <v>9142</v>
      </c>
      <c r="C915" s="182">
        <v>2058.11</v>
      </c>
      <c r="D915" s="182">
        <f t="shared" si="31"/>
        <v>5.1426562087929168E-3</v>
      </c>
      <c r="E915" s="182">
        <v>4.8453006421482515E-3</v>
      </c>
      <c r="F915" s="168"/>
      <c r="G915" s="168">
        <v>912</v>
      </c>
      <c r="H915" s="183">
        <f t="shared" ca="1" si="32"/>
        <v>-8.6912698568598554E-3</v>
      </c>
      <c r="K915" s="36"/>
    </row>
    <row r="916" spans="2:11">
      <c r="B916" s="36" t="s">
        <v>9143</v>
      </c>
      <c r="C916" s="182">
        <v>2047.58</v>
      </c>
      <c r="D916" s="182">
        <f t="shared" si="31"/>
        <v>1.3432717625863609E-2</v>
      </c>
      <c r="E916" s="182">
        <v>4.8403881991335709E-3</v>
      </c>
      <c r="F916" s="168"/>
      <c r="G916" s="168">
        <v>913</v>
      </c>
      <c r="H916" s="183">
        <f t="shared" ca="1" si="32"/>
        <v>4.512460677869954E-3</v>
      </c>
      <c r="K916" s="36"/>
    </row>
    <row r="917" spans="2:11">
      <c r="B917" s="36" t="s">
        <v>9144</v>
      </c>
      <c r="C917" s="182">
        <v>2020.44</v>
      </c>
      <c r="D917" s="182">
        <f t="shared" si="31"/>
        <v>-2.365163462915305E-3</v>
      </c>
      <c r="E917" s="182">
        <v>4.8398907006231943E-3</v>
      </c>
      <c r="F917" s="168"/>
      <c r="G917" s="168">
        <v>914</v>
      </c>
      <c r="H917" s="183">
        <f t="shared" ca="1" si="32"/>
        <v>1.3087504455316906E-2</v>
      </c>
      <c r="K917" s="36"/>
    </row>
    <row r="918" spans="2:11">
      <c r="B918" s="36" t="s">
        <v>9145</v>
      </c>
      <c r="C918" s="182">
        <v>2025.23</v>
      </c>
      <c r="D918" s="182">
        <f t="shared" si="31"/>
        <v>9.1234329220895426E-3</v>
      </c>
      <c r="E918" s="182">
        <v>4.8291460358211771E-3</v>
      </c>
      <c r="F918" s="168"/>
      <c r="G918" s="168">
        <v>915</v>
      </c>
      <c r="H918" s="183">
        <f t="shared" ca="1" si="32"/>
        <v>1.1714067714456856E-2</v>
      </c>
      <c r="K918" s="36"/>
    </row>
    <row r="919" spans="2:11">
      <c r="B919" s="36" t="s">
        <v>9146</v>
      </c>
      <c r="C919" s="182">
        <v>2006.92</v>
      </c>
      <c r="D919" s="182">
        <f t="shared" si="31"/>
        <v>-6.4260606960740716E-3</v>
      </c>
      <c r="E919" s="182">
        <v>4.8146553411360172E-3</v>
      </c>
      <c r="F919" s="168"/>
      <c r="G919" s="168">
        <v>916</v>
      </c>
      <c r="H919" s="183">
        <f t="shared" ca="1" si="32"/>
        <v>1.8146232629578606E-2</v>
      </c>
      <c r="K919" s="36"/>
    </row>
    <row r="920" spans="2:11">
      <c r="B920" s="36" t="s">
        <v>9147</v>
      </c>
      <c r="C920" s="182">
        <v>2019.9</v>
      </c>
      <c r="D920" s="182">
        <f t="shared" si="31"/>
        <v>-2.5086667522641838E-3</v>
      </c>
      <c r="E920" s="182">
        <v>4.8074877685599579E-3</v>
      </c>
      <c r="F920" s="168"/>
      <c r="G920" s="168">
        <v>917</v>
      </c>
      <c r="H920" s="183">
        <f t="shared" ca="1" si="32"/>
        <v>2.0694654089020544E-2</v>
      </c>
      <c r="K920" s="36"/>
    </row>
    <row r="921" spans="2:11">
      <c r="B921" s="36" t="s">
        <v>9148</v>
      </c>
      <c r="C921" s="182">
        <v>2024.98</v>
      </c>
      <c r="D921" s="182">
        <f t="shared" si="31"/>
        <v>1.2950892656158603E-2</v>
      </c>
      <c r="E921" s="182">
        <v>4.7651463580668197E-3</v>
      </c>
      <c r="F921" s="168"/>
      <c r="G921" s="168">
        <v>918</v>
      </c>
      <c r="H921" s="183">
        <f t="shared" ca="1" si="32"/>
        <v>1.004845665828304E-2</v>
      </c>
      <c r="K921" s="36"/>
    </row>
    <row r="922" spans="2:11">
      <c r="B922" s="36" t="s">
        <v>9149</v>
      </c>
      <c r="C922" s="182">
        <v>1999.09</v>
      </c>
      <c r="D922" s="182">
        <f t="shared" si="31"/>
        <v>3.5290101703763805E-3</v>
      </c>
      <c r="E922" s="182">
        <v>4.7632522165628691E-3</v>
      </c>
      <c r="F922" s="168"/>
      <c r="G922" s="168">
        <v>919</v>
      </c>
      <c r="H922" s="183">
        <f t="shared" ca="1" si="32"/>
        <v>1.2135229647976052E-2</v>
      </c>
      <c r="K922" s="36"/>
    </row>
    <row r="923" spans="2:11">
      <c r="B923" s="36" t="s">
        <v>9150</v>
      </c>
      <c r="C923" s="182">
        <v>1992.06</v>
      </c>
      <c r="D923" s="182">
        <f t="shared" si="31"/>
        <v>-1.6238159675236853E-3</v>
      </c>
      <c r="E923" s="182">
        <v>4.7573230703442868E-3</v>
      </c>
      <c r="F923" s="168"/>
      <c r="G923" s="168">
        <v>920</v>
      </c>
      <c r="H923" s="183">
        <f t="shared" ca="1" si="32"/>
        <v>-2.0894796129858175E-3</v>
      </c>
      <c r="K923" s="36"/>
    </row>
    <row r="924" spans="2:11">
      <c r="B924" s="36" t="s">
        <v>9151</v>
      </c>
      <c r="C924" s="182">
        <v>1995.3</v>
      </c>
      <c r="D924" s="182">
        <f t="shared" si="31"/>
        <v>-5.6165496344508202E-3</v>
      </c>
      <c r="E924" s="182">
        <v>4.7531340977957342E-3</v>
      </c>
      <c r="F924" s="168"/>
      <c r="G924" s="168">
        <v>921</v>
      </c>
      <c r="H924" s="183">
        <f t="shared" ca="1" si="32"/>
        <v>1.627830172052536E-2</v>
      </c>
      <c r="K924" s="36"/>
    </row>
    <row r="925" spans="2:11">
      <c r="B925" s="36">
        <v>44876</v>
      </c>
      <c r="C925" s="182">
        <v>2006.57</v>
      </c>
      <c r="D925" s="182">
        <f t="shared" si="31"/>
        <v>1.6911615649706006E-2</v>
      </c>
      <c r="E925" s="182">
        <v>4.7485909554874257E-3</v>
      </c>
      <c r="F925" s="168"/>
      <c r="G925" s="168">
        <v>922</v>
      </c>
      <c r="H925" s="183">
        <f t="shared" ca="1" si="32"/>
        <v>-6.1033543776367024E-3</v>
      </c>
      <c r="K925" s="36"/>
    </row>
    <row r="926" spans="2:11">
      <c r="B926" s="36">
        <v>44845</v>
      </c>
      <c r="C926" s="182">
        <v>1973.2</v>
      </c>
      <c r="D926" s="182">
        <f t="shared" si="31"/>
        <v>-1.2901515265208913E-2</v>
      </c>
      <c r="E926" s="182">
        <v>4.7446622549632521E-3</v>
      </c>
      <c r="F926" s="168"/>
      <c r="G926" s="168">
        <v>923</v>
      </c>
      <c r="H926" s="183">
        <f t="shared" ca="1" si="32"/>
        <v>-1.3540621363821448E-2</v>
      </c>
      <c r="K926" s="36"/>
    </row>
    <row r="927" spans="2:11">
      <c r="B927" s="36">
        <v>44815</v>
      </c>
      <c r="C927" s="182">
        <v>1998.99</v>
      </c>
      <c r="D927" s="182">
        <f t="shared" si="31"/>
        <v>-7.0140230787189431E-3</v>
      </c>
      <c r="E927" s="182">
        <v>4.7406581148911591E-3</v>
      </c>
      <c r="F927" s="168"/>
      <c r="G927" s="168">
        <v>924</v>
      </c>
      <c r="H927" s="183">
        <f t="shared" ca="1" si="32"/>
        <v>1.8844769318370265E-2</v>
      </c>
      <c r="K927" s="36"/>
    </row>
    <row r="928" spans="2:11">
      <c r="B928" s="36">
        <v>44753</v>
      </c>
      <c r="C928" s="182">
        <v>2013.11</v>
      </c>
      <c r="D928" s="182">
        <f t="shared" si="31"/>
        <v>1.2633233361683321E-3</v>
      </c>
      <c r="E928" s="182">
        <v>4.7359612577002903E-3</v>
      </c>
      <c r="F928" s="168"/>
      <c r="G928" s="168">
        <v>925</v>
      </c>
      <c r="H928" s="183">
        <f t="shared" ca="1" si="32"/>
        <v>-2.8107628831660937E-3</v>
      </c>
      <c r="K928" s="36"/>
    </row>
    <row r="929" spans="2:11">
      <c r="B929" s="36">
        <v>44662</v>
      </c>
      <c r="C929" s="182">
        <v>2010.57</v>
      </c>
      <c r="D929" s="182">
        <f t="shared" si="31"/>
        <v>3.1883363769720646E-3</v>
      </c>
      <c r="E929" s="182">
        <v>4.7243479618930048E-3</v>
      </c>
      <c r="F929" s="168"/>
      <c r="G929" s="168">
        <v>926</v>
      </c>
      <c r="H929" s="183">
        <f t="shared" ca="1" si="32"/>
        <v>2.6910116076188824E-2</v>
      </c>
      <c r="K929" s="36"/>
    </row>
    <row r="930" spans="2:11">
      <c r="B930" s="36">
        <v>44631</v>
      </c>
      <c r="C930" s="182">
        <v>2004.18</v>
      </c>
      <c r="D930" s="182">
        <f t="shared" si="31"/>
        <v>-2.2849803611164634E-3</v>
      </c>
      <c r="E930" s="182">
        <v>4.7242364315535383E-3</v>
      </c>
      <c r="F930" s="168"/>
      <c r="G930" s="168">
        <v>927</v>
      </c>
      <c r="H930" s="183">
        <f t="shared" ca="1" si="32"/>
        <v>-1.7422381585335919E-2</v>
      </c>
      <c r="K930" s="36"/>
    </row>
    <row r="931" spans="2:11">
      <c r="B931" s="36">
        <v>44603</v>
      </c>
      <c r="C931" s="182">
        <v>2008.77</v>
      </c>
      <c r="D931" s="182">
        <f t="shared" si="31"/>
        <v>-5.5101737709788148E-3</v>
      </c>
      <c r="E931" s="182">
        <v>4.7215514987465302E-3</v>
      </c>
      <c r="F931" s="168"/>
      <c r="G931" s="168">
        <v>928</v>
      </c>
      <c r="H931" s="183">
        <f t="shared" ca="1" si="32"/>
        <v>1.2277753998031694E-2</v>
      </c>
      <c r="K931" s="36"/>
    </row>
    <row r="932" spans="2:11">
      <c r="B932" s="36">
        <v>44572</v>
      </c>
      <c r="C932" s="182">
        <v>2019.9</v>
      </c>
      <c r="D932" s="182">
        <f t="shared" si="31"/>
        <v>6.6879690867213421E-4</v>
      </c>
      <c r="E932" s="182">
        <v>4.7190464607150661E-3</v>
      </c>
      <c r="F932" s="168"/>
      <c r="G932" s="168">
        <v>929</v>
      </c>
      <c r="H932" s="183">
        <f t="shared" ca="1" si="32"/>
        <v>3.2503864775061527E-3</v>
      </c>
      <c r="K932" s="36"/>
    </row>
    <row r="933" spans="2:11">
      <c r="B933" s="36" t="s">
        <v>9152</v>
      </c>
      <c r="C933" s="182">
        <v>2018.55</v>
      </c>
      <c r="D933" s="182">
        <f t="shared" si="31"/>
        <v>2.4327492502321645E-2</v>
      </c>
      <c r="E933" s="182">
        <v>4.7032111579629861E-3</v>
      </c>
      <c r="F933" s="168"/>
      <c r="G933" s="168">
        <v>930</v>
      </c>
      <c r="H933" s="183">
        <f t="shared" ca="1" si="32"/>
        <v>9.5477249750477514E-3</v>
      </c>
      <c r="K933" s="36"/>
    </row>
    <row r="934" spans="2:11">
      <c r="B934" s="36" t="s">
        <v>9153</v>
      </c>
      <c r="C934" s="182">
        <v>1970.61</v>
      </c>
      <c r="D934" s="182">
        <f t="shared" si="31"/>
        <v>5.603098544112812E-3</v>
      </c>
      <c r="E934" s="182">
        <v>4.6959605155971664E-3</v>
      </c>
      <c r="F934" s="168"/>
      <c r="G934" s="168">
        <v>931</v>
      </c>
      <c r="H934" s="183">
        <f t="shared" ca="1" si="32"/>
        <v>3.0098126777811473E-3</v>
      </c>
      <c r="K934" s="36"/>
    </row>
    <row r="935" spans="2:11">
      <c r="B935" s="36" t="s">
        <v>9154</v>
      </c>
      <c r="C935" s="182">
        <v>1959.63</v>
      </c>
      <c r="D935" s="182">
        <f t="shared" si="31"/>
        <v>7.6720950681592997E-3</v>
      </c>
      <c r="E935" s="182">
        <v>4.6936656282451431E-3</v>
      </c>
      <c r="F935" s="168"/>
      <c r="G935" s="168">
        <v>932</v>
      </c>
      <c r="H935" s="183">
        <f t="shared" ca="1" si="32"/>
        <v>9.1127374371028046E-3</v>
      </c>
      <c r="K935" s="36"/>
    </row>
    <row r="936" spans="2:11">
      <c r="B936" s="36" t="s">
        <v>9155</v>
      </c>
      <c r="C936" s="182">
        <v>1944.71</v>
      </c>
      <c r="D936" s="182">
        <f t="shared" si="31"/>
        <v>2.06040567844866E-2</v>
      </c>
      <c r="E936" s="182">
        <v>4.6821817930510837E-3</v>
      </c>
      <c r="F936" s="168"/>
      <c r="G936" s="168">
        <v>933</v>
      </c>
      <c r="H936" s="183">
        <f t="shared" ca="1" si="32"/>
        <v>-3.0595184532717836E-3</v>
      </c>
      <c r="K936" s="36"/>
    </row>
    <row r="937" spans="2:11">
      <c r="B937" s="36" t="s">
        <v>9156</v>
      </c>
      <c r="C937" s="182">
        <v>1905.45</v>
      </c>
      <c r="D937" s="182">
        <f t="shared" si="31"/>
        <v>1.7580492702386648E-2</v>
      </c>
      <c r="E937" s="182">
        <v>4.6650924379428305E-3</v>
      </c>
      <c r="F937" s="168"/>
      <c r="G937" s="168">
        <v>934</v>
      </c>
      <c r="H937" s="183">
        <f t="shared" ca="1" si="32"/>
        <v>-2.2506110517244013E-4</v>
      </c>
      <c r="K937" s="36"/>
    </row>
    <row r="938" spans="2:11">
      <c r="B938" s="36" t="s">
        <v>9157</v>
      </c>
      <c r="C938" s="182">
        <v>1872.53</v>
      </c>
      <c r="D938" s="182">
        <f t="shared" si="31"/>
        <v>-1.4390458294514845E-2</v>
      </c>
      <c r="E938" s="182">
        <v>4.6604132035145502E-3</v>
      </c>
      <c r="F938" s="168"/>
      <c r="G938" s="168">
        <v>935</v>
      </c>
      <c r="H938" s="183">
        <f t="shared" ca="1" si="32"/>
        <v>1.7450719358049907E-3</v>
      </c>
      <c r="K938" s="36"/>
    </row>
    <row r="939" spans="2:11">
      <c r="B939" s="36" t="s">
        <v>9158</v>
      </c>
      <c r="C939" s="182">
        <v>1899.87</v>
      </c>
      <c r="D939" s="182">
        <f t="shared" si="31"/>
        <v>-3.8934868279131917E-4</v>
      </c>
      <c r="E939" s="182">
        <v>4.6595729883857134E-3</v>
      </c>
      <c r="F939" s="168"/>
      <c r="G939" s="168">
        <v>936</v>
      </c>
      <c r="H939" s="183">
        <f t="shared" ca="1" si="32"/>
        <v>1.8498737446385322E-2</v>
      </c>
      <c r="K939" s="36"/>
    </row>
    <row r="940" spans="2:11">
      <c r="B940" s="36" t="s">
        <v>9159</v>
      </c>
      <c r="C940" s="182">
        <v>1900.61</v>
      </c>
      <c r="D940" s="182">
        <f t="shared" si="31"/>
        <v>-6.8816687393535685E-3</v>
      </c>
      <c r="E940" s="182">
        <v>4.6587182394949803E-3</v>
      </c>
      <c r="F940" s="168"/>
      <c r="G940" s="168">
        <v>937</v>
      </c>
      <c r="H940" s="183">
        <f t="shared" ca="1" si="32"/>
        <v>1.3776319340767174E-2</v>
      </c>
      <c r="K940" s="36"/>
    </row>
    <row r="941" spans="2:11">
      <c r="B941" s="36" t="s">
        <v>9160</v>
      </c>
      <c r="C941" s="182">
        <v>1913.78</v>
      </c>
      <c r="D941" s="182">
        <f t="shared" si="31"/>
        <v>1.8531528079363018E-2</v>
      </c>
      <c r="E941" s="182">
        <v>4.6479430379746537E-3</v>
      </c>
      <c r="F941" s="168"/>
      <c r="G941" s="168">
        <v>938</v>
      </c>
      <c r="H941" s="183">
        <f t="shared" ca="1" si="32"/>
        <v>-2.0048737192784986E-2</v>
      </c>
      <c r="K941" s="36"/>
    </row>
    <row r="942" spans="2:11">
      <c r="B942" s="36" t="s">
        <v>9161</v>
      </c>
      <c r="C942" s="182">
        <v>1878.96</v>
      </c>
      <c r="D942" s="182">
        <f t="shared" si="31"/>
        <v>-1.4858700781208996E-2</v>
      </c>
      <c r="E942" s="182">
        <v>4.6235921754593234E-3</v>
      </c>
      <c r="F942" s="168"/>
      <c r="G942" s="168">
        <v>939</v>
      </c>
      <c r="H942" s="183">
        <f t="shared" ca="1" si="32"/>
        <v>6.9101118237094436E-3</v>
      </c>
      <c r="K942" s="36"/>
    </row>
    <row r="943" spans="2:11">
      <c r="B943" s="36" t="s">
        <v>9162</v>
      </c>
      <c r="C943" s="182">
        <v>1907.3</v>
      </c>
      <c r="D943" s="182">
        <f t="shared" si="31"/>
        <v>1.8894937310689978E-2</v>
      </c>
      <c r="E943" s="182">
        <v>4.6147535379777119E-3</v>
      </c>
      <c r="F943" s="168"/>
      <c r="G943" s="168">
        <v>940</v>
      </c>
      <c r="H943" s="183">
        <f t="shared" ca="1" si="32"/>
        <v>-2.15134892153825E-2</v>
      </c>
      <c r="K943" s="36"/>
    </row>
    <row r="944" spans="2:11">
      <c r="B944" s="36" t="s">
        <v>9163</v>
      </c>
      <c r="C944" s="182">
        <v>1871.93</v>
      </c>
      <c r="D944" s="182">
        <f t="shared" si="31"/>
        <v>-1.8364403891030168E-2</v>
      </c>
      <c r="E944" s="182">
        <v>4.5998922547759767E-3</v>
      </c>
      <c r="F944" s="168"/>
      <c r="G944" s="168">
        <v>941</v>
      </c>
      <c r="H944" s="183">
        <f t="shared" ca="1" si="32"/>
        <v>-2.2695959929739953E-2</v>
      </c>
      <c r="K944" s="36"/>
    </row>
    <row r="945" spans="2:11">
      <c r="B945" s="36">
        <v>44905</v>
      </c>
      <c r="C945" s="182">
        <v>1906.95</v>
      </c>
      <c r="D945" s="182">
        <f t="shared" si="31"/>
        <v>1.7191900657164812E-2</v>
      </c>
      <c r="E945" s="182">
        <v>4.5952177488270103E-3</v>
      </c>
      <c r="F945" s="168"/>
      <c r="G945" s="168">
        <v>942</v>
      </c>
      <c r="H945" s="183">
        <f t="shared" ca="1" si="32"/>
        <v>4.327055485436636E-3</v>
      </c>
      <c r="K945" s="36"/>
    </row>
    <row r="946" spans="2:11">
      <c r="B946" s="36">
        <v>44875</v>
      </c>
      <c r="C946" s="182">
        <v>1874.72</v>
      </c>
      <c r="D946" s="182">
        <f t="shared" si="31"/>
        <v>-1.6075786600886915E-2</v>
      </c>
      <c r="E946" s="182">
        <v>4.5741983115590787E-3</v>
      </c>
      <c r="F946" s="168"/>
      <c r="G946" s="168">
        <v>943</v>
      </c>
      <c r="H946" s="183">
        <f t="shared" ca="1" si="32"/>
        <v>-5.6363350797068125E-3</v>
      </c>
      <c r="K946" s="36"/>
    </row>
    <row r="947" spans="2:11">
      <c r="B947" s="36">
        <v>44844</v>
      </c>
      <c r="C947" s="182">
        <v>1905.35</v>
      </c>
      <c r="D947" s="182">
        <f t="shared" si="31"/>
        <v>-7.7439043442939443E-3</v>
      </c>
      <c r="E947" s="182">
        <v>4.5641104242238771E-3</v>
      </c>
      <c r="F947" s="168"/>
      <c r="G947" s="168">
        <v>944</v>
      </c>
      <c r="H947" s="183">
        <f t="shared" ca="1" si="32"/>
        <v>3.1910767847024906E-4</v>
      </c>
      <c r="K947" s="36"/>
    </row>
    <row r="948" spans="2:11">
      <c r="B948" s="36">
        <v>44752</v>
      </c>
      <c r="C948" s="182">
        <v>1920.22</v>
      </c>
      <c r="D948" s="182">
        <f t="shared" si="31"/>
        <v>6.0618761952164809E-3</v>
      </c>
      <c r="E948" s="182">
        <v>4.5617836574100472E-3</v>
      </c>
      <c r="F948" s="168"/>
      <c r="G948" s="168">
        <v>945</v>
      </c>
      <c r="H948" s="183">
        <f t="shared" ca="1" si="32"/>
        <v>5.7140376275857576E-3</v>
      </c>
      <c r="K948" s="36"/>
    </row>
    <row r="949" spans="2:11">
      <c r="B949" s="36">
        <v>44722</v>
      </c>
      <c r="C949" s="182">
        <v>1908.65</v>
      </c>
      <c r="D949" s="182">
        <f t="shared" si="31"/>
        <v>2.2122377285336454E-2</v>
      </c>
      <c r="E949" s="182">
        <v>4.5602789817730284E-3</v>
      </c>
      <c r="F949" s="168"/>
      <c r="G949" s="168">
        <v>946</v>
      </c>
      <c r="H949" s="183">
        <f t="shared" ca="1" si="32"/>
        <v>-2.1288412413996958E-2</v>
      </c>
      <c r="K949" s="36"/>
    </row>
    <row r="950" spans="2:11">
      <c r="B950" s="36">
        <v>44661</v>
      </c>
      <c r="C950" s="182">
        <v>1867.34</v>
      </c>
      <c r="D950" s="182">
        <f t="shared" si="31"/>
        <v>2.8718440290655008E-2</v>
      </c>
      <c r="E950" s="182">
        <v>4.5305701341227774E-3</v>
      </c>
      <c r="F950" s="168"/>
      <c r="G950" s="168">
        <v>947</v>
      </c>
      <c r="H950" s="183">
        <f t="shared" ca="1" si="32"/>
        <v>1.2257355408967441E-2</v>
      </c>
      <c r="K950" s="36"/>
    </row>
    <row r="951" spans="2:11">
      <c r="B951" s="36">
        <v>44630</v>
      </c>
      <c r="C951" s="182">
        <v>1815.21</v>
      </c>
      <c r="D951" s="182">
        <f t="shared" si="31"/>
        <v>-1.5367174023888784E-2</v>
      </c>
      <c r="E951" s="182">
        <v>4.5251598889827441E-3</v>
      </c>
      <c r="F951" s="168"/>
      <c r="G951" s="168">
        <v>948</v>
      </c>
      <c r="H951" s="183">
        <f t="shared" ca="1" si="32"/>
        <v>1.6712014364071034E-3</v>
      </c>
      <c r="K951" s="36"/>
    </row>
    <row r="952" spans="2:11">
      <c r="B952" s="36" t="s">
        <v>9164</v>
      </c>
      <c r="C952" s="182">
        <v>1843.54</v>
      </c>
      <c r="D952" s="182">
        <f t="shared" si="31"/>
        <v>1.7731945103841126E-2</v>
      </c>
      <c r="E952" s="182">
        <v>4.5144767113773892E-3</v>
      </c>
      <c r="F952" s="168"/>
      <c r="G952" s="168">
        <v>949</v>
      </c>
      <c r="H952" s="183">
        <f t="shared" ca="1" si="32"/>
        <v>-1.9513683847685603E-2</v>
      </c>
      <c r="K952" s="36"/>
    </row>
    <row r="953" spans="2:11">
      <c r="B953" s="36" t="s">
        <v>9165</v>
      </c>
      <c r="C953" s="182">
        <v>1811.42</v>
      </c>
      <c r="D953" s="182">
        <f t="shared" si="31"/>
        <v>-1.0866478824017574E-2</v>
      </c>
      <c r="E953" s="182">
        <v>4.5120028035744381E-3</v>
      </c>
      <c r="F953" s="168"/>
      <c r="G953" s="168">
        <v>950</v>
      </c>
      <c r="H953" s="183">
        <f t="shared" ca="1" si="32"/>
        <v>2.4023179946197539E-3</v>
      </c>
      <c r="K953" s="36"/>
    </row>
    <row r="954" spans="2:11">
      <c r="B954" s="36" t="s">
        <v>9166</v>
      </c>
      <c r="C954" s="182">
        <v>1831.32</v>
      </c>
      <c r="D954" s="182">
        <f t="shared" si="31"/>
        <v>-3.1245577172220882E-3</v>
      </c>
      <c r="E954" s="182">
        <v>4.5005223820623131E-3</v>
      </c>
      <c r="F954" s="168"/>
      <c r="G954" s="168">
        <v>951</v>
      </c>
      <c r="H954" s="183">
        <f t="shared" ca="1" si="32"/>
        <v>-9.9046564053148906E-3</v>
      </c>
      <c r="K954" s="36"/>
    </row>
    <row r="955" spans="2:11">
      <c r="B955" s="36" t="s">
        <v>9167</v>
      </c>
      <c r="C955" s="182">
        <v>1837.06</v>
      </c>
      <c r="D955" s="182">
        <f t="shared" si="31"/>
        <v>-5.5324585336278351E-3</v>
      </c>
      <c r="E955" s="182">
        <v>4.4821631948270754E-3</v>
      </c>
      <c r="F955" s="168"/>
      <c r="G955" s="168">
        <v>952</v>
      </c>
      <c r="H955" s="183">
        <f t="shared" ca="1" si="32"/>
        <v>2.239341133055894E-2</v>
      </c>
      <c r="K955" s="36"/>
    </row>
    <row r="956" spans="2:11">
      <c r="B956" s="36" t="s">
        <v>9168</v>
      </c>
      <c r="C956" s="182">
        <v>1847.28</v>
      </c>
      <c r="D956" s="182">
        <f t="shared" si="31"/>
        <v>-2.9093146647811534E-3</v>
      </c>
      <c r="E956" s="182">
        <v>4.4798256500288109E-3</v>
      </c>
      <c r="F956" s="168"/>
      <c r="G956" s="168">
        <v>953</v>
      </c>
      <c r="H956" s="183">
        <f t="shared" ca="1" si="32"/>
        <v>3.5908631023497594E-3</v>
      </c>
      <c r="K956" s="36"/>
    </row>
    <row r="957" spans="2:11">
      <c r="B957" s="36" t="s">
        <v>9169</v>
      </c>
      <c r="C957" s="182">
        <v>1852.67</v>
      </c>
      <c r="D957" s="182">
        <f t="shared" si="31"/>
        <v>-1.6603413041747377E-2</v>
      </c>
      <c r="E957" s="182">
        <v>4.4638871529327738E-3</v>
      </c>
      <c r="F957" s="168"/>
      <c r="G957" s="168">
        <v>954</v>
      </c>
      <c r="H957" s="183">
        <f t="shared" ca="1" si="32"/>
        <v>-3.9419170329178355E-2</v>
      </c>
      <c r="K957" s="36"/>
    </row>
    <row r="958" spans="2:11">
      <c r="B958" s="36" t="s">
        <v>9170</v>
      </c>
      <c r="C958" s="182">
        <v>1883.95</v>
      </c>
      <c r="D958" s="182">
        <f t="shared" si="31"/>
        <v>-3.9336149604259586E-3</v>
      </c>
      <c r="E958" s="182">
        <v>4.4471621546500638E-3</v>
      </c>
      <c r="F958" s="168"/>
      <c r="G958" s="168">
        <v>955</v>
      </c>
      <c r="H958" s="183">
        <f t="shared" ca="1" si="32"/>
        <v>7.4445724388033443E-3</v>
      </c>
      <c r="K958" s="36"/>
    </row>
    <row r="959" spans="2:11">
      <c r="B959" s="36" t="s">
        <v>9171</v>
      </c>
      <c r="C959" s="182">
        <v>1891.39</v>
      </c>
      <c r="D959" s="182">
        <f t="shared" si="31"/>
        <v>-1.9166645059247447E-2</v>
      </c>
      <c r="E959" s="182">
        <v>4.4389717395600277E-3</v>
      </c>
      <c r="F959" s="168"/>
      <c r="G959" s="168">
        <v>956</v>
      </c>
      <c r="H959" s="183">
        <f t="shared" ca="1" si="32"/>
        <v>1.1694739376429869E-2</v>
      </c>
      <c r="K959" s="36"/>
    </row>
    <row r="960" spans="2:11">
      <c r="B960" s="36" t="s">
        <v>9172</v>
      </c>
      <c r="C960" s="182">
        <v>1928.35</v>
      </c>
      <c r="D960" s="182">
        <f t="shared" si="31"/>
        <v>1.1513848090641952E-2</v>
      </c>
      <c r="E960" s="182">
        <v>4.4295302013422815E-3</v>
      </c>
      <c r="F960" s="168"/>
      <c r="G960" s="168">
        <v>957</v>
      </c>
      <c r="H960" s="183">
        <f t="shared" ca="1" si="32"/>
        <v>2.3471382156498376E-2</v>
      </c>
      <c r="K960" s="36"/>
    </row>
    <row r="961" spans="2:11">
      <c r="B961" s="36" t="s">
        <v>9173</v>
      </c>
      <c r="C961" s="182">
        <v>1906.4</v>
      </c>
      <c r="D961" s="182">
        <f t="shared" si="31"/>
        <v>-4.8442328572621592E-3</v>
      </c>
      <c r="E961" s="182">
        <v>4.4275868175981817E-3</v>
      </c>
      <c r="F961" s="168"/>
      <c r="G961" s="168">
        <v>958</v>
      </c>
      <c r="H961" s="183">
        <f t="shared" ca="1" si="32"/>
        <v>1.3624128118192483E-2</v>
      </c>
      <c r="K961" s="36"/>
    </row>
    <row r="962" spans="2:11">
      <c r="B962" s="36" t="s">
        <v>9174</v>
      </c>
      <c r="C962" s="182">
        <v>1915.68</v>
      </c>
      <c r="D962" s="182">
        <f t="shared" si="31"/>
        <v>-1.9159285238850979E-2</v>
      </c>
      <c r="E962" s="182">
        <v>4.4195804195804704E-3</v>
      </c>
      <c r="F962" s="168"/>
      <c r="G962" s="168">
        <v>959</v>
      </c>
      <c r="H962" s="183">
        <f t="shared" ca="1" si="32"/>
        <v>6.7088213265918753E-3</v>
      </c>
      <c r="K962" s="36"/>
    </row>
    <row r="963" spans="2:11">
      <c r="B963" s="36" t="s">
        <v>9175</v>
      </c>
      <c r="C963" s="182">
        <v>1953.1</v>
      </c>
      <c r="D963" s="182">
        <f t="shared" si="31"/>
        <v>1.8466273403436313E-3</v>
      </c>
      <c r="E963" s="182">
        <v>4.4057377049180639E-3</v>
      </c>
      <c r="F963" s="168"/>
      <c r="G963" s="168">
        <v>960</v>
      </c>
      <c r="H963" s="183">
        <f t="shared" ca="1" si="32"/>
        <v>2.132029088953896E-3</v>
      </c>
      <c r="K963" s="36"/>
    </row>
    <row r="964" spans="2:11">
      <c r="B964" s="36" t="s">
        <v>9176</v>
      </c>
      <c r="C964" s="182">
        <v>1949.5</v>
      </c>
      <c r="D964" s="182">
        <f t="shared" ref="D964:D1027" si="33">(C964-C965)/C965</f>
        <v>-1.8808477655810341E-2</v>
      </c>
      <c r="E964" s="182">
        <v>4.4039283040472107E-3</v>
      </c>
      <c r="F964" s="168"/>
      <c r="G964" s="168">
        <v>961</v>
      </c>
      <c r="H964" s="183">
        <f t="shared" ca="1" si="32"/>
        <v>-6.5203889439791234E-3</v>
      </c>
      <c r="K964" s="36"/>
    </row>
    <row r="965" spans="2:11">
      <c r="B965" s="36" t="s">
        <v>9177</v>
      </c>
      <c r="C965" s="182">
        <v>1986.87</v>
      </c>
      <c r="D965" s="182">
        <f t="shared" si="33"/>
        <v>1.5009016648871708E-2</v>
      </c>
      <c r="E965" s="182">
        <v>4.3967033345977445E-3</v>
      </c>
      <c r="F965" s="168"/>
      <c r="G965" s="168">
        <v>962</v>
      </c>
      <c r="H965" s="183">
        <f t="shared" ref="H965:H1028" ca="1" si="34">_xlfn.NORM.INV(RAND(),N$6,N$7)</f>
        <v>1.1737178207779964E-2</v>
      </c>
      <c r="K965" s="36"/>
    </row>
    <row r="966" spans="2:11">
      <c r="B966" s="36">
        <v>44904</v>
      </c>
      <c r="C966" s="182">
        <v>1957.49</v>
      </c>
      <c r="D966" s="182">
        <f t="shared" si="33"/>
        <v>6.2353497553152681E-3</v>
      </c>
      <c r="E966" s="182">
        <v>4.3861702957933915E-3</v>
      </c>
      <c r="F966" s="168"/>
      <c r="G966" s="168">
        <v>963</v>
      </c>
      <c r="H966" s="183">
        <f t="shared" ca="1" si="34"/>
        <v>6.9357011948763952E-3</v>
      </c>
      <c r="K966" s="36"/>
    </row>
    <row r="967" spans="2:11">
      <c r="B967" s="36">
        <v>44813</v>
      </c>
      <c r="C967" s="182">
        <v>1945.36</v>
      </c>
      <c r="D967" s="182">
        <f t="shared" si="33"/>
        <v>-1.2487563199252845E-2</v>
      </c>
      <c r="E967" s="182">
        <v>4.3755860159843648E-3</v>
      </c>
      <c r="F967" s="168"/>
      <c r="G967" s="168">
        <v>964</v>
      </c>
      <c r="H967" s="183">
        <f t="shared" ca="1" si="34"/>
        <v>8.7826307624808784E-3</v>
      </c>
      <c r="K967" s="36"/>
    </row>
    <row r="968" spans="2:11">
      <c r="B968" s="36">
        <v>44782</v>
      </c>
      <c r="C968" s="182">
        <v>1969.96</v>
      </c>
      <c r="D968" s="182">
        <f t="shared" si="33"/>
        <v>8.3278309250699855E-3</v>
      </c>
      <c r="E968" s="182">
        <v>4.3662126537785837E-3</v>
      </c>
      <c r="F968" s="168"/>
      <c r="G968" s="168">
        <v>965</v>
      </c>
      <c r="H968" s="183">
        <f t="shared" ca="1" si="34"/>
        <v>-7.7858540831615948E-3</v>
      </c>
      <c r="K968" s="36"/>
    </row>
    <row r="969" spans="2:11">
      <c r="B969" s="36">
        <v>44751</v>
      </c>
      <c r="C969" s="182">
        <v>1953.69</v>
      </c>
      <c r="D969" s="182">
        <f t="shared" si="33"/>
        <v>-2.1451664802415076E-3</v>
      </c>
      <c r="E969" s="182">
        <v>4.3633968632939149E-3</v>
      </c>
      <c r="F969" s="168"/>
      <c r="G969" s="168">
        <v>966</v>
      </c>
      <c r="H969" s="183">
        <f t="shared" ca="1" si="34"/>
        <v>2.7994036680328474E-2</v>
      </c>
      <c r="K969" s="36"/>
    </row>
    <row r="970" spans="2:11">
      <c r="B970" s="36">
        <v>44721</v>
      </c>
      <c r="C970" s="182">
        <v>1957.89</v>
      </c>
      <c r="D970" s="182">
        <f t="shared" si="33"/>
        <v>-3.0703898325797245E-3</v>
      </c>
      <c r="E970" s="182">
        <v>4.3565414940532361E-3</v>
      </c>
      <c r="F970" s="168"/>
      <c r="G970" s="168">
        <v>967</v>
      </c>
      <c r="H970" s="183">
        <f t="shared" ca="1" si="34"/>
        <v>1.232238400582493E-2</v>
      </c>
      <c r="K970" s="36"/>
    </row>
    <row r="971" spans="2:11">
      <c r="B971" s="36">
        <v>44690</v>
      </c>
      <c r="C971" s="182">
        <v>1963.92</v>
      </c>
      <c r="D971" s="182">
        <f t="shared" si="33"/>
        <v>1.4353375031635253E-2</v>
      </c>
      <c r="E971" s="182">
        <v>4.3516262808471979E-3</v>
      </c>
      <c r="F971" s="168"/>
      <c r="G971" s="168">
        <v>968</v>
      </c>
      <c r="H971" s="183">
        <f t="shared" ca="1" si="34"/>
        <v>9.7509347128210289E-3</v>
      </c>
      <c r="K971" s="36"/>
    </row>
    <row r="972" spans="2:11">
      <c r="B972" s="36">
        <v>44601</v>
      </c>
      <c r="C972" s="182">
        <v>1936.13</v>
      </c>
      <c r="D972" s="182">
        <f t="shared" si="33"/>
        <v>1.4397610876797745E-2</v>
      </c>
      <c r="E972" s="182">
        <v>4.3304616608773041E-3</v>
      </c>
      <c r="F972" s="168"/>
      <c r="G972" s="168">
        <v>969</v>
      </c>
      <c r="H972" s="183">
        <f t="shared" ca="1" si="34"/>
        <v>1.9289692101983395E-2</v>
      </c>
      <c r="K972" s="36"/>
    </row>
    <row r="973" spans="2:11">
      <c r="B973" s="36">
        <v>44570</v>
      </c>
      <c r="C973" s="182">
        <v>1908.65</v>
      </c>
      <c r="D973" s="182">
        <f t="shared" si="33"/>
        <v>-4.9630637534733534E-3</v>
      </c>
      <c r="E973" s="182">
        <v>4.3280182232346837E-3</v>
      </c>
      <c r="F973" s="168"/>
      <c r="G973" s="168">
        <v>970</v>
      </c>
      <c r="H973" s="183">
        <f t="shared" ca="1" si="34"/>
        <v>-4.6369100696183304E-3</v>
      </c>
      <c r="K973" s="36"/>
    </row>
    <row r="974" spans="2:11">
      <c r="B974" s="36" t="s">
        <v>9178</v>
      </c>
      <c r="C974" s="182">
        <v>1918.17</v>
      </c>
      <c r="D974" s="182">
        <f t="shared" si="33"/>
        <v>2.1786956591220277E-2</v>
      </c>
      <c r="E974" s="182">
        <v>4.3230843883716643E-3</v>
      </c>
      <c r="F974" s="168"/>
      <c r="G974" s="168">
        <v>971</v>
      </c>
      <c r="H974" s="183">
        <f t="shared" ca="1" si="34"/>
        <v>1.0580924330113298E-2</v>
      </c>
      <c r="K974" s="36"/>
    </row>
    <row r="975" spans="2:11">
      <c r="B975" s="36" t="s">
        <v>9179</v>
      </c>
      <c r="C975" s="182">
        <v>1877.27</v>
      </c>
      <c r="D975" s="182">
        <f t="shared" si="33"/>
        <v>-1.2540042396284234E-2</v>
      </c>
      <c r="E975" s="182">
        <v>4.3105925627909651E-3</v>
      </c>
      <c r="F975" s="168"/>
      <c r="G975" s="168">
        <v>972</v>
      </c>
      <c r="H975" s="183">
        <f t="shared" ca="1" si="34"/>
        <v>2.6028934495225895E-4</v>
      </c>
      <c r="K975" s="36"/>
    </row>
    <row r="976" spans="2:11">
      <c r="B976" s="36" t="s">
        <v>9180</v>
      </c>
      <c r="C976" s="182">
        <v>1901.11</v>
      </c>
      <c r="D976" s="182">
        <f t="shared" si="33"/>
        <v>1.4639639639639553E-2</v>
      </c>
      <c r="E976" s="182">
        <v>4.3077204091572195E-3</v>
      </c>
      <c r="F976" s="168"/>
      <c r="G976" s="168">
        <v>973</v>
      </c>
      <c r="H976" s="183">
        <f t="shared" ca="1" si="34"/>
        <v>-1.3446538688422039E-2</v>
      </c>
      <c r="K976" s="36"/>
    </row>
    <row r="977" spans="2:11">
      <c r="B977" s="36" t="s">
        <v>9181</v>
      </c>
      <c r="C977" s="182">
        <v>1873.68</v>
      </c>
      <c r="D977" s="182">
        <f t="shared" si="33"/>
        <v>-8.1573667744786402E-3</v>
      </c>
      <c r="E977" s="182">
        <v>4.2912638901436437E-3</v>
      </c>
      <c r="F977" s="168"/>
      <c r="G977" s="168">
        <v>974</v>
      </c>
      <c r="H977" s="183">
        <f t="shared" ca="1" si="34"/>
        <v>-9.106431331573614E-3</v>
      </c>
      <c r="K977" s="36"/>
    </row>
    <row r="978" spans="2:11">
      <c r="B978" s="36" t="s">
        <v>9182</v>
      </c>
      <c r="C978" s="182">
        <v>1889.09</v>
      </c>
      <c r="D978" s="182">
        <f t="shared" si="33"/>
        <v>8.6820480235792839E-3</v>
      </c>
      <c r="E978" s="182">
        <v>4.2874961022762708E-3</v>
      </c>
      <c r="F978" s="168"/>
      <c r="G978" s="168">
        <v>975</v>
      </c>
      <c r="H978" s="183">
        <f t="shared" ca="1" si="34"/>
        <v>-1.0647692683759345E-2</v>
      </c>
      <c r="K978" s="36"/>
    </row>
    <row r="979" spans="2:11">
      <c r="B979" s="36" t="s">
        <v>9183</v>
      </c>
      <c r="C979" s="182">
        <v>1872.83</v>
      </c>
      <c r="D979" s="182">
        <f t="shared" si="33"/>
        <v>-1.9132177231111081E-3</v>
      </c>
      <c r="E979" s="182">
        <v>4.282898726500806E-3</v>
      </c>
      <c r="F979" s="168"/>
      <c r="G979" s="168">
        <v>976</v>
      </c>
      <c r="H979" s="183">
        <f t="shared" ca="1" si="34"/>
        <v>3.6443660913816296E-2</v>
      </c>
      <c r="K979" s="36"/>
    </row>
    <row r="980" spans="2:11">
      <c r="B980" s="36" t="s">
        <v>9184</v>
      </c>
      <c r="C980" s="182">
        <v>1876.42</v>
      </c>
      <c r="D980" s="182">
        <f t="shared" si="33"/>
        <v>-2.8612251448213732E-2</v>
      </c>
      <c r="E980" s="182">
        <v>4.2774781476660412E-3</v>
      </c>
      <c r="F980" s="168"/>
      <c r="G980" s="168">
        <v>977</v>
      </c>
      <c r="H980" s="183">
        <f t="shared" ca="1" si="34"/>
        <v>5.311133791610724E-3</v>
      </c>
      <c r="K980" s="36"/>
    </row>
    <row r="981" spans="2:11">
      <c r="B981" s="36" t="s">
        <v>9185</v>
      </c>
      <c r="C981" s="182">
        <v>1931.69</v>
      </c>
      <c r="D981" s="182">
        <f t="shared" si="33"/>
        <v>2.1901401372276259E-2</v>
      </c>
      <c r="E981" s="182">
        <v>4.2524619516561713E-3</v>
      </c>
      <c r="F981" s="168"/>
      <c r="G981" s="168">
        <v>978</v>
      </c>
      <c r="H981" s="183">
        <f t="shared" ca="1" si="34"/>
        <v>3.6635559118019722E-3</v>
      </c>
      <c r="K981" s="36"/>
    </row>
    <row r="982" spans="2:11">
      <c r="B982" s="36" t="s">
        <v>9186</v>
      </c>
      <c r="C982" s="182">
        <v>1890.29</v>
      </c>
      <c r="D982" s="182">
        <f t="shared" si="33"/>
        <v>2.0934038335862767E-2</v>
      </c>
      <c r="E982" s="182">
        <v>4.2325685007796833E-3</v>
      </c>
      <c r="F982" s="168"/>
      <c r="G982" s="168">
        <v>979</v>
      </c>
      <c r="H982" s="183">
        <f t="shared" ca="1" si="34"/>
        <v>-9.082102679972533E-4</v>
      </c>
      <c r="K982" s="36"/>
    </row>
    <row r="983" spans="2:11">
      <c r="B983" s="36" t="s">
        <v>9187</v>
      </c>
      <c r="C983" s="182">
        <v>1851.53</v>
      </c>
      <c r="D983" s="182">
        <f t="shared" si="33"/>
        <v>3.6807354966011275E-3</v>
      </c>
      <c r="E983" s="182">
        <v>4.2308455080319052E-3</v>
      </c>
      <c r="F983" s="168"/>
      <c r="G983" s="168">
        <v>980</v>
      </c>
      <c r="H983" s="183">
        <f t="shared" ca="1" si="34"/>
        <v>8.3141001181993614E-3</v>
      </c>
      <c r="K983" s="36"/>
    </row>
    <row r="984" spans="2:11">
      <c r="B984" s="36" t="s">
        <v>9188</v>
      </c>
      <c r="C984" s="182">
        <v>1844.74</v>
      </c>
      <c r="D984" s="182">
        <f t="shared" si="33"/>
        <v>1.324431417250206E-3</v>
      </c>
      <c r="E984" s="182">
        <v>4.223289397500116E-3</v>
      </c>
      <c r="F984" s="168"/>
      <c r="G984" s="168">
        <v>981</v>
      </c>
      <c r="H984" s="183">
        <f t="shared" ca="1" si="34"/>
        <v>3.1493091777703543E-3</v>
      </c>
      <c r="K984" s="36"/>
    </row>
    <row r="985" spans="2:11">
      <c r="B985" s="36">
        <v>44903</v>
      </c>
      <c r="C985" s="182">
        <v>1842.3</v>
      </c>
      <c r="D985" s="182">
        <f t="shared" si="33"/>
        <v>-1.1084570170965452E-2</v>
      </c>
      <c r="E985" s="182">
        <v>4.1838538597524511E-3</v>
      </c>
      <c r="F985" s="168"/>
      <c r="G985" s="168">
        <v>982</v>
      </c>
      <c r="H985" s="183">
        <f t="shared" ca="1" si="34"/>
        <v>-9.3092326987817935E-3</v>
      </c>
      <c r="K985" s="36"/>
    </row>
    <row r="986" spans="2:11">
      <c r="B986" s="36">
        <v>44873</v>
      </c>
      <c r="C986" s="182">
        <v>1862.95</v>
      </c>
      <c r="D986" s="182">
        <f t="shared" si="33"/>
        <v>6.4668445904331904E-3</v>
      </c>
      <c r="E986" s="182">
        <v>4.1474535665524375E-3</v>
      </c>
      <c r="F986" s="168"/>
      <c r="G986" s="168">
        <v>983</v>
      </c>
      <c r="H986" s="183">
        <f t="shared" ca="1" si="34"/>
        <v>1.5736895667665884E-3</v>
      </c>
      <c r="K986" s="36"/>
    </row>
    <row r="987" spans="2:11">
      <c r="B987" s="36">
        <v>44842</v>
      </c>
      <c r="C987" s="182">
        <v>1850.98</v>
      </c>
      <c r="D987" s="182">
        <f t="shared" si="33"/>
        <v>1.3941156814733281E-2</v>
      </c>
      <c r="E987" s="182">
        <v>4.1342814618819243E-3</v>
      </c>
      <c r="F987" s="168"/>
      <c r="G987" s="168">
        <v>984</v>
      </c>
      <c r="H987" s="183">
        <f t="shared" ca="1" si="34"/>
        <v>6.5069014898772913E-3</v>
      </c>
      <c r="K987" s="36"/>
    </row>
    <row r="988" spans="2:11">
      <c r="B988" s="36">
        <v>44781</v>
      </c>
      <c r="C988" s="182">
        <v>1825.53</v>
      </c>
      <c r="D988" s="182">
        <f t="shared" si="33"/>
        <v>2.3606197047262807E-2</v>
      </c>
      <c r="E988" s="182">
        <v>4.1226633534760006E-3</v>
      </c>
      <c r="F988" s="168"/>
      <c r="G988" s="168">
        <v>985</v>
      </c>
      <c r="H988" s="183">
        <f t="shared" ca="1" si="34"/>
        <v>1.8580879718369074E-2</v>
      </c>
      <c r="K988" s="36"/>
    </row>
    <row r="989" spans="2:11">
      <c r="B989" s="36">
        <v>44689</v>
      </c>
      <c r="C989" s="182">
        <v>1783.43</v>
      </c>
      <c r="D989" s="182">
        <f t="shared" si="33"/>
        <v>4.1326734568631913E-3</v>
      </c>
      <c r="E989" s="182">
        <v>4.1181835770155856E-3</v>
      </c>
      <c r="F989" s="168"/>
      <c r="G989" s="168">
        <v>986</v>
      </c>
      <c r="H989" s="183">
        <f t="shared" ca="1" si="34"/>
        <v>3.0839561461813519E-3</v>
      </c>
      <c r="K989" s="36"/>
    </row>
    <row r="990" spans="2:11">
      <c r="B990" s="36">
        <v>44659</v>
      </c>
      <c r="C990" s="182">
        <v>1776.09</v>
      </c>
      <c r="D990" s="182">
        <f t="shared" si="33"/>
        <v>-5.4206308763166946E-3</v>
      </c>
      <c r="E990" s="182">
        <v>4.1080692074724331E-3</v>
      </c>
      <c r="F990" s="168"/>
      <c r="G990" s="168">
        <v>987</v>
      </c>
      <c r="H990" s="183">
        <f t="shared" ca="1" si="34"/>
        <v>1.503438018695484E-2</v>
      </c>
      <c r="K990" s="36"/>
    </row>
    <row r="991" spans="2:11">
      <c r="B991" s="36">
        <v>44628</v>
      </c>
      <c r="C991" s="182">
        <v>1785.77</v>
      </c>
      <c r="D991" s="182">
        <f t="shared" si="33"/>
        <v>-1.816637041508759E-3</v>
      </c>
      <c r="E991" s="182">
        <v>4.0773669335845229E-3</v>
      </c>
      <c r="F991" s="168"/>
      <c r="G991" s="168">
        <v>988</v>
      </c>
      <c r="H991" s="183">
        <f t="shared" ca="1" si="34"/>
        <v>1.3882308686939123E-2</v>
      </c>
      <c r="K991" s="36"/>
    </row>
    <row r="992" spans="2:11">
      <c r="B992" s="36">
        <v>44600</v>
      </c>
      <c r="C992" s="182">
        <v>1789.02</v>
      </c>
      <c r="D992" s="182">
        <f t="shared" si="33"/>
        <v>-1.1929615269907497E-2</v>
      </c>
      <c r="E992" s="182">
        <v>4.0759053855405989E-3</v>
      </c>
      <c r="F992" s="168"/>
      <c r="G992" s="168">
        <v>989</v>
      </c>
      <c r="H992" s="183">
        <f t="shared" ca="1" si="34"/>
        <v>1.2730066558390572E-3</v>
      </c>
      <c r="K992" s="36"/>
    </row>
    <row r="993" spans="2:11">
      <c r="B993" s="36">
        <v>44569</v>
      </c>
      <c r="C993" s="182">
        <v>1810.62</v>
      </c>
      <c r="D993" s="182">
        <f t="shared" si="33"/>
        <v>3.6807503409127997E-3</v>
      </c>
      <c r="E993" s="182">
        <v>4.0606388738494859E-3</v>
      </c>
      <c r="F993" s="168"/>
      <c r="G993" s="168">
        <v>990</v>
      </c>
      <c r="H993" s="183">
        <f t="shared" ca="1" si="34"/>
        <v>-6.8848813894722364E-4</v>
      </c>
      <c r="K993" s="36"/>
    </row>
    <row r="994" spans="2:11">
      <c r="B994" s="36" t="s">
        <v>9189</v>
      </c>
      <c r="C994" s="182">
        <v>1803.98</v>
      </c>
      <c r="D994" s="182">
        <f t="shared" si="33"/>
        <v>3.7725350545292527E-3</v>
      </c>
      <c r="E994" s="182">
        <v>4.0592477436628633E-3</v>
      </c>
      <c r="F994" s="168"/>
      <c r="G994" s="168">
        <v>991</v>
      </c>
      <c r="H994" s="183">
        <f t="shared" ca="1" si="34"/>
        <v>-2.8404987237015466E-2</v>
      </c>
      <c r="K994" s="36"/>
    </row>
    <row r="995" spans="2:11">
      <c r="B995" s="36" t="s">
        <v>9190</v>
      </c>
      <c r="C995" s="182">
        <v>1797.2</v>
      </c>
      <c r="D995" s="182">
        <f t="shared" si="33"/>
        <v>2.5605123256035311E-3</v>
      </c>
      <c r="E995" s="182">
        <v>4.051215364609337E-3</v>
      </c>
      <c r="F995" s="168"/>
      <c r="G995" s="168">
        <v>992</v>
      </c>
      <c r="H995" s="183">
        <f t="shared" ca="1" si="34"/>
        <v>9.7891102915071831E-3</v>
      </c>
      <c r="K995" s="36"/>
    </row>
    <row r="996" spans="2:11">
      <c r="B996" s="36" t="s">
        <v>9191</v>
      </c>
      <c r="C996" s="182">
        <v>1792.61</v>
      </c>
      <c r="D996" s="182">
        <f t="shared" si="33"/>
        <v>2.5925565583668587E-2</v>
      </c>
      <c r="E996" s="182">
        <v>4.0498994915454112E-3</v>
      </c>
      <c r="F996" s="168"/>
      <c r="G996" s="168">
        <v>993</v>
      </c>
      <c r="H996" s="183">
        <f t="shared" ca="1" si="34"/>
        <v>7.8145156141018884E-3</v>
      </c>
      <c r="K996" s="36"/>
    </row>
    <row r="997" spans="2:11">
      <c r="B997" s="36" t="s">
        <v>9192</v>
      </c>
      <c r="C997" s="182">
        <v>1747.31</v>
      </c>
      <c r="D997" s="182">
        <f t="shared" si="33"/>
        <v>-1.7504104720991492E-2</v>
      </c>
      <c r="E997" s="182">
        <v>4.0418297299030462E-3</v>
      </c>
      <c r="F997" s="168"/>
      <c r="G997" s="168">
        <v>994</v>
      </c>
      <c r="H997" s="183">
        <f t="shared" ca="1" si="34"/>
        <v>-7.7716469773166054E-3</v>
      </c>
      <c r="K997" s="36"/>
    </row>
    <row r="998" spans="2:11">
      <c r="B998" s="36" t="s">
        <v>9193</v>
      </c>
      <c r="C998" s="182">
        <v>1778.44</v>
      </c>
      <c r="D998" s="182">
        <f t="shared" si="33"/>
        <v>8.3174110003005342E-3</v>
      </c>
      <c r="E998" s="182">
        <v>4.026578733699015E-3</v>
      </c>
      <c r="F998" s="168"/>
      <c r="G998" s="168">
        <v>995</v>
      </c>
      <c r="H998" s="183">
        <f t="shared" ca="1" si="34"/>
        <v>2.4967722335725015E-2</v>
      </c>
      <c r="K998" s="36"/>
    </row>
    <row r="999" spans="2:11">
      <c r="B999" s="36" t="s">
        <v>9194</v>
      </c>
      <c r="C999" s="182">
        <v>1763.77</v>
      </c>
      <c r="D999" s="182">
        <f t="shared" si="33"/>
        <v>1.4706049353274044E-3</v>
      </c>
      <c r="E999" s="182">
        <v>4.0011431837667904E-3</v>
      </c>
      <c r="F999" s="168"/>
      <c r="G999" s="168">
        <v>996</v>
      </c>
      <c r="H999" s="183">
        <f t="shared" ca="1" si="34"/>
        <v>6.55561207679131E-3</v>
      </c>
      <c r="K999" s="36"/>
    </row>
    <row r="1000" spans="2:11">
      <c r="B1000" s="36" t="s">
        <v>9195</v>
      </c>
      <c r="C1000" s="182">
        <v>1761.18</v>
      </c>
      <c r="D1000" s="182">
        <f t="shared" si="33"/>
        <v>1.4481233151309936E-2</v>
      </c>
      <c r="E1000" s="182">
        <v>3.9922730199613947E-3</v>
      </c>
      <c r="F1000" s="168"/>
      <c r="G1000" s="168">
        <v>997</v>
      </c>
      <c r="H1000" s="183">
        <f t="shared" ca="1" si="34"/>
        <v>5.5808029164565783E-3</v>
      </c>
      <c r="K1000" s="36"/>
    </row>
    <row r="1001" spans="2:11">
      <c r="B1001" s="36" t="s">
        <v>9196</v>
      </c>
      <c r="C1001" s="182">
        <v>1736.04</v>
      </c>
      <c r="D1001" s="182">
        <f t="shared" si="33"/>
        <v>5.8693674641203085E-3</v>
      </c>
      <c r="E1001" s="182">
        <v>3.990724262525073E-3</v>
      </c>
      <c r="F1001" s="168"/>
      <c r="G1001" s="168">
        <v>998</v>
      </c>
      <c r="H1001" s="183">
        <f t="shared" ca="1" si="34"/>
        <v>-2.2581915074799185E-2</v>
      </c>
      <c r="K1001" s="36"/>
    </row>
    <row r="1002" spans="2:11">
      <c r="B1002" s="36" t="s">
        <v>9197</v>
      </c>
      <c r="C1002" s="182">
        <v>1725.91</v>
      </c>
      <c r="D1002" s="182">
        <f t="shared" si="33"/>
        <v>1.2472734023298434E-3</v>
      </c>
      <c r="E1002" s="182">
        <v>3.9885420065992241E-3</v>
      </c>
      <c r="F1002" s="168"/>
      <c r="G1002" s="168">
        <v>999</v>
      </c>
      <c r="H1002" s="183">
        <f t="shared" ca="1" si="34"/>
        <v>-6.024744925798923E-3</v>
      </c>
      <c r="K1002" s="36"/>
    </row>
    <row r="1003" spans="2:11">
      <c r="B1003" s="36" t="s">
        <v>9198</v>
      </c>
      <c r="C1003" s="182">
        <v>1723.76</v>
      </c>
      <c r="D1003" s="182">
        <f t="shared" si="33"/>
        <v>2.5400640072335341E-2</v>
      </c>
      <c r="E1003" s="182">
        <v>3.9866363457704643E-3</v>
      </c>
      <c r="F1003" s="168"/>
      <c r="G1003" s="168">
        <v>1000</v>
      </c>
      <c r="H1003" s="183">
        <f t="shared" ca="1" si="34"/>
        <v>-3.2438364148284242E-3</v>
      </c>
      <c r="K1003" s="36"/>
    </row>
    <row r="1004" spans="2:11">
      <c r="B1004" s="36" t="s">
        <v>9199</v>
      </c>
      <c r="C1004" s="182">
        <v>1681.06</v>
      </c>
      <c r="D1004" s="182">
        <f t="shared" si="33"/>
        <v>2.3507564918262291E-2</v>
      </c>
      <c r="E1004" s="182">
        <v>3.9654250579219796E-3</v>
      </c>
      <c r="F1004" s="168"/>
      <c r="G1004" s="168">
        <v>1001</v>
      </c>
      <c r="H1004" s="183">
        <f t="shared" ca="1" si="34"/>
        <v>1.7675287967626463E-2</v>
      </c>
      <c r="K1004" s="36"/>
    </row>
    <row r="1005" spans="2:11">
      <c r="B1005" s="36" t="s">
        <v>9200</v>
      </c>
      <c r="C1005" s="182">
        <v>1642.45</v>
      </c>
      <c r="D1005" s="182">
        <f t="shared" si="33"/>
        <v>-6.6320259926738517E-4</v>
      </c>
      <c r="E1005" s="182">
        <v>3.9537192345872477E-3</v>
      </c>
      <c r="F1005" s="168"/>
      <c r="G1005" s="168">
        <v>1002</v>
      </c>
      <c r="H1005" s="183">
        <f t="shared" ca="1" si="34"/>
        <v>2.1030470741287569E-2</v>
      </c>
      <c r="K1005" s="36"/>
    </row>
    <row r="1006" spans="2:11">
      <c r="B1006" s="36" t="s">
        <v>9201</v>
      </c>
      <c r="C1006" s="182">
        <v>1643.54</v>
      </c>
      <c r="D1006" s="182">
        <f t="shared" si="33"/>
        <v>-3.9332618194820755E-3</v>
      </c>
      <c r="E1006" s="182">
        <v>3.9310784939374831E-3</v>
      </c>
      <c r="F1006" s="168"/>
      <c r="G1006" s="168">
        <v>1003</v>
      </c>
      <c r="H1006" s="183">
        <f t="shared" ca="1" si="34"/>
        <v>5.7158826387894313E-3</v>
      </c>
      <c r="K1006" s="36"/>
    </row>
    <row r="1007" spans="2:11">
      <c r="B1007" s="36">
        <v>44902</v>
      </c>
      <c r="C1007" s="182">
        <v>1650.03</v>
      </c>
      <c r="D1007" s="182">
        <f t="shared" si="33"/>
        <v>-5.5627207309282565E-3</v>
      </c>
      <c r="E1007" s="182">
        <v>3.9231502529881272E-3</v>
      </c>
      <c r="F1007" s="168"/>
      <c r="G1007" s="168">
        <v>1004</v>
      </c>
      <c r="H1007" s="183">
        <f t="shared" ca="1" si="34"/>
        <v>-4.5568494103750438E-3</v>
      </c>
      <c r="K1007" s="36"/>
    </row>
    <row r="1008" spans="2:11">
      <c r="B1008" s="36">
        <v>44872</v>
      </c>
      <c r="C1008" s="182">
        <v>1659.26</v>
      </c>
      <c r="D1008" s="182">
        <f t="shared" si="33"/>
        <v>-1.4486383749591719E-2</v>
      </c>
      <c r="E1008" s="182">
        <v>3.9208852487583861E-3</v>
      </c>
      <c r="F1008" s="168"/>
      <c r="G1008" s="168">
        <v>1005</v>
      </c>
      <c r="H1008" s="183">
        <f t="shared" ca="1" si="34"/>
        <v>2.6455596986967939E-2</v>
      </c>
      <c r="K1008" s="36"/>
    </row>
    <row r="1009" spans="2:11">
      <c r="B1009" s="36">
        <v>44780</v>
      </c>
      <c r="C1009" s="182">
        <v>1683.65</v>
      </c>
      <c r="D1009" s="182">
        <f t="shared" si="33"/>
        <v>4.7391242138267002E-2</v>
      </c>
      <c r="E1009" s="182">
        <v>3.8990760884919976E-3</v>
      </c>
      <c r="F1009" s="168"/>
      <c r="G1009" s="168">
        <v>1006</v>
      </c>
      <c r="H1009" s="183">
        <f t="shared" ca="1" si="34"/>
        <v>5.8943132730353634E-3</v>
      </c>
      <c r="K1009" s="36"/>
    </row>
    <row r="1010" spans="2:11">
      <c r="B1010" s="36">
        <v>44749</v>
      </c>
      <c r="C1010" s="182">
        <v>1607.47</v>
      </c>
      <c r="D1010" s="182">
        <f t="shared" si="33"/>
        <v>3.5307377709077985E-2</v>
      </c>
      <c r="E1010" s="182">
        <v>3.899010806517781E-3</v>
      </c>
      <c r="F1010" s="168"/>
      <c r="G1010" s="168">
        <v>1007</v>
      </c>
      <c r="H1010" s="183">
        <f t="shared" ca="1" si="34"/>
        <v>1.3191596220130171E-2</v>
      </c>
      <c r="K1010" s="36"/>
    </row>
    <row r="1011" spans="2:11">
      <c r="B1011" s="36">
        <v>44719</v>
      </c>
      <c r="C1011" s="182">
        <v>1552.65</v>
      </c>
      <c r="D1011" s="182">
        <f t="shared" si="33"/>
        <v>-5.5912077777350916E-3</v>
      </c>
      <c r="E1011" s="182">
        <v>3.8845891528036971E-3</v>
      </c>
      <c r="F1011" s="168"/>
      <c r="G1011" s="168">
        <v>1008</v>
      </c>
      <c r="H1011" s="183">
        <f t="shared" ca="1" si="34"/>
        <v>2.0288323932117065E-2</v>
      </c>
      <c r="K1011" s="36"/>
    </row>
    <row r="1012" spans="2:11">
      <c r="B1012" s="36">
        <v>44688</v>
      </c>
      <c r="C1012" s="182">
        <v>1561.38</v>
      </c>
      <c r="D1012" s="182">
        <f t="shared" si="33"/>
        <v>-1.0620097076305011E-2</v>
      </c>
      <c r="E1012" s="182">
        <v>3.8809241165190392E-3</v>
      </c>
      <c r="F1012" s="168"/>
      <c r="G1012" s="168">
        <v>1009</v>
      </c>
      <c r="H1012" s="183">
        <f t="shared" ca="1" si="34"/>
        <v>2.6662447083555047E-2</v>
      </c>
      <c r="K1012" s="36"/>
    </row>
    <row r="1013" spans="2:11">
      <c r="B1013" s="36">
        <v>44658</v>
      </c>
      <c r="C1013" s="182">
        <v>1578.14</v>
      </c>
      <c r="D1013" s="182">
        <f t="shared" si="33"/>
        <v>6.0754425892989338E-3</v>
      </c>
      <c r="E1013" s="182">
        <v>3.8796738824852062E-3</v>
      </c>
      <c r="F1013" s="168"/>
      <c r="G1013" s="168">
        <v>1010</v>
      </c>
      <c r="H1013" s="183">
        <f t="shared" ca="1" si="34"/>
        <v>3.2934209584938095E-3</v>
      </c>
      <c r="K1013" s="36"/>
    </row>
    <row r="1014" spans="2:11">
      <c r="B1014" s="36">
        <v>44568</v>
      </c>
      <c r="C1014" s="182">
        <v>1568.61</v>
      </c>
      <c r="D1014" s="182">
        <f t="shared" si="33"/>
        <v>8.9211057797444534E-3</v>
      </c>
      <c r="E1014" s="182">
        <v>3.8793800176009563E-3</v>
      </c>
      <c r="F1014" s="168"/>
      <c r="G1014" s="168">
        <v>1011</v>
      </c>
      <c r="H1014" s="183">
        <f t="shared" ca="1" si="34"/>
        <v>6.9410362903433321E-3</v>
      </c>
      <c r="K1014" s="36"/>
    </row>
    <row r="1015" spans="2:11">
      <c r="B1015" s="36" t="s">
        <v>9202</v>
      </c>
      <c r="C1015" s="182">
        <v>1554.74</v>
      </c>
      <c r="D1015" s="182">
        <f t="shared" si="33"/>
        <v>6.6821201486641823E-3</v>
      </c>
      <c r="E1015" s="182">
        <v>3.8491147036181679E-3</v>
      </c>
      <c r="F1015" s="168"/>
      <c r="G1015" s="168">
        <v>1012</v>
      </c>
      <c r="H1015" s="183">
        <f t="shared" ca="1" si="34"/>
        <v>1.7951752845620846E-2</v>
      </c>
      <c r="K1015" s="36"/>
    </row>
    <row r="1016" spans="2:11">
      <c r="B1016" s="36" t="s">
        <v>9203</v>
      </c>
      <c r="C1016" s="182">
        <v>1544.42</v>
      </c>
      <c r="D1016" s="182">
        <f t="shared" si="33"/>
        <v>-2.3191064657204527E-3</v>
      </c>
      <c r="E1016" s="182">
        <v>3.8355217691775773E-3</v>
      </c>
      <c r="F1016" s="168"/>
      <c r="G1016" s="168">
        <v>1013</v>
      </c>
      <c r="H1016" s="183">
        <f t="shared" ca="1" si="34"/>
        <v>6.3643289967307516E-3</v>
      </c>
      <c r="K1016" s="36"/>
    </row>
    <row r="1017" spans="2:11">
      <c r="B1017" s="36" t="s">
        <v>9204</v>
      </c>
      <c r="C1017" s="182">
        <v>1548.01</v>
      </c>
      <c r="D1017" s="182">
        <f t="shared" si="33"/>
        <v>1.0226190010050037E-2</v>
      </c>
      <c r="E1017" s="182">
        <v>3.8318659139440032E-3</v>
      </c>
      <c r="F1017" s="168"/>
      <c r="G1017" s="168">
        <v>1014</v>
      </c>
      <c r="H1017" s="183">
        <f t="shared" ca="1" si="34"/>
        <v>2.0911157801683171E-2</v>
      </c>
      <c r="K1017" s="36"/>
    </row>
    <row r="1018" spans="2:11">
      <c r="B1018" s="36" t="s">
        <v>9205</v>
      </c>
      <c r="C1018" s="182">
        <v>1532.34</v>
      </c>
      <c r="D1018" s="182">
        <f t="shared" si="33"/>
        <v>2.738871866388639E-2</v>
      </c>
      <c r="E1018" s="182">
        <v>3.8200183654729441E-3</v>
      </c>
      <c r="F1018" s="168"/>
      <c r="G1018" s="168">
        <v>1015</v>
      </c>
      <c r="H1018" s="183">
        <f t="shared" ca="1" si="34"/>
        <v>-8.5349066372231858E-3</v>
      </c>
      <c r="K1018" s="36"/>
    </row>
    <row r="1019" spans="2:11">
      <c r="B1019" s="36" t="s">
        <v>9206</v>
      </c>
      <c r="C1019" s="182">
        <v>1491.49</v>
      </c>
      <c r="D1019" s="182">
        <f t="shared" si="33"/>
        <v>3.6889479120551764E-4</v>
      </c>
      <c r="E1019" s="182">
        <v>3.8054268696227941E-3</v>
      </c>
      <c r="F1019" s="168"/>
      <c r="G1019" s="168">
        <v>1016</v>
      </c>
      <c r="H1019" s="183">
        <f t="shared" ca="1" si="34"/>
        <v>-2.1002486106431052E-2</v>
      </c>
      <c r="K1019" s="36"/>
    </row>
    <row r="1020" spans="2:11">
      <c r="B1020" s="36" t="s">
        <v>9207</v>
      </c>
      <c r="C1020" s="182">
        <v>1490.94</v>
      </c>
      <c r="D1020" s="182">
        <f t="shared" si="33"/>
        <v>1.0519038646622644E-2</v>
      </c>
      <c r="E1020" s="182">
        <v>3.787936180851225E-3</v>
      </c>
      <c r="F1020" s="168"/>
      <c r="G1020" s="168">
        <v>1017</v>
      </c>
      <c r="H1020" s="183">
        <f t="shared" ca="1" si="34"/>
        <v>1.9938821760367386E-2</v>
      </c>
      <c r="K1020" s="36"/>
    </row>
    <row r="1021" spans="2:11">
      <c r="B1021" s="36" t="s">
        <v>9208</v>
      </c>
      <c r="C1021" s="182">
        <v>1475.42</v>
      </c>
      <c r="D1021" s="182">
        <f t="shared" si="33"/>
        <v>-1.4362825000668038E-2</v>
      </c>
      <c r="E1021" s="182">
        <v>3.7849647659784543E-3</v>
      </c>
      <c r="F1021" s="168"/>
      <c r="G1021" s="168">
        <v>1018</v>
      </c>
      <c r="H1021" s="183">
        <f t="shared" ca="1" si="34"/>
        <v>-3.7383200088002338E-3</v>
      </c>
      <c r="K1021" s="36"/>
    </row>
    <row r="1022" spans="2:11">
      <c r="B1022" s="36" t="s">
        <v>9209</v>
      </c>
      <c r="C1022" s="182">
        <v>1496.92</v>
      </c>
      <c r="D1022" s="182">
        <f t="shared" si="33"/>
        <v>1.9360022880646151E-2</v>
      </c>
      <c r="E1022" s="182">
        <v>3.7757355560304583E-3</v>
      </c>
      <c r="F1022" s="168"/>
      <c r="G1022" s="168">
        <v>1019</v>
      </c>
      <c r="H1022" s="183">
        <f t="shared" ca="1" si="34"/>
        <v>2.1054659120686384E-2</v>
      </c>
      <c r="K1022" s="36"/>
    </row>
    <row r="1023" spans="2:11">
      <c r="B1023" s="36" t="s">
        <v>9210</v>
      </c>
      <c r="C1023" s="182">
        <v>1468.49</v>
      </c>
      <c r="D1023" s="182">
        <f t="shared" si="33"/>
        <v>-1.2182160635005988E-2</v>
      </c>
      <c r="E1023" s="182">
        <v>3.7714335833004698E-3</v>
      </c>
      <c r="F1023" s="168"/>
      <c r="G1023" s="168">
        <v>1020</v>
      </c>
      <c r="H1023" s="183">
        <f t="shared" ca="1" si="34"/>
        <v>4.6763303178078992E-3</v>
      </c>
      <c r="K1023" s="36"/>
    </row>
    <row r="1024" spans="2:11">
      <c r="B1024" s="36" t="s">
        <v>9211</v>
      </c>
      <c r="C1024" s="182">
        <v>1486.6</v>
      </c>
      <c r="D1024" s="182">
        <f t="shared" si="33"/>
        <v>-2.4515079135935411E-2</v>
      </c>
      <c r="E1024" s="182">
        <v>3.761005214120748E-3</v>
      </c>
      <c r="F1024" s="168"/>
      <c r="G1024" s="168">
        <v>1021</v>
      </c>
      <c r="H1024" s="183">
        <f t="shared" ca="1" si="34"/>
        <v>2.0365250632818521E-2</v>
      </c>
      <c r="K1024" s="36"/>
    </row>
    <row r="1025" spans="2:11">
      <c r="B1025" s="36" t="s">
        <v>9212</v>
      </c>
      <c r="C1025" s="182">
        <v>1523.96</v>
      </c>
      <c r="D1025" s="182">
        <f t="shared" si="33"/>
        <v>-2.1119704015826857E-2</v>
      </c>
      <c r="E1025" s="182">
        <v>3.7447683383507666E-3</v>
      </c>
      <c r="F1025" s="168"/>
      <c r="G1025" s="168">
        <v>1022</v>
      </c>
      <c r="H1025" s="183">
        <f t="shared" ca="1" si="34"/>
        <v>1.0862135327413681E-2</v>
      </c>
      <c r="K1025" s="36"/>
    </row>
    <row r="1026" spans="2:11">
      <c r="B1026" s="36" t="s">
        <v>9213</v>
      </c>
      <c r="C1026" s="182">
        <v>1556.84</v>
      </c>
      <c r="D1026" s="182">
        <f t="shared" si="33"/>
        <v>1.0161045432720289E-2</v>
      </c>
      <c r="E1026" s="182">
        <v>3.7262872628725774E-3</v>
      </c>
      <c r="F1026" s="168"/>
      <c r="G1026" s="168">
        <v>1023</v>
      </c>
      <c r="H1026" s="183">
        <f t="shared" ca="1" si="34"/>
        <v>2.9417126686144702E-3</v>
      </c>
      <c r="K1026" s="36"/>
    </row>
    <row r="1027" spans="2:11">
      <c r="B1027" s="36" t="s">
        <v>9214</v>
      </c>
      <c r="C1027" s="182">
        <v>1541.18</v>
      </c>
      <c r="D1027" s="182">
        <f t="shared" si="33"/>
        <v>8.2297527149026266E-3</v>
      </c>
      <c r="E1027" s="182">
        <v>3.7076436907480708E-3</v>
      </c>
      <c r="F1027" s="168"/>
      <c r="G1027" s="168">
        <v>1024</v>
      </c>
      <c r="H1027" s="183">
        <f t="shared" ca="1" si="34"/>
        <v>2.1495040416583113E-3</v>
      </c>
      <c r="K1027" s="36"/>
    </row>
    <row r="1028" spans="2:11">
      <c r="B1028" s="36" t="s">
        <v>9215</v>
      </c>
      <c r="C1028" s="182">
        <v>1528.6</v>
      </c>
      <c r="D1028" s="182">
        <f t="shared" ref="D1028:D1091" si="35">(C1028-C1029)/C1029</f>
        <v>-3.3467591509487686E-2</v>
      </c>
      <c r="E1028" s="182">
        <v>3.7004698349341362E-3</v>
      </c>
      <c r="F1028" s="168"/>
      <c r="G1028" s="168">
        <v>1025</v>
      </c>
      <c r="H1028" s="183">
        <f t="shared" ca="1" si="34"/>
        <v>7.0200872060778626E-3</v>
      </c>
      <c r="K1028" s="36"/>
    </row>
    <row r="1029" spans="2:11">
      <c r="B1029" s="36">
        <v>44840</v>
      </c>
      <c r="C1029" s="182">
        <v>1581.53</v>
      </c>
      <c r="D1029" s="182">
        <f t="shared" si="35"/>
        <v>-6.270774296108738E-3</v>
      </c>
      <c r="E1029" s="182">
        <v>3.6862052852915926E-3</v>
      </c>
      <c r="F1029" s="168"/>
      <c r="G1029" s="168">
        <v>1026</v>
      </c>
      <c r="H1029" s="183">
        <f t="shared" ref="H1029:H1092" ca="1" si="36">_xlfn.NORM.INV(RAND(),N$6,N$7)</f>
        <v>6.7550516971032993E-3</v>
      </c>
      <c r="K1029" s="36"/>
    </row>
    <row r="1030" spans="2:11">
      <c r="B1030" s="36">
        <v>44810</v>
      </c>
      <c r="C1030" s="182">
        <v>1591.51</v>
      </c>
      <c r="D1030" s="182">
        <f t="shared" si="35"/>
        <v>6.6604258118382097E-3</v>
      </c>
      <c r="E1030" s="182">
        <v>3.6764705882352941E-3</v>
      </c>
      <c r="F1030" s="168"/>
      <c r="G1030" s="168">
        <v>1027</v>
      </c>
      <c r="H1030" s="183">
        <f t="shared" ca="1" si="36"/>
        <v>5.8593904398698219E-3</v>
      </c>
      <c r="K1030" s="36"/>
    </row>
    <row r="1031" spans="2:11">
      <c r="B1031" s="36">
        <v>44779</v>
      </c>
      <c r="C1031" s="182">
        <v>1580.98</v>
      </c>
      <c r="D1031" s="182">
        <f t="shared" si="35"/>
        <v>-3.0834809915061593E-3</v>
      </c>
      <c r="E1031" s="182">
        <v>3.6461331798118926E-3</v>
      </c>
      <c r="F1031" s="168"/>
      <c r="G1031" s="168">
        <v>1028</v>
      </c>
      <c r="H1031" s="183">
        <f t="shared" ca="1" si="36"/>
        <v>-8.6796998949153527E-3</v>
      </c>
      <c r="K1031" s="36"/>
    </row>
    <row r="1032" spans="2:11">
      <c r="B1032" s="36">
        <v>44748</v>
      </c>
      <c r="C1032" s="182">
        <v>1585.87</v>
      </c>
      <c r="D1032" s="182">
        <f t="shared" si="35"/>
        <v>-3.0943898906820061E-2</v>
      </c>
      <c r="E1032" s="182">
        <v>3.6448097194925204E-3</v>
      </c>
      <c r="F1032" s="168"/>
      <c r="G1032" s="168">
        <v>1029</v>
      </c>
      <c r="H1032" s="183">
        <f t="shared" ca="1" si="36"/>
        <v>9.3360302248198593E-3</v>
      </c>
      <c r="K1032" s="36"/>
    </row>
    <row r="1033" spans="2:11">
      <c r="B1033" s="36">
        <v>44718</v>
      </c>
      <c r="C1033" s="182">
        <v>1636.51</v>
      </c>
      <c r="D1033" s="182">
        <f t="shared" si="35"/>
        <v>-7.1708941777434958E-3</v>
      </c>
      <c r="E1033" s="182">
        <v>3.6431254980835298E-3</v>
      </c>
      <c r="F1033" s="168"/>
      <c r="G1033" s="168">
        <v>1030</v>
      </c>
      <c r="H1033" s="183">
        <f t="shared" ca="1" si="36"/>
        <v>2.3629676429393485E-2</v>
      </c>
      <c r="K1033" s="36"/>
    </row>
    <row r="1034" spans="2:11">
      <c r="B1034" s="36">
        <v>44626</v>
      </c>
      <c r="C1034" s="182">
        <v>1648.33</v>
      </c>
      <c r="D1034" s="182">
        <f t="shared" si="35"/>
        <v>9.0971979895559142E-3</v>
      </c>
      <c r="E1034" s="182">
        <v>3.6354455945468928E-3</v>
      </c>
      <c r="F1034" s="168"/>
      <c r="G1034" s="168">
        <v>1031</v>
      </c>
      <c r="H1034" s="183">
        <f t="shared" ca="1" si="36"/>
        <v>8.1647480380716304E-3</v>
      </c>
      <c r="K1034" s="36"/>
    </row>
    <row r="1035" spans="2:11">
      <c r="B1035" s="36">
        <v>44598</v>
      </c>
      <c r="C1035" s="182">
        <v>1633.47</v>
      </c>
      <c r="D1035" s="182">
        <f t="shared" si="35"/>
        <v>-6.5803477488763761E-3</v>
      </c>
      <c r="E1035" s="182">
        <v>3.6322468040944468E-3</v>
      </c>
      <c r="F1035" s="168"/>
      <c r="G1035" s="168">
        <v>1032</v>
      </c>
      <c r="H1035" s="183">
        <f t="shared" ca="1" si="36"/>
        <v>-1.6779191952696372E-3</v>
      </c>
      <c r="K1035" s="36"/>
    </row>
    <row r="1036" spans="2:11">
      <c r="B1036" s="36">
        <v>44567</v>
      </c>
      <c r="C1036" s="182">
        <v>1644.29</v>
      </c>
      <c r="D1036" s="182">
        <f t="shared" si="35"/>
        <v>-3.9314748179648468E-3</v>
      </c>
      <c r="E1036" s="182">
        <v>3.6240229726201153E-3</v>
      </c>
      <c r="F1036" s="168"/>
      <c r="G1036" s="168">
        <v>1033</v>
      </c>
      <c r="H1036" s="183">
        <f t="shared" ca="1" si="36"/>
        <v>1.6867416255681889E-2</v>
      </c>
      <c r="K1036" s="36"/>
    </row>
    <row r="1037" spans="2:11">
      <c r="B1037" s="36" t="s">
        <v>9216</v>
      </c>
      <c r="C1037" s="182">
        <v>1650.78</v>
      </c>
      <c r="D1037" s="182">
        <f t="shared" si="35"/>
        <v>-3.8199033256693447E-3</v>
      </c>
      <c r="E1037" s="182">
        <v>3.6203562759699603E-3</v>
      </c>
      <c r="F1037" s="168"/>
      <c r="G1037" s="168">
        <v>1034</v>
      </c>
      <c r="H1037" s="183">
        <f t="shared" ca="1" si="36"/>
        <v>-2.1824977659070559E-3</v>
      </c>
      <c r="K1037" s="36"/>
    </row>
    <row r="1038" spans="2:11">
      <c r="B1038" s="36" t="s">
        <v>9217</v>
      </c>
      <c r="C1038" s="182">
        <v>1657.11</v>
      </c>
      <c r="D1038" s="182">
        <f t="shared" si="35"/>
        <v>3.7834283209118719E-2</v>
      </c>
      <c r="E1038" s="182">
        <v>3.5886605195831912E-3</v>
      </c>
      <c r="F1038" s="168"/>
      <c r="G1038" s="168">
        <v>1035</v>
      </c>
      <c r="H1038" s="183">
        <f t="shared" ca="1" si="36"/>
        <v>1.2337396126927486E-2</v>
      </c>
      <c r="K1038" s="36"/>
    </row>
    <row r="1039" spans="2:11">
      <c r="B1039" s="36" t="s">
        <v>9218</v>
      </c>
      <c r="C1039" s="182">
        <v>1596.7</v>
      </c>
      <c r="D1039" s="182">
        <f t="shared" si="35"/>
        <v>2.0549039659966184E-2</v>
      </c>
      <c r="E1039" s="182">
        <v>3.5746376528499792E-3</v>
      </c>
      <c r="F1039" s="168"/>
      <c r="G1039" s="168">
        <v>1036</v>
      </c>
      <c r="H1039" s="183">
        <f t="shared" ca="1" si="36"/>
        <v>3.3636026833793516E-3</v>
      </c>
      <c r="K1039" s="36"/>
    </row>
    <row r="1040" spans="2:11">
      <c r="B1040" s="36" t="s">
        <v>9219</v>
      </c>
      <c r="C1040" s="182">
        <v>1564.55</v>
      </c>
      <c r="D1040" s="182">
        <f t="shared" si="35"/>
        <v>-6.4772186061279853E-3</v>
      </c>
      <c r="E1040" s="182">
        <v>3.5643985742405946E-3</v>
      </c>
      <c r="F1040" s="168"/>
      <c r="G1040" s="168">
        <v>1037</v>
      </c>
      <c r="H1040" s="183">
        <f t="shared" ca="1" si="36"/>
        <v>1.079473405059014E-2</v>
      </c>
      <c r="K1040" s="36"/>
    </row>
    <row r="1041" spans="2:11">
      <c r="B1041" s="36" t="s">
        <v>9220</v>
      </c>
      <c r="C1041" s="182">
        <v>1574.75</v>
      </c>
      <c r="D1041" s="182">
        <f t="shared" si="35"/>
        <v>-3.1697718748078432E-2</v>
      </c>
      <c r="E1041" s="182">
        <v>3.5579514824798171E-3</v>
      </c>
      <c r="F1041" s="168"/>
      <c r="G1041" s="168">
        <v>1038</v>
      </c>
      <c r="H1041" s="183">
        <f t="shared" ca="1" si="36"/>
        <v>-2.5621577355390982E-3</v>
      </c>
      <c r="K1041" s="36"/>
    </row>
    <row r="1042" spans="2:11">
      <c r="B1042" s="36" t="s">
        <v>9221</v>
      </c>
      <c r="C1042" s="182">
        <v>1626.3</v>
      </c>
      <c r="D1042" s="182">
        <f t="shared" si="35"/>
        <v>-1.0856673661162384E-2</v>
      </c>
      <c r="E1042" s="182">
        <v>3.547516738283232E-3</v>
      </c>
      <c r="F1042" s="168"/>
      <c r="G1042" s="168">
        <v>1039</v>
      </c>
      <c r="H1042" s="183">
        <f t="shared" ca="1" si="36"/>
        <v>2.0551810305835728E-2</v>
      </c>
      <c r="K1042" s="36"/>
    </row>
    <row r="1043" spans="2:11">
      <c r="B1043" s="36" t="s">
        <v>9222</v>
      </c>
      <c r="C1043" s="182">
        <v>1644.15</v>
      </c>
      <c r="D1043" s="182">
        <f t="shared" si="35"/>
        <v>2.1147754797838758E-2</v>
      </c>
      <c r="E1043" s="182">
        <v>3.54699771978718E-3</v>
      </c>
      <c r="F1043" s="168"/>
      <c r="G1043" s="168">
        <v>1040</v>
      </c>
      <c r="H1043" s="183">
        <f t="shared" ca="1" si="36"/>
        <v>-8.4364004529601921E-5</v>
      </c>
      <c r="K1043" s="36"/>
    </row>
    <row r="1044" spans="2:11">
      <c r="B1044" s="36" t="s">
        <v>9223</v>
      </c>
      <c r="C1044" s="182">
        <v>1610.1</v>
      </c>
      <c r="D1044" s="182">
        <f t="shared" si="35"/>
        <v>4.0149875641978014E-2</v>
      </c>
      <c r="E1044" s="182">
        <v>3.5453373442200582E-3</v>
      </c>
      <c r="F1044" s="168"/>
      <c r="G1044" s="168">
        <v>1041</v>
      </c>
      <c r="H1044" s="183">
        <f t="shared" ca="1" si="36"/>
        <v>-2.1078644868527223E-4</v>
      </c>
      <c r="K1044" s="36"/>
    </row>
    <row r="1045" spans="2:11">
      <c r="B1045" s="36" t="s">
        <v>9224</v>
      </c>
      <c r="C1045" s="182">
        <v>1547.95</v>
      </c>
      <c r="D1045" s="182">
        <f t="shared" si="35"/>
        <v>-1.5612082670906172E-2</v>
      </c>
      <c r="E1045" s="182">
        <v>3.5438331493639324E-3</v>
      </c>
      <c r="F1045" s="168"/>
      <c r="G1045" s="168">
        <v>1042</v>
      </c>
      <c r="H1045" s="183">
        <f t="shared" ca="1" si="36"/>
        <v>4.6494781917085374E-3</v>
      </c>
      <c r="K1045" s="36"/>
    </row>
    <row r="1046" spans="2:11">
      <c r="B1046" s="36" t="s">
        <v>9225</v>
      </c>
      <c r="C1046" s="182">
        <v>1572.5</v>
      </c>
      <c r="D1046" s="182">
        <f t="shared" si="35"/>
        <v>-1.9699519980051063E-2</v>
      </c>
      <c r="E1046" s="182">
        <v>3.5321647754867763E-3</v>
      </c>
      <c r="F1046" s="168"/>
      <c r="G1046" s="168">
        <v>1043</v>
      </c>
      <c r="H1046" s="183">
        <f t="shared" ca="1" si="36"/>
        <v>-1.4358948010553194E-2</v>
      </c>
      <c r="K1046" s="36"/>
    </row>
    <row r="1047" spans="2:11">
      <c r="B1047" s="36" t="s">
        <v>9226</v>
      </c>
      <c r="C1047" s="182">
        <v>1604.1</v>
      </c>
      <c r="D1047" s="182">
        <f t="shared" si="35"/>
        <v>3.9665564845420838E-2</v>
      </c>
      <c r="E1047" s="182">
        <v>3.5060566338698858E-3</v>
      </c>
      <c r="F1047" s="168"/>
      <c r="G1047" s="168">
        <v>1044</v>
      </c>
      <c r="H1047" s="183">
        <f t="shared" ca="1" si="36"/>
        <v>3.3800581797202686E-3</v>
      </c>
      <c r="K1047" s="36"/>
    </row>
    <row r="1048" spans="2:11">
      <c r="B1048" s="36" t="s">
        <v>9227</v>
      </c>
      <c r="C1048" s="182">
        <v>1542.9</v>
      </c>
      <c r="D1048" s="182">
        <f t="shared" si="35"/>
        <v>5.4740957966765008E-3</v>
      </c>
      <c r="E1048" s="182">
        <v>3.5050082337477629E-3</v>
      </c>
      <c r="F1048" s="168"/>
      <c r="G1048" s="168">
        <v>1045</v>
      </c>
      <c r="H1048" s="183">
        <f t="shared" ca="1" si="36"/>
        <v>5.3205312311274105E-3</v>
      </c>
      <c r="K1048" s="36"/>
    </row>
    <row r="1049" spans="2:11">
      <c r="B1049" s="36" t="s">
        <v>9228</v>
      </c>
      <c r="C1049" s="182">
        <v>1534.5</v>
      </c>
      <c r="D1049" s="182">
        <f t="shared" si="35"/>
        <v>5.471283949808281E-3</v>
      </c>
      <c r="E1049" s="182">
        <v>3.49882720875677E-3</v>
      </c>
      <c r="F1049" s="168"/>
      <c r="G1049" s="168">
        <v>1046</v>
      </c>
      <c r="H1049" s="183">
        <f t="shared" ca="1" si="36"/>
        <v>-6.3635646648190292E-3</v>
      </c>
      <c r="K1049" s="36"/>
    </row>
    <row r="1050" spans="2:11">
      <c r="B1050" s="36">
        <v>44900</v>
      </c>
      <c r="C1050" s="182">
        <v>1526.15</v>
      </c>
      <c r="D1050" s="182">
        <f t="shared" si="35"/>
        <v>-2.842500636618275E-2</v>
      </c>
      <c r="E1050" s="182">
        <v>3.4916437845349765E-3</v>
      </c>
      <c r="F1050" s="168"/>
      <c r="G1050" s="168">
        <v>1047</v>
      </c>
      <c r="H1050" s="183">
        <f t="shared" ca="1" si="36"/>
        <v>-2.5048373245839294E-3</v>
      </c>
      <c r="K1050" s="36"/>
    </row>
    <row r="1051" spans="2:11">
      <c r="B1051" s="36">
        <v>44870</v>
      </c>
      <c r="C1051" s="182">
        <v>1570.8</v>
      </c>
      <c r="D1051" s="182">
        <f t="shared" si="35"/>
        <v>-2.3103952237320868E-2</v>
      </c>
      <c r="E1051" s="182">
        <v>3.4888534090237663E-3</v>
      </c>
      <c r="F1051" s="168"/>
      <c r="G1051" s="168">
        <v>1048</v>
      </c>
      <c r="H1051" s="183">
        <f t="shared" ca="1" si="36"/>
        <v>-1.7274067707436395E-2</v>
      </c>
      <c r="K1051" s="36"/>
    </row>
    <row r="1052" spans="2:11">
      <c r="B1052" s="36">
        <v>44839</v>
      </c>
      <c r="C1052" s="182">
        <v>1607.95</v>
      </c>
      <c r="D1052" s="182">
        <f t="shared" si="35"/>
        <v>-5.0737864678402651E-3</v>
      </c>
      <c r="E1052" s="182">
        <v>3.4869282713340475E-3</v>
      </c>
      <c r="F1052" s="168"/>
      <c r="G1052" s="168">
        <v>1049</v>
      </c>
      <c r="H1052" s="183">
        <f t="shared" ca="1" si="36"/>
        <v>1.2002622737555892E-2</v>
      </c>
      <c r="K1052" s="36"/>
    </row>
    <row r="1053" spans="2:11">
      <c r="B1053" s="36">
        <v>44809</v>
      </c>
      <c r="C1053" s="182">
        <v>1616.15</v>
      </c>
      <c r="D1053" s="182">
        <f t="shared" si="35"/>
        <v>-3.8830164257758048E-3</v>
      </c>
      <c r="E1053" s="182">
        <v>3.4837068206282772E-3</v>
      </c>
      <c r="F1053" s="168"/>
      <c r="G1053" s="168">
        <v>1050</v>
      </c>
      <c r="H1053" s="183">
        <f t="shared" ca="1" si="36"/>
        <v>-1.1838843951306001E-2</v>
      </c>
      <c r="K1053" s="36"/>
    </row>
    <row r="1054" spans="2:11">
      <c r="B1054" s="36">
        <v>44717</v>
      </c>
      <c r="C1054" s="182">
        <v>1622.45</v>
      </c>
      <c r="D1054" s="182">
        <f t="shared" si="35"/>
        <v>-9.2815925258755202E-3</v>
      </c>
      <c r="E1054" s="182">
        <v>3.45258856065817E-3</v>
      </c>
      <c r="F1054" s="168"/>
      <c r="G1054" s="168">
        <v>1051</v>
      </c>
      <c r="H1054" s="183">
        <f t="shared" ca="1" si="36"/>
        <v>-1.038304538855649E-2</v>
      </c>
      <c r="K1054" s="36"/>
    </row>
    <row r="1055" spans="2:11">
      <c r="B1055" s="36">
        <v>44686</v>
      </c>
      <c r="C1055" s="182">
        <v>1637.65</v>
      </c>
      <c r="D1055" s="182">
        <f t="shared" si="35"/>
        <v>2.2644511765966191E-3</v>
      </c>
      <c r="E1055" s="182">
        <v>3.4430438842204081E-3</v>
      </c>
      <c r="F1055" s="168"/>
      <c r="G1055" s="168">
        <v>1052</v>
      </c>
      <c r="H1055" s="183">
        <f t="shared" ca="1" si="36"/>
        <v>2.0815050539652744E-2</v>
      </c>
      <c r="K1055" s="36"/>
    </row>
    <row r="1056" spans="2:11">
      <c r="B1056" s="36">
        <v>44656</v>
      </c>
      <c r="C1056" s="182">
        <v>1633.95</v>
      </c>
      <c r="D1056" s="182">
        <f t="shared" si="35"/>
        <v>-2.7092202804489564E-2</v>
      </c>
      <c r="E1056" s="182">
        <v>3.4364261168385274E-3</v>
      </c>
      <c r="F1056" s="168"/>
      <c r="G1056" s="168">
        <v>1053</v>
      </c>
      <c r="H1056" s="183">
        <f t="shared" ca="1" si="36"/>
        <v>2.660549764731384E-3</v>
      </c>
      <c r="K1056" s="36"/>
    </row>
    <row r="1057" spans="2:11">
      <c r="B1057" s="36">
        <v>44597</v>
      </c>
      <c r="C1057" s="182">
        <v>1679.45</v>
      </c>
      <c r="D1057" s="182">
        <f t="shared" si="35"/>
        <v>-8.7939327765809098E-3</v>
      </c>
      <c r="E1057" s="182">
        <v>3.4319168264862997E-3</v>
      </c>
      <c r="F1057" s="168"/>
      <c r="G1057" s="168">
        <v>1054</v>
      </c>
      <c r="H1057" s="183">
        <f t="shared" ca="1" si="36"/>
        <v>-2.1944438054127867E-3</v>
      </c>
      <c r="K1057" s="36"/>
    </row>
    <row r="1058" spans="2:11">
      <c r="B1058" s="36" t="s">
        <v>9229</v>
      </c>
      <c r="C1058" s="182">
        <v>1694.35</v>
      </c>
      <c r="D1058" s="182">
        <f t="shared" si="35"/>
        <v>-1.4483059473607731E-2</v>
      </c>
      <c r="E1058" s="182">
        <v>3.4290764471939261E-3</v>
      </c>
      <c r="F1058" s="168"/>
      <c r="G1058" s="168">
        <v>1055</v>
      </c>
      <c r="H1058" s="183">
        <f t="shared" ca="1" si="36"/>
        <v>-3.903862380743502E-3</v>
      </c>
      <c r="K1058" s="36"/>
    </row>
    <row r="1059" spans="2:11">
      <c r="B1059" s="36" t="s">
        <v>9230</v>
      </c>
      <c r="C1059" s="182">
        <v>1719.25</v>
      </c>
      <c r="D1059" s="182">
        <f t="shared" si="35"/>
        <v>2.5163233058048386E-2</v>
      </c>
      <c r="E1059" s="182">
        <v>3.4162001975634598E-3</v>
      </c>
      <c r="F1059" s="168"/>
      <c r="G1059" s="168">
        <v>1056</v>
      </c>
      <c r="H1059" s="183">
        <f t="shared" ca="1" si="36"/>
        <v>-1.201832247382903E-2</v>
      </c>
      <c r="K1059" s="36"/>
    </row>
    <row r="1060" spans="2:11">
      <c r="B1060" s="36" t="s">
        <v>9231</v>
      </c>
      <c r="C1060" s="182">
        <v>1677.05</v>
      </c>
      <c r="D1060" s="182">
        <f t="shared" si="35"/>
        <v>-1.3470984440718897E-2</v>
      </c>
      <c r="E1060" s="182">
        <v>3.4144139059766095E-3</v>
      </c>
      <c r="F1060" s="168"/>
      <c r="G1060" s="168">
        <v>1057</v>
      </c>
      <c r="H1060" s="183">
        <f t="shared" ca="1" si="36"/>
        <v>7.1740653577087379E-3</v>
      </c>
      <c r="K1060" s="36"/>
    </row>
    <row r="1061" spans="2:11">
      <c r="B1061" s="36" t="s">
        <v>9232</v>
      </c>
      <c r="C1061" s="182">
        <v>1699.95</v>
      </c>
      <c r="D1061" s="182">
        <f t="shared" si="35"/>
        <v>2.5703683591275311E-2</v>
      </c>
      <c r="E1061" s="182">
        <v>3.3790038881687311E-3</v>
      </c>
      <c r="F1061" s="168"/>
      <c r="G1061" s="168">
        <v>1058</v>
      </c>
      <c r="H1061" s="183">
        <f t="shared" ca="1" si="36"/>
        <v>-4.0376077866125281E-3</v>
      </c>
      <c r="K1061" s="36"/>
    </row>
    <row r="1062" spans="2:11">
      <c r="B1062" s="36" t="s">
        <v>9233</v>
      </c>
      <c r="C1062" s="182">
        <v>1657.35</v>
      </c>
      <c r="D1062" s="182">
        <f t="shared" si="35"/>
        <v>-2.1837282733791721E-2</v>
      </c>
      <c r="E1062" s="182">
        <v>3.3545848920737593E-3</v>
      </c>
      <c r="F1062" s="168"/>
      <c r="G1062" s="168">
        <v>1059</v>
      </c>
      <c r="H1062" s="183">
        <f t="shared" ca="1" si="36"/>
        <v>-8.4667690460492086E-3</v>
      </c>
      <c r="K1062" s="36"/>
    </row>
    <row r="1063" spans="2:11">
      <c r="B1063" s="36" t="s">
        <v>9234</v>
      </c>
      <c r="C1063" s="182">
        <v>1694.35</v>
      </c>
      <c r="D1063" s="182">
        <f t="shared" si="35"/>
        <v>-1.1752697579469286E-2</v>
      </c>
      <c r="E1063" s="182">
        <v>3.3464451359126669E-3</v>
      </c>
      <c r="F1063" s="168"/>
      <c r="G1063" s="168">
        <v>1060</v>
      </c>
      <c r="H1063" s="183">
        <f t="shared" ca="1" si="36"/>
        <v>9.6655221137925858E-3</v>
      </c>
      <c r="K1063" s="36"/>
    </row>
    <row r="1064" spans="2:11">
      <c r="B1064" s="36" t="s">
        <v>9235</v>
      </c>
      <c r="C1064" s="182">
        <v>1714.5</v>
      </c>
      <c r="D1064" s="182">
        <f t="shared" si="35"/>
        <v>1.3537479309529494E-2</v>
      </c>
      <c r="E1064" s="182">
        <v>3.3416482326918458E-3</v>
      </c>
      <c r="F1064" s="168"/>
      <c r="G1064" s="168">
        <v>1061</v>
      </c>
      <c r="H1064" s="183">
        <f t="shared" ca="1" si="36"/>
        <v>9.1139643397537135E-5</v>
      </c>
      <c r="K1064" s="36"/>
    </row>
    <row r="1065" spans="2:11">
      <c r="B1065" s="36" t="s">
        <v>9236</v>
      </c>
      <c r="C1065" s="182">
        <v>1691.6</v>
      </c>
      <c r="D1065" s="182">
        <f t="shared" si="35"/>
        <v>-8.295471200351805E-3</v>
      </c>
      <c r="E1065" s="182">
        <v>3.331314354936402E-3</v>
      </c>
      <c r="F1065" s="168"/>
      <c r="G1065" s="168">
        <v>1062</v>
      </c>
      <c r="H1065" s="183">
        <f t="shared" ca="1" si="36"/>
        <v>1.2534836322913009E-2</v>
      </c>
      <c r="K1065" s="36"/>
    </row>
    <row r="1066" spans="2:11">
      <c r="B1066" s="36" t="s">
        <v>9237</v>
      </c>
      <c r="C1066" s="182">
        <v>1705.75</v>
      </c>
      <c r="D1066" s="182">
        <f t="shared" si="35"/>
        <v>-1.8753415595248315E-2</v>
      </c>
      <c r="E1066" s="182">
        <v>3.3218719039570009E-3</v>
      </c>
      <c r="F1066" s="168"/>
      <c r="G1066" s="168">
        <v>1063</v>
      </c>
      <c r="H1066" s="183">
        <f t="shared" ca="1" si="36"/>
        <v>-8.8062841230567099E-4</v>
      </c>
      <c r="K1066" s="36"/>
    </row>
    <row r="1067" spans="2:11">
      <c r="B1067" s="36" t="s">
        <v>9238</v>
      </c>
      <c r="C1067" s="182">
        <v>1738.35</v>
      </c>
      <c r="D1067" s="182">
        <f t="shared" si="35"/>
        <v>-1.2749886415265815E-2</v>
      </c>
      <c r="E1067" s="182">
        <v>3.3191780153268816E-3</v>
      </c>
      <c r="F1067" s="168"/>
      <c r="G1067" s="168">
        <v>1064</v>
      </c>
      <c r="H1067" s="183">
        <f t="shared" ca="1" si="36"/>
        <v>-5.6546597355901862E-3</v>
      </c>
      <c r="K1067" s="36"/>
    </row>
    <row r="1068" spans="2:11">
      <c r="B1068" s="36" t="s">
        <v>9239</v>
      </c>
      <c r="C1068" s="182">
        <v>1760.8</v>
      </c>
      <c r="D1068" s="182">
        <f t="shared" si="35"/>
        <v>7.4955656005034664E-3</v>
      </c>
      <c r="E1068" s="182">
        <v>3.3156262255337899E-3</v>
      </c>
      <c r="F1068" s="168"/>
      <c r="G1068" s="168">
        <v>1065</v>
      </c>
      <c r="H1068" s="183">
        <f t="shared" ca="1" si="36"/>
        <v>-1.0839289809159429E-2</v>
      </c>
      <c r="K1068" s="36"/>
    </row>
    <row r="1069" spans="2:11">
      <c r="B1069" s="36">
        <v>44899</v>
      </c>
      <c r="C1069" s="182">
        <v>1747.7</v>
      </c>
      <c r="D1069" s="182">
        <f t="shared" si="35"/>
        <v>-1.8972775750771796E-2</v>
      </c>
      <c r="E1069" s="182">
        <v>3.3055213605069985E-3</v>
      </c>
      <c r="F1069" s="168"/>
      <c r="G1069" s="168">
        <v>1066</v>
      </c>
      <c r="H1069" s="183">
        <f t="shared" ca="1" si="36"/>
        <v>-8.1690807133244364E-3</v>
      </c>
      <c r="K1069" s="36"/>
    </row>
    <row r="1070" spans="2:11">
      <c r="B1070" s="36">
        <v>44869</v>
      </c>
      <c r="C1070" s="182">
        <v>1781.5</v>
      </c>
      <c r="D1070" s="182">
        <f t="shared" si="35"/>
        <v>-2.6901543083435751E-2</v>
      </c>
      <c r="E1070" s="182">
        <v>3.2872048486270984E-3</v>
      </c>
      <c r="F1070" s="168"/>
      <c r="G1070" s="168">
        <v>1067</v>
      </c>
      <c r="H1070" s="183">
        <f t="shared" ca="1" si="36"/>
        <v>-7.0293583778173836E-3</v>
      </c>
      <c r="K1070" s="36"/>
    </row>
    <row r="1071" spans="2:11">
      <c r="B1071" s="36">
        <v>44777</v>
      </c>
      <c r="C1071" s="182">
        <v>1830.75</v>
      </c>
      <c r="D1071" s="182">
        <f t="shared" si="35"/>
        <v>2.4366204895143436E-3</v>
      </c>
      <c r="E1071" s="182">
        <v>3.2774486322953598E-3</v>
      </c>
      <c r="F1071" s="168"/>
      <c r="G1071" s="168">
        <v>1068</v>
      </c>
      <c r="H1071" s="183">
        <f t="shared" ca="1" si="36"/>
        <v>2.5653786450577361E-2</v>
      </c>
      <c r="K1071" s="36"/>
    </row>
    <row r="1072" spans="2:11">
      <c r="B1072" s="36">
        <v>44746</v>
      </c>
      <c r="C1072" s="182">
        <v>1826.3</v>
      </c>
      <c r="D1072" s="182">
        <f t="shared" si="35"/>
        <v>-1.4302677029360968E-2</v>
      </c>
      <c r="E1072" s="182">
        <v>3.2729805013927893E-3</v>
      </c>
      <c r="F1072" s="168"/>
      <c r="G1072" s="168">
        <v>1069</v>
      </c>
      <c r="H1072" s="183">
        <f t="shared" ca="1" si="36"/>
        <v>-6.1585820153468975E-3</v>
      </c>
      <c r="K1072" s="36"/>
    </row>
    <row r="1073" spans="2:11">
      <c r="B1073" s="36">
        <v>44716</v>
      </c>
      <c r="C1073" s="182">
        <v>1852.8</v>
      </c>
      <c r="D1073" s="182">
        <f t="shared" si="35"/>
        <v>9.1228452384194327E-3</v>
      </c>
      <c r="E1073" s="182">
        <v>3.2605304212167921E-3</v>
      </c>
      <c r="F1073" s="168"/>
      <c r="G1073" s="168">
        <v>1070</v>
      </c>
      <c r="H1073" s="183">
        <f t="shared" ca="1" si="36"/>
        <v>2.5437939122019464E-2</v>
      </c>
      <c r="K1073" s="36"/>
    </row>
    <row r="1074" spans="2:11">
      <c r="B1074" s="36">
        <v>44685</v>
      </c>
      <c r="C1074" s="182">
        <v>1836.05</v>
      </c>
      <c r="D1074" s="182">
        <f t="shared" si="35"/>
        <v>5.3111397048758707E-3</v>
      </c>
      <c r="E1074" s="182">
        <v>3.2551635605070303E-3</v>
      </c>
      <c r="F1074" s="168"/>
      <c r="G1074" s="168">
        <v>1071</v>
      </c>
      <c r="H1074" s="183">
        <f t="shared" ca="1" si="36"/>
        <v>-1.1960600737783735E-2</v>
      </c>
      <c r="K1074" s="36"/>
    </row>
    <row r="1075" spans="2:11">
      <c r="B1075" s="36">
        <v>44655</v>
      </c>
      <c r="C1075" s="182">
        <v>1826.35</v>
      </c>
      <c r="D1075" s="182">
        <f t="shared" si="35"/>
        <v>2.0250265348304566E-2</v>
      </c>
      <c r="E1075" s="182">
        <v>3.2506274945478483E-3</v>
      </c>
      <c r="F1075" s="168"/>
      <c r="G1075" s="168">
        <v>1072</v>
      </c>
      <c r="H1075" s="183">
        <f t="shared" ca="1" si="36"/>
        <v>8.8091516871290814E-4</v>
      </c>
      <c r="K1075" s="36"/>
    </row>
    <row r="1076" spans="2:11">
      <c r="B1076" s="36">
        <v>44565</v>
      </c>
      <c r="C1076" s="182">
        <v>1790.1</v>
      </c>
      <c r="D1076" s="182">
        <f t="shared" si="35"/>
        <v>1.2700478035810153E-2</v>
      </c>
      <c r="E1076" s="182">
        <v>3.2501160755740951E-3</v>
      </c>
      <c r="F1076" s="168"/>
      <c r="G1076" s="168">
        <v>1073</v>
      </c>
      <c r="H1076" s="183">
        <f t="shared" ca="1" si="36"/>
        <v>9.9197313099674937E-3</v>
      </c>
      <c r="K1076" s="36"/>
    </row>
    <row r="1077" spans="2:11">
      <c r="B1077" s="36" t="s">
        <v>9240</v>
      </c>
      <c r="C1077" s="182">
        <v>1767.65</v>
      </c>
      <c r="D1077" s="182">
        <f t="shared" si="35"/>
        <v>-3.3547586829047239E-3</v>
      </c>
      <c r="E1077" s="182">
        <v>3.2488866175075163E-3</v>
      </c>
      <c r="F1077" s="168"/>
      <c r="G1077" s="168">
        <v>1074</v>
      </c>
      <c r="H1077" s="183">
        <f t="shared" ca="1" si="36"/>
        <v>1.0288636481983228E-2</v>
      </c>
      <c r="K1077" s="36"/>
    </row>
    <row r="1078" spans="2:11">
      <c r="B1078" s="36" t="s">
        <v>9241</v>
      </c>
      <c r="C1078" s="182">
        <v>1773.6</v>
      </c>
      <c r="D1078" s="182">
        <f t="shared" si="35"/>
        <v>1.5429536541379107E-2</v>
      </c>
      <c r="E1078" s="182">
        <v>3.2404950135487233E-3</v>
      </c>
      <c r="F1078" s="168"/>
      <c r="G1078" s="168">
        <v>1075</v>
      </c>
      <c r="H1078" s="183">
        <f t="shared" ca="1" si="36"/>
        <v>-1.3096239291400726E-2</v>
      </c>
      <c r="K1078" s="36"/>
    </row>
    <row r="1079" spans="2:11">
      <c r="B1079" s="36" t="s">
        <v>9242</v>
      </c>
      <c r="C1079" s="182">
        <v>1746.65</v>
      </c>
      <c r="D1079" s="182">
        <f t="shared" si="35"/>
        <v>2.8996325218191214E-3</v>
      </c>
      <c r="E1079" s="182">
        <v>3.2306449751932091E-3</v>
      </c>
      <c r="F1079" s="168"/>
      <c r="G1079" s="168">
        <v>1076</v>
      </c>
      <c r="H1079" s="183">
        <f t="shared" ca="1" si="36"/>
        <v>1.0246575981479563E-2</v>
      </c>
      <c r="K1079" s="36"/>
    </row>
    <row r="1080" spans="2:11">
      <c r="B1080" s="36" t="s">
        <v>9243</v>
      </c>
      <c r="C1080" s="182">
        <v>1741.6</v>
      </c>
      <c r="D1080" s="182">
        <f t="shared" si="35"/>
        <v>-5.4251613271657818E-3</v>
      </c>
      <c r="E1080" s="182">
        <v>3.2291176596382456E-3</v>
      </c>
      <c r="F1080" s="168"/>
      <c r="G1080" s="168">
        <v>1077</v>
      </c>
      <c r="H1080" s="183">
        <f t="shared" ca="1" si="36"/>
        <v>-1.5456659569864785E-2</v>
      </c>
      <c r="K1080" s="36"/>
    </row>
    <row r="1081" spans="2:11">
      <c r="B1081" s="36" t="s">
        <v>9244</v>
      </c>
      <c r="C1081" s="182">
        <v>1751.1</v>
      </c>
      <c r="D1081" s="182">
        <f t="shared" si="35"/>
        <v>-1.1543563546047273E-2</v>
      </c>
      <c r="E1081" s="182">
        <v>3.2256206439722E-3</v>
      </c>
      <c r="F1081" s="168"/>
      <c r="G1081" s="168">
        <v>1078</v>
      </c>
      <c r="H1081" s="183">
        <f t="shared" ca="1" si="36"/>
        <v>1.4517720032021907E-3</v>
      </c>
      <c r="K1081" s="36"/>
    </row>
    <row r="1082" spans="2:11">
      <c r="B1082" s="36" t="s">
        <v>9245</v>
      </c>
      <c r="C1082" s="182">
        <v>1771.55</v>
      </c>
      <c r="D1082" s="182">
        <f t="shared" si="35"/>
        <v>2.4331588626396688E-3</v>
      </c>
      <c r="E1082" s="182">
        <v>3.2191143858645108E-3</v>
      </c>
      <c r="F1082" s="168"/>
      <c r="G1082" s="168">
        <v>1079</v>
      </c>
      <c r="H1082" s="183">
        <f t="shared" ca="1" si="36"/>
        <v>1.2463053768323941E-2</v>
      </c>
      <c r="K1082" s="36"/>
    </row>
    <row r="1083" spans="2:11">
      <c r="B1083" s="36" t="s">
        <v>9246</v>
      </c>
      <c r="C1083" s="182">
        <v>1767.25</v>
      </c>
      <c r="D1083" s="182">
        <f t="shared" si="35"/>
        <v>-3.8330374002987261E-3</v>
      </c>
      <c r="E1083" s="182">
        <v>3.2109535926330922E-3</v>
      </c>
      <c r="F1083" s="168"/>
      <c r="G1083" s="168">
        <v>1080</v>
      </c>
      <c r="H1083" s="183">
        <f t="shared" ca="1" si="36"/>
        <v>1.0088018254601545E-2</v>
      </c>
      <c r="K1083" s="36"/>
    </row>
    <row r="1084" spans="2:11">
      <c r="B1084" s="36" t="s">
        <v>9247</v>
      </c>
      <c r="C1084" s="182">
        <v>1774.05</v>
      </c>
      <c r="D1084" s="182">
        <f t="shared" si="35"/>
        <v>1.0106473837043786E-2</v>
      </c>
      <c r="E1084" s="182">
        <v>3.2037999298669792E-3</v>
      </c>
      <c r="F1084" s="168"/>
      <c r="G1084" s="168">
        <v>1081</v>
      </c>
      <c r="H1084" s="183">
        <f t="shared" ca="1" si="36"/>
        <v>-2.9633231961108838E-2</v>
      </c>
      <c r="K1084" s="36"/>
    </row>
    <row r="1085" spans="2:11">
      <c r="B1085" s="36" t="s">
        <v>9248</v>
      </c>
      <c r="C1085" s="182">
        <v>1756.3</v>
      </c>
      <c r="D1085" s="182">
        <f t="shared" si="35"/>
        <v>-1.7674366575311892E-2</v>
      </c>
      <c r="E1085" s="182">
        <v>3.1857681328559652E-3</v>
      </c>
      <c r="F1085" s="168"/>
      <c r="G1085" s="168">
        <v>1082</v>
      </c>
      <c r="H1085" s="183">
        <f t="shared" ca="1" si="36"/>
        <v>-2.727974027664536E-2</v>
      </c>
      <c r="K1085" s="36"/>
    </row>
    <row r="1086" spans="2:11">
      <c r="B1086" s="36" t="s">
        <v>9249</v>
      </c>
      <c r="C1086" s="182">
        <v>1787.9</v>
      </c>
      <c r="D1086" s="182">
        <f t="shared" si="35"/>
        <v>1.8050335952625011E-2</v>
      </c>
      <c r="E1086" s="182">
        <v>3.1703824913070391E-3</v>
      </c>
      <c r="F1086" s="168"/>
      <c r="G1086" s="168">
        <v>1083</v>
      </c>
      <c r="H1086" s="183">
        <f t="shared" ca="1" si="36"/>
        <v>-2.3659425552513495E-2</v>
      </c>
      <c r="K1086" s="36"/>
    </row>
    <row r="1087" spans="2:11">
      <c r="B1087" s="36" t="s">
        <v>9250</v>
      </c>
      <c r="C1087" s="182">
        <v>1756.2</v>
      </c>
      <c r="D1087" s="182">
        <f t="shared" si="35"/>
        <v>7.313086122343629E-3</v>
      </c>
      <c r="E1087" s="182">
        <v>3.149955634427644E-3</v>
      </c>
      <c r="F1087" s="168"/>
      <c r="G1087" s="168">
        <v>1084</v>
      </c>
      <c r="H1087" s="183">
        <f t="shared" ca="1" si="36"/>
        <v>-5.2840128506953217E-3</v>
      </c>
      <c r="K1087" s="36"/>
    </row>
    <row r="1088" spans="2:11">
      <c r="B1088" s="36" t="s">
        <v>9251</v>
      </c>
      <c r="C1088" s="182">
        <v>1743.45</v>
      </c>
      <c r="D1088" s="182">
        <f t="shared" si="35"/>
        <v>-1.8892228424216141E-3</v>
      </c>
      <c r="E1088" s="182">
        <v>3.1454783748360938E-3</v>
      </c>
      <c r="F1088" s="168"/>
      <c r="G1088" s="168">
        <v>1085</v>
      </c>
      <c r="H1088" s="183">
        <f t="shared" ca="1" si="36"/>
        <v>-8.1414626301741753E-3</v>
      </c>
      <c r="K1088" s="36"/>
    </row>
    <row r="1089" spans="2:11">
      <c r="B1089" s="36" t="s">
        <v>9252</v>
      </c>
      <c r="C1089" s="182">
        <v>1746.75</v>
      </c>
      <c r="D1089" s="182">
        <f t="shared" si="35"/>
        <v>1.0470598443872332E-2</v>
      </c>
      <c r="E1089" s="182">
        <v>3.1419026407890913E-3</v>
      </c>
      <c r="F1089" s="168"/>
      <c r="G1089" s="168">
        <v>1086</v>
      </c>
      <c r="H1089" s="183">
        <f t="shared" ca="1" si="36"/>
        <v>6.5385037268591746E-3</v>
      </c>
      <c r="K1089" s="36"/>
    </row>
    <row r="1090" spans="2:11">
      <c r="B1090" s="36">
        <v>44868</v>
      </c>
      <c r="C1090" s="182">
        <v>1728.65</v>
      </c>
      <c r="D1090" s="182">
        <f t="shared" si="35"/>
        <v>2.603865293369086E-4</v>
      </c>
      <c r="E1090" s="182">
        <v>3.1379025598679026E-3</v>
      </c>
      <c r="F1090" s="168"/>
      <c r="G1090" s="168">
        <v>1087</v>
      </c>
      <c r="H1090" s="183">
        <f t="shared" ca="1" si="36"/>
        <v>9.2481311949059349E-3</v>
      </c>
      <c r="K1090" s="36"/>
    </row>
    <row r="1091" spans="2:11">
      <c r="B1091" s="36">
        <v>44837</v>
      </c>
      <c r="C1091" s="182">
        <v>1728.2</v>
      </c>
      <c r="D1091" s="182">
        <f t="shared" si="35"/>
        <v>2.2029036931902186E-2</v>
      </c>
      <c r="E1091" s="182">
        <v>3.1268321282000664E-3</v>
      </c>
      <c r="F1091" s="168"/>
      <c r="G1091" s="168">
        <v>1088</v>
      </c>
      <c r="H1091" s="183">
        <f t="shared" ca="1" si="36"/>
        <v>5.4105243421385483E-3</v>
      </c>
      <c r="K1091" s="36"/>
    </row>
    <row r="1092" spans="2:11">
      <c r="B1092" s="36">
        <v>44807</v>
      </c>
      <c r="C1092" s="182">
        <v>1690.95</v>
      </c>
      <c r="D1092" s="182">
        <f t="shared" ref="D1092:D1155" si="37">(C1092-C1093)/C1093</f>
        <v>1.9565872776605393E-2</v>
      </c>
      <c r="E1092" s="182">
        <v>3.1162254718971349E-3</v>
      </c>
      <c r="F1092" s="168"/>
      <c r="G1092" s="168">
        <v>1089</v>
      </c>
      <c r="H1092" s="183">
        <f t="shared" ca="1" si="36"/>
        <v>1.8804189638722373E-3</v>
      </c>
      <c r="K1092" s="36"/>
    </row>
    <row r="1093" spans="2:11">
      <c r="B1093" s="36">
        <v>44776</v>
      </c>
      <c r="C1093" s="182">
        <v>1658.5</v>
      </c>
      <c r="D1093" s="182">
        <f t="shared" si="37"/>
        <v>1.4714429930557651E-2</v>
      </c>
      <c r="E1093" s="182">
        <v>3.1153150826446576E-3</v>
      </c>
      <c r="F1093" s="168"/>
      <c r="G1093" s="168">
        <v>1090</v>
      </c>
      <c r="H1093" s="183">
        <f t="shared" ref="H1093:H1156" ca="1" si="38">_xlfn.NORM.INV(RAND(),N$6,N$7)</f>
        <v>-2.0113613007616236E-3</v>
      </c>
      <c r="K1093" s="36"/>
    </row>
    <row r="1094" spans="2:11">
      <c r="B1094" s="36">
        <v>44745</v>
      </c>
      <c r="C1094" s="182">
        <v>1634.45</v>
      </c>
      <c r="D1094" s="182">
        <f t="shared" si="37"/>
        <v>-4.5158463560683482E-2</v>
      </c>
      <c r="E1094" s="182">
        <v>3.1055211729997113E-3</v>
      </c>
      <c r="F1094" s="168"/>
      <c r="G1094" s="168">
        <v>1091</v>
      </c>
      <c r="H1094" s="183">
        <f t="shared" ca="1" si="38"/>
        <v>6.714605565478639E-3</v>
      </c>
      <c r="K1094" s="36"/>
    </row>
    <row r="1095" spans="2:11">
      <c r="B1095" s="36">
        <v>44654</v>
      </c>
      <c r="C1095" s="182">
        <v>1711.75</v>
      </c>
      <c r="D1095" s="182">
        <f t="shared" si="37"/>
        <v>-2.3141014666438371E-2</v>
      </c>
      <c r="E1095" s="182">
        <v>3.0828869252018097E-3</v>
      </c>
      <c r="F1095" s="168"/>
      <c r="G1095" s="168">
        <v>1092</v>
      </c>
      <c r="H1095" s="183">
        <f t="shared" ca="1" si="38"/>
        <v>-4.2243944473036119E-4</v>
      </c>
      <c r="K1095" s="36"/>
    </row>
    <row r="1096" spans="2:11">
      <c r="B1096" s="36">
        <v>44623</v>
      </c>
      <c r="C1096" s="182">
        <v>1752.3</v>
      </c>
      <c r="D1096" s="182">
        <f t="shared" si="37"/>
        <v>-1.8044270103670521E-2</v>
      </c>
      <c r="E1096" s="182">
        <v>3.0695770804910977E-3</v>
      </c>
      <c r="F1096" s="168"/>
      <c r="G1096" s="168">
        <v>1093</v>
      </c>
      <c r="H1096" s="183">
        <f t="shared" ca="1" si="38"/>
        <v>3.1526897175551986E-4</v>
      </c>
      <c r="K1096" s="36"/>
    </row>
    <row r="1097" spans="2:11">
      <c r="B1097" s="36">
        <v>44595</v>
      </c>
      <c r="C1097" s="182">
        <v>1784.5</v>
      </c>
      <c r="D1097" s="182">
        <f t="shared" si="37"/>
        <v>-1.7751479289940829E-2</v>
      </c>
      <c r="E1097" s="182">
        <v>3.0607039619112396E-3</v>
      </c>
      <c r="F1097" s="168"/>
      <c r="G1097" s="168">
        <v>1094</v>
      </c>
      <c r="H1097" s="183">
        <f t="shared" ca="1" si="38"/>
        <v>5.9874343249382324E-3</v>
      </c>
      <c r="K1097" s="36"/>
    </row>
    <row r="1098" spans="2:11">
      <c r="B1098" s="36" t="s">
        <v>9253</v>
      </c>
      <c r="C1098" s="182">
        <v>1816.75</v>
      </c>
      <c r="D1098" s="182">
        <f t="shared" si="37"/>
        <v>2.2340395599448549E-2</v>
      </c>
      <c r="E1098" s="182">
        <v>3.0574554194723116E-3</v>
      </c>
      <c r="F1098" s="168"/>
      <c r="G1098" s="168">
        <v>1095</v>
      </c>
      <c r="H1098" s="183">
        <f t="shared" ca="1" si="38"/>
        <v>-1.3417153281974771E-2</v>
      </c>
      <c r="K1098" s="36"/>
    </row>
    <row r="1099" spans="2:11">
      <c r="B1099" s="36" t="s">
        <v>9254</v>
      </c>
      <c r="C1099" s="182">
        <v>1777.05</v>
      </c>
      <c r="D1099" s="182">
        <f t="shared" si="37"/>
        <v>1.1210060602611914E-2</v>
      </c>
      <c r="E1099" s="182">
        <v>3.0559901044130283E-3</v>
      </c>
      <c r="F1099" s="168"/>
      <c r="G1099" s="168">
        <v>1096</v>
      </c>
      <c r="H1099" s="183">
        <f t="shared" ca="1" si="38"/>
        <v>-5.220250690540747E-4</v>
      </c>
      <c r="K1099" s="36"/>
    </row>
    <row r="1100" spans="2:11">
      <c r="B1100" s="36" t="s">
        <v>9255</v>
      </c>
      <c r="C1100" s="182">
        <v>1757.35</v>
      </c>
      <c r="D1100" s="182">
        <f t="shared" si="37"/>
        <v>-3.4582211723342332E-2</v>
      </c>
      <c r="E1100" s="182">
        <v>3.0533775633292781E-3</v>
      </c>
      <c r="F1100" s="168"/>
      <c r="G1100" s="168">
        <v>1097</v>
      </c>
      <c r="H1100" s="183">
        <f t="shared" ca="1" si="38"/>
        <v>-1.5027627762204235E-2</v>
      </c>
      <c r="K1100" s="36"/>
    </row>
    <row r="1101" spans="2:11">
      <c r="B1101" s="36" t="s">
        <v>9256</v>
      </c>
      <c r="C1101" s="182">
        <v>1820.3</v>
      </c>
      <c r="D1101" s="182">
        <f t="shared" si="37"/>
        <v>-1.3093334056222771E-2</v>
      </c>
      <c r="E1101" s="182">
        <v>3.0152536360411198E-3</v>
      </c>
      <c r="F1101" s="168"/>
      <c r="G1101" s="168">
        <v>1098</v>
      </c>
      <c r="H1101" s="183">
        <f t="shared" ca="1" si="38"/>
        <v>2.5466444442891256E-2</v>
      </c>
      <c r="K1101" s="36"/>
    </row>
    <row r="1102" spans="2:11">
      <c r="B1102" s="36" t="s">
        <v>9257</v>
      </c>
      <c r="C1102" s="182">
        <v>1844.45</v>
      </c>
      <c r="D1102" s="182">
        <f t="shared" si="37"/>
        <v>-1.0461654014324419E-2</v>
      </c>
      <c r="E1102" s="182">
        <v>3.00731780666288E-3</v>
      </c>
      <c r="F1102" s="168"/>
      <c r="G1102" s="168">
        <v>1099</v>
      </c>
      <c r="H1102" s="183">
        <f t="shared" ca="1" si="38"/>
        <v>2.7719708858444287E-2</v>
      </c>
      <c r="K1102" s="36"/>
    </row>
    <row r="1103" spans="2:11">
      <c r="B1103" s="36" t="s">
        <v>9258</v>
      </c>
      <c r="C1103" s="182">
        <v>1863.95</v>
      </c>
      <c r="D1103" s="182">
        <f t="shared" si="37"/>
        <v>-1.0169401518772166E-2</v>
      </c>
      <c r="E1103" s="182">
        <v>3.0001904882849127E-3</v>
      </c>
      <c r="F1103" s="168"/>
      <c r="G1103" s="168">
        <v>1100</v>
      </c>
      <c r="H1103" s="183">
        <f t="shared" ca="1" si="38"/>
        <v>3.7709288920539838E-3</v>
      </c>
      <c r="K1103" s="36"/>
    </row>
    <row r="1104" spans="2:11">
      <c r="B1104" s="36" t="s">
        <v>9259</v>
      </c>
      <c r="C1104" s="182">
        <v>1883.1</v>
      </c>
      <c r="D1104" s="182">
        <f t="shared" si="37"/>
        <v>7.7058917964359522E-3</v>
      </c>
      <c r="E1104" s="182">
        <v>2.9962881803140616E-3</v>
      </c>
      <c r="F1104" s="168"/>
      <c r="G1104" s="168">
        <v>1101</v>
      </c>
      <c r="H1104" s="183">
        <f t="shared" ca="1" si="38"/>
        <v>-6.7891273330421128E-3</v>
      </c>
      <c r="K1104" s="36"/>
    </row>
    <row r="1105" spans="2:11">
      <c r="B1105" s="36" t="s">
        <v>9260</v>
      </c>
      <c r="C1105" s="182">
        <v>1868.7</v>
      </c>
      <c r="D1105" s="182">
        <f t="shared" si="37"/>
        <v>4.2994571935293172E-3</v>
      </c>
      <c r="E1105" s="182">
        <v>2.9842606759274411E-3</v>
      </c>
      <c r="F1105" s="168"/>
      <c r="G1105" s="168">
        <v>1102</v>
      </c>
      <c r="H1105" s="183">
        <f t="shared" ca="1" si="38"/>
        <v>2.4908336039168588E-3</v>
      </c>
      <c r="K1105" s="36"/>
    </row>
    <row r="1106" spans="2:11">
      <c r="B1106" s="36" t="s">
        <v>9261</v>
      </c>
      <c r="C1106" s="182">
        <v>1860.7</v>
      </c>
      <c r="D1106" s="182">
        <f t="shared" si="37"/>
        <v>-8.1820846992350475E-3</v>
      </c>
      <c r="E1106" s="182">
        <v>2.953439888811556E-3</v>
      </c>
      <c r="F1106" s="168"/>
      <c r="G1106" s="168">
        <v>1103</v>
      </c>
      <c r="H1106" s="183">
        <f t="shared" ca="1" si="38"/>
        <v>4.012639300534207E-3</v>
      </c>
      <c r="K1106" s="36"/>
    </row>
    <row r="1107" spans="2:11">
      <c r="B1107" s="36" t="s">
        <v>9262</v>
      </c>
      <c r="C1107" s="182">
        <v>1876.05</v>
      </c>
      <c r="D1107" s="182">
        <f t="shared" si="37"/>
        <v>4.2829349638688133E-2</v>
      </c>
      <c r="E1107" s="182">
        <v>2.9390154298310324E-3</v>
      </c>
      <c r="F1107" s="168"/>
      <c r="G1107" s="168">
        <v>1104</v>
      </c>
      <c r="H1107" s="183">
        <f t="shared" ca="1" si="38"/>
        <v>-4.6457071598424464E-3</v>
      </c>
      <c r="K1107" s="36"/>
    </row>
    <row r="1108" spans="2:11">
      <c r="B1108" s="36" t="s">
        <v>9263</v>
      </c>
      <c r="C1108" s="182">
        <v>1799</v>
      </c>
      <c r="D1108" s="182">
        <f t="shared" si="37"/>
        <v>-3.8610554442217768E-2</v>
      </c>
      <c r="E1108" s="182">
        <v>2.9346064561343232E-3</v>
      </c>
      <c r="F1108" s="168"/>
      <c r="G1108" s="168">
        <v>1105</v>
      </c>
      <c r="H1108" s="183">
        <f t="shared" ca="1" si="38"/>
        <v>-8.7037781828820972E-3</v>
      </c>
      <c r="K1108" s="36"/>
    </row>
    <row r="1109" spans="2:11">
      <c r="B1109" s="36">
        <v>44867</v>
      </c>
      <c r="C1109" s="182">
        <v>1871.25</v>
      </c>
      <c r="D1109" s="182">
        <f t="shared" si="37"/>
        <v>-1.5649658074697526E-2</v>
      </c>
      <c r="E1109" s="182">
        <v>2.9083029197081072E-3</v>
      </c>
      <c r="F1109" s="168"/>
      <c r="G1109" s="168">
        <v>1106</v>
      </c>
      <c r="H1109" s="183">
        <f t="shared" ca="1" si="38"/>
        <v>-4.6559708522528687E-3</v>
      </c>
      <c r="K1109" s="36"/>
    </row>
    <row r="1110" spans="2:11">
      <c r="B1110" s="36">
        <v>44836</v>
      </c>
      <c r="C1110" s="182">
        <v>1901</v>
      </c>
      <c r="D1110" s="182">
        <f t="shared" si="37"/>
        <v>6.4591274883524169E-3</v>
      </c>
      <c r="E1110" s="182">
        <v>2.8964392875105915E-3</v>
      </c>
      <c r="F1110" s="168"/>
      <c r="G1110" s="168">
        <v>1107</v>
      </c>
      <c r="H1110" s="183">
        <f t="shared" ca="1" si="38"/>
        <v>7.4430158867118271E-3</v>
      </c>
      <c r="K1110" s="36"/>
    </row>
    <row r="1111" spans="2:11">
      <c r="B1111" s="36">
        <v>44806</v>
      </c>
      <c r="C1111" s="182">
        <v>1888.8</v>
      </c>
      <c r="D1111" s="182">
        <f t="shared" si="37"/>
        <v>7.0377479206654115E-3</v>
      </c>
      <c r="E1111" s="182">
        <v>2.8951939779965257E-3</v>
      </c>
      <c r="F1111" s="168"/>
      <c r="G1111" s="168">
        <v>1108</v>
      </c>
      <c r="H1111" s="183">
        <f t="shared" ca="1" si="38"/>
        <v>-3.6826830228571701E-3</v>
      </c>
      <c r="K1111" s="36"/>
    </row>
    <row r="1112" spans="2:11">
      <c r="B1112" s="36">
        <v>44775</v>
      </c>
      <c r="C1112" s="182">
        <v>1875.6</v>
      </c>
      <c r="D1112" s="182">
        <f t="shared" si="37"/>
        <v>-4.7227381268241395E-3</v>
      </c>
      <c r="E1112" s="182">
        <v>2.8878274171895975E-3</v>
      </c>
      <c r="F1112" s="168"/>
      <c r="G1112" s="168">
        <v>1109</v>
      </c>
      <c r="H1112" s="183">
        <f t="shared" ca="1" si="38"/>
        <v>1.1241599909782244E-2</v>
      </c>
      <c r="K1112" s="36"/>
    </row>
    <row r="1113" spans="2:11">
      <c r="B1113" s="36">
        <v>44744</v>
      </c>
      <c r="C1113" s="182">
        <v>1884.5</v>
      </c>
      <c r="D1113" s="182">
        <f t="shared" si="37"/>
        <v>-3.2572704638209424E-2</v>
      </c>
      <c r="E1113" s="182">
        <v>2.8858486532705556E-3</v>
      </c>
      <c r="F1113" s="168"/>
      <c r="G1113" s="168">
        <v>1110</v>
      </c>
      <c r="H1113" s="183">
        <f t="shared" ca="1" si="38"/>
        <v>1.1117815775941351E-2</v>
      </c>
      <c r="K1113" s="36"/>
    </row>
    <row r="1114" spans="2:11">
      <c r="B1114" s="36">
        <v>44653</v>
      </c>
      <c r="C1114" s="182">
        <v>1947.95</v>
      </c>
      <c r="D1114" s="182">
        <f t="shared" si="37"/>
        <v>7.3953404183797243E-3</v>
      </c>
      <c r="E1114" s="182">
        <v>2.8723147477672305E-3</v>
      </c>
      <c r="F1114" s="168"/>
      <c r="G1114" s="168">
        <v>1111</v>
      </c>
      <c r="H1114" s="183">
        <f t="shared" ca="1" si="38"/>
        <v>-4.8618244028274084E-3</v>
      </c>
      <c r="K1114" s="36"/>
    </row>
    <row r="1115" spans="2:11">
      <c r="B1115" s="36">
        <v>44622</v>
      </c>
      <c r="C1115" s="182">
        <v>1933.65</v>
      </c>
      <c r="D1115" s="182">
        <f t="shared" si="37"/>
        <v>-2.4738992283250091E-2</v>
      </c>
      <c r="E1115" s="182">
        <v>2.8707953236254782E-3</v>
      </c>
      <c r="F1115" s="168"/>
      <c r="G1115" s="168">
        <v>1112</v>
      </c>
      <c r="H1115" s="183">
        <f t="shared" ca="1" si="38"/>
        <v>5.5150346931783743E-3</v>
      </c>
      <c r="K1115" s="36"/>
    </row>
    <row r="1116" spans="2:11">
      <c r="B1116" s="36">
        <v>44594</v>
      </c>
      <c r="C1116" s="182">
        <v>1982.7</v>
      </c>
      <c r="D1116" s="182">
        <f t="shared" si="37"/>
        <v>-3.9186134137151243E-3</v>
      </c>
      <c r="E1116" s="182">
        <v>2.858753422451244E-3</v>
      </c>
      <c r="F1116" s="168"/>
      <c r="G1116" s="168">
        <v>1113</v>
      </c>
      <c r="H1116" s="183">
        <f t="shared" ca="1" si="38"/>
        <v>-1.3223543977752134E-4</v>
      </c>
      <c r="K1116" s="36"/>
    </row>
    <row r="1117" spans="2:11">
      <c r="B1117" s="36">
        <v>44563</v>
      </c>
      <c r="C1117" s="182">
        <v>1990.5</v>
      </c>
      <c r="D1117" s="182">
        <f t="shared" si="37"/>
        <v>4.2583280955373955E-2</v>
      </c>
      <c r="E1117" s="182">
        <v>2.854293476391804E-3</v>
      </c>
      <c r="F1117" s="168"/>
      <c r="G1117" s="168">
        <v>1114</v>
      </c>
      <c r="H1117" s="183">
        <f t="shared" ca="1" si="38"/>
        <v>8.327021140092962E-5</v>
      </c>
      <c r="K1117" s="36"/>
    </row>
    <row r="1118" spans="2:11">
      <c r="B1118" s="36" t="s">
        <v>9264</v>
      </c>
      <c r="C1118" s="182">
        <v>1909.2</v>
      </c>
      <c r="D1118" s="182">
        <f t="shared" si="37"/>
        <v>6.1394956654634084E-3</v>
      </c>
      <c r="E1118" s="182">
        <v>2.8425798862967821E-3</v>
      </c>
      <c r="F1118" s="168"/>
      <c r="G1118" s="168">
        <v>1115</v>
      </c>
      <c r="H1118" s="183">
        <f t="shared" ca="1" si="38"/>
        <v>1.0737206122607014E-2</v>
      </c>
      <c r="K1118" s="36"/>
    </row>
    <row r="1119" spans="2:11">
      <c r="B1119" s="36" t="s">
        <v>9265</v>
      </c>
      <c r="C1119" s="182">
        <v>1897.55</v>
      </c>
      <c r="D1119" s="182">
        <f t="shared" si="37"/>
        <v>-6.9602532904204702E-3</v>
      </c>
      <c r="E1119" s="182">
        <v>2.8358802066399008E-3</v>
      </c>
      <c r="F1119" s="168"/>
      <c r="G1119" s="168">
        <v>1116</v>
      </c>
      <c r="H1119" s="183">
        <f t="shared" ca="1" si="38"/>
        <v>1.7142900938817499E-2</v>
      </c>
      <c r="K1119" s="36"/>
    </row>
    <row r="1120" spans="2:11">
      <c r="B1120" s="36" t="s">
        <v>9266</v>
      </c>
      <c r="C1120" s="182">
        <v>1910.85</v>
      </c>
      <c r="D1120" s="182">
        <f t="shared" si="37"/>
        <v>-7.5053238456344708E-3</v>
      </c>
      <c r="E1120" s="182">
        <v>2.8329234012648532E-3</v>
      </c>
      <c r="F1120" s="168"/>
      <c r="G1120" s="168">
        <v>1117</v>
      </c>
      <c r="H1120" s="183">
        <f t="shared" ca="1" si="38"/>
        <v>2.3594688603594252E-3</v>
      </c>
      <c r="K1120" s="36"/>
    </row>
    <row r="1121" spans="2:11">
      <c r="B1121" s="36" t="s">
        <v>9267</v>
      </c>
      <c r="C1121" s="182">
        <v>1925.3</v>
      </c>
      <c r="D1121" s="182">
        <f t="shared" si="37"/>
        <v>1.3369124690773126E-2</v>
      </c>
      <c r="E1121" s="182">
        <v>2.8298073035979282E-3</v>
      </c>
      <c r="F1121" s="168"/>
      <c r="G1121" s="168">
        <v>1118</v>
      </c>
      <c r="H1121" s="183">
        <f t="shared" ca="1" si="38"/>
        <v>-8.4438316299428537E-4</v>
      </c>
      <c r="K1121" s="36"/>
    </row>
    <row r="1122" spans="2:11">
      <c r="B1122" s="36" t="s">
        <v>9268</v>
      </c>
      <c r="C1122" s="182">
        <v>1899.9</v>
      </c>
      <c r="D1122" s="182">
        <f t="shared" si="37"/>
        <v>-2.8705810178676346E-2</v>
      </c>
      <c r="E1122" s="182">
        <v>2.8211520797795267E-3</v>
      </c>
      <c r="F1122" s="168"/>
      <c r="G1122" s="168">
        <v>1119</v>
      </c>
      <c r="H1122" s="183">
        <f t="shared" ca="1" si="38"/>
        <v>-2.4148572097320378E-2</v>
      </c>
      <c r="K1122" s="36"/>
    </row>
    <row r="1123" spans="2:11">
      <c r="B1123" s="36" t="s">
        <v>9269</v>
      </c>
      <c r="C1123" s="182">
        <v>1956.05</v>
      </c>
      <c r="D1123" s="182">
        <f t="shared" si="37"/>
        <v>-2.3683553780883475E-2</v>
      </c>
      <c r="E1123" s="182">
        <v>2.8110862212852336E-3</v>
      </c>
      <c r="F1123" s="168"/>
      <c r="G1123" s="168">
        <v>1120</v>
      </c>
      <c r="H1123" s="183">
        <f t="shared" ca="1" si="38"/>
        <v>3.4795945950168768E-3</v>
      </c>
      <c r="K1123" s="36"/>
    </row>
    <row r="1124" spans="2:11">
      <c r="B1124" s="36" t="s">
        <v>9270</v>
      </c>
      <c r="C1124" s="182">
        <v>2003.5</v>
      </c>
      <c r="D1124" s="182">
        <f t="shared" si="37"/>
        <v>-8.6100252362809101E-3</v>
      </c>
      <c r="E1124" s="182">
        <v>2.8090983574578727E-3</v>
      </c>
      <c r="F1124" s="168"/>
      <c r="G1124" s="168">
        <v>1121</v>
      </c>
      <c r="H1124" s="183">
        <f t="shared" ca="1" si="38"/>
        <v>8.7332092021899042E-3</v>
      </c>
      <c r="K1124" s="36"/>
    </row>
    <row r="1125" spans="2:11">
      <c r="B1125" s="36" t="s">
        <v>9271</v>
      </c>
      <c r="C1125" s="182">
        <v>2020.9</v>
      </c>
      <c r="D1125" s="182">
        <f t="shared" si="37"/>
        <v>-6.4286420729895886E-4</v>
      </c>
      <c r="E1125" s="182">
        <v>2.7977131735799198E-3</v>
      </c>
      <c r="F1125" s="168"/>
      <c r="G1125" s="168">
        <v>1122</v>
      </c>
      <c r="H1125" s="183">
        <f t="shared" ca="1" si="38"/>
        <v>1.8922795805113989E-2</v>
      </c>
      <c r="K1125" s="36"/>
    </row>
    <row r="1126" spans="2:11">
      <c r="B1126" s="36" t="s">
        <v>9272</v>
      </c>
      <c r="C1126" s="182">
        <v>2022.2</v>
      </c>
      <c r="D1126" s="182">
        <f t="shared" si="37"/>
        <v>-2.2808543539190124E-2</v>
      </c>
      <c r="E1126" s="182">
        <v>2.7907714263062499E-3</v>
      </c>
      <c r="F1126" s="168"/>
      <c r="G1126" s="168">
        <v>1123</v>
      </c>
      <c r="H1126" s="183">
        <f t="shared" ca="1" si="38"/>
        <v>-4.0932357950928368E-3</v>
      </c>
      <c r="K1126" s="36"/>
    </row>
    <row r="1127" spans="2:11">
      <c r="B1127" s="36" t="s">
        <v>9273</v>
      </c>
      <c r="C1127" s="182">
        <v>2069.4</v>
      </c>
      <c r="D1127" s="182">
        <f t="shared" si="37"/>
        <v>1.2055263479643032E-2</v>
      </c>
      <c r="E1127" s="182">
        <v>2.779895081379105E-3</v>
      </c>
      <c r="F1127" s="168"/>
      <c r="G1127" s="168">
        <v>1124</v>
      </c>
      <c r="H1127" s="183">
        <f t="shared" ca="1" si="38"/>
        <v>-1.9114885018973408E-3</v>
      </c>
      <c r="K1127" s="36"/>
    </row>
    <row r="1128" spans="2:11">
      <c r="B1128" s="36" t="s">
        <v>9274</v>
      </c>
      <c r="C1128" s="182">
        <v>2044.75</v>
      </c>
      <c r="D1128" s="182">
        <f t="shared" si="37"/>
        <v>1.3054894966309903E-2</v>
      </c>
      <c r="E1128" s="182">
        <v>2.7796444498747355E-3</v>
      </c>
      <c r="F1128" s="168"/>
      <c r="G1128" s="168">
        <v>1125</v>
      </c>
      <c r="H1128" s="183">
        <f t="shared" ca="1" si="38"/>
        <v>6.7044195582740664E-3</v>
      </c>
      <c r="K1128" s="36"/>
    </row>
    <row r="1129" spans="2:11">
      <c r="B1129" s="36" t="s">
        <v>9275</v>
      </c>
      <c r="C1129" s="182">
        <v>2018.4</v>
      </c>
      <c r="D1129" s="182">
        <f t="shared" si="37"/>
        <v>2.2388815722824459E-2</v>
      </c>
      <c r="E1129" s="182">
        <v>2.7629947094931421E-3</v>
      </c>
      <c r="F1129" s="168"/>
      <c r="G1129" s="168">
        <v>1126</v>
      </c>
      <c r="H1129" s="183">
        <f t="shared" ca="1" si="38"/>
        <v>3.2921913066582213E-3</v>
      </c>
      <c r="K1129" s="36"/>
    </row>
    <row r="1130" spans="2:11">
      <c r="B1130" s="36">
        <v>44896</v>
      </c>
      <c r="C1130" s="182">
        <v>1974.2</v>
      </c>
      <c r="D1130" s="182">
        <f t="shared" si="37"/>
        <v>6.6542589807000755E-3</v>
      </c>
      <c r="E1130" s="182">
        <v>2.7325102880659037E-3</v>
      </c>
      <c r="F1130" s="168"/>
      <c r="G1130" s="168">
        <v>1127</v>
      </c>
      <c r="H1130" s="183">
        <f t="shared" ca="1" si="38"/>
        <v>1.5012321131183823E-2</v>
      </c>
      <c r="K1130" s="36"/>
    </row>
    <row r="1131" spans="2:11">
      <c r="B1131" s="36">
        <v>44866</v>
      </c>
      <c r="C1131" s="182">
        <v>1961.15</v>
      </c>
      <c r="D1131" s="182">
        <f t="shared" si="37"/>
        <v>4.1216527571553852E-3</v>
      </c>
      <c r="E1131" s="182">
        <v>2.7316599386894105E-3</v>
      </c>
      <c r="F1131" s="168"/>
      <c r="G1131" s="168">
        <v>1128</v>
      </c>
      <c r="H1131" s="183">
        <f t="shared" ca="1" si="38"/>
        <v>9.9892690237154934E-3</v>
      </c>
      <c r="K1131" s="36"/>
    </row>
    <row r="1132" spans="2:11">
      <c r="B1132" s="36">
        <v>44835</v>
      </c>
      <c r="C1132" s="182">
        <v>1953.1</v>
      </c>
      <c r="D1132" s="182">
        <f t="shared" si="37"/>
        <v>2.5303165520499667E-2</v>
      </c>
      <c r="E1132" s="182">
        <v>2.7275023150096504E-3</v>
      </c>
      <c r="F1132" s="168"/>
      <c r="G1132" s="168">
        <v>1129</v>
      </c>
      <c r="H1132" s="183">
        <f t="shared" ca="1" si="38"/>
        <v>7.6371263212022585E-3</v>
      </c>
      <c r="K1132" s="36"/>
    </row>
    <row r="1133" spans="2:11">
      <c r="B1133" s="36">
        <v>44743</v>
      </c>
      <c r="C1133" s="182">
        <v>1904.9</v>
      </c>
      <c r="D1133" s="182">
        <f t="shared" si="37"/>
        <v>-1.0184463497012164E-2</v>
      </c>
      <c r="E1133" s="182">
        <v>2.7215228364654482E-3</v>
      </c>
      <c r="F1133" s="168"/>
      <c r="G1133" s="168">
        <v>1130</v>
      </c>
      <c r="H1133" s="183">
        <f t="shared" ca="1" si="38"/>
        <v>9.265713591427957E-3</v>
      </c>
      <c r="K1133" s="36"/>
    </row>
    <row r="1134" spans="2:11">
      <c r="B1134" s="36">
        <v>44713</v>
      </c>
      <c r="C1134" s="182">
        <v>1924.5</v>
      </c>
      <c r="D1134" s="182">
        <f t="shared" si="37"/>
        <v>-1.2367853843785236E-2</v>
      </c>
      <c r="E1134" s="182">
        <v>2.7118377613583127E-3</v>
      </c>
      <c r="F1134" s="168"/>
      <c r="G1134" s="168">
        <v>1131</v>
      </c>
      <c r="H1134" s="183">
        <f t="shared" ca="1" si="38"/>
        <v>-1.4416483861144809E-2</v>
      </c>
      <c r="K1134" s="36"/>
    </row>
    <row r="1135" spans="2:11">
      <c r="B1135" s="36">
        <v>44682</v>
      </c>
      <c r="C1135" s="182">
        <v>1948.6</v>
      </c>
      <c r="D1135" s="182">
        <f t="shared" si="37"/>
        <v>5.7030786302288737E-3</v>
      </c>
      <c r="E1135" s="182">
        <v>2.7071406381750803E-3</v>
      </c>
      <c r="F1135" s="168"/>
      <c r="G1135" s="168">
        <v>1132</v>
      </c>
      <c r="H1135" s="183">
        <f t="shared" ca="1" si="38"/>
        <v>-2.8478846768204922E-2</v>
      </c>
      <c r="K1135" s="36"/>
    </row>
    <row r="1136" spans="2:11">
      <c r="B1136" s="36">
        <v>44652</v>
      </c>
      <c r="C1136" s="182">
        <v>1937.55</v>
      </c>
      <c r="D1136" s="182">
        <f t="shared" si="37"/>
        <v>7.644902098447641E-3</v>
      </c>
      <c r="E1136" s="182">
        <v>2.6919528757013717E-3</v>
      </c>
      <c r="F1136" s="168"/>
      <c r="G1136" s="168">
        <v>1133</v>
      </c>
      <c r="H1136" s="183">
        <f t="shared" ca="1" si="38"/>
        <v>-1.1370412576768525E-2</v>
      </c>
      <c r="K1136" s="36"/>
    </row>
    <row r="1137" spans="2:11">
      <c r="B1137" s="36">
        <v>44621</v>
      </c>
      <c r="C1137" s="182">
        <v>1922.85</v>
      </c>
      <c r="D1137" s="182">
        <f t="shared" si="37"/>
        <v>1.4214884751305352E-2</v>
      </c>
      <c r="E1137" s="182">
        <v>2.6839519927077298E-3</v>
      </c>
      <c r="F1137" s="168"/>
      <c r="G1137" s="168">
        <v>1134</v>
      </c>
      <c r="H1137" s="183">
        <f t="shared" ca="1" si="38"/>
        <v>6.634864111578322E-3</v>
      </c>
      <c r="K1137" s="36"/>
    </row>
    <row r="1138" spans="2:11">
      <c r="B1138" s="36" t="s">
        <v>9276</v>
      </c>
      <c r="C1138" s="182">
        <v>1895.9</v>
      </c>
      <c r="D1138" s="182">
        <f t="shared" si="37"/>
        <v>5.4091318873628067E-3</v>
      </c>
      <c r="E1138" s="182">
        <v>2.6824678704409151E-3</v>
      </c>
      <c r="F1138" s="168"/>
      <c r="G1138" s="168">
        <v>1135</v>
      </c>
      <c r="H1138" s="183">
        <f t="shared" ca="1" si="38"/>
        <v>-1.2246229188065168E-2</v>
      </c>
      <c r="K1138" s="36"/>
    </row>
    <row r="1139" spans="2:11">
      <c r="B1139" s="36" t="s">
        <v>9277</v>
      </c>
      <c r="C1139" s="182">
        <v>1885.7</v>
      </c>
      <c r="D1139" s="182">
        <f t="shared" si="37"/>
        <v>-4.8288782753251516E-3</v>
      </c>
      <c r="E1139" s="182">
        <v>2.6745329400197373E-3</v>
      </c>
      <c r="F1139" s="168"/>
      <c r="G1139" s="168">
        <v>1136</v>
      </c>
      <c r="H1139" s="183">
        <f t="shared" ca="1" si="38"/>
        <v>1.4627492053770445E-2</v>
      </c>
      <c r="K1139" s="36"/>
    </row>
    <row r="1140" spans="2:11">
      <c r="B1140" s="36" t="s">
        <v>9278</v>
      </c>
      <c r="C1140" s="182">
        <v>1894.85</v>
      </c>
      <c r="D1140" s="182">
        <f t="shared" si="37"/>
        <v>-2.44801263490397E-3</v>
      </c>
      <c r="E1140" s="182">
        <v>2.6720503533044357E-3</v>
      </c>
      <c r="F1140" s="168"/>
      <c r="G1140" s="168">
        <v>1137</v>
      </c>
      <c r="H1140" s="183">
        <f t="shared" ca="1" si="38"/>
        <v>-4.0083942983477876E-3</v>
      </c>
      <c r="K1140" s="36"/>
    </row>
    <row r="1141" spans="2:11">
      <c r="B1141" s="36" t="s">
        <v>9279</v>
      </c>
      <c r="C1141" s="182">
        <v>1899.5</v>
      </c>
      <c r="D1141" s="182">
        <f t="shared" si="37"/>
        <v>1.7843746650948428E-2</v>
      </c>
      <c r="E1141" s="182">
        <v>2.6688907422852126E-3</v>
      </c>
      <c r="F1141" s="168"/>
      <c r="G1141" s="168">
        <v>1138</v>
      </c>
      <c r="H1141" s="183">
        <f t="shared" ca="1" si="38"/>
        <v>-3.5860980919146723E-3</v>
      </c>
      <c r="K1141" s="36"/>
    </row>
    <row r="1142" spans="2:11">
      <c r="B1142" s="36" t="s">
        <v>9280</v>
      </c>
      <c r="C1142" s="182">
        <v>1866.2</v>
      </c>
      <c r="D1142" s="182">
        <f t="shared" si="37"/>
        <v>3.6570936861352876E-3</v>
      </c>
      <c r="E1142" s="182">
        <v>2.6640874227923401E-3</v>
      </c>
      <c r="F1142" s="168"/>
      <c r="G1142" s="168">
        <v>1139</v>
      </c>
      <c r="H1142" s="183">
        <f t="shared" ca="1" si="38"/>
        <v>2.5028812231878254E-2</v>
      </c>
      <c r="K1142" s="36"/>
    </row>
    <row r="1143" spans="2:11">
      <c r="B1143" s="36" t="s">
        <v>9281</v>
      </c>
      <c r="C1143" s="182">
        <v>1859.4</v>
      </c>
      <c r="D1143" s="182">
        <f t="shared" si="37"/>
        <v>-1.0141339934520458E-2</v>
      </c>
      <c r="E1143" s="182">
        <v>2.6584950077115539E-3</v>
      </c>
      <c r="F1143" s="168"/>
      <c r="G1143" s="168">
        <v>1140</v>
      </c>
      <c r="H1143" s="183">
        <f t="shared" ca="1" si="38"/>
        <v>-2.1231052509811206E-3</v>
      </c>
      <c r="K1143" s="36"/>
    </row>
    <row r="1144" spans="2:11">
      <c r="B1144" s="36" t="s">
        <v>9282</v>
      </c>
      <c r="C1144" s="182">
        <v>1878.45</v>
      </c>
      <c r="D1144" s="182">
        <f t="shared" si="37"/>
        <v>3.9818278995189978E-3</v>
      </c>
      <c r="E1144" s="182">
        <v>2.6535077510359264E-3</v>
      </c>
      <c r="F1144" s="168"/>
      <c r="G1144" s="168">
        <v>1141</v>
      </c>
      <c r="H1144" s="183">
        <f t="shared" ca="1" si="38"/>
        <v>2.3314510590537263E-3</v>
      </c>
      <c r="K1144" s="36"/>
    </row>
    <row r="1145" spans="2:11">
      <c r="B1145" s="36" t="s">
        <v>9283</v>
      </c>
      <c r="C1145" s="182">
        <v>1871</v>
      </c>
      <c r="D1145" s="182">
        <f t="shared" si="37"/>
        <v>2.3774999316024212E-2</v>
      </c>
      <c r="E1145" s="182">
        <v>2.6489856129942764E-3</v>
      </c>
      <c r="F1145" s="168"/>
      <c r="G1145" s="168">
        <v>1142</v>
      </c>
      <c r="H1145" s="183">
        <f t="shared" ca="1" si="38"/>
        <v>4.6692101481539778E-3</v>
      </c>
      <c r="K1145" s="36"/>
    </row>
    <row r="1146" spans="2:11">
      <c r="B1146" s="36" t="s">
        <v>9284</v>
      </c>
      <c r="C1146" s="182">
        <v>1827.55</v>
      </c>
      <c r="D1146" s="182">
        <f t="shared" si="37"/>
        <v>1.5672326117764774E-2</v>
      </c>
      <c r="E1146" s="182">
        <v>2.6482174186500712E-3</v>
      </c>
      <c r="F1146" s="168"/>
      <c r="G1146" s="168">
        <v>1143</v>
      </c>
      <c r="H1146" s="183">
        <f t="shared" ca="1" si="38"/>
        <v>9.2709444586415047E-3</v>
      </c>
      <c r="K1146" s="36"/>
    </row>
    <row r="1147" spans="2:11">
      <c r="B1147" s="36" t="s">
        <v>9285</v>
      </c>
      <c r="C1147" s="182">
        <v>1799.35</v>
      </c>
      <c r="D1147" s="182">
        <f t="shared" si="37"/>
        <v>-2.5851334524389584E-2</v>
      </c>
      <c r="E1147" s="182">
        <v>2.6462594764697792E-3</v>
      </c>
      <c r="F1147" s="168"/>
      <c r="G1147" s="168">
        <v>1144</v>
      </c>
      <c r="H1147" s="183">
        <f t="shared" ca="1" si="38"/>
        <v>1.8474117921779382E-3</v>
      </c>
      <c r="K1147" s="36"/>
    </row>
    <row r="1148" spans="2:11">
      <c r="B1148" s="36" t="s">
        <v>9286</v>
      </c>
      <c r="C1148" s="182">
        <v>1847.1</v>
      </c>
      <c r="D1148" s="182">
        <f t="shared" si="37"/>
        <v>-1.4301723677891126E-2</v>
      </c>
      <c r="E1148" s="182">
        <v>2.6449768373415969E-3</v>
      </c>
      <c r="F1148" s="168"/>
      <c r="G1148" s="168">
        <v>1145</v>
      </c>
      <c r="H1148" s="183">
        <f t="shared" ca="1" si="38"/>
        <v>-1.336225851625939E-3</v>
      </c>
      <c r="K1148" s="36"/>
    </row>
    <row r="1149" spans="2:11">
      <c r="B1149" s="36" t="s">
        <v>9287</v>
      </c>
      <c r="C1149" s="182">
        <v>1873.9</v>
      </c>
      <c r="D1149" s="182">
        <f t="shared" si="37"/>
        <v>-3.6686516376009484E-3</v>
      </c>
      <c r="E1149" s="182">
        <v>2.6223636450855539E-3</v>
      </c>
      <c r="F1149" s="168"/>
      <c r="G1149" s="168">
        <v>1146</v>
      </c>
      <c r="H1149" s="183">
        <f t="shared" ca="1" si="38"/>
        <v>2.7481610163423761E-3</v>
      </c>
      <c r="K1149" s="36"/>
    </row>
    <row r="1150" spans="2:11">
      <c r="B1150" s="36" t="s">
        <v>9288</v>
      </c>
      <c r="C1150" s="182">
        <v>1880.8</v>
      </c>
      <c r="D1150" s="182">
        <f t="shared" si="37"/>
        <v>8.0934769791498676E-3</v>
      </c>
      <c r="E1150" s="182">
        <v>2.6194168034083349E-3</v>
      </c>
      <c r="F1150" s="168"/>
      <c r="G1150" s="168">
        <v>1147</v>
      </c>
      <c r="H1150" s="183">
        <f t="shared" ca="1" si="38"/>
        <v>2.9400879983181753E-2</v>
      </c>
      <c r="K1150" s="36"/>
    </row>
    <row r="1151" spans="2:11">
      <c r="B1151" s="36" t="s">
        <v>9289</v>
      </c>
      <c r="C1151" s="182">
        <v>1865.7</v>
      </c>
      <c r="D1151" s="182">
        <f t="shared" si="37"/>
        <v>2.2562449637389447E-3</v>
      </c>
      <c r="E1151" s="182">
        <v>2.6086440979426473E-3</v>
      </c>
      <c r="F1151" s="168"/>
      <c r="G1151" s="168">
        <v>1148</v>
      </c>
      <c r="H1151" s="183">
        <f t="shared" ca="1" si="38"/>
        <v>1.0093650300389662E-2</v>
      </c>
      <c r="K1151" s="36"/>
    </row>
    <row r="1152" spans="2:11">
      <c r="B1152" s="36" t="s">
        <v>9290</v>
      </c>
      <c r="C1152" s="182">
        <v>1861.5</v>
      </c>
      <c r="D1152" s="182">
        <f t="shared" si="37"/>
        <v>-6.3520871143376159E-3</v>
      </c>
      <c r="E1152" s="182">
        <v>2.6036242449489688E-3</v>
      </c>
      <c r="F1152" s="168"/>
      <c r="G1152" s="168">
        <v>1149</v>
      </c>
      <c r="H1152" s="183">
        <f t="shared" ca="1" si="38"/>
        <v>-1.4562018137022549E-2</v>
      </c>
      <c r="K1152" s="36"/>
    </row>
    <row r="1153" spans="2:11">
      <c r="B1153" s="36">
        <v>44481</v>
      </c>
      <c r="C1153" s="182">
        <v>1873.4</v>
      </c>
      <c r="D1153" s="182">
        <f t="shared" si="37"/>
        <v>-3.4046175125012576E-3</v>
      </c>
      <c r="E1153" s="182">
        <v>2.5775338820986618E-3</v>
      </c>
      <c r="F1153" s="168"/>
      <c r="G1153" s="168">
        <v>1150</v>
      </c>
      <c r="H1153" s="183">
        <f t="shared" ca="1" si="38"/>
        <v>8.3055253766175265E-3</v>
      </c>
      <c r="K1153" s="36"/>
    </row>
    <row r="1154" spans="2:11">
      <c r="B1154" s="36">
        <v>44451</v>
      </c>
      <c r="C1154" s="182">
        <v>1879.8</v>
      </c>
      <c r="D1154" s="182">
        <f t="shared" si="37"/>
        <v>2.9999178104709461E-2</v>
      </c>
      <c r="E1154" s="182">
        <v>2.5660655551774207E-3</v>
      </c>
      <c r="F1154" s="168"/>
      <c r="G1154" s="168">
        <v>1151</v>
      </c>
      <c r="H1154" s="183">
        <f t="shared" ca="1" si="38"/>
        <v>7.9813568806881025E-3</v>
      </c>
      <c r="K1154" s="36"/>
    </row>
    <row r="1155" spans="2:11">
      <c r="B1155" s="36">
        <v>44420</v>
      </c>
      <c r="C1155" s="182">
        <v>1825.05</v>
      </c>
      <c r="D1155" s="182">
        <f t="shared" si="37"/>
        <v>1.4988042934208357E-2</v>
      </c>
      <c r="E1155" s="182">
        <v>2.5642519960369856E-3</v>
      </c>
      <c r="F1155" s="168"/>
      <c r="G1155" s="168">
        <v>1152</v>
      </c>
      <c r="H1155" s="183">
        <f t="shared" ca="1" si="38"/>
        <v>-2.1906867951685696E-2</v>
      </c>
      <c r="K1155" s="36"/>
    </row>
    <row r="1156" spans="2:11">
      <c r="B1156" s="36">
        <v>44389</v>
      </c>
      <c r="C1156" s="182">
        <v>1798.1</v>
      </c>
      <c r="D1156" s="182">
        <f t="shared" ref="D1156:D1219" si="39">(C1156-C1157)/C1157</f>
        <v>8.6668723529575737E-3</v>
      </c>
      <c r="E1156" s="182">
        <v>2.5430486411929208E-3</v>
      </c>
      <c r="F1156" s="168"/>
      <c r="G1156" s="168">
        <v>1153</v>
      </c>
      <c r="H1156" s="183">
        <f t="shared" ca="1" si="38"/>
        <v>5.7172582156340534E-4</v>
      </c>
      <c r="K1156" s="36"/>
    </row>
    <row r="1157" spans="2:11">
      <c r="B1157" s="36">
        <v>44359</v>
      </c>
      <c r="C1157" s="182">
        <v>1782.65</v>
      </c>
      <c r="D1157" s="182">
        <f t="shared" si="39"/>
        <v>-1.0326162387231039E-2</v>
      </c>
      <c r="E1157" s="182">
        <v>2.5284167188759023E-3</v>
      </c>
      <c r="F1157" s="168"/>
      <c r="G1157" s="168">
        <v>1154</v>
      </c>
      <c r="H1157" s="183">
        <f t="shared" ref="H1157:H1220" ca="1" si="40">_xlfn.NORM.INV(RAND(),N$6,N$7)</f>
        <v>5.059952214648198E-3</v>
      </c>
      <c r="K1157" s="36"/>
    </row>
    <row r="1158" spans="2:11">
      <c r="B1158" s="36">
        <v>44267</v>
      </c>
      <c r="C1158" s="182">
        <v>1801.25</v>
      </c>
      <c r="D1158" s="182">
        <f t="shared" si="39"/>
        <v>6.7348535658394559E-3</v>
      </c>
      <c r="E1158" s="182">
        <v>2.5230610998617647E-3</v>
      </c>
      <c r="F1158" s="168"/>
      <c r="G1158" s="168">
        <v>1155</v>
      </c>
      <c r="H1158" s="183">
        <f t="shared" ca="1" si="40"/>
        <v>-4.2373236569199909E-3</v>
      </c>
      <c r="K1158" s="36"/>
    </row>
    <row r="1159" spans="2:11">
      <c r="B1159" s="36">
        <v>44239</v>
      </c>
      <c r="C1159" s="182">
        <v>1789.2</v>
      </c>
      <c r="D1159" s="182">
        <f t="shared" si="39"/>
        <v>1.7917133258678866E-3</v>
      </c>
      <c r="E1159" s="182">
        <v>2.5183253136665754E-3</v>
      </c>
      <c r="F1159" s="168"/>
      <c r="G1159" s="168">
        <v>1156</v>
      </c>
      <c r="H1159" s="183">
        <f t="shared" ca="1" si="40"/>
        <v>-1.9029036879386563E-2</v>
      </c>
      <c r="K1159" s="36"/>
    </row>
    <row r="1160" spans="2:11">
      <c r="B1160" s="36">
        <v>44208</v>
      </c>
      <c r="C1160" s="182">
        <v>1786</v>
      </c>
      <c r="D1160" s="182">
        <f t="shared" si="39"/>
        <v>1.2041365632525853E-2</v>
      </c>
      <c r="E1160" s="182">
        <v>2.5124193456290134E-3</v>
      </c>
      <c r="F1160" s="168"/>
      <c r="G1160" s="168">
        <v>1157</v>
      </c>
      <c r="H1160" s="183">
        <f t="shared" ca="1" si="40"/>
        <v>1.3472344826029863E-3</v>
      </c>
      <c r="K1160" s="36"/>
    </row>
    <row r="1161" spans="2:11">
      <c r="B1161" s="36" t="s">
        <v>9291</v>
      </c>
      <c r="C1161" s="182">
        <v>1764.75</v>
      </c>
      <c r="D1161" s="182">
        <f t="shared" si="39"/>
        <v>-1.4146272457207527E-3</v>
      </c>
      <c r="E1161" s="182">
        <v>2.4984164965866384E-3</v>
      </c>
      <c r="F1161" s="168"/>
      <c r="G1161" s="168">
        <v>1158</v>
      </c>
      <c r="H1161" s="183">
        <f t="shared" ca="1" si="40"/>
        <v>-5.4728940846048282E-3</v>
      </c>
      <c r="K1161" s="36"/>
    </row>
    <row r="1162" spans="2:11">
      <c r="B1162" s="36" t="s">
        <v>9292</v>
      </c>
      <c r="C1162" s="182">
        <v>1767.25</v>
      </c>
      <c r="D1162" s="182">
        <f t="shared" si="39"/>
        <v>-6.1299665382561035E-3</v>
      </c>
      <c r="E1162" s="182">
        <v>2.4909142880476577E-3</v>
      </c>
      <c r="F1162" s="168"/>
      <c r="G1162" s="168">
        <v>1159</v>
      </c>
      <c r="H1162" s="183">
        <f t="shared" ca="1" si="40"/>
        <v>1.1301389902709574E-3</v>
      </c>
      <c r="K1162" s="36"/>
    </row>
    <row r="1163" spans="2:11">
      <c r="B1163" s="36" t="s">
        <v>9293</v>
      </c>
      <c r="C1163" s="182">
        <v>1778.15</v>
      </c>
      <c r="D1163" s="182">
        <f t="shared" si="39"/>
        <v>-3.8785880317855015E-2</v>
      </c>
      <c r="E1163" s="182">
        <v>2.4886006036863402E-3</v>
      </c>
      <c r="F1163" s="168"/>
      <c r="G1163" s="168">
        <v>1160</v>
      </c>
      <c r="H1163" s="183">
        <f t="shared" ca="1" si="40"/>
        <v>1.973327183509955E-3</v>
      </c>
      <c r="K1163" s="36"/>
    </row>
    <row r="1164" spans="2:11">
      <c r="B1164" s="36" t="s">
        <v>9294</v>
      </c>
      <c r="C1164" s="182">
        <v>1849.9</v>
      </c>
      <c r="D1164" s="182">
        <f t="shared" si="39"/>
        <v>-6.7651006711408907E-3</v>
      </c>
      <c r="E1164" s="182">
        <v>2.4878147847279099E-3</v>
      </c>
      <c r="F1164" s="168"/>
      <c r="G1164" s="168">
        <v>1161</v>
      </c>
      <c r="H1164" s="183">
        <f t="shared" ca="1" si="40"/>
        <v>2.7540186402476543E-2</v>
      </c>
      <c r="K1164" s="36"/>
    </row>
    <row r="1165" spans="2:11">
      <c r="B1165" s="36" t="s">
        <v>9295</v>
      </c>
      <c r="C1165" s="182">
        <v>1862.5</v>
      </c>
      <c r="D1165" s="182">
        <f t="shared" si="39"/>
        <v>-1.2643464892517248E-2</v>
      </c>
      <c r="E1165" s="182">
        <v>2.4857180236362449E-3</v>
      </c>
      <c r="F1165" s="168"/>
      <c r="G1165" s="168">
        <v>1162</v>
      </c>
      <c r="H1165" s="183">
        <f t="shared" ca="1" si="40"/>
        <v>-8.4828792701164522E-3</v>
      </c>
      <c r="K1165" s="36"/>
    </row>
    <row r="1166" spans="2:11">
      <c r="B1166" s="36" t="s">
        <v>9296</v>
      </c>
      <c r="C1166" s="182">
        <v>1886.35</v>
      </c>
      <c r="D1166" s="182">
        <f t="shared" si="39"/>
        <v>1.1718959506570077E-2</v>
      </c>
      <c r="E1166" s="182">
        <v>2.445189750028943E-3</v>
      </c>
      <c r="F1166" s="168"/>
      <c r="G1166" s="168">
        <v>1163</v>
      </c>
      <c r="H1166" s="183">
        <f t="shared" ca="1" si="40"/>
        <v>-5.9625082737205758E-4</v>
      </c>
      <c r="K1166" s="36"/>
    </row>
    <row r="1167" spans="2:11">
      <c r="B1167" s="36" t="s">
        <v>9297</v>
      </c>
      <c r="C1167" s="182">
        <v>1864.5</v>
      </c>
      <c r="D1167" s="182">
        <f t="shared" si="39"/>
        <v>-1.7132314180284661E-2</v>
      </c>
      <c r="E1167" s="182">
        <v>2.4448958098247198E-3</v>
      </c>
      <c r="F1167" s="168"/>
      <c r="G1167" s="168">
        <v>1164</v>
      </c>
      <c r="H1167" s="183">
        <f t="shared" ca="1" si="40"/>
        <v>2.4526291082537276E-3</v>
      </c>
      <c r="K1167" s="36"/>
    </row>
    <row r="1168" spans="2:11">
      <c r="B1168" s="36" t="s">
        <v>9298</v>
      </c>
      <c r="C1168" s="182">
        <v>1897</v>
      </c>
      <c r="D1168" s="182">
        <f t="shared" si="39"/>
        <v>-2.8624097496031588E-2</v>
      </c>
      <c r="E1168" s="182">
        <v>2.440083541843335E-3</v>
      </c>
      <c r="F1168" s="168"/>
      <c r="G1168" s="168">
        <v>1165</v>
      </c>
      <c r="H1168" s="183">
        <f t="shared" ca="1" si="40"/>
        <v>-1.3766696820351341E-2</v>
      </c>
      <c r="K1168" s="36"/>
    </row>
    <row r="1169" spans="2:11">
      <c r="B1169" s="36" t="s">
        <v>9299</v>
      </c>
      <c r="C1169" s="182">
        <v>1952.9</v>
      </c>
      <c r="D1169" s="182">
        <f t="shared" si="39"/>
        <v>-1.2274331304658434E-3</v>
      </c>
      <c r="E1169" s="182">
        <v>2.4301138402323362E-3</v>
      </c>
      <c r="F1169" s="168"/>
      <c r="G1169" s="168">
        <v>1166</v>
      </c>
      <c r="H1169" s="183">
        <f t="shared" ca="1" si="40"/>
        <v>1.6175667571625633E-2</v>
      </c>
      <c r="K1169" s="36"/>
    </row>
    <row r="1170" spans="2:11">
      <c r="B1170" s="36" t="s">
        <v>9300</v>
      </c>
      <c r="C1170" s="182">
        <v>1955.3</v>
      </c>
      <c r="D1170" s="182">
        <f t="shared" si="39"/>
        <v>4.237179322564906E-3</v>
      </c>
      <c r="E1170" s="182">
        <v>2.4282094594595145E-3</v>
      </c>
      <c r="F1170" s="168"/>
      <c r="G1170" s="168">
        <v>1167</v>
      </c>
      <c r="H1170" s="183">
        <f t="shared" ca="1" si="40"/>
        <v>1.8036754407334762E-2</v>
      </c>
      <c r="K1170" s="36"/>
    </row>
    <row r="1171" spans="2:11">
      <c r="B1171" s="36" t="s">
        <v>9301</v>
      </c>
      <c r="C1171" s="182">
        <v>1947.05</v>
      </c>
      <c r="D1171" s="182">
        <f t="shared" si="39"/>
        <v>-6.5818005561366823E-3</v>
      </c>
      <c r="E1171" s="182">
        <v>2.4258856266277272E-3</v>
      </c>
      <c r="F1171" s="168"/>
      <c r="G1171" s="168">
        <v>1168</v>
      </c>
      <c r="H1171" s="183">
        <f t="shared" ca="1" si="40"/>
        <v>8.7052424043402472E-3</v>
      </c>
      <c r="K1171" s="36"/>
    </row>
    <row r="1172" spans="2:11">
      <c r="B1172" s="36">
        <v>44541</v>
      </c>
      <c r="C1172" s="182">
        <v>1959.95</v>
      </c>
      <c r="D1172" s="182">
        <f t="shared" si="39"/>
        <v>1.4624424082414452E-2</v>
      </c>
      <c r="E1172" s="182">
        <v>2.401592288585767E-3</v>
      </c>
      <c r="F1172" s="168"/>
      <c r="G1172" s="168">
        <v>1169</v>
      </c>
      <c r="H1172" s="183">
        <f t="shared" ca="1" si="40"/>
        <v>2.2364757207100996E-3</v>
      </c>
      <c r="K1172" s="36"/>
    </row>
    <row r="1173" spans="2:11">
      <c r="B1173" s="36">
        <v>44511</v>
      </c>
      <c r="C1173" s="182">
        <v>1931.7</v>
      </c>
      <c r="D1173" s="182">
        <f t="shared" si="39"/>
        <v>-9.4608107068687251E-3</v>
      </c>
      <c r="E1173" s="182">
        <v>2.3931078493937461E-3</v>
      </c>
      <c r="F1173" s="168"/>
      <c r="G1173" s="168">
        <v>1170</v>
      </c>
      <c r="H1173" s="183">
        <f t="shared" ca="1" si="40"/>
        <v>2.0567849067279704E-4</v>
      </c>
      <c r="K1173" s="36"/>
    </row>
    <row r="1174" spans="2:11">
      <c r="B1174" s="36">
        <v>44480</v>
      </c>
      <c r="C1174" s="182">
        <v>1950.15</v>
      </c>
      <c r="D1174" s="182">
        <f t="shared" si="39"/>
        <v>3.3700349866228555E-3</v>
      </c>
      <c r="E1174" s="182">
        <v>2.3892666789193163E-3</v>
      </c>
      <c r="F1174" s="168"/>
      <c r="G1174" s="168">
        <v>1171</v>
      </c>
      <c r="H1174" s="183">
        <f t="shared" ca="1" si="40"/>
        <v>1.9532943337062059E-2</v>
      </c>
      <c r="K1174" s="36"/>
    </row>
    <row r="1175" spans="2:11">
      <c r="B1175" s="36">
        <v>44450</v>
      </c>
      <c r="C1175" s="182">
        <v>1943.6</v>
      </c>
      <c r="D1175" s="182">
        <f t="shared" si="39"/>
        <v>9.8984178119560177E-3</v>
      </c>
      <c r="E1175" s="182">
        <v>2.3784258480002928E-3</v>
      </c>
      <c r="F1175" s="168"/>
      <c r="G1175" s="168">
        <v>1172</v>
      </c>
      <c r="H1175" s="183">
        <f t="shared" ca="1" si="40"/>
        <v>7.909508323466867E-3</v>
      </c>
      <c r="K1175" s="36"/>
    </row>
    <row r="1176" spans="2:11">
      <c r="B1176" s="36">
        <v>44419</v>
      </c>
      <c r="C1176" s="182">
        <v>1924.55</v>
      </c>
      <c r="D1176" s="182">
        <f t="shared" si="39"/>
        <v>8.172031745200193E-3</v>
      </c>
      <c r="E1176" s="182">
        <v>2.3730971812235394E-3</v>
      </c>
      <c r="F1176" s="168"/>
      <c r="G1176" s="168">
        <v>1173</v>
      </c>
      <c r="H1176" s="183">
        <f t="shared" ca="1" si="40"/>
        <v>4.5991374572223872E-3</v>
      </c>
      <c r="K1176" s="36"/>
    </row>
    <row r="1177" spans="2:11">
      <c r="B1177" s="36">
        <v>44297</v>
      </c>
      <c r="C1177" s="182">
        <v>1908.95</v>
      </c>
      <c r="D1177" s="182">
        <f t="shared" si="39"/>
        <v>1.0293728499603094E-2</v>
      </c>
      <c r="E1177" s="182">
        <v>2.3675196453758038E-3</v>
      </c>
      <c r="F1177" s="168"/>
      <c r="G1177" s="168">
        <v>1174</v>
      </c>
      <c r="H1177" s="183">
        <f t="shared" ca="1" si="40"/>
        <v>2.0855430366363222E-2</v>
      </c>
      <c r="K1177" s="36"/>
    </row>
    <row r="1178" spans="2:11">
      <c r="B1178" s="36">
        <v>44266</v>
      </c>
      <c r="C1178" s="182">
        <v>1889.5</v>
      </c>
      <c r="D1178" s="182">
        <f t="shared" si="39"/>
        <v>4.067413873819288E-2</v>
      </c>
      <c r="E1178" s="182">
        <v>2.3501762632197752E-3</v>
      </c>
      <c r="F1178" s="168"/>
      <c r="G1178" s="168">
        <v>1175</v>
      </c>
      <c r="H1178" s="183">
        <f t="shared" ca="1" si="40"/>
        <v>4.8962628337559776E-3</v>
      </c>
      <c r="K1178" s="36"/>
    </row>
    <row r="1179" spans="2:11">
      <c r="B1179" s="36">
        <v>44238</v>
      </c>
      <c r="C1179" s="182">
        <v>1815.65</v>
      </c>
      <c r="D1179" s="182">
        <f t="shared" si="39"/>
        <v>1.1306987495474522E-2</v>
      </c>
      <c r="E1179" s="182">
        <v>2.3429633645729157E-3</v>
      </c>
      <c r="F1179" s="168"/>
      <c r="G1179" s="168">
        <v>1176</v>
      </c>
      <c r="H1179" s="183">
        <f t="shared" ca="1" si="40"/>
        <v>-2.3655873191286359E-2</v>
      </c>
      <c r="K1179" s="36"/>
    </row>
    <row r="1180" spans="2:11">
      <c r="B1180" s="36">
        <v>44207</v>
      </c>
      <c r="C1180" s="182">
        <v>1795.35</v>
      </c>
      <c r="D1180" s="182">
        <f t="shared" si="39"/>
        <v>1.6245436277700628E-2</v>
      </c>
      <c r="E1180" s="182">
        <v>2.3270019488641322E-3</v>
      </c>
      <c r="F1180" s="168"/>
      <c r="G1180" s="168">
        <v>1177</v>
      </c>
      <c r="H1180" s="183">
        <f t="shared" ca="1" si="40"/>
        <v>-1.4067184025874084E-2</v>
      </c>
      <c r="K1180" s="36"/>
    </row>
    <row r="1181" spans="2:11">
      <c r="B1181" s="36" t="s">
        <v>9302</v>
      </c>
      <c r="C1181" s="182">
        <v>1766.65</v>
      </c>
      <c r="D1181" s="182">
        <f t="shared" si="39"/>
        <v>-2.6236736943640572E-2</v>
      </c>
      <c r="E1181" s="182">
        <v>2.2562484940087339E-3</v>
      </c>
      <c r="F1181" s="168"/>
      <c r="G1181" s="168">
        <v>1178</v>
      </c>
      <c r="H1181" s="183">
        <f t="shared" ca="1" si="40"/>
        <v>-2.1492197481257514E-3</v>
      </c>
      <c r="K1181" s="36"/>
    </row>
    <row r="1182" spans="2:11">
      <c r="B1182" s="36" t="s">
        <v>9303</v>
      </c>
      <c r="C1182" s="182">
        <v>1814.25</v>
      </c>
      <c r="D1182" s="182">
        <f t="shared" si="39"/>
        <v>1.6642851138942618E-2</v>
      </c>
      <c r="E1182" s="182">
        <v>2.2399203583873223E-3</v>
      </c>
      <c r="F1182" s="168"/>
      <c r="G1182" s="168">
        <v>1179</v>
      </c>
      <c r="H1182" s="183">
        <f t="shared" ca="1" si="40"/>
        <v>-2.089912732638281E-3</v>
      </c>
      <c r="K1182" s="36"/>
    </row>
    <row r="1183" spans="2:11">
      <c r="B1183" s="36" t="s">
        <v>9304</v>
      </c>
      <c r="C1183" s="182">
        <v>1784.55</v>
      </c>
      <c r="D1183" s="182">
        <f t="shared" si="39"/>
        <v>-6.5135699373695451E-3</v>
      </c>
      <c r="E1183" s="182">
        <v>2.2397964826899428E-3</v>
      </c>
      <c r="F1183" s="168"/>
      <c r="G1183" s="168">
        <v>1180</v>
      </c>
      <c r="H1183" s="183">
        <f t="shared" ca="1" si="40"/>
        <v>1.6808401663459687E-2</v>
      </c>
      <c r="K1183" s="36"/>
    </row>
    <row r="1184" spans="2:11">
      <c r="B1184" s="36" t="s">
        <v>9305</v>
      </c>
      <c r="C1184" s="182">
        <v>1796.25</v>
      </c>
      <c r="D1184" s="182">
        <f t="shared" si="39"/>
        <v>6.7819409802986905E-3</v>
      </c>
      <c r="E1184" s="182">
        <v>2.2357257509744688E-3</v>
      </c>
      <c r="F1184" s="168"/>
      <c r="G1184" s="168">
        <v>1181</v>
      </c>
      <c r="H1184" s="183">
        <f t="shared" ca="1" si="40"/>
        <v>1.891363840833903E-3</v>
      </c>
      <c r="K1184" s="36"/>
    </row>
    <row r="1185" spans="2:11">
      <c r="B1185" s="36" t="s">
        <v>9306</v>
      </c>
      <c r="C1185" s="182">
        <v>1784.15</v>
      </c>
      <c r="D1185" s="182">
        <f t="shared" si="39"/>
        <v>-4.5194587808619945E-3</v>
      </c>
      <c r="E1185" s="182">
        <v>2.2220247089147632E-3</v>
      </c>
      <c r="F1185" s="168"/>
      <c r="G1185" s="168">
        <v>1182</v>
      </c>
      <c r="H1185" s="183">
        <f t="shared" ca="1" si="40"/>
        <v>-1.0678961013296007E-2</v>
      </c>
      <c r="K1185" s="36"/>
    </row>
    <row r="1186" spans="2:11">
      <c r="B1186" s="36" t="s">
        <v>9307</v>
      </c>
      <c r="C1186" s="182">
        <v>1792.25</v>
      </c>
      <c r="D1186" s="182">
        <f t="shared" si="39"/>
        <v>-7.4761179565277589E-3</v>
      </c>
      <c r="E1186" s="182">
        <v>2.221593321069735E-3</v>
      </c>
      <c r="F1186" s="168"/>
      <c r="G1186" s="168">
        <v>1183</v>
      </c>
      <c r="H1186" s="183">
        <f t="shared" ca="1" si="40"/>
        <v>-1.6868958070303249E-2</v>
      </c>
      <c r="K1186" s="36"/>
    </row>
    <row r="1187" spans="2:11">
      <c r="B1187" s="36" t="s">
        <v>9308</v>
      </c>
      <c r="C1187" s="182">
        <v>1805.75</v>
      </c>
      <c r="D1187" s="182">
        <f t="shared" si="39"/>
        <v>-5.2582055681632003E-4</v>
      </c>
      <c r="E1187" s="182">
        <v>2.2166930558697538E-3</v>
      </c>
      <c r="F1187" s="168"/>
      <c r="G1187" s="168">
        <v>1184</v>
      </c>
      <c r="H1187" s="183">
        <f t="shared" ca="1" si="40"/>
        <v>-6.9227593376875113E-3</v>
      </c>
      <c r="K1187" s="36"/>
    </row>
    <row r="1188" spans="2:11">
      <c r="B1188" s="36" t="s">
        <v>9309</v>
      </c>
      <c r="C1188" s="182">
        <v>1806.7</v>
      </c>
      <c r="D1188" s="182">
        <f t="shared" si="39"/>
        <v>-2.1315782346090252E-2</v>
      </c>
      <c r="E1188" s="182">
        <v>2.2108385009436834E-3</v>
      </c>
      <c r="F1188" s="168"/>
      <c r="G1188" s="168">
        <v>1185</v>
      </c>
      <c r="H1188" s="183">
        <f t="shared" ca="1" si="40"/>
        <v>1.2545547062799763E-2</v>
      </c>
      <c r="K1188" s="36"/>
    </row>
    <row r="1189" spans="2:11">
      <c r="B1189" s="36" t="s">
        <v>9310</v>
      </c>
      <c r="C1189" s="182">
        <v>1846.05</v>
      </c>
      <c r="D1189" s="182">
        <f t="shared" si="39"/>
        <v>3.2206659397802512E-2</v>
      </c>
      <c r="E1189" s="182">
        <v>2.2059472337421691E-3</v>
      </c>
      <c r="F1189" s="168"/>
      <c r="G1189" s="168">
        <v>1186</v>
      </c>
      <c r="H1189" s="183">
        <f t="shared" ca="1" si="40"/>
        <v>8.0013578619258195E-4</v>
      </c>
      <c r="K1189" s="36"/>
    </row>
    <row r="1190" spans="2:11">
      <c r="B1190" s="36" t="s">
        <v>9311</v>
      </c>
      <c r="C1190" s="182">
        <v>1788.45</v>
      </c>
      <c r="D1190" s="182">
        <f t="shared" si="39"/>
        <v>-4.7504610741625722E-4</v>
      </c>
      <c r="E1190" s="182">
        <v>2.1986875010489002E-3</v>
      </c>
      <c r="F1190" s="168"/>
      <c r="G1190" s="168">
        <v>1187</v>
      </c>
      <c r="H1190" s="183">
        <f t="shared" ca="1" si="40"/>
        <v>3.0036777885380978E-3</v>
      </c>
      <c r="K1190" s="36"/>
    </row>
    <row r="1191" spans="2:11">
      <c r="B1191" s="36" t="s">
        <v>9312</v>
      </c>
      <c r="C1191" s="182">
        <v>1789.3</v>
      </c>
      <c r="D1191" s="182">
        <f t="shared" si="39"/>
        <v>2.1260808766873092E-2</v>
      </c>
      <c r="E1191" s="182">
        <v>2.1954360262607157E-3</v>
      </c>
      <c r="F1191" s="168"/>
      <c r="G1191" s="168">
        <v>1188</v>
      </c>
      <c r="H1191" s="183">
        <f t="shared" ca="1" si="40"/>
        <v>-1.4190770678846306E-3</v>
      </c>
      <c r="K1191" s="36"/>
    </row>
    <row r="1192" spans="2:11">
      <c r="B1192" s="36" t="s">
        <v>9313</v>
      </c>
      <c r="C1192" s="182">
        <v>1752.05</v>
      </c>
      <c r="D1192" s="182">
        <f t="shared" si="39"/>
        <v>1.9700849726457869E-2</v>
      </c>
      <c r="E1192" s="182">
        <v>2.1951369274223541E-3</v>
      </c>
      <c r="F1192" s="168"/>
      <c r="G1192" s="168">
        <v>1189</v>
      </c>
      <c r="H1192" s="183">
        <f t="shared" ca="1" si="40"/>
        <v>6.4815384034165383E-3</v>
      </c>
      <c r="K1192" s="36"/>
    </row>
    <row r="1193" spans="2:11">
      <c r="B1193" s="36">
        <v>44540</v>
      </c>
      <c r="C1193" s="182">
        <v>1718.2</v>
      </c>
      <c r="D1193" s="182">
        <f t="shared" si="39"/>
        <v>7.5717863591353858E-4</v>
      </c>
      <c r="E1193" s="182">
        <v>2.1875000000000002E-3</v>
      </c>
      <c r="F1193" s="168"/>
      <c r="G1193" s="168">
        <v>1190</v>
      </c>
      <c r="H1193" s="183">
        <f t="shared" ca="1" si="40"/>
        <v>2.3029443860072208E-2</v>
      </c>
      <c r="K1193" s="36"/>
    </row>
    <row r="1194" spans="2:11">
      <c r="B1194" s="36">
        <v>44510</v>
      </c>
      <c r="C1194" s="182">
        <v>1716.9</v>
      </c>
      <c r="D1194" s="182">
        <f t="shared" si="39"/>
        <v>-5.7907232613353407E-3</v>
      </c>
      <c r="E1194" s="182">
        <v>2.1804351033657692E-3</v>
      </c>
      <c r="F1194" s="168"/>
      <c r="G1194" s="168">
        <v>1191</v>
      </c>
      <c r="H1194" s="183">
        <f t="shared" ca="1" si="40"/>
        <v>1.7595561573663623E-2</v>
      </c>
      <c r="K1194" s="36"/>
    </row>
    <row r="1195" spans="2:11">
      <c r="B1195" s="36">
        <v>44418</v>
      </c>
      <c r="C1195" s="182">
        <v>1726.9</v>
      </c>
      <c r="D1195" s="182">
        <f t="shared" si="39"/>
        <v>8.4382025752576979E-3</v>
      </c>
      <c r="E1195" s="182">
        <v>2.1771482114314312E-3</v>
      </c>
      <c r="F1195" s="168"/>
      <c r="G1195" s="168">
        <v>1192</v>
      </c>
      <c r="H1195" s="183">
        <f t="shared" ca="1" si="40"/>
        <v>1.6689161861337433E-2</v>
      </c>
      <c r="K1195" s="36"/>
    </row>
    <row r="1196" spans="2:11">
      <c r="B1196" s="36">
        <v>44387</v>
      </c>
      <c r="C1196" s="182">
        <v>1712.45</v>
      </c>
      <c r="D1196" s="182">
        <f t="shared" si="39"/>
        <v>1.0265183917878583E-2</v>
      </c>
      <c r="E1196" s="182">
        <v>2.1770449815912219E-3</v>
      </c>
      <c r="F1196" s="168"/>
      <c r="G1196" s="168">
        <v>1193</v>
      </c>
      <c r="H1196" s="183">
        <f t="shared" ca="1" si="40"/>
        <v>2.0533772713278052E-3</v>
      </c>
      <c r="K1196" s="36"/>
    </row>
    <row r="1197" spans="2:11">
      <c r="B1197" s="36">
        <v>44357</v>
      </c>
      <c r="C1197" s="182">
        <v>1695.05</v>
      </c>
      <c r="D1197" s="182">
        <f t="shared" si="39"/>
        <v>-1.2611405603774736E-2</v>
      </c>
      <c r="E1197" s="182">
        <v>2.1769924699918532E-3</v>
      </c>
      <c r="F1197" s="168"/>
      <c r="G1197" s="168">
        <v>1194</v>
      </c>
      <c r="H1197" s="183">
        <f t="shared" ca="1" si="40"/>
        <v>8.7197191273517792E-3</v>
      </c>
      <c r="K1197" s="36"/>
    </row>
    <row r="1198" spans="2:11">
      <c r="B1198" s="36">
        <v>44326</v>
      </c>
      <c r="C1198" s="182">
        <v>1716.7</v>
      </c>
      <c r="D1198" s="182">
        <f t="shared" si="39"/>
        <v>8.453578195598574E-4</v>
      </c>
      <c r="E1198" s="182">
        <v>2.1756188030529668E-3</v>
      </c>
      <c r="F1198" s="168"/>
      <c r="G1198" s="168">
        <v>1195</v>
      </c>
      <c r="H1198" s="183">
        <f t="shared" ca="1" si="40"/>
        <v>-2.3372918605309798E-3</v>
      </c>
      <c r="K1198" s="36"/>
    </row>
    <row r="1199" spans="2:11">
      <c r="B1199" s="36">
        <v>44296</v>
      </c>
      <c r="C1199" s="182">
        <v>1715.25</v>
      </c>
      <c r="D1199" s="182">
        <f t="shared" si="39"/>
        <v>1.0813836996876604E-2</v>
      </c>
      <c r="E1199" s="182">
        <v>2.1651302426284719E-3</v>
      </c>
      <c r="F1199" s="168"/>
      <c r="G1199" s="168">
        <v>1196</v>
      </c>
      <c r="H1199" s="183">
        <f t="shared" ca="1" si="40"/>
        <v>8.3752775362843403E-3</v>
      </c>
      <c r="K1199" s="36"/>
    </row>
    <row r="1200" spans="2:11">
      <c r="B1200" s="36">
        <v>44206</v>
      </c>
      <c r="C1200" s="182">
        <v>1696.9</v>
      </c>
      <c r="D1200" s="182">
        <f t="shared" si="39"/>
        <v>-3.5526586218033143E-3</v>
      </c>
      <c r="E1200" s="182">
        <v>2.131083373200381E-3</v>
      </c>
      <c r="F1200" s="168"/>
      <c r="G1200" s="168">
        <v>1197</v>
      </c>
      <c r="H1200" s="183">
        <f t="shared" ca="1" si="40"/>
        <v>-6.3053353864126437E-4</v>
      </c>
      <c r="K1200" s="36"/>
    </row>
    <row r="1201" spans="2:11">
      <c r="B1201" s="36" t="s">
        <v>9314</v>
      </c>
      <c r="C1201" s="182">
        <v>1702.95</v>
      </c>
      <c r="D1201" s="182">
        <f t="shared" si="39"/>
        <v>-1.0488088320743728E-2</v>
      </c>
      <c r="E1201" s="182">
        <v>2.1084241127048236E-3</v>
      </c>
      <c r="F1201" s="168"/>
      <c r="G1201" s="168">
        <v>1198</v>
      </c>
      <c r="H1201" s="183">
        <f t="shared" ca="1" si="40"/>
        <v>-9.1043663464774396E-3</v>
      </c>
      <c r="K1201" s="36"/>
    </row>
    <row r="1202" spans="2:11">
      <c r="B1202" s="36" t="s">
        <v>9315</v>
      </c>
      <c r="C1202" s="182">
        <v>1721</v>
      </c>
      <c r="D1202" s="182">
        <f t="shared" si="39"/>
        <v>-9.2968367728751642E-3</v>
      </c>
      <c r="E1202" s="182">
        <v>2.0825635685735359E-3</v>
      </c>
      <c r="F1202" s="168"/>
      <c r="G1202" s="168">
        <v>1199</v>
      </c>
      <c r="H1202" s="183">
        <f t="shared" ca="1" si="40"/>
        <v>1.1917757297141032E-2</v>
      </c>
      <c r="K1202" s="36"/>
    </row>
    <row r="1203" spans="2:11">
      <c r="B1203" s="36" t="s">
        <v>9316</v>
      </c>
      <c r="C1203" s="182">
        <v>1737.15</v>
      </c>
      <c r="D1203" s="182">
        <f t="shared" si="39"/>
        <v>-1.4083697401700496E-3</v>
      </c>
      <c r="E1203" s="182">
        <v>2.0635137390566044E-3</v>
      </c>
      <c r="F1203" s="168"/>
      <c r="G1203" s="168">
        <v>1200</v>
      </c>
      <c r="H1203" s="183">
        <f t="shared" ca="1" si="40"/>
        <v>1.3344591603799187E-2</v>
      </c>
      <c r="K1203" s="36"/>
    </row>
    <row r="1204" spans="2:11">
      <c r="B1204" s="36" t="s">
        <v>9317</v>
      </c>
      <c r="C1204" s="182">
        <v>1739.6</v>
      </c>
      <c r="D1204" s="182">
        <f t="shared" si="39"/>
        <v>-1.6480565371024786E-2</v>
      </c>
      <c r="E1204" s="182">
        <v>2.0618883725356469E-3</v>
      </c>
      <c r="F1204" s="168"/>
      <c r="G1204" s="168">
        <v>1201</v>
      </c>
      <c r="H1204" s="183">
        <f t="shared" ca="1" si="40"/>
        <v>4.4056962302543717E-2</v>
      </c>
      <c r="K1204" s="36"/>
    </row>
    <row r="1205" spans="2:11">
      <c r="B1205" s="36" t="s">
        <v>9318</v>
      </c>
      <c r="C1205" s="182">
        <v>1768.75</v>
      </c>
      <c r="D1205" s="182">
        <f t="shared" si="39"/>
        <v>-5.3681414929086595E-4</v>
      </c>
      <c r="E1205" s="182">
        <v>2.0429009193052446E-3</v>
      </c>
      <c r="F1205" s="168"/>
      <c r="G1205" s="168">
        <v>1202</v>
      </c>
      <c r="H1205" s="183">
        <f t="shared" ca="1" si="40"/>
        <v>5.4483547044762827E-3</v>
      </c>
      <c r="K1205" s="36"/>
    </row>
    <row r="1206" spans="2:11">
      <c r="B1206" s="36" t="s">
        <v>9319</v>
      </c>
      <c r="C1206" s="182">
        <v>1769.7</v>
      </c>
      <c r="D1206" s="182">
        <f t="shared" si="39"/>
        <v>3.4367876556198461E-2</v>
      </c>
      <c r="E1206" s="182">
        <v>2.0334187958625958E-3</v>
      </c>
      <c r="F1206" s="168"/>
      <c r="G1206" s="168">
        <v>1203</v>
      </c>
      <c r="H1206" s="183">
        <f t="shared" ca="1" si="40"/>
        <v>5.0430079459607667E-3</v>
      </c>
      <c r="K1206" s="36"/>
    </row>
    <row r="1207" spans="2:11">
      <c r="B1207" s="36" t="s">
        <v>9320</v>
      </c>
      <c r="C1207" s="182">
        <v>1710.9</v>
      </c>
      <c r="D1207" s="182">
        <f t="shared" si="39"/>
        <v>-5.8109128944157122E-3</v>
      </c>
      <c r="E1207" s="182">
        <v>2.0218532220598268E-3</v>
      </c>
      <c r="F1207" s="168"/>
      <c r="G1207" s="168">
        <v>1204</v>
      </c>
      <c r="H1207" s="183">
        <f t="shared" ca="1" si="40"/>
        <v>8.2333432793901679E-3</v>
      </c>
      <c r="K1207" s="36"/>
    </row>
    <row r="1208" spans="2:11">
      <c r="B1208" s="36" t="s">
        <v>9321</v>
      </c>
      <c r="C1208" s="182">
        <v>1720.9</v>
      </c>
      <c r="D1208" s="182">
        <f t="shared" si="39"/>
        <v>9.7104467978995999E-3</v>
      </c>
      <c r="E1208" s="182">
        <v>2.0163885194559258E-3</v>
      </c>
      <c r="F1208" s="168"/>
      <c r="G1208" s="168">
        <v>1205</v>
      </c>
      <c r="H1208" s="183">
        <f t="shared" ca="1" si="40"/>
        <v>1.4985736479772246E-2</v>
      </c>
      <c r="K1208" s="36"/>
    </row>
    <row r="1209" spans="2:11">
      <c r="B1209" s="36" t="s">
        <v>9322</v>
      </c>
      <c r="C1209" s="182">
        <v>1704.35</v>
      </c>
      <c r="D1209" s="182">
        <f t="shared" si="39"/>
        <v>-6.904789651555842E-3</v>
      </c>
      <c r="E1209" s="182">
        <v>2.0151914431870322E-3</v>
      </c>
      <c r="F1209" s="168"/>
      <c r="G1209" s="168">
        <v>1206</v>
      </c>
      <c r="H1209" s="183">
        <f t="shared" ca="1" si="40"/>
        <v>6.1685034836602348E-3</v>
      </c>
      <c r="K1209" s="36"/>
    </row>
    <row r="1210" spans="2:11">
      <c r="B1210" s="36" t="s">
        <v>9323</v>
      </c>
      <c r="C1210" s="182">
        <v>1716.2</v>
      </c>
      <c r="D1210" s="182">
        <f t="shared" si="39"/>
        <v>-2.9339143064632998E-3</v>
      </c>
      <c r="E1210" s="182">
        <v>2.012761766091505E-3</v>
      </c>
      <c r="F1210" s="168"/>
      <c r="G1210" s="168">
        <v>1207</v>
      </c>
      <c r="H1210" s="183">
        <f t="shared" ca="1" si="40"/>
        <v>-1.0015712921388382E-2</v>
      </c>
      <c r="K1210" s="36"/>
    </row>
    <row r="1211" spans="2:11">
      <c r="B1211" s="36" t="s">
        <v>9324</v>
      </c>
      <c r="C1211" s="182">
        <v>1721.25</v>
      </c>
      <c r="D1211" s="182">
        <f t="shared" si="39"/>
        <v>2.4752475247524753E-3</v>
      </c>
      <c r="E1211" s="182">
        <v>2.0099314258689637E-3</v>
      </c>
      <c r="F1211" s="168"/>
      <c r="G1211" s="168">
        <v>1208</v>
      </c>
      <c r="H1211" s="183">
        <f t="shared" ca="1" si="40"/>
        <v>1.7342167922617276E-2</v>
      </c>
      <c r="K1211" s="36"/>
    </row>
    <row r="1212" spans="2:11">
      <c r="B1212" s="36" t="s">
        <v>9325</v>
      </c>
      <c r="C1212" s="182">
        <v>1717</v>
      </c>
      <c r="D1212" s="182">
        <f t="shared" si="39"/>
        <v>1.2113531197500636E-2</v>
      </c>
      <c r="E1212" s="182">
        <v>2.005124206304951E-3</v>
      </c>
      <c r="F1212" s="168"/>
      <c r="G1212" s="168">
        <v>1209</v>
      </c>
      <c r="H1212" s="183">
        <f t="shared" ca="1" si="40"/>
        <v>1.6447963950820214E-2</v>
      </c>
      <c r="K1212" s="36"/>
    </row>
    <row r="1213" spans="2:11">
      <c r="B1213" s="36" t="s">
        <v>9326</v>
      </c>
      <c r="C1213" s="182">
        <v>1696.45</v>
      </c>
      <c r="D1213" s="182">
        <f t="shared" si="39"/>
        <v>1.4805288030148949E-2</v>
      </c>
      <c r="E1213" s="182">
        <v>1.991257892180626E-3</v>
      </c>
      <c r="F1213" s="168"/>
      <c r="G1213" s="168">
        <v>1210</v>
      </c>
      <c r="H1213" s="183">
        <f t="shared" ca="1" si="40"/>
        <v>-1.3991634796760934E-2</v>
      </c>
      <c r="K1213" s="36"/>
    </row>
    <row r="1214" spans="2:11">
      <c r="B1214" s="36" t="s">
        <v>9327</v>
      </c>
      <c r="C1214" s="182">
        <v>1671.7</v>
      </c>
      <c r="D1214" s="182">
        <f t="shared" si="39"/>
        <v>9.8799437142605968E-4</v>
      </c>
      <c r="E1214" s="182">
        <v>1.9591897087092203E-3</v>
      </c>
      <c r="F1214" s="168"/>
      <c r="G1214" s="168">
        <v>1211</v>
      </c>
      <c r="H1214" s="183">
        <f t="shared" ca="1" si="40"/>
        <v>9.6931060324607007E-3</v>
      </c>
      <c r="K1214" s="36"/>
    </row>
    <row r="1215" spans="2:11">
      <c r="B1215" s="36">
        <v>44448</v>
      </c>
      <c r="C1215" s="182">
        <v>1670.05</v>
      </c>
      <c r="D1215" s="182">
        <f t="shared" si="39"/>
        <v>2.1001470102907202E-3</v>
      </c>
      <c r="E1215" s="182">
        <v>1.9559902200489403E-3</v>
      </c>
      <c r="F1215" s="168"/>
      <c r="G1215" s="168">
        <v>1212</v>
      </c>
      <c r="H1215" s="183">
        <f t="shared" ca="1" si="40"/>
        <v>5.4508142790728933E-3</v>
      </c>
      <c r="K1215" s="36"/>
    </row>
    <row r="1216" spans="2:11">
      <c r="B1216" s="36">
        <v>44417</v>
      </c>
      <c r="C1216" s="182">
        <v>1666.55</v>
      </c>
      <c r="D1216" s="182">
        <f t="shared" si="39"/>
        <v>-9.0087411547839034E-3</v>
      </c>
      <c r="E1216" s="182">
        <v>1.9521717911176459E-3</v>
      </c>
      <c r="F1216" s="168"/>
      <c r="G1216" s="168">
        <v>1213</v>
      </c>
      <c r="H1216" s="183">
        <f t="shared" ca="1" si="40"/>
        <v>2.0438605217512004E-2</v>
      </c>
      <c r="K1216" s="36"/>
    </row>
    <row r="1217" spans="2:11">
      <c r="B1217" s="36">
        <v>44386</v>
      </c>
      <c r="C1217" s="182">
        <v>1681.7</v>
      </c>
      <c r="D1217" s="182">
        <f t="shared" si="39"/>
        <v>-7.3781135639239756E-3</v>
      </c>
      <c r="E1217" s="182">
        <v>1.9385087007484367E-3</v>
      </c>
      <c r="F1217" s="168"/>
      <c r="G1217" s="168">
        <v>1214</v>
      </c>
      <c r="H1217" s="183">
        <f t="shared" ca="1" si="40"/>
        <v>-2.7302951500461151E-3</v>
      </c>
      <c r="K1217" s="36"/>
    </row>
    <row r="1218" spans="2:11">
      <c r="B1218" s="36">
        <v>44356</v>
      </c>
      <c r="C1218" s="182">
        <v>1694.2</v>
      </c>
      <c r="D1218" s="182">
        <f t="shared" si="39"/>
        <v>1.5962163759976622E-3</v>
      </c>
      <c r="E1218" s="182">
        <v>1.9329896907216229E-3</v>
      </c>
      <c r="F1218" s="168"/>
      <c r="G1218" s="168">
        <v>1215</v>
      </c>
      <c r="H1218" s="183">
        <f t="shared" ca="1" si="40"/>
        <v>-2.3360962354636167E-2</v>
      </c>
      <c r="K1218" s="36"/>
    </row>
    <row r="1219" spans="2:11">
      <c r="B1219" s="36">
        <v>44264</v>
      </c>
      <c r="C1219" s="182">
        <v>1691.5</v>
      </c>
      <c r="D1219" s="182">
        <f t="shared" si="39"/>
        <v>3.1431621397224256E-3</v>
      </c>
      <c r="E1219" s="182">
        <v>1.9289685691591622E-3</v>
      </c>
      <c r="F1219" s="168"/>
      <c r="G1219" s="168">
        <v>1216</v>
      </c>
      <c r="H1219" s="183">
        <f t="shared" ca="1" si="40"/>
        <v>2.6529915160302319E-3</v>
      </c>
      <c r="K1219" s="36"/>
    </row>
    <row r="1220" spans="2:11">
      <c r="B1220" s="36">
        <v>44236</v>
      </c>
      <c r="C1220" s="182">
        <v>1686.2</v>
      </c>
      <c r="D1220" s="182">
        <f t="shared" ref="D1220:D1283" si="41">(C1220-C1221)/C1221</f>
        <v>-1.1859582542697193E-4</v>
      </c>
      <c r="E1220" s="182">
        <v>1.9192061040115662E-3</v>
      </c>
      <c r="F1220" s="168"/>
      <c r="G1220" s="168">
        <v>1217</v>
      </c>
      <c r="H1220" s="183">
        <f t="shared" ca="1" si="40"/>
        <v>-4.4939841557819797E-3</v>
      </c>
      <c r="K1220" s="36"/>
    </row>
    <row r="1221" spans="2:11">
      <c r="B1221" s="36">
        <v>44205</v>
      </c>
      <c r="C1221" s="182">
        <v>1686.4</v>
      </c>
      <c r="D1221" s="182">
        <f t="shared" si="41"/>
        <v>8.4918072000957096E-3</v>
      </c>
      <c r="E1221" s="182">
        <v>1.9127462152044087E-3</v>
      </c>
      <c r="F1221" s="168"/>
      <c r="G1221" s="168">
        <v>1218</v>
      </c>
      <c r="H1221" s="183">
        <f t="shared" ref="H1221:H1284" ca="1" si="42">_xlfn.NORM.INV(RAND(),N$6,N$7)</f>
        <v>9.9312051170257383E-3</v>
      </c>
      <c r="K1221" s="36"/>
    </row>
    <row r="1222" spans="2:11">
      <c r="B1222" s="36" t="s">
        <v>9328</v>
      </c>
      <c r="C1222" s="182">
        <v>1672.2</v>
      </c>
      <c r="D1222" s="182">
        <f t="shared" si="41"/>
        <v>7.2887175471357977E-3</v>
      </c>
      <c r="E1222" s="182">
        <v>1.9094021595998439E-3</v>
      </c>
      <c r="F1222" s="168"/>
      <c r="G1222" s="168">
        <v>1219</v>
      </c>
      <c r="H1222" s="183">
        <f t="shared" ca="1" si="42"/>
        <v>3.4602158174151685E-3</v>
      </c>
      <c r="K1222" s="36"/>
    </row>
    <row r="1223" spans="2:11">
      <c r="B1223" s="36" t="s">
        <v>9329</v>
      </c>
      <c r="C1223" s="182">
        <v>1660.1</v>
      </c>
      <c r="D1223" s="182">
        <f t="shared" si="41"/>
        <v>1.3430193516879312E-2</v>
      </c>
      <c r="E1223" s="182">
        <v>1.9053264459310694E-3</v>
      </c>
      <c r="F1223" s="168"/>
      <c r="G1223" s="168">
        <v>1220</v>
      </c>
      <c r="H1223" s="183">
        <f t="shared" ca="1" si="42"/>
        <v>-3.2799946104843701E-3</v>
      </c>
      <c r="K1223" s="36"/>
    </row>
    <row r="1224" spans="2:11">
      <c r="B1224" s="36" t="s">
        <v>9330</v>
      </c>
      <c r="C1224" s="182">
        <v>1638.1</v>
      </c>
      <c r="D1224" s="182">
        <f t="shared" si="41"/>
        <v>2.6539244869183711E-2</v>
      </c>
      <c r="E1224" s="182">
        <v>1.873962627831022E-3</v>
      </c>
      <c r="F1224" s="168"/>
      <c r="G1224" s="168">
        <v>1221</v>
      </c>
      <c r="H1224" s="183">
        <f t="shared" ca="1" si="42"/>
        <v>2.2196815399487271E-2</v>
      </c>
      <c r="K1224" s="36"/>
    </row>
    <row r="1225" spans="2:11">
      <c r="B1225" s="36" t="s">
        <v>9331</v>
      </c>
      <c r="C1225" s="182">
        <v>1595.75</v>
      </c>
      <c r="D1225" s="182">
        <f t="shared" si="41"/>
        <v>1.2234910277324918E-3</v>
      </c>
      <c r="E1225" s="182">
        <v>1.8471796720129345E-3</v>
      </c>
      <c r="F1225" s="168"/>
      <c r="G1225" s="168">
        <v>1222</v>
      </c>
      <c r="H1225" s="183">
        <f t="shared" ca="1" si="42"/>
        <v>6.7101491935220269E-3</v>
      </c>
      <c r="K1225" s="36"/>
    </row>
    <row r="1226" spans="2:11">
      <c r="B1226" s="36" t="s">
        <v>9332</v>
      </c>
      <c r="C1226" s="182">
        <v>1593.8</v>
      </c>
      <c r="D1226" s="182">
        <f t="shared" si="41"/>
        <v>-7.4729106987171503E-3</v>
      </c>
      <c r="E1226" s="182">
        <v>1.821451627778416E-3</v>
      </c>
      <c r="F1226" s="168"/>
      <c r="G1226" s="168">
        <v>1223</v>
      </c>
      <c r="H1226" s="183">
        <f t="shared" ca="1" si="42"/>
        <v>1.8170258197256099E-2</v>
      </c>
      <c r="K1226" s="36"/>
    </row>
    <row r="1227" spans="2:11">
      <c r="B1227" s="36" t="s">
        <v>9333</v>
      </c>
      <c r="C1227" s="182">
        <v>1605.8</v>
      </c>
      <c r="D1227" s="182">
        <f t="shared" si="41"/>
        <v>1.5846908113237357E-2</v>
      </c>
      <c r="E1227" s="182">
        <v>1.8162633408866824E-3</v>
      </c>
      <c r="F1227" s="168"/>
      <c r="G1227" s="168">
        <v>1224</v>
      </c>
      <c r="H1227" s="183">
        <f t="shared" ca="1" si="42"/>
        <v>1.5482342025759339E-2</v>
      </c>
      <c r="K1227" s="36"/>
    </row>
    <row r="1228" spans="2:11">
      <c r="B1228" s="36" t="s">
        <v>9334</v>
      </c>
      <c r="C1228" s="182">
        <v>1580.75</v>
      </c>
      <c r="D1228" s="182">
        <f t="shared" si="41"/>
        <v>-8.0635040160642012E-3</v>
      </c>
      <c r="E1228" s="182">
        <v>1.8065089908562853E-3</v>
      </c>
      <c r="F1228" s="168"/>
      <c r="G1228" s="168">
        <v>1225</v>
      </c>
      <c r="H1228" s="183">
        <f t="shared" ca="1" si="42"/>
        <v>-1.1310733530243682E-3</v>
      </c>
      <c r="K1228" s="36"/>
    </row>
    <row r="1229" spans="2:11">
      <c r="B1229" s="36" t="s">
        <v>9335</v>
      </c>
      <c r="C1229" s="182">
        <v>1593.6</v>
      </c>
      <c r="D1229" s="182">
        <f t="shared" si="41"/>
        <v>-2.4037725449367671E-2</v>
      </c>
      <c r="E1229" s="182">
        <v>1.8048870788597939E-3</v>
      </c>
      <c r="F1229" s="168"/>
      <c r="G1229" s="168">
        <v>1226</v>
      </c>
      <c r="H1229" s="183">
        <f t="shared" ca="1" si="42"/>
        <v>1.4220508726181181E-2</v>
      </c>
      <c r="K1229" s="36"/>
    </row>
    <row r="1230" spans="2:11">
      <c r="B1230" s="36" t="s">
        <v>9336</v>
      </c>
      <c r="C1230" s="182">
        <v>1632.85</v>
      </c>
      <c r="D1230" s="182">
        <f t="shared" si="41"/>
        <v>-3.6003051106026488E-3</v>
      </c>
      <c r="E1230" s="182">
        <v>1.7859034704039746E-3</v>
      </c>
      <c r="F1230" s="168"/>
      <c r="G1230" s="168">
        <v>1227</v>
      </c>
      <c r="H1230" s="183">
        <f t="shared" ca="1" si="42"/>
        <v>9.0118881379840435E-3</v>
      </c>
      <c r="K1230" s="36"/>
    </row>
    <row r="1231" spans="2:11">
      <c r="B1231" s="36" t="s">
        <v>9337</v>
      </c>
      <c r="C1231" s="182">
        <v>1638.75</v>
      </c>
      <c r="D1231" s="182">
        <f t="shared" si="41"/>
        <v>-1.0476420506008038E-2</v>
      </c>
      <c r="E1231" s="182">
        <v>1.7768902727949639E-3</v>
      </c>
      <c r="F1231" s="168"/>
      <c r="G1231" s="168">
        <v>1228</v>
      </c>
      <c r="H1231" s="183">
        <f t="shared" ca="1" si="42"/>
        <v>1.6199622830644834E-2</v>
      </c>
      <c r="K1231" s="36"/>
    </row>
    <row r="1232" spans="2:11">
      <c r="B1232" s="36" t="s">
        <v>9338</v>
      </c>
      <c r="C1232" s="182">
        <v>1656.1</v>
      </c>
      <c r="D1232" s="182">
        <f t="shared" si="41"/>
        <v>-7.3723327739152371E-3</v>
      </c>
      <c r="E1232" s="182">
        <v>1.7676023736375882E-3</v>
      </c>
      <c r="F1232" s="168"/>
      <c r="G1232" s="168">
        <v>1229</v>
      </c>
      <c r="H1232" s="183">
        <f t="shared" ca="1" si="42"/>
        <v>9.0130535463774624E-3</v>
      </c>
      <c r="K1232" s="36"/>
    </row>
    <row r="1233" spans="2:11">
      <c r="B1233" s="36" t="s">
        <v>9339</v>
      </c>
      <c r="C1233" s="182">
        <v>1668.4</v>
      </c>
      <c r="D1233" s="182">
        <f t="shared" si="41"/>
        <v>2.7687948504727614E-2</v>
      </c>
      <c r="E1233" s="182">
        <v>1.7516969564265097E-3</v>
      </c>
      <c r="F1233" s="168"/>
      <c r="G1233" s="168">
        <v>1230</v>
      </c>
      <c r="H1233" s="183">
        <f t="shared" ca="1" si="42"/>
        <v>1.3843379904298431E-2</v>
      </c>
      <c r="K1233" s="36"/>
    </row>
    <row r="1234" spans="2:11">
      <c r="B1234" s="36">
        <v>44538</v>
      </c>
      <c r="C1234" s="182">
        <v>1623.45</v>
      </c>
      <c r="D1234" s="182">
        <f t="shared" si="41"/>
        <v>2.5358428598496869E-2</v>
      </c>
      <c r="E1234" s="182">
        <v>1.7423534443159678E-3</v>
      </c>
      <c r="F1234" s="168"/>
      <c r="G1234" s="168">
        <v>1231</v>
      </c>
      <c r="H1234" s="183">
        <f t="shared" ca="1" si="42"/>
        <v>9.4332823552550106E-3</v>
      </c>
      <c r="K1234" s="36"/>
    </row>
    <row r="1235" spans="2:11">
      <c r="B1235" s="36">
        <v>44508</v>
      </c>
      <c r="C1235" s="182">
        <v>1583.3</v>
      </c>
      <c r="D1235" s="182">
        <f t="shared" si="41"/>
        <v>-3.242154301363021E-3</v>
      </c>
      <c r="E1235" s="182">
        <v>1.7399788600698947E-3</v>
      </c>
      <c r="F1235" s="168"/>
      <c r="G1235" s="168">
        <v>1232</v>
      </c>
      <c r="H1235" s="183">
        <f t="shared" ca="1" si="42"/>
        <v>1.6399597422869297E-3</v>
      </c>
      <c r="K1235" s="36"/>
    </row>
    <row r="1236" spans="2:11">
      <c r="B1236" s="36">
        <v>44477</v>
      </c>
      <c r="C1236" s="182">
        <v>1588.45</v>
      </c>
      <c r="D1236" s="182">
        <f t="shared" si="41"/>
        <v>-5.6339791542771292E-3</v>
      </c>
      <c r="E1236" s="182">
        <v>1.7349985150914178E-3</v>
      </c>
      <c r="F1236" s="168"/>
      <c r="G1236" s="168">
        <v>1233</v>
      </c>
      <c r="H1236" s="183">
        <f t="shared" ca="1" si="42"/>
        <v>1.8424849054694714E-2</v>
      </c>
      <c r="K1236" s="36"/>
    </row>
    <row r="1237" spans="2:11">
      <c r="B1237" s="36">
        <v>44447</v>
      </c>
      <c r="C1237" s="182">
        <v>1597.45</v>
      </c>
      <c r="D1237" s="182">
        <f t="shared" si="41"/>
        <v>-8.0106809078770852E-3</v>
      </c>
      <c r="E1237" s="182">
        <v>1.7333502957827978E-3</v>
      </c>
      <c r="F1237" s="168"/>
      <c r="G1237" s="168">
        <v>1234</v>
      </c>
      <c r="H1237" s="183">
        <f t="shared" ca="1" si="42"/>
        <v>-6.1422600780782358E-3</v>
      </c>
      <c r="K1237" s="36"/>
    </row>
    <row r="1238" spans="2:11">
      <c r="B1238" s="36">
        <v>44355</v>
      </c>
      <c r="C1238" s="182">
        <v>1610.35</v>
      </c>
      <c r="D1238" s="182">
        <f t="shared" si="41"/>
        <v>-1.0476834214083925E-2</v>
      </c>
      <c r="E1238" s="182">
        <v>1.7310921460349335E-3</v>
      </c>
      <c r="F1238" s="168"/>
      <c r="G1238" s="168">
        <v>1235</v>
      </c>
      <c r="H1238" s="183">
        <f t="shared" ca="1" si="42"/>
        <v>1.9842677929250746E-3</v>
      </c>
      <c r="K1238" s="36"/>
    </row>
    <row r="1239" spans="2:11">
      <c r="B1239" s="36">
        <v>44324</v>
      </c>
      <c r="C1239" s="182">
        <v>1627.4</v>
      </c>
      <c r="D1239" s="182">
        <f t="shared" si="41"/>
        <v>2.5874815179891849E-3</v>
      </c>
      <c r="E1239" s="182">
        <v>1.7285560491879784E-3</v>
      </c>
      <c r="F1239" s="168"/>
      <c r="G1239" s="168">
        <v>1236</v>
      </c>
      <c r="H1239" s="183">
        <f t="shared" ca="1" si="42"/>
        <v>4.8541521558461516E-4</v>
      </c>
      <c r="K1239" s="36"/>
    </row>
    <row r="1240" spans="2:11">
      <c r="B1240" s="36">
        <v>44294</v>
      </c>
      <c r="C1240" s="182">
        <v>1623.2</v>
      </c>
      <c r="D1240" s="182">
        <f t="shared" si="41"/>
        <v>-6.8222840884754575E-3</v>
      </c>
      <c r="E1240" s="182">
        <v>1.7212463589017723E-3</v>
      </c>
      <c r="F1240" s="168"/>
      <c r="G1240" s="168">
        <v>1237</v>
      </c>
      <c r="H1240" s="183">
        <f t="shared" ca="1" si="42"/>
        <v>6.8495052639340626E-3</v>
      </c>
      <c r="K1240" s="36"/>
    </row>
    <row r="1241" spans="2:11">
      <c r="B1241" s="36">
        <v>44263</v>
      </c>
      <c r="C1241" s="182">
        <v>1634.35</v>
      </c>
      <c r="D1241" s="182">
        <f t="shared" si="41"/>
        <v>1.2639796771894956E-2</v>
      </c>
      <c r="E1241" s="182">
        <v>1.7179178835251675E-3</v>
      </c>
      <c r="F1241" s="168"/>
      <c r="G1241" s="168">
        <v>1238</v>
      </c>
      <c r="H1241" s="183">
        <f t="shared" ca="1" si="42"/>
        <v>-5.4535222233277137E-3</v>
      </c>
      <c r="K1241" s="36"/>
    </row>
    <row r="1242" spans="2:11">
      <c r="B1242" s="36">
        <v>44235</v>
      </c>
      <c r="C1242" s="182">
        <v>1613.95</v>
      </c>
      <c r="D1242" s="182">
        <f t="shared" si="41"/>
        <v>7.8054263323862746E-3</v>
      </c>
      <c r="E1242" s="182">
        <v>1.711901280359402E-3</v>
      </c>
      <c r="F1242" s="168"/>
      <c r="G1242" s="168">
        <v>1239</v>
      </c>
      <c r="H1242" s="183">
        <f t="shared" ca="1" si="42"/>
        <v>8.8415389162781535E-3</v>
      </c>
      <c r="K1242" s="36"/>
    </row>
    <row r="1243" spans="2:11">
      <c r="B1243" s="36" t="s">
        <v>9340</v>
      </c>
      <c r="C1243" s="182">
        <v>1601.45</v>
      </c>
      <c r="D1243" s="182">
        <f t="shared" si="41"/>
        <v>3.4147869674185749E-3</v>
      </c>
      <c r="E1243" s="182">
        <v>1.7062987838082477E-3</v>
      </c>
      <c r="F1243" s="168"/>
      <c r="G1243" s="168">
        <v>1240</v>
      </c>
      <c r="H1243" s="183">
        <f t="shared" ca="1" si="42"/>
        <v>1.1603985778635206E-2</v>
      </c>
      <c r="K1243" s="36"/>
    </row>
    <row r="1244" spans="2:11">
      <c r="B1244" s="36" t="s">
        <v>9341</v>
      </c>
      <c r="C1244" s="182">
        <v>1596</v>
      </c>
      <c r="D1244" s="182">
        <f t="shared" si="41"/>
        <v>1.129092961987175E-3</v>
      </c>
      <c r="E1244" s="182">
        <v>1.6906700062617693E-3</v>
      </c>
      <c r="F1244" s="168"/>
      <c r="G1244" s="168">
        <v>1241</v>
      </c>
      <c r="H1244" s="183">
        <f t="shared" ca="1" si="42"/>
        <v>-9.2616597890039093E-4</v>
      </c>
      <c r="K1244" s="36"/>
    </row>
    <row r="1245" spans="2:11">
      <c r="B1245" s="36" t="s">
        <v>9342</v>
      </c>
      <c r="C1245" s="182">
        <v>1594.2</v>
      </c>
      <c r="D1245" s="182">
        <f t="shared" si="41"/>
        <v>-8.7362039483910806E-3</v>
      </c>
      <c r="E1245" s="182">
        <v>1.6720660466088648E-3</v>
      </c>
      <c r="F1245" s="168"/>
      <c r="G1245" s="168">
        <v>1242</v>
      </c>
      <c r="H1245" s="183">
        <f t="shared" ca="1" si="42"/>
        <v>5.5214024294740743E-5</v>
      </c>
      <c r="K1245" s="36"/>
    </row>
    <row r="1246" spans="2:11">
      <c r="B1246" s="36" t="s">
        <v>9343</v>
      </c>
      <c r="C1246" s="182">
        <v>1608.25</v>
      </c>
      <c r="D1246" s="182">
        <f t="shared" si="41"/>
        <v>6.6662493740611492E-3</v>
      </c>
      <c r="E1246" s="182">
        <v>1.6684961580681369E-3</v>
      </c>
      <c r="F1246" s="168"/>
      <c r="G1246" s="168">
        <v>1243</v>
      </c>
      <c r="H1246" s="183">
        <f t="shared" ca="1" si="42"/>
        <v>5.5460188476346003E-4</v>
      </c>
      <c r="K1246" s="36"/>
    </row>
    <row r="1247" spans="2:11">
      <c r="B1247" s="36" t="s">
        <v>9344</v>
      </c>
      <c r="C1247" s="182">
        <v>1597.6</v>
      </c>
      <c r="D1247" s="182">
        <f t="shared" si="41"/>
        <v>-8.7792771831860343E-3</v>
      </c>
      <c r="E1247" s="182">
        <v>1.6566211977019748E-3</v>
      </c>
      <c r="F1247" s="168"/>
      <c r="G1247" s="168">
        <v>1244</v>
      </c>
      <c r="H1247" s="183">
        <f t="shared" ca="1" si="42"/>
        <v>-3.2810369788662704E-3</v>
      </c>
      <c r="K1247" s="36"/>
    </row>
    <row r="1248" spans="2:11">
      <c r="B1248" s="36" t="s">
        <v>9345</v>
      </c>
      <c r="C1248" s="182">
        <v>1611.75</v>
      </c>
      <c r="D1248" s="182">
        <f t="shared" si="41"/>
        <v>-1.8512316170873604E-2</v>
      </c>
      <c r="E1248" s="182">
        <v>1.636104795699343E-3</v>
      </c>
      <c r="F1248" s="168"/>
      <c r="G1248" s="168">
        <v>1245</v>
      </c>
      <c r="H1248" s="183">
        <f t="shared" ca="1" si="42"/>
        <v>-1.0260446933364781E-2</v>
      </c>
      <c r="K1248" s="36"/>
    </row>
    <row r="1249" spans="2:11">
      <c r="B1249" s="36" t="s">
        <v>9346</v>
      </c>
      <c r="C1249" s="182">
        <v>1642.15</v>
      </c>
      <c r="D1249" s="182">
        <f t="shared" si="41"/>
        <v>3.2571446536925952E-2</v>
      </c>
      <c r="E1249" s="182">
        <v>1.6188123029733863E-3</v>
      </c>
      <c r="F1249" s="168"/>
      <c r="G1249" s="168">
        <v>1246</v>
      </c>
      <c r="H1249" s="183">
        <f t="shared" ca="1" si="42"/>
        <v>1.4212656119137163E-2</v>
      </c>
      <c r="K1249" s="36"/>
    </row>
    <row r="1250" spans="2:11">
      <c r="B1250" s="36" t="s">
        <v>9347</v>
      </c>
      <c r="C1250" s="182">
        <v>1590.35</v>
      </c>
      <c r="D1250" s="182">
        <f t="shared" si="41"/>
        <v>-1.1959493041749503E-2</v>
      </c>
      <c r="E1250" s="182">
        <v>1.6113438607798904E-3</v>
      </c>
      <c r="F1250" s="168"/>
      <c r="G1250" s="168">
        <v>1247</v>
      </c>
      <c r="H1250" s="183">
        <f t="shared" ca="1" si="42"/>
        <v>3.6322326536249325E-2</v>
      </c>
      <c r="K1250" s="36"/>
    </row>
    <row r="1251" spans="2:11">
      <c r="B1251" s="36" t="s">
        <v>9348</v>
      </c>
      <c r="C1251" s="182">
        <v>1609.6</v>
      </c>
      <c r="D1251" s="182">
        <f t="shared" si="41"/>
        <v>-5.6525096525097086E-3</v>
      </c>
      <c r="E1251" s="182">
        <v>1.6087117930947638E-3</v>
      </c>
      <c r="F1251" s="168"/>
      <c r="G1251" s="168">
        <v>1248</v>
      </c>
      <c r="H1251" s="183">
        <f t="shared" ca="1" si="42"/>
        <v>1.2589424344594213E-2</v>
      </c>
      <c r="K1251" s="36"/>
    </row>
    <row r="1252" spans="2:11">
      <c r="B1252" s="36" t="s">
        <v>9349</v>
      </c>
      <c r="C1252" s="182">
        <v>1618.75</v>
      </c>
      <c r="D1252" s="182">
        <f t="shared" si="41"/>
        <v>5.8408674309504407E-3</v>
      </c>
      <c r="E1252" s="182">
        <v>1.5983194812311625E-3</v>
      </c>
      <c r="F1252" s="168"/>
      <c r="G1252" s="168">
        <v>1249</v>
      </c>
      <c r="H1252" s="183">
        <f t="shared" ca="1" si="42"/>
        <v>8.1910084616313491E-3</v>
      </c>
      <c r="K1252" s="36"/>
    </row>
    <row r="1253" spans="2:11">
      <c r="B1253" s="36" t="s">
        <v>9350</v>
      </c>
      <c r="C1253" s="182">
        <v>1609.35</v>
      </c>
      <c r="D1253" s="182">
        <f t="shared" si="41"/>
        <v>4.1852786948922034E-2</v>
      </c>
      <c r="E1253" s="182">
        <v>1.5977064699645843E-3</v>
      </c>
      <c r="F1253" s="168"/>
      <c r="G1253" s="168">
        <v>1250</v>
      </c>
      <c r="H1253" s="183">
        <f t="shared" ca="1" si="42"/>
        <v>-3.9430313893725581E-3</v>
      </c>
      <c r="K1253" s="36"/>
    </row>
    <row r="1254" spans="2:11">
      <c r="B1254" s="36" t="s">
        <v>9351</v>
      </c>
      <c r="C1254" s="182">
        <v>1544.7</v>
      </c>
      <c r="D1254" s="182">
        <f t="shared" si="41"/>
        <v>2.0547040169133283E-2</v>
      </c>
      <c r="E1254" s="182">
        <v>1.5958695141985875E-3</v>
      </c>
      <c r="F1254" s="168"/>
      <c r="G1254" s="168">
        <v>1251</v>
      </c>
      <c r="H1254" s="183">
        <f t="shared" ca="1" si="42"/>
        <v>-1.0547206286505757E-2</v>
      </c>
      <c r="K1254" s="36"/>
    </row>
    <row r="1255" spans="2:11">
      <c r="B1255" s="36" t="s">
        <v>9352</v>
      </c>
      <c r="C1255" s="182">
        <v>1513.6</v>
      </c>
      <c r="D1255" s="182">
        <f t="shared" si="41"/>
        <v>8.5623854739296408E-3</v>
      </c>
      <c r="E1255" s="182">
        <v>1.5871689917299635E-3</v>
      </c>
      <c r="F1255" s="168"/>
      <c r="G1255" s="168">
        <v>1252</v>
      </c>
      <c r="H1255" s="183">
        <f t="shared" ca="1" si="42"/>
        <v>2.3449845363968314E-2</v>
      </c>
      <c r="K1255" s="36"/>
    </row>
    <row r="1256" spans="2:11">
      <c r="B1256" s="36">
        <v>44537</v>
      </c>
      <c r="C1256" s="182">
        <v>1500.75</v>
      </c>
      <c r="D1256" s="182">
        <f t="shared" si="41"/>
        <v>7.6687116564423251E-4</v>
      </c>
      <c r="E1256" s="182">
        <v>1.5797268389008332E-3</v>
      </c>
      <c r="F1256" s="168"/>
      <c r="G1256" s="168">
        <v>1253</v>
      </c>
      <c r="H1256" s="183">
        <f t="shared" ca="1" si="42"/>
        <v>1.2019656719583934E-2</v>
      </c>
      <c r="K1256" s="36"/>
    </row>
    <row r="1257" spans="2:11">
      <c r="B1257" s="36">
        <v>44446</v>
      </c>
      <c r="C1257" s="182">
        <v>1499.6</v>
      </c>
      <c r="D1257" s="182">
        <f t="shared" si="41"/>
        <v>-7.3299127074041208E-4</v>
      </c>
      <c r="E1257" s="182">
        <v>1.5416005440942822E-3</v>
      </c>
      <c r="F1257" s="168"/>
      <c r="G1257" s="168">
        <v>1254</v>
      </c>
      <c r="H1257" s="183">
        <f t="shared" ca="1" si="42"/>
        <v>1.0852358169317062E-2</v>
      </c>
      <c r="K1257" s="36"/>
    </row>
    <row r="1258" spans="2:11">
      <c r="B1258" s="36">
        <v>44415</v>
      </c>
      <c r="C1258" s="182">
        <v>1500.7</v>
      </c>
      <c r="D1258" s="182">
        <f t="shared" si="41"/>
        <v>-1.0386099113060107E-2</v>
      </c>
      <c r="E1258" s="182">
        <v>1.5406624848685222E-3</v>
      </c>
      <c r="F1258" s="168"/>
      <c r="G1258" s="168">
        <v>1255</v>
      </c>
      <c r="H1258" s="183">
        <f t="shared" ca="1" si="42"/>
        <v>-5.5316560101742089E-3</v>
      </c>
      <c r="K1258" s="36"/>
    </row>
    <row r="1259" spans="2:11">
      <c r="B1259" s="36">
        <v>44384</v>
      </c>
      <c r="C1259" s="182">
        <v>1516.45</v>
      </c>
      <c r="D1259" s="182">
        <f t="shared" si="41"/>
        <v>7.2733311192295222E-3</v>
      </c>
      <c r="E1259" s="182">
        <v>1.5392688472975655E-3</v>
      </c>
      <c r="F1259" s="168"/>
      <c r="G1259" s="168">
        <v>1256</v>
      </c>
      <c r="H1259" s="183">
        <f t="shared" ca="1" si="42"/>
        <v>-8.4476270928517568E-3</v>
      </c>
      <c r="K1259" s="36"/>
    </row>
    <row r="1260" spans="2:11">
      <c r="B1260" s="36">
        <v>44354</v>
      </c>
      <c r="C1260" s="182">
        <v>1505.5</v>
      </c>
      <c r="D1260" s="182">
        <f t="shared" si="41"/>
        <v>-1.6247223051162475E-3</v>
      </c>
      <c r="E1260" s="182">
        <v>1.5300546448087716E-3</v>
      </c>
      <c r="F1260" s="168"/>
      <c r="G1260" s="168">
        <v>1257</v>
      </c>
      <c r="H1260" s="183">
        <f t="shared" ca="1" si="42"/>
        <v>1.521732369758182E-3</v>
      </c>
      <c r="K1260" s="36"/>
    </row>
    <row r="1261" spans="2:11">
      <c r="B1261" s="36">
        <v>44323</v>
      </c>
      <c r="C1261" s="182">
        <v>1507.95</v>
      </c>
      <c r="D1261" s="182">
        <f t="shared" si="41"/>
        <v>1.5010264867229801E-2</v>
      </c>
      <c r="E1261" s="182">
        <v>1.5298656378874248E-3</v>
      </c>
      <c r="F1261" s="168"/>
      <c r="G1261" s="168">
        <v>1258</v>
      </c>
      <c r="H1261" s="183">
        <f t="shared" ca="1" si="42"/>
        <v>-7.4790212794643976E-3</v>
      </c>
      <c r="K1261" s="36"/>
    </row>
    <row r="1262" spans="2:11">
      <c r="B1262" s="36">
        <v>44234</v>
      </c>
      <c r="C1262" s="182">
        <v>1485.65</v>
      </c>
      <c r="D1262" s="182">
        <f t="shared" si="41"/>
        <v>-4.4562085371573166E-3</v>
      </c>
      <c r="E1262" s="182">
        <v>1.5257857796765334E-3</v>
      </c>
      <c r="F1262" s="168"/>
      <c r="G1262" s="168">
        <v>1259</v>
      </c>
      <c r="H1262" s="183">
        <f t="shared" ca="1" si="42"/>
        <v>-4.7289086114983203E-3</v>
      </c>
      <c r="K1262" s="36"/>
    </row>
    <row r="1263" spans="2:11">
      <c r="B1263" s="36">
        <v>44203</v>
      </c>
      <c r="C1263" s="182">
        <v>1492.3</v>
      </c>
      <c r="D1263" s="182">
        <f t="shared" si="41"/>
        <v>-5.497984072506748E-3</v>
      </c>
      <c r="E1263" s="182">
        <v>1.5136607886172709E-3</v>
      </c>
      <c r="F1263" s="168"/>
      <c r="G1263" s="168">
        <v>1260</v>
      </c>
      <c r="H1263" s="183">
        <f t="shared" ca="1" si="42"/>
        <v>-6.5184547296306189E-3</v>
      </c>
      <c r="K1263" s="36"/>
    </row>
    <row r="1264" spans="2:11">
      <c r="B1264" s="36" t="s">
        <v>9353</v>
      </c>
      <c r="C1264" s="182">
        <v>1500.55</v>
      </c>
      <c r="D1264" s="182">
        <f t="shared" si="41"/>
        <v>-6.850221722152449E-3</v>
      </c>
      <c r="E1264" s="182">
        <v>1.511116430772832E-3</v>
      </c>
      <c r="F1264" s="168"/>
      <c r="G1264" s="168">
        <v>1261</v>
      </c>
      <c r="H1264" s="183">
        <f t="shared" ca="1" si="42"/>
        <v>-1.1401817686287142E-3</v>
      </c>
      <c r="K1264" s="36"/>
    </row>
    <row r="1265" spans="2:11">
      <c r="B1265" s="36" t="s">
        <v>9354</v>
      </c>
      <c r="C1265" s="182">
        <v>1510.9</v>
      </c>
      <c r="D1265" s="182">
        <f t="shared" si="41"/>
        <v>-2.3440853114991942E-3</v>
      </c>
      <c r="E1265" s="182">
        <v>1.4973340150465139E-3</v>
      </c>
      <c r="F1265" s="168"/>
      <c r="G1265" s="168">
        <v>1262</v>
      </c>
      <c r="H1265" s="183">
        <f t="shared" ca="1" si="42"/>
        <v>-4.1235145254360809E-3</v>
      </c>
      <c r="K1265" s="36"/>
    </row>
    <row r="1266" spans="2:11">
      <c r="B1266" s="36" t="s">
        <v>9355</v>
      </c>
      <c r="C1266" s="182">
        <v>1514.45</v>
      </c>
      <c r="D1266" s="182">
        <f t="shared" si="41"/>
        <v>-6.168586146930383E-3</v>
      </c>
      <c r="E1266" s="182">
        <v>1.4879249170195198E-3</v>
      </c>
      <c r="F1266" s="168"/>
      <c r="G1266" s="168">
        <v>1263</v>
      </c>
      <c r="H1266" s="183">
        <f t="shared" ca="1" si="42"/>
        <v>-1.7009728787874285E-2</v>
      </c>
      <c r="K1266" s="36"/>
    </row>
    <row r="1267" spans="2:11">
      <c r="B1267" s="36" t="s">
        <v>9356</v>
      </c>
      <c r="C1267" s="182">
        <v>1523.85</v>
      </c>
      <c r="D1267" s="182">
        <f t="shared" si="41"/>
        <v>1.3164455968883984E-2</v>
      </c>
      <c r="E1267" s="182">
        <v>1.4602028354484149E-3</v>
      </c>
      <c r="F1267" s="168"/>
      <c r="G1267" s="168">
        <v>1264</v>
      </c>
      <c r="H1267" s="183">
        <f t="shared" ca="1" si="42"/>
        <v>1.9757945351266602E-2</v>
      </c>
      <c r="K1267" s="36"/>
    </row>
    <row r="1268" spans="2:11">
      <c r="B1268" s="36" t="s">
        <v>9357</v>
      </c>
      <c r="C1268" s="182">
        <v>1504.05</v>
      </c>
      <c r="D1268" s="182">
        <f t="shared" si="41"/>
        <v>1.6765252661821838E-2</v>
      </c>
      <c r="E1268" s="182">
        <v>1.4568453967238422E-3</v>
      </c>
      <c r="F1268" s="168"/>
      <c r="G1268" s="168">
        <v>1265</v>
      </c>
      <c r="H1268" s="183">
        <f t="shared" ca="1" si="42"/>
        <v>2.1218443324944004E-4</v>
      </c>
      <c r="K1268" s="36"/>
    </row>
    <row r="1269" spans="2:11">
      <c r="B1269" s="36" t="s">
        <v>9358</v>
      </c>
      <c r="C1269" s="182">
        <v>1479.25</v>
      </c>
      <c r="D1269" s="182">
        <f t="shared" si="41"/>
        <v>-1.330709711846321E-2</v>
      </c>
      <c r="E1269" s="182">
        <v>1.4534883720929361E-3</v>
      </c>
      <c r="F1269" s="168"/>
      <c r="G1269" s="168">
        <v>1266</v>
      </c>
      <c r="H1269" s="183">
        <f t="shared" ca="1" si="42"/>
        <v>2.8429983752379694E-3</v>
      </c>
      <c r="K1269" s="36"/>
    </row>
    <row r="1270" spans="2:11">
      <c r="B1270" s="36" t="s">
        <v>9359</v>
      </c>
      <c r="C1270" s="182">
        <v>1499.2</v>
      </c>
      <c r="D1270" s="182">
        <f t="shared" si="41"/>
        <v>2.1914726832759683E-2</v>
      </c>
      <c r="E1270" s="182">
        <v>1.4390136215721521E-3</v>
      </c>
      <c r="F1270" s="168"/>
      <c r="G1270" s="168">
        <v>1267</v>
      </c>
      <c r="H1270" s="183">
        <f t="shared" ca="1" si="42"/>
        <v>-2.7854837222504513E-3</v>
      </c>
      <c r="K1270" s="36"/>
    </row>
    <row r="1271" spans="2:11">
      <c r="B1271" s="36" t="s">
        <v>9360</v>
      </c>
      <c r="C1271" s="182">
        <v>1467.05</v>
      </c>
      <c r="D1271" s="182">
        <f t="shared" si="41"/>
        <v>-6.0636856368563993E-3</v>
      </c>
      <c r="E1271" s="182">
        <v>1.4390004211709828E-3</v>
      </c>
      <c r="F1271" s="168"/>
      <c r="G1271" s="168">
        <v>1268</v>
      </c>
      <c r="H1271" s="183">
        <f t="shared" ca="1" si="42"/>
        <v>1.030427048241973E-2</v>
      </c>
      <c r="K1271" s="36"/>
    </row>
    <row r="1272" spans="2:11">
      <c r="B1272" s="36" t="s">
        <v>9361</v>
      </c>
      <c r="C1272" s="182">
        <v>1476</v>
      </c>
      <c r="D1272" s="182">
        <f t="shared" si="41"/>
        <v>-7.7644448926086213E-3</v>
      </c>
      <c r="E1272" s="182">
        <v>1.4200363667849715E-3</v>
      </c>
      <c r="F1272" s="168"/>
      <c r="G1272" s="168">
        <v>1269</v>
      </c>
      <c r="H1272" s="183">
        <f t="shared" ca="1" si="42"/>
        <v>7.3332532318468972E-3</v>
      </c>
      <c r="K1272" s="36"/>
    </row>
    <row r="1273" spans="2:11">
      <c r="B1273" s="36" t="s">
        <v>9362</v>
      </c>
      <c r="C1273" s="182">
        <v>1487.55</v>
      </c>
      <c r="D1273" s="182">
        <f t="shared" si="41"/>
        <v>-2.2469649205178995E-3</v>
      </c>
      <c r="E1273" s="182">
        <v>1.399849516177011E-3</v>
      </c>
      <c r="F1273" s="168"/>
      <c r="G1273" s="168">
        <v>1270</v>
      </c>
      <c r="H1273" s="183">
        <f t="shared" ca="1" si="42"/>
        <v>-8.3193898986410747E-3</v>
      </c>
      <c r="K1273" s="36"/>
    </row>
    <row r="1274" spans="2:11">
      <c r="B1274" s="36" t="s">
        <v>9363</v>
      </c>
      <c r="C1274" s="182">
        <v>1490.9</v>
      </c>
      <c r="D1274" s="182">
        <f t="shared" si="41"/>
        <v>-1.3171829494307561E-2</v>
      </c>
      <c r="E1274" s="182">
        <v>1.3893109885815213E-3</v>
      </c>
      <c r="F1274" s="168"/>
      <c r="G1274" s="168">
        <v>1271</v>
      </c>
      <c r="H1274" s="183">
        <f t="shared" ca="1" si="42"/>
        <v>5.2423107485693385E-3</v>
      </c>
      <c r="K1274" s="36"/>
    </row>
    <row r="1275" spans="2:11">
      <c r="B1275" s="36" t="s">
        <v>9364</v>
      </c>
      <c r="C1275" s="182">
        <v>1510.8</v>
      </c>
      <c r="D1275" s="182">
        <f t="shared" si="41"/>
        <v>-3.2657100445324396E-3</v>
      </c>
      <c r="E1275" s="182">
        <v>1.3834802213568587E-3</v>
      </c>
      <c r="F1275" s="168"/>
      <c r="G1275" s="168">
        <v>1272</v>
      </c>
      <c r="H1275" s="183">
        <f t="shared" ca="1" si="42"/>
        <v>4.0604792716787122E-3</v>
      </c>
      <c r="K1275" s="36"/>
    </row>
    <row r="1276" spans="2:11">
      <c r="B1276" s="36" t="s">
        <v>9365</v>
      </c>
      <c r="C1276" s="182">
        <v>1515.75</v>
      </c>
      <c r="D1276" s="182">
        <f t="shared" si="41"/>
        <v>8.1811832784595123E-3</v>
      </c>
      <c r="E1276" s="182">
        <v>1.3785456343557274E-3</v>
      </c>
      <c r="F1276" s="168"/>
      <c r="G1276" s="168">
        <v>1273</v>
      </c>
      <c r="H1276" s="183">
        <f t="shared" ca="1" si="42"/>
        <v>-2.2387362365138344E-5</v>
      </c>
      <c r="K1276" s="36"/>
    </row>
    <row r="1277" spans="2:11">
      <c r="B1277" s="36">
        <v>44506</v>
      </c>
      <c r="C1277" s="182">
        <v>1503.45</v>
      </c>
      <c r="D1277" s="182">
        <f t="shared" si="41"/>
        <v>-1.0692899914456801E-2</v>
      </c>
      <c r="E1277" s="182">
        <v>1.3715140684095349E-3</v>
      </c>
      <c r="F1277" s="168"/>
      <c r="G1277" s="168">
        <v>1274</v>
      </c>
      <c r="H1277" s="183">
        <f t="shared" ca="1" si="42"/>
        <v>2.7576442100998083E-3</v>
      </c>
      <c r="K1277" s="36"/>
    </row>
    <row r="1278" spans="2:11">
      <c r="B1278" s="36">
        <v>44475</v>
      </c>
      <c r="C1278" s="182">
        <v>1519.7</v>
      </c>
      <c r="D1278" s="182">
        <f t="shared" si="41"/>
        <v>2.6327914171005791E-4</v>
      </c>
      <c r="E1278" s="182">
        <v>1.3456331771533004E-3</v>
      </c>
      <c r="F1278" s="168"/>
      <c r="G1278" s="168">
        <v>1275</v>
      </c>
      <c r="H1278" s="183">
        <f t="shared" ca="1" si="42"/>
        <v>6.6187384907672973E-3</v>
      </c>
      <c r="K1278" s="36"/>
    </row>
    <row r="1279" spans="2:11">
      <c r="B1279" s="36">
        <v>44445</v>
      </c>
      <c r="C1279" s="182">
        <v>1519.3</v>
      </c>
      <c r="D1279" s="182">
        <f t="shared" si="41"/>
        <v>-1.9268631184843388E-2</v>
      </c>
      <c r="E1279" s="182">
        <v>1.34110787172009E-3</v>
      </c>
      <c r="F1279" s="168"/>
      <c r="G1279" s="168">
        <v>1276</v>
      </c>
      <c r="H1279" s="183">
        <f t="shared" ca="1" si="42"/>
        <v>1.2849307556865985E-2</v>
      </c>
      <c r="K1279" s="36"/>
    </row>
    <row r="1280" spans="2:11">
      <c r="B1280" s="36">
        <v>44414</v>
      </c>
      <c r="C1280" s="182">
        <v>1549.15</v>
      </c>
      <c r="D1280" s="182">
        <f t="shared" si="41"/>
        <v>-5.5527025292077701E-3</v>
      </c>
      <c r="E1280" s="182">
        <v>1.3388897256949675E-3</v>
      </c>
      <c r="F1280" s="168"/>
      <c r="G1280" s="168">
        <v>1277</v>
      </c>
      <c r="H1280" s="183">
        <f t="shared" ca="1" si="42"/>
        <v>6.046657608843548E-3</v>
      </c>
      <c r="K1280" s="36"/>
    </row>
    <row r="1281" spans="2:11">
      <c r="B1281" s="36">
        <v>44383</v>
      </c>
      <c r="C1281" s="182">
        <v>1557.8</v>
      </c>
      <c r="D1281" s="182">
        <f t="shared" si="41"/>
        <v>1.3170303404767325E-2</v>
      </c>
      <c r="E1281" s="182">
        <v>1.3358909364938312E-3</v>
      </c>
      <c r="F1281" s="168"/>
      <c r="G1281" s="168">
        <v>1278</v>
      </c>
      <c r="H1281" s="183">
        <f t="shared" ca="1" si="42"/>
        <v>-1.5770540907563278E-2</v>
      </c>
      <c r="K1281" s="36"/>
    </row>
    <row r="1282" spans="2:11">
      <c r="B1282" s="36">
        <v>44292</v>
      </c>
      <c r="C1282" s="182">
        <v>1537.55</v>
      </c>
      <c r="D1282" s="182">
        <f t="shared" si="41"/>
        <v>1.767217129430456E-2</v>
      </c>
      <c r="E1282" s="182">
        <v>1.334156394990089E-3</v>
      </c>
      <c r="F1282" s="168"/>
      <c r="G1282" s="168">
        <v>1279</v>
      </c>
      <c r="H1282" s="183">
        <f t="shared" ca="1" si="42"/>
        <v>-2.0709983549012021E-2</v>
      </c>
      <c r="K1282" s="36"/>
    </row>
    <row r="1283" spans="2:11">
      <c r="B1283" s="36">
        <v>44261</v>
      </c>
      <c r="C1283" s="182">
        <v>1510.85</v>
      </c>
      <c r="D1283" s="182">
        <f t="shared" si="41"/>
        <v>2.7055504571564498E-2</v>
      </c>
      <c r="E1283" s="182">
        <v>1.3315579227696406E-3</v>
      </c>
      <c r="F1283" s="168"/>
      <c r="G1283" s="168">
        <v>1280</v>
      </c>
      <c r="H1283" s="183">
        <f t="shared" ca="1" si="42"/>
        <v>1.7294685425067124E-2</v>
      </c>
      <c r="K1283" s="36"/>
    </row>
    <row r="1284" spans="2:11">
      <c r="B1284" s="36">
        <v>44233</v>
      </c>
      <c r="C1284" s="182">
        <v>1471.05</v>
      </c>
      <c r="D1284" s="182">
        <f t="shared" ref="D1284:D1347" si="43">(C1284-C1285)/C1285</f>
        <v>-2.4412572474825458E-3</v>
      </c>
      <c r="E1284" s="182">
        <v>1.3241312896236988E-3</v>
      </c>
      <c r="F1284" s="168"/>
      <c r="G1284" s="168">
        <v>1281</v>
      </c>
      <c r="H1284" s="183">
        <f t="shared" ca="1" si="42"/>
        <v>1.6182726038450588E-2</v>
      </c>
      <c r="K1284" s="36"/>
    </row>
    <row r="1285" spans="2:11">
      <c r="B1285" s="36">
        <v>44202</v>
      </c>
      <c r="C1285" s="182">
        <v>1474.65</v>
      </c>
      <c r="D1285" s="182">
        <f t="shared" si="43"/>
        <v>4.7353001294542793E-3</v>
      </c>
      <c r="E1285" s="182">
        <v>1.2930337805075157E-3</v>
      </c>
      <c r="F1285" s="168"/>
      <c r="G1285" s="168">
        <v>1282</v>
      </c>
      <c r="H1285" s="183">
        <f t="shared" ref="H1285:H1348" ca="1" si="44">_xlfn.NORM.INV(RAND(),N$6,N$7)</f>
        <v>-1.0063507905158444E-2</v>
      </c>
      <c r="K1285" s="36"/>
    </row>
    <row r="1286" spans="2:11">
      <c r="B1286" s="36" t="s">
        <v>9366</v>
      </c>
      <c r="C1286" s="182">
        <v>1467.7</v>
      </c>
      <c r="D1286" s="182">
        <f t="shared" si="43"/>
        <v>-7.0360598065082637E-3</v>
      </c>
      <c r="E1286" s="182">
        <v>1.2909148283083277E-3</v>
      </c>
      <c r="F1286" s="168"/>
      <c r="G1286" s="168">
        <v>1283</v>
      </c>
      <c r="H1286" s="183">
        <f t="shared" ca="1" si="44"/>
        <v>5.3138415469153061E-3</v>
      </c>
      <c r="K1286" s="36"/>
    </row>
    <row r="1287" spans="2:11">
      <c r="B1287" s="36" t="s">
        <v>9367</v>
      </c>
      <c r="C1287" s="182">
        <v>1478.1</v>
      </c>
      <c r="D1287" s="182">
        <f t="shared" si="43"/>
        <v>-3.2032909599757227E-3</v>
      </c>
      <c r="E1287" s="182">
        <v>1.2836612250592741E-3</v>
      </c>
      <c r="F1287" s="168"/>
      <c r="G1287" s="168">
        <v>1284</v>
      </c>
      <c r="H1287" s="183">
        <f t="shared" ca="1" si="44"/>
        <v>1.2953909201133106E-2</v>
      </c>
      <c r="K1287" s="36"/>
    </row>
    <row r="1288" spans="2:11">
      <c r="B1288" s="36" t="s">
        <v>9368</v>
      </c>
      <c r="C1288" s="182">
        <v>1482.85</v>
      </c>
      <c r="D1288" s="182">
        <f t="shared" si="43"/>
        <v>6.7553805417881847E-3</v>
      </c>
      <c r="E1288" s="182">
        <v>1.2807956000904434E-3</v>
      </c>
      <c r="F1288" s="168"/>
      <c r="G1288" s="168">
        <v>1285</v>
      </c>
      <c r="H1288" s="183">
        <f t="shared" ca="1" si="44"/>
        <v>-4.0064239776178255E-3</v>
      </c>
      <c r="K1288" s="36"/>
    </row>
    <row r="1289" spans="2:11">
      <c r="B1289" s="36" t="s">
        <v>9369</v>
      </c>
      <c r="C1289" s="182">
        <v>1472.9</v>
      </c>
      <c r="D1289" s="182">
        <f t="shared" si="43"/>
        <v>1.5128019573382986E-2</v>
      </c>
      <c r="E1289" s="182">
        <v>1.2755770675706691E-3</v>
      </c>
      <c r="F1289" s="168"/>
      <c r="G1289" s="168">
        <v>1286</v>
      </c>
      <c r="H1289" s="183">
        <f t="shared" ca="1" si="44"/>
        <v>9.666216184842721E-3</v>
      </c>
      <c r="K1289" s="36"/>
    </row>
    <row r="1290" spans="2:11">
      <c r="B1290" s="36" t="s">
        <v>9370</v>
      </c>
      <c r="C1290" s="182">
        <v>1450.95</v>
      </c>
      <c r="D1290" s="182">
        <f t="shared" si="43"/>
        <v>5.335181015070186E-3</v>
      </c>
      <c r="E1290" s="182">
        <v>1.2446325222478063E-3</v>
      </c>
      <c r="F1290" s="168"/>
      <c r="G1290" s="168">
        <v>1287</v>
      </c>
      <c r="H1290" s="183">
        <f t="shared" ca="1" si="44"/>
        <v>1.3840136058037869E-2</v>
      </c>
      <c r="K1290" s="36"/>
    </row>
    <row r="1291" spans="2:11">
      <c r="B1291" s="36" t="s">
        <v>9371</v>
      </c>
      <c r="C1291" s="182">
        <v>1443.25</v>
      </c>
      <c r="D1291" s="182">
        <f t="shared" si="43"/>
        <v>1.7770882549980639E-2</v>
      </c>
      <c r="E1291" s="182">
        <v>1.2421296098000135E-3</v>
      </c>
      <c r="F1291" s="168"/>
      <c r="G1291" s="168">
        <v>1288</v>
      </c>
      <c r="H1291" s="183">
        <f t="shared" ca="1" si="44"/>
        <v>-9.5512944754000059E-3</v>
      </c>
      <c r="K1291" s="36"/>
    </row>
    <row r="1292" spans="2:11">
      <c r="B1292" s="36" t="s">
        <v>9372</v>
      </c>
      <c r="C1292" s="182">
        <v>1418.05</v>
      </c>
      <c r="D1292" s="182">
        <f t="shared" si="43"/>
        <v>5.8875687178577439E-3</v>
      </c>
      <c r="E1292" s="182">
        <v>1.2341601627006143E-3</v>
      </c>
      <c r="F1292" s="168"/>
      <c r="G1292" s="168">
        <v>1289</v>
      </c>
      <c r="H1292" s="183">
        <f t="shared" ca="1" si="44"/>
        <v>1.4078696395207896E-3</v>
      </c>
      <c r="K1292" s="36"/>
    </row>
    <row r="1293" spans="2:11">
      <c r="B1293" s="36" t="s">
        <v>9373</v>
      </c>
      <c r="C1293" s="182">
        <v>1409.75</v>
      </c>
      <c r="D1293" s="182">
        <f t="shared" si="43"/>
        <v>4.4889379742776405E-3</v>
      </c>
      <c r="E1293" s="182">
        <v>1.2217769523994587E-3</v>
      </c>
      <c r="F1293" s="168"/>
      <c r="G1293" s="168">
        <v>1290</v>
      </c>
      <c r="H1293" s="183">
        <f t="shared" ca="1" si="44"/>
        <v>2.2326077307947678E-2</v>
      </c>
      <c r="K1293" s="36"/>
    </row>
    <row r="1294" spans="2:11">
      <c r="B1294" s="36" t="s">
        <v>9374</v>
      </c>
      <c r="C1294" s="182">
        <v>1403.45</v>
      </c>
      <c r="D1294" s="182">
        <f t="shared" si="43"/>
        <v>-9.7721018838636212E-3</v>
      </c>
      <c r="E1294" s="182">
        <v>1.2114080022151462E-3</v>
      </c>
      <c r="F1294" s="168"/>
      <c r="G1294" s="168">
        <v>1291</v>
      </c>
      <c r="H1294" s="183">
        <f t="shared" ca="1" si="44"/>
        <v>2.7477050317456994E-2</v>
      </c>
      <c r="K1294" s="36"/>
    </row>
    <row r="1295" spans="2:11">
      <c r="B1295" s="36" t="s">
        <v>9375</v>
      </c>
      <c r="C1295" s="182">
        <v>1417.3</v>
      </c>
      <c r="D1295" s="182">
        <f t="shared" si="43"/>
        <v>2.2029926086172671E-2</v>
      </c>
      <c r="E1295" s="182">
        <v>1.1961404534701365E-3</v>
      </c>
      <c r="F1295" s="168"/>
      <c r="G1295" s="168">
        <v>1292</v>
      </c>
      <c r="H1295" s="183">
        <f t="shared" ca="1" si="44"/>
        <v>2.438483214668676E-3</v>
      </c>
      <c r="K1295" s="36"/>
    </row>
    <row r="1296" spans="2:11">
      <c r="B1296" s="36" t="s">
        <v>9376</v>
      </c>
      <c r="C1296" s="182">
        <v>1386.75</v>
      </c>
      <c r="D1296" s="182">
        <f t="shared" si="43"/>
        <v>-2.0310844224655598E-2</v>
      </c>
      <c r="E1296" s="182">
        <v>1.1822819661511349E-3</v>
      </c>
      <c r="F1296" s="168"/>
      <c r="G1296" s="168">
        <v>1293</v>
      </c>
      <c r="H1296" s="183">
        <f t="shared" ca="1" si="44"/>
        <v>2.3032045296523099E-2</v>
      </c>
      <c r="K1296" s="36"/>
    </row>
    <row r="1297" spans="2:11">
      <c r="B1297" s="36" t="s">
        <v>9377</v>
      </c>
      <c r="C1297" s="182">
        <v>1415.5</v>
      </c>
      <c r="D1297" s="182">
        <f t="shared" si="43"/>
        <v>2.1800332058038004E-2</v>
      </c>
      <c r="E1297" s="182">
        <v>1.1783374444217507E-3</v>
      </c>
      <c r="F1297" s="168"/>
      <c r="G1297" s="168">
        <v>1294</v>
      </c>
      <c r="H1297" s="183">
        <f t="shared" ca="1" si="44"/>
        <v>3.3229063800130809E-3</v>
      </c>
      <c r="K1297" s="36"/>
    </row>
    <row r="1298" spans="2:11">
      <c r="B1298" s="36">
        <v>44535</v>
      </c>
      <c r="C1298" s="182">
        <v>1385.3</v>
      </c>
      <c r="D1298" s="182">
        <f t="shared" si="43"/>
        <v>1.2286788089043406E-3</v>
      </c>
      <c r="E1298" s="182">
        <v>1.1502185415228894E-3</v>
      </c>
      <c r="F1298" s="168"/>
      <c r="G1298" s="168">
        <v>1295</v>
      </c>
      <c r="H1298" s="183">
        <f t="shared" ca="1" si="44"/>
        <v>3.4250138444445527E-4</v>
      </c>
      <c r="K1298" s="36"/>
    </row>
    <row r="1299" spans="2:11">
      <c r="B1299" s="36">
        <v>44505</v>
      </c>
      <c r="C1299" s="182">
        <v>1383.6</v>
      </c>
      <c r="D1299" s="182">
        <f t="shared" si="43"/>
        <v>-8.1720430107527532E-3</v>
      </c>
      <c r="E1299" s="182">
        <v>1.1429841410950134E-3</v>
      </c>
      <c r="F1299" s="168"/>
      <c r="G1299" s="168">
        <v>1296</v>
      </c>
      <c r="H1299" s="183">
        <f t="shared" ca="1" si="44"/>
        <v>-1.158211442208552E-2</v>
      </c>
      <c r="K1299" s="36"/>
    </row>
    <row r="1300" spans="2:11">
      <c r="B1300" s="36">
        <v>44474</v>
      </c>
      <c r="C1300" s="182">
        <v>1395</v>
      </c>
      <c r="D1300" s="182">
        <f t="shared" si="43"/>
        <v>3.8951366649288714E-2</v>
      </c>
      <c r="E1300" s="182">
        <v>1.1415525114156155E-3</v>
      </c>
      <c r="F1300" s="168"/>
      <c r="G1300" s="168">
        <v>1297</v>
      </c>
      <c r="H1300" s="183">
        <f t="shared" ca="1" si="44"/>
        <v>-4.1872527151921033E-3</v>
      </c>
      <c r="K1300" s="36"/>
    </row>
    <row r="1301" spans="2:11">
      <c r="B1301" s="36">
        <v>44382</v>
      </c>
      <c r="C1301" s="182">
        <v>1342.7</v>
      </c>
      <c r="D1301" s="182">
        <f t="shared" si="43"/>
        <v>2.0897081871781137E-3</v>
      </c>
      <c r="E1301" s="182">
        <v>1.1383205393888361E-3</v>
      </c>
      <c r="F1301" s="168"/>
      <c r="G1301" s="168">
        <v>1298</v>
      </c>
      <c r="H1301" s="183">
        <f t="shared" ca="1" si="44"/>
        <v>1.3074413217612174E-3</v>
      </c>
      <c r="K1301" s="36"/>
    </row>
    <row r="1302" spans="2:11">
      <c r="B1302" s="36">
        <v>44352</v>
      </c>
      <c r="C1302" s="182">
        <v>1339.9</v>
      </c>
      <c r="D1302" s="182">
        <f t="shared" si="43"/>
        <v>9.33776565943301E-4</v>
      </c>
      <c r="E1302" s="182">
        <v>1.1279770537239357E-3</v>
      </c>
      <c r="F1302" s="168"/>
      <c r="G1302" s="168">
        <v>1299</v>
      </c>
      <c r="H1302" s="183">
        <f t="shared" ca="1" si="44"/>
        <v>1.2385835815550282E-3</v>
      </c>
      <c r="K1302" s="36"/>
    </row>
    <row r="1303" spans="2:11">
      <c r="B1303" s="36">
        <v>44321</v>
      </c>
      <c r="C1303" s="182">
        <v>1338.65</v>
      </c>
      <c r="D1303" s="182">
        <f t="shared" si="43"/>
        <v>7.8498803827764801E-4</v>
      </c>
      <c r="E1303" s="182">
        <v>1.1027658559848216E-3</v>
      </c>
      <c r="F1303" s="168"/>
      <c r="G1303" s="168">
        <v>1300</v>
      </c>
      <c r="H1303" s="183">
        <f t="shared" ca="1" si="44"/>
        <v>7.218154322054123E-3</v>
      </c>
      <c r="K1303" s="36"/>
    </row>
    <row r="1304" spans="2:11">
      <c r="B1304" s="36">
        <v>44291</v>
      </c>
      <c r="C1304" s="182">
        <v>1337.6</v>
      </c>
      <c r="D1304" s="182">
        <f t="shared" si="43"/>
        <v>-3.6499068901304217E-3</v>
      </c>
      <c r="E1304" s="182">
        <v>1.0829207920790827E-3</v>
      </c>
      <c r="F1304" s="168"/>
      <c r="G1304" s="168">
        <v>1301</v>
      </c>
      <c r="H1304" s="183">
        <f t="shared" ca="1" si="44"/>
        <v>-2.2063437950866948E-3</v>
      </c>
      <c r="K1304" s="36"/>
    </row>
    <row r="1305" spans="2:11">
      <c r="B1305" s="36">
        <v>44260</v>
      </c>
      <c r="C1305" s="182">
        <v>1342.5</v>
      </c>
      <c r="D1305" s="182">
        <f t="shared" si="43"/>
        <v>1.5293371628930243E-3</v>
      </c>
      <c r="E1305" s="182">
        <v>1.0792699624672963E-3</v>
      </c>
      <c r="F1305" s="168"/>
      <c r="G1305" s="168">
        <v>1302</v>
      </c>
      <c r="H1305" s="183">
        <f t="shared" ca="1" si="44"/>
        <v>7.1130053915746082E-3</v>
      </c>
      <c r="K1305" s="36"/>
    </row>
    <row r="1306" spans="2:11">
      <c r="B1306" s="36" t="s">
        <v>9378</v>
      </c>
      <c r="C1306" s="182">
        <v>1340.45</v>
      </c>
      <c r="D1306" s="182">
        <f t="shared" si="43"/>
        <v>-1.3395650093843185E-2</v>
      </c>
      <c r="E1306" s="182">
        <v>1.0764089711459302E-3</v>
      </c>
      <c r="F1306" s="168"/>
      <c r="G1306" s="168">
        <v>1303</v>
      </c>
      <c r="H1306" s="183">
        <f t="shared" ca="1" si="44"/>
        <v>2.518165717970363E-2</v>
      </c>
      <c r="K1306" s="36"/>
    </row>
    <row r="1307" spans="2:11">
      <c r="B1307" s="36" t="s">
        <v>9379</v>
      </c>
      <c r="C1307" s="182">
        <v>1358.65</v>
      </c>
      <c r="D1307" s="182">
        <f t="shared" si="43"/>
        <v>-1.2537248346536812E-2</v>
      </c>
      <c r="E1307" s="182">
        <v>1.0729446889238747E-3</v>
      </c>
      <c r="F1307" s="168"/>
      <c r="G1307" s="168">
        <v>1304</v>
      </c>
      <c r="H1307" s="183">
        <f t="shared" ca="1" si="44"/>
        <v>-1.5525264913460596E-3</v>
      </c>
      <c r="K1307" s="36"/>
    </row>
    <row r="1308" spans="2:11">
      <c r="B1308" s="36" t="s">
        <v>9380</v>
      </c>
      <c r="C1308" s="182">
        <v>1375.9</v>
      </c>
      <c r="D1308" s="182">
        <f t="shared" si="43"/>
        <v>-3.4404085032412267E-3</v>
      </c>
      <c r="E1308" s="182">
        <v>1.0656010656010051E-3</v>
      </c>
      <c r="F1308" s="168"/>
      <c r="G1308" s="168">
        <v>1305</v>
      </c>
      <c r="H1308" s="183">
        <f t="shared" ca="1" si="44"/>
        <v>-1.1208469889259762E-2</v>
      </c>
      <c r="K1308" s="36"/>
    </row>
    <row r="1309" spans="2:11">
      <c r="B1309" s="36" t="s">
        <v>9381</v>
      </c>
      <c r="C1309" s="182">
        <v>1380.65</v>
      </c>
      <c r="D1309" s="182">
        <f t="shared" si="43"/>
        <v>3.3498016318586718E-2</v>
      </c>
      <c r="E1309" s="182">
        <v>1.0644154890805987E-3</v>
      </c>
      <c r="F1309" s="168"/>
      <c r="G1309" s="168">
        <v>1306</v>
      </c>
      <c r="H1309" s="183">
        <f t="shared" ca="1" si="44"/>
        <v>-1.4827608738801302E-3</v>
      </c>
      <c r="K1309" s="36"/>
    </row>
    <row r="1310" spans="2:11">
      <c r="B1310" s="36" t="s">
        <v>9382</v>
      </c>
      <c r="C1310" s="182">
        <v>1335.9</v>
      </c>
      <c r="D1310" s="182">
        <f t="shared" si="43"/>
        <v>9.8268954569506375E-3</v>
      </c>
      <c r="E1310" s="182">
        <v>1.0587272814771434E-3</v>
      </c>
      <c r="F1310" s="168"/>
      <c r="G1310" s="168">
        <v>1307</v>
      </c>
      <c r="H1310" s="183">
        <f t="shared" ca="1" si="44"/>
        <v>-1.1064046115252572E-2</v>
      </c>
      <c r="K1310" s="36"/>
    </row>
    <row r="1311" spans="2:11">
      <c r="B1311" s="36" t="s">
        <v>9383</v>
      </c>
      <c r="C1311" s="182">
        <v>1322.9</v>
      </c>
      <c r="D1311" s="182">
        <f t="shared" si="43"/>
        <v>-1.039796529024526E-2</v>
      </c>
      <c r="E1311" s="182">
        <v>1.0547878194936461E-3</v>
      </c>
      <c r="F1311" s="168"/>
      <c r="G1311" s="168">
        <v>1308</v>
      </c>
      <c r="H1311" s="183">
        <f t="shared" ca="1" si="44"/>
        <v>-8.9535468724264225E-4</v>
      </c>
      <c r="K1311" s="36"/>
    </row>
    <row r="1312" spans="2:11">
      <c r="B1312" s="36" t="s">
        <v>9384</v>
      </c>
      <c r="C1312" s="182">
        <v>1336.8</v>
      </c>
      <c r="D1312" s="182">
        <f t="shared" si="43"/>
        <v>3.9804731505820165E-3</v>
      </c>
      <c r="E1312" s="182">
        <v>1.0544187293360086E-3</v>
      </c>
      <c r="F1312" s="168"/>
      <c r="G1312" s="168">
        <v>1309</v>
      </c>
      <c r="H1312" s="183">
        <f t="shared" ca="1" si="44"/>
        <v>4.3140895109008591E-4</v>
      </c>
      <c r="K1312" s="36"/>
    </row>
    <row r="1313" spans="2:11">
      <c r="B1313" s="36" t="s">
        <v>9385</v>
      </c>
      <c r="C1313" s="182">
        <v>1331.5</v>
      </c>
      <c r="D1313" s="182">
        <f t="shared" si="43"/>
        <v>1.6063184402304517E-2</v>
      </c>
      <c r="E1313" s="182">
        <v>1.0456464910516424E-3</v>
      </c>
      <c r="F1313" s="168"/>
      <c r="G1313" s="168">
        <v>1310</v>
      </c>
      <c r="H1313" s="183">
        <f t="shared" ca="1" si="44"/>
        <v>-9.737859641910207E-3</v>
      </c>
      <c r="K1313" s="36"/>
    </row>
    <row r="1314" spans="2:11">
      <c r="B1314" s="36" t="s">
        <v>9386</v>
      </c>
      <c r="C1314" s="182">
        <v>1310.45</v>
      </c>
      <c r="D1314" s="182">
        <f t="shared" si="43"/>
        <v>-3.5831218040687222E-2</v>
      </c>
      <c r="E1314" s="182">
        <v>1.0192467766320689E-3</v>
      </c>
      <c r="F1314" s="168"/>
      <c r="G1314" s="168">
        <v>1311</v>
      </c>
      <c r="H1314" s="183">
        <f t="shared" ca="1" si="44"/>
        <v>1.1114736501263156E-2</v>
      </c>
      <c r="K1314" s="36"/>
    </row>
    <row r="1315" spans="2:11">
      <c r="B1315" s="36" t="s">
        <v>9387</v>
      </c>
      <c r="C1315" s="182">
        <v>1359.15</v>
      </c>
      <c r="D1315" s="182">
        <f t="shared" si="43"/>
        <v>-1.127559742479904E-2</v>
      </c>
      <c r="E1315" s="182">
        <v>1.0186160871092696E-3</v>
      </c>
      <c r="F1315" s="168"/>
      <c r="G1315" s="168">
        <v>1312</v>
      </c>
      <c r="H1315" s="183">
        <f t="shared" ca="1" si="44"/>
        <v>-7.7725794650431524E-3</v>
      </c>
      <c r="K1315" s="36"/>
    </row>
    <row r="1316" spans="2:11">
      <c r="B1316" s="36" t="s">
        <v>9388</v>
      </c>
      <c r="C1316" s="182">
        <v>1374.65</v>
      </c>
      <c r="D1316" s="182">
        <f t="shared" si="43"/>
        <v>6.9156293222686575E-4</v>
      </c>
      <c r="E1316" s="182">
        <v>9.7891566265056822E-4</v>
      </c>
      <c r="F1316" s="168"/>
      <c r="G1316" s="168">
        <v>1313</v>
      </c>
      <c r="H1316" s="183">
        <f t="shared" ca="1" si="44"/>
        <v>2.445099194369171E-2</v>
      </c>
      <c r="K1316" s="36"/>
    </row>
    <row r="1317" spans="2:11">
      <c r="B1317" s="36" t="s">
        <v>9389</v>
      </c>
      <c r="C1317" s="182">
        <v>1373.7</v>
      </c>
      <c r="D1317" s="182">
        <f t="shared" si="43"/>
        <v>2.1224398765936851E-2</v>
      </c>
      <c r="E1317" s="182">
        <v>9.7553361688843801E-4</v>
      </c>
      <c r="F1317" s="168"/>
      <c r="G1317" s="168">
        <v>1314</v>
      </c>
      <c r="H1317" s="183">
        <f t="shared" ca="1" si="44"/>
        <v>1.3716671789020793E-2</v>
      </c>
      <c r="K1317" s="36"/>
    </row>
    <row r="1318" spans="2:11">
      <c r="B1318" s="36">
        <v>44534</v>
      </c>
      <c r="C1318" s="182">
        <v>1345.15</v>
      </c>
      <c r="D1318" s="182">
        <f t="shared" si="43"/>
        <v>-4.1984189160316092E-2</v>
      </c>
      <c r="E1318" s="182">
        <v>9.6845600442729037E-4</v>
      </c>
      <c r="F1318" s="168"/>
      <c r="G1318" s="168">
        <v>1315</v>
      </c>
      <c r="H1318" s="183">
        <f t="shared" ca="1" si="44"/>
        <v>2.5827625134035873E-2</v>
      </c>
      <c r="K1318" s="36"/>
    </row>
    <row r="1319" spans="2:11">
      <c r="B1319" s="36">
        <v>44443</v>
      </c>
      <c r="C1319" s="182">
        <v>1404.1</v>
      </c>
      <c r="D1319" s="182">
        <f t="shared" si="43"/>
        <v>-1.0604939576507192E-2</v>
      </c>
      <c r="E1319" s="182">
        <v>9.6497701084182635E-4</v>
      </c>
      <c r="F1319" s="168"/>
      <c r="G1319" s="168">
        <v>1316</v>
      </c>
      <c r="H1319" s="183">
        <f t="shared" ca="1" si="44"/>
        <v>6.0141088961091008E-3</v>
      </c>
      <c r="K1319" s="36"/>
    </row>
    <row r="1320" spans="2:11">
      <c r="B1320" s="36">
        <v>44412</v>
      </c>
      <c r="C1320" s="182">
        <v>1419.15</v>
      </c>
      <c r="D1320" s="182">
        <f t="shared" si="43"/>
        <v>1.0682619378271552E-2</v>
      </c>
      <c r="E1320" s="182">
        <v>9.6314907872704436E-4</v>
      </c>
      <c r="F1320" s="168"/>
      <c r="G1320" s="168">
        <v>1317</v>
      </c>
      <c r="H1320" s="183">
        <f t="shared" ca="1" si="44"/>
        <v>1.0571280794495487E-2</v>
      </c>
      <c r="K1320" s="36"/>
    </row>
    <row r="1321" spans="2:11">
      <c r="B1321" s="36">
        <v>44381</v>
      </c>
      <c r="C1321" s="182">
        <v>1404.15</v>
      </c>
      <c r="D1321" s="182">
        <f t="shared" si="43"/>
        <v>2.2483940042827204E-3</v>
      </c>
      <c r="E1321" s="182">
        <v>9.5820969337301061E-4</v>
      </c>
      <c r="F1321" s="168"/>
      <c r="G1321" s="168">
        <v>1318</v>
      </c>
      <c r="H1321" s="183">
        <f t="shared" ca="1" si="44"/>
        <v>2.982812735726623E-2</v>
      </c>
      <c r="K1321" s="36"/>
    </row>
    <row r="1322" spans="2:11">
      <c r="B1322" s="36">
        <v>44351</v>
      </c>
      <c r="C1322" s="182">
        <v>1401</v>
      </c>
      <c r="D1322" s="182">
        <f t="shared" si="43"/>
        <v>-1.9945861233793666E-3</v>
      </c>
      <c r="E1322" s="182">
        <v>9.5204922791138134E-4</v>
      </c>
      <c r="F1322" s="168"/>
      <c r="G1322" s="168">
        <v>1319</v>
      </c>
      <c r="H1322" s="183">
        <f t="shared" ca="1" si="44"/>
        <v>2.2127788097088669E-2</v>
      </c>
      <c r="K1322" s="36"/>
    </row>
    <row r="1323" spans="2:11">
      <c r="B1323" s="36">
        <v>44320</v>
      </c>
      <c r="C1323" s="182">
        <v>1403.8</v>
      </c>
      <c r="D1323" s="182">
        <f t="shared" si="43"/>
        <v>-2.8243112280215948E-2</v>
      </c>
      <c r="E1323" s="182">
        <v>9.4054417198528113E-4</v>
      </c>
      <c r="F1323" s="168"/>
      <c r="G1323" s="168">
        <v>1320</v>
      </c>
      <c r="H1323" s="183">
        <f t="shared" ca="1" si="44"/>
        <v>1.0068217487914583E-3</v>
      </c>
      <c r="K1323" s="36"/>
    </row>
    <row r="1324" spans="2:11">
      <c r="B1324" s="36">
        <v>44200</v>
      </c>
      <c r="C1324" s="182">
        <v>1444.6</v>
      </c>
      <c r="D1324" s="182">
        <f t="shared" si="43"/>
        <v>1.8112622454013544E-2</v>
      </c>
      <c r="E1324" s="182">
        <v>9.3300378112055687E-4</v>
      </c>
      <c r="F1324" s="168"/>
      <c r="G1324" s="168">
        <v>1321</v>
      </c>
      <c r="H1324" s="183">
        <f t="shared" ca="1" si="44"/>
        <v>3.7666577304106648E-3</v>
      </c>
      <c r="K1324" s="36"/>
    </row>
    <row r="1325" spans="2:11">
      <c r="B1325" s="36" t="s">
        <v>9390</v>
      </c>
      <c r="C1325" s="182">
        <v>1418.9</v>
      </c>
      <c r="D1325" s="182">
        <f t="shared" si="43"/>
        <v>-3.2664816831160575E-3</v>
      </c>
      <c r="E1325" s="182">
        <v>9.2876062054978261E-4</v>
      </c>
      <c r="F1325" s="168"/>
      <c r="G1325" s="168">
        <v>1322</v>
      </c>
      <c r="H1325" s="183">
        <f t="shared" ca="1" si="44"/>
        <v>-9.0898431138031095E-3</v>
      </c>
      <c r="K1325" s="36"/>
    </row>
    <row r="1326" spans="2:11">
      <c r="B1326" s="36" t="s">
        <v>9391</v>
      </c>
      <c r="C1326" s="182">
        <v>1423.55</v>
      </c>
      <c r="D1326" s="182">
        <f t="shared" si="43"/>
        <v>1.8057641421726382E-2</v>
      </c>
      <c r="E1326" s="182">
        <v>9.2780929950394631E-4</v>
      </c>
      <c r="F1326" s="168"/>
      <c r="G1326" s="168">
        <v>1323</v>
      </c>
      <c r="H1326" s="183">
        <f t="shared" ca="1" si="44"/>
        <v>7.7081968747925089E-3</v>
      </c>
      <c r="K1326" s="36"/>
    </row>
    <row r="1327" spans="2:11">
      <c r="B1327" s="36" t="s">
        <v>9392</v>
      </c>
      <c r="C1327" s="182">
        <v>1398.3</v>
      </c>
      <c r="D1327" s="182">
        <f t="shared" si="43"/>
        <v>1.9838086208154072E-2</v>
      </c>
      <c r="E1327" s="182">
        <v>9.0339337135121481E-4</v>
      </c>
      <c r="F1327" s="168"/>
      <c r="G1327" s="168">
        <v>1324</v>
      </c>
      <c r="H1327" s="183">
        <f t="shared" ca="1" si="44"/>
        <v>5.7493210561481E-3</v>
      </c>
      <c r="K1327" s="36"/>
    </row>
    <row r="1328" spans="2:11">
      <c r="B1328" s="36" t="s">
        <v>9393</v>
      </c>
      <c r="C1328" s="182">
        <v>1371.1</v>
      </c>
      <c r="D1328" s="182">
        <f t="shared" si="43"/>
        <v>1.4242413176056808E-3</v>
      </c>
      <c r="E1328" s="182">
        <v>8.8627339761769704E-4</v>
      </c>
      <c r="F1328" s="168"/>
      <c r="G1328" s="168">
        <v>1325</v>
      </c>
      <c r="H1328" s="183">
        <f t="shared" ca="1" si="44"/>
        <v>4.1698519391398462E-4</v>
      </c>
      <c r="K1328" s="36"/>
    </row>
    <row r="1329" spans="2:11">
      <c r="B1329" s="36" t="s">
        <v>9394</v>
      </c>
      <c r="C1329" s="182">
        <v>1369.15</v>
      </c>
      <c r="D1329" s="182">
        <f t="shared" si="43"/>
        <v>-2.5064976679602537E-2</v>
      </c>
      <c r="E1329" s="182">
        <v>8.8567555354715521E-4</v>
      </c>
      <c r="F1329" s="168"/>
      <c r="G1329" s="168">
        <v>1326</v>
      </c>
      <c r="H1329" s="183">
        <f t="shared" ca="1" si="44"/>
        <v>-8.0664662089709148E-3</v>
      </c>
      <c r="K1329" s="36"/>
    </row>
    <row r="1330" spans="2:11">
      <c r="B1330" s="36" t="s">
        <v>9395</v>
      </c>
      <c r="C1330" s="182">
        <v>1404.35</v>
      </c>
      <c r="D1330" s="182">
        <f t="shared" si="43"/>
        <v>3.0713188814684867E-3</v>
      </c>
      <c r="E1330" s="182">
        <v>8.7869601511357152E-4</v>
      </c>
      <c r="F1330" s="168"/>
      <c r="G1330" s="168">
        <v>1327</v>
      </c>
      <c r="H1330" s="183">
        <f t="shared" ca="1" si="44"/>
        <v>2.3625052139670481E-2</v>
      </c>
      <c r="K1330" s="36"/>
    </row>
    <row r="1331" spans="2:11">
      <c r="B1331" s="36" t="s">
        <v>9396</v>
      </c>
      <c r="C1331" s="182">
        <v>1400.05</v>
      </c>
      <c r="D1331" s="182">
        <f t="shared" si="43"/>
        <v>-7.9362267493357282E-3</v>
      </c>
      <c r="E1331" s="182">
        <v>8.7450808919982512E-4</v>
      </c>
      <c r="F1331" s="168"/>
      <c r="G1331" s="168">
        <v>1328</v>
      </c>
      <c r="H1331" s="183">
        <f t="shared" ca="1" si="44"/>
        <v>8.8796281984009993E-3</v>
      </c>
      <c r="K1331" s="36"/>
    </row>
    <row r="1332" spans="2:11">
      <c r="B1332" s="36" t="s">
        <v>9397</v>
      </c>
      <c r="C1332" s="182">
        <v>1411.25</v>
      </c>
      <c r="D1332" s="182">
        <f t="shared" si="43"/>
        <v>-1.1798893634899454E-2</v>
      </c>
      <c r="E1332" s="182">
        <v>8.3919321700381716E-4</v>
      </c>
      <c r="F1332" s="168"/>
      <c r="G1332" s="168">
        <v>1329</v>
      </c>
      <c r="H1332" s="183">
        <f t="shared" ca="1" si="44"/>
        <v>1.6336780315385675E-2</v>
      </c>
      <c r="K1332" s="36"/>
    </row>
    <row r="1333" spans="2:11">
      <c r="B1333" s="36" t="s">
        <v>9398</v>
      </c>
      <c r="C1333" s="182">
        <v>1428.1</v>
      </c>
      <c r="D1333" s="182">
        <f t="shared" si="43"/>
        <v>-6.6427851006852718E-3</v>
      </c>
      <c r="E1333" s="182">
        <v>8.38963218086321E-4</v>
      </c>
      <c r="F1333" s="168"/>
      <c r="G1333" s="168">
        <v>1330</v>
      </c>
      <c r="H1333" s="183">
        <f t="shared" ca="1" si="44"/>
        <v>4.9579641767402358E-5</v>
      </c>
      <c r="K1333" s="36"/>
    </row>
    <row r="1334" spans="2:11">
      <c r="B1334" s="36" t="s">
        <v>9399</v>
      </c>
      <c r="C1334" s="182">
        <v>1437.65</v>
      </c>
      <c r="D1334" s="182">
        <f t="shared" si="43"/>
        <v>-1.6520727869749532E-2</v>
      </c>
      <c r="E1334" s="182">
        <v>8.2187948099181926E-4</v>
      </c>
      <c r="F1334" s="168"/>
      <c r="G1334" s="168">
        <v>1331</v>
      </c>
      <c r="H1334" s="183">
        <f t="shared" ca="1" si="44"/>
        <v>1.1733259581174719E-2</v>
      </c>
      <c r="K1334" s="36"/>
    </row>
    <row r="1335" spans="2:11">
      <c r="B1335" s="36" t="s">
        <v>9400</v>
      </c>
      <c r="C1335" s="182">
        <v>1461.8</v>
      </c>
      <c r="D1335" s="182">
        <f t="shared" si="43"/>
        <v>-1.4793597304128084E-2</v>
      </c>
      <c r="E1335" s="182">
        <v>8.0643886086549134E-4</v>
      </c>
      <c r="F1335" s="168"/>
      <c r="G1335" s="168">
        <v>1332</v>
      </c>
      <c r="H1335" s="183">
        <f t="shared" ca="1" si="44"/>
        <v>3.3486266485679012E-3</v>
      </c>
      <c r="K1335" s="36"/>
    </row>
    <row r="1336" spans="2:11">
      <c r="B1336" s="36" t="s">
        <v>9401</v>
      </c>
      <c r="C1336" s="182">
        <v>1483.75</v>
      </c>
      <c r="D1336" s="182">
        <f t="shared" si="43"/>
        <v>-1.9980184940554823E-2</v>
      </c>
      <c r="E1336" s="182">
        <v>8.0426881138346889E-4</v>
      </c>
      <c r="F1336" s="168"/>
      <c r="G1336" s="168">
        <v>1333</v>
      </c>
      <c r="H1336" s="183">
        <f t="shared" ca="1" si="44"/>
        <v>-2.6123101044777577E-2</v>
      </c>
      <c r="K1336" s="36"/>
    </row>
    <row r="1337" spans="2:11">
      <c r="B1337" s="36">
        <v>44533</v>
      </c>
      <c r="C1337" s="182">
        <v>1514</v>
      </c>
      <c r="D1337" s="182">
        <f t="shared" si="43"/>
        <v>-6.6920351659887451E-3</v>
      </c>
      <c r="E1337" s="182">
        <v>7.8108810354990768E-4</v>
      </c>
      <c r="F1337" s="168"/>
      <c r="G1337" s="168">
        <v>1334</v>
      </c>
      <c r="H1337" s="183">
        <f t="shared" ca="1" si="44"/>
        <v>9.7267023594152235E-3</v>
      </c>
      <c r="K1337" s="36"/>
    </row>
    <row r="1338" spans="2:11">
      <c r="B1338" s="36">
        <v>44472</v>
      </c>
      <c r="C1338" s="182">
        <v>1524.2</v>
      </c>
      <c r="D1338" s="182">
        <f t="shared" si="43"/>
        <v>1.0541669429158716E-2</v>
      </c>
      <c r="E1338" s="182">
        <v>7.735583684950134E-4</v>
      </c>
      <c r="F1338" s="168"/>
      <c r="G1338" s="168">
        <v>1335</v>
      </c>
      <c r="H1338" s="183">
        <f t="shared" ca="1" si="44"/>
        <v>-9.64692289067994E-5</v>
      </c>
      <c r="K1338" s="36"/>
    </row>
    <row r="1339" spans="2:11">
      <c r="B1339" s="36">
        <v>44442</v>
      </c>
      <c r="C1339" s="182">
        <v>1508.3</v>
      </c>
      <c r="D1339" s="182">
        <f t="shared" si="43"/>
        <v>-4.5538542766632066E-3</v>
      </c>
      <c r="E1339" s="182">
        <v>7.6933221963335833E-4</v>
      </c>
      <c r="F1339" s="168"/>
      <c r="G1339" s="168">
        <v>1336</v>
      </c>
      <c r="H1339" s="183">
        <f t="shared" ca="1" si="44"/>
        <v>2.9799817600654954E-3</v>
      </c>
      <c r="K1339" s="36"/>
    </row>
    <row r="1340" spans="2:11">
      <c r="B1340" s="36">
        <v>44411</v>
      </c>
      <c r="C1340" s="182">
        <v>1515.2</v>
      </c>
      <c r="D1340" s="182">
        <f t="shared" si="43"/>
        <v>3.5290902258207843E-2</v>
      </c>
      <c r="E1340" s="182">
        <v>7.6167907921470123E-4</v>
      </c>
      <c r="F1340" s="168"/>
      <c r="G1340" s="168">
        <v>1337</v>
      </c>
      <c r="H1340" s="183">
        <f t="shared" ca="1" si="44"/>
        <v>1.6276585410066862E-2</v>
      </c>
      <c r="K1340" s="36"/>
    </row>
    <row r="1341" spans="2:11">
      <c r="B1341" s="36">
        <v>44319</v>
      </c>
      <c r="C1341" s="182">
        <v>1463.55</v>
      </c>
      <c r="D1341" s="182">
        <f t="shared" si="43"/>
        <v>6.4952823738550906E-4</v>
      </c>
      <c r="E1341" s="182">
        <v>7.5490689481627323E-4</v>
      </c>
      <c r="F1341" s="168"/>
      <c r="G1341" s="168">
        <v>1338</v>
      </c>
      <c r="H1341" s="183">
        <f t="shared" ca="1" si="44"/>
        <v>3.183840036995963E-3</v>
      </c>
      <c r="K1341" s="36"/>
    </row>
    <row r="1342" spans="2:11">
      <c r="B1342" s="36">
        <v>44289</v>
      </c>
      <c r="C1342" s="182">
        <v>1462.6</v>
      </c>
      <c r="D1342" s="182">
        <f t="shared" si="43"/>
        <v>-2.2914022312779864E-2</v>
      </c>
      <c r="E1342" s="182">
        <v>7.4190451252501444E-4</v>
      </c>
      <c r="F1342" s="168"/>
      <c r="G1342" s="168">
        <v>1339</v>
      </c>
      <c r="H1342" s="183">
        <f t="shared" ca="1" si="44"/>
        <v>-2.1136891794363205E-2</v>
      </c>
      <c r="K1342" s="36"/>
    </row>
    <row r="1343" spans="2:11">
      <c r="B1343" s="36">
        <v>44258</v>
      </c>
      <c r="C1343" s="182">
        <v>1496.9</v>
      </c>
      <c r="D1343" s="182">
        <f t="shared" si="43"/>
        <v>7.5724430384006992E-3</v>
      </c>
      <c r="E1343" s="182">
        <v>7.3772003524669855E-4</v>
      </c>
      <c r="F1343" s="168"/>
      <c r="G1343" s="168">
        <v>1340</v>
      </c>
      <c r="H1343" s="183">
        <f t="shared" ca="1" si="44"/>
        <v>-9.4816017155647109E-3</v>
      </c>
      <c r="K1343" s="36"/>
    </row>
    <row r="1344" spans="2:11">
      <c r="B1344" s="36">
        <v>44230</v>
      </c>
      <c r="C1344" s="182">
        <v>1485.65</v>
      </c>
      <c r="D1344" s="182">
        <f t="shared" si="43"/>
        <v>8.6906338052077144E-3</v>
      </c>
      <c r="E1344" s="182">
        <v>7.194642758315095E-4</v>
      </c>
      <c r="F1344" s="168"/>
      <c r="G1344" s="168">
        <v>1341</v>
      </c>
      <c r="H1344" s="183">
        <f t="shared" ca="1" si="44"/>
        <v>-8.5499504322877826E-3</v>
      </c>
      <c r="K1344" s="36"/>
    </row>
    <row r="1345" spans="2:11">
      <c r="B1345" s="36">
        <v>44199</v>
      </c>
      <c r="C1345" s="182">
        <v>1472.85</v>
      </c>
      <c r="D1345" s="182">
        <f t="shared" si="43"/>
        <v>2.1039861351819695E-2</v>
      </c>
      <c r="E1345" s="182">
        <v>7.115628970775558E-4</v>
      </c>
      <c r="F1345" s="168"/>
      <c r="G1345" s="168">
        <v>1342</v>
      </c>
      <c r="H1345" s="183">
        <f t="shared" ca="1" si="44"/>
        <v>1.1627060995201239E-2</v>
      </c>
      <c r="K1345" s="36"/>
    </row>
    <row r="1346" spans="2:11">
      <c r="B1346" s="36" t="s">
        <v>9402</v>
      </c>
      <c r="C1346" s="182">
        <v>1442.5</v>
      </c>
      <c r="D1346" s="182">
        <f t="shared" si="43"/>
        <v>-4.2450794915198008E-2</v>
      </c>
      <c r="E1346" s="182">
        <v>7.0832857306074809E-4</v>
      </c>
      <c r="F1346" s="168"/>
      <c r="G1346" s="168">
        <v>1343</v>
      </c>
      <c r="H1346" s="183">
        <f t="shared" ca="1" si="44"/>
        <v>-2.1211740052105941E-3</v>
      </c>
      <c r="K1346" s="36"/>
    </row>
    <row r="1347" spans="2:11">
      <c r="B1347" s="36" t="s">
        <v>9403</v>
      </c>
      <c r="C1347" s="182">
        <v>1506.45</v>
      </c>
      <c r="D1347" s="182">
        <f t="shared" si="43"/>
        <v>-1.3199266343508362E-2</v>
      </c>
      <c r="E1347" s="182">
        <v>6.9314479794829135E-4</v>
      </c>
      <c r="F1347" s="168"/>
      <c r="G1347" s="168">
        <v>1344</v>
      </c>
      <c r="H1347" s="183">
        <f t="shared" ca="1" si="44"/>
        <v>-7.2057920003207538E-3</v>
      </c>
      <c r="K1347" s="36"/>
    </row>
    <row r="1348" spans="2:11">
      <c r="B1348" s="36" t="s">
        <v>9404</v>
      </c>
      <c r="C1348" s="182">
        <v>1526.6</v>
      </c>
      <c r="D1348" s="182">
        <f t="shared" ref="D1348:D1411" si="45">(C1348-C1349)/C1349</f>
        <v>2.7114310704433799E-2</v>
      </c>
      <c r="E1348" s="182">
        <v>6.6374413435418963E-4</v>
      </c>
      <c r="F1348" s="168"/>
      <c r="G1348" s="168">
        <v>1345</v>
      </c>
      <c r="H1348" s="183">
        <f t="shared" ca="1" si="44"/>
        <v>-2.1772027327425954E-2</v>
      </c>
      <c r="K1348" s="36"/>
    </row>
    <row r="1349" spans="2:11">
      <c r="B1349" s="36" t="s">
        <v>9405</v>
      </c>
      <c r="C1349" s="182">
        <v>1486.3</v>
      </c>
      <c r="D1349" s="182">
        <f t="shared" si="45"/>
        <v>2.3481614102740606E-2</v>
      </c>
      <c r="E1349" s="182">
        <v>6.6315929086166491E-4</v>
      </c>
      <c r="F1349" s="168"/>
      <c r="G1349" s="168">
        <v>1346</v>
      </c>
      <c r="H1349" s="183">
        <f t="shared" ref="H1349:H1412" ca="1" si="46">_xlfn.NORM.INV(RAND(),N$6,N$7)</f>
        <v>4.4473940056584125E-3</v>
      </c>
      <c r="K1349" s="36"/>
    </row>
    <row r="1350" spans="2:11">
      <c r="B1350" s="36" t="s">
        <v>9406</v>
      </c>
      <c r="C1350" s="182">
        <v>1452.2</v>
      </c>
      <c r="D1350" s="182">
        <f t="shared" si="45"/>
        <v>-3.751325556733822E-2</v>
      </c>
      <c r="E1350" s="182">
        <v>6.5550778987167018E-4</v>
      </c>
      <c r="F1350" s="168"/>
      <c r="G1350" s="168">
        <v>1347</v>
      </c>
      <c r="H1350" s="183">
        <f t="shared" ca="1" si="46"/>
        <v>-9.7490342692074378E-3</v>
      </c>
      <c r="K1350" s="36"/>
    </row>
    <row r="1351" spans="2:11">
      <c r="B1351" s="36" t="s">
        <v>9407</v>
      </c>
      <c r="C1351" s="182">
        <v>1508.8</v>
      </c>
      <c r="D1351" s="182">
        <f t="shared" si="45"/>
        <v>-1.0363373999737607E-2</v>
      </c>
      <c r="E1351" s="182">
        <v>6.4180516146469769E-4</v>
      </c>
      <c r="F1351" s="168"/>
      <c r="G1351" s="168">
        <v>1348</v>
      </c>
      <c r="H1351" s="183">
        <f t="shared" ca="1" si="46"/>
        <v>-2.3256754512475625E-2</v>
      </c>
      <c r="K1351" s="36"/>
    </row>
    <row r="1352" spans="2:11">
      <c r="B1352" s="36" t="s">
        <v>9408</v>
      </c>
      <c r="C1352" s="182">
        <v>1524.6</v>
      </c>
      <c r="D1352" s="182">
        <f t="shared" si="45"/>
        <v>-1.5338909161365325E-2</v>
      </c>
      <c r="E1352" s="182">
        <v>6.3011972274741015E-4</v>
      </c>
      <c r="F1352" s="168"/>
      <c r="G1352" s="168">
        <v>1349</v>
      </c>
      <c r="H1352" s="183">
        <f t="shared" ca="1" si="46"/>
        <v>-1.0853961668550779E-2</v>
      </c>
      <c r="K1352" s="36"/>
    </row>
    <row r="1353" spans="2:11">
      <c r="B1353" s="36" t="s">
        <v>9409</v>
      </c>
      <c r="C1353" s="182">
        <v>1548.35</v>
      </c>
      <c r="D1353" s="182">
        <f t="shared" si="45"/>
        <v>-7.0992932976226175E-4</v>
      </c>
      <c r="E1353" s="182">
        <v>6.2248882349620084E-4</v>
      </c>
      <c r="F1353" s="168"/>
      <c r="G1353" s="168">
        <v>1350</v>
      </c>
      <c r="H1353" s="183">
        <f t="shared" ca="1" si="46"/>
        <v>6.4798197236131221E-3</v>
      </c>
      <c r="K1353" s="36"/>
    </row>
    <row r="1354" spans="2:11">
      <c r="B1354" s="36" t="s">
        <v>9410</v>
      </c>
      <c r="C1354" s="182">
        <v>1549.45</v>
      </c>
      <c r="D1354" s="182">
        <f t="shared" si="45"/>
        <v>7.6740480603518053E-3</v>
      </c>
      <c r="E1354" s="182">
        <v>6.1760009640578651E-4</v>
      </c>
      <c r="F1354" s="168"/>
      <c r="G1354" s="168">
        <v>1351</v>
      </c>
      <c r="H1354" s="183">
        <f t="shared" ca="1" si="46"/>
        <v>1.9049555178201751E-2</v>
      </c>
      <c r="K1354" s="36"/>
    </row>
    <row r="1355" spans="2:11">
      <c r="B1355" s="36" t="s">
        <v>9411</v>
      </c>
      <c r="C1355" s="182">
        <v>1537.65</v>
      </c>
      <c r="D1355" s="182">
        <f t="shared" si="45"/>
        <v>1.0714168337332096E-2</v>
      </c>
      <c r="E1355" s="182">
        <v>6.1451706188541712E-4</v>
      </c>
      <c r="F1355" s="168"/>
      <c r="G1355" s="168">
        <v>1352</v>
      </c>
      <c r="H1355" s="183">
        <f t="shared" ca="1" si="46"/>
        <v>-4.9894525270050612E-4</v>
      </c>
      <c r="K1355" s="36"/>
    </row>
    <row r="1356" spans="2:11">
      <c r="B1356" s="36">
        <v>44532</v>
      </c>
      <c r="C1356" s="182">
        <v>1521.35</v>
      </c>
      <c r="D1356" s="182">
        <f t="shared" si="45"/>
        <v>-5.978438418817439E-3</v>
      </c>
      <c r="E1356" s="182">
        <v>6.0307212033056091E-4</v>
      </c>
      <c r="F1356" s="168"/>
      <c r="G1356" s="168">
        <v>1353</v>
      </c>
      <c r="H1356" s="183">
        <f t="shared" ca="1" si="46"/>
        <v>-1.3203511592968876E-2</v>
      </c>
      <c r="K1356" s="36"/>
    </row>
    <row r="1357" spans="2:11">
      <c r="B1357" s="36">
        <v>44502</v>
      </c>
      <c r="C1357" s="182">
        <v>1530.5</v>
      </c>
      <c r="D1357" s="182">
        <f t="shared" si="45"/>
        <v>-1.4392890491676536E-2</v>
      </c>
      <c r="E1357" s="182">
        <v>5.9116041311690123E-4</v>
      </c>
      <c r="F1357" s="168"/>
      <c r="G1357" s="168">
        <v>1354</v>
      </c>
      <c r="H1357" s="183">
        <f t="shared" ca="1" si="46"/>
        <v>3.7715285862020814E-3</v>
      </c>
      <c r="K1357" s="36"/>
    </row>
    <row r="1358" spans="2:11">
      <c r="B1358" s="36">
        <v>44471</v>
      </c>
      <c r="C1358" s="182">
        <v>1552.85</v>
      </c>
      <c r="D1358" s="182">
        <f t="shared" si="45"/>
        <v>-8.6820517731176459E-3</v>
      </c>
      <c r="E1358" s="182">
        <v>5.8757062146900878E-4</v>
      </c>
      <c r="F1358" s="168"/>
      <c r="G1358" s="168">
        <v>1355</v>
      </c>
      <c r="H1358" s="183">
        <f t="shared" ca="1" si="46"/>
        <v>-3.3342824292731735E-5</v>
      </c>
      <c r="K1358" s="36"/>
    </row>
    <row r="1359" spans="2:11">
      <c r="B1359" s="36">
        <v>44441</v>
      </c>
      <c r="C1359" s="182">
        <v>1566.45</v>
      </c>
      <c r="D1359" s="182">
        <f t="shared" si="45"/>
        <v>9.4406495682433887E-3</v>
      </c>
      <c r="E1359" s="182">
        <v>5.8477520553137929E-4</v>
      </c>
      <c r="F1359" s="168"/>
      <c r="G1359" s="168">
        <v>1356</v>
      </c>
      <c r="H1359" s="183">
        <f t="shared" ca="1" si="46"/>
        <v>3.5884305328375788E-3</v>
      </c>
      <c r="K1359" s="36"/>
    </row>
    <row r="1360" spans="2:11">
      <c r="B1360" s="36">
        <v>44410</v>
      </c>
      <c r="C1360" s="182">
        <v>1551.8</v>
      </c>
      <c r="D1360" s="182">
        <f t="shared" si="45"/>
        <v>2.3277283217936005E-2</v>
      </c>
      <c r="E1360" s="182">
        <v>5.5954891748793826E-4</v>
      </c>
      <c r="F1360" s="168"/>
      <c r="G1360" s="168">
        <v>1357</v>
      </c>
      <c r="H1360" s="183">
        <f t="shared" ca="1" si="46"/>
        <v>-6.6727953441195155E-3</v>
      </c>
      <c r="K1360" s="36"/>
    </row>
    <row r="1361" spans="2:11">
      <c r="B1361" s="36">
        <v>44318</v>
      </c>
      <c r="C1361" s="182">
        <v>1516.5</v>
      </c>
      <c r="D1361" s="182">
        <f t="shared" si="45"/>
        <v>-8.6939469211661357E-3</v>
      </c>
      <c r="E1361" s="182">
        <v>5.5200811601119207E-4</v>
      </c>
      <c r="F1361" s="168"/>
      <c r="G1361" s="168">
        <v>1358</v>
      </c>
      <c r="H1361" s="183">
        <f t="shared" ca="1" si="46"/>
        <v>1.6816672224778072E-2</v>
      </c>
      <c r="K1361" s="36"/>
    </row>
    <row r="1362" spans="2:11">
      <c r="B1362" s="36">
        <v>44288</v>
      </c>
      <c r="C1362" s="182">
        <v>1529.8</v>
      </c>
      <c r="D1362" s="182">
        <f t="shared" si="45"/>
        <v>8.1776847338981386E-4</v>
      </c>
      <c r="E1362" s="182">
        <v>5.4331421672205917E-4</v>
      </c>
      <c r="F1362" s="168"/>
      <c r="G1362" s="168">
        <v>1359</v>
      </c>
      <c r="H1362" s="183">
        <f t="shared" ca="1" si="46"/>
        <v>-5.2232093621046522E-3</v>
      </c>
      <c r="K1362" s="36"/>
    </row>
    <row r="1363" spans="2:11">
      <c r="B1363" s="36">
        <v>44257</v>
      </c>
      <c r="C1363" s="182">
        <v>1528.55</v>
      </c>
      <c r="D1363" s="182">
        <f t="shared" si="45"/>
        <v>5.4926983291671552E-3</v>
      </c>
      <c r="E1363" s="182">
        <v>5.3655264922862424E-4</v>
      </c>
      <c r="F1363" s="168"/>
      <c r="G1363" s="168">
        <v>1360</v>
      </c>
      <c r="H1363" s="183">
        <f t="shared" ca="1" si="46"/>
        <v>1.7839508805443698E-2</v>
      </c>
      <c r="K1363" s="36"/>
    </row>
    <row r="1364" spans="2:11">
      <c r="B1364" s="36">
        <v>44229</v>
      </c>
      <c r="C1364" s="182">
        <v>1520.2</v>
      </c>
      <c r="D1364" s="182">
        <f t="shared" si="45"/>
        <v>4.9245953687407348E-2</v>
      </c>
      <c r="E1364" s="182">
        <v>5.2745707085511979E-4</v>
      </c>
      <c r="F1364" s="168"/>
      <c r="G1364" s="168">
        <v>1361</v>
      </c>
      <c r="H1364" s="183">
        <f t="shared" ca="1" si="46"/>
        <v>1.8715648001818869E-2</v>
      </c>
      <c r="K1364" s="36"/>
    </row>
    <row r="1365" spans="2:11">
      <c r="B1365" s="36">
        <v>44198</v>
      </c>
      <c r="C1365" s="182">
        <v>1448.85</v>
      </c>
      <c r="D1365" s="182">
        <f t="shared" si="45"/>
        <v>8.5524837042031815E-2</v>
      </c>
      <c r="E1365" s="182">
        <v>5.2326964243243985E-4</v>
      </c>
      <c r="F1365" s="168"/>
      <c r="G1365" s="168">
        <v>1362</v>
      </c>
      <c r="H1365" s="183">
        <f t="shared" ca="1" si="46"/>
        <v>-3.5881970136169856E-3</v>
      </c>
      <c r="K1365" s="36"/>
    </row>
    <row r="1366" spans="2:11">
      <c r="B1366" s="36" t="s">
        <v>9412</v>
      </c>
      <c r="C1366" s="182">
        <v>1334.7</v>
      </c>
      <c r="D1366" s="182">
        <f t="shared" si="45"/>
        <v>-7.9161556472292453E-3</v>
      </c>
      <c r="E1366" s="182">
        <v>5.149949358831305E-4</v>
      </c>
      <c r="F1366" s="168"/>
      <c r="G1366" s="168">
        <v>1363</v>
      </c>
      <c r="H1366" s="183">
        <f t="shared" ca="1" si="46"/>
        <v>9.8651146172900293E-3</v>
      </c>
      <c r="K1366" s="36"/>
    </row>
    <row r="1367" spans="2:11">
      <c r="B1367" s="36" t="s">
        <v>9413</v>
      </c>
      <c r="C1367" s="182">
        <v>1345.35</v>
      </c>
      <c r="D1367" s="182">
        <f t="shared" si="45"/>
        <v>-1.0662940765525611E-2</v>
      </c>
      <c r="E1367" s="182">
        <v>5.0917282560048024E-4</v>
      </c>
      <c r="F1367" s="168"/>
      <c r="G1367" s="168">
        <v>1364</v>
      </c>
      <c r="H1367" s="183">
        <f t="shared" ca="1" si="46"/>
        <v>1.0932239330959305E-2</v>
      </c>
      <c r="K1367" s="36"/>
    </row>
    <row r="1368" spans="2:11">
      <c r="B1368" s="36" t="s">
        <v>9414</v>
      </c>
      <c r="C1368" s="182">
        <v>1359.85</v>
      </c>
      <c r="D1368" s="182">
        <f t="shared" si="45"/>
        <v>-1.0651583045618493E-3</v>
      </c>
      <c r="E1368" s="182">
        <v>5.0866316960734674E-4</v>
      </c>
      <c r="F1368" s="168"/>
      <c r="G1368" s="168">
        <v>1365</v>
      </c>
      <c r="H1368" s="183">
        <f t="shared" ca="1" si="46"/>
        <v>-8.6649240865890563E-3</v>
      </c>
      <c r="K1368" s="36"/>
    </row>
    <row r="1369" spans="2:11">
      <c r="B1369" s="36" t="s">
        <v>9415</v>
      </c>
      <c r="C1369" s="182">
        <v>1361.3</v>
      </c>
      <c r="D1369" s="182">
        <f t="shared" si="45"/>
        <v>-5.8732838998601757E-4</v>
      </c>
      <c r="E1369" s="182">
        <v>4.6644510524178296E-4</v>
      </c>
      <c r="F1369" s="168"/>
      <c r="G1369" s="168">
        <v>1366</v>
      </c>
      <c r="H1369" s="183">
        <f t="shared" ca="1" si="46"/>
        <v>-5.2497991921839652E-3</v>
      </c>
      <c r="K1369" s="36"/>
    </row>
    <row r="1370" spans="2:11">
      <c r="B1370" s="36" t="s">
        <v>9416</v>
      </c>
      <c r="C1370" s="182">
        <v>1362.1</v>
      </c>
      <c r="D1370" s="182">
        <f t="shared" si="45"/>
        <v>-6.7089622985488555E-3</v>
      </c>
      <c r="E1370" s="182">
        <v>4.6544874245726714E-4</v>
      </c>
      <c r="F1370" s="168"/>
      <c r="G1370" s="168">
        <v>1367</v>
      </c>
      <c r="H1370" s="183">
        <f t="shared" ca="1" si="46"/>
        <v>-9.3074742636580186E-3</v>
      </c>
      <c r="K1370" s="36"/>
    </row>
    <row r="1371" spans="2:11">
      <c r="B1371" s="36" t="s">
        <v>9417</v>
      </c>
      <c r="C1371" s="182">
        <v>1371.3</v>
      </c>
      <c r="D1371" s="182">
        <f t="shared" si="45"/>
        <v>-8.2088742631903494E-3</v>
      </c>
      <c r="E1371" s="182">
        <v>4.5656888483047286E-4</v>
      </c>
      <c r="F1371" s="168"/>
      <c r="G1371" s="168">
        <v>1368</v>
      </c>
      <c r="H1371" s="183">
        <f t="shared" ca="1" si="46"/>
        <v>-1.8861653372908752E-2</v>
      </c>
      <c r="K1371" s="36"/>
    </row>
    <row r="1372" spans="2:11">
      <c r="B1372" s="36" t="s">
        <v>9418</v>
      </c>
      <c r="C1372" s="182">
        <v>1382.65</v>
      </c>
      <c r="D1372" s="182">
        <f t="shared" si="45"/>
        <v>9.3440887688434372E-3</v>
      </c>
      <c r="E1372" s="182">
        <v>4.3813824946924E-4</v>
      </c>
      <c r="F1372" s="168"/>
      <c r="G1372" s="168">
        <v>1369</v>
      </c>
      <c r="H1372" s="183">
        <f t="shared" ca="1" si="46"/>
        <v>1.1990078212378592E-2</v>
      </c>
      <c r="K1372" s="36"/>
    </row>
    <row r="1373" spans="2:11">
      <c r="B1373" s="36" t="s">
        <v>9419</v>
      </c>
      <c r="C1373" s="182">
        <v>1369.85</v>
      </c>
      <c r="D1373" s="182">
        <f t="shared" si="45"/>
        <v>2.5298454399161674E-2</v>
      </c>
      <c r="E1373" s="182">
        <v>4.1083335966871884E-4</v>
      </c>
      <c r="F1373" s="168"/>
      <c r="G1373" s="168">
        <v>1370</v>
      </c>
      <c r="H1373" s="183">
        <f t="shared" ca="1" si="46"/>
        <v>1.6082616414294773E-2</v>
      </c>
      <c r="K1373" s="36"/>
    </row>
    <row r="1374" spans="2:11">
      <c r="B1374" s="36" t="s">
        <v>9420</v>
      </c>
      <c r="C1374" s="182">
        <v>1336.05</v>
      </c>
      <c r="D1374" s="182">
        <f t="shared" si="45"/>
        <v>-1.3366318354687542E-2</v>
      </c>
      <c r="E1374" s="182">
        <v>4.0318028609673105E-4</v>
      </c>
      <c r="F1374" s="168"/>
      <c r="G1374" s="168">
        <v>1371</v>
      </c>
      <c r="H1374" s="183">
        <f t="shared" ca="1" si="46"/>
        <v>5.2334469524911711E-3</v>
      </c>
      <c r="K1374" s="36"/>
    </row>
    <row r="1375" spans="2:11">
      <c r="B1375" s="36" t="s">
        <v>9421</v>
      </c>
      <c r="C1375" s="182">
        <v>1354.15</v>
      </c>
      <c r="D1375" s="182">
        <f t="shared" si="45"/>
        <v>-1.6308295801249324E-2</v>
      </c>
      <c r="E1375" s="182">
        <v>3.9370078740160038E-4</v>
      </c>
      <c r="F1375" s="168"/>
      <c r="G1375" s="168">
        <v>1372</v>
      </c>
      <c r="H1375" s="183">
        <f t="shared" ca="1" si="46"/>
        <v>1.3500681734297072E-2</v>
      </c>
      <c r="K1375" s="36"/>
    </row>
    <row r="1376" spans="2:11">
      <c r="B1376" s="36" t="s">
        <v>9422</v>
      </c>
      <c r="C1376" s="182">
        <v>1376.6</v>
      </c>
      <c r="D1376" s="182">
        <f t="shared" si="45"/>
        <v>1.7818853974121928E-2</v>
      </c>
      <c r="E1376" s="182">
        <v>3.9368356589829446E-4</v>
      </c>
      <c r="F1376" s="168"/>
      <c r="G1376" s="168">
        <v>1373</v>
      </c>
      <c r="H1376" s="183">
        <f t="shared" ca="1" si="46"/>
        <v>2.5768364049877073E-2</v>
      </c>
      <c r="K1376" s="36"/>
    </row>
    <row r="1377" spans="2:11">
      <c r="B1377" s="36" t="s">
        <v>9423</v>
      </c>
      <c r="C1377" s="182">
        <v>1352.5</v>
      </c>
      <c r="D1377" s="182">
        <f t="shared" si="45"/>
        <v>2.0002963401985815E-3</v>
      </c>
      <c r="E1377" s="182">
        <v>3.8740384083226414E-4</v>
      </c>
      <c r="F1377" s="168"/>
      <c r="G1377" s="168">
        <v>1374</v>
      </c>
      <c r="H1377" s="183">
        <f t="shared" ca="1" si="46"/>
        <v>2.0735134371962848E-2</v>
      </c>
      <c r="K1377" s="36"/>
    </row>
    <row r="1378" spans="2:11">
      <c r="B1378" s="36">
        <v>44531</v>
      </c>
      <c r="C1378" s="182">
        <v>1349.8</v>
      </c>
      <c r="D1378" s="182">
        <f t="shared" si="45"/>
        <v>-1.4814814814818184E-4</v>
      </c>
      <c r="E1378" s="182">
        <v>3.8481272447403095E-4</v>
      </c>
      <c r="F1378" s="168"/>
      <c r="G1378" s="168">
        <v>1375</v>
      </c>
      <c r="H1378" s="183">
        <f t="shared" ca="1" si="46"/>
        <v>1.4726642766061244E-2</v>
      </c>
      <c r="K1378" s="36"/>
    </row>
    <row r="1379" spans="2:11">
      <c r="B1379" s="36">
        <v>44501</v>
      </c>
      <c r="C1379" s="182">
        <v>1350</v>
      </c>
      <c r="D1379" s="182">
        <f t="shared" si="45"/>
        <v>-1.7038007863696001E-2</v>
      </c>
      <c r="E1379" s="182">
        <v>3.7010992264702614E-4</v>
      </c>
      <c r="F1379" s="168"/>
      <c r="G1379" s="168">
        <v>1376</v>
      </c>
      <c r="H1379" s="183">
        <f t="shared" ca="1" si="46"/>
        <v>3.0417357108842955E-2</v>
      </c>
      <c r="K1379" s="36"/>
    </row>
    <row r="1380" spans="2:11">
      <c r="B1380" s="36">
        <v>44409</v>
      </c>
      <c r="C1380" s="182">
        <v>1373.4</v>
      </c>
      <c r="D1380" s="182">
        <f t="shared" si="45"/>
        <v>2.5729116098435374E-2</v>
      </c>
      <c r="E1380" s="182">
        <v>3.6356081853111981E-4</v>
      </c>
      <c r="F1380" s="168"/>
      <c r="G1380" s="168">
        <v>1377</v>
      </c>
      <c r="H1380" s="183">
        <f t="shared" ca="1" si="46"/>
        <v>1.36478130279272E-2</v>
      </c>
      <c r="K1380" s="36"/>
    </row>
    <row r="1381" spans="2:11">
      <c r="B1381" s="36">
        <v>44378</v>
      </c>
      <c r="C1381" s="182">
        <v>1338.95</v>
      </c>
      <c r="D1381" s="182">
        <f t="shared" si="45"/>
        <v>1.898782343987827E-2</v>
      </c>
      <c r="E1381" s="182">
        <v>3.6140224069389231E-4</v>
      </c>
      <c r="F1381" s="168"/>
      <c r="G1381" s="168">
        <v>1378</v>
      </c>
      <c r="H1381" s="183">
        <f t="shared" ca="1" si="46"/>
        <v>1.1508160571485897E-2</v>
      </c>
      <c r="K1381" s="36"/>
    </row>
    <row r="1382" spans="2:11">
      <c r="B1382" s="36">
        <v>44348</v>
      </c>
      <c r="C1382" s="182">
        <v>1314</v>
      </c>
      <c r="D1382" s="182">
        <f t="shared" si="45"/>
        <v>5.8945112148817624E-3</v>
      </c>
      <c r="E1382" s="182">
        <v>3.4802279549318393E-4</v>
      </c>
      <c r="F1382" s="168"/>
      <c r="G1382" s="168">
        <v>1379</v>
      </c>
      <c r="H1382" s="183">
        <f t="shared" ca="1" si="46"/>
        <v>1.1852938980217213E-2</v>
      </c>
      <c r="K1382" s="36"/>
    </row>
    <row r="1383" spans="2:11">
      <c r="B1383" s="36">
        <v>44317</v>
      </c>
      <c r="C1383" s="182">
        <v>1306.3</v>
      </c>
      <c r="D1383" s="182">
        <f t="shared" si="45"/>
        <v>-6.313707591662829E-3</v>
      </c>
      <c r="E1383" s="182">
        <v>3.4366229451853429E-4</v>
      </c>
      <c r="F1383" s="168"/>
      <c r="G1383" s="168">
        <v>1380</v>
      </c>
      <c r="H1383" s="183">
        <f t="shared" ca="1" si="46"/>
        <v>-8.0295957159365779E-3</v>
      </c>
      <c r="K1383" s="36"/>
    </row>
    <row r="1384" spans="2:11">
      <c r="B1384" s="36">
        <v>44287</v>
      </c>
      <c r="C1384" s="182">
        <v>1314.6</v>
      </c>
      <c r="D1384" s="182">
        <f t="shared" si="45"/>
        <v>1.3569776407093222E-2</v>
      </c>
      <c r="E1384" s="182">
        <v>3.4333290416728121E-4</v>
      </c>
      <c r="F1384" s="168"/>
      <c r="G1384" s="168">
        <v>1381</v>
      </c>
      <c r="H1384" s="183">
        <f t="shared" ca="1" si="46"/>
        <v>4.0457480424723417E-3</v>
      </c>
      <c r="K1384" s="36"/>
    </row>
    <row r="1385" spans="2:11">
      <c r="B1385" s="36">
        <v>44197</v>
      </c>
      <c r="C1385" s="182">
        <v>1297</v>
      </c>
      <c r="D1385" s="182">
        <f t="shared" si="45"/>
        <v>7.3004038521280613E-3</v>
      </c>
      <c r="E1385" s="182">
        <v>3.3648790746590196E-4</v>
      </c>
      <c r="F1385" s="168"/>
      <c r="G1385" s="168">
        <v>1382</v>
      </c>
      <c r="H1385" s="183">
        <f t="shared" ca="1" si="46"/>
        <v>7.400563453191969E-3</v>
      </c>
      <c r="K1385" s="36"/>
    </row>
    <row r="1386" spans="2:11">
      <c r="B1386" s="36" t="s">
        <v>9424</v>
      </c>
      <c r="C1386" s="182">
        <v>1287.5999999999999</v>
      </c>
      <c r="D1386" s="182">
        <f t="shared" si="45"/>
        <v>-3.4441391587013239E-3</v>
      </c>
      <c r="E1386" s="182">
        <v>3.2507528059123257E-4</v>
      </c>
      <c r="F1386" s="168"/>
      <c r="G1386" s="168">
        <v>1383</v>
      </c>
      <c r="H1386" s="183">
        <f t="shared" ca="1" si="46"/>
        <v>1.3810057346248714E-2</v>
      </c>
      <c r="K1386" s="36"/>
    </row>
    <row r="1387" spans="2:11">
      <c r="B1387" s="36" t="s">
        <v>9425</v>
      </c>
      <c r="C1387" s="182">
        <v>1292.05</v>
      </c>
      <c r="D1387" s="182">
        <f t="shared" si="45"/>
        <v>5.6037669766899221E-3</v>
      </c>
      <c r="E1387" s="182">
        <v>3.2062843172625625E-4</v>
      </c>
      <c r="F1387" s="168"/>
      <c r="G1387" s="168">
        <v>1384</v>
      </c>
      <c r="H1387" s="183">
        <f t="shared" ca="1" si="46"/>
        <v>6.7307473106684463E-3</v>
      </c>
      <c r="K1387" s="36"/>
    </row>
    <row r="1388" spans="2:11">
      <c r="B1388" s="36" t="s">
        <v>9426</v>
      </c>
      <c r="C1388" s="182">
        <v>1284.8499999999999</v>
      </c>
      <c r="D1388" s="182">
        <f t="shared" si="45"/>
        <v>-3.5287730727471549E-3</v>
      </c>
      <c r="E1388" s="182">
        <v>3.0759766225774143E-4</v>
      </c>
      <c r="F1388" s="168"/>
      <c r="G1388" s="168">
        <v>1385</v>
      </c>
      <c r="H1388" s="183">
        <f t="shared" ca="1" si="46"/>
        <v>-2.6689826055369455E-3</v>
      </c>
      <c r="K1388" s="36"/>
    </row>
    <row r="1389" spans="2:11">
      <c r="B1389" s="36" t="s">
        <v>9427</v>
      </c>
      <c r="C1389" s="182">
        <v>1289.4000000000001</v>
      </c>
      <c r="D1389" s="182">
        <f t="shared" si="45"/>
        <v>2.154967517033754E-2</v>
      </c>
      <c r="E1389" s="182">
        <v>3.0629352592219269E-4</v>
      </c>
      <c r="F1389" s="168"/>
      <c r="G1389" s="168">
        <v>1386</v>
      </c>
      <c r="H1389" s="183">
        <f t="shared" ca="1" si="46"/>
        <v>-4.8569029056788069E-3</v>
      </c>
      <c r="K1389" s="36"/>
    </row>
    <row r="1390" spans="2:11">
      <c r="B1390" s="36" t="s">
        <v>9428</v>
      </c>
      <c r="C1390" s="182">
        <v>1262.2</v>
      </c>
      <c r="D1390" s="182">
        <f t="shared" si="45"/>
        <v>-2.0556609740669742E-3</v>
      </c>
      <c r="E1390" s="182">
        <v>3.0138637733586189E-4</v>
      </c>
      <c r="F1390" s="168"/>
      <c r="G1390" s="168">
        <v>1387</v>
      </c>
      <c r="H1390" s="183">
        <f t="shared" ca="1" si="46"/>
        <v>1.3039409523128064E-2</v>
      </c>
      <c r="K1390" s="36"/>
    </row>
    <row r="1391" spans="2:11">
      <c r="B1391" s="36" t="s">
        <v>9429</v>
      </c>
      <c r="C1391" s="182">
        <v>1264.8</v>
      </c>
      <c r="D1391" s="182">
        <f t="shared" si="45"/>
        <v>1.6631028747920401E-3</v>
      </c>
      <c r="E1391" s="182">
        <v>2.9794841236052526E-4</v>
      </c>
      <c r="F1391" s="168"/>
      <c r="G1391" s="168">
        <v>1388</v>
      </c>
      <c r="H1391" s="183">
        <f t="shared" ca="1" si="46"/>
        <v>1.1431819768407181E-2</v>
      </c>
      <c r="K1391" s="36"/>
    </row>
    <row r="1392" spans="2:11">
      <c r="B1392" s="36" t="s">
        <v>9430</v>
      </c>
      <c r="C1392" s="182">
        <v>1262.7</v>
      </c>
      <c r="D1392" s="182">
        <f t="shared" si="45"/>
        <v>2.2553346560311081E-2</v>
      </c>
      <c r="E1392" s="182">
        <v>2.7597082594118594E-4</v>
      </c>
      <c r="F1392" s="168"/>
      <c r="G1392" s="168">
        <v>1389</v>
      </c>
      <c r="H1392" s="183">
        <f t="shared" ca="1" si="46"/>
        <v>1.4556024722765359E-2</v>
      </c>
      <c r="K1392" s="36"/>
    </row>
    <row r="1393" spans="2:11">
      <c r="B1393" s="36" t="s">
        <v>9431</v>
      </c>
      <c r="C1393" s="182">
        <v>1234.8499999999999</v>
      </c>
      <c r="D1393" s="182">
        <f t="shared" si="45"/>
        <v>-3.6440248137021611E-2</v>
      </c>
      <c r="E1393" s="182">
        <v>2.7590435315759995E-4</v>
      </c>
      <c r="F1393" s="168"/>
      <c r="G1393" s="168">
        <v>1390</v>
      </c>
      <c r="H1393" s="183">
        <f t="shared" ca="1" si="46"/>
        <v>3.9292724355409975E-3</v>
      </c>
      <c r="K1393" s="36"/>
    </row>
    <row r="1394" spans="2:11">
      <c r="B1394" s="36" t="s">
        <v>9432</v>
      </c>
      <c r="C1394" s="182">
        <v>1281.55</v>
      </c>
      <c r="D1394" s="182">
        <f t="shared" si="45"/>
        <v>2.1504535502033157E-3</v>
      </c>
      <c r="E1394" s="182">
        <v>2.5916807049367589E-4</v>
      </c>
      <c r="F1394" s="168"/>
      <c r="G1394" s="168">
        <v>1391</v>
      </c>
      <c r="H1394" s="183">
        <f t="shared" ca="1" si="46"/>
        <v>1.075120277320946E-2</v>
      </c>
      <c r="K1394" s="36"/>
    </row>
    <row r="1395" spans="2:11">
      <c r="B1395" s="36" t="s">
        <v>9433</v>
      </c>
      <c r="C1395" s="182">
        <v>1278.8</v>
      </c>
      <c r="D1395" s="182">
        <f t="shared" si="45"/>
        <v>8.3185491819435867E-3</v>
      </c>
      <c r="E1395" s="182">
        <v>2.4379201058747537E-4</v>
      </c>
      <c r="F1395" s="168"/>
      <c r="G1395" s="168">
        <v>1392</v>
      </c>
      <c r="H1395" s="183">
        <f t="shared" ca="1" si="46"/>
        <v>2.5289509736872547E-2</v>
      </c>
      <c r="K1395" s="36"/>
    </row>
    <row r="1396" spans="2:11">
      <c r="B1396" s="36" t="s">
        <v>9434</v>
      </c>
      <c r="C1396" s="182">
        <v>1268.25</v>
      </c>
      <c r="D1396" s="182">
        <f t="shared" si="45"/>
        <v>1.765295887662989E-2</v>
      </c>
      <c r="E1396" s="182">
        <v>2.4213075060529018E-4</v>
      </c>
      <c r="F1396" s="168"/>
      <c r="G1396" s="168">
        <v>1393</v>
      </c>
      <c r="H1396" s="183">
        <f t="shared" ca="1" si="46"/>
        <v>6.008050247174445E-5</v>
      </c>
      <c r="K1396" s="36"/>
    </row>
    <row r="1397" spans="2:11">
      <c r="B1397" s="36" t="s">
        <v>9435</v>
      </c>
      <c r="C1397" s="182">
        <v>1246.25</v>
      </c>
      <c r="D1397" s="182">
        <f t="shared" si="45"/>
        <v>-2.7207618133077986E-3</v>
      </c>
      <c r="E1397" s="182">
        <v>2.3844059848586606E-4</v>
      </c>
      <c r="F1397" s="168"/>
      <c r="G1397" s="168">
        <v>1394</v>
      </c>
      <c r="H1397" s="183">
        <f t="shared" ca="1" si="46"/>
        <v>1.3932486427425055E-2</v>
      </c>
      <c r="K1397" s="36"/>
    </row>
    <row r="1398" spans="2:11">
      <c r="B1398" s="36" t="s">
        <v>9436</v>
      </c>
      <c r="C1398" s="182">
        <v>1249.6500000000001</v>
      </c>
      <c r="D1398" s="182">
        <f t="shared" si="45"/>
        <v>4.6345139412208101E-2</v>
      </c>
      <c r="E1398" s="182">
        <v>2.364811603343701E-4</v>
      </c>
      <c r="F1398" s="168"/>
      <c r="G1398" s="168">
        <v>1395</v>
      </c>
      <c r="H1398" s="183">
        <f t="shared" ca="1" si="46"/>
        <v>1.3894072318727854E-2</v>
      </c>
      <c r="K1398" s="36"/>
    </row>
    <row r="1399" spans="2:11">
      <c r="B1399" s="36">
        <v>44147</v>
      </c>
      <c r="C1399" s="182">
        <v>1194.3</v>
      </c>
      <c r="D1399" s="182">
        <f t="shared" si="45"/>
        <v>3.3183517452850387E-3</v>
      </c>
      <c r="E1399" s="182">
        <v>2.23177753641517E-4</v>
      </c>
      <c r="F1399" s="168"/>
      <c r="G1399" s="168">
        <v>1396</v>
      </c>
      <c r="H1399" s="183">
        <f t="shared" ca="1" si="46"/>
        <v>-4.0763612012311608E-3</v>
      </c>
      <c r="K1399" s="36"/>
    </row>
    <row r="1400" spans="2:11">
      <c r="B1400" s="36">
        <v>44116</v>
      </c>
      <c r="C1400" s="182">
        <v>1190.3499999999999</v>
      </c>
      <c r="D1400" s="182">
        <f t="shared" si="45"/>
        <v>7.917019475021091E-3</v>
      </c>
      <c r="E1400" s="182">
        <v>2.1683238856358395E-4</v>
      </c>
      <c r="F1400" s="168"/>
      <c r="G1400" s="168">
        <v>1397</v>
      </c>
      <c r="H1400" s="183">
        <f t="shared" ca="1" si="46"/>
        <v>2.8869506106056573E-3</v>
      </c>
      <c r="K1400" s="36"/>
    </row>
    <row r="1401" spans="2:11">
      <c r="B1401" s="36">
        <v>44086</v>
      </c>
      <c r="C1401" s="182">
        <v>1181</v>
      </c>
      <c r="D1401" s="182">
        <f t="shared" si="45"/>
        <v>8.1953218371178995E-3</v>
      </c>
      <c r="E1401" s="182">
        <v>2.1276595744680851E-4</v>
      </c>
      <c r="F1401" s="168"/>
      <c r="G1401" s="168">
        <v>1398</v>
      </c>
      <c r="H1401" s="183">
        <f t="shared" ca="1" si="46"/>
        <v>-1.0617702470253178E-3</v>
      </c>
      <c r="K1401" s="36"/>
    </row>
    <row r="1402" spans="2:11">
      <c r="B1402" s="36">
        <v>44055</v>
      </c>
      <c r="C1402" s="182">
        <v>1171.4000000000001</v>
      </c>
      <c r="D1402" s="182">
        <f t="shared" si="45"/>
        <v>1.4533641104557112E-3</v>
      </c>
      <c r="E1402" s="182">
        <v>1.8104790527573598E-4</v>
      </c>
      <c r="F1402" s="168"/>
      <c r="G1402" s="168">
        <v>1399</v>
      </c>
      <c r="H1402" s="183">
        <f t="shared" ca="1" si="46"/>
        <v>2.2976153354932301E-2</v>
      </c>
      <c r="K1402" s="36"/>
    </row>
    <row r="1403" spans="2:11">
      <c r="B1403" s="36">
        <v>44024</v>
      </c>
      <c r="C1403" s="182">
        <v>1169.7</v>
      </c>
      <c r="D1403" s="182">
        <f t="shared" si="45"/>
        <v>1.7572857764245362E-2</v>
      </c>
      <c r="E1403" s="182">
        <v>1.7960415244800459E-4</v>
      </c>
      <c r="F1403" s="168"/>
      <c r="G1403" s="168">
        <v>1400</v>
      </c>
      <c r="H1403" s="183">
        <f t="shared" ca="1" si="46"/>
        <v>-7.1016604037872329E-3</v>
      </c>
      <c r="K1403" s="36"/>
    </row>
    <row r="1404" spans="2:11">
      <c r="B1404" s="36">
        <v>43933</v>
      </c>
      <c r="C1404" s="182">
        <v>1149.5</v>
      </c>
      <c r="D1404" s="182">
        <f t="shared" si="45"/>
        <v>2.1641558903257262E-2</v>
      </c>
      <c r="E1404" s="182">
        <v>1.728488954955578E-4</v>
      </c>
      <c r="F1404" s="168"/>
      <c r="G1404" s="168">
        <v>1401</v>
      </c>
      <c r="H1404" s="183">
        <f t="shared" ca="1" si="46"/>
        <v>1.5967296169605322E-2</v>
      </c>
      <c r="K1404" s="36"/>
    </row>
    <row r="1405" spans="2:11">
      <c r="B1405" s="36">
        <v>43902</v>
      </c>
      <c r="C1405" s="182">
        <v>1125.1500000000001</v>
      </c>
      <c r="D1405" s="182">
        <f t="shared" si="45"/>
        <v>1.0235690235690317E-2</v>
      </c>
      <c r="E1405" s="182">
        <v>1.7027073046140787E-4</v>
      </c>
      <c r="F1405" s="168"/>
      <c r="G1405" s="168">
        <v>1402</v>
      </c>
      <c r="H1405" s="183">
        <f t="shared" ca="1" si="46"/>
        <v>1.8585927709402265E-2</v>
      </c>
      <c r="K1405" s="36"/>
    </row>
    <row r="1406" spans="2:11">
      <c r="B1406" s="36">
        <v>43873</v>
      </c>
      <c r="C1406" s="182">
        <v>1113.75</v>
      </c>
      <c r="D1406" s="182">
        <f t="shared" si="45"/>
        <v>-1.9714144898965412E-3</v>
      </c>
      <c r="E1406" s="182">
        <v>1.6632016632014111E-4</v>
      </c>
      <c r="F1406" s="168"/>
      <c r="G1406" s="168">
        <v>1403</v>
      </c>
      <c r="H1406" s="183">
        <f t="shared" ca="1" si="46"/>
        <v>-6.4421230162694477E-3</v>
      </c>
      <c r="K1406" s="36"/>
    </row>
    <row r="1407" spans="2:11">
      <c r="B1407" s="36">
        <v>43842</v>
      </c>
      <c r="C1407" s="182">
        <v>1115.95</v>
      </c>
      <c r="D1407" s="182">
        <f t="shared" si="45"/>
        <v>-5.7466143977192132E-3</v>
      </c>
      <c r="E1407" s="182">
        <v>1.6604400166041485E-4</v>
      </c>
      <c r="F1407" s="168"/>
      <c r="G1407" s="168">
        <v>1404</v>
      </c>
      <c r="H1407" s="183">
        <f t="shared" ca="1" si="46"/>
        <v>-1.5463582528250835E-2</v>
      </c>
      <c r="K1407" s="36"/>
    </row>
    <row r="1408" spans="2:11">
      <c r="B1408" s="36" t="s">
        <v>9437</v>
      </c>
      <c r="C1408" s="182">
        <v>1122.4000000000001</v>
      </c>
      <c r="D1408" s="182">
        <f t="shared" si="45"/>
        <v>3.1729007463021696E-3</v>
      </c>
      <c r="E1408" s="182">
        <v>1.6110842597061314E-4</v>
      </c>
      <c r="F1408" s="168"/>
      <c r="G1408" s="168">
        <v>1405</v>
      </c>
      <c r="H1408" s="183">
        <f t="shared" ca="1" si="46"/>
        <v>3.0765097170760539E-2</v>
      </c>
      <c r="K1408" s="36"/>
    </row>
    <row r="1409" spans="2:11">
      <c r="B1409" s="36" t="s">
        <v>9438</v>
      </c>
      <c r="C1409" s="182">
        <v>1118.8499999999999</v>
      </c>
      <c r="D1409" s="182">
        <f t="shared" si="45"/>
        <v>2.5537634408601337E-3</v>
      </c>
      <c r="E1409" s="182">
        <v>1.589712791889896E-4</v>
      </c>
      <c r="F1409" s="168"/>
      <c r="G1409" s="168">
        <v>1406</v>
      </c>
      <c r="H1409" s="183">
        <f t="shared" ca="1" si="46"/>
        <v>-9.1521176454272546E-3</v>
      </c>
      <c r="K1409" s="36"/>
    </row>
    <row r="1410" spans="2:11">
      <c r="B1410" s="36" t="s">
        <v>9439</v>
      </c>
      <c r="C1410" s="182">
        <v>1116</v>
      </c>
      <c r="D1410" s="182">
        <f t="shared" si="45"/>
        <v>-1.7173051519154558E-2</v>
      </c>
      <c r="E1410" s="182">
        <v>1.1192776927945645E-4</v>
      </c>
      <c r="F1410" s="168"/>
      <c r="G1410" s="168">
        <v>1407</v>
      </c>
      <c r="H1410" s="183">
        <f t="shared" ca="1" si="46"/>
        <v>6.9506320770750408E-3</v>
      </c>
      <c r="K1410" s="36"/>
    </row>
    <row r="1411" spans="2:11">
      <c r="B1411" s="36" t="s">
        <v>9440</v>
      </c>
      <c r="C1411" s="182">
        <v>1135.5</v>
      </c>
      <c r="D1411" s="182">
        <f t="shared" si="45"/>
        <v>8.571301683172796E-3</v>
      </c>
      <c r="E1411" s="182">
        <v>1.0676536531539455E-4</v>
      </c>
      <c r="F1411" s="168"/>
      <c r="G1411" s="168">
        <v>1408</v>
      </c>
      <c r="H1411" s="183">
        <f t="shared" ca="1" si="46"/>
        <v>1.8703491214103078E-2</v>
      </c>
      <c r="K1411" s="36"/>
    </row>
    <row r="1412" spans="2:11">
      <c r="B1412" s="36" t="s">
        <v>9441</v>
      </c>
      <c r="C1412" s="182">
        <v>1125.8499999999999</v>
      </c>
      <c r="D1412" s="182">
        <f t="shared" ref="D1412:D1475" si="47">(C1412-C1413)/C1413</f>
        <v>-5.6963702199064256E-3</v>
      </c>
      <c r="E1412" s="182">
        <v>1.0129146619399618E-4</v>
      </c>
      <c r="F1412" s="168"/>
      <c r="G1412" s="168">
        <v>1409</v>
      </c>
      <c r="H1412" s="183">
        <f t="shared" ca="1" si="46"/>
        <v>5.534792764358025E-3</v>
      </c>
      <c r="K1412" s="36"/>
    </row>
    <row r="1413" spans="2:11">
      <c r="B1413" s="36" t="s">
        <v>9442</v>
      </c>
      <c r="C1413" s="182">
        <v>1132.3</v>
      </c>
      <c r="D1413" s="182">
        <f t="shared" si="47"/>
        <v>-1.7191977077364298E-3</v>
      </c>
      <c r="E1413" s="182">
        <v>8.0690712499101455E-5</v>
      </c>
      <c r="F1413" s="168"/>
      <c r="G1413" s="168">
        <v>1410</v>
      </c>
      <c r="H1413" s="183">
        <f t="shared" ref="H1413:H1476" ca="1" si="48">_xlfn.NORM.INV(RAND(),N$6,N$7)</f>
        <v>2.0558201456807881E-2</v>
      </c>
      <c r="K1413" s="36"/>
    </row>
    <row r="1414" spans="2:11">
      <c r="B1414" s="36" t="s">
        <v>9443</v>
      </c>
      <c r="C1414" s="182">
        <v>1134.25</v>
      </c>
      <c r="D1414" s="182">
        <f t="shared" si="47"/>
        <v>-1.210643208639994E-2</v>
      </c>
      <c r="E1414" s="182">
        <v>7.0314834672340905E-5</v>
      </c>
      <c r="F1414" s="168"/>
      <c r="G1414" s="168">
        <v>1411</v>
      </c>
      <c r="H1414" s="183">
        <f t="shared" ca="1" si="48"/>
        <v>1.0650084941494633E-2</v>
      </c>
      <c r="K1414" s="36"/>
    </row>
    <row r="1415" spans="2:11">
      <c r="B1415" s="36" t="s">
        <v>9444</v>
      </c>
      <c r="C1415" s="182">
        <v>1148.1500000000001</v>
      </c>
      <c r="D1415" s="182">
        <f t="shared" si="47"/>
        <v>6.2216671292441482E-2</v>
      </c>
      <c r="E1415" s="182">
        <v>6.7140003692791797E-5</v>
      </c>
      <c r="F1415" s="168"/>
      <c r="G1415" s="168">
        <v>1412</v>
      </c>
      <c r="H1415" s="183">
        <f t="shared" ca="1" si="48"/>
        <v>2.0003820632679799E-2</v>
      </c>
      <c r="K1415" s="36"/>
    </row>
    <row r="1416" spans="2:11">
      <c r="B1416" s="36" t="s">
        <v>9445</v>
      </c>
      <c r="C1416" s="182">
        <v>1080.9000000000001</v>
      </c>
      <c r="D1416" s="182">
        <f t="shared" si="47"/>
        <v>2.7960057061341029E-2</v>
      </c>
      <c r="E1416" s="182">
        <v>6.0944022915035759E-5</v>
      </c>
      <c r="F1416" s="168"/>
      <c r="G1416" s="168">
        <v>1413</v>
      </c>
      <c r="H1416" s="183">
        <f t="shared" ca="1" si="48"/>
        <v>-1.014730570038681E-2</v>
      </c>
      <c r="K1416" s="36"/>
    </row>
    <row r="1417" spans="2:11">
      <c r="B1417" s="36" t="s">
        <v>9446</v>
      </c>
      <c r="C1417" s="182">
        <v>1051.5</v>
      </c>
      <c r="D1417" s="182">
        <f t="shared" si="47"/>
        <v>-2.0219903093552035E-2</v>
      </c>
      <c r="E1417" s="182">
        <v>5.1325041487617386E-5</v>
      </c>
      <c r="F1417" s="168"/>
      <c r="G1417" s="168">
        <v>1414</v>
      </c>
      <c r="H1417" s="183">
        <f t="shared" ca="1" si="48"/>
        <v>-1.4694310282194496E-2</v>
      </c>
      <c r="K1417" s="36"/>
    </row>
    <row r="1418" spans="2:11">
      <c r="B1418" s="36">
        <v>44176</v>
      </c>
      <c r="C1418" s="182">
        <v>1073.2</v>
      </c>
      <c r="D1418" s="182">
        <f t="shared" si="47"/>
        <v>1.2978432205389589E-2</v>
      </c>
      <c r="E1418" s="182">
        <v>4.5500045500004116E-5</v>
      </c>
      <c r="F1418" s="168"/>
      <c r="G1418" s="168">
        <v>1415</v>
      </c>
      <c r="H1418" s="183">
        <f t="shared" ca="1" si="48"/>
        <v>-5.7501507185470863E-3</v>
      </c>
      <c r="K1418" s="36"/>
    </row>
    <row r="1419" spans="2:11">
      <c r="B1419" s="36">
        <v>44146</v>
      </c>
      <c r="C1419" s="182">
        <v>1059.45</v>
      </c>
      <c r="D1419" s="182">
        <f t="shared" si="47"/>
        <v>2.4910515623488439E-2</v>
      </c>
      <c r="E1419" s="182">
        <v>3.5087103734990282E-5</v>
      </c>
      <c r="F1419" s="168"/>
      <c r="G1419" s="168">
        <v>1416</v>
      </c>
      <c r="H1419" s="183">
        <f t="shared" ca="1" si="48"/>
        <v>2.2136462729502607E-2</v>
      </c>
      <c r="K1419" s="36"/>
    </row>
    <row r="1420" spans="2:11">
      <c r="B1420" s="36">
        <v>44115</v>
      </c>
      <c r="C1420" s="182">
        <v>1033.7</v>
      </c>
      <c r="D1420" s="182">
        <f t="shared" si="47"/>
        <v>7.0249003468447507E-2</v>
      </c>
      <c r="E1420" s="182">
        <v>1.9132164995686519E-5</v>
      </c>
      <c r="F1420" s="168"/>
      <c r="G1420" s="168">
        <v>1417</v>
      </c>
      <c r="H1420" s="183">
        <f t="shared" ca="1" si="48"/>
        <v>1.8014337200232995E-2</v>
      </c>
      <c r="K1420" s="36"/>
    </row>
    <row r="1421" spans="2:11">
      <c r="B1421" s="36">
        <v>44085</v>
      </c>
      <c r="C1421" s="182">
        <v>965.85</v>
      </c>
      <c r="D1421" s="182">
        <f t="shared" si="47"/>
        <v>5.3083528493364793E-3</v>
      </c>
      <c r="E1421" s="182">
        <v>1.7500875043815854E-5</v>
      </c>
      <c r="F1421" s="168"/>
      <c r="G1421" s="168">
        <v>1418</v>
      </c>
      <c r="H1421" s="183">
        <f t="shared" ca="1" si="48"/>
        <v>1.3673918126816884E-3</v>
      </c>
      <c r="K1421" s="36"/>
    </row>
    <row r="1422" spans="2:11">
      <c r="B1422" s="36">
        <v>43993</v>
      </c>
      <c r="C1422" s="182">
        <v>960.75</v>
      </c>
      <c r="D1422" s="182">
        <f t="shared" si="47"/>
        <v>2.7658908255922942E-3</v>
      </c>
      <c r="E1422" s="182">
        <v>0</v>
      </c>
      <c r="F1422" s="168"/>
      <c r="G1422" s="168">
        <v>1419</v>
      </c>
      <c r="H1422" s="183">
        <f t="shared" ca="1" si="48"/>
        <v>1.9369084887536421E-2</v>
      </c>
      <c r="K1422" s="36"/>
    </row>
    <row r="1423" spans="2:11">
      <c r="B1423" s="36">
        <v>43962</v>
      </c>
      <c r="C1423" s="182">
        <v>958.1</v>
      </c>
      <c r="D1423" s="182">
        <f t="shared" si="47"/>
        <v>1.9417992232803105E-2</v>
      </c>
      <c r="E1423" s="182">
        <v>0</v>
      </c>
      <c r="F1423" s="168"/>
      <c r="G1423" s="168">
        <v>1420</v>
      </c>
      <c r="H1423" s="183">
        <f t="shared" ca="1" si="48"/>
        <v>9.9923539481887964E-4</v>
      </c>
      <c r="K1423" s="36"/>
    </row>
    <row r="1424" spans="2:11">
      <c r="B1424" s="36">
        <v>43932</v>
      </c>
      <c r="C1424" s="182">
        <v>939.85</v>
      </c>
      <c r="D1424" s="182">
        <f t="shared" si="47"/>
        <v>1.0863135251411695E-2</v>
      </c>
      <c r="E1424" s="182">
        <v>0</v>
      </c>
      <c r="F1424" s="168"/>
      <c r="G1424" s="168">
        <v>1421</v>
      </c>
      <c r="H1424" s="183">
        <f t="shared" ca="1" si="48"/>
        <v>-9.2613340792598829E-3</v>
      </c>
      <c r="K1424" s="36"/>
    </row>
    <row r="1425" spans="2:11">
      <c r="B1425" s="36">
        <v>43901</v>
      </c>
      <c r="C1425" s="182">
        <v>929.75</v>
      </c>
      <c r="D1425" s="182">
        <f t="shared" si="47"/>
        <v>1.9854110678440215E-2</v>
      </c>
      <c r="E1425" s="182">
        <v>0</v>
      </c>
      <c r="F1425" s="168"/>
      <c r="G1425" s="168">
        <v>1422</v>
      </c>
      <c r="H1425" s="183">
        <f t="shared" ca="1" si="48"/>
        <v>-1.1807306525382907E-2</v>
      </c>
      <c r="K1425" s="36"/>
    </row>
    <row r="1426" spans="2:11">
      <c r="B1426" s="36">
        <v>43872</v>
      </c>
      <c r="C1426" s="182">
        <v>911.65</v>
      </c>
      <c r="D1426" s="182">
        <f t="shared" si="47"/>
        <v>-2.1933432033782472E-4</v>
      </c>
      <c r="E1426" s="182">
        <v>0</v>
      </c>
      <c r="F1426" s="168"/>
      <c r="G1426" s="168">
        <v>1423</v>
      </c>
      <c r="H1426" s="183">
        <f t="shared" ca="1" si="48"/>
        <v>-1.2865184585486928E-2</v>
      </c>
      <c r="K1426" s="36"/>
    </row>
    <row r="1427" spans="2:11">
      <c r="B1427" s="36" t="s">
        <v>9447</v>
      </c>
      <c r="C1427" s="182">
        <v>911.85</v>
      </c>
      <c r="D1427" s="182">
        <f t="shared" si="47"/>
        <v>-5.3449686392145921E-3</v>
      </c>
      <c r="E1427" s="182">
        <v>-2.9042750929341618E-5</v>
      </c>
      <c r="F1427" s="168"/>
      <c r="G1427" s="168">
        <v>1424</v>
      </c>
      <c r="H1427" s="183">
        <f t="shared" ca="1" si="48"/>
        <v>1.1509649765950876E-2</v>
      </c>
      <c r="K1427" s="36"/>
    </row>
    <row r="1428" spans="2:11">
      <c r="B1428" s="36" t="s">
        <v>9448</v>
      </c>
      <c r="C1428" s="182">
        <v>916.75</v>
      </c>
      <c r="D1428" s="182">
        <f t="shared" si="47"/>
        <v>-4.9192059573938428E-2</v>
      </c>
      <c r="E1428" s="182">
        <v>-3.1393724394464988E-5</v>
      </c>
      <c r="F1428" s="168"/>
      <c r="G1428" s="168">
        <v>1425</v>
      </c>
      <c r="H1428" s="183">
        <f t="shared" ca="1" si="48"/>
        <v>1.1942853737389653E-2</v>
      </c>
      <c r="K1428" s="36"/>
    </row>
    <row r="1429" spans="2:11">
      <c r="B1429" s="36" t="s">
        <v>9449</v>
      </c>
      <c r="C1429" s="182">
        <v>964.18</v>
      </c>
      <c r="D1429" s="182">
        <f t="shared" si="47"/>
        <v>9.1352641959928946E-4</v>
      </c>
      <c r="E1429" s="182">
        <v>-3.8705681994081532E-5</v>
      </c>
      <c r="F1429" s="168"/>
      <c r="G1429" s="168">
        <v>1426</v>
      </c>
      <c r="H1429" s="183">
        <f t="shared" ca="1" si="48"/>
        <v>-1.5092858972592452E-3</v>
      </c>
      <c r="K1429" s="36"/>
    </row>
    <row r="1430" spans="2:11">
      <c r="B1430" s="36" t="s">
        <v>9450</v>
      </c>
      <c r="C1430" s="182">
        <v>963.3</v>
      </c>
      <c r="D1430" s="182">
        <f t="shared" si="47"/>
        <v>3.1734981310313062E-2</v>
      </c>
      <c r="E1430" s="182">
        <v>-3.898483489918875E-5</v>
      </c>
      <c r="F1430" s="168"/>
      <c r="G1430" s="168">
        <v>1427</v>
      </c>
      <c r="H1430" s="183">
        <f t="shared" ca="1" si="48"/>
        <v>1.3514501366551308E-2</v>
      </c>
      <c r="K1430" s="36"/>
    </row>
    <row r="1431" spans="2:11">
      <c r="B1431" s="36" t="s">
        <v>9451</v>
      </c>
      <c r="C1431" s="182">
        <v>933.67</v>
      </c>
      <c r="D1431" s="182">
        <f t="shared" si="47"/>
        <v>1.115479168697267E-2</v>
      </c>
      <c r="E1431" s="182">
        <v>-4.1963911036470437E-5</v>
      </c>
      <c r="F1431" s="168"/>
      <c r="G1431" s="168">
        <v>1428</v>
      </c>
      <c r="H1431" s="183">
        <f t="shared" ca="1" si="48"/>
        <v>-1.5103458786380943E-2</v>
      </c>
      <c r="K1431" s="36"/>
    </row>
    <row r="1432" spans="2:11">
      <c r="B1432" s="36" t="s">
        <v>9452</v>
      </c>
      <c r="C1432" s="182">
        <v>923.37</v>
      </c>
      <c r="D1432" s="182">
        <f t="shared" si="47"/>
        <v>-1.3809676385773738E-2</v>
      </c>
      <c r="E1432" s="182">
        <v>-4.2551380792268011E-5</v>
      </c>
      <c r="F1432" s="168"/>
      <c r="G1432" s="168">
        <v>1429</v>
      </c>
      <c r="H1432" s="183">
        <f t="shared" ca="1" si="48"/>
        <v>1.5951316418133256E-3</v>
      </c>
      <c r="K1432" s="36"/>
    </row>
    <row r="1433" spans="2:11">
      <c r="B1433" s="36" t="s">
        <v>9453</v>
      </c>
      <c r="C1433" s="182">
        <v>936.3</v>
      </c>
      <c r="D1433" s="182">
        <f t="shared" si="47"/>
        <v>1.2818432581534868E-2</v>
      </c>
      <c r="E1433" s="182">
        <v>-4.4614972784893657E-5</v>
      </c>
      <c r="F1433" s="168"/>
      <c r="G1433" s="168">
        <v>1430</v>
      </c>
      <c r="H1433" s="183">
        <f t="shared" ca="1" si="48"/>
        <v>7.85144845216601E-3</v>
      </c>
      <c r="K1433" s="36"/>
    </row>
    <row r="1434" spans="2:11">
      <c r="B1434" s="36" t="s">
        <v>9454</v>
      </c>
      <c r="C1434" s="182">
        <v>924.45</v>
      </c>
      <c r="D1434" s="182">
        <f t="shared" si="47"/>
        <v>7.7946146298921741E-3</v>
      </c>
      <c r="E1434" s="182">
        <v>-4.6154556223829967E-5</v>
      </c>
      <c r="F1434" s="168"/>
      <c r="G1434" s="168">
        <v>1431</v>
      </c>
      <c r="H1434" s="183">
        <f t="shared" ca="1" si="48"/>
        <v>1.8343003913328035E-2</v>
      </c>
      <c r="K1434" s="36"/>
    </row>
    <row r="1435" spans="2:11">
      <c r="B1435" s="36" t="s">
        <v>9455</v>
      </c>
      <c r="C1435" s="182">
        <v>917.3</v>
      </c>
      <c r="D1435" s="182">
        <f t="shared" si="47"/>
        <v>1.5948610034333788E-2</v>
      </c>
      <c r="E1435" s="182">
        <v>-4.8564906998158929E-5</v>
      </c>
      <c r="F1435" s="168"/>
      <c r="G1435" s="168">
        <v>1432</v>
      </c>
      <c r="H1435" s="183">
        <f t="shared" ca="1" si="48"/>
        <v>-1.1956511805219262E-2</v>
      </c>
      <c r="K1435" s="36"/>
    </row>
    <row r="1436" spans="2:11">
      <c r="B1436" s="36" t="s">
        <v>9456</v>
      </c>
      <c r="C1436" s="182">
        <v>902.9</v>
      </c>
      <c r="D1436" s="182">
        <f t="shared" si="47"/>
        <v>9.8422995190694043E-3</v>
      </c>
      <c r="E1436" s="182">
        <v>-7.6836783304903722E-5</v>
      </c>
      <c r="F1436" s="168"/>
      <c r="G1436" s="168">
        <v>1433</v>
      </c>
      <c r="H1436" s="183">
        <f t="shared" ca="1" si="48"/>
        <v>2.2994523409113343E-3</v>
      </c>
      <c r="K1436" s="36"/>
    </row>
    <row r="1437" spans="2:11">
      <c r="B1437" s="36" t="s">
        <v>9457</v>
      </c>
      <c r="C1437" s="182">
        <v>894.1</v>
      </c>
      <c r="D1437" s="182">
        <f t="shared" si="47"/>
        <v>5.9630963096310398E-3</v>
      </c>
      <c r="E1437" s="182">
        <v>-8.3191215007619534E-5</v>
      </c>
      <c r="F1437" s="168"/>
      <c r="G1437" s="168">
        <v>1434</v>
      </c>
      <c r="H1437" s="183">
        <f t="shared" ca="1" si="48"/>
        <v>1.1126854176240385E-2</v>
      </c>
      <c r="K1437" s="36"/>
    </row>
    <row r="1438" spans="2:11">
      <c r="B1438" s="36" t="s">
        <v>9458</v>
      </c>
      <c r="C1438" s="182">
        <v>888.8</v>
      </c>
      <c r="D1438" s="182">
        <f t="shared" si="47"/>
        <v>-2.8846153846153945E-2</v>
      </c>
      <c r="E1438" s="182">
        <v>-8.9077601437037625E-5</v>
      </c>
      <c r="F1438" s="168"/>
      <c r="G1438" s="168">
        <v>1435</v>
      </c>
      <c r="H1438" s="183">
        <f t="shared" ca="1" si="48"/>
        <v>-4.1484011985089136E-3</v>
      </c>
      <c r="K1438" s="36"/>
    </row>
    <row r="1439" spans="2:11">
      <c r="B1439" s="36" t="s">
        <v>9459</v>
      </c>
      <c r="C1439" s="182">
        <v>915.2</v>
      </c>
      <c r="D1439" s="182">
        <f t="shared" si="47"/>
        <v>2.0915834681242678E-2</v>
      </c>
      <c r="E1439" s="182">
        <v>-1.1513221015455623E-4</v>
      </c>
      <c r="F1439" s="168"/>
      <c r="G1439" s="168">
        <v>1436</v>
      </c>
      <c r="H1439" s="183">
        <f t="shared" ca="1" si="48"/>
        <v>5.1663292706006413E-2</v>
      </c>
      <c r="K1439" s="36"/>
    </row>
    <row r="1440" spans="2:11">
      <c r="B1440" s="36" t="s">
        <v>9460</v>
      </c>
      <c r="C1440" s="182">
        <v>896.45</v>
      </c>
      <c r="D1440" s="182">
        <f t="shared" si="47"/>
        <v>-1.0267733922163902E-2</v>
      </c>
      <c r="E1440" s="182">
        <v>-1.2490632025988088E-4</v>
      </c>
      <c r="F1440" s="168"/>
      <c r="G1440" s="168">
        <v>1437</v>
      </c>
      <c r="H1440" s="183">
        <f t="shared" ca="1" si="48"/>
        <v>1.2656727682246908E-2</v>
      </c>
      <c r="K1440" s="36"/>
    </row>
    <row r="1441" spans="2:11">
      <c r="B1441" s="36">
        <v>44175</v>
      </c>
      <c r="C1441" s="182">
        <v>905.75</v>
      </c>
      <c r="D1441" s="182">
        <f t="shared" si="47"/>
        <v>-2.9720953272057301E-3</v>
      </c>
      <c r="E1441" s="182">
        <v>-1.2759441987058827E-4</v>
      </c>
      <c r="F1441" s="168"/>
      <c r="G1441" s="168">
        <v>1438</v>
      </c>
      <c r="H1441" s="183">
        <f t="shared" ca="1" si="48"/>
        <v>-4.1044668572482075E-3</v>
      </c>
      <c r="K1441" s="36"/>
    </row>
    <row r="1442" spans="2:11">
      <c r="B1442" s="36">
        <v>44084</v>
      </c>
      <c r="C1442" s="182">
        <v>908.45</v>
      </c>
      <c r="D1442" s="182">
        <f t="shared" si="47"/>
        <v>3.10992565688668E-2</v>
      </c>
      <c r="E1442" s="182">
        <v>-1.2965123816940311E-4</v>
      </c>
      <c r="F1442" s="168"/>
      <c r="G1442" s="168">
        <v>1439</v>
      </c>
      <c r="H1442" s="183">
        <f t="shared" ca="1" si="48"/>
        <v>-8.262361460939241E-3</v>
      </c>
      <c r="K1442" s="36"/>
    </row>
    <row r="1443" spans="2:11">
      <c r="B1443" s="36">
        <v>44053</v>
      </c>
      <c r="C1443" s="182">
        <v>881.05</v>
      </c>
      <c r="D1443" s="182">
        <f t="shared" si="47"/>
        <v>-7.7148327514359981E-3</v>
      </c>
      <c r="E1443" s="182">
        <v>-1.3479359730415871E-4</v>
      </c>
      <c r="F1443" s="168"/>
      <c r="G1443" s="168">
        <v>1440</v>
      </c>
      <c r="H1443" s="183">
        <f t="shared" ca="1" si="48"/>
        <v>-6.2977315611353136E-3</v>
      </c>
      <c r="K1443" s="36"/>
    </row>
    <row r="1444" spans="2:11">
      <c r="B1444" s="36">
        <v>44022</v>
      </c>
      <c r="C1444" s="182">
        <v>887.9</v>
      </c>
      <c r="D1444" s="182">
        <f t="shared" si="47"/>
        <v>-5.2655164687430492E-3</v>
      </c>
      <c r="E1444" s="182">
        <v>-1.4043711050648326E-4</v>
      </c>
      <c r="F1444" s="168"/>
      <c r="G1444" s="168">
        <v>1441</v>
      </c>
      <c r="H1444" s="183">
        <f t="shared" ca="1" si="48"/>
        <v>-9.3575323998486976E-3</v>
      </c>
      <c r="K1444" s="36"/>
    </row>
    <row r="1445" spans="2:11">
      <c r="B1445" s="36">
        <v>43992</v>
      </c>
      <c r="C1445" s="182">
        <v>892.6</v>
      </c>
      <c r="D1445" s="182">
        <f t="shared" si="47"/>
        <v>-4.8497686604604745E-3</v>
      </c>
      <c r="E1445" s="182">
        <v>-1.4585764294057851E-4</v>
      </c>
      <c r="F1445" s="168"/>
      <c r="G1445" s="168">
        <v>1442</v>
      </c>
      <c r="H1445" s="183">
        <f t="shared" ca="1" si="48"/>
        <v>-9.2992835018969704E-3</v>
      </c>
      <c r="K1445" s="36"/>
    </row>
    <row r="1446" spans="2:11">
      <c r="B1446" s="36">
        <v>43961</v>
      </c>
      <c r="C1446" s="182">
        <v>896.95</v>
      </c>
      <c r="D1446" s="182">
        <f t="shared" si="47"/>
        <v>-6.4798404962338385E-3</v>
      </c>
      <c r="E1446" s="182">
        <v>-1.5055026120470319E-4</v>
      </c>
      <c r="F1446" s="168"/>
      <c r="G1446" s="168">
        <v>1443</v>
      </c>
      <c r="H1446" s="183">
        <f t="shared" ca="1" si="48"/>
        <v>7.1335091772028389E-3</v>
      </c>
      <c r="K1446" s="36"/>
    </row>
    <row r="1447" spans="2:11">
      <c r="B1447" s="36">
        <v>43840</v>
      </c>
      <c r="C1447" s="182">
        <v>902.8</v>
      </c>
      <c r="D1447" s="182">
        <f t="shared" si="47"/>
        <v>1.3309671694764105E-3</v>
      </c>
      <c r="E1447" s="182">
        <v>-1.5404929577460786E-4</v>
      </c>
      <c r="F1447" s="168"/>
      <c r="G1447" s="168">
        <v>1444</v>
      </c>
      <c r="H1447" s="183">
        <f t="shared" ca="1" si="48"/>
        <v>6.9140124352675969E-3</v>
      </c>
      <c r="K1447" s="36"/>
    </row>
    <row r="1448" spans="2:11">
      <c r="B1448" s="36" t="s">
        <v>9461</v>
      </c>
      <c r="C1448" s="182">
        <v>901.6</v>
      </c>
      <c r="D1448" s="182">
        <f t="shared" si="47"/>
        <v>6.8680551677927039E-3</v>
      </c>
      <c r="E1448" s="182">
        <v>-1.6287971333174155E-4</v>
      </c>
      <c r="F1448" s="168"/>
      <c r="G1448" s="168">
        <v>1445</v>
      </c>
      <c r="H1448" s="183">
        <f t="shared" ca="1" si="48"/>
        <v>7.8132284517714277E-3</v>
      </c>
      <c r="K1448" s="36"/>
    </row>
    <row r="1449" spans="2:11">
      <c r="B1449" s="36" t="s">
        <v>9462</v>
      </c>
      <c r="C1449" s="182">
        <v>895.45</v>
      </c>
      <c r="D1449" s="182">
        <f t="shared" si="47"/>
        <v>-8.1962673755330093E-3</v>
      </c>
      <c r="E1449" s="182">
        <v>-1.9735219143159579E-4</v>
      </c>
      <c r="F1449" s="168"/>
      <c r="G1449" s="168">
        <v>1446</v>
      </c>
      <c r="H1449" s="183">
        <f t="shared" ca="1" si="48"/>
        <v>-1.3820139681533044E-2</v>
      </c>
      <c r="K1449" s="36"/>
    </row>
    <row r="1450" spans="2:11">
      <c r="B1450" s="36" t="s">
        <v>9463</v>
      </c>
      <c r="C1450" s="182">
        <v>902.85</v>
      </c>
      <c r="D1450" s="182">
        <f t="shared" si="47"/>
        <v>1.5293786899072277E-2</v>
      </c>
      <c r="E1450" s="182">
        <v>-2.4319911058620462E-4</v>
      </c>
      <c r="F1450" s="168"/>
      <c r="G1450" s="168">
        <v>1447</v>
      </c>
      <c r="H1450" s="183">
        <f t="shared" ca="1" si="48"/>
        <v>1.0289116561189297E-2</v>
      </c>
      <c r="K1450" s="36"/>
    </row>
    <row r="1451" spans="2:11">
      <c r="B1451" s="36" t="s">
        <v>9464</v>
      </c>
      <c r="C1451" s="182">
        <v>889.25</v>
      </c>
      <c r="D1451" s="182">
        <f t="shared" si="47"/>
        <v>4.5315622428588165E-2</v>
      </c>
      <c r="E1451" s="182">
        <v>-2.678188830167119E-4</v>
      </c>
      <c r="F1451" s="168"/>
      <c r="G1451" s="168">
        <v>1448</v>
      </c>
      <c r="H1451" s="183">
        <f t="shared" ca="1" si="48"/>
        <v>2.6911123248715947E-3</v>
      </c>
      <c r="K1451" s="36"/>
    </row>
    <row r="1452" spans="2:11">
      <c r="B1452" s="36" t="s">
        <v>9465</v>
      </c>
      <c r="C1452" s="182">
        <v>850.7</v>
      </c>
      <c r="D1452" s="182">
        <f t="shared" si="47"/>
        <v>-1.1503602138043198E-2</v>
      </c>
      <c r="E1452" s="182">
        <v>-3.0499639549711892E-4</v>
      </c>
      <c r="F1452" s="168"/>
      <c r="G1452" s="168">
        <v>1449</v>
      </c>
      <c r="H1452" s="183">
        <f t="shared" ca="1" si="48"/>
        <v>-6.2036677169458971E-3</v>
      </c>
      <c r="K1452" s="36"/>
    </row>
    <row r="1453" spans="2:11">
      <c r="B1453" s="36" t="s">
        <v>9466</v>
      </c>
      <c r="C1453" s="182">
        <v>860.6</v>
      </c>
      <c r="D1453" s="182">
        <f t="shared" si="47"/>
        <v>4.7869235259778431E-3</v>
      </c>
      <c r="E1453" s="182">
        <v>-3.077159781522355E-4</v>
      </c>
      <c r="F1453" s="168"/>
      <c r="G1453" s="168">
        <v>1450</v>
      </c>
      <c r="H1453" s="183">
        <f t="shared" ca="1" si="48"/>
        <v>-1.5919744961820689E-3</v>
      </c>
      <c r="K1453" s="36"/>
    </row>
    <row r="1454" spans="2:11">
      <c r="B1454" s="36" t="s">
        <v>9467</v>
      </c>
      <c r="C1454" s="182">
        <v>856.5</v>
      </c>
      <c r="D1454" s="182">
        <f t="shared" si="47"/>
        <v>-2.8746385439700654E-2</v>
      </c>
      <c r="E1454" s="182">
        <v>-3.3719031731393231E-4</v>
      </c>
      <c r="F1454" s="168"/>
      <c r="G1454" s="168">
        <v>1451</v>
      </c>
      <c r="H1454" s="183">
        <f t="shared" ca="1" si="48"/>
        <v>3.8227817463263331E-3</v>
      </c>
      <c r="K1454" s="36"/>
    </row>
    <row r="1455" spans="2:11">
      <c r="B1455" s="36" t="s">
        <v>9468</v>
      </c>
      <c r="C1455" s="182">
        <v>881.85</v>
      </c>
      <c r="D1455" s="182">
        <f t="shared" si="47"/>
        <v>-2.092816698123684E-2</v>
      </c>
      <c r="E1455" s="182">
        <v>-3.3881715167717911E-4</v>
      </c>
      <c r="F1455" s="168"/>
      <c r="G1455" s="168">
        <v>1452</v>
      </c>
      <c r="H1455" s="183">
        <f t="shared" ca="1" si="48"/>
        <v>1.7134750914790123E-2</v>
      </c>
      <c r="K1455" s="36"/>
    </row>
    <row r="1456" spans="2:11">
      <c r="B1456" s="36" t="s">
        <v>9469</v>
      </c>
      <c r="C1456" s="182">
        <v>900.7</v>
      </c>
      <c r="D1456" s="182">
        <f t="shared" si="47"/>
        <v>-6.1789694361689389E-3</v>
      </c>
      <c r="E1456" s="182">
        <v>-3.430924062212703E-4</v>
      </c>
      <c r="F1456" s="168"/>
      <c r="G1456" s="168">
        <v>1453</v>
      </c>
      <c r="H1456" s="183">
        <f t="shared" ca="1" si="48"/>
        <v>-3.9305332319278978E-3</v>
      </c>
      <c r="K1456" s="36"/>
    </row>
    <row r="1457" spans="2:11">
      <c r="B1457" s="36" t="s">
        <v>9470</v>
      </c>
      <c r="C1457" s="182">
        <v>906.3</v>
      </c>
      <c r="D1457" s="182">
        <f t="shared" si="47"/>
        <v>-1.6814927316120633E-2</v>
      </c>
      <c r="E1457" s="182">
        <v>-3.4362293110355024E-4</v>
      </c>
      <c r="F1457" s="168"/>
      <c r="G1457" s="168">
        <v>1454</v>
      </c>
      <c r="H1457" s="183">
        <f t="shared" ca="1" si="48"/>
        <v>-1.7842775382565556E-3</v>
      </c>
      <c r="K1457" s="36"/>
    </row>
    <row r="1458" spans="2:11">
      <c r="B1458" s="36" t="s">
        <v>9471</v>
      </c>
      <c r="C1458" s="182">
        <v>921.8</v>
      </c>
      <c r="D1458" s="182">
        <f t="shared" si="47"/>
        <v>1.3022693554590811E-2</v>
      </c>
      <c r="E1458" s="182">
        <v>-3.4998250087486533E-4</v>
      </c>
      <c r="F1458" s="168"/>
      <c r="G1458" s="168">
        <v>1455</v>
      </c>
      <c r="H1458" s="183">
        <f t="shared" ca="1" si="48"/>
        <v>-1.517558425988803E-2</v>
      </c>
      <c r="K1458" s="36"/>
    </row>
    <row r="1459" spans="2:11">
      <c r="B1459" s="36" t="s">
        <v>9472</v>
      </c>
      <c r="C1459" s="182">
        <v>909.95</v>
      </c>
      <c r="D1459" s="182">
        <f t="shared" si="47"/>
        <v>8.7019177474781315E-3</v>
      </c>
      <c r="E1459" s="182">
        <v>-3.5116983451109572E-4</v>
      </c>
      <c r="F1459" s="168"/>
      <c r="G1459" s="168">
        <v>1456</v>
      </c>
      <c r="H1459" s="183">
        <f t="shared" ca="1" si="48"/>
        <v>-9.7014269832818301E-3</v>
      </c>
      <c r="K1459" s="36"/>
    </row>
    <row r="1460" spans="2:11">
      <c r="B1460" s="36" t="s">
        <v>9473</v>
      </c>
      <c r="C1460" s="182">
        <v>902.1</v>
      </c>
      <c r="D1460" s="182">
        <f t="shared" si="47"/>
        <v>-1.6677567037279219E-2</v>
      </c>
      <c r="E1460" s="182">
        <v>-3.6026049605104111E-4</v>
      </c>
      <c r="F1460" s="168"/>
      <c r="G1460" s="168">
        <v>1457</v>
      </c>
      <c r="H1460" s="183">
        <f t="shared" ca="1" si="48"/>
        <v>-7.1132190493134228E-3</v>
      </c>
      <c r="K1460" s="36"/>
    </row>
    <row r="1461" spans="2:11">
      <c r="B1461" s="36">
        <v>44144</v>
      </c>
      <c r="C1461" s="182">
        <v>917.4</v>
      </c>
      <c r="D1461" s="182">
        <f t="shared" si="47"/>
        <v>-3.8547152396982117E-3</v>
      </c>
      <c r="E1461" s="182">
        <v>-3.6109230422021155E-4</v>
      </c>
      <c r="F1461" s="168"/>
      <c r="G1461" s="168">
        <v>1458</v>
      </c>
      <c r="H1461" s="183">
        <f t="shared" ca="1" si="48"/>
        <v>1.9401288659911243E-2</v>
      </c>
      <c r="K1461" s="36"/>
    </row>
    <row r="1462" spans="2:11">
      <c r="B1462" s="36">
        <v>44113</v>
      </c>
      <c r="C1462" s="182">
        <v>920.95</v>
      </c>
      <c r="D1462" s="182">
        <f t="shared" si="47"/>
        <v>1.2589334799340346E-2</v>
      </c>
      <c r="E1462" s="182">
        <v>-3.7324332219015644E-4</v>
      </c>
      <c r="F1462" s="168"/>
      <c r="G1462" s="168">
        <v>1459</v>
      </c>
      <c r="H1462" s="183">
        <f t="shared" ca="1" si="48"/>
        <v>-2.9674107289871252E-3</v>
      </c>
      <c r="K1462" s="36"/>
    </row>
    <row r="1463" spans="2:11">
      <c r="B1463" s="36">
        <v>44083</v>
      </c>
      <c r="C1463" s="182">
        <v>909.5</v>
      </c>
      <c r="D1463" s="182">
        <f t="shared" si="47"/>
        <v>-7.8542598450965905E-3</v>
      </c>
      <c r="E1463" s="182">
        <v>-3.7419547971860497E-4</v>
      </c>
      <c r="F1463" s="168"/>
      <c r="G1463" s="168">
        <v>1460</v>
      </c>
      <c r="H1463" s="183">
        <f t="shared" ca="1" si="48"/>
        <v>-8.0729444737016008E-3</v>
      </c>
      <c r="K1463" s="36"/>
    </row>
    <row r="1464" spans="2:11">
      <c r="B1464" s="36">
        <v>44052</v>
      </c>
      <c r="C1464" s="182">
        <v>916.7</v>
      </c>
      <c r="D1464" s="182">
        <f t="shared" si="47"/>
        <v>-1.6574585635359042E-2</v>
      </c>
      <c r="E1464" s="182">
        <v>-3.8664776388694258E-4</v>
      </c>
      <c r="F1464" s="168"/>
      <c r="G1464" s="168">
        <v>1461</v>
      </c>
      <c r="H1464" s="183">
        <f t="shared" ca="1" si="48"/>
        <v>9.6782227599579006E-3</v>
      </c>
      <c r="K1464" s="36"/>
    </row>
    <row r="1465" spans="2:11">
      <c r="B1465" s="36">
        <v>44021</v>
      </c>
      <c r="C1465" s="182">
        <v>932.15</v>
      </c>
      <c r="D1465" s="182">
        <f t="shared" si="47"/>
        <v>-1.098143236074273E-2</v>
      </c>
      <c r="E1465" s="182">
        <v>-3.9004940625816541E-4</v>
      </c>
      <c r="F1465" s="168"/>
      <c r="G1465" s="168">
        <v>1462</v>
      </c>
      <c r="H1465" s="183">
        <f t="shared" ca="1" si="48"/>
        <v>-3.1717959430527356E-3</v>
      </c>
      <c r="K1465" s="36"/>
    </row>
    <row r="1466" spans="2:11">
      <c r="B1466" s="36">
        <v>43930</v>
      </c>
      <c r="C1466" s="182">
        <v>942.5</v>
      </c>
      <c r="D1466" s="182">
        <f t="shared" si="47"/>
        <v>-1.9403839151016986E-2</v>
      </c>
      <c r="E1466" s="182">
        <v>-3.9620907160290342E-4</v>
      </c>
      <c r="F1466" s="168"/>
      <c r="G1466" s="168">
        <v>1463</v>
      </c>
      <c r="H1466" s="183">
        <f t="shared" ca="1" si="48"/>
        <v>6.2130297356756837E-4</v>
      </c>
      <c r="K1466" s="36"/>
    </row>
    <row r="1467" spans="2:11">
      <c r="B1467" s="36">
        <v>43899</v>
      </c>
      <c r="C1467" s="182">
        <v>961.15</v>
      </c>
      <c r="D1467" s="182">
        <f t="shared" si="47"/>
        <v>5.8604991889487966E-3</v>
      </c>
      <c r="E1467" s="182">
        <v>-3.9893617021270549E-4</v>
      </c>
      <c r="F1467" s="168"/>
      <c r="G1467" s="168">
        <v>1464</v>
      </c>
      <c r="H1467" s="183">
        <f t="shared" ca="1" si="48"/>
        <v>8.75590884569033E-3</v>
      </c>
      <c r="K1467" s="36"/>
    </row>
    <row r="1468" spans="2:11">
      <c r="B1468" s="36">
        <v>43870</v>
      </c>
      <c r="C1468" s="182">
        <v>955.55</v>
      </c>
      <c r="D1468" s="182">
        <f t="shared" si="47"/>
        <v>3.6641541038516442E-4</v>
      </c>
      <c r="E1468" s="182">
        <v>-4.4257579110422663E-4</v>
      </c>
      <c r="F1468" s="168"/>
      <c r="G1468" s="168">
        <v>1465</v>
      </c>
      <c r="H1468" s="183">
        <f t="shared" ca="1" si="48"/>
        <v>-4.9292375102971773E-4</v>
      </c>
      <c r="K1468" s="36"/>
    </row>
    <row r="1469" spans="2:11">
      <c r="B1469" s="36">
        <v>43839</v>
      </c>
      <c r="C1469" s="182">
        <v>955.2</v>
      </c>
      <c r="D1469" s="182">
        <f t="shared" si="47"/>
        <v>1.0847134769035397E-2</v>
      </c>
      <c r="E1469" s="182">
        <v>-4.5777065690086663E-4</v>
      </c>
      <c r="F1469" s="168"/>
      <c r="G1469" s="168">
        <v>1466</v>
      </c>
      <c r="H1469" s="183">
        <f t="shared" ca="1" si="48"/>
        <v>1.1243092394724694E-2</v>
      </c>
      <c r="K1469" s="36"/>
    </row>
    <row r="1470" spans="2:11">
      <c r="B1470" s="36" t="s">
        <v>9474</v>
      </c>
      <c r="C1470" s="182">
        <v>944.95</v>
      </c>
      <c r="D1470" s="182">
        <f t="shared" si="47"/>
        <v>-3.7582115394408491E-2</v>
      </c>
      <c r="E1470" s="182">
        <v>-4.5820514498922922E-4</v>
      </c>
      <c r="F1470" s="168"/>
      <c r="G1470" s="168">
        <v>1467</v>
      </c>
      <c r="H1470" s="183">
        <f t="shared" ca="1" si="48"/>
        <v>8.1494335861955688E-3</v>
      </c>
      <c r="K1470" s="36"/>
    </row>
    <row r="1471" spans="2:11">
      <c r="B1471" s="36" t="s">
        <v>9475</v>
      </c>
      <c r="C1471" s="182">
        <v>981.85</v>
      </c>
      <c r="D1471" s="182">
        <f t="shared" si="47"/>
        <v>6.4063140631406314E-3</v>
      </c>
      <c r="E1471" s="182">
        <v>-5.049764615809761E-4</v>
      </c>
      <c r="F1471" s="168"/>
      <c r="G1471" s="168">
        <v>1468</v>
      </c>
      <c r="H1471" s="183">
        <f t="shared" ca="1" si="48"/>
        <v>-1.7807512691167232E-2</v>
      </c>
      <c r="K1471" s="36"/>
    </row>
    <row r="1472" spans="2:11">
      <c r="B1472" s="36" t="s">
        <v>9476</v>
      </c>
      <c r="C1472" s="182">
        <v>975.6</v>
      </c>
      <c r="D1472" s="182">
        <f t="shared" si="47"/>
        <v>6.8630992311264532E-3</v>
      </c>
      <c r="E1472" s="182">
        <v>-5.4094474408549246E-4</v>
      </c>
      <c r="F1472" s="168"/>
      <c r="G1472" s="168">
        <v>1469</v>
      </c>
      <c r="H1472" s="183">
        <f t="shared" ca="1" si="48"/>
        <v>1.2632436780402887E-3</v>
      </c>
      <c r="K1472" s="36"/>
    </row>
    <row r="1473" spans="2:11">
      <c r="B1473" s="36" t="s">
        <v>9477</v>
      </c>
      <c r="C1473" s="182">
        <v>968.95</v>
      </c>
      <c r="D1473" s="182">
        <f t="shared" si="47"/>
        <v>-1.167890656874738E-2</v>
      </c>
      <c r="E1473" s="182">
        <v>-5.4936081127239793E-4</v>
      </c>
      <c r="F1473" s="168"/>
      <c r="G1473" s="168">
        <v>1470</v>
      </c>
      <c r="H1473" s="183">
        <f t="shared" ca="1" si="48"/>
        <v>3.3839983292406734E-3</v>
      </c>
      <c r="K1473" s="36"/>
    </row>
    <row r="1474" spans="2:11">
      <c r="B1474" s="36" t="s">
        <v>9478</v>
      </c>
      <c r="C1474" s="182">
        <v>980.4</v>
      </c>
      <c r="D1474" s="182">
        <f t="shared" si="47"/>
        <v>-1.1045543955212634E-2</v>
      </c>
      <c r="E1474" s="182">
        <v>-5.5266296285525786E-4</v>
      </c>
      <c r="F1474" s="168"/>
      <c r="G1474" s="168">
        <v>1471</v>
      </c>
      <c r="H1474" s="183">
        <f t="shared" ca="1" si="48"/>
        <v>2.3124824494908359E-3</v>
      </c>
      <c r="K1474" s="36"/>
    </row>
    <row r="1475" spans="2:11">
      <c r="B1475" s="36" t="s">
        <v>9479</v>
      </c>
      <c r="C1475" s="182">
        <v>991.35</v>
      </c>
      <c r="D1475" s="182">
        <f t="shared" si="47"/>
        <v>-2.8164763868631037E-3</v>
      </c>
      <c r="E1475" s="182">
        <v>-5.5605755195659587E-4</v>
      </c>
      <c r="F1475" s="168"/>
      <c r="G1475" s="168">
        <v>1472</v>
      </c>
      <c r="H1475" s="183">
        <f t="shared" ca="1" si="48"/>
        <v>-6.7139310237746908E-3</v>
      </c>
      <c r="K1475" s="36"/>
    </row>
    <row r="1476" spans="2:11">
      <c r="B1476" s="36" t="s">
        <v>9480</v>
      </c>
      <c r="C1476" s="182">
        <v>994.15</v>
      </c>
      <c r="D1476" s="182">
        <f t="shared" ref="D1476:D1539" si="49">(C1476-C1477)/C1477</f>
        <v>-1.6068290233492571E-3</v>
      </c>
      <c r="E1476" s="182">
        <v>-5.6405728860107107E-4</v>
      </c>
      <c r="F1476" s="168"/>
      <c r="G1476" s="168">
        <v>1473</v>
      </c>
      <c r="H1476" s="183">
        <f t="shared" ca="1" si="48"/>
        <v>5.4547337256087109E-3</v>
      </c>
      <c r="K1476" s="36"/>
    </row>
    <row r="1477" spans="2:11">
      <c r="B1477" s="36" t="s">
        <v>9481</v>
      </c>
      <c r="C1477" s="182">
        <v>995.75</v>
      </c>
      <c r="D1477" s="182">
        <f t="shared" si="49"/>
        <v>-1.3229610544049175E-2</v>
      </c>
      <c r="E1477" s="182">
        <v>-5.6830739115340566E-4</v>
      </c>
      <c r="F1477" s="168"/>
      <c r="G1477" s="168">
        <v>1474</v>
      </c>
      <c r="H1477" s="183">
        <f t="shared" ref="H1477:H1540" ca="1" si="50">_xlfn.NORM.INV(RAND(),N$6,N$7)</f>
        <v>1.4692565705256608E-2</v>
      </c>
      <c r="K1477" s="36"/>
    </row>
    <row r="1478" spans="2:11">
      <c r="B1478" s="36" t="s">
        <v>9482</v>
      </c>
      <c r="C1478" s="182">
        <v>1009.1</v>
      </c>
      <c r="D1478" s="182">
        <f t="shared" si="49"/>
        <v>4.5293912697228298E-3</v>
      </c>
      <c r="E1478" s="182">
        <v>-5.6872329306154783E-4</v>
      </c>
      <c r="F1478" s="168"/>
      <c r="G1478" s="168">
        <v>1475</v>
      </c>
      <c r="H1478" s="183">
        <f t="shared" ca="1" si="50"/>
        <v>2.6993507942607966E-4</v>
      </c>
      <c r="K1478" s="36"/>
    </row>
    <row r="1479" spans="2:11">
      <c r="B1479" s="36" t="s">
        <v>9483</v>
      </c>
      <c r="C1479" s="182">
        <v>1004.55</v>
      </c>
      <c r="D1479" s="182">
        <f t="shared" si="49"/>
        <v>3.7470023980815349E-3</v>
      </c>
      <c r="E1479" s="182">
        <v>-5.8697603756640367E-4</v>
      </c>
      <c r="F1479" s="168"/>
      <c r="G1479" s="168">
        <v>1476</v>
      </c>
      <c r="H1479" s="183">
        <f t="shared" ca="1" si="50"/>
        <v>-4.6296327657214939E-3</v>
      </c>
      <c r="K1479" s="36"/>
    </row>
    <row r="1480" spans="2:11">
      <c r="B1480" s="36" t="s">
        <v>9484</v>
      </c>
      <c r="C1480" s="182">
        <v>1000.8</v>
      </c>
      <c r="D1480" s="182">
        <f t="shared" si="49"/>
        <v>1.8315018315018316E-2</v>
      </c>
      <c r="E1480" s="182">
        <v>-6.061038220194926E-4</v>
      </c>
      <c r="F1480" s="168"/>
      <c r="G1480" s="168">
        <v>1477</v>
      </c>
      <c r="H1480" s="183">
        <f t="shared" ca="1" si="50"/>
        <v>-1.698671971051796E-4</v>
      </c>
      <c r="K1480" s="36"/>
    </row>
    <row r="1481" spans="2:11">
      <c r="B1481" s="36" t="s">
        <v>9485</v>
      </c>
      <c r="C1481" s="182">
        <v>982.8</v>
      </c>
      <c r="D1481" s="182">
        <f t="shared" si="49"/>
        <v>-7.974159685071253E-3</v>
      </c>
      <c r="E1481" s="182">
        <v>-6.1202185792353704E-4</v>
      </c>
      <c r="F1481" s="168"/>
      <c r="G1481" s="168">
        <v>1478</v>
      </c>
      <c r="H1481" s="183">
        <f t="shared" ca="1" si="50"/>
        <v>-2.1366371051890404E-2</v>
      </c>
      <c r="K1481" s="36"/>
    </row>
    <row r="1482" spans="2:11">
      <c r="B1482" s="36" t="s">
        <v>9486</v>
      </c>
      <c r="C1482" s="182">
        <v>990.7</v>
      </c>
      <c r="D1482" s="182">
        <f t="shared" si="49"/>
        <v>4.3116609634114289E-2</v>
      </c>
      <c r="E1482" s="182">
        <v>-6.1513967289036702E-4</v>
      </c>
      <c r="F1482" s="168"/>
      <c r="G1482" s="168">
        <v>1479</v>
      </c>
      <c r="H1482" s="183">
        <f t="shared" ca="1" si="50"/>
        <v>-5.5728837965890064E-3</v>
      </c>
      <c r="K1482" s="36"/>
    </row>
    <row r="1483" spans="2:11">
      <c r="B1483" s="36">
        <v>44173</v>
      </c>
      <c r="C1483" s="182">
        <v>949.75</v>
      </c>
      <c r="D1483" s="182">
        <f t="shared" si="49"/>
        <v>-1.2631250649755668E-2</v>
      </c>
      <c r="E1483" s="182">
        <v>-6.563199752914131E-4</v>
      </c>
      <c r="F1483" s="168"/>
      <c r="G1483" s="168">
        <v>1480</v>
      </c>
      <c r="H1483" s="183">
        <f t="shared" ca="1" si="50"/>
        <v>3.8475652891186108E-3</v>
      </c>
      <c r="K1483" s="36"/>
    </row>
    <row r="1484" spans="2:11">
      <c r="B1484" s="36">
        <v>44143</v>
      </c>
      <c r="C1484" s="182">
        <v>961.9</v>
      </c>
      <c r="D1484" s="182">
        <f t="shared" si="49"/>
        <v>1.9269829696370218E-3</v>
      </c>
      <c r="E1484" s="182">
        <v>-6.684727157583967E-4</v>
      </c>
      <c r="F1484" s="168"/>
      <c r="G1484" s="168">
        <v>1481</v>
      </c>
      <c r="H1484" s="183">
        <f t="shared" ca="1" si="50"/>
        <v>-4.6479238298520143E-3</v>
      </c>
      <c r="K1484" s="36"/>
    </row>
    <row r="1485" spans="2:11">
      <c r="B1485" s="36">
        <v>44112</v>
      </c>
      <c r="C1485" s="182">
        <v>960.05</v>
      </c>
      <c r="D1485" s="182">
        <f t="shared" si="49"/>
        <v>4.8490143613826218E-2</v>
      </c>
      <c r="E1485" s="182">
        <v>-6.6956812855704267E-4</v>
      </c>
      <c r="F1485" s="168"/>
      <c r="G1485" s="168">
        <v>1482</v>
      </c>
      <c r="H1485" s="183">
        <f t="shared" ca="1" si="50"/>
        <v>7.4244054009750121E-3</v>
      </c>
      <c r="K1485" s="36"/>
    </row>
    <row r="1486" spans="2:11">
      <c r="B1486" s="36">
        <v>44020</v>
      </c>
      <c r="C1486" s="182">
        <v>915.65</v>
      </c>
      <c r="D1486" s="182">
        <f t="shared" si="49"/>
        <v>-7.0487447812178066E-3</v>
      </c>
      <c r="E1486" s="182">
        <v>-6.6982227382334555E-4</v>
      </c>
      <c r="F1486" s="168"/>
      <c r="G1486" s="168">
        <v>1483</v>
      </c>
      <c r="H1486" s="183">
        <f t="shared" ca="1" si="50"/>
        <v>-1.1916245043312918E-2</v>
      </c>
      <c r="K1486" s="36"/>
    </row>
    <row r="1487" spans="2:11">
      <c r="B1487" s="36">
        <v>43990</v>
      </c>
      <c r="C1487" s="182">
        <v>922.15</v>
      </c>
      <c r="D1487" s="182">
        <f t="shared" si="49"/>
        <v>-3.8887388603834976E-3</v>
      </c>
      <c r="E1487" s="182">
        <v>-6.7750677506775068E-4</v>
      </c>
      <c r="F1487" s="168"/>
      <c r="G1487" s="168">
        <v>1484</v>
      </c>
      <c r="H1487" s="183">
        <f t="shared" ca="1" si="50"/>
        <v>-1.6062454325967947E-2</v>
      </c>
      <c r="K1487" s="36"/>
    </row>
    <row r="1488" spans="2:11">
      <c r="B1488" s="36">
        <v>43959</v>
      </c>
      <c r="C1488" s="182">
        <v>925.75</v>
      </c>
      <c r="D1488" s="182">
        <f t="shared" si="49"/>
        <v>1.6229375169055991E-3</v>
      </c>
      <c r="E1488" s="182">
        <v>-6.7861562412670879E-4</v>
      </c>
      <c r="F1488" s="168"/>
      <c r="G1488" s="168">
        <v>1485</v>
      </c>
      <c r="H1488" s="183">
        <f t="shared" ca="1" si="50"/>
        <v>2.9011928010474537E-2</v>
      </c>
      <c r="K1488" s="36"/>
    </row>
    <row r="1489" spans="2:11">
      <c r="B1489" s="36">
        <v>43929</v>
      </c>
      <c r="C1489" s="182">
        <v>924.25</v>
      </c>
      <c r="D1489" s="182">
        <f t="shared" si="49"/>
        <v>9.1167157986680025E-3</v>
      </c>
      <c r="E1489" s="182">
        <v>-6.8323641498261537E-4</v>
      </c>
      <c r="F1489" s="168"/>
      <c r="G1489" s="168">
        <v>1486</v>
      </c>
      <c r="H1489" s="183">
        <f t="shared" ca="1" si="50"/>
        <v>4.5771666013183204E-3</v>
      </c>
      <c r="K1489" s="36"/>
    </row>
    <row r="1490" spans="2:11">
      <c r="B1490" s="36">
        <v>43898</v>
      </c>
      <c r="C1490" s="182">
        <v>915.9</v>
      </c>
      <c r="D1490" s="182">
        <f t="shared" si="49"/>
        <v>2.68213914281015E-3</v>
      </c>
      <c r="E1490" s="182">
        <v>-6.9979006298106583E-4</v>
      </c>
      <c r="F1490" s="168"/>
      <c r="G1490" s="168">
        <v>1487</v>
      </c>
      <c r="H1490" s="183">
        <f t="shared" ca="1" si="50"/>
        <v>1.9586061529548908E-3</v>
      </c>
      <c r="K1490" s="36"/>
    </row>
    <row r="1491" spans="2:11">
      <c r="B1491" s="36" t="s">
        <v>9487</v>
      </c>
      <c r="C1491" s="182">
        <v>913.45</v>
      </c>
      <c r="D1491" s="182">
        <f t="shared" si="49"/>
        <v>5.7252958987063533E-3</v>
      </c>
      <c r="E1491" s="182">
        <v>-7.0828695740152972E-4</v>
      </c>
      <c r="F1491" s="168"/>
      <c r="G1491" s="168">
        <v>1488</v>
      </c>
      <c r="H1491" s="183">
        <f t="shared" ca="1" si="50"/>
        <v>1.1506503100516818E-2</v>
      </c>
      <c r="K1491" s="36"/>
    </row>
    <row r="1492" spans="2:11">
      <c r="B1492" s="36" t="s">
        <v>9488</v>
      </c>
      <c r="C1492" s="182">
        <v>908.25</v>
      </c>
      <c r="D1492" s="182">
        <f t="shared" si="49"/>
        <v>-1.4859808015619118E-2</v>
      </c>
      <c r="E1492" s="182">
        <v>-7.2076400985046879E-4</v>
      </c>
      <c r="F1492" s="168"/>
      <c r="G1492" s="168">
        <v>1489</v>
      </c>
      <c r="H1492" s="183">
        <f t="shared" ca="1" si="50"/>
        <v>-2.0434186844979035E-2</v>
      </c>
      <c r="K1492" s="36"/>
    </row>
    <row r="1493" spans="2:11">
      <c r="B1493" s="36" t="s">
        <v>9489</v>
      </c>
      <c r="C1493" s="182">
        <v>921.95</v>
      </c>
      <c r="D1493" s="182">
        <f t="shared" si="49"/>
        <v>9.2501368363437832E-3</v>
      </c>
      <c r="E1493" s="182">
        <v>-7.2215201299869521E-4</v>
      </c>
      <c r="F1493" s="168"/>
      <c r="G1493" s="168">
        <v>1490</v>
      </c>
      <c r="H1493" s="183">
        <f t="shared" ca="1" si="50"/>
        <v>8.3774108470692932E-3</v>
      </c>
      <c r="K1493" s="36"/>
    </row>
    <row r="1494" spans="2:11">
      <c r="B1494" s="36" t="s">
        <v>9490</v>
      </c>
      <c r="C1494" s="182">
        <v>913.5</v>
      </c>
      <c r="D1494" s="182">
        <f t="shared" si="49"/>
        <v>1.0732462934277546E-2</v>
      </c>
      <c r="E1494" s="182">
        <v>-7.2218388406541381E-4</v>
      </c>
      <c r="F1494" s="168"/>
      <c r="G1494" s="168">
        <v>1491</v>
      </c>
      <c r="H1494" s="183">
        <f t="shared" ca="1" si="50"/>
        <v>1.6376491806780101E-2</v>
      </c>
      <c r="K1494" s="36"/>
    </row>
    <row r="1495" spans="2:11">
      <c r="B1495" s="36" t="s">
        <v>9491</v>
      </c>
      <c r="C1495" s="182">
        <v>903.8</v>
      </c>
      <c r="D1495" s="182">
        <f t="shared" si="49"/>
        <v>-6.6342326404248428E-4</v>
      </c>
      <c r="E1495" s="182">
        <v>-7.2884779575602338E-4</v>
      </c>
      <c r="F1495" s="168"/>
      <c r="G1495" s="168">
        <v>1492</v>
      </c>
      <c r="H1495" s="183">
        <f t="shared" ca="1" si="50"/>
        <v>-5.3389535980949568E-3</v>
      </c>
      <c r="K1495" s="36"/>
    </row>
    <row r="1496" spans="2:11">
      <c r="B1496" s="36" t="s">
        <v>9492</v>
      </c>
      <c r="C1496" s="182">
        <v>904.4</v>
      </c>
      <c r="D1496" s="182">
        <f t="shared" si="49"/>
        <v>-1.3256232611423249E-2</v>
      </c>
      <c r="E1496" s="182">
        <v>-7.6068123230367318E-4</v>
      </c>
      <c r="F1496" s="168"/>
      <c r="G1496" s="168">
        <v>1493</v>
      </c>
      <c r="H1496" s="183">
        <f t="shared" ca="1" si="50"/>
        <v>-2.1685837525920945E-3</v>
      </c>
      <c r="K1496" s="36"/>
    </row>
    <row r="1497" spans="2:11">
      <c r="B1497" s="36" t="s">
        <v>9493</v>
      </c>
      <c r="C1497" s="182">
        <v>916.55</v>
      </c>
      <c r="D1497" s="182">
        <f t="shared" si="49"/>
        <v>-4.7236399174720627E-3</v>
      </c>
      <c r="E1497" s="182">
        <v>-7.9822308599992434E-4</v>
      </c>
      <c r="F1497" s="168"/>
      <c r="G1497" s="168">
        <v>1494</v>
      </c>
      <c r="H1497" s="183">
        <f t="shared" ca="1" si="50"/>
        <v>7.3445184084659897E-3</v>
      </c>
      <c r="K1497" s="36"/>
    </row>
    <row r="1498" spans="2:11">
      <c r="B1498" s="36" t="s">
        <v>9494</v>
      </c>
      <c r="C1498" s="182">
        <v>920.9</v>
      </c>
      <c r="D1498" s="182">
        <f t="shared" si="49"/>
        <v>-1.8282607536911657E-2</v>
      </c>
      <c r="E1498" s="182">
        <v>-8.1075925219373246E-4</v>
      </c>
      <c r="F1498" s="168"/>
      <c r="G1498" s="168">
        <v>1495</v>
      </c>
      <c r="H1498" s="183">
        <f t="shared" ca="1" si="50"/>
        <v>2.2554422022209166E-2</v>
      </c>
      <c r="K1498" s="36"/>
    </row>
    <row r="1499" spans="2:11">
      <c r="B1499" s="36" t="s">
        <v>9495</v>
      </c>
      <c r="C1499" s="182">
        <v>938.05</v>
      </c>
      <c r="D1499" s="182">
        <f t="shared" si="49"/>
        <v>2.0063070900391399E-2</v>
      </c>
      <c r="E1499" s="182">
        <v>-8.3754512635381693E-4</v>
      </c>
      <c r="F1499" s="168"/>
      <c r="G1499" s="168">
        <v>1496</v>
      </c>
      <c r="H1499" s="183">
        <f t="shared" ca="1" si="50"/>
        <v>3.685050195544147E-2</v>
      </c>
      <c r="K1499" s="36"/>
    </row>
    <row r="1500" spans="2:11">
      <c r="B1500" s="36" t="s">
        <v>9496</v>
      </c>
      <c r="C1500" s="182">
        <v>919.6</v>
      </c>
      <c r="D1500" s="182">
        <f t="shared" si="49"/>
        <v>-6.4286100156662872E-3</v>
      </c>
      <c r="E1500" s="182">
        <v>-8.6316031764299694E-4</v>
      </c>
      <c r="F1500" s="168"/>
      <c r="G1500" s="168">
        <v>1497</v>
      </c>
      <c r="H1500" s="183">
        <f t="shared" ca="1" si="50"/>
        <v>1.0746375405622923E-2</v>
      </c>
      <c r="K1500" s="36"/>
    </row>
    <row r="1501" spans="2:11">
      <c r="B1501" s="36" t="s">
        <v>9497</v>
      </c>
      <c r="C1501" s="182">
        <v>925.55</v>
      </c>
      <c r="D1501" s="182">
        <f t="shared" si="49"/>
        <v>4.7766378982793001E-3</v>
      </c>
      <c r="E1501" s="182">
        <v>-9.0806884026632759E-4</v>
      </c>
      <c r="F1501" s="168"/>
      <c r="G1501" s="168">
        <v>1498</v>
      </c>
      <c r="H1501" s="183">
        <f t="shared" ca="1" si="50"/>
        <v>2.8893953021450845E-3</v>
      </c>
      <c r="K1501" s="36"/>
    </row>
    <row r="1502" spans="2:11">
      <c r="B1502" s="36" t="s">
        <v>9498</v>
      </c>
      <c r="C1502" s="182">
        <v>921.15</v>
      </c>
      <c r="D1502" s="182">
        <f t="shared" si="49"/>
        <v>9.8114448585835679E-3</v>
      </c>
      <c r="E1502" s="182">
        <v>-9.3252514487440188E-4</v>
      </c>
      <c r="F1502" s="168"/>
      <c r="G1502" s="168">
        <v>1499</v>
      </c>
      <c r="H1502" s="183">
        <f t="shared" ca="1" si="50"/>
        <v>-4.0758246290547688E-3</v>
      </c>
      <c r="K1502" s="36"/>
    </row>
    <row r="1503" spans="2:11">
      <c r="B1503" s="36" t="s">
        <v>9499</v>
      </c>
      <c r="C1503" s="182">
        <v>912.2</v>
      </c>
      <c r="D1503" s="182">
        <f t="shared" si="49"/>
        <v>-7.6678716179201642E-4</v>
      </c>
      <c r="E1503" s="182">
        <v>-9.3537556999439685E-4</v>
      </c>
      <c r="F1503" s="168"/>
      <c r="G1503" s="168">
        <v>1500</v>
      </c>
      <c r="H1503" s="183">
        <f t="shared" ca="1" si="50"/>
        <v>-3.463985642008267E-3</v>
      </c>
      <c r="K1503" s="36"/>
    </row>
    <row r="1504" spans="2:11">
      <c r="B1504" s="36" t="s">
        <v>9500</v>
      </c>
      <c r="C1504" s="182">
        <v>912.9</v>
      </c>
      <c r="D1504" s="182">
        <f t="shared" si="49"/>
        <v>-1.6430533857673867E-2</v>
      </c>
      <c r="E1504" s="182">
        <v>-9.5632770162585364E-4</v>
      </c>
      <c r="F1504" s="168"/>
      <c r="G1504" s="168">
        <v>1501</v>
      </c>
      <c r="H1504" s="183">
        <f t="shared" ca="1" si="50"/>
        <v>-2.0876182768377657E-4</v>
      </c>
      <c r="K1504" s="36"/>
    </row>
    <row r="1505" spans="2:11">
      <c r="B1505" s="36" t="s">
        <v>9501</v>
      </c>
      <c r="C1505" s="182">
        <v>928.15</v>
      </c>
      <c r="D1505" s="182">
        <f t="shared" si="49"/>
        <v>-4.2911548570509044E-3</v>
      </c>
      <c r="E1505" s="182">
        <v>-9.5921674990906978E-4</v>
      </c>
      <c r="F1505" s="168"/>
      <c r="G1505" s="168">
        <v>1502</v>
      </c>
      <c r="H1505" s="183">
        <f t="shared" ca="1" si="50"/>
        <v>1.1676269833869699E-2</v>
      </c>
      <c r="K1505" s="36"/>
    </row>
    <row r="1506" spans="2:11">
      <c r="B1506" s="36">
        <v>44111</v>
      </c>
      <c r="C1506" s="182">
        <v>932.15</v>
      </c>
      <c r="D1506" s="182">
        <f t="shared" si="49"/>
        <v>-1.354569024816135E-2</v>
      </c>
      <c r="E1506" s="182">
        <v>-9.6923725242316979E-4</v>
      </c>
      <c r="F1506" s="168"/>
      <c r="G1506" s="168">
        <v>1503</v>
      </c>
      <c r="H1506" s="183">
        <f t="shared" ca="1" si="50"/>
        <v>1.7222184783998548E-2</v>
      </c>
      <c r="K1506" s="36"/>
    </row>
    <row r="1507" spans="2:11">
      <c r="B1507" s="36">
        <v>44081</v>
      </c>
      <c r="C1507" s="182">
        <v>944.95</v>
      </c>
      <c r="D1507" s="182">
        <f t="shared" si="49"/>
        <v>3.9309428950863694E-3</v>
      </c>
      <c r="E1507" s="182">
        <v>-9.7947456631042817E-4</v>
      </c>
      <c r="F1507" s="168"/>
      <c r="G1507" s="168">
        <v>1504</v>
      </c>
      <c r="H1507" s="183">
        <f t="shared" ca="1" si="50"/>
        <v>-1.5453795335064597E-2</v>
      </c>
      <c r="K1507" s="36"/>
    </row>
    <row r="1508" spans="2:11">
      <c r="B1508" s="36">
        <v>44050</v>
      </c>
      <c r="C1508" s="182">
        <v>941.25</v>
      </c>
      <c r="D1508" s="182">
        <f t="shared" si="49"/>
        <v>-2.4904620601950219E-3</v>
      </c>
      <c r="E1508" s="182">
        <v>-9.8640763713583098E-4</v>
      </c>
      <c r="F1508" s="168"/>
      <c r="G1508" s="168">
        <v>1505</v>
      </c>
      <c r="H1508" s="183">
        <f t="shared" ca="1" si="50"/>
        <v>1.5053931762143983E-2</v>
      </c>
      <c r="K1508" s="36"/>
    </row>
    <row r="1509" spans="2:11">
      <c r="B1509" s="36">
        <v>44019</v>
      </c>
      <c r="C1509" s="182">
        <v>943.6</v>
      </c>
      <c r="D1509" s="182">
        <f t="shared" si="49"/>
        <v>-7.9899074852817723E-3</v>
      </c>
      <c r="E1509" s="182">
        <v>-9.8733975634999896E-4</v>
      </c>
      <c r="F1509" s="168"/>
      <c r="G1509" s="168">
        <v>1506</v>
      </c>
      <c r="H1509" s="183">
        <f t="shared" ca="1" si="50"/>
        <v>1.5752637211669016E-2</v>
      </c>
      <c r="K1509" s="36"/>
    </row>
    <row r="1510" spans="2:11">
      <c r="B1510" s="36">
        <v>43989</v>
      </c>
      <c r="C1510" s="182">
        <v>951.2</v>
      </c>
      <c r="D1510" s="182">
        <f t="shared" si="49"/>
        <v>7.3603388933016099E-3</v>
      </c>
      <c r="E1510" s="182">
        <v>-9.9019092118693506E-4</v>
      </c>
      <c r="F1510" s="168"/>
      <c r="G1510" s="168">
        <v>1507</v>
      </c>
      <c r="H1510" s="183">
        <f t="shared" ca="1" si="50"/>
        <v>-8.2557347001862708E-3</v>
      </c>
      <c r="K1510" s="36"/>
    </row>
    <row r="1511" spans="2:11">
      <c r="B1511" s="36">
        <v>43897</v>
      </c>
      <c r="C1511" s="182">
        <v>944.25</v>
      </c>
      <c r="D1511" s="182">
        <f t="shared" si="49"/>
        <v>3.1339636672687195E-3</v>
      </c>
      <c r="E1511" s="182">
        <v>-9.92302947407895E-4</v>
      </c>
      <c r="F1511" s="168"/>
      <c r="G1511" s="168">
        <v>1508</v>
      </c>
      <c r="H1511" s="183">
        <f t="shared" ca="1" si="50"/>
        <v>-6.942007188823888E-3</v>
      </c>
      <c r="K1511" s="36"/>
    </row>
    <row r="1512" spans="2:11">
      <c r="B1512" s="36">
        <v>43868</v>
      </c>
      <c r="C1512" s="182">
        <v>941.3</v>
      </c>
      <c r="D1512" s="182">
        <f t="shared" si="49"/>
        <v>1.8392296873309531E-2</v>
      </c>
      <c r="E1512" s="182">
        <v>-9.9464422341236005E-4</v>
      </c>
      <c r="F1512" s="168"/>
      <c r="G1512" s="168">
        <v>1509</v>
      </c>
      <c r="H1512" s="183">
        <f t="shared" ca="1" si="50"/>
        <v>1.5437456639463797E-2</v>
      </c>
      <c r="K1512" s="36"/>
    </row>
    <row r="1513" spans="2:11">
      <c r="B1513" s="36">
        <v>43837</v>
      </c>
      <c r="C1513" s="182">
        <v>924.3</v>
      </c>
      <c r="D1513" s="182">
        <f t="shared" si="49"/>
        <v>-2.0505484024797353E-2</v>
      </c>
      <c r="E1513" s="182">
        <v>-1.0051463493084595E-3</v>
      </c>
      <c r="F1513" s="168"/>
      <c r="G1513" s="168">
        <v>1510</v>
      </c>
      <c r="H1513" s="183">
        <f t="shared" ca="1" si="50"/>
        <v>-2.7844301990838368E-2</v>
      </c>
      <c r="K1513" s="36"/>
    </row>
    <row r="1514" spans="2:11">
      <c r="B1514" s="36" t="s">
        <v>9502</v>
      </c>
      <c r="C1514" s="182">
        <v>943.65</v>
      </c>
      <c r="D1514" s="182">
        <f t="shared" si="49"/>
        <v>7.5272261370915592E-3</v>
      </c>
      <c r="E1514" s="182">
        <v>-1.0071892473865491E-3</v>
      </c>
      <c r="F1514" s="168"/>
      <c r="G1514" s="168">
        <v>1511</v>
      </c>
      <c r="H1514" s="183">
        <f t="shared" ca="1" si="50"/>
        <v>-1.5178974637804526E-2</v>
      </c>
      <c r="K1514" s="36"/>
    </row>
    <row r="1515" spans="2:11">
      <c r="B1515" s="36" t="s">
        <v>9503</v>
      </c>
      <c r="C1515" s="182">
        <v>936.6</v>
      </c>
      <c r="D1515" s="182">
        <f t="shared" si="49"/>
        <v>-2.660569528164625E-2</v>
      </c>
      <c r="E1515" s="182">
        <v>-1.025232101156208E-3</v>
      </c>
      <c r="F1515" s="168"/>
      <c r="G1515" s="168">
        <v>1512</v>
      </c>
      <c r="H1515" s="183">
        <f t="shared" ca="1" si="50"/>
        <v>1.992202144800145E-2</v>
      </c>
      <c r="K1515" s="36"/>
    </row>
    <row r="1516" spans="2:11">
      <c r="B1516" s="36" t="s">
        <v>9504</v>
      </c>
      <c r="C1516" s="182">
        <v>962.2</v>
      </c>
      <c r="D1516" s="182">
        <f t="shared" si="49"/>
        <v>2.0252359240801637E-2</v>
      </c>
      <c r="E1516" s="182">
        <v>-1.0345541071798054E-3</v>
      </c>
      <c r="F1516" s="168"/>
      <c r="G1516" s="168">
        <v>1513</v>
      </c>
      <c r="H1516" s="183">
        <f t="shared" ca="1" si="50"/>
        <v>2.0948167491424759E-2</v>
      </c>
      <c r="K1516" s="36"/>
    </row>
    <row r="1517" spans="2:11">
      <c r="B1517" s="36" t="s">
        <v>9505</v>
      </c>
      <c r="C1517" s="182">
        <v>943.1</v>
      </c>
      <c r="D1517" s="182">
        <f t="shared" si="49"/>
        <v>-1.3029145518287827E-2</v>
      </c>
      <c r="E1517" s="182">
        <v>-1.0367298578199725E-3</v>
      </c>
      <c r="F1517" s="168"/>
      <c r="G1517" s="168">
        <v>1514</v>
      </c>
      <c r="H1517" s="183">
        <f t="shared" ca="1" si="50"/>
        <v>1.8708208627356549E-2</v>
      </c>
      <c r="K1517" s="36"/>
    </row>
    <row r="1518" spans="2:11">
      <c r="B1518" s="36" t="s">
        <v>9506</v>
      </c>
      <c r="C1518" s="182">
        <v>955.55</v>
      </c>
      <c r="D1518" s="182">
        <f t="shared" si="49"/>
        <v>-1.2453493178999657E-2</v>
      </c>
      <c r="E1518" s="182">
        <v>-1.0530380146723296E-3</v>
      </c>
      <c r="F1518" s="168"/>
      <c r="G1518" s="168">
        <v>1515</v>
      </c>
      <c r="H1518" s="183">
        <f t="shared" ca="1" si="50"/>
        <v>-9.2177537455837392E-3</v>
      </c>
      <c r="K1518" s="36"/>
    </row>
    <row r="1519" spans="2:11">
      <c r="B1519" s="36" t="s">
        <v>9507</v>
      </c>
      <c r="C1519" s="182">
        <v>967.6</v>
      </c>
      <c r="D1519" s="182">
        <f t="shared" si="49"/>
        <v>6.6284643782026531E-2</v>
      </c>
      <c r="E1519" s="182">
        <v>-1.05579468854053E-3</v>
      </c>
      <c r="F1519" s="168"/>
      <c r="G1519" s="168">
        <v>1516</v>
      </c>
      <c r="H1519" s="183">
        <f t="shared" ca="1" si="50"/>
        <v>1.7144321320296977E-2</v>
      </c>
      <c r="K1519" s="36"/>
    </row>
    <row r="1520" spans="2:11">
      <c r="B1520" s="36" t="s">
        <v>9508</v>
      </c>
      <c r="C1520" s="182">
        <v>907.45</v>
      </c>
      <c r="D1520" s="182">
        <f t="shared" si="49"/>
        <v>1.029837452683144E-2</v>
      </c>
      <c r="E1520" s="182">
        <v>-1.0615393816158505E-3</v>
      </c>
      <c r="F1520" s="168"/>
      <c r="G1520" s="168">
        <v>1517</v>
      </c>
      <c r="H1520" s="183">
        <f t="shared" ca="1" si="50"/>
        <v>3.5344368635602981E-2</v>
      </c>
      <c r="K1520" s="36"/>
    </row>
    <row r="1521" spans="2:11">
      <c r="B1521" s="36" t="s">
        <v>9509</v>
      </c>
      <c r="C1521" s="182">
        <v>898.2</v>
      </c>
      <c r="D1521" s="182">
        <f t="shared" si="49"/>
        <v>1.7286566664808658E-3</v>
      </c>
      <c r="E1521" s="182">
        <v>-1.0779530239418266E-3</v>
      </c>
      <c r="F1521" s="168"/>
      <c r="G1521" s="168">
        <v>1518</v>
      </c>
      <c r="H1521" s="183">
        <f t="shared" ca="1" si="50"/>
        <v>1.0420831256593925E-2</v>
      </c>
      <c r="K1521" s="36"/>
    </row>
    <row r="1522" spans="2:11">
      <c r="B1522" s="36" t="s">
        <v>9510</v>
      </c>
      <c r="C1522" s="182">
        <v>896.65</v>
      </c>
      <c r="D1522" s="182">
        <f t="shared" si="49"/>
        <v>1.339285714285717E-2</v>
      </c>
      <c r="E1522" s="182">
        <v>-1.0781224083596204E-3</v>
      </c>
      <c r="F1522" s="168"/>
      <c r="G1522" s="168">
        <v>1519</v>
      </c>
      <c r="H1522" s="183">
        <f t="shared" ca="1" si="50"/>
        <v>-3.2820007186238126E-3</v>
      </c>
      <c r="K1522" s="36"/>
    </row>
    <row r="1523" spans="2:11">
      <c r="B1523" s="36" t="s">
        <v>9511</v>
      </c>
      <c r="C1523" s="182">
        <v>884.8</v>
      </c>
      <c r="D1523" s="182">
        <f t="shared" si="49"/>
        <v>-1.1451874196972236E-2</v>
      </c>
      <c r="E1523" s="182">
        <v>-1.1090216500314295E-3</v>
      </c>
      <c r="F1523" s="168"/>
      <c r="G1523" s="168">
        <v>1520</v>
      </c>
      <c r="H1523" s="183">
        <f t="shared" ca="1" si="50"/>
        <v>-2.88980515059144E-3</v>
      </c>
      <c r="K1523" s="36"/>
    </row>
    <row r="1524" spans="2:11">
      <c r="B1524" s="36" t="s">
        <v>9512</v>
      </c>
      <c r="C1524" s="182">
        <v>895.05</v>
      </c>
      <c r="D1524" s="182">
        <f t="shared" si="49"/>
        <v>-5.3894877208578986E-3</v>
      </c>
      <c r="E1524" s="182">
        <v>-1.1240739163757751E-3</v>
      </c>
      <c r="F1524" s="168"/>
      <c r="G1524" s="168">
        <v>1521</v>
      </c>
      <c r="H1524" s="183">
        <f t="shared" ca="1" si="50"/>
        <v>-1.344801049819332E-2</v>
      </c>
      <c r="K1524" s="36"/>
    </row>
    <row r="1525" spans="2:11">
      <c r="B1525" s="36" t="s">
        <v>9513</v>
      </c>
      <c r="C1525" s="182">
        <v>899.9</v>
      </c>
      <c r="D1525" s="182">
        <f t="shared" si="49"/>
        <v>-2.8605354058721937E-2</v>
      </c>
      <c r="E1525" s="182">
        <v>-1.124437781109417E-3</v>
      </c>
      <c r="F1525" s="168"/>
      <c r="G1525" s="168">
        <v>1522</v>
      </c>
      <c r="H1525" s="183">
        <f t="shared" ca="1" si="50"/>
        <v>2.2006261023188103E-3</v>
      </c>
      <c r="K1525" s="36"/>
    </row>
    <row r="1526" spans="2:11">
      <c r="B1526" s="36">
        <v>44171</v>
      </c>
      <c r="C1526" s="182">
        <v>926.4</v>
      </c>
      <c r="D1526" s="182">
        <f t="shared" si="49"/>
        <v>-4.3527325487667991E-3</v>
      </c>
      <c r="E1526" s="182">
        <v>-1.1327455302474507E-3</v>
      </c>
      <c r="F1526" s="168"/>
      <c r="G1526" s="168">
        <v>1523</v>
      </c>
      <c r="H1526" s="183">
        <f t="shared" ca="1" si="50"/>
        <v>1.2420836940521228E-3</v>
      </c>
      <c r="K1526" s="36"/>
    </row>
    <row r="1527" spans="2:11">
      <c r="B1527" s="36">
        <v>44141</v>
      </c>
      <c r="C1527" s="182">
        <v>930.45</v>
      </c>
      <c r="D1527" s="182">
        <f t="shared" si="49"/>
        <v>-1.7009138450161016E-2</v>
      </c>
      <c r="E1527" s="182">
        <v>-1.1338086361626606E-3</v>
      </c>
      <c r="F1527" s="168"/>
      <c r="G1527" s="168">
        <v>1524</v>
      </c>
      <c r="H1527" s="183">
        <f t="shared" ca="1" si="50"/>
        <v>1.1275372223604795E-3</v>
      </c>
      <c r="K1527" s="36"/>
    </row>
    <row r="1528" spans="2:11">
      <c r="B1528" s="36">
        <v>44110</v>
      </c>
      <c r="C1528" s="182">
        <v>946.55</v>
      </c>
      <c r="D1528" s="182">
        <f t="shared" si="49"/>
        <v>-7.0806671561942725E-3</v>
      </c>
      <c r="E1528" s="182">
        <v>-1.1382113821138951E-3</v>
      </c>
      <c r="F1528" s="168"/>
      <c r="G1528" s="168">
        <v>1525</v>
      </c>
      <c r="H1528" s="183">
        <f t="shared" ca="1" si="50"/>
        <v>6.3981764733690855E-3</v>
      </c>
      <c r="K1528" s="36"/>
    </row>
    <row r="1529" spans="2:11">
      <c r="B1529" s="36">
        <v>44080</v>
      </c>
      <c r="C1529" s="182">
        <v>953.3</v>
      </c>
      <c r="D1529" s="182">
        <f t="shared" si="49"/>
        <v>-8.3736412336818718E-3</v>
      </c>
      <c r="E1529" s="182">
        <v>-1.148811546365122E-3</v>
      </c>
      <c r="F1529" s="168"/>
      <c r="G1529" s="168">
        <v>1526</v>
      </c>
      <c r="H1529" s="183">
        <f t="shared" ca="1" si="50"/>
        <v>-2.269442987279565E-2</v>
      </c>
      <c r="K1529" s="36"/>
    </row>
    <row r="1530" spans="2:11">
      <c r="B1530" s="36">
        <v>44049</v>
      </c>
      <c r="C1530" s="182">
        <v>961.35</v>
      </c>
      <c r="D1530" s="182">
        <f t="shared" si="49"/>
        <v>6.3857628892960193E-3</v>
      </c>
      <c r="E1530" s="182">
        <v>-1.1588001961046082E-3</v>
      </c>
      <c r="F1530" s="168"/>
      <c r="G1530" s="168">
        <v>1527</v>
      </c>
      <c r="H1530" s="183">
        <f t="shared" ca="1" si="50"/>
        <v>-1.0750124856641279E-2</v>
      </c>
      <c r="K1530" s="36"/>
    </row>
    <row r="1531" spans="2:11">
      <c r="B1531" s="36">
        <v>43957</v>
      </c>
      <c r="C1531" s="182">
        <v>955.25</v>
      </c>
      <c r="D1531" s="182">
        <f t="shared" si="49"/>
        <v>2.6377995057483564E-2</v>
      </c>
      <c r="E1531" s="182">
        <v>-1.1734506784011067E-3</v>
      </c>
      <c r="F1531" s="168"/>
      <c r="G1531" s="168">
        <v>1528</v>
      </c>
      <c r="H1531" s="183">
        <f t="shared" ca="1" si="50"/>
        <v>2.2446478877250778E-2</v>
      </c>
      <c r="K1531" s="36"/>
    </row>
    <row r="1532" spans="2:11">
      <c r="B1532" s="36">
        <v>43927</v>
      </c>
      <c r="C1532" s="182">
        <v>930.7</v>
      </c>
      <c r="D1532" s="182">
        <f t="shared" si="49"/>
        <v>-3.1831894309788736E-2</v>
      </c>
      <c r="E1532" s="182">
        <v>-1.1849882223731296E-3</v>
      </c>
      <c r="F1532" s="168"/>
      <c r="G1532" s="168">
        <v>1529</v>
      </c>
      <c r="H1532" s="183">
        <f t="shared" ca="1" si="50"/>
        <v>2.8306301121662755E-2</v>
      </c>
      <c r="K1532" s="36"/>
    </row>
    <row r="1533" spans="2:11">
      <c r="B1533" s="36">
        <v>43896</v>
      </c>
      <c r="C1533" s="182">
        <v>961.3</v>
      </c>
      <c r="D1533" s="182">
        <f t="shared" si="49"/>
        <v>1.6764503675498341E-2</v>
      </c>
      <c r="E1533" s="182">
        <v>-1.1891313395564539E-3</v>
      </c>
      <c r="F1533" s="168"/>
      <c r="G1533" s="168">
        <v>1530</v>
      </c>
      <c r="H1533" s="183">
        <f t="shared" ca="1" si="50"/>
        <v>1.2146824075638866E-3</v>
      </c>
      <c r="K1533" s="36"/>
    </row>
    <row r="1534" spans="2:11">
      <c r="B1534" s="36">
        <v>43867</v>
      </c>
      <c r="C1534" s="182">
        <v>945.45</v>
      </c>
      <c r="D1534" s="182">
        <f t="shared" si="49"/>
        <v>1.8639228572967806E-2</v>
      </c>
      <c r="E1534" s="182">
        <v>-1.2323333461700691E-3</v>
      </c>
      <c r="F1534" s="168"/>
      <c r="G1534" s="168">
        <v>1531</v>
      </c>
      <c r="H1534" s="183">
        <f t="shared" ca="1" si="50"/>
        <v>1.8918631591834139E-2</v>
      </c>
      <c r="K1534" s="36"/>
    </row>
    <row r="1535" spans="2:11">
      <c r="B1535" s="36">
        <v>43836</v>
      </c>
      <c r="C1535" s="182">
        <v>928.15</v>
      </c>
      <c r="D1535" s="182">
        <f t="shared" si="49"/>
        <v>-4.397961920085838E-3</v>
      </c>
      <c r="E1535" s="182">
        <v>-1.2358393408856536E-3</v>
      </c>
      <c r="F1535" s="168"/>
      <c r="G1535" s="168">
        <v>1532</v>
      </c>
      <c r="H1535" s="183">
        <f t="shared" ca="1" si="50"/>
        <v>-1.0961461371124855E-2</v>
      </c>
      <c r="K1535" s="36"/>
    </row>
    <row r="1536" spans="2:11">
      <c r="B1536" s="36" t="s">
        <v>9514</v>
      </c>
      <c r="C1536" s="182">
        <v>932.25</v>
      </c>
      <c r="D1536" s="182">
        <f t="shared" si="49"/>
        <v>2.9541689674213143E-2</v>
      </c>
      <c r="E1536" s="182">
        <v>-1.2359460968024516E-3</v>
      </c>
      <c r="F1536" s="168"/>
      <c r="G1536" s="168">
        <v>1533</v>
      </c>
      <c r="H1536" s="183">
        <f t="shared" ca="1" si="50"/>
        <v>-4.1770992557176676E-3</v>
      </c>
      <c r="K1536" s="36"/>
    </row>
    <row r="1537" spans="2:11">
      <c r="B1537" s="36" t="s">
        <v>9515</v>
      </c>
      <c r="C1537" s="182">
        <v>905.5</v>
      </c>
      <c r="D1537" s="182">
        <f t="shared" si="49"/>
        <v>6.4229887759299498E-2</v>
      </c>
      <c r="E1537" s="182">
        <v>-1.2386968908708038E-3</v>
      </c>
      <c r="F1537" s="168"/>
      <c r="G1537" s="168">
        <v>1534</v>
      </c>
      <c r="H1537" s="183">
        <f t="shared" ca="1" si="50"/>
        <v>5.9720248679603974E-3</v>
      </c>
      <c r="K1537" s="36"/>
    </row>
    <row r="1538" spans="2:11">
      <c r="B1538" s="36" t="s">
        <v>9516</v>
      </c>
      <c r="C1538" s="182">
        <v>850.85</v>
      </c>
      <c r="D1538" s="182">
        <f t="shared" si="49"/>
        <v>3.0646235842771569E-2</v>
      </c>
      <c r="E1538" s="182">
        <v>-1.2616201859230352E-3</v>
      </c>
      <c r="F1538" s="168"/>
      <c r="G1538" s="168">
        <v>1535</v>
      </c>
      <c r="H1538" s="183">
        <f t="shared" ca="1" si="50"/>
        <v>2.1023055723127845E-2</v>
      </c>
      <c r="K1538" s="36"/>
    </row>
    <row r="1539" spans="2:11">
      <c r="B1539" s="36" t="s">
        <v>9517</v>
      </c>
      <c r="C1539" s="182">
        <v>825.55</v>
      </c>
      <c r="D1539" s="182">
        <f t="shared" si="49"/>
        <v>1.2075517960034214E-2</v>
      </c>
      <c r="E1539" s="182">
        <v>-1.2619067003174749E-3</v>
      </c>
      <c r="F1539" s="168"/>
      <c r="G1539" s="168">
        <v>1536</v>
      </c>
      <c r="H1539" s="183">
        <f t="shared" ca="1" si="50"/>
        <v>-2.3210548129341011E-2</v>
      </c>
      <c r="K1539" s="36"/>
    </row>
    <row r="1540" spans="2:11">
      <c r="B1540" s="36" t="s">
        <v>9518</v>
      </c>
      <c r="C1540" s="182">
        <v>815.7</v>
      </c>
      <c r="D1540" s="182">
        <f t="shared" ref="D1540:D1603" si="51">(C1540-C1541)/C1541</f>
        <v>-5.8500914076781898E-3</v>
      </c>
      <c r="E1540" s="182">
        <v>-1.2657806202324132E-3</v>
      </c>
      <c r="F1540" s="168"/>
      <c r="G1540" s="168">
        <v>1537</v>
      </c>
      <c r="H1540" s="183">
        <f t="shared" ca="1" si="50"/>
        <v>2.1945838237532916E-2</v>
      </c>
      <c r="K1540" s="36"/>
    </row>
    <row r="1541" spans="2:11">
      <c r="B1541" s="36" t="s">
        <v>9519</v>
      </c>
      <c r="C1541" s="182">
        <v>820.5</v>
      </c>
      <c r="D1541" s="182">
        <f t="shared" si="51"/>
        <v>-1.7365269461077845E-2</v>
      </c>
      <c r="E1541" s="182">
        <v>-1.2739133299653567E-3</v>
      </c>
      <c r="F1541" s="168"/>
      <c r="G1541" s="168">
        <v>1538</v>
      </c>
      <c r="H1541" s="183">
        <f t="shared" ref="H1541:H1604" ca="1" si="52">_xlfn.NORM.INV(RAND(),N$6,N$7)</f>
        <v>-1.5286372648139538E-2</v>
      </c>
      <c r="K1541" s="36"/>
    </row>
    <row r="1542" spans="2:11">
      <c r="B1542" s="36" t="s">
        <v>9520</v>
      </c>
      <c r="C1542" s="182">
        <v>835</v>
      </c>
      <c r="D1542" s="182">
        <f t="shared" si="51"/>
        <v>4.8533936083380393E-2</v>
      </c>
      <c r="E1542" s="182">
        <v>-1.2824006540243336E-3</v>
      </c>
      <c r="F1542" s="168"/>
      <c r="G1542" s="168">
        <v>1539</v>
      </c>
      <c r="H1542" s="183">
        <f t="shared" ca="1" si="52"/>
        <v>1.2500654857662642E-2</v>
      </c>
      <c r="K1542" s="36"/>
    </row>
    <row r="1543" spans="2:11">
      <c r="B1543" s="36" t="s">
        <v>9521</v>
      </c>
      <c r="C1543" s="182">
        <v>796.35</v>
      </c>
      <c r="D1543" s="182">
        <f t="shared" si="51"/>
        <v>-2.0901211040757362E-2</v>
      </c>
      <c r="E1543" s="182">
        <v>-1.2838306731435872E-3</v>
      </c>
      <c r="F1543" s="168"/>
      <c r="G1543" s="168">
        <v>1540</v>
      </c>
      <c r="H1543" s="183">
        <f t="shared" ca="1" si="52"/>
        <v>-3.2156334991827476E-2</v>
      </c>
      <c r="K1543" s="36"/>
    </row>
    <row r="1544" spans="2:11">
      <c r="B1544" s="36" t="s">
        <v>9522</v>
      </c>
      <c r="C1544" s="182">
        <v>813.35</v>
      </c>
      <c r="D1544" s="182">
        <f t="shared" si="51"/>
        <v>-5.9058306339657515E-2</v>
      </c>
      <c r="E1544" s="182">
        <v>-1.2842151610772731E-3</v>
      </c>
      <c r="F1544" s="168"/>
      <c r="G1544" s="168">
        <v>1541</v>
      </c>
      <c r="H1544" s="183">
        <f t="shared" ca="1" si="52"/>
        <v>3.8031067347195717E-3</v>
      </c>
      <c r="K1544" s="36"/>
    </row>
    <row r="1545" spans="2:11">
      <c r="B1545" s="36" t="s">
        <v>9523</v>
      </c>
      <c r="C1545" s="182">
        <v>864.4</v>
      </c>
      <c r="D1545" s="182">
        <f t="shared" si="51"/>
        <v>-8.3175586531291229E-3</v>
      </c>
      <c r="E1545" s="182">
        <v>-1.2922082916698157E-3</v>
      </c>
      <c r="F1545" s="168"/>
      <c r="G1545" s="168">
        <v>1542</v>
      </c>
      <c r="H1545" s="183">
        <f t="shared" ca="1" si="52"/>
        <v>1.6651158904198392E-2</v>
      </c>
      <c r="K1545" s="36"/>
    </row>
    <row r="1546" spans="2:11">
      <c r="B1546" s="36" t="s">
        <v>9524</v>
      </c>
      <c r="C1546" s="182">
        <v>871.65</v>
      </c>
      <c r="D1546" s="182">
        <f t="shared" si="51"/>
        <v>1.0140224823270368E-2</v>
      </c>
      <c r="E1546" s="182">
        <v>-1.3086184068725559E-3</v>
      </c>
      <c r="F1546" s="168"/>
      <c r="G1546" s="168">
        <v>1543</v>
      </c>
      <c r="H1546" s="183">
        <f t="shared" ca="1" si="52"/>
        <v>-1.1279393741011674E-2</v>
      </c>
      <c r="K1546" s="36"/>
    </row>
    <row r="1547" spans="2:11">
      <c r="B1547" s="36" t="s">
        <v>9525</v>
      </c>
      <c r="C1547" s="182">
        <v>862.9</v>
      </c>
      <c r="D1547" s="182">
        <f t="shared" si="51"/>
        <v>5.9032891507118344E-2</v>
      </c>
      <c r="E1547" s="182">
        <v>-1.3115014704712373E-3</v>
      </c>
      <c r="F1547" s="168"/>
      <c r="G1547" s="168">
        <v>1544</v>
      </c>
      <c r="H1547" s="183">
        <f t="shared" ca="1" si="52"/>
        <v>3.3052761248552158E-3</v>
      </c>
      <c r="K1547" s="36"/>
    </row>
    <row r="1548" spans="2:11">
      <c r="B1548" s="36">
        <v>44170</v>
      </c>
      <c r="C1548" s="182">
        <v>814.8</v>
      </c>
      <c r="D1548" s="182">
        <f t="shared" si="51"/>
        <v>-8.276533592989372E-3</v>
      </c>
      <c r="E1548" s="182">
        <v>-1.3159049039389418E-3</v>
      </c>
      <c r="F1548" s="168"/>
      <c r="G1548" s="168">
        <v>1545</v>
      </c>
      <c r="H1548" s="183">
        <f t="shared" ca="1" si="52"/>
        <v>5.2224080775655742E-3</v>
      </c>
      <c r="K1548" s="36"/>
    </row>
    <row r="1549" spans="2:11">
      <c r="B1549" s="36">
        <v>44140</v>
      </c>
      <c r="C1549" s="182">
        <v>821.6</v>
      </c>
      <c r="D1549" s="182">
        <f t="shared" si="51"/>
        <v>6.924443899748731E-3</v>
      </c>
      <c r="E1549" s="182">
        <v>-1.3356918522796355E-3</v>
      </c>
      <c r="F1549" s="168"/>
      <c r="G1549" s="168">
        <v>1546</v>
      </c>
      <c r="H1549" s="183">
        <f t="shared" ca="1" si="52"/>
        <v>4.307330166072109E-3</v>
      </c>
      <c r="K1549" s="36"/>
    </row>
    <row r="1550" spans="2:11">
      <c r="B1550" s="36">
        <v>44048</v>
      </c>
      <c r="C1550" s="182">
        <v>815.95</v>
      </c>
      <c r="D1550" s="182">
        <f t="shared" si="51"/>
        <v>-8.3854894573737338E-3</v>
      </c>
      <c r="E1550" s="182">
        <v>-1.337718953116885E-3</v>
      </c>
      <c r="F1550" s="168"/>
      <c r="G1550" s="168">
        <v>1547</v>
      </c>
      <c r="H1550" s="183">
        <f t="shared" ca="1" si="52"/>
        <v>2.5540190227633527E-2</v>
      </c>
      <c r="K1550" s="36"/>
    </row>
    <row r="1551" spans="2:11">
      <c r="B1551" s="36">
        <v>44017</v>
      </c>
      <c r="C1551" s="182">
        <v>822.85</v>
      </c>
      <c r="D1551" s="182">
        <f t="shared" si="51"/>
        <v>-1.7257852621521477E-2</v>
      </c>
      <c r="E1551" s="182">
        <v>-1.3417009305344769E-3</v>
      </c>
      <c r="F1551" s="168"/>
      <c r="G1551" s="168">
        <v>1548</v>
      </c>
      <c r="H1551" s="183">
        <f t="shared" ca="1" si="52"/>
        <v>-1.3555707663598152E-2</v>
      </c>
      <c r="K1551" s="36"/>
    </row>
    <row r="1552" spans="2:11">
      <c r="B1552" s="36">
        <v>43987</v>
      </c>
      <c r="C1552" s="182">
        <v>837.3</v>
      </c>
      <c r="D1552" s="182">
        <f t="shared" si="51"/>
        <v>4.7795435535903603E-4</v>
      </c>
      <c r="E1552" s="182">
        <v>-1.3671207460574102E-3</v>
      </c>
      <c r="F1552" s="168"/>
      <c r="G1552" s="168">
        <v>1549</v>
      </c>
      <c r="H1552" s="183">
        <f t="shared" ca="1" si="52"/>
        <v>2.3668376439422042E-2</v>
      </c>
      <c r="K1552" s="36"/>
    </row>
    <row r="1553" spans="2:11">
      <c r="B1553" s="36">
        <v>43956</v>
      </c>
      <c r="C1553" s="182">
        <v>836.9</v>
      </c>
      <c r="D1553" s="182">
        <f t="shared" si="51"/>
        <v>-1.6164109798389469E-2</v>
      </c>
      <c r="E1553" s="182">
        <v>-1.3872374157748713E-3</v>
      </c>
      <c r="F1553" s="168"/>
      <c r="G1553" s="168">
        <v>1550</v>
      </c>
      <c r="H1553" s="183">
        <f t="shared" ca="1" si="52"/>
        <v>-7.9983566772252809E-3</v>
      </c>
      <c r="K1553" s="36"/>
    </row>
    <row r="1554" spans="2:11">
      <c r="B1554" s="36">
        <v>43926</v>
      </c>
      <c r="C1554" s="182">
        <v>850.65</v>
      </c>
      <c r="D1554" s="182">
        <f t="shared" si="51"/>
        <v>-5.2253356358977196E-2</v>
      </c>
      <c r="E1554" s="182">
        <v>-1.3882669055082441E-3</v>
      </c>
      <c r="F1554" s="168"/>
      <c r="G1554" s="168">
        <v>1551</v>
      </c>
      <c r="H1554" s="183">
        <f t="shared" ca="1" si="52"/>
        <v>-1.1634330347818148E-3</v>
      </c>
      <c r="K1554" s="36"/>
    </row>
    <row r="1555" spans="2:11">
      <c r="B1555" s="36" t="s">
        <v>9526</v>
      </c>
      <c r="C1555" s="182">
        <v>897.55</v>
      </c>
      <c r="D1555" s="182">
        <f t="shared" si="51"/>
        <v>2.5361284057805369E-2</v>
      </c>
      <c r="E1555" s="182">
        <v>-1.3999569244023586E-3</v>
      </c>
      <c r="F1555" s="168"/>
      <c r="G1555" s="168">
        <v>1552</v>
      </c>
      <c r="H1555" s="183">
        <f t="shared" ca="1" si="52"/>
        <v>3.7980721797852331E-3</v>
      </c>
      <c r="K1555" s="36"/>
    </row>
    <row r="1556" spans="2:11">
      <c r="B1556" s="36" t="s">
        <v>9527</v>
      </c>
      <c r="C1556" s="182">
        <v>875.35</v>
      </c>
      <c r="D1556" s="182">
        <f t="shared" si="51"/>
        <v>2.1233156390363467E-2</v>
      </c>
      <c r="E1556" s="182">
        <v>-1.410814262589661E-3</v>
      </c>
      <c r="F1556" s="168"/>
      <c r="G1556" s="168">
        <v>1553</v>
      </c>
      <c r="H1556" s="183">
        <f t="shared" ca="1" si="52"/>
        <v>2.2956534507487004E-2</v>
      </c>
      <c r="K1556" s="36"/>
    </row>
    <row r="1557" spans="2:11">
      <c r="B1557" s="36" t="s">
        <v>9528</v>
      </c>
      <c r="C1557" s="182">
        <v>857.15</v>
      </c>
      <c r="D1557" s="182">
        <f t="shared" si="51"/>
        <v>2.221572639579044E-3</v>
      </c>
      <c r="E1557" s="182">
        <v>-1.4148587915441128E-3</v>
      </c>
      <c r="F1557" s="168"/>
      <c r="G1557" s="168">
        <v>1554</v>
      </c>
      <c r="H1557" s="183">
        <f t="shared" ca="1" si="52"/>
        <v>2.6615064654970721E-2</v>
      </c>
      <c r="K1557" s="36"/>
    </row>
    <row r="1558" spans="2:11">
      <c r="B1558" s="36" t="s">
        <v>9529</v>
      </c>
      <c r="C1558" s="182">
        <v>855.25</v>
      </c>
      <c r="D1558" s="182">
        <f t="shared" si="51"/>
        <v>4.7579887218044577E-3</v>
      </c>
      <c r="E1558" s="182">
        <v>-1.4309734196687296E-3</v>
      </c>
      <c r="F1558" s="168"/>
      <c r="G1558" s="168">
        <v>1555</v>
      </c>
      <c r="H1558" s="183">
        <f t="shared" ca="1" si="52"/>
        <v>-1.4047725259070274E-3</v>
      </c>
      <c r="K1558" s="36"/>
    </row>
    <row r="1559" spans="2:11">
      <c r="B1559" s="36" t="s">
        <v>9530</v>
      </c>
      <c r="C1559" s="182">
        <v>851.2</v>
      </c>
      <c r="D1559" s="182">
        <f t="shared" si="51"/>
        <v>1.2610040447299575E-2</v>
      </c>
      <c r="E1559" s="182">
        <v>-1.4376579245448209E-3</v>
      </c>
      <c r="F1559" s="168"/>
      <c r="G1559" s="168">
        <v>1556</v>
      </c>
      <c r="H1559" s="183">
        <f t="shared" ca="1" si="52"/>
        <v>-3.9839499062701202E-3</v>
      </c>
      <c r="K1559" s="36"/>
    </row>
    <row r="1560" spans="2:11">
      <c r="B1560" s="36" t="s">
        <v>9531</v>
      </c>
      <c r="C1560" s="182">
        <v>840.6</v>
      </c>
      <c r="D1560" s="182">
        <f t="shared" si="51"/>
        <v>-1.4074595355383532E-2</v>
      </c>
      <c r="E1560" s="182">
        <v>-1.4462416745956925E-3</v>
      </c>
      <c r="F1560" s="168"/>
      <c r="G1560" s="168">
        <v>1557</v>
      </c>
      <c r="H1560" s="183">
        <f t="shared" ca="1" si="52"/>
        <v>-1.6279667232065479E-2</v>
      </c>
      <c r="K1560" s="36"/>
    </row>
    <row r="1561" spans="2:11">
      <c r="B1561" s="36" t="s">
        <v>9532</v>
      </c>
      <c r="C1561" s="182">
        <v>852.6</v>
      </c>
      <c r="D1561" s="182">
        <f t="shared" si="51"/>
        <v>-2.0394094329867295E-2</v>
      </c>
      <c r="E1561" s="182">
        <v>-1.4537419317322789E-3</v>
      </c>
      <c r="F1561" s="168"/>
      <c r="G1561" s="168">
        <v>1558</v>
      </c>
      <c r="H1561" s="183">
        <f t="shared" ca="1" si="52"/>
        <v>-2.1120623572576564E-2</v>
      </c>
      <c r="K1561" s="36"/>
    </row>
    <row r="1562" spans="2:11">
      <c r="B1562" s="36" t="s">
        <v>9533</v>
      </c>
      <c r="C1562" s="182">
        <v>870.35</v>
      </c>
      <c r="D1562" s="182">
        <f t="shared" si="51"/>
        <v>-4.9421144604630839E-2</v>
      </c>
      <c r="E1562" s="182">
        <v>-1.4541721910953727E-3</v>
      </c>
      <c r="F1562" s="168"/>
      <c r="G1562" s="168">
        <v>1559</v>
      </c>
      <c r="H1562" s="183">
        <f t="shared" ca="1" si="52"/>
        <v>2.353868532266715E-2</v>
      </c>
      <c r="K1562" s="36"/>
    </row>
    <row r="1563" spans="2:11">
      <c r="B1563" s="36" t="s">
        <v>9534</v>
      </c>
      <c r="C1563" s="182">
        <v>915.6</v>
      </c>
      <c r="D1563" s="182">
        <f t="shared" si="51"/>
        <v>-1.8544324150498396E-2</v>
      </c>
      <c r="E1563" s="182">
        <v>-1.4756267173241661E-3</v>
      </c>
      <c r="F1563" s="168"/>
      <c r="G1563" s="168">
        <v>1560</v>
      </c>
      <c r="H1563" s="183">
        <f t="shared" ca="1" si="52"/>
        <v>2.073067255441585E-3</v>
      </c>
      <c r="K1563" s="36"/>
    </row>
    <row r="1564" spans="2:11">
      <c r="B1564" s="36" t="s">
        <v>9535</v>
      </c>
      <c r="C1564" s="182">
        <v>932.9</v>
      </c>
      <c r="D1564" s="182">
        <f t="shared" si="51"/>
        <v>2.3309384083804091E-2</v>
      </c>
      <c r="E1564" s="182">
        <v>-1.4790325387158913E-3</v>
      </c>
      <c r="F1564" s="168"/>
      <c r="G1564" s="168">
        <v>1561</v>
      </c>
      <c r="H1564" s="183">
        <f t="shared" ca="1" si="52"/>
        <v>-6.4685838053573702E-3</v>
      </c>
      <c r="K1564" s="36"/>
    </row>
    <row r="1565" spans="2:11">
      <c r="B1565" s="36" t="s">
        <v>9536</v>
      </c>
      <c r="C1565" s="182">
        <v>911.65</v>
      </c>
      <c r="D1565" s="182">
        <f t="shared" si="51"/>
        <v>3.5789354087371474E-2</v>
      </c>
      <c r="E1565" s="182">
        <v>-1.5175359712230471E-3</v>
      </c>
      <c r="F1565" s="168"/>
      <c r="G1565" s="168">
        <v>1562</v>
      </c>
      <c r="H1565" s="183">
        <f t="shared" ca="1" si="52"/>
        <v>-9.6623829840664262E-3</v>
      </c>
      <c r="K1565" s="36"/>
    </row>
    <row r="1566" spans="2:11">
      <c r="B1566" s="36" t="s">
        <v>9537</v>
      </c>
      <c r="C1566" s="182">
        <v>880.15</v>
      </c>
      <c r="D1566" s="182">
        <f t="shared" si="51"/>
        <v>1.6985383326593023E-2</v>
      </c>
      <c r="E1566" s="182">
        <v>-1.5224562293833668E-3</v>
      </c>
      <c r="F1566" s="168"/>
      <c r="G1566" s="168">
        <v>1563</v>
      </c>
      <c r="H1566" s="183">
        <f t="shared" ca="1" si="52"/>
        <v>5.1917917277792738E-3</v>
      </c>
      <c r="K1566" s="36"/>
    </row>
    <row r="1567" spans="2:11">
      <c r="B1567" s="36" t="s">
        <v>9538</v>
      </c>
      <c r="C1567" s="182">
        <v>865.45</v>
      </c>
      <c r="D1567" s="182">
        <f t="shared" si="51"/>
        <v>6.4776082677165475E-2</v>
      </c>
      <c r="E1567" s="182">
        <v>-1.5306444486523731E-3</v>
      </c>
      <c r="F1567" s="168"/>
      <c r="G1567" s="168">
        <v>1564</v>
      </c>
      <c r="H1567" s="183">
        <f t="shared" ca="1" si="52"/>
        <v>-1.8497318334862414E-2</v>
      </c>
      <c r="K1567" s="36"/>
    </row>
    <row r="1568" spans="2:11">
      <c r="B1568" s="36">
        <v>44078</v>
      </c>
      <c r="C1568" s="182">
        <v>812.8</v>
      </c>
      <c r="D1568" s="182">
        <f t="shared" si="51"/>
        <v>7.0623218931977838E-3</v>
      </c>
      <c r="E1568" s="182">
        <v>-1.5336863246302056E-3</v>
      </c>
      <c r="F1568" s="168"/>
      <c r="G1568" s="168">
        <v>1565</v>
      </c>
      <c r="H1568" s="183">
        <f t="shared" ca="1" si="52"/>
        <v>1.6349828259383518E-2</v>
      </c>
      <c r="K1568" s="36"/>
    </row>
    <row r="1569" spans="2:11">
      <c r="B1569" s="36">
        <v>44047</v>
      </c>
      <c r="C1569" s="182">
        <v>807.1</v>
      </c>
      <c r="D1569" s="182">
        <f t="shared" si="51"/>
        <v>6.798478138838702E-3</v>
      </c>
      <c r="E1569" s="182">
        <v>-1.542317331791016E-3</v>
      </c>
      <c r="F1569" s="168"/>
      <c r="G1569" s="168">
        <v>1566</v>
      </c>
      <c r="H1569" s="183">
        <f t="shared" ca="1" si="52"/>
        <v>2.2723203321177009E-2</v>
      </c>
      <c r="K1569" s="36"/>
    </row>
    <row r="1570" spans="2:11">
      <c r="B1570" s="36">
        <v>44016</v>
      </c>
      <c r="C1570" s="182">
        <v>801.65</v>
      </c>
      <c r="D1570" s="182">
        <f t="shared" si="51"/>
        <v>3.4854450396953465E-2</v>
      </c>
      <c r="E1570" s="182">
        <v>-1.5451669800732298E-3</v>
      </c>
      <c r="F1570" s="168"/>
      <c r="G1570" s="168">
        <v>1567</v>
      </c>
      <c r="H1570" s="183">
        <f t="shared" ca="1" si="52"/>
        <v>2.423377875893731E-2</v>
      </c>
      <c r="K1570" s="36"/>
    </row>
    <row r="1571" spans="2:11">
      <c r="B1571" s="36">
        <v>43894</v>
      </c>
      <c r="C1571" s="182">
        <v>774.65</v>
      </c>
      <c r="D1571" s="182">
        <f t="shared" si="51"/>
        <v>3.8742170852967589E-4</v>
      </c>
      <c r="E1571" s="182">
        <v>-1.5533739281719894E-3</v>
      </c>
      <c r="F1571" s="168"/>
      <c r="G1571" s="168">
        <v>1568</v>
      </c>
      <c r="H1571" s="183">
        <f t="shared" ca="1" si="52"/>
        <v>1.597455975882282E-2</v>
      </c>
      <c r="K1571" s="36"/>
    </row>
    <row r="1572" spans="2:11">
      <c r="B1572" s="36">
        <v>43834</v>
      </c>
      <c r="C1572" s="182">
        <v>774.35</v>
      </c>
      <c r="D1572" s="182">
        <f t="shared" si="51"/>
        <v>-4.2238713667285065E-2</v>
      </c>
      <c r="E1572" s="182">
        <v>-1.5593326056447842E-3</v>
      </c>
      <c r="F1572" s="168"/>
      <c r="G1572" s="168">
        <v>1569</v>
      </c>
      <c r="H1572" s="183">
        <f t="shared" ca="1" si="52"/>
        <v>1.2762009112355005E-2</v>
      </c>
      <c r="K1572" s="36"/>
    </row>
    <row r="1573" spans="2:11">
      <c r="B1573" s="36" t="s">
        <v>9539</v>
      </c>
      <c r="C1573" s="182">
        <v>808.5</v>
      </c>
      <c r="D1573" s="182">
        <f t="shared" si="51"/>
        <v>1.2333312464784352E-2</v>
      </c>
      <c r="E1573" s="182">
        <v>-1.5616010520260466E-3</v>
      </c>
      <c r="F1573" s="168"/>
      <c r="G1573" s="168">
        <v>1570</v>
      </c>
      <c r="H1573" s="183">
        <f t="shared" ca="1" si="52"/>
        <v>1.3172039319127773E-2</v>
      </c>
      <c r="K1573" s="36"/>
    </row>
    <row r="1574" spans="2:11">
      <c r="B1574" s="36" t="s">
        <v>9540</v>
      </c>
      <c r="C1574" s="182">
        <v>798.65</v>
      </c>
      <c r="D1574" s="182">
        <f t="shared" si="51"/>
        <v>-4.5875395735021779E-2</v>
      </c>
      <c r="E1574" s="182">
        <v>-1.569802704341964E-3</v>
      </c>
      <c r="F1574" s="168"/>
      <c r="G1574" s="168">
        <v>1571</v>
      </c>
      <c r="H1574" s="183">
        <f t="shared" ca="1" si="52"/>
        <v>8.7656898992594587E-3</v>
      </c>
      <c r="K1574" s="36"/>
    </row>
    <row r="1575" spans="2:11">
      <c r="B1575" s="36" t="s">
        <v>9541</v>
      </c>
      <c r="C1575" s="182">
        <v>837.05</v>
      </c>
      <c r="D1575" s="182">
        <f t="shared" si="51"/>
        <v>-1.1336515513127034E-3</v>
      </c>
      <c r="E1575" s="182">
        <v>-1.5822784810126233E-3</v>
      </c>
      <c r="F1575" s="168"/>
      <c r="G1575" s="168">
        <v>1572</v>
      </c>
      <c r="H1575" s="183">
        <f t="shared" ca="1" si="52"/>
        <v>8.0367365328858111E-3</v>
      </c>
      <c r="K1575" s="36"/>
    </row>
    <row r="1576" spans="2:11">
      <c r="B1576" s="36" t="s">
        <v>9542</v>
      </c>
      <c r="C1576" s="182">
        <v>838</v>
      </c>
      <c r="D1576" s="182">
        <f t="shared" si="51"/>
        <v>9.4351942539993475E-2</v>
      </c>
      <c r="E1576" s="182">
        <v>-1.595461797553713E-3</v>
      </c>
      <c r="F1576" s="168"/>
      <c r="G1576" s="168">
        <v>1573</v>
      </c>
      <c r="H1576" s="183">
        <f t="shared" ca="1" si="52"/>
        <v>-2.1280268344502067E-3</v>
      </c>
      <c r="K1576" s="36"/>
    </row>
    <row r="1577" spans="2:11">
      <c r="B1577" s="36" t="s">
        <v>9543</v>
      </c>
      <c r="C1577" s="182">
        <v>765.75</v>
      </c>
      <c r="D1577" s="182">
        <f t="shared" si="51"/>
        <v>8.172058200310782E-2</v>
      </c>
      <c r="E1577" s="182">
        <v>-1.5988246478263843E-3</v>
      </c>
      <c r="F1577" s="168"/>
      <c r="G1577" s="168">
        <v>1574</v>
      </c>
      <c r="H1577" s="183">
        <f t="shared" ca="1" si="52"/>
        <v>-2.7355500412896911E-3</v>
      </c>
      <c r="K1577" s="36"/>
    </row>
    <row r="1578" spans="2:11">
      <c r="B1578" s="36" t="s">
        <v>9544</v>
      </c>
      <c r="C1578" s="182">
        <v>707.9</v>
      </c>
      <c r="D1578" s="182">
        <f t="shared" si="51"/>
        <v>-2.2305089427525692E-2</v>
      </c>
      <c r="E1578" s="182">
        <v>-1.6087677844251779E-3</v>
      </c>
      <c r="F1578" s="168"/>
      <c r="G1578" s="168">
        <v>1575</v>
      </c>
      <c r="H1578" s="183">
        <f t="shared" ca="1" si="52"/>
        <v>5.2126675815241524E-3</v>
      </c>
      <c r="K1578" s="36"/>
    </row>
    <row r="1579" spans="2:11">
      <c r="B1579" s="36" t="s">
        <v>9545</v>
      </c>
      <c r="C1579" s="182">
        <v>724.05</v>
      </c>
      <c r="D1579" s="182">
        <f t="shared" si="51"/>
        <v>-0.16265756909910961</v>
      </c>
      <c r="E1579" s="182">
        <v>-1.617051422235227E-3</v>
      </c>
      <c r="F1579" s="168"/>
      <c r="G1579" s="168">
        <v>1576</v>
      </c>
      <c r="H1579" s="183">
        <f t="shared" ca="1" si="52"/>
        <v>6.6938009852262371E-3</v>
      </c>
      <c r="K1579" s="36"/>
    </row>
    <row r="1580" spans="2:11">
      <c r="B1580" s="36" t="s">
        <v>9546</v>
      </c>
      <c r="C1580" s="182">
        <v>864.7</v>
      </c>
      <c r="D1580" s="182">
        <f t="shared" si="51"/>
        <v>2.5619736686039642E-2</v>
      </c>
      <c r="E1580" s="182">
        <v>-1.6195268667940203E-3</v>
      </c>
      <c r="F1580" s="168"/>
      <c r="G1580" s="168">
        <v>1577</v>
      </c>
      <c r="H1580" s="183">
        <f t="shared" ca="1" si="52"/>
        <v>-1.1427189783094101E-2</v>
      </c>
      <c r="K1580" s="36"/>
    </row>
    <row r="1581" spans="2:11">
      <c r="B1581" s="36" t="s">
        <v>9547</v>
      </c>
      <c r="C1581" s="182">
        <v>843.1</v>
      </c>
      <c r="D1581" s="182">
        <f t="shared" si="51"/>
        <v>-6.7934331988281388E-2</v>
      </c>
      <c r="E1581" s="182">
        <v>-1.639680262348842E-3</v>
      </c>
      <c r="F1581" s="168"/>
      <c r="G1581" s="168">
        <v>1578</v>
      </c>
      <c r="H1581" s="183">
        <f t="shared" ca="1" si="52"/>
        <v>1.4795299555835306E-2</v>
      </c>
      <c r="K1581" s="36"/>
    </row>
    <row r="1582" spans="2:11">
      <c r="B1582" s="36" t="s">
        <v>9548</v>
      </c>
      <c r="C1582" s="182">
        <v>904.55</v>
      </c>
      <c r="D1582" s="182">
        <f t="shared" si="51"/>
        <v>-5.4559707342566023E-2</v>
      </c>
      <c r="E1582" s="182">
        <v>-1.6404199475065617E-3</v>
      </c>
      <c r="F1582" s="168"/>
      <c r="G1582" s="168">
        <v>1579</v>
      </c>
      <c r="H1582" s="183">
        <f t="shared" ca="1" si="52"/>
        <v>4.8481484463185022E-3</v>
      </c>
      <c r="K1582" s="36"/>
    </row>
    <row r="1583" spans="2:11">
      <c r="B1583" s="36" t="s">
        <v>9549</v>
      </c>
      <c r="C1583" s="182">
        <v>956.75</v>
      </c>
      <c r="D1583" s="182">
        <f t="shared" si="51"/>
        <v>-1.2336120573965154E-2</v>
      </c>
      <c r="E1583" s="182">
        <v>-1.6495919430455494E-3</v>
      </c>
      <c r="F1583" s="168"/>
      <c r="G1583" s="168">
        <v>1580</v>
      </c>
      <c r="H1583" s="183">
        <f t="shared" ca="1" si="52"/>
        <v>4.7155056220769117E-3</v>
      </c>
      <c r="K1583" s="36"/>
    </row>
    <row r="1584" spans="2:11">
      <c r="B1584" s="36" t="s">
        <v>9550</v>
      </c>
      <c r="C1584" s="182">
        <v>968.7</v>
      </c>
      <c r="D1584" s="182">
        <f t="shared" si="51"/>
        <v>-7.8700841694802418E-2</v>
      </c>
      <c r="E1584" s="182">
        <v>-1.6504183618638911E-3</v>
      </c>
      <c r="F1584" s="168"/>
      <c r="G1584" s="168">
        <v>1581</v>
      </c>
      <c r="H1584" s="183">
        <f t="shared" ca="1" si="52"/>
        <v>1.7187454738860276E-2</v>
      </c>
      <c r="K1584" s="36"/>
    </row>
    <row r="1585" spans="2:11">
      <c r="B1585" s="36" t="s">
        <v>9551</v>
      </c>
      <c r="C1585" s="182">
        <v>1051.45</v>
      </c>
      <c r="D1585" s="182">
        <f t="shared" si="51"/>
        <v>3.433180856819644E-2</v>
      </c>
      <c r="E1585" s="182">
        <v>-1.6603729226971778E-3</v>
      </c>
      <c r="F1585" s="168"/>
      <c r="G1585" s="168">
        <v>1582</v>
      </c>
      <c r="H1585" s="183">
        <f t="shared" ca="1" si="52"/>
        <v>2.9019632066039493E-2</v>
      </c>
      <c r="K1585" s="36"/>
    </row>
    <row r="1586" spans="2:11">
      <c r="B1586" s="36">
        <v>44168</v>
      </c>
      <c r="C1586" s="182">
        <v>1016.55</v>
      </c>
      <c r="D1586" s="182">
        <f t="shared" si="51"/>
        <v>-8.9887640449438283E-2</v>
      </c>
      <c r="E1586" s="182">
        <v>-1.6691657000593081E-3</v>
      </c>
      <c r="F1586" s="168"/>
      <c r="G1586" s="168">
        <v>1583</v>
      </c>
      <c r="H1586" s="183">
        <f t="shared" ca="1" si="52"/>
        <v>1.4339494182552547E-2</v>
      </c>
      <c r="K1586" s="36"/>
    </row>
    <row r="1587" spans="2:11">
      <c r="B1587" s="36">
        <v>44138</v>
      </c>
      <c r="C1587" s="182">
        <v>1116.95</v>
      </c>
      <c r="D1587" s="182">
        <f t="shared" si="51"/>
        <v>1.3612232859930124E-2</v>
      </c>
      <c r="E1587" s="182">
        <v>-1.6783135842121989E-3</v>
      </c>
      <c r="F1587" s="168"/>
      <c r="G1587" s="168">
        <v>1584</v>
      </c>
      <c r="H1587" s="183">
        <f t="shared" ca="1" si="52"/>
        <v>7.9552460508174119E-3</v>
      </c>
      <c r="K1587" s="36"/>
    </row>
    <row r="1588" spans="2:11">
      <c r="B1588" s="36">
        <v>44077</v>
      </c>
      <c r="C1588" s="182">
        <v>1101.95</v>
      </c>
      <c r="D1588" s="182">
        <f t="shared" si="51"/>
        <v>-4.9141427215462975E-2</v>
      </c>
      <c r="E1588" s="182">
        <v>-1.6982974567995583E-3</v>
      </c>
      <c r="F1588" s="168"/>
      <c r="G1588" s="168">
        <v>1585</v>
      </c>
      <c r="H1588" s="183">
        <f t="shared" ca="1" si="52"/>
        <v>-2.1415835334214752E-3</v>
      </c>
      <c r="K1588" s="36"/>
    </row>
    <row r="1589" spans="2:11">
      <c r="B1589" s="36">
        <v>43985</v>
      </c>
      <c r="C1589" s="182">
        <v>1158.9000000000001</v>
      </c>
      <c r="D1589" s="182">
        <f t="shared" si="51"/>
        <v>-1.9916275529620664E-2</v>
      </c>
      <c r="E1589" s="182">
        <v>-1.7016621592877053E-3</v>
      </c>
      <c r="F1589" s="168"/>
      <c r="G1589" s="168">
        <v>1586</v>
      </c>
      <c r="H1589" s="183">
        <f t="shared" ca="1" si="52"/>
        <v>8.3803569857493817E-3</v>
      </c>
      <c r="K1589" s="36"/>
    </row>
    <row r="1590" spans="2:11">
      <c r="B1590" s="36">
        <v>43954</v>
      </c>
      <c r="C1590" s="182">
        <v>1182.45</v>
      </c>
      <c r="D1590" s="182">
        <f t="shared" si="51"/>
        <v>4.9292482896357917E-3</v>
      </c>
      <c r="E1590" s="182">
        <v>-1.7073811400053595E-3</v>
      </c>
      <c r="F1590" s="168"/>
      <c r="G1590" s="168">
        <v>1587</v>
      </c>
      <c r="H1590" s="183">
        <f t="shared" ca="1" si="52"/>
        <v>-1.9432580896782157E-2</v>
      </c>
      <c r="K1590" s="36"/>
    </row>
    <row r="1591" spans="2:11">
      <c r="B1591" s="36">
        <v>43924</v>
      </c>
      <c r="C1591" s="182">
        <v>1176.6500000000001</v>
      </c>
      <c r="D1591" s="182">
        <f t="shared" si="51"/>
        <v>-3.9363413188858581E-3</v>
      </c>
      <c r="E1591" s="182">
        <v>-1.7092598738798841E-3</v>
      </c>
      <c r="F1591" s="168"/>
      <c r="G1591" s="168">
        <v>1588</v>
      </c>
      <c r="H1591" s="183">
        <f t="shared" ca="1" si="52"/>
        <v>1.3064049217429178E-4</v>
      </c>
      <c r="K1591" s="36"/>
    </row>
    <row r="1592" spans="2:11">
      <c r="B1592" s="36">
        <v>43893</v>
      </c>
      <c r="C1592" s="182">
        <v>1181.3</v>
      </c>
      <c r="D1592" s="182">
        <f t="shared" si="51"/>
        <v>1.7572573003703903E-2</v>
      </c>
      <c r="E1592" s="182">
        <v>-1.7121375665313989E-3</v>
      </c>
      <c r="F1592" s="168"/>
      <c r="G1592" s="168">
        <v>1589</v>
      </c>
      <c r="H1592" s="183">
        <f t="shared" ca="1" si="52"/>
        <v>-9.8388939595138065E-3</v>
      </c>
      <c r="K1592" s="36"/>
    </row>
    <row r="1593" spans="2:11">
      <c r="B1593" s="36">
        <v>43864</v>
      </c>
      <c r="C1593" s="182">
        <v>1160.9000000000001</v>
      </c>
      <c r="D1593" s="182">
        <f t="shared" si="51"/>
        <v>-2.2441160372194742E-2</v>
      </c>
      <c r="E1593" s="182">
        <v>-1.717812845746256E-3</v>
      </c>
      <c r="F1593" s="168"/>
      <c r="G1593" s="168">
        <v>1590</v>
      </c>
      <c r="H1593" s="183">
        <f t="shared" ca="1" si="52"/>
        <v>-4.1487407332078509E-3</v>
      </c>
      <c r="K1593" s="36"/>
    </row>
    <row r="1594" spans="2:11">
      <c r="B1594" s="36" t="s">
        <v>9552</v>
      </c>
      <c r="C1594" s="182">
        <v>1187.55</v>
      </c>
      <c r="D1594" s="182">
        <f t="shared" si="51"/>
        <v>-1.8837526335357506E-2</v>
      </c>
      <c r="E1594" s="182">
        <v>-1.7184401850627291E-3</v>
      </c>
      <c r="F1594" s="168"/>
      <c r="G1594" s="168">
        <v>1591</v>
      </c>
      <c r="H1594" s="183">
        <f t="shared" ca="1" si="52"/>
        <v>1.4590917643231956E-2</v>
      </c>
      <c r="K1594" s="36"/>
    </row>
    <row r="1595" spans="2:11">
      <c r="B1595" s="36" t="s">
        <v>9553</v>
      </c>
      <c r="C1595" s="182">
        <v>1210.3499999999999</v>
      </c>
      <c r="D1595" s="182">
        <f t="shared" si="51"/>
        <v>-6.6052924906096009E-4</v>
      </c>
      <c r="E1595" s="182">
        <v>-1.7376194613379161E-3</v>
      </c>
      <c r="F1595" s="168"/>
      <c r="G1595" s="168">
        <v>1592</v>
      </c>
      <c r="H1595" s="183">
        <f t="shared" ca="1" si="52"/>
        <v>1.8599785437529014E-2</v>
      </c>
      <c r="K1595" s="36"/>
    </row>
    <row r="1596" spans="2:11">
      <c r="B1596" s="36" t="s">
        <v>9554</v>
      </c>
      <c r="C1596" s="182">
        <v>1211.1500000000001</v>
      </c>
      <c r="D1596" s="182">
        <f t="shared" si="51"/>
        <v>-2.4878225514270654E-2</v>
      </c>
      <c r="E1596" s="182">
        <v>-1.7499343774608452E-3</v>
      </c>
      <c r="F1596" s="168"/>
      <c r="G1596" s="168">
        <v>1593</v>
      </c>
      <c r="H1596" s="183">
        <f t="shared" ca="1" si="52"/>
        <v>6.0997582366820648E-3</v>
      </c>
      <c r="K1596" s="36"/>
    </row>
    <row r="1597" spans="2:11">
      <c r="B1597" s="36" t="s">
        <v>9555</v>
      </c>
      <c r="C1597" s="182">
        <v>1242.05</v>
      </c>
      <c r="D1597" s="182">
        <f t="shared" si="51"/>
        <v>-1.4011272525204486E-2</v>
      </c>
      <c r="E1597" s="182">
        <v>-1.7780788281613049E-3</v>
      </c>
      <c r="F1597" s="168"/>
      <c r="G1597" s="168">
        <v>1594</v>
      </c>
      <c r="H1597" s="183">
        <f t="shared" ca="1" si="52"/>
        <v>1.5270938069482234E-2</v>
      </c>
      <c r="K1597" s="36"/>
    </row>
    <row r="1598" spans="2:11">
      <c r="B1598" s="36" t="s">
        <v>9556</v>
      </c>
      <c r="C1598" s="182">
        <v>1259.7</v>
      </c>
      <c r="D1598" s="182">
        <f t="shared" si="51"/>
        <v>-1.6320474777447965E-2</v>
      </c>
      <c r="E1598" s="182">
        <v>-1.7899555953322841E-3</v>
      </c>
      <c r="F1598" s="168"/>
      <c r="G1598" s="168">
        <v>1595</v>
      </c>
      <c r="H1598" s="183">
        <f t="shared" ca="1" si="52"/>
        <v>-3.294163789962082E-3</v>
      </c>
      <c r="K1598" s="36"/>
    </row>
    <row r="1599" spans="2:11">
      <c r="B1599" s="36" t="s">
        <v>9557</v>
      </c>
      <c r="C1599" s="182">
        <v>1280.5999999999999</v>
      </c>
      <c r="D1599" s="182">
        <f t="shared" si="51"/>
        <v>-6.2431715311392366E-4</v>
      </c>
      <c r="E1599" s="182">
        <v>-1.8068479537446923E-3</v>
      </c>
      <c r="F1599" s="168"/>
      <c r="G1599" s="168">
        <v>1596</v>
      </c>
      <c r="H1599" s="183">
        <f t="shared" ca="1" si="52"/>
        <v>-2.0116572110147933E-3</v>
      </c>
      <c r="K1599" s="36"/>
    </row>
    <row r="1600" spans="2:11">
      <c r="B1600" s="36" t="s">
        <v>9558</v>
      </c>
      <c r="C1600" s="182">
        <v>1281.4000000000001</v>
      </c>
      <c r="D1600" s="182">
        <f t="shared" si="51"/>
        <v>-3.8480973296535301E-3</v>
      </c>
      <c r="E1600" s="182">
        <v>-1.8076372674550659E-3</v>
      </c>
      <c r="F1600" s="168"/>
      <c r="G1600" s="168">
        <v>1597</v>
      </c>
      <c r="H1600" s="183">
        <f t="shared" ca="1" si="52"/>
        <v>1.6432415369723452E-2</v>
      </c>
      <c r="K1600" s="36"/>
    </row>
    <row r="1601" spans="2:11">
      <c r="B1601" s="36" t="s">
        <v>9559</v>
      </c>
      <c r="C1601" s="182">
        <v>1286.3499999999999</v>
      </c>
      <c r="D1601" s="182">
        <f t="shared" si="51"/>
        <v>4.8039368848616336E-3</v>
      </c>
      <c r="E1601" s="182">
        <v>-1.8338620142742954E-3</v>
      </c>
      <c r="F1601" s="168"/>
      <c r="G1601" s="168">
        <v>1598</v>
      </c>
      <c r="H1601" s="183">
        <f t="shared" ca="1" si="52"/>
        <v>1.5445840760480393E-2</v>
      </c>
      <c r="K1601" s="36"/>
    </row>
    <row r="1602" spans="2:11">
      <c r="B1602" s="36" t="s">
        <v>9560</v>
      </c>
      <c r="C1602" s="182">
        <v>1280.2</v>
      </c>
      <c r="D1602" s="182">
        <f t="shared" si="51"/>
        <v>-1.1543064509902362E-2</v>
      </c>
      <c r="E1602" s="182">
        <v>-1.8504021066115645E-3</v>
      </c>
      <c r="F1602" s="168"/>
      <c r="G1602" s="168">
        <v>1599</v>
      </c>
      <c r="H1602" s="183">
        <f t="shared" ca="1" si="52"/>
        <v>-1.282774682862714E-2</v>
      </c>
      <c r="K1602" s="36"/>
    </row>
    <row r="1603" spans="2:11">
      <c r="B1603" s="36" t="s">
        <v>9561</v>
      </c>
      <c r="C1603" s="182">
        <v>1295.1500000000001</v>
      </c>
      <c r="D1603" s="182">
        <f t="shared" si="51"/>
        <v>2.2441478042175204E-3</v>
      </c>
      <c r="E1603" s="182">
        <v>-1.8673638158245745E-3</v>
      </c>
      <c r="F1603" s="168"/>
      <c r="G1603" s="168">
        <v>1600</v>
      </c>
      <c r="H1603" s="183">
        <f t="shared" ca="1" si="52"/>
        <v>2.3497048774716225E-2</v>
      </c>
      <c r="K1603" s="36"/>
    </row>
    <row r="1604" spans="2:11">
      <c r="B1604" s="36" t="s">
        <v>9562</v>
      </c>
      <c r="C1604" s="182">
        <v>1292.25</v>
      </c>
      <c r="D1604" s="182">
        <f t="shared" ref="D1604:D1667" si="53">(C1604-C1605)/C1605</f>
        <v>-3.8927002235411659E-3</v>
      </c>
      <c r="E1604" s="182">
        <v>-1.8965131038601983E-3</v>
      </c>
      <c r="F1604" s="168"/>
      <c r="G1604" s="168">
        <v>1601</v>
      </c>
      <c r="H1604" s="183">
        <f t="shared" ca="1" si="52"/>
        <v>-4.9484421211348781E-3</v>
      </c>
      <c r="K1604" s="36"/>
    </row>
    <row r="1605" spans="2:11">
      <c r="B1605" s="36">
        <v>44167</v>
      </c>
      <c r="C1605" s="182">
        <v>1297.3</v>
      </c>
      <c r="D1605" s="182">
        <f t="shared" si="53"/>
        <v>8.0814360090138027E-3</v>
      </c>
      <c r="E1605" s="182">
        <v>-1.9017834502577974E-3</v>
      </c>
      <c r="F1605" s="168"/>
      <c r="G1605" s="168">
        <v>1602</v>
      </c>
      <c r="H1605" s="183">
        <f t="shared" ref="H1605:H1668" ca="1" si="54">_xlfn.NORM.INV(RAND(),N$6,N$7)</f>
        <v>1.1886337509164589E-2</v>
      </c>
      <c r="K1605" s="36"/>
    </row>
    <row r="1606" spans="2:11">
      <c r="B1606" s="36">
        <v>44137</v>
      </c>
      <c r="C1606" s="182">
        <v>1286.9000000000001</v>
      </c>
      <c r="D1606" s="182">
        <f t="shared" si="53"/>
        <v>1.2448455613476516E-3</v>
      </c>
      <c r="E1606" s="182">
        <v>-1.9256049917605652E-3</v>
      </c>
      <c r="F1606" s="168"/>
      <c r="G1606" s="168">
        <v>1603</v>
      </c>
      <c r="H1606" s="183">
        <f t="shared" ca="1" si="54"/>
        <v>8.3916192052168534E-3</v>
      </c>
      <c r="K1606" s="36"/>
    </row>
    <row r="1607" spans="2:11">
      <c r="B1607" s="36">
        <v>44106</v>
      </c>
      <c r="C1607" s="182">
        <v>1285.3</v>
      </c>
      <c r="D1607" s="182">
        <f t="shared" si="53"/>
        <v>-1.0546574287913816E-2</v>
      </c>
      <c r="E1607" s="182">
        <v>-1.9267049331674955E-3</v>
      </c>
      <c r="F1607" s="168"/>
      <c r="G1607" s="168">
        <v>1604</v>
      </c>
      <c r="H1607" s="183">
        <f t="shared" ca="1" si="54"/>
        <v>1.2470567945279266E-2</v>
      </c>
      <c r="K1607" s="36"/>
    </row>
    <row r="1608" spans="2:11">
      <c r="B1608" s="36">
        <v>44014</v>
      </c>
      <c r="C1608" s="182">
        <v>1299</v>
      </c>
      <c r="D1608" s="182">
        <f t="shared" si="53"/>
        <v>-1.4116575591985359E-2</v>
      </c>
      <c r="E1608" s="182">
        <v>-1.9276874230544348E-3</v>
      </c>
      <c r="F1608" s="168"/>
      <c r="G1608" s="168">
        <v>1605</v>
      </c>
      <c r="H1608" s="183">
        <f t="shared" ca="1" si="54"/>
        <v>-7.7069260567397537E-3</v>
      </c>
      <c r="K1608" s="36"/>
    </row>
    <row r="1609" spans="2:11">
      <c r="B1609" s="36">
        <v>43984</v>
      </c>
      <c r="C1609" s="182">
        <v>1317.6</v>
      </c>
      <c r="D1609" s="182">
        <f t="shared" si="53"/>
        <v>5.7631388114957102E-3</v>
      </c>
      <c r="E1609" s="182">
        <v>-1.9547849736528595E-3</v>
      </c>
      <c r="F1609" s="168"/>
      <c r="G1609" s="168">
        <v>1606</v>
      </c>
      <c r="H1609" s="183">
        <f t="shared" ca="1" si="54"/>
        <v>1.8127735818523526E-2</v>
      </c>
      <c r="K1609" s="36"/>
    </row>
    <row r="1610" spans="2:11">
      <c r="B1610" s="36">
        <v>43953</v>
      </c>
      <c r="C1610" s="182">
        <v>1310.05</v>
      </c>
      <c r="D1610" s="182">
        <f t="shared" si="53"/>
        <v>1.4166827946584056E-2</v>
      </c>
      <c r="E1610" s="182">
        <v>-1.9953334942472661E-3</v>
      </c>
      <c r="F1610" s="168"/>
      <c r="G1610" s="168">
        <v>1607</v>
      </c>
      <c r="H1610" s="183">
        <f t="shared" ca="1" si="54"/>
        <v>2.2527506425960884E-2</v>
      </c>
      <c r="K1610" s="36"/>
    </row>
    <row r="1611" spans="2:11">
      <c r="B1611" s="36">
        <v>43923</v>
      </c>
      <c r="C1611" s="182">
        <v>1291.75</v>
      </c>
      <c r="D1611" s="182">
        <f t="shared" si="53"/>
        <v>3.96378191427343E-3</v>
      </c>
      <c r="E1611" s="182">
        <v>-2.0080037331900134E-3</v>
      </c>
      <c r="F1611" s="168"/>
      <c r="G1611" s="168">
        <v>1608</v>
      </c>
      <c r="H1611" s="183">
        <f t="shared" ca="1" si="54"/>
        <v>2.6849587807774118E-3</v>
      </c>
      <c r="K1611" s="36"/>
    </row>
    <row r="1612" spans="2:11">
      <c r="B1612" s="36">
        <v>43892</v>
      </c>
      <c r="C1612" s="182">
        <v>1286.6500000000001</v>
      </c>
      <c r="D1612" s="182">
        <f t="shared" si="53"/>
        <v>-5.8256951996271547E-4</v>
      </c>
      <c r="E1612" s="182">
        <v>-2.0301163344925593E-3</v>
      </c>
      <c r="F1612" s="168"/>
      <c r="G1612" s="168">
        <v>1609</v>
      </c>
      <c r="H1612" s="183">
        <f t="shared" ca="1" si="54"/>
        <v>4.3184821788260384E-3</v>
      </c>
      <c r="K1612" s="36"/>
    </row>
    <row r="1613" spans="2:11">
      <c r="B1613" s="36">
        <v>43832</v>
      </c>
      <c r="C1613" s="182">
        <v>1287.4000000000001</v>
      </c>
      <c r="D1613" s="182">
        <f t="shared" si="53"/>
        <v>-5.9811582560432237E-2</v>
      </c>
      <c r="E1613" s="182">
        <v>-2.0323938696362996E-3</v>
      </c>
      <c r="F1613" s="168"/>
      <c r="G1613" s="168">
        <v>1610</v>
      </c>
      <c r="H1613" s="183">
        <f t="shared" ca="1" si="54"/>
        <v>-2.0734211975013062E-2</v>
      </c>
      <c r="K1613" s="36"/>
    </row>
    <row r="1614" spans="2:11">
      <c r="B1614" s="36" t="s">
        <v>9563</v>
      </c>
      <c r="C1614" s="182">
        <v>1369.3</v>
      </c>
      <c r="D1614" s="182">
        <f t="shared" si="53"/>
        <v>-6.5683841774930008E-4</v>
      </c>
      <c r="E1614" s="182">
        <v>-2.0332403998707237E-3</v>
      </c>
      <c r="F1614" s="168"/>
      <c r="G1614" s="168">
        <v>1611</v>
      </c>
      <c r="H1614" s="183">
        <f t="shared" ca="1" si="54"/>
        <v>-8.7819479698168883E-3</v>
      </c>
      <c r="K1614" s="36"/>
    </row>
    <row r="1615" spans="2:11">
      <c r="B1615" s="36" t="s">
        <v>9564</v>
      </c>
      <c r="C1615" s="182">
        <v>1370.2</v>
      </c>
      <c r="D1615" s="182">
        <f t="shared" si="53"/>
        <v>3.2950135461668009E-3</v>
      </c>
      <c r="E1615" s="182">
        <v>-2.0360051435918767E-3</v>
      </c>
      <c r="F1615" s="168"/>
      <c r="G1615" s="168">
        <v>1612</v>
      </c>
      <c r="H1615" s="183">
        <f t="shared" ca="1" si="54"/>
        <v>2.7091195859594033E-2</v>
      </c>
      <c r="K1615" s="36"/>
    </row>
    <row r="1616" spans="2:11">
      <c r="B1616" s="36" t="s">
        <v>9565</v>
      </c>
      <c r="C1616" s="182">
        <v>1365.7</v>
      </c>
      <c r="D1616" s="182">
        <f t="shared" si="53"/>
        <v>1.4146214680874729E-2</v>
      </c>
      <c r="E1616" s="182">
        <v>-2.0402825006539051E-3</v>
      </c>
      <c r="F1616" s="168"/>
      <c r="G1616" s="168">
        <v>1613</v>
      </c>
      <c r="H1616" s="183">
        <f t="shared" ca="1" si="54"/>
        <v>1.3197747164568403E-2</v>
      </c>
      <c r="K1616" s="36"/>
    </row>
    <row r="1617" spans="2:11">
      <c r="B1617" s="36" t="s">
        <v>9566</v>
      </c>
      <c r="C1617" s="182">
        <v>1346.65</v>
      </c>
      <c r="D1617" s="182">
        <f t="shared" si="53"/>
        <v>-1.4459439418655037E-3</v>
      </c>
      <c r="E1617" s="182">
        <v>-2.0475961638913064E-3</v>
      </c>
      <c r="F1617" s="168"/>
      <c r="G1617" s="168">
        <v>1614</v>
      </c>
      <c r="H1617" s="183">
        <f t="shared" ca="1" si="54"/>
        <v>1.8998608740644542E-2</v>
      </c>
      <c r="K1617" s="36"/>
    </row>
    <row r="1618" spans="2:11">
      <c r="B1618" s="36" t="s">
        <v>9567</v>
      </c>
      <c r="C1618" s="182">
        <v>1348.6</v>
      </c>
      <c r="D1618" s="182">
        <f t="shared" si="53"/>
        <v>-7.7987051206593111E-3</v>
      </c>
      <c r="E1618" s="182">
        <v>-2.0605069501227085E-3</v>
      </c>
      <c r="F1618" s="168"/>
      <c r="G1618" s="168">
        <v>1615</v>
      </c>
      <c r="H1618" s="183">
        <f t="shared" ca="1" si="54"/>
        <v>-1.8417834934568791E-2</v>
      </c>
      <c r="K1618" s="36"/>
    </row>
    <row r="1619" spans="2:11">
      <c r="B1619" s="36" t="s">
        <v>9568</v>
      </c>
      <c r="C1619" s="182">
        <v>1359.2</v>
      </c>
      <c r="D1619" s="182">
        <f t="shared" si="53"/>
        <v>2.0190647752007875E-2</v>
      </c>
      <c r="E1619" s="182">
        <v>-2.0736378890048842E-3</v>
      </c>
      <c r="F1619" s="168"/>
      <c r="G1619" s="168">
        <v>1616</v>
      </c>
      <c r="H1619" s="183">
        <f t="shared" ca="1" si="54"/>
        <v>2.1267973882628553E-2</v>
      </c>
      <c r="K1619" s="36"/>
    </row>
    <row r="1620" spans="2:11">
      <c r="B1620" s="36" t="s">
        <v>9569</v>
      </c>
      <c r="C1620" s="182">
        <v>1332.3</v>
      </c>
      <c r="D1620" s="182">
        <f t="shared" si="53"/>
        <v>2.9439035697728256E-2</v>
      </c>
      <c r="E1620" s="182">
        <v>-2.0745863176093089E-3</v>
      </c>
      <c r="F1620" s="168"/>
      <c r="G1620" s="168">
        <v>1617</v>
      </c>
      <c r="H1620" s="183">
        <f t="shared" ca="1" si="54"/>
        <v>1.0597664064315886E-2</v>
      </c>
      <c r="K1620" s="36"/>
    </row>
    <row r="1621" spans="2:11">
      <c r="B1621" s="36" t="s">
        <v>9570</v>
      </c>
      <c r="C1621" s="182">
        <v>1294.2</v>
      </c>
      <c r="D1621" s="182">
        <f t="shared" si="53"/>
        <v>-6.2579183783160169E-3</v>
      </c>
      <c r="E1621" s="182">
        <v>-2.0779220779220532E-3</v>
      </c>
      <c r="F1621" s="168"/>
      <c r="G1621" s="168">
        <v>1618</v>
      </c>
      <c r="H1621" s="183">
        <f t="shared" ca="1" si="54"/>
        <v>6.4526374721916623E-3</v>
      </c>
      <c r="K1621" s="36"/>
    </row>
    <row r="1622" spans="2:11">
      <c r="B1622" s="36" t="s">
        <v>9571</v>
      </c>
      <c r="C1622" s="182">
        <v>1302.3499999999999</v>
      </c>
      <c r="D1622" s="182">
        <f t="shared" si="53"/>
        <v>-5.5360415394013441E-3</v>
      </c>
      <c r="E1622" s="182">
        <v>-2.0838955353662016E-3</v>
      </c>
      <c r="F1622" s="168"/>
      <c r="G1622" s="168">
        <v>1619</v>
      </c>
      <c r="H1622" s="183">
        <f t="shared" ca="1" si="54"/>
        <v>6.1102419972566087E-3</v>
      </c>
      <c r="K1622" s="36"/>
    </row>
    <row r="1623" spans="2:11">
      <c r="B1623" s="36" t="s">
        <v>9572</v>
      </c>
      <c r="C1623" s="182">
        <v>1309.5999999999999</v>
      </c>
      <c r="D1623" s="182">
        <f t="shared" si="53"/>
        <v>4.1404692531819224E-3</v>
      </c>
      <c r="E1623" s="182">
        <v>-2.1079425685082056E-3</v>
      </c>
      <c r="F1623" s="168"/>
      <c r="G1623" s="168">
        <v>1620</v>
      </c>
      <c r="H1623" s="183">
        <f t="shared" ca="1" si="54"/>
        <v>2.5765595944207687E-4</v>
      </c>
      <c r="K1623" s="36"/>
    </row>
    <row r="1624" spans="2:11">
      <c r="B1624" s="36" t="s">
        <v>9573</v>
      </c>
      <c r="C1624" s="182">
        <v>1304.2</v>
      </c>
      <c r="D1624" s="182">
        <f t="shared" si="53"/>
        <v>-1.1445463503372933E-2</v>
      </c>
      <c r="E1624" s="182">
        <v>-2.1116536887950677E-3</v>
      </c>
      <c r="F1624" s="168"/>
      <c r="G1624" s="168">
        <v>1621</v>
      </c>
      <c r="H1624" s="183">
        <f t="shared" ca="1" si="54"/>
        <v>5.9071892695819308E-3</v>
      </c>
      <c r="K1624" s="36"/>
    </row>
    <row r="1625" spans="2:11">
      <c r="B1625" s="36" t="s">
        <v>9574</v>
      </c>
      <c r="C1625" s="182">
        <v>1319.3</v>
      </c>
      <c r="D1625" s="182">
        <f t="shared" si="53"/>
        <v>-3.2487156240555717E-3</v>
      </c>
      <c r="E1625" s="182">
        <v>-2.1345429076476971E-3</v>
      </c>
      <c r="F1625" s="168"/>
      <c r="G1625" s="168">
        <v>1622</v>
      </c>
      <c r="H1625" s="183">
        <f t="shared" ca="1" si="54"/>
        <v>-8.7249578877012651E-3</v>
      </c>
      <c r="K1625" s="36"/>
    </row>
    <row r="1626" spans="2:11">
      <c r="B1626" s="36" t="s">
        <v>9575</v>
      </c>
      <c r="C1626" s="182">
        <v>1323.6</v>
      </c>
      <c r="D1626" s="182">
        <f t="shared" si="53"/>
        <v>-1.8852273584194256E-3</v>
      </c>
      <c r="E1626" s="182">
        <v>-2.1490781585793203E-3</v>
      </c>
      <c r="F1626" s="168"/>
      <c r="G1626" s="168">
        <v>1623</v>
      </c>
      <c r="H1626" s="183">
        <f t="shared" ca="1" si="54"/>
        <v>5.87067310515946E-4</v>
      </c>
      <c r="K1626" s="36"/>
    </row>
    <row r="1627" spans="2:11">
      <c r="B1627" s="36" t="s">
        <v>9576</v>
      </c>
      <c r="C1627" s="182">
        <v>1326.1</v>
      </c>
      <c r="D1627" s="182">
        <f t="shared" si="53"/>
        <v>-6.4433955195925194E-3</v>
      </c>
      <c r="E1627" s="182">
        <v>-2.1610941310857956E-3</v>
      </c>
      <c r="F1627" s="168"/>
      <c r="G1627" s="168">
        <v>1624</v>
      </c>
      <c r="H1627" s="183">
        <f t="shared" ca="1" si="54"/>
        <v>5.0454736156767127E-3</v>
      </c>
      <c r="K1627" s="36"/>
    </row>
    <row r="1628" spans="2:11">
      <c r="B1628" s="36" t="s">
        <v>9577</v>
      </c>
      <c r="C1628" s="182">
        <v>1334.7</v>
      </c>
      <c r="D1628" s="182">
        <f t="shared" si="53"/>
        <v>7.6249433791334264E-3</v>
      </c>
      <c r="E1628" s="182">
        <v>-2.1827372290726325E-3</v>
      </c>
      <c r="F1628" s="168"/>
      <c r="G1628" s="168">
        <v>1625</v>
      </c>
      <c r="H1628" s="183">
        <f t="shared" ca="1" si="54"/>
        <v>2.4844195801518094E-2</v>
      </c>
      <c r="K1628" s="36"/>
    </row>
    <row r="1629" spans="2:11">
      <c r="B1629" s="36">
        <v>44105</v>
      </c>
      <c r="C1629" s="182">
        <v>1324.6</v>
      </c>
      <c r="D1629" s="182">
        <f t="shared" si="53"/>
        <v>6.4202408540058641E-3</v>
      </c>
      <c r="E1629" s="182">
        <v>-2.194655003346375E-3</v>
      </c>
      <c r="F1629" s="168"/>
      <c r="G1629" s="168">
        <v>1626</v>
      </c>
      <c r="H1629" s="183">
        <f t="shared" ca="1" si="54"/>
        <v>-3.3710149948202265E-3</v>
      </c>
      <c r="K1629" s="36"/>
    </row>
    <row r="1630" spans="2:11">
      <c r="B1630" s="36">
        <v>44075</v>
      </c>
      <c r="C1630" s="182">
        <v>1316.15</v>
      </c>
      <c r="D1630" s="182">
        <f t="shared" si="53"/>
        <v>1.9046881653826904E-2</v>
      </c>
      <c r="E1630" s="182">
        <v>-2.2131147540983978E-3</v>
      </c>
      <c r="F1630" s="168"/>
      <c r="G1630" s="168">
        <v>1627</v>
      </c>
      <c r="H1630" s="183">
        <f t="shared" ca="1" si="54"/>
        <v>1.7297151680022649E-2</v>
      </c>
      <c r="K1630" s="36"/>
    </row>
    <row r="1631" spans="2:11">
      <c r="B1631" s="36">
        <v>44044</v>
      </c>
      <c r="C1631" s="182">
        <v>1291.55</v>
      </c>
      <c r="D1631" s="182">
        <f t="shared" si="53"/>
        <v>-2.1923513820522565E-2</v>
      </c>
      <c r="E1631" s="182">
        <v>-2.2207707380796468E-3</v>
      </c>
      <c r="F1631" s="168"/>
      <c r="G1631" s="168">
        <v>1628</v>
      </c>
      <c r="H1631" s="183">
        <f t="shared" ca="1" si="54"/>
        <v>1.5549035065361632E-2</v>
      </c>
      <c r="K1631" s="36"/>
    </row>
    <row r="1632" spans="2:11">
      <c r="B1632" s="36">
        <v>44013</v>
      </c>
      <c r="C1632" s="182">
        <v>1320.5</v>
      </c>
      <c r="D1632" s="182">
        <f t="shared" si="53"/>
        <v>2.8479210176571104E-3</v>
      </c>
      <c r="E1632" s="182">
        <v>-2.2452532417877717E-3</v>
      </c>
      <c r="F1632" s="168"/>
      <c r="G1632" s="168">
        <v>1629</v>
      </c>
      <c r="H1632" s="183">
        <f t="shared" ca="1" si="54"/>
        <v>-3.3001365939876581E-3</v>
      </c>
      <c r="K1632" s="36"/>
    </row>
    <row r="1633" spans="2:11">
      <c r="B1633" s="36">
        <v>43983</v>
      </c>
      <c r="C1633" s="182">
        <v>1316.75</v>
      </c>
      <c r="D1633" s="182">
        <f t="shared" si="53"/>
        <v>-1.3707351784577323E-2</v>
      </c>
      <c r="E1633" s="182">
        <v>-2.2494887525562838E-3</v>
      </c>
      <c r="F1633" s="168"/>
      <c r="G1633" s="168">
        <v>1630</v>
      </c>
      <c r="H1633" s="183">
        <f t="shared" ca="1" si="54"/>
        <v>-1.5107169641516423E-2</v>
      </c>
      <c r="K1633" s="36"/>
    </row>
    <row r="1634" spans="2:11">
      <c r="B1634" s="36">
        <v>43891</v>
      </c>
      <c r="C1634" s="182">
        <v>1335.05</v>
      </c>
      <c r="D1634" s="182">
        <f t="shared" si="53"/>
        <v>-7.6191184122500564E-3</v>
      </c>
      <c r="E1634" s="182">
        <v>-2.2571606475715006E-3</v>
      </c>
      <c r="F1634" s="168"/>
      <c r="G1634" s="168">
        <v>1631</v>
      </c>
      <c r="H1634" s="183">
        <f t="shared" ca="1" si="54"/>
        <v>1.3928505330876514E-2</v>
      </c>
      <c r="K1634" s="36"/>
    </row>
    <row r="1635" spans="2:11">
      <c r="B1635" s="36">
        <v>43862</v>
      </c>
      <c r="C1635" s="182">
        <v>1345.3</v>
      </c>
      <c r="D1635" s="182">
        <f t="shared" si="53"/>
        <v>2.6985762815374563E-2</v>
      </c>
      <c r="E1635" s="182">
        <v>-2.2723418687467588E-3</v>
      </c>
      <c r="F1635" s="168"/>
      <c r="G1635" s="168">
        <v>1632</v>
      </c>
      <c r="H1635" s="183">
        <f t="shared" ca="1" si="54"/>
        <v>-5.8175434515846348E-3</v>
      </c>
      <c r="K1635" s="36"/>
    </row>
    <row r="1636" spans="2:11">
      <c r="B1636" s="36">
        <v>43831</v>
      </c>
      <c r="C1636" s="182">
        <v>1309.95</v>
      </c>
      <c r="D1636" s="182">
        <f t="shared" si="53"/>
        <v>9.0509936835618549E-3</v>
      </c>
      <c r="E1636" s="182">
        <v>-2.2754087308274216E-3</v>
      </c>
      <c r="F1636" s="168"/>
      <c r="G1636" s="168">
        <v>1633</v>
      </c>
      <c r="H1636" s="183">
        <f t="shared" ca="1" si="54"/>
        <v>2.9290580672752836E-2</v>
      </c>
      <c r="K1636" s="36"/>
    </row>
    <row r="1637" spans="2:11">
      <c r="B1637" s="36" t="s">
        <v>9578</v>
      </c>
      <c r="C1637" s="182">
        <v>1298.2</v>
      </c>
      <c r="D1637" s="182">
        <f t="shared" si="53"/>
        <v>-3.148276126852422E-3</v>
      </c>
      <c r="E1637" s="182">
        <v>-2.279402095296661E-3</v>
      </c>
      <c r="F1637" s="168"/>
      <c r="G1637" s="168">
        <v>1634</v>
      </c>
      <c r="H1637" s="183">
        <f t="shared" ca="1" si="54"/>
        <v>7.2077664278630462E-3</v>
      </c>
      <c r="K1637" s="36"/>
    </row>
    <row r="1638" spans="2:11">
      <c r="B1638" s="36" t="s">
        <v>9579</v>
      </c>
      <c r="C1638" s="182">
        <v>1302.3</v>
      </c>
      <c r="D1638" s="182">
        <f t="shared" si="53"/>
        <v>2.0775623268698413E-3</v>
      </c>
      <c r="E1638" s="182">
        <v>-2.3191741647485844E-3</v>
      </c>
      <c r="F1638" s="168"/>
      <c r="G1638" s="168">
        <v>1635</v>
      </c>
      <c r="H1638" s="183">
        <f t="shared" ca="1" si="54"/>
        <v>1.1818753886418197E-2</v>
      </c>
      <c r="K1638" s="36"/>
    </row>
    <row r="1639" spans="2:11">
      <c r="B1639" s="36" t="s">
        <v>9580</v>
      </c>
      <c r="C1639" s="182">
        <v>1299.5999999999999</v>
      </c>
      <c r="D1639" s="182">
        <f t="shared" si="53"/>
        <v>1.5868052841397605E-2</v>
      </c>
      <c r="E1639" s="182">
        <v>-2.3464515066687875E-3</v>
      </c>
      <c r="F1639" s="168"/>
      <c r="G1639" s="168">
        <v>1636</v>
      </c>
      <c r="H1639" s="183">
        <f t="shared" ca="1" si="54"/>
        <v>7.9335733159646288E-3</v>
      </c>
      <c r="K1639" s="36"/>
    </row>
    <row r="1640" spans="2:11">
      <c r="B1640" s="36" t="s">
        <v>9581</v>
      </c>
      <c r="C1640" s="182">
        <v>1279.3</v>
      </c>
      <c r="D1640" s="182">
        <f t="shared" si="53"/>
        <v>-1.6679477325134546E-2</v>
      </c>
      <c r="E1640" s="182">
        <v>-2.3493670886076687E-3</v>
      </c>
      <c r="F1640" s="168"/>
      <c r="G1640" s="168">
        <v>1637</v>
      </c>
      <c r="H1640" s="183">
        <f t="shared" ca="1" si="54"/>
        <v>9.3126976947121784E-3</v>
      </c>
      <c r="K1640" s="36"/>
    </row>
    <row r="1641" spans="2:11">
      <c r="B1641" s="36" t="s">
        <v>9582</v>
      </c>
      <c r="C1641" s="182">
        <v>1301</v>
      </c>
      <c r="D1641" s="182">
        <f t="shared" si="53"/>
        <v>-7.8169685414680654E-3</v>
      </c>
      <c r="E1641" s="182">
        <v>-2.3720989870496508E-3</v>
      </c>
      <c r="F1641" s="168"/>
      <c r="G1641" s="168">
        <v>1638</v>
      </c>
      <c r="H1641" s="183">
        <f t="shared" ca="1" si="54"/>
        <v>7.8686106089929913E-3</v>
      </c>
      <c r="K1641" s="36"/>
    </row>
    <row r="1642" spans="2:11">
      <c r="B1642" s="36" t="s">
        <v>9583</v>
      </c>
      <c r="C1642" s="182">
        <v>1311.25</v>
      </c>
      <c r="D1642" s="182">
        <f t="shared" si="53"/>
        <v>-2.287369905836259E-4</v>
      </c>
      <c r="E1642" s="182">
        <v>-2.3723750109830581E-3</v>
      </c>
      <c r="F1642" s="168"/>
      <c r="G1642" s="168">
        <v>1639</v>
      </c>
      <c r="H1642" s="183">
        <f t="shared" ca="1" si="54"/>
        <v>-5.6992480803492928E-3</v>
      </c>
      <c r="K1642" s="36"/>
    </row>
    <row r="1643" spans="2:11">
      <c r="B1643" s="36" t="s">
        <v>9584</v>
      </c>
      <c r="C1643" s="182">
        <v>1311.55</v>
      </c>
      <c r="D1643" s="182">
        <f t="shared" si="53"/>
        <v>-1.5246807699641356E-4</v>
      </c>
      <c r="E1643" s="182">
        <v>-2.403020940611024E-3</v>
      </c>
      <c r="F1643" s="168"/>
      <c r="G1643" s="168">
        <v>1640</v>
      </c>
      <c r="H1643" s="183">
        <f t="shared" ca="1" si="54"/>
        <v>1.9848436903774289E-2</v>
      </c>
      <c r="K1643" s="36"/>
    </row>
    <row r="1644" spans="2:11">
      <c r="B1644" s="36" t="s">
        <v>9585</v>
      </c>
      <c r="C1644" s="182">
        <v>1311.75</v>
      </c>
      <c r="D1644" s="182">
        <f t="shared" si="53"/>
        <v>-5.7604123242505096E-3</v>
      </c>
      <c r="E1644" s="182">
        <v>-2.4113981014485062E-3</v>
      </c>
      <c r="F1644" s="168"/>
      <c r="G1644" s="168">
        <v>1641</v>
      </c>
      <c r="H1644" s="183">
        <f t="shared" ca="1" si="54"/>
        <v>3.1750285896908178E-3</v>
      </c>
      <c r="K1644" s="36"/>
    </row>
    <row r="1645" spans="2:11">
      <c r="B1645" s="36" t="s">
        <v>9586</v>
      </c>
      <c r="C1645" s="182">
        <v>1319.35</v>
      </c>
      <c r="D1645" s="182">
        <f t="shared" si="53"/>
        <v>1.0622557760156786E-3</v>
      </c>
      <c r="E1645" s="182">
        <v>-2.4333591416879166E-3</v>
      </c>
      <c r="F1645" s="168"/>
      <c r="G1645" s="168">
        <v>1642</v>
      </c>
      <c r="H1645" s="183">
        <f t="shared" ca="1" si="54"/>
        <v>1.9208280478319652E-3</v>
      </c>
      <c r="K1645" s="36"/>
    </row>
    <row r="1646" spans="2:11">
      <c r="B1646" s="36" t="s">
        <v>9587</v>
      </c>
      <c r="C1646" s="182">
        <v>1317.95</v>
      </c>
      <c r="D1646" s="182">
        <f t="shared" si="53"/>
        <v>1.1473522640061431E-2</v>
      </c>
      <c r="E1646" s="182">
        <v>-2.4351812061309919E-3</v>
      </c>
      <c r="F1646" s="168"/>
      <c r="G1646" s="168">
        <v>1643</v>
      </c>
      <c r="H1646" s="183">
        <f t="shared" ca="1" si="54"/>
        <v>1.1105383129206548E-2</v>
      </c>
      <c r="K1646" s="36"/>
    </row>
    <row r="1647" spans="2:11">
      <c r="B1647" s="36" t="s">
        <v>9588</v>
      </c>
      <c r="C1647" s="182">
        <v>1303</v>
      </c>
      <c r="D1647" s="182">
        <f t="shared" si="53"/>
        <v>-1.7620470389948322E-3</v>
      </c>
      <c r="E1647" s="182">
        <v>-2.4356526890921062E-3</v>
      </c>
      <c r="F1647" s="168"/>
      <c r="G1647" s="168">
        <v>1644</v>
      </c>
      <c r="H1647" s="183">
        <f t="shared" ca="1" si="54"/>
        <v>2.7224265465566194E-3</v>
      </c>
      <c r="K1647" s="36"/>
    </row>
    <row r="1648" spans="2:11">
      <c r="B1648" s="36" t="s">
        <v>9589</v>
      </c>
      <c r="C1648" s="182">
        <v>1305.3</v>
      </c>
      <c r="D1648" s="182">
        <f t="shared" si="53"/>
        <v>2.0004688598890295E-2</v>
      </c>
      <c r="E1648" s="182">
        <v>-2.4527656791187881E-3</v>
      </c>
      <c r="F1648" s="168"/>
      <c r="G1648" s="168">
        <v>1645</v>
      </c>
      <c r="H1648" s="183">
        <f t="shared" ca="1" si="54"/>
        <v>2.2077446237402525E-2</v>
      </c>
      <c r="K1648" s="36"/>
    </row>
    <row r="1649" spans="2:11">
      <c r="B1649" s="36">
        <v>43811</v>
      </c>
      <c r="C1649" s="182">
        <v>1279.7</v>
      </c>
      <c r="D1649" s="182">
        <f t="shared" si="53"/>
        <v>1.2180653325951191E-2</v>
      </c>
      <c r="E1649" s="182">
        <v>-2.4677599108423312E-3</v>
      </c>
      <c r="F1649" s="168"/>
      <c r="G1649" s="168">
        <v>1646</v>
      </c>
      <c r="H1649" s="183">
        <f t="shared" ca="1" si="54"/>
        <v>7.8076702297683494E-3</v>
      </c>
      <c r="K1649" s="36"/>
    </row>
    <row r="1650" spans="2:11">
      <c r="B1650" s="36">
        <v>43781</v>
      </c>
      <c r="C1650" s="182">
        <v>1264.3</v>
      </c>
      <c r="D1650" s="182">
        <f t="shared" si="53"/>
        <v>-1.1493354182955469E-2</v>
      </c>
      <c r="E1650" s="182">
        <v>-2.4678604224059814E-3</v>
      </c>
      <c r="F1650" s="168"/>
      <c r="G1650" s="168">
        <v>1647</v>
      </c>
      <c r="H1650" s="183">
        <f t="shared" ca="1" si="54"/>
        <v>7.0017435559664764E-3</v>
      </c>
      <c r="K1650" s="36"/>
    </row>
    <row r="1651" spans="2:11">
      <c r="B1651" s="36">
        <v>43750</v>
      </c>
      <c r="C1651" s="182">
        <v>1279</v>
      </c>
      <c r="D1651" s="182">
        <f t="shared" si="53"/>
        <v>2.3510971786833857E-3</v>
      </c>
      <c r="E1651" s="182">
        <v>-2.4888368347850552E-3</v>
      </c>
      <c r="F1651" s="168"/>
      <c r="G1651" s="168">
        <v>1648</v>
      </c>
      <c r="H1651" s="183">
        <f t="shared" ca="1" si="54"/>
        <v>-5.7140758614188701E-3</v>
      </c>
      <c r="K1651" s="36"/>
    </row>
    <row r="1652" spans="2:11">
      <c r="B1652" s="36">
        <v>43720</v>
      </c>
      <c r="C1652" s="182">
        <v>1276</v>
      </c>
      <c r="D1652" s="182">
        <f t="shared" si="53"/>
        <v>-1.146575766966219E-2</v>
      </c>
      <c r="E1652" s="182">
        <v>-2.5037875767482368E-3</v>
      </c>
      <c r="F1652" s="168"/>
      <c r="G1652" s="168">
        <v>1649</v>
      </c>
      <c r="H1652" s="183">
        <f t="shared" ca="1" si="54"/>
        <v>1.0921252940996173E-2</v>
      </c>
      <c r="K1652" s="36"/>
    </row>
    <row r="1653" spans="2:11">
      <c r="B1653" s="36">
        <v>43628</v>
      </c>
      <c r="C1653" s="182">
        <v>1290.8</v>
      </c>
      <c r="D1653" s="182">
        <f t="shared" si="53"/>
        <v>-8.7544156043619179E-3</v>
      </c>
      <c r="E1653" s="182">
        <v>-2.5046963055728863E-3</v>
      </c>
      <c r="F1653" s="168"/>
      <c r="G1653" s="168">
        <v>1650</v>
      </c>
      <c r="H1653" s="183">
        <f t="shared" ca="1" si="54"/>
        <v>2.0486567297876509E-2</v>
      </c>
      <c r="K1653" s="36"/>
    </row>
    <row r="1654" spans="2:11">
      <c r="B1654" s="36">
        <v>43597</v>
      </c>
      <c r="C1654" s="182">
        <v>1302.2</v>
      </c>
      <c r="D1654" s="182">
        <f t="shared" si="53"/>
        <v>1.3306357481908129E-2</v>
      </c>
      <c r="E1654" s="182">
        <v>-2.5116923609907016E-3</v>
      </c>
      <c r="F1654" s="168"/>
      <c r="G1654" s="168">
        <v>1651</v>
      </c>
      <c r="H1654" s="183">
        <f t="shared" ca="1" si="54"/>
        <v>2.7646187197014642E-3</v>
      </c>
      <c r="K1654" s="36"/>
    </row>
    <row r="1655" spans="2:11">
      <c r="B1655" s="36">
        <v>43567</v>
      </c>
      <c r="C1655" s="182">
        <v>1285.0999999999999</v>
      </c>
      <c r="D1655" s="182">
        <f t="shared" si="53"/>
        <v>-2.1398111483399433E-2</v>
      </c>
      <c r="E1655" s="182">
        <v>-2.5182120694308674E-3</v>
      </c>
      <c r="F1655" s="168"/>
      <c r="G1655" s="168">
        <v>1652</v>
      </c>
      <c r="H1655" s="183">
        <f t="shared" ca="1" si="54"/>
        <v>4.7527861718781525E-3</v>
      </c>
      <c r="K1655" s="36"/>
    </row>
    <row r="1656" spans="2:11">
      <c r="B1656" s="36">
        <v>43536</v>
      </c>
      <c r="C1656" s="182">
        <v>1313.2</v>
      </c>
      <c r="D1656" s="182">
        <f t="shared" si="53"/>
        <v>-1.5112311096111197E-2</v>
      </c>
      <c r="E1656" s="182">
        <v>-2.5243775676879222E-3</v>
      </c>
      <c r="F1656" s="168"/>
      <c r="G1656" s="168">
        <v>1653</v>
      </c>
      <c r="H1656" s="183">
        <f t="shared" ca="1" si="54"/>
        <v>-1.128321122041661E-2</v>
      </c>
      <c r="K1656" s="36"/>
    </row>
    <row r="1657" spans="2:11">
      <c r="B1657" s="36">
        <v>43508</v>
      </c>
      <c r="C1657" s="182">
        <v>1333.35</v>
      </c>
      <c r="D1657" s="182">
        <f t="shared" si="53"/>
        <v>2.1043929202209273E-3</v>
      </c>
      <c r="E1657" s="182">
        <v>-2.5332381243837847E-3</v>
      </c>
      <c r="F1657" s="168"/>
      <c r="G1657" s="168">
        <v>1654</v>
      </c>
      <c r="H1657" s="183">
        <f t="shared" ca="1" si="54"/>
        <v>1.955496802431211E-3</v>
      </c>
      <c r="K1657" s="36"/>
    </row>
    <row r="1658" spans="2:11">
      <c r="B1658" s="36" t="s">
        <v>9590</v>
      </c>
      <c r="C1658" s="182">
        <v>1330.55</v>
      </c>
      <c r="D1658" s="182">
        <f t="shared" si="53"/>
        <v>-1.433439514038087E-2</v>
      </c>
      <c r="E1658" s="182">
        <v>-2.5401912815179156E-3</v>
      </c>
      <c r="F1658" s="168"/>
      <c r="G1658" s="168">
        <v>1655</v>
      </c>
      <c r="H1658" s="183">
        <f t="shared" ca="1" si="54"/>
        <v>-2.1730983995772645E-3</v>
      </c>
      <c r="K1658" s="36"/>
    </row>
    <row r="1659" spans="2:11">
      <c r="B1659" s="36" t="s">
        <v>9591</v>
      </c>
      <c r="C1659" s="182">
        <v>1349.9</v>
      </c>
      <c r="D1659" s="182">
        <f t="shared" si="53"/>
        <v>1.0782478472482284E-2</v>
      </c>
      <c r="E1659" s="182">
        <v>-2.5426621160408937E-3</v>
      </c>
      <c r="F1659" s="168"/>
      <c r="G1659" s="168">
        <v>1656</v>
      </c>
      <c r="H1659" s="183">
        <f t="shared" ca="1" si="54"/>
        <v>8.7445307131719038E-3</v>
      </c>
      <c r="K1659" s="36"/>
    </row>
    <row r="1660" spans="2:11">
      <c r="B1660" s="36" t="s">
        <v>9592</v>
      </c>
      <c r="C1660" s="182">
        <v>1335.5</v>
      </c>
      <c r="D1660" s="182">
        <f t="shared" si="53"/>
        <v>-2.0176082171680116E-2</v>
      </c>
      <c r="E1660" s="182">
        <v>-2.5907260104843814E-3</v>
      </c>
      <c r="F1660" s="168"/>
      <c r="G1660" s="168">
        <v>1657</v>
      </c>
      <c r="H1660" s="183">
        <f t="shared" ca="1" si="54"/>
        <v>-4.2272511627996787E-3</v>
      </c>
      <c r="K1660" s="36"/>
    </row>
    <row r="1661" spans="2:11">
      <c r="B1661" s="36" t="s">
        <v>9593</v>
      </c>
      <c r="C1661" s="182">
        <v>1363</v>
      </c>
      <c r="D1661" s="182">
        <f t="shared" si="53"/>
        <v>-1.2926820436687483E-2</v>
      </c>
      <c r="E1661" s="182">
        <v>-2.6213248317393167E-3</v>
      </c>
      <c r="F1661" s="168"/>
      <c r="G1661" s="168">
        <v>1658</v>
      </c>
      <c r="H1661" s="183">
        <f t="shared" ca="1" si="54"/>
        <v>-3.8394847347087719E-3</v>
      </c>
      <c r="K1661" s="36"/>
    </row>
    <row r="1662" spans="2:11">
      <c r="B1662" s="36" t="s">
        <v>9594</v>
      </c>
      <c r="C1662" s="182">
        <v>1380.85</v>
      </c>
      <c r="D1662" s="182">
        <f t="shared" si="53"/>
        <v>1.5957639720014637E-3</v>
      </c>
      <c r="E1662" s="182">
        <v>-2.6331708358538555E-3</v>
      </c>
      <c r="F1662" s="168"/>
      <c r="G1662" s="168">
        <v>1659</v>
      </c>
      <c r="H1662" s="183">
        <f t="shared" ca="1" si="54"/>
        <v>1.2588390238539471E-2</v>
      </c>
      <c r="K1662" s="36"/>
    </row>
    <row r="1663" spans="2:11">
      <c r="B1663" s="36" t="s">
        <v>9595</v>
      </c>
      <c r="C1663" s="182">
        <v>1378.65</v>
      </c>
      <c r="D1663" s="182">
        <f t="shared" si="53"/>
        <v>-1.008831765635094E-2</v>
      </c>
      <c r="E1663" s="182">
        <v>-2.6597888288869185E-3</v>
      </c>
      <c r="F1663" s="168"/>
      <c r="G1663" s="168">
        <v>1660</v>
      </c>
      <c r="H1663" s="183">
        <f t="shared" ca="1" si="54"/>
        <v>1.8119718730894626E-2</v>
      </c>
      <c r="K1663" s="36"/>
    </row>
    <row r="1664" spans="2:11">
      <c r="B1664" s="36" t="s">
        <v>9596</v>
      </c>
      <c r="C1664" s="182">
        <v>1392.7</v>
      </c>
      <c r="D1664" s="182">
        <f t="shared" si="53"/>
        <v>8.6181923522596262E-3</v>
      </c>
      <c r="E1664" s="182">
        <v>-2.6696329254727474E-3</v>
      </c>
      <c r="F1664" s="168"/>
      <c r="G1664" s="168">
        <v>1661</v>
      </c>
      <c r="H1664" s="183">
        <f t="shared" ca="1" si="54"/>
        <v>-1.0999509223758374E-2</v>
      </c>
      <c r="K1664" s="36"/>
    </row>
    <row r="1665" spans="2:11">
      <c r="B1665" s="36" t="s">
        <v>9597</v>
      </c>
      <c r="C1665" s="182">
        <v>1380.8</v>
      </c>
      <c r="D1665" s="182">
        <f t="shared" si="53"/>
        <v>1.1019586307889405E-2</v>
      </c>
      <c r="E1665" s="182">
        <v>-2.7365294866354764E-3</v>
      </c>
      <c r="F1665" s="168"/>
      <c r="G1665" s="168">
        <v>1662</v>
      </c>
      <c r="H1665" s="183">
        <f t="shared" ca="1" si="54"/>
        <v>2.697432722310366E-2</v>
      </c>
      <c r="K1665" s="36"/>
    </row>
    <row r="1666" spans="2:11">
      <c r="B1666" s="36" t="s">
        <v>9598</v>
      </c>
      <c r="C1666" s="182">
        <v>1365.75</v>
      </c>
      <c r="D1666" s="182">
        <f t="shared" si="53"/>
        <v>9.1608647856357645E-4</v>
      </c>
      <c r="E1666" s="182">
        <v>-2.7442098824619139E-3</v>
      </c>
      <c r="F1666" s="168"/>
      <c r="G1666" s="168">
        <v>1663</v>
      </c>
      <c r="H1666" s="183">
        <f t="shared" ca="1" si="54"/>
        <v>3.5746502723268776E-3</v>
      </c>
      <c r="K1666" s="36"/>
    </row>
    <row r="1667" spans="2:11">
      <c r="B1667" s="36" t="s">
        <v>9599</v>
      </c>
      <c r="C1667" s="182">
        <v>1364.5</v>
      </c>
      <c r="D1667" s="182">
        <f t="shared" si="53"/>
        <v>-9.5452400827496751E-3</v>
      </c>
      <c r="E1667" s="182">
        <v>-2.76374314462134E-3</v>
      </c>
      <c r="F1667" s="168"/>
      <c r="G1667" s="168">
        <v>1664</v>
      </c>
      <c r="H1667" s="183">
        <f t="shared" ca="1" si="54"/>
        <v>1.2724609579535494E-2</v>
      </c>
      <c r="K1667" s="36"/>
    </row>
    <row r="1668" spans="2:11">
      <c r="B1668" s="36" t="s">
        <v>9600</v>
      </c>
      <c r="C1668" s="182">
        <v>1377.65</v>
      </c>
      <c r="D1668" s="182">
        <f t="shared" ref="D1668:D1731" si="55">(C1668-C1669)/C1669</f>
        <v>-2.0283240972146432E-3</v>
      </c>
      <c r="E1668" s="182">
        <v>-2.7675482647025189E-3</v>
      </c>
      <c r="F1668" s="168"/>
      <c r="G1668" s="168">
        <v>1665</v>
      </c>
      <c r="H1668" s="183">
        <f t="shared" ca="1" si="54"/>
        <v>1.827218416724587E-2</v>
      </c>
      <c r="K1668" s="36"/>
    </row>
    <row r="1669" spans="2:11">
      <c r="B1669" s="36" t="s">
        <v>9601</v>
      </c>
      <c r="C1669" s="182">
        <v>1380.45</v>
      </c>
      <c r="D1669" s="182">
        <f t="shared" si="55"/>
        <v>-9.0093323761665147E-3</v>
      </c>
      <c r="E1669" s="182">
        <v>-2.7806151401657533E-3</v>
      </c>
      <c r="F1669" s="168"/>
      <c r="G1669" s="168">
        <v>1666</v>
      </c>
      <c r="H1669" s="183">
        <f t="shared" ref="H1669:H1732" ca="1" si="56">_xlfn.NORM.INV(RAND(),N$6,N$7)</f>
        <v>8.6158023028832971E-3</v>
      </c>
      <c r="K1669" s="36"/>
    </row>
    <row r="1670" spans="2:11">
      <c r="B1670" s="36" t="s">
        <v>9602</v>
      </c>
      <c r="C1670" s="182">
        <v>1393</v>
      </c>
      <c r="D1670" s="182">
        <f t="shared" si="55"/>
        <v>-1.6937191249117856E-2</v>
      </c>
      <c r="E1670" s="182">
        <v>-2.798393965202524E-3</v>
      </c>
      <c r="F1670" s="168"/>
      <c r="G1670" s="168">
        <v>1667</v>
      </c>
      <c r="H1670" s="183">
        <f t="shared" ca="1" si="56"/>
        <v>-8.2195421610477756E-3</v>
      </c>
      <c r="K1670" s="36"/>
    </row>
    <row r="1671" spans="2:11">
      <c r="B1671" s="36">
        <v>43780</v>
      </c>
      <c r="C1671" s="182">
        <v>1417</v>
      </c>
      <c r="D1671" s="182">
        <f t="shared" si="55"/>
        <v>-4.216444132115249E-3</v>
      </c>
      <c r="E1671" s="182">
        <v>-2.8208744710860128E-3</v>
      </c>
      <c r="F1671" s="168"/>
      <c r="G1671" s="168">
        <v>1668</v>
      </c>
      <c r="H1671" s="183">
        <f t="shared" ca="1" si="56"/>
        <v>2.1327331686597232E-2</v>
      </c>
      <c r="K1671" s="36"/>
    </row>
    <row r="1672" spans="2:11">
      <c r="B1672" s="36">
        <v>43688</v>
      </c>
      <c r="C1672" s="182">
        <v>1423</v>
      </c>
      <c r="D1672" s="182">
        <f t="shared" si="55"/>
        <v>-8.3969199679453359E-3</v>
      </c>
      <c r="E1672" s="182">
        <v>-2.821088906532395E-3</v>
      </c>
      <c r="F1672" s="168"/>
      <c r="G1672" s="168">
        <v>1669</v>
      </c>
      <c r="H1672" s="183">
        <f t="shared" ca="1" si="56"/>
        <v>1.4090543927319194E-2</v>
      </c>
      <c r="K1672" s="36"/>
    </row>
    <row r="1673" spans="2:11">
      <c r="B1673" s="36">
        <v>43657</v>
      </c>
      <c r="C1673" s="182">
        <v>1435.05</v>
      </c>
      <c r="D1673" s="182">
        <f t="shared" si="55"/>
        <v>-1.2387736141220192E-2</v>
      </c>
      <c r="E1673" s="182">
        <v>-2.8233574702717069E-3</v>
      </c>
      <c r="F1673" s="168"/>
      <c r="G1673" s="168">
        <v>1670</v>
      </c>
      <c r="H1673" s="183">
        <f t="shared" ca="1" si="56"/>
        <v>-8.9661057829456235E-4</v>
      </c>
      <c r="K1673" s="36"/>
    </row>
    <row r="1674" spans="2:11">
      <c r="B1674" s="36">
        <v>43627</v>
      </c>
      <c r="C1674" s="182">
        <v>1453.05</v>
      </c>
      <c r="D1674" s="182">
        <f t="shared" si="55"/>
        <v>9.2026670370884845E-3</v>
      </c>
      <c r="E1674" s="182">
        <v>-2.8243635442840725E-3</v>
      </c>
      <c r="F1674" s="168"/>
      <c r="G1674" s="168">
        <v>1671</v>
      </c>
      <c r="H1674" s="183">
        <f t="shared" ca="1" si="56"/>
        <v>2.6446430089783922E-3</v>
      </c>
      <c r="K1674" s="36"/>
    </row>
    <row r="1675" spans="2:11">
      <c r="B1675" s="36">
        <v>43596</v>
      </c>
      <c r="C1675" s="182">
        <v>1439.8</v>
      </c>
      <c r="D1675" s="182">
        <f t="shared" si="55"/>
        <v>-8.5387687646330326E-3</v>
      </c>
      <c r="E1675" s="182">
        <v>-2.8344427743181915E-3</v>
      </c>
      <c r="F1675" s="168"/>
      <c r="G1675" s="168">
        <v>1672</v>
      </c>
      <c r="H1675" s="183">
        <f t="shared" ca="1" si="56"/>
        <v>2.6372981984561887E-3</v>
      </c>
      <c r="K1675" s="36"/>
    </row>
    <row r="1676" spans="2:11">
      <c r="B1676" s="36">
        <v>43566</v>
      </c>
      <c r="C1676" s="182">
        <v>1452.2</v>
      </c>
      <c r="D1676" s="182">
        <f t="shared" si="55"/>
        <v>1.9318338622878117E-3</v>
      </c>
      <c r="E1676" s="182">
        <v>-2.8427261744012511E-3</v>
      </c>
      <c r="F1676" s="168"/>
      <c r="G1676" s="168">
        <v>1673</v>
      </c>
      <c r="H1676" s="183">
        <f t="shared" ca="1" si="56"/>
        <v>-8.5055839065398403E-3</v>
      </c>
      <c r="K1676" s="36"/>
    </row>
    <row r="1677" spans="2:11">
      <c r="B1677" s="36">
        <v>43476</v>
      </c>
      <c r="C1677" s="182">
        <v>1449.4</v>
      </c>
      <c r="D1677" s="182">
        <f t="shared" si="55"/>
        <v>-1.6055123722887792E-2</v>
      </c>
      <c r="E1677" s="182">
        <v>-2.8501698155069407E-3</v>
      </c>
      <c r="F1677" s="168"/>
      <c r="G1677" s="168">
        <v>1674</v>
      </c>
      <c r="H1677" s="183">
        <f t="shared" ca="1" si="56"/>
        <v>-1.3574176229403694E-2</v>
      </c>
      <c r="K1677" s="36"/>
    </row>
    <row r="1678" spans="2:11">
      <c r="B1678" s="36" t="s">
        <v>9603</v>
      </c>
      <c r="C1678" s="182">
        <v>1473.05</v>
      </c>
      <c r="D1678" s="182">
        <f t="shared" si="55"/>
        <v>-8.1397320671530975E-4</v>
      </c>
      <c r="E1678" s="182">
        <v>-2.8532705613809827E-3</v>
      </c>
      <c r="F1678" s="168"/>
      <c r="G1678" s="168">
        <v>1675</v>
      </c>
      <c r="H1678" s="183">
        <f t="shared" ca="1" si="56"/>
        <v>8.0939260656686506E-3</v>
      </c>
      <c r="K1678" s="36"/>
    </row>
    <row r="1679" spans="2:11">
      <c r="B1679" s="36" t="s">
        <v>9604</v>
      </c>
      <c r="C1679" s="182">
        <v>1474.25</v>
      </c>
      <c r="D1679" s="182">
        <f t="shared" si="55"/>
        <v>9.0000684415851694E-3</v>
      </c>
      <c r="E1679" s="182">
        <v>-2.8700547054626756E-3</v>
      </c>
      <c r="F1679" s="168"/>
      <c r="G1679" s="168">
        <v>1676</v>
      </c>
      <c r="H1679" s="183">
        <f t="shared" ca="1" si="56"/>
        <v>2.0782755434549528E-2</v>
      </c>
      <c r="K1679" s="36"/>
    </row>
    <row r="1680" spans="2:11">
      <c r="B1680" s="36" t="s">
        <v>9605</v>
      </c>
      <c r="C1680" s="182">
        <v>1461.1</v>
      </c>
      <c r="D1680" s="182">
        <f t="shared" si="55"/>
        <v>1.8614054656999314E-2</v>
      </c>
      <c r="E1680" s="182">
        <v>-2.8719485546607583E-3</v>
      </c>
      <c r="F1680" s="168"/>
      <c r="G1680" s="168">
        <v>1677</v>
      </c>
      <c r="H1680" s="183">
        <f t="shared" ca="1" si="56"/>
        <v>1.1198742875065049E-2</v>
      </c>
      <c r="K1680" s="36"/>
    </row>
    <row r="1681" spans="2:11">
      <c r="B1681" s="36" t="s">
        <v>9606</v>
      </c>
      <c r="C1681" s="182">
        <v>1434.4</v>
      </c>
      <c r="D1681" s="182">
        <f t="shared" si="55"/>
        <v>6.5964912280702392E-3</v>
      </c>
      <c r="E1681" s="182">
        <v>-2.876400635384138E-3</v>
      </c>
      <c r="F1681" s="168"/>
      <c r="G1681" s="168">
        <v>1678</v>
      </c>
      <c r="H1681" s="183">
        <f t="shared" ca="1" si="56"/>
        <v>3.0656208958891144E-3</v>
      </c>
      <c r="K1681" s="36"/>
    </row>
    <row r="1682" spans="2:11">
      <c r="B1682" s="36" t="s">
        <v>9607</v>
      </c>
      <c r="C1682" s="182">
        <v>1425</v>
      </c>
      <c r="D1682" s="182">
        <f t="shared" si="55"/>
        <v>-5.0619654389945888E-3</v>
      </c>
      <c r="E1682" s="182">
        <v>-2.8811524609844248E-3</v>
      </c>
      <c r="F1682" s="168"/>
      <c r="G1682" s="168">
        <v>1679</v>
      </c>
      <c r="H1682" s="183">
        <f t="shared" ca="1" si="56"/>
        <v>1.0751025595616489E-2</v>
      </c>
      <c r="K1682" s="36"/>
    </row>
    <row r="1683" spans="2:11">
      <c r="B1683" s="36" t="s">
        <v>9608</v>
      </c>
      <c r="C1683" s="182">
        <v>1432.25</v>
      </c>
      <c r="D1683" s="182">
        <f t="shared" si="55"/>
        <v>3.1428970526613037E-4</v>
      </c>
      <c r="E1683" s="182">
        <v>-2.8941969519343828E-3</v>
      </c>
      <c r="F1683" s="168"/>
      <c r="G1683" s="168">
        <v>1680</v>
      </c>
      <c r="H1683" s="183">
        <f t="shared" ca="1" si="56"/>
        <v>2.0735111584118645E-3</v>
      </c>
      <c r="K1683" s="36"/>
    </row>
    <row r="1684" spans="2:11">
      <c r="B1684" s="36" t="s">
        <v>9609</v>
      </c>
      <c r="C1684" s="182">
        <v>1431.8</v>
      </c>
      <c r="D1684" s="182">
        <f t="shared" si="55"/>
        <v>-7.4520813836608784E-3</v>
      </c>
      <c r="E1684" s="182">
        <v>-2.8942934899996858E-3</v>
      </c>
      <c r="F1684" s="168"/>
      <c r="G1684" s="168">
        <v>1681</v>
      </c>
      <c r="H1684" s="183">
        <f t="shared" ca="1" si="56"/>
        <v>7.0160088438539926E-3</v>
      </c>
      <c r="K1684" s="36"/>
    </row>
    <row r="1685" spans="2:11">
      <c r="B1685" s="36" t="s">
        <v>9610</v>
      </c>
      <c r="C1685" s="182">
        <v>1442.55</v>
      </c>
      <c r="D1685" s="182">
        <f t="shared" si="55"/>
        <v>-3.6261914629092417E-3</v>
      </c>
      <c r="E1685" s="182">
        <v>-2.9089664613279353E-3</v>
      </c>
      <c r="F1685" s="168"/>
      <c r="G1685" s="168">
        <v>1682</v>
      </c>
      <c r="H1685" s="183">
        <f t="shared" ca="1" si="56"/>
        <v>-5.0539693999238798E-3</v>
      </c>
      <c r="K1685" s="36"/>
    </row>
    <row r="1686" spans="2:11">
      <c r="B1686" s="36" t="s">
        <v>9611</v>
      </c>
      <c r="C1686" s="182">
        <v>1447.8</v>
      </c>
      <c r="D1686" s="182">
        <f t="shared" si="55"/>
        <v>1.6463650086004176E-2</v>
      </c>
      <c r="E1686" s="182">
        <v>-2.911729791475351E-3</v>
      </c>
      <c r="F1686" s="168"/>
      <c r="G1686" s="168">
        <v>1683</v>
      </c>
      <c r="H1686" s="183">
        <f t="shared" ca="1" si="56"/>
        <v>-1.1109844878747508E-3</v>
      </c>
      <c r="K1686" s="36"/>
    </row>
    <row r="1687" spans="2:11">
      <c r="B1687" s="36" t="s">
        <v>9612</v>
      </c>
      <c r="C1687" s="182">
        <v>1424.35</v>
      </c>
      <c r="D1687" s="182">
        <f t="shared" si="55"/>
        <v>1.0532228619566323E-4</v>
      </c>
      <c r="E1687" s="182">
        <v>-2.9320139270661537E-3</v>
      </c>
      <c r="F1687" s="168"/>
      <c r="G1687" s="168">
        <v>1684</v>
      </c>
      <c r="H1687" s="183">
        <f t="shared" ca="1" si="56"/>
        <v>8.1949388057059695E-3</v>
      </c>
      <c r="K1687" s="36"/>
    </row>
    <row r="1688" spans="2:11">
      <c r="B1688" s="36" t="s">
        <v>9613</v>
      </c>
      <c r="C1688" s="182">
        <v>1424.2</v>
      </c>
      <c r="D1688" s="182">
        <f t="shared" si="55"/>
        <v>-5.620527142607753E-3</v>
      </c>
      <c r="E1688" s="182">
        <v>-2.936127200089878E-3</v>
      </c>
      <c r="F1688" s="168"/>
      <c r="G1688" s="168">
        <v>1685</v>
      </c>
      <c r="H1688" s="183">
        <f t="shared" ca="1" si="56"/>
        <v>-1.1349981389540839E-2</v>
      </c>
      <c r="K1688" s="36"/>
    </row>
    <row r="1689" spans="2:11">
      <c r="B1689" s="36" t="s">
        <v>9614</v>
      </c>
      <c r="C1689" s="182">
        <v>1432.25</v>
      </c>
      <c r="D1689" s="182">
        <f t="shared" si="55"/>
        <v>5.8288563502931663E-3</v>
      </c>
      <c r="E1689" s="182">
        <v>-2.9538504309146512E-3</v>
      </c>
      <c r="F1689" s="168"/>
      <c r="G1689" s="168">
        <v>1686</v>
      </c>
      <c r="H1689" s="183">
        <f t="shared" ca="1" si="56"/>
        <v>1.7566064143432529E-2</v>
      </c>
      <c r="K1689" s="36"/>
    </row>
    <row r="1690" spans="2:11">
      <c r="B1690" s="36" t="s">
        <v>9615</v>
      </c>
      <c r="C1690" s="182">
        <v>1423.95</v>
      </c>
      <c r="D1690" s="182">
        <f t="shared" si="55"/>
        <v>-2.6266022273586888E-3</v>
      </c>
      <c r="E1690" s="182">
        <v>-2.9683274795636655E-3</v>
      </c>
      <c r="F1690" s="168"/>
      <c r="G1690" s="168">
        <v>1687</v>
      </c>
      <c r="H1690" s="183">
        <f t="shared" ca="1" si="56"/>
        <v>1.5859505644556748E-2</v>
      </c>
      <c r="K1690" s="36"/>
    </row>
    <row r="1691" spans="2:11">
      <c r="B1691" s="36">
        <v>43779</v>
      </c>
      <c r="C1691" s="182">
        <v>1427.7</v>
      </c>
      <c r="D1691" s="182">
        <f t="shared" si="55"/>
        <v>1.8244333730967207E-3</v>
      </c>
      <c r="E1691" s="182">
        <v>-2.9820796521835562E-3</v>
      </c>
      <c r="F1691" s="168"/>
      <c r="G1691" s="168">
        <v>1688</v>
      </c>
      <c r="H1691" s="183">
        <f t="shared" ca="1" si="56"/>
        <v>2.2992745961222102E-3</v>
      </c>
      <c r="K1691" s="36"/>
    </row>
    <row r="1692" spans="2:11">
      <c r="B1692" s="36">
        <v>43748</v>
      </c>
      <c r="C1692" s="182">
        <v>1425.1</v>
      </c>
      <c r="D1692" s="182">
        <f t="shared" si="55"/>
        <v>-8.0631025416307868E-4</v>
      </c>
      <c r="E1692" s="182">
        <v>-2.9843322556577213E-3</v>
      </c>
      <c r="F1692" s="168"/>
      <c r="G1692" s="168">
        <v>1689</v>
      </c>
      <c r="H1692" s="183">
        <f t="shared" ca="1" si="56"/>
        <v>5.8995446092771041E-3</v>
      </c>
      <c r="K1692" s="36"/>
    </row>
    <row r="1693" spans="2:11">
      <c r="B1693" s="36">
        <v>43718</v>
      </c>
      <c r="C1693" s="182">
        <v>1426.25</v>
      </c>
      <c r="D1693" s="182">
        <f t="shared" si="55"/>
        <v>2.0316915262724965E-2</v>
      </c>
      <c r="E1693" s="182">
        <v>-2.9906322841687866E-3</v>
      </c>
      <c r="F1693" s="168"/>
      <c r="G1693" s="168">
        <v>1690</v>
      </c>
      <c r="H1693" s="183">
        <f t="shared" ca="1" si="56"/>
        <v>-3.4111192677034885E-2</v>
      </c>
      <c r="K1693" s="36"/>
    </row>
    <row r="1694" spans="2:11">
      <c r="B1694" s="36">
        <v>43656</v>
      </c>
      <c r="C1694" s="182">
        <v>1397.85</v>
      </c>
      <c r="D1694" s="182">
        <f t="shared" si="55"/>
        <v>-1.8983788336023707E-2</v>
      </c>
      <c r="E1694" s="182">
        <v>-2.9933938893477404E-3</v>
      </c>
      <c r="F1694" s="168"/>
      <c r="G1694" s="168">
        <v>1691</v>
      </c>
      <c r="H1694" s="183">
        <f t="shared" ca="1" si="56"/>
        <v>-1.4392341029220691E-2</v>
      </c>
      <c r="K1694" s="36"/>
    </row>
    <row r="1695" spans="2:11">
      <c r="B1695" s="36">
        <v>43565</v>
      </c>
      <c r="C1695" s="182">
        <v>1424.9</v>
      </c>
      <c r="D1695" s="182">
        <f t="shared" si="55"/>
        <v>-2.2735845821473793E-2</v>
      </c>
      <c r="E1695" s="182">
        <v>-2.9978313560401954E-3</v>
      </c>
      <c r="F1695" s="168"/>
      <c r="G1695" s="168">
        <v>1692</v>
      </c>
      <c r="H1695" s="183">
        <f t="shared" ca="1" si="56"/>
        <v>-3.878336007537642E-3</v>
      </c>
      <c r="K1695" s="36"/>
    </row>
    <row r="1696" spans="2:11">
      <c r="B1696" s="36">
        <v>43534</v>
      </c>
      <c r="C1696" s="182">
        <v>1458.05</v>
      </c>
      <c r="D1696" s="182">
        <f t="shared" si="55"/>
        <v>-4.0982206891841131E-3</v>
      </c>
      <c r="E1696" s="182">
        <v>-3.0011542901116515E-3</v>
      </c>
      <c r="F1696" s="168"/>
      <c r="G1696" s="168">
        <v>1693</v>
      </c>
      <c r="H1696" s="183">
        <f t="shared" ca="1" si="56"/>
        <v>8.7270163465803102E-3</v>
      </c>
      <c r="K1696" s="36"/>
    </row>
    <row r="1697" spans="2:11">
      <c r="B1697" s="36">
        <v>43475</v>
      </c>
      <c r="C1697" s="182">
        <v>1464.05</v>
      </c>
      <c r="D1697" s="182">
        <f t="shared" si="55"/>
        <v>-6.9187722570799018E-3</v>
      </c>
      <c r="E1697" s="182">
        <v>-3.0082188837359542E-3</v>
      </c>
      <c r="F1697" s="168"/>
      <c r="G1697" s="168">
        <v>1694</v>
      </c>
      <c r="H1697" s="183">
        <f t="shared" ca="1" si="56"/>
        <v>1.7110304213761608E-3</v>
      </c>
      <c r="K1697" s="36"/>
    </row>
    <row r="1698" spans="2:11">
      <c r="B1698" s="36" t="s">
        <v>9616</v>
      </c>
      <c r="C1698" s="182">
        <v>1474.25</v>
      </c>
      <c r="D1698" s="182">
        <f t="shared" si="55"/>
        <v>1.0864767595830027E-3</v>
      </c>
      <c r="E1698" s="182">
        <v>-3.0230128834160767E-3</v>
      </c>
      <c r="F1698" s="168"/>
      <c r="G1698" s="168">
        <v>1695</v>
      </c>
      <c r="H1698" s="183">
        <f t="shared" ca="1" si="56"/>
        <v>3.6636507443195757E-3</v>
      </c>
      <c r="K1698" s="36"/>
    </row>
    <row r="1699" spans="2:11">
      <c r="B1699" s="36" t="s">
        <v>9617</v>
      </c>
      <c r="C1699" s="182">
        <v>1472.65</v>
      </c>
      <c r="D1699" s="182">
        <f t="shared" si="55"/>
        <v>-1.1544786387891278E-2</v>
      </c>
      <c r="E1699" s="182">
        <v>-3.0274132267683876E-3</v>
      </c>
      <c r="F1699" s="168"/>
      <c r="G1699" s="168">
        <v>1696</v>
      </c>
      <c r="H1699" s="183">
        <f t="shared" ca="1" si="56"/>
        <v>5.8836755001143697E-3</v>
      </c>
      <c r="K1699" s="36"/>
    </row>
    <row r="1700" spans="2:11">
      <c r="B1700" s="36" t="s">
        <v>9618</v>
      </c>
      <c r="C1700" s="182">
        <v>1489.85</v>
      </c>
      <c r="D1700" s="182">
        <f t="shared" si="55"/>
        <v>2.7411902627405008E-2</v>
      </c>
      <c r="E1700" s="182">
        <v>-3.0432715168806899E-3</v>
      </c>
      <c r="F1700" s="168"/>
      <c r="G1700" s="168">
        <v>1697</v>
      </c>
      <c r="H1700" s="183">
        <f t="shared" ca="1" si="56"/>
        <v>1.5268570188270748E-3</v>
      </c>
      <c r="K1700" s="36"/>
    </row>
    <row r="1701" spans="2:11">
      <c r="B1701" s="36" t="s">
        <v>9619</v>
      </c>
      <c r="C1701" s="182">
        <v>1450.1</v>
      </c>
      <c r="D1701" s="182">
        <f t="shared" si="55"/>
        <v>-2.1062580166070374E-2</v>
      </c>
      <c r="E1701" s="182">
        <v>-3.0547923064489471E-3</v>
      </c>
      <c r="F1701" s="168"/>
      <c r="G1701" s="168">
        <v>1698</v>
      </c>
      <c r="H1701" s="183">
        <f t="shared" ca="1" si="56"/>
        <v>1.9262013054884251E-2</v>
      </c>
      <c r="K1701" s="36"/>
    </row>
    <row r="1702" spans="2:11">
      <c r="B1702" s="36" t="s">
        <v>9620</v>
      </c>
      <c r="C1702" s="182">
        <v>1481.3</v>
      </c>
      <c r="D1702" s="182">
        <f t="shared" si="55"/>
        <v>-3.0879947661105689E-2</v>
      </c>
      <c r="E1702" s="182">
        <v>-3.0677436604655346E-3</v>
      </c>
      <c r="F1702" s="168"/>
      <c r="G1702" s="168">
        <v>1699</v>
      </c>
      <c r="H1702" s="183">
        <f t="shared" ca="1" si="56"/>
        <v>-1.4261359701923503E-2</v>
      </c>
      <c r="K1702" s="36"/>
    </row>
    <row r="1703" spans="2:11">
      <c r="B1703" s="36" t="s">
        <v>9621</v>
      </c>
      <c r="C1703" s="182">
        <v>1528.5</v>
      </c>
      <c r="D1703" s="182">
        <f t="shared" si="55"/>
        <v>8.2890541976620616E-2</v>
      </c>
      <c r="E1703" s="182">
        <v>-3.0701529959576319E-3</v>
      </c>
      <c r="F1703" s="168"/>
      <c r="G1703" s="168">
        <v>1700</v>
      </c>
      <c r="H1703" s="183">
        <f t="shared" ca="1" si="56"/>
        <v>-1.0682841752602829E-2</v>
      </c>
      <c r="K1703" s="36"/>
    </row>
    <row r="1704" spans="2:11">
      <c r="B1704" s="36" t="s">
        <v>9622</v>
      </c>
      <c r="C1704" s="182">
        <v>1411.5</v>
      </c>
      <c r="D1704" s="182">
        <f t="shared" si="55"/>
        <v>8.5184900438225533E-2</v>
      </c>
      <c r="E1704" s="182">
        <v>-3.1188227542279416E-3</v>
      </c>
      <c r="F1704" s="168"/>
      <c r="G1704" s="168">
        <v>1701</v>
      </c>
      <c r="H1704" s="183">
        <f t="shared" ca="1" si="56"/>
        <v>2.2167835121773859E-2</v>
      </c>
      <c r="K1704" s="36"/>
    </row>
    <row r="1705" spans="2:11">
      <c r="B1705" s="36" t="s">
        <v>9623</v>
      </c>
      <c r="C1705" s="182">
        <v>1300.7</v>
      </c>
      <c r="D1705" s="182">
        <f t="shared" si="55"/>
        <v>-1.3125948406676748E-2</v>
      </c>
      <c r="E1705" s="182">
        <v>-3.13671888690298E-3</v>
      </c>
      <c r="F1705" s="168"/>
      <c r="G1705" s="168">
        <v>1702</v>
      </c>
      <c r="H1705" s="183">
        <f t="shared" ca="1" si="56"/>
        <v>-1.9929199196816374E-2</v>
      </c>
      <c r="K1705" s="36"/>
    </row>
    <row r="1706" spans="2:11">
      <c r="B1706" s="36" t="s">
        <v>9624</v>
      </c>
      <c r="C1706" s="182">
        <v>1318</v>
      </c>
      <c r="D1706" s="182">
        <f t="shared" si="55"/>
        <v>3.2731978381669745E-3</v>
      </c>
      <c r="E1706" s="182">
        <v>-3.1367727494838581E-3</v>
      </c>
      <c r="F1706" s="168"/>
      <c r="G1706" s="168">
        <v>1703</v>
      </c>
      <c r="H1706" s="183">
        <f t="shared" ca="1" si="56"/>
        <v>5.8161260653516221E-3</v>
      </c>
      <c r="K1706" s="36"/>
    </row>
    <row r="1707" spans="2:11">
      <c r="B1707" s="36" t="s">
        <v>9625</v>
      </c>
      <c r="C1707" s="182">
        <v>1313.7</v>
      </c>
      <c r="D1707" s="182">
        <f t="shared" si="55"/>
        <v>-2.2253646918725712E-2</v>
      </c>
      <c r="E1707" s="182">
        <v>-3.1447704317584817E-3</v>
      </c>
      <c r="F1707" s="168"/>
      <c r="G1707" s="168">
        <v>1704</v>
      </c>
      <c r="H1707" s="183">
        <f t="shared" ca="1" si="56"/>
        <v>2.6538226981711989E-3</v>
      </c>
      <c r="K1707" s="36"/>
    </row>
    <row r="1708" spans="2:11">
      <c r="B1708" s="36" t="s">
        <v>9626</v>
      </c>
      <c r="C1708" s="182">
        <v>1343.6</v>
      </c>
      <c r="D1708" s="182">
        <f t="shared" si="55"/>
        <v>-1.4558656349701226E-2</v>
      </c>
      <c r="E1708" s="182">
        <v>-3.1484782355194383E-3</v>
      </c>
      <c r="F1708" s="168"/>
      <c r="G1708" s="168">
        <v>1705</v>
      </c>
      <c r="H1708" s="183">
        <f t="shared" ca="1" si="56"/>
        <v>7.1360695468898729E-3</v>
      </c>
      <c r="K1708" s="36"/>
    </row>
    <row r="1709" spans="2:11">
      <c r="B1709" s="36" t="s">
        <v>9627</v>
      </c>
      <c r="C1709" s="182">
        <v>1363.45</v>
      </c>
      <c r="D1709" s="182">
        <f t="shared" si="55"/>
        <v>7.7069876688193957E-4</v>
      </c>
      <c r="E1709" s="182">
        <v>-3.1492041875904333E-3</v>
      </c>
      <c r="F1709" s="168"/>
      <c r="G1709" s="168">
        <v>1706</v>
      </c>
      <c r="H1709" s="183">
        <f t="shared" ca="1" si="56"/>
        <v>-2.5314635522165896E-3</v>
      </c>
      <c r="K1709" s="36"/>
    </row>
    <row r="1710" spans="2:11">
      <c r="B1710" s="36">
        <v>43808</v>
      </c>
      <c r="C1710" s="182">
        <v>1362.4</v>
      </c>
      <c r="D1710" s="182">
        <f t="shared" si="55"/>
        <v>-9.1665750009166564E-4</v>
      </c>
      <c r="E1710" s="182">
        <v>-3.1505501936435728E-3</v>
      </c>
      <c r="F1710" s="168"/>
      <c r="G1710" s="168">
        <v>1707</v>
      </c>
      <c r="H1710" s="183">
        <f t="shared" ca="1" si="56"/>
        <v>2.643960703706638E-3</v>
      </c>
      <c r="K1710" s="36"/>
    </row>
    <row r="1711" spans="2:11">
      <c r="B1711" s="36">
        <v>43778</v>
      </c>
      <c r="C1711" s="182">
        <v>1363.65</v>
      </c>
      <c r="D1711" s="182">
        <f t="shared" si="55"/>
        <v>4.9005158437730959E-3</v>
      </c>
      <c r="E1711" s="182">
        <v>-3.1636225587379258E-3</v>
      </c>
      <c r="F1711" s="168"/>
      <c r="G1711" s="168">
        <v>1708</v>
      </c>
      <c r="H1711" s="183">
        <f t="shared" ca="1" si="56"/>
        <v>8.0591445826623566E-3</v>
      </c>
      <c r="K1711" s="36"/>
    </row>
    <row r="1712" spans="2:11">
      <c r="B1712" s="36">
        <v>43717</v>
      </c>
      <c r="C1712" s="182">
        <v>1357</v>
      </c>
      <c r="D1712" s="182">
        <f t="shared" si="55"/>
        <v>2.1337447785345957E-2</v>
      </c>
      <c r="E1712" s="182">
        <v>-3.1649685670930767E-3</v>
      </c>
      <c r="F1712" s="168"/>
      <c r="G1712" s="168">
        <v>1709</v>
      </c>
      <c r="H1712" s="183">
        <f t="shared" ca="1" si="56"/>
        <v>1.5629305236205932E-3</v>
      </c>
      <c r="K1712" s="36"/>
    </row>
    <row r="1713" spans="2:11">
      <c r="B1713" s="36">
        <v>43625</v>
      </c>
      <c r="C1713" s="182">
        <v>1328.65</v>
      </c>
      <c r="D1713" s="182">
        <f t="shared" si="55"/>
        <v>6.3243202302508041E-3</v>
      </c>
      <c r="E1713" s="182">
        <v>-3.1715388858246422E-3</v>
      </c>
      <c r="F1713" s="168"/>
      <c r="G1713" s="168">
        <v>1710</v>
      </c>
      <c r="H1713" s="183">
        <f t="shared" ca="1" si="56"/>
        <v>3.4484920476048404E-2</v>
      </c>
      <c r="K1713" s="36"/>
    </row>
    <row r="1714" spans="2:11">
      <c r="B1714" s="36">
        <v>43594</v>
      </c>
      <c r="C1714" s="182">
        <v>1320.3</v>
      </c>
      <c r="D1714" s="182">
        <f t="shared" si="55"/>
        <v>9.3650854325140476E-3</v>
      </c>
      <c r="E1714" s="182">
        <v>-3.173029251363456E-3</v>
      </c>
      <c r="F1714" s="168"/>
      <c r="G1714" s="168">
        <v>1711</v>
      </c>
      <c r="H1714" s="183">
        <f t="shared" ca="1" si="56"/>
        <v>5.9223516801340491E-3</v>
      </c>
      <c r="K1714" s="36"/>
    </row>
    <row r="1715" spans="2:11">
      <c r="B1715" s="36">
        <v>43564</v>
      </c>
      <c r="C1715" s="182">
        <v>1308.05</v>
      </c>
      <c r="D1715" s="182">
        <f t="shared" si="55"/>
        <v>1.0545426452410278E-2</v>
      </c>
      <c r="E1715" s="182">
        <v>-3.1865697742199791E-3</v>
      </c>
      <c r="F1715" s="168"/>
      <c r="G1715" s="168">
        <v>1712</v>
      </c>
      <c r="H1715" s="183">
        <f t="shared" ca="1" si="56"/>
        <v>5.37491144639465E-3</v>
      </c>
      <c r="K1715" s="36"/>
    </row>
    <row r="1716" spans="2:11">
      <c r="B1716" s="36">
        <v>43533</v>
      </c>
      <c r="C1716" s="182">
        <v>1294.4000000000001</v>
      </c>
      <c r="D1716" s="182">
        <f t="shared" si="55"/>
        <v>-2.5484660267268894E-2</v>
      </c>
      <c r="E1716" s="182">
        <v>-3.1925618908926956E-3</v>
      </c>
      <c r="F1716" s="168"/>
      <c r="G1716" s="168">
        <v>1713</v>
      </c>
      <c r="H1716" s="183">
        <f t="shared" ca="1" si="56"/>
        <v>1.663655061626193E-2</v>
      </c>
      <c r="K1716" s="36"/>
    </row>
    <row r="1717" spans="2:11">
      <c r="B1717" s="36" t="s">
        <v>9628</v>
      </c>
      <c r="C1717" s="182">
        <v>1328.25</v>
      </c>
      <c r="D1717" s="182">
        <f t="shared" si="55"/>
        <v>-1.0577675146187973E-2</v>
      </c>
      <c r="E1717" s="182">
        <v>-3.2007716929011829E-3</v>
      </c>
      <c r="F1717" s="168"/>
      <c r="G1717" s="168">
        <v>1714</v>
      </c>
      <c r="H1717" s="183">
        <f t="shared" ca="1" si="56"/>
        <v>3.4725606159990395E-2</v>
      </c>
      <c r="K1717" s="36"/>
    </row>
    <row r="1718" spans="2:11">
      <c r="B1718" s="36" t="s">
        <v>9629</v>
      </c>
      <c r="C1718" s="182">
        <v>1342.45</v>
      </c>
      <c r="D1718" s="182">
        <f t="shared" si="55"/>
        <v>-1.6361134867809803E-3</v>
      </c>
      <c r="E1718" s="182">
        <v>-3.2119484482274062E-3</v>
      </c>
      <c r="F1718" s="168"/>
      <c r="G1718" s="168">
        <v>1715</v>
      </c>
      <c r="H1718" s="183">
        <f t="shared" ca="1" si="56"/>
        <v>3.5239889177157775E-3</v>
      </c>
      <c r="K1718" s="36"/>
    </row>
    <row r="1719" spans="2:11">
      <c r="B1719" s="36" t="s">
        <v>9630</v>
      </c>
      <c r="C1719" s="182">
        <v>1344.65</v>
      </c>
      <c r="D1719" s="182">
        <f t="shared" si="55"/>
        <v>-9.0644460002210509E-3</v>
      </c>
      <c r="E1719" s="182">
        <v>-3.2209099996297133E-3</v>
      </c>
      <c r="F1719" s="168"/>
      <c r="G1719" s="168">
        <v>1716</v>
      </c>
      <c r="H1719" s="183">
        <f t="shared" ca="1" si="56"/>
        <v>4.2141895264976225E-4</v>
      </c>
      <c r="K1719" s="36"/>
    </row>
    <row r="1720" spans="2:11">
      <c r="B1720" s="36" t="s">
        <v>9631</v>
      </c>
      <c r="C1720" s="182">
        <v>1356.95</v>
      </c>
      <c r="D1720" s="182">
        <f t="shared" si="55"/>
        <v>1.7470850672965135E-2</v>
      </c>
      <c r="E1720" s="182">
        <v>-3.224565866934914E-3</v>
      </c>
      <c r="F1720" s="168"/>
      <c r="G1720" s="168">
        <v>1717</v>
      </c>
      <c r="H1720" s="183">
        <f t="shared" ca="1" si="56"/>
        <v>4.8119704324796009E-2</v>
      </c>
      <c r="K1720" s="36"/>
    </row>
    <row r="1721" spans="2:11">
      <c r="B1721" s="36" t="s">
        <v>9632</v>
      </c>
      <c r="C1721" s="182">
        <v>1333.65</v>
      </c>
      <c r="D1721" s="182">
        <f t="shared" si="55"/>
        <v>3.6649825106879197E-2</v>
      </c>
      <c r="E1721" s="182">
        <v>-3.2383994321709378E-3</v>
      </c>
      <c r="F1721" s="168"/>
      <c r="G1721" s="168">
        <v>1718</v>
      </c>
      <c r="H1721" s="183">
        <f t="shared" ca="1" si="56"/>
        <v>-4.64012064292152E-3</v>
      </c>
      <c r="K1721" s="36"/>
    </row>
    <row r="1722" spans="2:11">
      <c r="B1722" s="36" t="s">
        <v>9633</v>
      </c>
      <c r="C1722" s="182">
        <v>1286.5</v>
      </c>
      <c r="D1722" s="182">
        <f t="shared" si="55"/>
        <v>-5.9880239520958087E-3</v>
      </c>
      <c r="E1722" s="182">
        <v>-3.2393410254828161E-3</v>
      </c>
      <c r="F1722" s="168"/>
      <c r="G1722" s="168">
        <v>1719</v>
      </c>
      <c r="H1722" s="183">
        <f t="shared" ca="1" si="56"/>
        <v>1.459121958849946E-2</v>
      </c>
      <c r="K1722" s="36"/>
    </row>
    <row r="1723" spans="2:11">
      <c r="B1723" s="36" t="s">
        <v>9634</v>
      </c>
      <c r="C1723" s="182">
        <v>1294.25</v>
      </c>
      <c r="D1723" s="182">
        <f t="shared" si="55"/>
        <v>-1.251287529088627E-2</v>
      </c>
      <c r="E1723" s="182">
        <v>-3.2492518170158446E-3</v>
      </c>
      <c r="F1723" s="168"/>
      <c r="G1723" s="168">
        <v>1720</v>
      </c>
      <c r="H1723" s="183">
        <f t="shared" ca="1" si="56"/>
        <v>1.4734602150139681E-2</v>
      </c>
      <c r="K1723" s="36"/>
    </row>
    <row r="1724" spans="2:11">
      <c r="B1724" s="36" t="s">
        <v>9635</v>
      </c>
      <c r="C1724" s="182">
        <v>1310.6500000000001</v>
      </c>
      <c r="D1724" s="182">
        <f t="shared" si="55"/>
        <v>-2.372439478584723E-2</v>
      </c>
      <c r="E1724" s="182">
        <v>-3.2568677428491477E-3</v>
      </c>
      <c r="F1724" s="168"/>
      <c r="G1724" s="168">
        <v>1721</v>
      </c>
      <c r="H1724" s="183">
        <f t="shared" ca="1" si="56"/>
        <v>-1.2485315431792848E-2</v>
      </c>
      <c r="K1724" s="36"/>
    </row>
    <row r="1725" spans="2:11">
      <c r="B1725" s="36" t="s">
        <v>9636</v>
      </c>
      <c r="C1725" s="182">
        <v>1342.5</v>
      </c>
      <c r="D1725" s="182">
        <f t="shared" si="55"/>
        <v>-7.1734950451117037E-3</v>
      </c>
      <c r="E1725" s="182">
        <v>-3.2823350694444198E-3</v>
      </c>
      <c r="F1725" s="168"/>
      <c r="G1725" s="168">
        <v>1722</v>
      </c>
      <c r="H1725" s="183">
        <f t="shared" ca="1" si="56"/>
        <v>9.6631013117008304E-3</v>
      </c>
      <c r="K1725" s="36"/>
    </row>
    <row r="1726" spans="2:11">
      <c r="B1726" s="36" t="s">
        <v>9637</v>
      </c>
      <c r="C1726" s="182">
        <v>1352.2</v>
      </c>
      <c r="D1726" s="182">
        <f t="shared" si="55"/>
        <v>1.2694252012731732E-2</v>
      </c>
      <c r="E1726" s="182">
        <v>-3.3296337402885985E-3</v>
      </c>
      <c r="F1726" s="168"/>
      <c r="G1726" s="168">
        <v>1723</v>
      </c>
      <c r="H1726" s="183">
        <f t="shared" ca="1" si="56"/>
        <v>-3.4496498534867231E-3</v>
      </c>
      <c r="K1726" s="36"/>
    </row>
    <row r="1727" spans="2:11">
      <c r="B1727" s="36" t="s">
        <v>9638</v>
      </c>
      <c r="C1727" s="182">
        <v>1335.25</v>
      </c>
      <c r="D1727" s="182">
        <f t="shared" si="55"/>
        <v>1.1621804003898587E-3</v>
      </c>
      <c r="E1727" s="182">
        <v>-3.3375052148520244E-3</v>
      </c>
      <c r="F1727" s="168"/>
      <c r="G1727" s="168">
        <v>1724</v>
      </c>
      <c r="H1727" s="183">
        <f t="shared" ca="1" si="56"/>
        <v>1.792713950539376E-2</v>
      </c>
      <c r="K1727" s="36"/>
    </row>
    <row r="1728" spans="2:11">
      <c r="B1728" s="36" t="s">
        <v>9639</v>
      </c>
      <c r="C1728" s="182">
        <v>1333.7</v>
      </c>
      <c r="D1728" s="182">
        <f t="shared" si="55"/>
        <v>1.5572054064344219E-2</v>
      </c>
      <c r="E1728" s="182">
        <v>-3.3588563969498809E-3</v>
      </c>
      <c r="F1728" s="168"/>
      <c r="G1728" s="168">
        <v>1725</v>
      </c>
      <c r="H1728" s="183">
        <f t="shared" ca="1" si="56"/>
        <v>2.2342505544362731E-2</v>
      </c>
      <c r="K1728" s="36"/>
    </row>
    <row r="1729" spans="2:11">
      <c r="B1729" s="36" t="s">
        <v>9640</v>
      </c>
      <c r="C1729" s="182">
        <v>1313.25</v>
      </c>
      <c r="D1729" s="182">
        <f t="shared" si="55"/>
        <v>-3.7630074747178596E-2</v>
      </c>
      <c r="E1729" s="182">
        <v>-3.3670033670034488E-3</v>
      </c>
      <c r="F1729" s="168"/>
      <c r="G1729" s="168">
        <v>1726</v>
      </c>
      <c r="H1729" s="183">
        <f t="shared" ca="1" si="56"/>
        <v>1.4507740761010995E-2</v>
      </c>
      <c r="K1729" s="36"/>
    </row>
    <row r="1730" spans="2:11">
      <c r="B1730" s="36">
        <v>43716</v>
      </c>
      <c r="C1730" s="182">
        <v>1364.6</v>
      </c>
      <c r="D1730" s="182">
        <f t="shared" si="55"/>
        <v>2.9030242898613295E-3</v>
      </c>
      <c r="E1730" s="182">
        <v>-3.3811569039568397E-3</v>
      </c>
      <c r="F1730" s="168"/>
      <c r="G1730" s="168">
        <v>1727</v>
      </c>
      <c r="H1730" s="183">
        <f t="shared" ca="1" si="56"/>
        <v>3.6221791291878064E-3</v>
      </c>
      <c r="K1730" s="36"/>
    </row>
    <row r="1731" spans="2:11">
      <c r="B1731" s="36">
        <v>43685</v>
      </c>
      <c r="C1731" s="182">
        <v>1360.65</v>
      </c>
      <c r="D1731" s="182">
        <f t="shared" si="55"/>
        <v>4.4116025146144364E-4</v>
      </c>
      <c r="E1731" s="182">
        <v>-3.3872209391840576E-3</v>
      </c>
      <c r="F1731" s="168"/>
      <c r="G1731" s="168">
        <v>1728</v>
      </c>
      <c r="H1731" s="183">
        <f t="shared" ca="1" si="56"/>
        <v>-1.9537878030569125E-2</v>
      </c>
      <c r="K1731" s="36"/>
    </row>
    <row r="1732" spans="2:11">
      <c r="B1732" s="36">
        <v>43654</v>
      </c>
      <c r="C1732" s="182">
        <v>1360.05</v>
      </c>
      <c r="D1732" s="182">
        <f t="shared" ref="D1732:D1795" si="57">(C1732-C1733)/C1733</f>
        <v>-1.2667876588021812E-2</v>
      </c>
      <c r="E1732" s="182">
        <v>-3.3925155428024597E-3</v>
      </c>
      <c r="F1732" s="168"/>
      <c r="G1732" s="168">
        <v>1729</v>
      </c>
      <c r="H1732" s="183">
        <f t="shared" ca="1" si="56"/>
        <v>-1.034948822707275E-2</v>
      </c>
      <c r="K1732" s="36"/>
    </row>
    <row r="1733" spans="2:11">
      <c r="B1733" s="36">
        <v>43624</v>
      </c>
      <c r="C1733" s="182">
        <v>1377.5</v>
      </c>
      <c r="D1733" s="182">
        <f t="shared" si="57"/>
        <v>2.3554762966265453E-2</v>
      </c>
      <c r="E1733" s="182">
        <v>-3.3953997809419746E-3</v>
      </c>
      <c r="F1733" s="168"/>
      <c r="G1733" s="168">
        <v>1730</v>
      </c>
      <c r="H1733" s="183">
        <f t="shared" ref="H1733:H1796" ca="1" si="58">_xlfn.NORM.INV(RAND(),N$6,N$7)</f>
        <v>1.7455148732642495E-2</v>
      </c>
      <c r="K1733" s="36"/>
    </row>
    <row r="1734" spans="2:11">
      <c r="B1734" s="36">
        <v>43593</v>
      </c>
      <c r="C1734" s="182">
        <v>1345.8</v>
      </c>
      <c r="D1734" s="182">
        <f t="shared" si="57"/>
        <v>-1.78434592227696E-2</v>
      </c>
      <c r="E1734" s="182">
        <v>-3.4038297117229598E-3</v>
      </c>
      <c r="F1734" s="168"/>
      <c r="G1734" s="168">
        <v>1731</v>
      </c>
      <c r="H1734" s="183">
        <f t="shared" ca="1" si="58"/>
        <v>1.6708413402841083E-3</v>
      </c>
      <c r="K1734" s="36"/>
    </row>
    <row r="1735" spans="2:11">
      <c r="B1735" s="36">
        <v>43504</v>
      </c>
      <c r="C1735" s="182">
        <v>1370.25</v>
      </c>
      <c r="D1735" s="182">
        <f t="shared" si="57"/>
        <v>8.9834689444424336E-3</v>
      </c>
      <c r="E1735" s="182">
        <v>-3.4063260340632356E-3</v>
      </c>
      <c r="F1735" s="168"/>
      <c r="G1735" s="168">
        <v>1732</v>
      </c>
      <c r="H1735" s="183">
        <f t="shared" ca="1" si="58"/>
        <v>-2.5001071957935498E-2</v>
      </c>
      <c r="K1735" s="36"/>
    </row>
    <row r="1736" spans="2:11">
      <c r="B1736" s="36">
        <v>43473</v>
      </c>
      <c r="C1736" s="182">
        <v>1358.05</v>
      </c>
      <c r="D1736" s="182">
        <f t="shared" si="57"/>
        <v>-2.1084120233547179E-2</v>
      </c>
      <c r="E1736" s="182">
        <v>-3.4146542148351207E-3</v>
      </c>
      <c r="F1736" s="168"/>
      <c r="G1736" s="168">
        <v>1733</v>
      </c>
      <c r="H1736" s="183">
        <f t="shared" ca="1" si="58"/>
        <v>1.2636603437129485E-3</v>
      </c>
      <c r="K1736" s="36"/>
    </row>
    <row r="1737" spans="2:11">
      <c r="B1737" s="36" t="s">
        <v>9641</v>
      </c>
      <c r="C1737" s="182">
        <v>1387.3</v>
      </c>
      <c r="D1737" s="182">
        <f t="shared" si="57"/>
        <v>7.9558251898136714E-3</v>
      </c>
      <c r="E1737" s="182">
        <v>-3.4150884818379698E-3</v>
      </c>
      <c r="F1737" s="168"/>
      <c r="G1737" s="168">
        <v>1734</v>
      </c>
      <c r="H1737" s="183">
        <f t="shared" ca="1" si="58"/>
        <v>7.2522323520217294E-4</v>
      </c>
      <c r="K1737" s="36"/>
    </row>
    <row r="1738" spans="2:11">
      <c r="B1738" s="36" t="s">
        <v>9642</v>
      </c>
      <c r="C1738" s="182">
        <v>1376.35</v>
      </c>
      <c r="D1738" s="182">
        <f t="shared" si="57"/>
        <v>3.5362741523878301E-3</v>
      </c>
      <c r="E1738" s="182">
        <v>-3.4380190829372413E-3</v>
      </c>
      <c r="F1738" s="168"/>
      <c r="G1738" s="168">
        <v>1735</v>
      </c>
      <c r="H1738" s="183">
        <f t="shared" ca="1" si="58"/>
        <v>7.7892366205498439E-3</v>
      </c>
      <c r="K1738" s="36"/>
    </row>
    <row r="1739" spans="2:11">
      <c r="B1739" s="36" t="s">
        <v>9643</v>
      </c>
      <c r="C1739" s="182">
        <v>1371.5</v>
      </c>
      <c r="D1739" s="182">
        <f t="shared" si="57"/>
        <v>-1.4833171712818368E-2</v>
      </c>
      <c r="E1739" s="182">
        <v>-3.4451213578059869E-3</v>
      </c>
      <c r="F1739" s="168"/>
      <c r="G1739" s="168">
        <v>1736</v>
      </c>
      <c r="H1739" s="183">
        <f t="shared" ca="1" si="58"/>
        <v>5.1166001837237313E-3</v>
      </c>
      <c r="K1739" s="36"/>
    </row>
    <row r="1740" spans="2:11">
      <c r="B1740" s="36" t="s">
        <v>9644</v>
      </c>
      <c r="C1740" s="182">
        <v>1392.15</v>
      </c>
      <c r="D1740" s="182">
        <f t="shared" si="57"/>
        <v>1.439084814922763E-2</v>
      </c>
      <c r="E1740" s="182">
        <v>-3.4612555704581836E-3</v>
      </c>
      <c r="F1740" s="168"/>
      <c r="G1740" s="168">
        <v>1737</v>
      </c>
      <c r="H1740" s="183">
        <f t="shared" ca="1" si="58"/>
        <v>-4.4125838699597764E-3</v>
      </c>
      <c r="K1740" s="36"/>
    </row>
    <row r="1741" spans="2:11">
      <c r="B1741" s="36" t="s">
        <v>9645</v>
      </c>
      <c r="C1741" s="182">
        <v>1372.4</v>
      </c>
      <c r="D1741" s="182">
        <f t="shared" si="57"/>
        <v>-1.0775939741233156E-2</v>
      </c>
      <c r="E1741" s="182">
        <v>-3.4645669291337765E-3</v>
      </c>
      <c r="F1741" s="168"/>
      <c r="G1741" s="168">
        <v>1738</v>
      </c>
      <c r="H1741" s="183">
        <f t="shared" ca="1" si="58"/>
        <v>-1.079698238856143E-2</v>
      </c>
      <c r="K1741" s="36"/>
    </row>
    <row r="1742" spans="2:11">
      <c r="B1742" s="36" t="s">
        <v>9646</v>
      </c>
      <c r="C1742" s="182">
        <v>1387.35</v>
      </c>
      <c r="D1742" s="182">
        <f t="shared" si="57"/>
        <v>-1.5714792479602762E-2</v>
      </c>
      <c r="E1742" s="182">
        <v>-3.4746351633078527E-3</v>
      </c>
      <c r="F1742" s="168"/>
      <c r="G1742" s="168">
        <v>1739</v>
      </c>
      <c r="H1742" s="183">
        <f t="shared" ca="1" si="58"/>
        <v>9.0533107651907356E-3</v>
      </c>
      <c r="K1742" s="36"/>
    </row>
    <row r="1743" spans="2:11">
      <c r="B1743" s="36" t="s">
        <v>9647</v>
      </c>
      <c r="C1743" s="182">
        <v>1409.5</v>
      </c>
      <c r="D1743" s="182">
        <f t="shared" si="57"/>
        <v>4.1319370235805043E-3</v>
      </c>
      <c r="E1743" s="182">
        <v>-3.490870032223497E-3</v>
      </c>
      <c r="F1743" s="168"/>
      <c r="G1743" s="168">
        <v>1740</v>
      </c>
      <c r="H1743" s="183">
        <f t="shared" ca="1" si="58"/>
        <v>-1.6208989103082466E-2</v>
      </c>
      <c r="K1743" s="36"/>
    </row>
    <row r="1744" spans="2:11">
      <c r="B1744" s="36" t="s">
        <v>9648</v>
      </c>
      <c r="C1744" s="182">
        <v>1403.7</v>
      </c>
      <c r="D1744" s="182">
        <f t="shared" si="57"/>
        <v>-5.5612624419963223E-3</v>
      </c>
      <c r="E1744" s="182">
        <v>-3.495004780902736E-3</v>
      </c>
      <c r="F1744" s="168"/>
      <c r="G1744" s="168">
        <v>1741</v>
      </c>
      <c r="H1744" s="183">
        <f t="shared" ca="1" si="58"/>
        <v>1.0943011797891453E-2</v>
      </c>
      <c r="K1744" s="36"/>
    </row>
    <row r="1745" spans="2:11">
      <c r="B1745" s="36" t="s">
        <v>9649</v>
      </c>
      <c r="C1745" s="182">
        <v>1411.55</v>
      </c>
      <c r="D1745" s="182">
        <f t="shared" si="57"/>
        <v>-1.6478539576365726E-2</v>
      </c>
      <c r="E1745" s="182">
        <v>-3.5216880914769612E-3</v>
      </c>
      <c r="F1745" s="168"/>
      <c r="G1745" s="168">
        <v>1742</v>
      </c>
      <c r="H1745" s="183">
        <f t="shared" ca="1" si="58"/>
        <v>8.6764525355889285E-4</v>
      </c>
      <c r="K1745" s="36"/>
    </row>
    <row r="1746" spans="2:11">
      <c r="B1746" s="36" t="s">
        <v>9650</v>
      </c>
      <c r="C1746" s="182">
        <v>1435.2</v>
      </c>
      <c r="D1746" s="182">
        <f t="shared" si="57"/>
        <v>-1.3913222714624342E-2</v>
      </c>
      <c r="E1746" s="182">
        <v>-3.5241533436480453E-3</v>
      </c>
      <c r="F1746" s="168"/>
      <c r="G1746" s="168">
        <v>1743</v>
      </c>
      <c r="H1746" s="183">
        <f t="shared" ca="1" si="58"/>
        <v>-2.2745452168206233E-2</v>
      </c>
      <c r="K1746" s="36"/>
    </row>
    <row r="1747" spans="2:11">
      <c r="B1747" s="36" t="s">
        <v>9651</v>
      </c>
      <c r="C1747" s="182">
        <v>1455.45</v>
      </c>
      <c r="D1747" s="182">
        <f t="shared" si="57"/>
        <v>-3.9351218176840955E-3</v>
      </c>
      <c r="E1747" s="182">
        <v>-3.5561214982297884E-3</v>
      </c>
      <c r="F1747" s="168"/>
      <c r="G1747" s="168">
        <v>1744</v>
      </c>
      <c r="H1747" s="183">
        <f t="shared" ca="1" si="58"/>
        <v>-4.6192892468236877E-3</v>
      </c>
      <c r="K1747" s="36"/>
    </row>
    <row r="1748" spans="2:11">
      <c r="B1748" s="36" t="s">
        <v>9652</v>
      </c>
      <c r="C1748" s="182">
        <v>1461.2</v>
      </c>
      <c r="D1748" s="182">
        <f t="shared" si="57"/>
        <v>1.4299597389976495E-2</v>
      </c>
      <c r="E1748" s="182">
        <v>-3.5567122099326907E-3</v>
      </c>
      <c r="F1748" s="168"/>
      <c r="G1748" s="168">
        <v>1745</v>
      </c>
      <c r="H1748" s="183">
        <f t="shared" ca="1" si="58"/>
        <v>7.0885530139009204E-3</v>
      </c>
      <c r="K1748" s="36"/>
    </row>
    <row r="1749" spans="2:11">
      <c r="B1749" s="36" t="s">
        <v>9653</v>
      </c>
      <c r="C1749" s="182">
        <v>1440.6</v>
      </c>
      <c r="D1749" s="182">
        <f t="shared" si="57"/>
        <v>-1.789549033643522E-2</v>
      </c>
      <c r="E1749" s="182">
        <v>-3.5680427475652536E-3</v>
      </c>
      <c r="F1749" s="168"/>
      <c r="G1749" s="168">
        <v>1746</v>
      </c>
      <c r="H1749" s="183">
        <f t="shared" ca="1" si="58"/>
        <v>-3.8432857305741178E-3</v>
      </c>
      <c r="K1749" s="36"/>
    </row>
    <row r="1750" spans="2:11">
      <c r="B1750" s="36">
        <v>43806</v>
      </c>
      <c r="C1750" s="182">
        <v>1466.85</v>
      </c>
      <c r="D1750" s="182">
        <f t="shared" si="57"/>
        <v>-1.8960674157303462E-2</v>
      </c>
      <c r="E1750" s="182">
        <v>-3.5684973057845339E-3</v>
      </c>
      <c r="F1750" s="168"/>
      <c r="G1750" s="168">
        <v>1747</v>
      </c>
      <c r="H1750" s="183">
        <f t="shared" ca="1" si="58"/>
        <v>1.9891743557797117E-2</v>
      </c>
      <c r="K1750" s="36"/>
    </row>
    <row r="1751" spans="2:11">
      <c r="B1751" s="36">
        <v>43776</v>
      </c>
      <c r="C1751" s="182">
        <v>1495.2</v>
      </c>
      <c r="D1751" s="182">
        <f t="shared" si="57"/>
        <v>-2.900870261078263E-3</v>
      </c>
      <c r="E1751" s="182">
        <v>-3.5773252614199817E-3</v>
      </c>
      <c r="F1751" s="168"/>
      <c r="G1751" s="168">
        <v>1748</v>
      </c>
      <c r="H1751" s="183">
        <f t="shared" ca="1" si="58"/>
        <v>-1.0864231197843806E-2</v>
      </c>
      <c r="K1751" s="36"/>
    </row>
    <row r="1752" spans="2:11">
      <c r="B1752" s="36">
        <v>43745</v>
      </c>
      <c r="C1752" s="182">
        <v>1499.55</v>
      </c>
      <c r="D1752" s="182">
        <f t="shared" si="57"/>
        <v>-1.77191143718066E-2</v>
      </c>
      <c r="E1752" s="182">
        <v>-3.5863062611582106E-3</v>
      </c>
      <c r="F1752" s="168"/>
      <c r="G1752" s="168">
        <v>1749</v>
      </c>
      <c r="H1752" s="183">
        <f t="shared" ca="1" si="58"/>
        <v>-5.5441384645282194E-3</v>
      </c>
      <c r="K1752" s="36"/>
    </row>
    <row r="1753" spans="2:11">
      <c r="B1753" s="36">
        <v>43715</v>
      </c>
      <c r="C1753" s="182">
        <v>1526.6</v>
      </c>
      <c r="D1753" s="182">
        <f t="shared" si="57"/>
        <v>2.4323145569832592E-2</v>
      </c>
      <c r="E1753" s="182">
        <v>-3.5887519664393741E-3</v>
      </c>
      <c r="F1753" s="168"/>
      <c r="G1753" s="168">
        <v>1750</v>
      </c>
      <c r="H1753" s="183">
        <f t="shared" ca="1" si="58"/>
        <v>9.2957981101282061E-3</v>
      </c>
      <c r="K1753" s="36"/>
    </row>
    <row r="1754" spans="2:11">
      <c r="B1754" s="36">
        <v>43684</v>
      </c>
      <c r="C1754" s="182">
        <v>1490.35</v>
      </c>
      <c r="D1754" s="182">
        <f t="shared" si="57"/>
        <v>-4.3635896942278693E-2</v>
      </c>
      <c r="E1754" s="182">
        <v>-3.6134053367216919E-3</v>
      </c>
      <c r="F1754" s="168"/>
      <c r="G1754" s="168">
        <v>1751</v>
      </c>
      <c r="H1754" s="183">
        <f t="shared" ca="1" si="58"/>
        <v>2.1268408591187038E-3</v>
      </c>
      <c r="K1754" s="36"/>
    </row>
    <row r="1755" spans="2:11">
      <c r="B1755" s="36">
        <v>43592</v>
      </c>
      <c r="C1755" s="182">
        <v>1558.35</v>
      </c>
      <c r="D1755" s="182">
        <f t="shared" si="57"/>
        <v>-8.4939874021760751E-3</v>
      </c>
      <c r="E1755" s="182">
        <v>-3.6208407973472578E-3</v>
      </c>
      <c r="F1755" s="168"/>
      <c r="G1755" s="168">
        <v>1752</v>
      </c>
      <c r="H1755" s="183">
        <f t="shared" ca="1" si="58"/>
        <v>-2.2877315523402129E-2</v>
      </c>
      <c r="K1755" s="36"/>
    </row>
    <row r="1756" spans="2:11">
      <c r="B1756" s="36">
        <v>43562</v>
      </c>
      <c r="C1756" s="182">
        <v>1571.7</v>
      </c>
      <c r="D1756" s="182">
        <f t="shared" si="57"/>
        <v>-4.023953613637026E-3</v>
      </c>
      <c r="E1756" s="182">
        <v>-3.6211334584004746E-3</v>
      </c>
      <c r="F1756" s="168"/>
      <c r="G1756" s="168">
        <v>1753</v>
      </c>
      <c r="H1756" s="183">
        <f t="shared" ca="1" si="58"/>
        <v>-4.9931541942122709E-4</v>
      </c>
      <c r="K1756" s="36"/>
    </row>
    <row r="1757" spans="2:11">
      <c r="B1757" s="36">
        <v>43531</v>
      </c>
      <c r="C1757" s="182">
        <v>1578.05</v>
      </c>
      <c r="D1757" s="182">
        <f t="shared" si="57"/>
        <v>9.0801547462992273E-3</v>
      </c>
      <c r="E1757" s="182">
        <v>-3.632150796881332E-3</v>
      </c>
      <c r="F1757" s="168"/>
      <c r="G1757" s="168">
        <v>1754</v>
      </c>
      <c r="H1757" s="183">
        <f t="shared" ca="1" si="58"/>
        <v>-1.2526085320295588E-2</v>
      </c>
      <c r="K1757" s="36"/>
    </row>
    <row r="1758" spans="2:11">
      <c r="B1758" s="36">
        <v>43503</v>
      </c>
      <c r="C1758" s="182">
        <v>1563.85</v>
      </c>
      <c r="D1758" s="182">
        <f t="shared" si="57"/>
        <v>4.6253171875500704E-3</v>
      </c>
      <c r="E1758" s="182">
        <v>-3.6665711830421604E-3</v>
      </c>
      <c r="F1758" s="168"/>
      <c r="G1758" s="168">
        <v>1755</v>
      </c>
      <c r="H1758" s="183">
        <f t="shared" ca="1" si="58"/>
        <v>-2.3273388084447372E-2</v>
      </c>
      <c r="K1758" s="36"/>
    </row>
    <row r="1759" spans="2:11">
      <c r="B1759" s="36">
        <v>43472</v>
      </c>
      <c r="C1759" s="182">
        <v>1556.65</v>
      </c>
      <c r="D1759" s="182">
        <f t="shared" si="57"/>
        <v>2.2212207056399981E-3</v>
      </c>
      <c r="E1759" s="182">
        <v>-3.6861074705111401E-3</v>
      </c>
      <c r="F1759" s="168"/>
      <c r="G1759" s="168">
        <v>1756</v>
      </c>
      <c r="H1759" s="183">
        <f t="shared" ca="1" si="58"/>
        <v>1.5621796411810192E-3</v>
      </c>
      <c r="K1759" s="36"/>
    </row>
    <row r="1760" spans="2:11">
      <c r="B1760" s="36" t="s">
        <v>9654</v>
      </c>
      <c r="C1760" s="182">
        <v>1553.2</v>
      </c>
      <c r="D1760" s="182">
        <f t="shared" si="57"/>
        <v>1.4830098652395089E-3</v>
      </c>
      <c r="E1760" s="182">
        <v>-3.693163650316615E-3</v>
      </c>
      <c r="F1760" s="168"/>
      <c r="G1760" s="168">
        <v>1757</v>
      </c>
      <c r="H1760" s="183">
        <f t="shared" ca="1" si="58"/>
        <v>-1.4666293995843183E-2</v>
      </c>
      <c r="K1760" s="36"/>
    </row>
    <row r="1761" spans="2:11">
      <c r="B1761" s="36" t="s">
        <v>9655</v>
      </c>
      <c r="C1761" s="182">
        <v>1550.9</v>
      </c>
      <c r="D1761" s="182">
        <f t="shared" si="57"/>
        <v>-1.933986591026009E-4</v>
      </c>
      <c r="E1761" s="182">
        <v>-3.6965948674202356E-3</v>
      </c>
      <c r="F1761" s="168"/>
      <c r="G1761" s="168">
        <v>1758</v>
      </c>
      <c r="H1761" s="183">
        <f t="shared" ca="1" si="58"/>
        <v>1.9182265383731283E-2</v>
      </c>
      <c r="K1761" s="36"/>
    </row>
    <row r="1762" spans="2:11">
      <c r="B1762" s="36" t="s">
        <v>9656</v>
      </c>
      <c r="C1762" s="182">
        <v>1551.2</v>
      </c>
      <c r="D1762" s="182">
        <f t="shared" si="57"/>
        <v>1.0553745928338791E-2</v>
      </c>
      <c r="E1762" s="182">
        <v>-3.7133614998679696E-3</v>
      </c>
      <c r="F1762" s="168"/>
      <c r="G1762" s="168">
        <v>1759</v>
      </c>
      <c r="H1762" s="183">
        <f t="shared" ca="1" si="58"/>
        <v>1.3414162287191986E-2</v>
      </c>
      <c r="K1762" s="36"/>
    </row>
    <row r="1763" spans="2:11">
      <c r="B1763" s="36" t="s">
        <v>9657</v>
      </c>
      <c r="C1763" s="182">
        <v>1535</v>
      </c>
      <c r="D1763" s="182">
        <f t="shared" si="57"/>
        <v>-3.8935756002595719E-3</v>
      </c>
      <c r="E1763" s="182">
        <v>-3.7210401193095133E-3</v>
      </c>
      <c r="F1763" s="168"/>
      <c r="G1763" s="168">
        <v>1760</v>
      </c>
      <c r="H1763" s="183">
        <f t="shared" ca="1" si="58"/>
        <v>1.5407165412137405E-2</v>
      </c>
      <c r="K1763" s="36"/>
    </row>
    <row r="1764" spans="2:11">
      <c r="B1764" s="36" t="s">
        <v>9658</v>
      </c>
      <c r="C1764" s="182">
        <v>1541</v>
      </c>
      <c r="D1764" s="182">
        <f t="shared" si="57"/>
        <v>8.1182010066569246E-4</v>
      </c>
      <c r="E1764" s="182">
        <v>-3.7228293503061235E-3</v>
      </c>
      <c r="F1764" s="168"/>
      <c r="G1764" s="168">
        <v>1761</v>
      </c>
      <c r="H1764" s="183">
        <f t="shared" ca="1" si="58"/>
        <v>1.8105332387070372E-4</v>
      </c>
      <c r="K1764" s="36"/>
    </row>
    <row r="1765" spans="2:11">
      <c r="B1765" s="36" t="s">
        <v>9659</v>
      </c>
      <c r="C1765" s="182">
        <v>1539.75</v>
      </c>
      <c r="D1765" s="182">
        <f t="shared" si="57"/>
        <v>-1.1142508509408459E-2</v>
      </c>
      <c r="E1765" s="182">
        <v>-3.7309120924474393E-3</v>
      </c>
      <c r="F1765" s="168"/>
      <c r="G1765" s="168">
        <v>1762</v>
      </c>
      <c r="H1765" s="183">
        <f t="shared" ca="1" si="58"/>
        <v>1.8974995855368781E-2</v>
      </c>
      <c r="K1765" s="36"/>
    </row>
    <row r="1766" spans="2:11">
      <c r="B1766" s="36" t="s">
        <v>9660</v>
      </c>
      <c r="C1766" s="182">
        <v>1557.1</v>
      </c>
      <c r="D1766" s="182">
        <f t="shared" si="57"/>
        <v>3.4514832408729906E-2</v>
      </c>
      <c r="E1766" s="182">
        <v>-3.7327430972388274E-3</v>
      </c>
      <c r="F1766" s="168"/>
      <c r="G1766" s="168">
        <v>1763</v>
      </c>
      <c r="H1766" s="183">
        <f t="shared" ca="1" si="58"/>
        <v>8.326316462650472E-3</v>
      </c>
      <c r="K1766" s="36"/>
    </row>
    <row r="1767" spans="2:11">
      <c r="B1767" s="36" t="s">
        <v>9661</v>
      </c>
      <c r="C1767" s="182">
        <v>1505.15</v>
      </c>
      <c r="D1767" s="182">
        <f t="shared" si="57"/>
        <v>-9.9647910715381367E-5</v>
      </c>
      <c r="E1767" s="182">
        <v>-3.7417745473312196E-3</v>
      </c>
      <c r="F1767" s="168"/>
      <c r="G1767" s="168">
        <v>1764</v>
      </c>
      <c r="H1767" s="183">
        <f t="shared" ca="1" si="58"/>
        <v>8.7605000078585307E-3</v>
      </c>
      <c r="K1767" s="36"/>
    </row>
    <row r="1768" spans="2:11">
      <c r="B1768" s="36" t="s">
        <v>9662</v>
      </c>
      <c r="C1768" s="182">
        <v>1505.3</v>
      </c>
      <c r="D1768" s="182">
        <f t="shared" si="57"/>
        <v>4.3703085904920466E-3</v>
      </c>
      <c r="E1768" s="182">
        <v>-3.7449843958983911E-3</v>
      </c>
      <c r="F1768" s="168"/>
      <c r="G1768" s="168">
        <v>1765</v>
      </c>
      <c r="H1768" s="183">
        <f t="shared" ca="1" si="58"/>
        <v>1.01074131361581E-2</v>
      </c>
      <c r="K1768" s="36"/>
    </row>
    <row r="1769" spans="2:11">
      <c r="B1769" s="36" t="s">
        <v>9663</v>
      </c>
      <c r="C1769" s="182">
        <v>1498.75</v>
      </c>
      <c r="D1769" s="182">
        <f t="shared" si="57"/>
        <v>-1.8050186726069551E-2</v>
      </c>
      <c r="E1769" s="182">
        <v>-3.7599949232135772E-3</v>
      </c>
      <c r="F1769" s="168"/>
      <c r="G1769" s="168">
        <v>1766</v>
      </c>
      <c r="H1769" s="183">
        <f t="shared" ca="1" si="58"/>
        <v>-4.029168961110283E-3</v>
      </c>
      <c r="K1769" s="36"/>
    </row>
    <row r="1770" spans="2:11">
      <c r="B1770" s="36" t="s">
        <v>9664</v>
      </c>
      <c r="C1770" s="182">
        <v>1526.3</v>
      </c>
      <c r="D1770" s="182">
        <f t="shared" si="57"/>
        <v>5.7658726236367829E-3</v>
      </c>
      <c r="E1770" s="182">
        <v>-3.7645803382194637E-3</v>
      </c>
      <c r="F1770" s="168"/>
      <c r="G1770" s="168">
        <v>1767</v>
      </c>
      <c r="H1770" s="183">
        <f t="shared" ca="1" si="58"/>
        <v>1.0171829640795416E-3</v>
      </c>
      <c r="K1770" s="36"/>
    </row>
    <row r="1771" spans="2:11">
      <c r="B1771" s="36" t="s">
        <v>9665</v>
      </c>
      <c r="C1771" s="182">
        <v>1517.55</v>
      </c>
      <c r="D1771" s="182">
        <f t="shared" si="57"/>
        <v>5.4994202418419446E-3</v>
      </c>
      <c r="E1771" s="182">
        <v>-3.785409349961094E-3</v>
      </c>
      <c r="F1771" s="168"/>
      <c r="G1771" s="168">
        <v>1768</v>
      </c>
      <c r="H1771" s="183">
        <f t="shared" ca="1" si="58"/>
        <v>1.0566023247418326E-2</v>
      </c>
      <c r="K1771" s="36"/>
    </row>
    <row r="1772" spans="2:11">
      <c r="B1772" s="36">
        <v>43805</v>
      </c>
      <c r="C1772" s="182">
        <v>1509.25</v>
      </c>
      <c r="D1772" s="182">
        <f t="shared" si="57"/>
        <v>-9.8733845043626287E-3</v>
      </c>
      <c r="E1772" s="182">
        <v>-3.7908886240233986E-3</v>
      </c>
      <c r="F1772" s="168"/>
      <c r="G1772" s="168">
        <v>1769</v>
      </c>
      <c r="H1772" s="183">
        <f t="shared" ca="1" si="58"/>
        <v>2.9734556849821689E-4</v>
      </c>
      <c r="K1772" s="36"/>
    </row>
    <row r="1773" spans="2:11">
      <c r="B1773" s="36">
        <v>43775</v>
      </c>
      <c r="C1773" s="182">
        <v>1524.3</v>
      </c>
      <c r="D1773" s="182">
        <f t="shared" si="57"/>
        <v>-5.0910514979439691E-3</v>
      </c>
      <c r="E1773" s="182">
        <v>-3.8053773804381246E-3</v>
      </c>
      <c r="F1773" s="168"/>
      <c r="G1773" s="168">
        <v>1770</v>
      </c>
      <c r="H1773" s="183">
        <f t="shared" ca="1" si="58"/>
        <v>-5.6471401820771166E-3</v>
      </c>
      <c r="K1773" s="36"/>
    </row>
    <row r="1774" spans="2:11">
      <c r="B1774" s="36">
        <v>43744</v>
      </c>
      <c r="C1774" s="182">
        <v>1532.1</v>
      </c>
      <c r="D1774" s="182">
        <f t="shared" si="57"/>
        <v>1.2055355550417809E-2</v>
      </c>
      <c r="E1774" s="182">
        <v>-3.8298110253829304E-3</v>
      </c>
      <c r="F1774" s="168"/>
      <c r="G1774" s="168">
        <v>1771</v>
      </c>
      <c r="H1774" s="183">
        <f t="shared" ca="1" si="58"/>
        <v>-4.4570570764304622E-3</v>
      </c>
      <c r="K1774" s="36"/>
    </row>
    <row r="1775" spans="2:11">
      <c r="B1775" s="36">
        <v>43652</v>
      </c>
      <c r="C1775" s="182">
        <v>1513.85</v>
      </c>
      <c r="D1775" s="182">
        <f t="shared" si="57"/>
        <v>-1.3523319480177993E-3</v>
      </c>
      <c r="E1775" s="182">
        <v>-3.8305543037404238E-3</v>
      </c>
      <c r="F1775" s="168"/>
      <c r="G1775" s="168">
        <v>1772</v>
      </c>
      <c r="H1775" s="183">
        <f t="shared" ca="1" si="58"/>
        <v>-1.0344085197640473E-2</v>
      </c>
      <c r="K1775" s="36"/>
    </row>
    <row r="1776" spans="2:11">
      <c r="B1776" s="36">
        <v>43622</v>
      </c>
      <c r="C1776" s="182">
        <v>1515.9</v>
      </c>
      <c r="D1776" s="182">
        <f t="shared" si="57"/>
        <v>-3.4335584150847157E-2</v>
      </c>
      <c r="E1776" s="182">
        <v>-3.8333759263991817E-3</v>
      </c>
      <c r="F1776" s="168"/>
      <c r="G1776" s="168">
        <v>1773</v>
      </c>
      <c r="H1776" s="183">
        <f t="shared" ca="1" si="58"/>
        <v>1.3834098282219303E-2</v>
      </c>
      <c r="K1776" s="36"/>
    </row>
    <row r="1777" spans="2:11">
      <c r="B1777" s="36">
        <v>43561</v>
      </c>
      <c r="C1777" s="182">
        <v>1569.8</v>
      </c>
      <c r="D1777" s="182">
        <f t="shared" si="57"/>
        <v>6.6692317558034262E-3</v>
      </c>
      <c r="E1777" s="182">
        <v>-3.8340194954940175E-3</v>
      </c>
      <c r="F1777" s="168"/>
      <c r="G1777" s="168">
        <v>1774</v>
      </c>
      <c r="H1777" s="183">
        <f t="shared" ca="1" si="58"/>
        <v>2.4641137121913691E-2</v>
      </c>
      <c r="K1777" s="36"/>
    </row>
    <row r="1778" spans="2:11">
      <c r="B1778" s="36">
        <v>43530</v>
      </c>
      <c r="C1778" s="182">
        <v>1559.4</v>
      </c>
      <c r="D1778" s="182">
        <f t="shared" si="57"/>
        <v>1.1877628326539349E-3</v>
      </c>
      <c r="E1778" s="182">
        <v>-3.8369132570731232E-3</v>
      </c>
      <c r="F1778" s="168"/>
      <c r="G1778" s="168">
        <v>1775</v>
      </c>
      <c r="H1778" s="183">
        <f t="shared" ca="1" si="58"/>
        <v>-4.4207671395796169E-3</v>
      </c>
      <c r="K1778" s="36"/>
    </row>
    <row r="1779" spans="2:11">
      <c r="B1779" s="36" t="s">
        <v>9666</v>
      </c>
      <c r="C1779" s="182">
        <v>1557.55</v>
      </c>
      <c r="D1779" s="182">
        <f t="shared" si="57"/>
        <v>-6.7368150904655109E-4</v>
      </c>
      <c r="E1779" s="182">
        <v>-3.8481317940807446E-3</v>
      </c>
      <c r="F1779" s="168"/>
      <c r="G1779" s="168">
        <v>1776</v>
      </c>
      <c r="H1779" s="183">
        <f t="shared" ca="1" si="58"/>
        <v>-5.6588579364971183E-3</v>
      </c>
      <c r="K1779" s="36"/>
    </row>
    <row r="1780" spans="2:11">
      <c r="B1780" s="36" t="s">
        <v>9667</v>
      </c>
      <c r="C1780" s="182">
        <v>1558.6</v>
      </c>
      <c r="D1780" s="182">
        <f t="shared" si="57"/>
        <v>3.9614802409094424E-3</v>
      </c>
      <c r="E1780" s="182">
        <v>-3.8506876227897839E-3</v>
      </c>
      <c r="F1780" s="168"/>
      <c r="G1780" s="168">
        <v>1777</v>
      </c>
      <c r="H1780" s="183">
        <f t="shared" ca="1" si="58"/>
        <v>1.047229837210425E-2</v>
      </c>
      <c r="K1780" s="36"/>
    </row>
    <row r="1781" spans="2:11">
      <c r="B1781" s="36" t="s">
        <v>9668</v>
      </c>
      <c r="C1781" s="182">
        <v>1552.45</v>
      </c>
      <c r="D1781" s="182">
        <f t="shared" si="57"/>
        <v>-1.4004445855827217E-2</v>
      </c>
      <c r="E1781" s="182">
        <v>-3.8636363636363378E-3</v>
      </c>
      <c r="F1781" s="168"/>
      <c r="G1781" s="168">
        <v>1778</v>
      </c>
      <c r="H1781" s="183">
        <f t="shared" ca="1" si="58"/>
        <v>-1.4175409604490529E-3</v>
      </c>
      <c r="K1781" s="36"/>
    </row>
    <row r="1782" spans="2:11">
      <c r="B1782" s="36" t="s">
        <v>9669</v>
      </c>
      <c r="C1782" s="182">
        <v>1574.5</v>
      </c>
      <c r="D1782" s="182">
        <f t="shared" si="57"/>
        <v>-1.3471177944862155E-2</v>
      </c>
      <c r="E1782" s="182">
        <v>-3.8663512031854377E-3</v>
      </c>
      <c r="F1782" s="168"/>
      <c r="G1782" s="168">
        <v>1779</v>
      </c>
      <c r="H1782" s="183">
        <f t="shared" ca="1" si="58"/>
        <v>-1.820961168472494E-5</v>
      </c>
      <c r="K1782" s="36"/>
    </row>
    <row r="1783" spans="2:11">
      <c r="B1783" s="36" t="s">
        <v>9670</v>
      </c>
      <c r="C1783" s="182">
        <v>1596</v>
      </c>
      <c r="D1783" s="182">
        <f t="shared" si="57"/>
        <v>3.3578344072790797E-2</v>
      </c>
      <c r="E1783" s="182">
        <v>-3.8744672607516463E-3</v>
      </c>
      <c r="F1783" s="168"/>
      <c r="G1783" s="168">
        <v>1780</v>
      </c>
      <c r="H1783" s="183">
        <f t="shared" ca="1" si="58"/>
        <v>4.8302320713115906E-3</v>
      </c>
      <c r="K1783" s="36"/>
    </row>
    <row r="1784" spans="2:11">
      <c r="B1784" s="36" t="s">
        <v>9671</v>
      </c>
      <c r="C1784" s="182">
        <v>1544.15</v>
      </c>
      <c r="D1784" s="182">
        <f t="shared" si="57"/>
        <v>4.6101212654969304E-2</v>
      </c>
      <c r="E1784" s="182">
        <v>-3.884618563517646E-3</v>
      </c>
      <c r="F1784" s="168"/>
      <c r="G1784" s="168">
        <v>1781</v>
      </c>
      <c r="H1784" s="183">
        <f t="shared" ca="1" si="58"/>
        <v>1.4696853688458806E-3</v>
      </c>
      <c r="K1784" s="36"/>
    </row>
    <row r="1785" spans="2:11">
      <c r="B1785" s="36" t="s">
        <v>9672</v>
      </c>
      <c r="C1785" s="182">
        <v>1476.1</v>
      </c>
      <c r="D1785" s="182">
        <f t="shared" si="57"/>
        <v>1.0266237766066662E-2</v>
      </c>
      <c r="E1785" s="182">
        <v>-3.8990137788677622E-3</v>
      </c>
      <c r="F1785" s="168"/>
      <c r="G1785" s="168">
        <v>1782</v>
      </c>
      <c r="H1785" s="183">
        <f t="shared" ca="1" si="58"/>
        <v>2.003662608000405E-2</v>
      </c>
      <c r="K1785" s="36"/>
    </row>
    <row r="1786" spans="2:11">
      <c r="B1786" s="36" t="s">
        <v>9673</v>
      </c>
      <c r="C1786" s="182">
        <v>1461.1</v>
      </c>
      <c r="D1786" s="182">
        <f t="shared" si="57"/>
        <v>8.2810020012421513E-3</v>
      </c>
      <c r="E1786" s="182">
        <v>-3.9029236446210614E-3</v>
      </c>
      <c r="F1786" s="168"/>
      <c r="G1786" s="168">
        <v>1783</v>
      </c>
      <c r="H1786" s="183">
        <f t="shared" ca="1" si="58"/>
        <v>1.5723652923222923E-2</v>
      </c>
      <c r="K1786" s="36"/>
    </row>
    <row r="1787" spans="2:11">
      <c r="B1787" s="36" t="s">
        <v>9674</v>
      </c>
      <c r="C1787" s="182">
        <v>1449.1</v>
      </c>
      <c r="D1787" s="182">
        <f t="shared" si="57"/>
        <v>-1.61907058458792E-3</v>
      </c>
      <c r="E1787" s="182">
        <v>-3.9123798877877466E-3</v>
      </c>
      <c r="F1787" s="168"/>
      <c r="G1787" s="168">
        <v>1784</v>
      </c>
      <c r="H1787" s="183">
        <f t="shared" ca="1" si="58"/>
        <v>2.571710953041009E-3</v>
      </c>
      <c r="K1787" s="36"/>
    </row>
    <row r="1788" spans="2:11">
      <c r="B1788" s="36" t="s">
        <v>9675</v>
      </c>
      <c r="C1788" s="182">
        <v>1451.45</v>
      </c>
      <c r="D1788" s="182">
        <f t="shared" si="57"/>
        <v>6.575372641163077E-2</v>
      </c>
      <c r="E1788" s="182">
        <v>-3.9358159249167192E-3</v>
      </c>
      <c r="F1788" s="168"/>
      <c r="G1788" s="168">
        <v>1785</v>
      </c>
      <c r="H1788" s="183">
        <f t="shared" ca="1" si="58"/>
        <v>1.0594347368354153E-3</v>
      </c>
      <c r="K1788" s="36"/>
    </row>
    <row r="1789" spans="2:11">
      <c r="B1789" s="36" t="s">
        <v>9676</v>
      </c>
      <c r="C1789" s="182">
        <v>1361.9</v>
      </c>
      <c r="D1789" s="182">
        <f t="shared" si="57"/>
        <v>1.8509516508993008E-2</v>
      </c>
      <c r="E1789" s="182">
        <v>-3.9537948678193165E-3</v>
      </c>
      <c r="F1789" s="168"/>
      <c r="G1789" s="168">
        <v>1786</v>
      </c>
      <c r="H1789" s="183">
        <f t="shared" ca="1" si="58"/>
        <v>-4.9800205132568068E-6</v>
      </c>
      <c r="K1789" s="36"/>
    </row>
    <row r="1790" spans="2:11">
      <c r="B1790" s="36" t="s">
        <v>9677</v>
      </c>
      <c r="C1790" s="182">
        <v>1337.15</v>
      </c>
      <c r="D1790" s="182">
        <f t="shared" si="57"/>
        <v>8.5608689093378612E-3</v>
      </c>
      <c r="E1790" s="182">
        <v>-3.9704478062019856E-3</v>
      </c>
      <c r="F1790" s="168"/>
      <c r="G1790" s="168">
        <v>1787</v>
      </c>
      <c r="H1790" s="183">
        <f t="shared" ca="1" si="58"/>
        <v>2.1091669525894467E-2</v>
      </c>
      <c r="K1790" s="36"/>
    </row>
    <row r="1791" spans="2:11">
      <c r="B1791" s="36" t="s">
        <v>9678</v>
      </c>
      <c r="C1791" s="182">
        <v>1325.8</v>
      </c>
      <c r="D1791" s="182">
        <f t="shared" si="57"/>
        <v>-1.1924280816813236E-2</v>
      </c>
      <c r="E1791" s="182">
        <v>-3.9892875076716306E-3</v>
      </c>
      <c r="F1791" s="168"/>
      <c r="G1791" s="168">
        <v>1788</v>
      </c>
      <c r="H1791" s="183">
        <f t="shared" ca="1" si="58"/>
        <v>1.1931562015562006E-2</v>
      </c>
      <c r="K1791" s="36"/>
    </row>
    <row r="1792" spans="2:11">
      <c r="B1792" s="36" t="s">
        <v>9679</v>
      </c>
      <c r="C1792" s="182">
        <v>1341.8</v>
      </c>
      <c r="D1792" s="182">
        <f t="shared" si="57"/>
        <v>1.8328084089097911E-2</v>
      </c>
      <c r="E1792" s="182">
        <v>-3.9991900374608137E-3</v>
      </c>
      <c r="F1792" s="168"/>
      <c r="G1792" s="168">
        <v>1789</v>
      </c>
      <c r="H1792" s="183">
        <f t="shared" ca="1" si="58"/>
        <v>-7.1155264516522465E-3</v>
      </c>
      <c r="K1792" s="36"/>
    </row>
    <row r="1793" spans="2:11">
      <c r="B1793" s="36" t="s">
        <v>9680</v>
      </c>
      <c r="C1793" s="182">
        <v>1317.65</v>
      </c>
      <c r="D1793" s="182">
        <f t="shared" si="57"/>
        <v>-2.7923275544079609E-2</v>
      </c>
      <c r="E1793" s="182">
        <v>-4.0298474414896743E-3</v>
      </c>
      <c r="F1793" s="168"/>
      <c r="G1793" s="168">
        <v>1790</v>
      </c>
      <c r="H1793" s="183">
        <f t="shared" ca="1" si="58"/>
        <v>4.2370199538574564E-3</v>
      </c>
      <c r="K1793" s="36"/>
    </row>
    <row r="1794" spans="2:11">
      <c r="B1794" s="36">
        <v>43743</v>
      </c>
      <c r="C1794" s="182">
        <v>1355.5</v>
      </c>
      <c r="D1794" s="182">
        <f t="shared" si="57"/>
        <v>-7.0035755096026057E-4</v>
      </c>
      <c r="E1794" s="182">
        <v>-4.0356371013981788E-3</v>
      </c>
      <c r="F1794" s="168"/>
      <c r="G1794" s="168">
        <v>1791</v>
      </c>
      <c r="H1794" s="183">
        <f t="shared" ca="1" si="58"/>
        <v>-6.5203003666380694E-3</v>
      </c>
      <c r="K1794" s="36"/>
    </row>
    <row r="1795" spans="2:11">
      <c r="B1795" s="36">
        <v>43713</v>
      </c>
      <c r="C1795" s="182">
        <v>1356.45</v>
      </c>
      <c r="D1795" s="182">
        <f t="shared" si="57"/>
        <v>-2.8669092512955225E-3</v>
      </c>
      <c r="E1795" s="182">
        <v>-4.0618955512572805E-3</v>
      </c>
      <c r="F1795" s="168"/>
      <c r="G1795" s="168">
        <v>1792</v>
      </c>
      <c r="H1795" s="183">
        <f t="shared" ca="1" si="58"/>
        <v>6.8284407475715115E-4</v>
      </c>
      <c r="K1795" s="36"/>
    </row>
    <row r="1796" spans="2:11">
      <c r="B1796" s="36">
        <v>43682</v>
      </c>
      <c r="C1796" s="182">
        <v>1360.35</v>
      </c>
      <c r="D1796" s="182">
        <f t="shared" ref="D1796:D1859" si="59">(C1796-C1797)/C1797</f>
        <v>-4.5733938240889805E-3</v>
      </c>
      <c r="E1796" s="182">
        <v>-4.0629761300153902E-3</v>
      </c>
      <c r="F1796" s="168"/>
      <c r="G1796" s="168">
        <v>1793</v>
      </c>
      <c r="H1796" s="183">
        <f t="shared" ca="1" si="58"/>
        <v>-8.7612273288621909E-3</v>
      </c>
      <c r="K1796" s="36"/>
    </row>
    <row r="1797" spans="2:11">
      <c r="B1797" s="36">
        <v>43651</v>
      </c>
      <c r="C1797" s="182">
        <v>1366.6</v>
      </c>
      <c r="D1797" s="182">
        <f t="shared" si="59"/>
        <v>1.027574480668283E-2</v>
      </c>
      <c r="E1797" s="182">
        <v>-4.0635111746557982E-3</v>
      </c>
      <c r="F1797" s="168"/>
      <c r="G1797" s="168">
        <v>1794</v>
      </c>
      <c r="H1797" s="183">
        <f t="shared" ref="H1797:H1860" ca="1" si="60">_xlfn.NORM.INV(RAND(),N$6,N$7)</f>
        <v>-5.6593930923238998E-3</v>
      </c>
      <c r="K1797" s="36"/>
    </row>
    <row r="1798" spans="2:11">
      <c r="B1798" s="36">
        <v>43621</v>
      </c>
      <c r="C1798" s="182">
        <v>1352.7</v>
      </c>
      <c r="D1798" s="182">
        <f t="shared" si="59"/>
        <v>-7.9935464945730898E-3</v>
      </c>
      <c r="E1798" s="182">
        <v>-4.0689060392296817E-3</v>
      </c>
      <c r="F1798" s="168"/>
      <c r="G1798" s="168">
        <v>1795</v>
      </c>
      <c r="H1798" s="183">
        <f t="shared" ca="1" si="60"/>
        <v>2.0052386721191695E-2</v>
      </c>
      <c r="K1798" s="36"/>
    </row>
    <row r="1799" spans="2:11">
      <c r="B1799" s="36">
        <v>43529</v>
      </c>
      <c r="C1799" s="182">
        <v>1363.6</v>
      </c>
      <c r="D1799" s="182">
        <f t="shared" si="59"/>
        <v>3.5694572217110647E-3</v>
      </c>
      <c r="E1799" s="182">
        <v>-4.0842522900986049E-3</v>
      </c>
      <c r="F1799" s="168"/>
      <c r="G1799" s="168">
        <v>1796</v>
      </c>
      <c r="H1799" s="183">
        <f t="shared" ca="1" si="60"/>
        <v>4.352001847327187E-3</v>
      </c>
      <c r="K1799" s="36"/>
    </row>
    <row r="1800" spans="2:11">
      <c r="B1800" s="36">
        <v>43501</v>
      </c>
      <c r="C1800" s="182">
        <v>1358.75</v>
      </c>
      <c r="D1800" s="182">
        <f t="shared" si="59"/>
        <v>7.5636795076193288E-3</v>
      </c>
      <c r="E1800" s="182">
        <v>-4.0992448759438749E-3</v>
      </c>
      <c r="F1800" s="168"/>
      <c r="G1800" s="168">
        <v>1797</v>
      </c>
      <c r="H1800" s="183">
        <f t="shared" ca="1" si="60"/>
        <v>3.5617590961258831E-3</v>
      </c>
      <c r="K1800" s="36"/>
    </row>
    <row r="1801" spans="2:11">
      <c r="B1801" s="36" t="s">
        <v>9681</v>
      </c>
      <c r="C1801" s="182">
        <v>1348.55</v>
      </c>
      <c r="D1801" s="182">
        <f t="shared" si="59"/>
        <v>-7.1049919010455678E-3</v>
      </c>
      <c r="E1801" s="182">
        <v>-4.1015349950711483E-3</v>
      </c>
      <c r="F1801" s="168"/>
      <c r="G1801" s="168">
        <v>1798</v>
      </c>
      <c r="H1801" s="183">
        <f t="shared" ca="1" si="60"/>
        <v>1.4911460202653316E-2</v>
      </c>
      <c r="K1801" s="36"/>
    </row>
    <row r="1802" spans="2:11">
      <c r="B1802" s="36" t="s">
        <v>9682</v>
      </c>
      <c r="C1802" s="182">
        <v>1358.2</v>
      </c>
      <c r="D1802" s="182">
        <f t="shared" si="59"/>
        <v>2.2506733571928971E-3</v>
      </c>
      <c r="E1802" s="182">
        <v>-4.1167389546424024E-3</v>
      </c>
      <c r="F1802" s="168"/>
      <c r="G1802" s="168">
        <v>1799</v>
      </c>
      <c r="H1802" s="183">
        <f t="shared" ca="1" si="60"/>
        <v>-7.433297771031579E-5</v>
      </c>
      <c r="K1802" s="36"/>
    </row>
    <row r="1803" spans="2:11">
      <c r="B1803" s="36" t="s">
        <v>9683</v>
      </c>
      <c r="C1803" s="182">
        <v>1355.15</v>
      </c>
      <c r="D1803" s="182">
        <f t="shared" si="59"/>
        <v>-4.0421857200602651E-3</v>
      </c>
      <c r="E1803" s="182">
        <v>-4.1258272597804761E-3</v>
      </c>
      <c r="F1803" s="168"/>
      <c r="G1803" s="168">
        <v>1800</v>
      </c>
      <c r="H1803" s="183">
        <f t="shared" ca="1" si="60"/>
        <v>-1.3137967357735543E-2</v>
      </c>
      <c r="K1803" s="36"/>
    </row>
    <row r="1804" spans="2:11">
      <c r="B1804" s="36" t="s">
        <v>9684</v>
      </c>
      <c r="C1804" s="182">
        <v>1360.65</v>
      </c>
      <c r="D1804" s="182">
        <f t="shared" si="59"/>
        <v>9.2345349354695482E-3</v>
      </c>
      <c r="E1804" s="182">
        <v>-4.1263643624102325E-3</v>
      </c>
      <c r="F1804" s="168"/>
      <c r="G1804" s="168">
        <v>1801</v>
      </c>
      <c r="H1804" s="183">
        <f t="shared" ca="1" si="60"/>
        <v>4.3263863125165359E-3</v>
      </c>
      <c r="K1804" s="36"/>
    </row>
    <row r="1805" spans="2:11">
      <c r="B1805" s="36" t="s">
        <v>9685</v>
      </c>
      <c r="C1805" s="182">
        <v>1348.2</v>
      </c>
      <c r="D1805" s="182">
        <f t="shared" si="59"/>
        <v>-8.7857956842995587E-3</v>
      </c>
      <c r="E1805" s="182">
        <v>-4.1323648103309711E-3</v>
      </c>
      <c r="F1805" s="168"/>
      <c r="G1805" s="168">
        <v>1802</v>
      </c>
      <c r="H1805" s="183">
        <f t="shared" ca="1" si="60"/>
        <v>1.7372897739396171E-2</v>
      </c>
      <c r="K1805" s="36"/>
    </row>
    <row r="1806" spans="2:11">
      <c r="B1806" s="36" t="s">
        <v>9686</v>
      </c>
      <c r="C1806" s="182">
        <v>1360.15</v>
      </c>
      <c r="D1806" s="182">
        <f t="shared" si="59"/>
        <v>-4.0420371867417839E-4</v>
      </c>
      <c r="E1806" s="182">
        <v>-4.1464696606902463E-3</v>
      </c>
      <c r="F1806" s="168"/>
      <c r="G1806" s="168">
        <v>1803</v>
      </c>
      <c r="H1806" s="183">
        <f t="shared" ca="1" si="60"/>
        <v>9.2582539127804286E-3</v>
      </c>
      <c r="K1806" s="36"/>
    </row>
    <row r="1807" spans="2:11">
      <c r="B1807" s="36" t="s">
        <v>9687</v>
      </c>
      <c r="C1807" s="182">
        <v>1360.7</v>
      </c>
      <c r="D1807" s="182">
        <f t="shared" si="59"/>
        <v>-1.4984798030983093E-2</v>
      </c>
      <c r="E1807" s="182">
        <v>-4.1486988847583102E-3</v>
      </c>
      <c r="F1807" s="168"/>
      <c r="G1807" s="168">
        <v>1804</v>
      </c>
      <c r="H1807" s="183">
        <f t="shared" ca="1" si="60"/>
        <v>8.3928009156715878E-3</v>
      </c>
      <c r="K1807" s="36"/>
    </row>
    <row r="1808" spans="2:11">
      <c r="B1808" s="36" t="s">
        <v>9688</v>
      </c>
      <c r="C1808" s="182">
        <v>1381.4</v>
      </c>
      <c r="D1808" s="182">
        <f t="shared" si="59"/>
        <v>1.805586262804923E-2</v>
      </c>
      <c r="E1808" s="182">
        <v>-4.1546015359436358E-3</v>
      </c>
      <c r="F1808" s="168"/>
      <c r="G1808" s="168">
        <v>1805</v>
      </c>
      <c r="H1808" s="183">
        <f t="shared" ca="1" si="60"/>
        <v>4.536893376984855E-3</v>
      </c>
      <c r="K1808" s="36"/>
    </row>
    <row r="1809" spans="2:11">
      <c r="B1809" s="36" t="s">
        <v>9689</v>
      </c>
      <c r="C1809" s="182">
        <v>1356.9</v>
      </c>
      <c r="D1809" s="182">
        <f t="shared" si="59"/>
        <v>-2.9392313909912555E-3</v>
      </c>
      <c r="E1809" s="182">
        <v>-4.1586998087953242E-3</v>
      </c>
      <c r="F1809" s="168"/>
      <c r="G1809" s="168">
        <v>1806</v>
      </c>
      <c r="H1809" s="183">
        <f t="shared" ca="1" si="60"/>
        <v>3.3234839439613365E-3</v>
      </c>
      <c r="K1809" s="36"/>
    </row>
    <row r="1810" spans="2:11">
      <c r="B1810" s="36">
        <v>43803</v>
      </c>
      <c r="C1810" s="182">
        <v>1360.9</v>
      </c>
      <c r="D1810" s="182">
        <f t="shared" si="59"/>
        <v>-1.2409288824383097E-2</v>
      </c>
      <c r="E1810" s="182">
        <v>-4.1589372269761346E-3</v>
      </c>
      <c r="F1810" s="168"/>
      <c r="G1810" s="168">
        <v>1807</v>
      </c>
      <c r="H1810" s="183">
        <f t="shared" ca="1" si="60"/>
        <v>1.2241645422020411E-2</v>
      </c>
      <c r="K1810" s="36"/>
    </row>
    <row r="1811" spans="2:11">
      <c r="B1811" s="36">
        <v>43773</v>
      </c>
      <c r="C1811" s="182">
        <v>1378</v>
      </c>
      <c r="D1811" s="182">
        <f t="shared" si="59"/>
        <v>4.7027086143414717E-3</v>
      </c>
      <c r="E1811" s="182">
        <v>-4.1635343780720788E-3</v>
      </c>
      <c r="F1811" s="168"/>
      <c r="G1811" s="168">
        <v>1808</v>
      </c>
      <c r="H1811" s="183">
        <f t="shared" ca="1" si="60"/>
        <v>9.4988330600605572E-3</v>
      </c>
      <c r="K1811" s="36"/>
    </row>
    <row r="1812" spans="2:11">
      <c r="B1812" s="36">
        <v>43742</v>
      </c>
      <c r="C1812" s="182">
        <v>1371.55</v>
      </c>
      <c r="D1812" s="182">
        <f t="shared" si="59"/>
        <v>-2.6541593949971575E-3</v>
      </c>
      <c r="E1812" s="182">
        <v>-4.1874973294022911E-3</v>
      </c>
      <c r="F1812" s="168"/>
      <c r="G1812" s="168">
        <v>1809</v>
      </c>
      <c r="H1812" s="183">
        <f t="shared" ca="1" si="60"/>
        <v>9.2392951862452014E-3</v>
      </c>
      <c r="K1812" s="36"/>
    </row>
    <row r="1813" spans="2:11">
      <c r="B1813" s="36">
        <v>43712</v>
      </c>
      <c r="C1813" s="182">
        <v>1375.2</v>
      </c>
      <c r="D1813" s="182">
        <f t="shared" si="59"/>
        <v>1.1283805918537869E-3</v>
      </c>
      <c r="E1813" s="182">
        <v>-4.1892043721811732E-3</v>
      </c>
      <c r="F1813" s="168"/>
      <c r="G1813" s="168">
        <v>1810</v>
      </c>
      <c r="H1813" s="183">
        <f t="shared" ca="1" si="60"/>
        <v>1.9251723790172294E-2</v>
      </c>
      <c r="K1813" s="36"/>
    </row>
    <row r="1814" spans="2:11">
      <c r="B1814" s="36">
        <v>43681</v>
      </c>
      <c r="C1814" s="182">
        <v>1373.65</v>
      </c>
      <c r="D1814" s="182">
        <f t="shared" si="59"/>
        <v>-1.0918619886436423E-4</v>
      </c>
      <c r="E1814" s="182">
        <v>-4.1936536042122925E-3</v>
      </c>
      <c r="F1814" s="168"/>
      <c r="G1814" s="168">
        <v>1811</v>
      </c>
      <c r="H1814" s="183">
        <f t="shared" ca="1" si="60"/>
        <v>7.6638155924616484E-3</v>
      </c>
      <c r="K1814" s="36"/>
    </row>
    <row r="1815" spans="2:11">
      <c r="B1815" s="36">
        <v>43589</v>
      </c>
      <c r="C1815" s="182">
        <v>1373.8</v>
      </c>
      <c r="D1815" s="182">
        <f t="shared" si="59"/>
        <v>3.7261635128223195E-3</v>
      </c>
      <c r="E1815" s="182">
        <v>-4.2119854979739092E-3</v>
      </c>
      <c r="F1815" s="168"/>
      <c r="G1815" s="168">
        <v>1812</v>
      </c>
      <c r="H1815" s="183">
        <f t="shared" ca="1" si="60"/>
        <v>-1.4051449375735298E-3</v>
      </c>
      <c r="K1815" s="36"/>
    </row>
    <row r="1816" spans="2:11">
      <c r="B1816" s="36">
        <v>43559</v>
      </c>
      <c r="C1816" s="182">
        <v>1368.7</v>
      </c>
      <c r="D1816" s="182">
        <f t="shared" si="59"/>
        <v>-6.7849497478320161E-3</v>
      </c>
      <c r="E1816" s="182">
        <v>-4.2200340564151921E-3</v>
      </c>
      <c r="F1816" s="168"/>
      <c r="G1816" s="168">
        <v>1813</v>
      </c>
      <c r="H1816" s="183">
        <f t="shared" ca="1" si="60"/>
        <v>1.7724220747261422E-2</v>
      </c>
      <c r="K1816" s="36"/>
    </row>
    <row r="1817" spans="2:11">
      <c r="B1817" s="36">
        <v>43528</v>
      </c>
      <c r="C1817" s="182">
        <v>1378.05</v>
      </c>
      <c r="D1817" s="182">
        <f t="shared" si="59"/>
        <v>-2.2486256428444793E-2</v>
      </c>
      <c r="E1817" s="182">
        <v>-4.2269324766750181E-3</v>
      </c>
      <c r="F1817" s="168"/>
      <c r="G1817" s="168">
        <v>1814</v>
      </c>
      <c r="H1817" s="183">
        <f t="shared" ca="1" si="60"/>
        <v>1.9120343595457694E-3</v>
      </c>
      <c r="K1817" s="36"/>
    </row>
    <row r="1818" spans="2:11">
      <c r="B1818" s="36">
        <v>43500</v>
      </c>
      <c r="C1818" s="182">
        <v>1409.75</v>
      </c>
      <c r="D1818" s="182">
        <f t="shared" si="59"/>
        <v>-1.734881744795387E-3</v>
      </c>
      <c r="E1818" s="182">
        <v>-4.236073510207895E-3</v>
      </c>
      <c r="F1818" s="168"/>
      <c r="G1818" s="168">
        <v>1815</v>
      </c>
      <c r="H1818" s="183">
        <f t="shared" ca="1" si="60"/>
        <v>-6.4623781589159832E-3</v>
      </c>
      <c r="K1818" s="36"/>
    </row>
    <row r="1819" spans="2:11">
      <c r="B1819" s="36">
        <v>43469</v>
      </c>
      <c r="C1819" s="182">
        <v>1412.2</v>
      </c>
      <c r="D1819" s="182">
        <f t="shared" si="59"/>
        <v>1.941817656825243E-2</v>
      </c>
      <c r="E1819" s="182">
        <v>-4.2501116274454385E-3</v>
      </c>
      <c r="F1819" s="168"/>
      <c r="G1819" s="168">
        <v>1816</v>
      </c>
      <c r="H1819" s="183">
        <f t="shared" ca="1" si="60"/>
        <v>-1.7854722337424644E-3</v>
      </c>
      <c r="K1819" s="36"/>
    </row>
    <row r="1820" spans="2:11">
      <c r="B1820" s="36" t="s">
        <v>9690</v>
      </c>
      <c r="C1820" s="182">
        <v>1385.3</v>
      </c>
      <c r="D1820" s="182">
        <f t="shared" si="59"/>
        <v>-1.0095911155982482E-3</v>
      </c>
      <c r="E1820" s="182">
        <v>-4.2644823509541919E-3</v>
      </c>
      <c r="F1820" s="168"/>
      <c r="G1820" s="168">
        <v>1817</v>
      </c>
      <c r="H1820" s="183">
        <f t="shared" ca="1" si="60"/>
        <v>-1.170675619336126E-2</v>
      </c>
      <c r="K1820" s="36"/>
    </row>
    <row r="1821" spans="2:11">
      <c r="B1821" s="36" t="s">
        <v>9691</v>
      </c>
      <c r="C1821" s="182">
        <v>1386.7</v>
      </c>
      <c r="D1821" s="182">
        <f t="shared" si="59"/>
        <v>1.4819422591386439E-2</v>
      </c>
      <c r="E1821" s="182">
        <v>-4.2649872448980676E-3</v>
      </c>
      <c r="F1821" s="168"/>
      <c r="G1821" s="168">
        <v>1818</v>
      </c>
      <c r="H1821" s="183">
        <f t="shared" ca="1" si="60"/>
        <v>5.6422994368221322E-3</v>
      </c>
      <c r="K1821" s="36"/>
    </row>
    <row r="1822" spans="2:11">
      <c r="B1822" s="36" t="s">
        <v>9692</v>
      </c>
      <c r="C1822" s="182">
        <v>1366.45</v>
      </c>
      <c r="D1822" s="182">
        <f t="shared" si="59"/>
        <v>-4.6255827505826842E-3</v>
      </c>
      <c r="E1822" s="182">
        <v>-4.2895857530003594E-3</v>
      </c>
      <c r="F1822" s="168"/>
      <c r="G1822" s="168">
        <v>1819</v>
      </c>
      <c r="H1822" s="183">
        <f t="shared" ca="1" si="60"/>
        <v>3.2057779788138671E-3</v>
      </c>
      <c r="K1822" s="36"/>
    </row>
    <row r="1823" spans="2:11">
      <c r="B1823" s="36" t="s">
        <v>9693</v>
      </c>
      <c r="C1823" s="182">
        <v>1372.8</v>
      </c>
      <c r="D1823" s="182">
        <f t="shared" si="59"/>
        <v>-2.8690757218086402E-3</v>
      </c>
      <c r="E1823" s="182">
        <v>-4.3057622793962027E-3</v>
      </c>
      <c r="F1823" s="168"/>
      <c r="G1823" s="168">
        <v>1820</v>
      </c>
      <c r="H1823" s="183">
        <f t="shared" ca="1" si="60"/>
        <v>8.1777698110060554E-3</v>
      </c>
      <c r="K1823" s="36"/>
    </row>
    <row r="1824" spans="2:11">
      <c r="B1824" s="36" t="s">
        <v>9694</v>
      </c>
      <c r="C1824" s="182">
        <v>1376.75</v>
      </c>
      <c r="D1824" s="182">
        <f t="shared" si="59"/>
        <v>-1.2870151287015161E-2</v>
      </c>
      <c r="E1824" s="182">
        <v>-4.3138866064091203E-3</v>
      </c>
      <c r="F1824" s="168"/>
      <c r="G1824" s="168">
        <v>1821</v>
      </c>
      <c r="H1824" s="183">
        <f t="shared" ca="1" si="60"/>
        <v>-3.3980995957569099E-4</v>
      </c>
      <c r="K1824" s="36"/>
    </row>
    <row r="1825" spans="2:11">
      <c r="B1825" s="36" t="s">
        <v>9695</v>
      </c>
      <c r="C1825" s="182">
        <v>1394.7</v>
      </c>
      <c r="D1825" s="182">
        <f t="shared" si="59"/>
        <v>1.7360857830622186E-2</v>
      </c>
      <c r="E1825" s="182">
        <v>-4.3271311120726954E-3</v>
      </c>
      <c r="F1825" s="168"/>
      <c r="G1825" s="168">
        <v>1822</v>
      </c>
      <c r="H1825" s="183">
        <f t="shared" ca="1" si="60"/>
        <v>-3.6403157905628425E-3</v>
      </c>
      <c r="K1825" s="36"/>
    </row>
    <row r="1826" spans="2:11">
      <c r="B1826" s="36" t="s">
        <v>9696</v>
      </c>
      <c r="C1826" s="182">
        <v>1370.9</v>
      </c>
      <c r="D1826" s="182">
        <f t="shared" si="59"/>
        <v>9.5364335947568362E-3</v>
      </c>
      <c r="E1826" s="182">
        <v>-4.3525751357075459E-3</v>
      </c>
      <c r="F1826" s="168"/>
      <c r="G1826" s="168">
        <v>1823</v>
      </c>
      <c r="H1826" s="183">
        <f t="shared" ca="1" si="60"/>
        <v>2.2503555557585935E-4</v>
      </c>
      <c r="K1826" s="36"/>
    </row>
    <row r="1827" spans="2:11">
      <c r="B1827" s="36" t="s">
        <v>9697</v>
      </c>
      <c r="C1827" s="182">
        <v>1357.95</v>
      </c>
      <c r="D1827" s="182">
        <f t="shared" si="59"/>
        <v>-1.5193269997824384E-2</v>
      </c>
      <c r="E1827" s="182">
        <v>-4.3734303282237418E-3</v>
      </c>
      <c r="F1827" s="168"/>
      <c r="G1827" s="168">
        <v>1824</v>
      </c>
      <c r="H1827" s="183">
        <f t="shared" ca="1" si="60"/>
        <v>-5.5201120271402863E-3</v>
      </c>
      <c r="K1827" s="36"/>
    </row>
    <row r="1828" spans="2:11">
      <c r="B1828" s="36" t="s">
        <v>9698</v>
      </c>
      <c r="C1828" s="182">
        <v>1378.9</v>
      </c>
      <c r="D1828" s="182">
        <f t="shared" si="59"/>
        <v>-1.2602935911206523E-2</v>
      </c>
      <c r="E1828" s="182">
        <v>-4.3901674186862119E-3</v>
      </c>
      <c r="F1828" s="168"/>
      <c r="G1828" s="168">
        <v>1825</v>
      </c>
      <c r="H1828" s="183">
        <f t="shared" ca="1" si="60"/>
        <v>1.2062721053376644E-3</v>
      </c>
      <c r="K1828" s="36"/>
    </row>
    <row r="1829" spans="2:11">
      <c r="B1829" s="36" t="s">
        <v>9699</v>
      </c>
      <c r="C1829" s="182">
        <v>1396.5</v>
      </c>
      <c r="D1829" s="182">
        <f t="shared" si="59"/>
        <v>1.2139880413118318E-2</v>
      </c>
      <c r="E1829" s="182">
        <v>-4.3975813302683303E-3</v>
      </c>
      <c r="F1829" s="168"/>
      <c r="G1829" s="168">
        <v>1826</v>
      </c>
      <c r="H1829" s="183">
        <f t="shared" ca="1" si="60"/>
        <v>-4.0535554555957429E-3</v>
      </c>
      <c r="K1829" s="36"/>
    </row>
    <row r="1830" spans="2:11">
      <c r="B1830" s="36" t="s">
        <v>9700</v>
      </c>
      <c r="C1830" s="182">
        <v>1379.75</v>
      </c>
      <c r="D1830" s="182">
        <f t="shared" si="59"/>
        <v>8.3417960249535113E-4</v>
      </c>
      <c r="E1830" s="182">
        <v>-4.4075266994405577E-3</v>
      </c>
      <c r="F1830" s="168"/>
      <c r="G1830" s="168">
        <v>1827</v>
      </c>
      <c r="H1830" s="183">
        <f t="shared" ca="1" si="60"/>
        <v>-2.4048584465529658E-4</v>
      </c>
      <c r="K1830" s="36"/>
    </row>
    <row r="1831" spans="2:11">
      <c r="B1831" s="36" t="s">
        <v>9701</v>
      </c>
      <c r="C1831" s="182">
        <v>1378.6</v>
      </c>
      <c r="D1831" s="182">
        <f t="shared" si="59"/>
        <v>-7.4159406724747506E-3</v>
      </c>
      <c r="E1831" s="182">
        <v>-4.4095840162334064E-3</v>
      </c>
      <c r="F1831" s="168"/>
      <c r="G1831" s="168">
        <v>1828</v>
      </c>
      <c r="H1831" s="183">
        <f t="shared" ca="1" si="60"/>
        <v>-1.0931862884396591E-2</v>
      </c>
      <c r="K1831" s="36"/>
    </row>
    <row r="1832" spans="2:11">
      <c r="B1832" s="36">
        <v>43802</v>
      </c>
      <c r="C1832" s="182">
        <v>1388.9</v>
      </c>
      <c r="D1832" s="182">
        <f t="shared" si="59"/>
        <v>3.1450744495191515E-2</v>
      </c>
      <c r="E1832" s="182">
        <v>-4.4180377818403066E-3</v>
      </c>
      <c r="F1832" s="168"/>
      <c r="G1832" s="168">
        <v>1829</v>
      </c>
      <c r="H1832" s="183">
        <f t="shared" ca="1" si="60"/>
        <v>1.0859902776902384E-2</v>
      </c>
      <c r="K1832" s="36"/>
    </row>
    <row r="1833" spans="2:11">
      <c r="B1833" s="36">
        <v>43772</v>
      </c>
      <c r="C1833" s="182">
        <v>1346.55</v>
      </c>
      <c r="D1833" s="182">
        <f t="shared" si="59"/>
        <v>5.3382111393160091E-3</v>
      </c>
      <c r="E1833" s="182">
        <v>-4.4494609936040182E-3</v>
      </c>
      <c r="F1833" s="168"/>
      <c r="G1833" s="168">
        <v>1830</v>
      </c>
      <c r="H1833" s="183">
        <f t="shared" ca="1" si="60"/>
        <v>6.1717262939467599E-3</v>
      </c>
      <c r="K1833" s="36"/>
    </row>
    <row r="1834" spans="2:11">
      <c r="B1834" s="36">
        <v>43680</v>
      </c>
      <c r="C1834" s="182">
        <v>1339.4</v>
      </c>
      <c r="D1834" s="182">
        <f t="shared" si="59"/>
        <v>-9.6125406684412894E-3</v>
      </c>
      <c r="E1834" s="182">
        <v>-4.4523597506678537E-3</v>
      </c>
      <c r="F1834" s="168"/>
      <c r="G1834" s="168">
        <v>1831</v>
      </c>
      <c r="H1834" s="183">
        <f t="shared" ca="1" si="60"/>
        <v>1.9560819672367847E-3</v>
      </c>
      <c r="K1834" s="36"/>
    </row>
    <row r="1835" spans="2:11">
      <c r="B1835" s="36">
        <v>43649</v>
      </c>
      <c r="C1835" s="182">
        <v>1352.4</v>
      </c>
      <c r="D1835" s="182">
        <f t="shared" si="59"/>
        <v>2.6879271070615104E-2</v>
      </c>
      <c r="E1835" s="182">
        <v>-4.4526687098826378E-3</v>
      </c>
      <c r="F1835" s="168"/>
      <c r="G1835" s="168">
        <v>1832</v>
      </c>
      <c r="H1835" s="183">
        <f t="shared" ca="1" si="60"/>
        <v>1.5039990595823192E-2</v>
      </c>
      <c r="K1835" s="36"/>
    </row>
    <row r="1836" spans="2:11">
      <c r="B1836" s="36">
        <v>43619</v>
      </c>
      <c r="C1836" s="182">
        <v>1317</v>
      </c>
      <c r="D1836" s="182">
        <f t="shared" si="59"/>
        <v>8.5771174758768921E-3</v>
      </c>
      <c r="E1836" s="182">
        <v>-4.4571723870633949E-3</v>
      </c>
      <c r="F1836" s="168"/>
      <c r="G1836" s="168">
        <v>1833</v>
      </c>
      <c r="H1836" s="183">
        <f t="shared" ca="1" si="60"/>
        <v>1.7196195379433677E-3</v>
      </c>
      <c r="K1836" s="36"/>
    </row>
    <row r="1837" spans="2:11">
      <c r="B1837" s="36">
        <v>43588</v>
      </c>
      <c r="C1837" s="182">
        <v>1305.8</v>
      </c>
      <c r="D1837" s="182">
        <f t="shared" si="59"/>
        <v>-2.1015627985174431E-3</v>
      </c>
      <c r="E1837" s="182">
        <v>-4.4849334267695103E-3</v>
      </c>
      <c r="F1837" s="168"/>
      <c r="G1837" s="168">
        <v>1834</v>
      </c>
      <c r="H1837" s="183">
        <f t="shared" ca="1" si="60"/>
        <v>1.5985894099778688E-3</v>
      </c>
      <c r="K1837" s="36"/>
    </row>
    <row r="1838" spans="2:11">
      <c r="B1838" s="36">
        <v>43468</v>
      </c>
      <c r="C1838" s="182">
        <v>1308.55</v>
      </c>
      <c r="D1838" s="182">
        <f t="shared" si="59"/>
        <v>1.2065431764569324E-2</v>
      </c>
      <c r="E1838" s="182">
        <v>-4.4958253050738943E-3</v>
      </c>
      <c r="F1838" s="168"/>
      <c r="G1838" s="168">
        <v>1835</v>
      </c>
      <c r="H1838" s="183">
        <f t="shared" ca="1" si="60"/>
        <v>1.4550271052696667E-2</v>
      </c>
      <c r="K1838" s="36"/>
    </row>
    <row r="1839" spans="2:11">
      <c r="B1839" s="36" t="s">
        <v>9702</v>
      </c>
      <c r="C1839" s="182">
        <v>1292.95</v>
      </c>
      <c r="D1839" s="182">
        <f t="shared" si="59"/>
        <v>6.421732700241301E-3</v>
      </c>
      <c r="E1839" s="182">
        <v>-4.5047151430129585E-3</v>
      </c>
      <c r="F1839" s="168"/>
      <c r="G1839" s="168">
        <v>1836</v>
      </c>
      <c r="H1839" s="183">
        <f t="shared" ca="1" si="60"/>
        <v>3.8212130235713874E-3</v>
      </c>
      <c r="K1839" s="36"/>
    </row>
    <row r="1840" spans="2:11">
      <c r="B1840" s="36" t="s">
        <v>9703</v>
      </c>
      <c r="C1840" s="182">
        <v>1284.7</v>
      </c>
      <c r="D1840" s="182">
        <f t="shared" si="59"/>
        <v>1.4891179839633556E-2</v>
      </c>
      <c r="E1840" s="182">
        <v>-4.5306347122834479E-3</v>
      </c>
      <c r="F1840" s="168"/>
      <c r="G1840" s="168">
        <v>1837</v>
      </c>
      <c r="H1840" s="183">
        <f t="shared" ca="1" si="60"/>
        <v>1.6875854764814319E-2</v>
      </c>
      <c r="K1840" s="36"/>
    </row>
    <row r="1841" spans="2:11">
      <c r="B1841" s="36" t="s">
        <v>9704</v>
      </c>
      <c r="C1841" s="182">
        <v>1265.8499999999999</v>
      </c>
      <c r="D1841" s="182">
        <f t="shared" si="59"/>
        <v>-7.8379119802484618E-3</v>
      </c>
      <c r="E1841" s="182">
        <v>-4.5395186866488118E-3</v>
      </c>
      <c r="F1841" s="168"/>
      <c r="G1841" s="168">
        <v>1838</v>
      </c>
      <c r="H1841" s="183">
        <f t="shared" ca="1" si="60"/>
        <v>-4.6156152231973313E-3</v>
      </c>
      <c r="K1841" s="36"/>
    </row>
    <row r="1842" spans="2:11">
      <c r="B1842" s="36" t="s">
        <v>9705</v>
      </c>
      <c r="C1842" s="182">
        <v>1275.8499999999999</v>
      </c>
      <c r="D1842" s="182">
        <f t="shared" si="59"/>
        <v>-3.514663959073691E-3</v>
      </c>
      <c r="E1842" s="182">
        <v>-4.5465921414866483E-3</v>
      </c>
      <c r="F1842" s="168"/>
      <c r="G1842" s="168">
        <v>1839</v>
      </c>
      <c r="H1842" s="183">
        <f t="shared" ca="1" si="60"/>
        <v>8.6289280340191218E-3</v>
      </c>
      <c r="K1842" s="36"/>
    </row>
    <row r="1843" spans="2:11">
      <c r="B1843" s="36" t="s">
        <v>9706</v>
      </c>
      <c r="C1843" s="182">
        <v>1280.3499999999999</v>
      </c>
      <c r="D1843" s="182">
        <f t="shared" si="59"/>
        <v>-2.9203333073748151E-3</v>
      </c>
      <c r="E1843" s="182">
        <v>-4.5512547851977109E-3</v>
      </c>
      <c r="F1843" s="168"/>
      <c r="G1843" s="168">
        <v>1840</v>
      </c>
      <c r="H1843" s="183">
        <f t="shared" ca="1" si="60"/>
        <v>1.4902064005699732E-2</v>
      </c>
      <c r="K1843" s="36"/>
    </row>
    <row r="1844" spans="2:11">
      <c r="B1844" s="36" t="s">
        <v>9707</v>
      </c>
      <c r="C1844" s="182">
        <v>1284.0999999999999</v>
      </c>
      <c r="D1844" s="182">
        <f t="shared" si="59"/>
        <v>5.9143785985664131E-3</v>
      </c>
      <c r="E1844" s="182">
        <v>-4.5644875325360854E-3</v>
      </c>
      <c r="F1844" s="168"/>
      <c r="G1844" s="168">
        <v>1841</v>
      </c>
      <c r="H1844" s="183">
        <f t="shared" ca="1" si="60"/>
        <v>-5.299540210709241E-3</v>
      </c>
      <c r="K1844" s="36"/>
    </row>
    <row r="1845" spans="2:11">
      <c r="B1845" s="36" t="s">
        <v>9708</v>
      </c>
      <c r="C1845" s="182">
        <v>1276.55</v>
      </c>
      <c r="D1845" s="182">
        <f t="shared" si="59"/>
        <v>1.4503695462131448E-2</v>
      </c>
      <c r="E1845" s="182">
        <v>-4.5691689097132225E-3</v>
      </c>
      <c r="F1845" s="168"/>
      <c r="G1845" s="168">
        <v>1842</v>
      </c>
      <c r="H1845" s="183">
        <f t="shared" ca="1" si="60"/>
        <v>4.1454330669805275E-3</v>
      </c>
      <c r="K1845" s="36"/>
    </row>
    <row r="1846" spans="2:11">
      <c r="B1846" s="36" t="s">
        <v>9709</v>
      </c>
      <c r="C1846" s="182">
        <v>1258.3</v>
      </c>
      <c r="D1846" s="182">
        <f t="shared" si="59"/>
        <v>1.1088790678987508E-2</v>
      </c>
      <c r="E1846" s="182">
        <v>-4.588026832046576E-3</v>
      </c>
      <c r="F1846" s="168"/>
      <c r="G1846" s="168">
        <v>1843</v>
      </c>
      <c r="H1846" s="183">
        <f t="shared" ca="1" si="60"/>
        <v>1.2862947353205374E-2</v>
      </c>
      <c r="K1846" s="36"/>
    </row>
    <row r="1847" spans="2:11">
      <c r="B1847" s="36" t="s">
        <v>9710</v>
      </c>
      <c r="C1847" s="182">
        <v>1244.5</v>
      </c>
      <c r="D1847" s="182">
        <f t="shared" si="59"/>
        <v>1.1262167162739048E-3</v>
      </c>
      <c r="E1847" s="182">
        <v>-4.601613716591138E-3</v>
      </c>
      <c r="F1847" s="168"/>
      <c r="G1847" s="168">
        <v>1844</v>
      </c>
      <c r="H1847" s="183">
        <f t="shared" ca="1" si="60"/>
        <v>-6.0170649672201528E-3</v>
      </c>
      <c r="K1847" s="36"/>
    </row>
    <row r="1848" spans="2:11">
      <c r="B1848" s="36" t="s">
        <v>9711</v>
      </c>
      <c r="C1848" s="182">
        <v>1243.0999999999999</v>
      </c>
      <c r="D1848" s="182">
        <f t="shared" si="59"/>
        <v>1.2626262626262628E-2</v>
      </c>
      <c r="E1848" s="182">
        <v>-4.6209415420626022E-3</v>
      </c>
      <c r="F1848" s="168"/>
      <c r="G1848" s="168">
        <v>1845</v>
      </c>
      <c r="H1848" s="183">
        <f t="shared" ca="1" si="60"/>
        <v>6.5905522678989491E-3</v>
      </c>
      <c r="K1848" s="36"/>
    </row>
    <row r="1849" spans="2:11">
      <c r="B1849" s="36" t="s">
        <v>9712</v>
      </c>
      <c r="C1849" s="182">
        <v>1227.5999999999999</v>
      </c>
      <c r="D1849" s="182">
        <f t="shared" si="59"/>
        <v>9.0001232893599774E-3</v>
      </c>
      <c r="E1849" s="182">
        <v>-4.6247357293868916E-3</v>
      </c>
      <c r="F1849" s="168"/>
      <c r="G1849" s="168">
        <v>1846</v>
      </c>
      <c r="H1849" s="183">
        <f t="shared" ca="1" si="60"/>
        <v>1.2327153992151604E-2</v>
      </c>
      <c r="K1849" s="36"/>
    </row>
    <row r="1850" spans="2:11">
      <c r="B1850" s="36" t="s">
        <v>9713</v>
      </c>
      <c r="C1850" s="182">
        <v>1216.6500000000001</v>
      </c>
      <c r="D1850" s="182">
        <f t="shared" si="59"/>
        <v>-2.4221037013273303E-2</v>
      </c>
      <c r="E1850" s="182">
        <v>-4.6443826700116181E-3</v>
      </c>
      <c r="F1850" s="168"/>
      <c r="G1850" s="168">
        <v>1847</v>
      </c>
      <c r="H1850" s="183">
        <f t="shared" ca="1" si="60"/>
        <v>1.3168037450661196E-2</v>
      </c>
      <c r="K1850" s="36"/>
    </row>
    <row r="1851" spans="2:11">
      <c r="B1851" s="36">
        <v>43801</v>
      </c>
      <c r="C1851" s="182">
        <v>1246.8499999999999</v>
      </c>
      <c r="D1851" s="182">
        <f t="shared" si="59"/>
        <v>2.8078620136374571E-4</v>
      </c>
      <c r="E1851" s="182">
        <v>-4.6860577947128446E-3</v>
      </c>
      <c r="F1851" s="168"/>
      <c r="G1851" s="168">
        <v>1848</v>
      </c>
      <c r="H1851" s="183">
        <f t="shared" ca="1" si="60"/>
        <v>1.6906315502479671E-2</v>
      </c>
      <c r="K1851" s="36"/>
    </row>
    <row r="1852" spans="2:11">
      <c r="B1852" s="36">
        <v>43771</v>
      </c>
      <c r="C1852" s="182">
        <v>1246.5</v>
      </c>
      <c r="D1852" s="182">
        <f t="shared" si="59"/>
        <v>-1.2086387953239549E-2</v>
      </c>
      <c r="E1852" s="182">
        <v>-4.6869860760881234E-3</v>
      </c>
      <c r="F1852" s="168"/>
      <c r="G1852" s="168">
        <v>1849</v>
      </c>
      <c r="H1852" s="183">
        <f t="shared" ca="1" si="60"/>
        <v>1.9799182467261933E-2</v>
      </c>
      <c r="K1852" s="36"/>
    </row>
    <row r="1853" spans="2:11">
      <c r="B1853" s="36">
        <v>43679</v>
      </c>
      <c r="C1853" s="182">
        <v>1261.75</v>
      </c>
      <c r="D1853" s="182">
        <f t="shared" si="59"/>
        <v>-2.6465028355387488E-2</v>
      </c>
      <c r="E1853" s="182">
        <v>-4.6891747052518759E-3</v>
      </c>
      <c r="F1853" s="168"/>
      <c r="G1853" s="168">
        <v>1850</v>
      </c>
      <c r="H1853" s="183">
        <f t="shared" ca="1" si="60"/>
        <v>3.8315944064888771E-4</v>
      </c>
      <c r="K1853" s="36"/>
    </row>
    <row r="1854" spans="2:11">
      <c r="B1854" s="36">
        <v>43648</v>
      </c>
      <c r="C1854" s="182">
        <v>1296.05</v>
      </c>
      <c r="D1854" s="182">
        <f t="shared" si="59"/>
        <v>-1.39607425441267E-2</v>
      </c>
      <c r="E1854" s="182">
        <v>-4.6944652649020041E-3</v>
      </c>
      <c r="F1854" s="168"/>
      <c r="G1854" s="168">
        <v>1851</v>
      </c>
      <c r="H1854" s="183">
        <f t="shared" ca="1" si="60"/>
        <v>-1.4244807150729814E-3</v>
      </c>
      <c r="K1854" s="36"/>
    </row>
    <row r="1855" spans="2:11">
      <c r="B1855" s="36">
        <v>43618</v>
      </c>
      <c r="C1855" s="182">
        <v>1314.4</v>
      </c>
      <c r="D1855" s="182">
        <f t="shared" si="59"/>
        <v>7.511881036333116E-3</v>
      </c>
      <c r="E1855" s="182">
        <v>-4.7056978157719309E-3</v>
      </c>
      <c r="F1855" s="168"/>
      <c r="G1855" s="168">
        <v>1852</v>
      </c>
      <c r="H1855" s="183">
        <f t="shared" ca="1" si="60"/>
        <v>1.1256278762075739E-2</v>
      </c>
      <c r="K1855" s="36"/>
    </row>
    <row r="1856" spans="2:11">
      <c r="B1856" s="36">
        <v>43587</v>
      </c>
      <c r="C1856" s="182">
        <v>1304.5999999999999</v>
      </c>
      <c r="D1856" s="182">
        <f t="shared" si="59"/>
        <v>-2.1416551935139832E-3</v>
      </c>
      <c r="E1856" s="182">
        <v>-4.7118216238955903E-3</v>
      </c>
      <c r="F1856" s="168"/>
      <c r="G1856" s="168">
        <v>1853</v>
      </c>
      <c r="H1856" s="183">
        <f t="shared" ca="1" si="60"/>
        <v>3.3190067733040746E-4</v>
      </c>
      <c r="K1856" s="36"/>
    </row>
    <row r="1857" spans="2:11">
      <c r="B1857" s="36">
        <v>43557</v>
      </c>
      <c r="C1857" s="182">
        <v>1307.4000000000001</v>
      </c>
      <c r="D1857" s="182">
        <f t="shared" si="59"/>
        <v>-1.2985052091197206E-2</v>
      </c>
      <c r="E1857" s="182">
        <v>-4.7188564119406392E-3</v>
      </c>
      <c r="F1857" s="168"/>
      <c r="G1857" s="168">
        <v>1854</v>
      </c>
      <c r="H1857" s="183">
        <f t="shared" ca="1" si="60"/>
        <v>7.2759538412881901E-3</v>
      </c>
      <c r="K1857" s="36"/>
    </row>
    <row r="1858" spans="2:11">
      <c r="B1858" s="36">
        <v>43467</v>
      </c>
      <c r="C1858" s="182">
        <v>1324.6</v>
      </c>
      <c r="D1858" s="182">
        <f t="shared" si="59"/>
        <v>7.8368713383549834E-3</v>
      </c>
      <c r="E1858" s="182">
        <v>-4.729758782302103E-3</v>
      </c>
      <c r="F1858" s="168"/>
      <c r="G1858" s="168">
        <v>1855</v>
      </c>
      <c r="H1858" s="183">
        <f t="shared" ca="1" si="60"/>
        <v>2.6217277734399145E-4</v>
      </c>
      <c r="K1858" s="36"/>
    </row>
    <row r="1859" spans="2:11">
      <c r="B1859" s="36" t="s">
        <v>9714</v>
      </c>
      <c r="C1859" s="182">
        <v>1314.3</v>
      </c>
      <c r="D1859" s="182">
        <f t="shared" si="59"/>
        <v>1.5334698134342701E-2</v>
      </c>
      <c r="E1859" s="182">
        <v>-4.7324832391218907E-3</v>
      </c>
      <c r="F1859" s="168"/>
      <c r="G1859" s="168">
        <v>1856</v>
      </c>
      <c r="H1859" s="183">
        <f t="shared" ca="1" si="60"/>
        <v>2.3124758851441999E-2</v>
      </c>
      <c r="K1859" s="36"/>
    </row>
    <row r="1860" spans="2:11">
      <c r="B1860" s="36" t="s">
        <v>9715</v>
      </c>
      <c r="C1860" s="182">
        <v>1294.45</v>
      </c>
      <c r="D1860" s="182">
        <f t="shared" ref="D1860:D1923" si="61">(C1860-C1861)/C1861</f>
        <v>1.2832048824380965E-2</v>
      </c>
      <c r="E1860" s="182">
        <v>-4.7450893842419638E-3</v>
      </c>
      <c r="F1860" s="168"/>
      <c r="G1860" s="168">
        <v>1857</v>
      </c>
      <c r="H1860" s="183">
        <f t="shared" ca="1" si="60"/>
        <v>1.1512249417745091E-2</v>
      </c>
      <c r="K1860" s="36"/>
    </row>
    <row r="1861" spans="2:11">
      <c r="B1861" s="36" t="s">
        <v>9716</v>
      </c>
      <c r="C1861" s="182">
        <v>1278.05</v>
      </c>
      <c r="D1861" s="182">
        <f t="shared" si="61"/>
        <v>-1.7224806797647037E-2</v>
      </c>
      <c r="E1861" s="182">
        <v>-4.7848205692286793E-3</v>
      </c>
      <c r="F1861" s="168"/>
      <c r="G1861" s="168">
        <v>1858</v>
      </c>
      <c r="H1861" s="183">
        <f t="shared" ref="H1861:H1924" ca="1" si="62">_xlfn.NORM.INV(RAND(),N$6,N$7)</f>
        <v>1.445450913375599E-2</v>
      </c>
      <c r="K1861" s="36"/>
    </row>
    <row r="1862" spans="2:11">
      <c r="B1862" s="36" t="s">
        <v>9717</v>
      </c>
      <c r="C1862" s="182">
        <v>1300.45</v>
      </c>
      <c r="D1862" s="182">
        <f t="shared" si="61"/>
        <v>1.1669065307868839E-2</v>
      </c>
      <c r="E1862" s="182">
        <v>-4.7866419294991065E-3</v>
      </c>
      <c r="F1862" s="168"/>
      <c r="G1862" s="168">
        <v>1859</v>
      </c>
      <c r="H1862" s="183">
        <f t="shared" ca="1" si="62"/>
        <v>6.6473096794943468E-3</v>
      </c>
      <c r="K1862" s="36"/>
    </row>
    <row r="1863" spans="2:11">
      <c r="B1863" s="36" t="s">
        <v>9718</v>
      </c>
      <c r="C1863" s="182">
        <v>1285.45</v>
      </c>
      <c r="D1863" s="182">
        <f t="shared" si="61"/>
        <v>-7.6427220442350438E-3</v>
      </c>
      <c r="E1863" s="182">
        <v>-4.7890607769621833E-3</v>
      </c>
      <c r="F1863" s="168"/>
      <c r="G1863" s="168">
        <v>1860</v>
      </c>
      <c r="H1863" s="183">
        <f t="shared" ca="1" si="62"/>
        <v>1.288994754484311E-2</v>
      </c>
      <c r="K1863" s="36"/>
    </row>
    <row r="1864" spans="2:11">
      <c r="B1864" s="36" t="s">
        <v>9719</v>
      </c>
      <c r="C1864" s="182">
        <v>1295.3499999999999</v>
      </c>
      <c r="D1864" s="182">
        <f t="shared" si="61"/>
        <v>-4.6870797956126906E-3</v>
      </c>
      <c r="E1864" s="182">
        <v>-4.7938144329896671E-3</v>
      </c>
      <c r="F1864" s="168"/>
      <c r="G1864" s="168">
        <v>1861</v>
      </c>
      <c r="H1864" s="183">
        <f t="shared" ca="1" si="62"/>
        <v>4.4907726013547877E-3</v>
      </c>
      <c r="K1864" s="36"/>
    </row>
    <row r="1865" spans="2:11">
      <c r="B1865" s="36" t="s">
        <v>9720</v>
      </c>
      <c r="C1865" s="182">
        <v>1301.45</v>
      </c>
      <c r="D1865" s="182">
        <f t="shared" si="61"/>
        <v>2.305652691849168E-4</v>
      </c>
      <c r="E1865" s="182">
        <v>-4.8037967357332763E-3</v>
      </c>
      <c r="F1865" s="168"/>
      <c r="G1865" s="168">
        <v>1862</v>
      </c>
      <c r="H1865" s="183">
        <f t="shared" ca="1" si="62"/>
        <v>2.0047158572993811E-2</v>
      </c>
      <c r="K1865" s="36"/>
    </row>
    <row r="1866" spans="2:11">
      <c r="B1866" s="36" t="s">
        <v>9721</v>
      </c>
      <c r="C1866" s="182">
        <v>1301.1500000000001</v>
      </c>
      <c r="D1866" s="182">
        <f t="shared" si="61"/>
        <v>-1.0193602373435673E-2</v>
      </c>
      <c r="E1866" s="182">
        <v>-4.8366105033592456E-3</v>
      </c>
      <c r="F1866" s="168"/>
      <c r="G1866" s="168">
        <v>1863</v>
      </c>
      <c r="H1866" s="183">
        <f t="shared" ca="1" si="62"/>
        <v>6.336331153350353E-3</v>
      </c>
      <c r="K1866" s="36"/>
    </row>
    <row r="1867" spans="2:11">
      <c r="B1867" s="36" t="s">
        <v>9722</v>
      </c>
      <c r="C1867" s="182">
        <v>1314.55</v>
      </c>
      <c r="D1867" s="182">
        <f t="shared" si="61"/>
        <v>-2.5419227558996405E-3</v>
      </c>
      <c r="E1867" s="182">
        <v>-4.8560678974540038E-3</v>
      </c>
      <c r="F1867" s="168"/>
      <c r="G1867" s="168">
        <v>1864</v>
      </c>
      <c r="H1867" s="183">
        <f t="shared" ca="1" si="62"/>
        <v>-1.8644140032271573E-3</v>
      </c>
      <c r="K1867" s="36"/>
    </row>
    <row r="1868" spans="2:11">
      <c r="B1868" s="36" t="s">
        <v>9723</v>
      </c>
      <c r="C1868" s="182">
        <v>1317.9</v>
      </c>
      <c r="D1868" s="182">
        <f t="shared" si="61"/>
        <v>-2.0913041863229349E-2</v>
      </c>
      <c r="E1868" s="182">
        <v>-4.8582317711604933E-3</v>
      </c>
      <c r="F1868" s="168"/>
      <c r="G1868" s="168">
        <v>1865</v>
      </c>
      <c r="H1868" s="183">
        <f t="shared" ca="1" si="62"/>
        <v>1.7181698866771882E-2</v>
      </c>
      <c r="K1868" s="36"/>
    </row>
    <row r="1869" spans="2:11">
      <c r="B1869" s="36" t="s">
        <v>9724</v>
      </c>
      <c r="C1869" s="182">
        <v>1346.05</v>
      </c>
      <c r="D1869" s="182">
        <f t="shared" si="61"/>
        <v>2.9057854934246273E-3</v>
      </c>
      <c r="E1869" s="182">
        <v>-4.8751030988571286E-3</v>
      </c>
      <c r="F1869" s="168"/>
      <c r="G1869" s="168">
        <v>1866</v>
      </c>
      <c r="H1869" s="183">
        <f t="shared" ca="1" si="62"/>
        <v>7.3483756054093501E-3</v>
      </c>
      <c r="K1869" s="36"/>
    </row>
    <row r="1870" spans="2:11">
      <c r="B1870" s="36" t="s">
        <v>9725</v>
      </c>
      <c r="C1870" s="182">
        <v>1342.15</v>
      </c>
      <c r="D1870" s="182">
        <f t="shared" si="61"/>
        <v>9.3220970989633825E-4</v>
      </c>
      <c r="E1870" s="182">
        <v>-4.8769473921879353E-3</v>
      </c>
      <c r="F1870" s="168"/>
      <c r="G1870" s="168">
        <v>1867</v>
      </c>
      <c r="H1870" s="183">
        <f t="shared" ca="1" si="62"/>
        <v>7.5335442855005647E-3</v>
      </c>
      <c r="K1870" s="36"/>
    </row>
    <row r="1871" spans="2:11">
      <c r="B1871" s="36" t="s">
        <v>9726</v>
      </c>
      <c r="C1871" s="182">
        <v>1340.9</v>
      </c>
      <c r="D1871" s="182">
        <f t="shared" si="61"/>
        <v>5.2477696978784011E-3</v>
      </c>
      <c r="E1871" s="182">
        <v>-4.9206235184253355E-3</v>
      </c>
      <c r="F1871" s="168"/>
      <c r="G1871" s="168">
        <v>1868</v>
      </c>
      <c r="H1871" s="183">
        <f t="shared" ca="1" si="62"/>
        <v>4.2814096932487751E-3</v>
      </c>
      <c r="K1871" s="36"/>
    </row>
    <row r="1872" spans="2:11">
      <c r="B1872" s="36" t="s">
        <v>9727</v>
      </c>
      <c r="C1872" s="182">
        <v>1333.9</v>
      </c>
      <c r="D1872" s="182">
        <f t="shared" si="61"/>
        <v>-2.6066004672897065E-2</v>
      </c>
      <c r="E1872" s="182">
        <v>-4.9335863377609106E-3</v>
      </c>
      <c r="F1872" s="168"/>
      <c r="G1872" s="168">
        <v>1869</v>
      </c>
      <c r="H1872" s="183">
        <f t="shared" ca="1" si="62"/>
        <v>1.4171536782623267E-2</v>
      </c>
      <c r="K1872" s="36"/>
    </row>
    <row r="1873" spans="2:11">
      <c r="B1873" s="36">
        <v>43770</v>
      </c>
      <c r="C1873" s="182">
        <v>1369.6</v>
      </c>
      <c r="D1873" s="182">
        <f t="shared" si="61"/>
        <v>-1.6515869596438318E-2</v>
      </c>
      <c r="E1873" s="182">
        <v>-4.9391126628629441E-3</v>
      </c>
      <c r="F1873" s="168"/>
      <c r="G1873" s="168">
        <v>1870</v>
      </c>
      <c r="H1873" s="183">
        <f t="shared" ca="1" si="62"/>
        <v>1.6266517283935789E-2</v>
      </c>
      <c r="K1873" s="36"/>
    </row>
    <row r="1874" spans="2:11">
      <c r="B1874" s="36">
        <v>43739</v>
      </c>
      <c r="C1874" s="182">
        <v>1392.6</v>
      </c>
      <c r="D1874" s="182">
        <f t="shared" si="61"/>
        <v>4.7256592475018611E-3</v>
      </c>
      <c r="E1874" s="182">
        <v>-4.9449247897666174E-3</v>
      </c>
      <c r="F1874" s="168"/>
      <c r="G1874" s="168">
        <v>1871</v>
      </c>
      <c r="H1874" s="183">
        <f t="shared" ca="1" si="62"/>
        <v>1.3709135593058662E-2</v>
      </c>
      <c r="K1874" s="36"/>
    </row>
    <row r="1875" spans="2:11">
      <c r="B1875" s="36">
        <v>43709</v>
      </c>
      <c r="C1875" s="182">
        <v>1386.05</v>
      </c>
      <c r="D1875" s="182">
        <f t="shared" si="61"/>
        <v>2.7854145565040581E-3</v>
      </c>
      <c r="E1875" s="182">
        <v>-4.9584195525710665E-3</v>
      </c>
      <c r="F1875" s="168"/>
      <c r="G1875" s="168">
        <v>1872</v>
      </c>
      <c r="H1875" s="183">
        <f t="shared" ca="1" si="62"/>
        <v>1.2478105178175221E-2</v>
      </c>
      <c r="K1875" s="36"/>
    </row>
    <row r="1876" spans="2:11">
      <c r="B1876" s="36">
        <v>43678</v>
      </c>
      <c r="C1876" s="182">
        <v>1382.2</v>
      </c>
      <c r="D1876" s="182">
        <f t="shared" si="61"/>
        <v>-1.1562364503540318E-3</v>
      </c>
      <c r="E1876" s="182">
        <v>-4.9585801145197311E-3</v>
      </c>
      <c r="F1876" s="168"/>
      <c r="G1876" s="168">
        <v>1873</v>
      </c>
      <c r="H1876" s="183">
        <f t="shared" ca="1" si="62"/>
        <v>1.0099318414852515E-2</v>
      </c>
      <c r="K1876" s="36"/>
    </row>
    <row r="1877" spans="2:11">
      <c r="B1877" s="36">
        <v>43647</v>
      </c>
      <c r="C1877" s="182">
        <v>1383.8</v>
      </c>
      <c r="D1877" s="182">
        <f t="shared" si="61"/>
        <v>-3.0618493570116353E-3</v>
      </c>
      <c r="E1877" s="182">
        <v>-4.9625668449197469E-3</v>
      </c>
      <c r="F1877" s="168"/>
      <c r="G1877" s="168">
        <v>1874</v>
      </c>
      <c r="H1877" s="183">
        <f t="shared" ca="1" si="62"/>
        <v>-1.1942489426917304E-2</v>
      </c>
      <c r="K1877" s="36"/>
    </row>
    <row r="1878" spans="2:11">
      <c r="B1878" s="36">
        <v>43556</v>
      </c>
      <c r="C1878" s="182">
        <v>1388.05</v>
      </c>
      <c r="D1878" s="182">
        <f t="shared" si="61"/>
        <v>-4.9820788530466273E-3</v>
      </c>
      <c r="E1878" s="182">
        <v>-4.9766314696209103E-3</v>
      </c>
      <c r="F1878" s="168"/>
      <c r="G1878" s="168">
        <v>1875</v>
      </c>
      <c r="H1878" s="183">
        <f t="shared" ca="1" si="62"/>
        <v>-1.6168920659170645E-2</v>
      </c>
      <c r="K1878" s="36"/>
    </row>
    <row r="1879" spans="2:11">
      <c r="B1879" s="36">
        <v>43525</v>
      </c>
      <c r="C1879" s="182">
        <v>1395</v>
      </c>
      <c r="D1879" s="182">
        <f t="shared" si="61"/>
        <v>-2.1396001403016486E-2</v>
      </c>
      <c r="E1879" s="182">
        <v>-4.9787094660988596E-3</v>
      </c>
      <c r="F1879" s="168"/>
      <c r="G1879" s="168">
        <v>1876</v>
      </c>
      <c r="H1879" s="183">
        <f t="shared" ca="1" si="62"/>
        <v>-1.3945740584519761E-2</v>
      </c>
      <c r="K1879" s="36"/>
    </row>
    <row r="1880" spans="2:11">
      <c r="B1880" s="36">
        <v>43497</v>
      </c>
      <c r="C1880" s="182">
        <v>1425.5</v>
      </c>
      <c r="D1880" s="182">
        <f t="shared" si="61"/>
        <v>-1.1373881683889375E-2</v>
      </c>
      <c r="E1880" s="182">
        <v>-4.9833887043189765E-3</v>
      </c>
      <c r="F1880" s="168"/>
      <c r="G1880" s="168">
        <v>1877</v>
      </c>
      <c r="H1880" s="183">
        <f t="shared" ca="1" si="62"/>
        <v>-1.7876684932822191E-2</v>
      </c>
      <c r="K1880" s="36"/>
    </row>
    <row r="1881" spans="2:11">
      <c r="B1881" s="36">
        <v>43466</v>
      </c>
      <c r="C1881" s="182">
        <v>1441.9</v>
      </c>
      <c r="D1881" s="182">
        <f t="shared" si="61"/>
        <v>3.0259817049842694E-3</v>
      </c>
      <c r="E1881" s="182">
        <v>-4.9966540263215783E-3</v>
      </c>
      <c r="F1881" s="168"/>
      <c r="G1881" s="168">
        <v>1878</v>
      </c>
      <c r="H1881" s="183">
        <f t="shared" ca="1" si="62"/>
        <v>5.9810288558447182E-3</v>
      </c>
      <c r="K1881" s="36"/>
    </row>
    <row r="1882" spans="2:11">
      <c r="B1882" s="36" t="s">
        <v>9728</v>
      </c>
      <c r="C1882" s="182">
        <v>1437.55</v>
      </c>
      <c r="D1882" s="182">
        <f t="shared" si="61"/>
        <v>-1.2852577462832682E-3</v>
      </c>
      <c r="E1882" s="182">
        <v>-5.0290081054125309E-3</v>
      </c>
      <c r="F1882" s="168"/>
      <c r="G1882" s="168">
        <v>1879</v>
      </c>
      <c r="H1882" s="183">
        <f t="shared" ca="1" si="62"/>
        <v>-1.6498234683298477E-2</v>
      </c>
      <c r="K1882" s="36"/>
    </row>
    <row r="1883" spans="2:11">
      <c r="B1883" s="36" t="s">
        <v>9729</v>
      </c>
      <c r="C1883" s="182">
        <v>1439.4</v>
      </c>
      <c r="D1883" s="182">
        <f t="shared" si="61"/>
        <v>1.0069822111504955E-2</v>
      </c>
      <c r="E1883" s="182">
        <v>-5.0340472391396359E-3</v>
      </c>
      <c r="F1883" s="168"/>
      <c r="G1883" s="168">
        <v>1880</v>
      </c>
      <c r="H1883" s="183">
        <f t="shared" ca="1" si="62"/>
        <v>-1.9171871243234894E-2</v>
      </c>
      <c r="K1883" s="36"/>
    </row>
    <row r="1884" spans="2:11">
      <c r="B1884" s="36" t="s">
        <v>9730</v>
      </c>
      <c r="C1884" s="182">
        <v>1425.05</v>
      </c>
      <c r="D1884" s="182">
        <f t="shared" si="61"/>
        <v>1.686992584261669E-3</v>
      </c>
      <c r="E1884" s="182">
        <v>-5.0494159928122844E-3</v>
      </c>
      <c r="F1884" s="168"/>
      <c r="G1884" s="168">
        <v>1881</v>
      </c>
      <c r="H1884" s="183">
        <f t="shared" ca="1" si="62"/>
        <v>8.6958220451683801E-3</v>
      </c>
      <c r="K1884" s="36"/>
    </row>
    <row r="1885" spans="2:11">
      <c r="B1885" s="36" t="s">
        <v>9731</v>
      </c>
      <c r="C1885" s="182">
        <v>1422.65</v>
      </c>
      <c r="D1885" s="182">
        <f t="shared" si="61"/>
        <v>1.270643507972675E-2</v>
      </c>
      <c r="E1885" s="182">
        <v>-5.050145814069376E-3</v>
      </c>
      <c r="F1885" s="168"/>
      <c r="G1885" s="168">
        <v>1882</v>
      </c>
      <c r="H1885" s="183">
        <f t="shared" ca="1" si="62"/>
        <v>-5.3095196398678405E-3</v>
      </c>
      <c r="K1885" s="36"/>
    </row>
    <row r="1886" spans="2:11">
      <c r="B1886" s="36" t="s">
        <v>9732</v>
      </c>
      <c r="C1886" s="182">
        <v>1404.8</v>
      </c>
      <c r="D1886" s="182">
        <f t="shared" si="61"/>
        <v>-1.0704225352112708E-2</v>
      </c>
      <c r="E1886" s="182">
        <v>-5.0600141209696751E-3</v>
      </c>
      <c r="F1886" s="168"/>
      <c r="G1886" s="168">
        <v>1883</v>
      </c>
      <c r="H1886" s="183">
        <f t="shared" ca="1" si="62"/>
        <v>-4.4339679667696093E-4</v>
      </c>
      <c r="K1886" s="36"/>
    </row>
    <row r="1887" spans="2:11">
      <c r="B1887" s="36" t="s">
        <v>9733</v>
      </c>
      <c r="C1887" s="182">
        <v>1420</v>
      </c>
      <c r="D1887" s="182">
        <f t="shared" si="61"/>
        <v>-2.1229666390956681E-2</v>
      </c>
      <c r="E1887" s="182">
        <v>-5.0801094177412263E-3</v>
      </c>
      <c r="F1887" s="168"/>
      <c r="G1887" s="168">
        <v>1884</v>
      </c>
      <c r="H1887" s="183">
        <f t="shared" ca="1" si="62"/>
        <v>1.4052264817481759E-3</v>
      </c>
      <c r="K1887" s="36"/>
    </row>
    <row r="1888" spans="2:11">
      <c r="B1888" s="36" t="s">
        <v>9734</v>
      </c>
      <c r="C1888" s="182">
        <v>1450.8</v>
      </c>
      <c r="D1888" s="182">
        <f t="shared" si="61"/>
        <v>1.1186617877679007E-2</v>
      </c>
      <c r="E1888" s="182">
        <v>-5.0808793031936333E-3</v>
      </c>
      <c r="F1888" s="168"/>
      <c r="G1888" s="168">
        <v>1885</v>
      </c>
      <c r="H1888" s="183">
        <f t="shared" ca="1" si="62"/>
        <v>-7.9284845473234344E-4</v>
      </c>
      <c r="K1888" s="36"/>
    </row>
    <row r="1889" spans="2:11">
      <c r="B1889" s="36" t="s">
        <v>9735</v>
      </c>
      <c r="C1889" s="182">
        <v>1434.75</v>
      </c>
      <c r="D1889" s="182">
        <f t="shared" si="61"/>
        <v>4.3752187609380471E-3</v>
      </c>
      <c r="E1889" s="182">
        <v>-5.0842799560278078E-3</v>
      </c>
      <c r="F1889" s="168"/>
      <c r="G1889" s="168">
        <v>1886</v>
      </c>
      <c r="H1889" s="183">
        <f t="shared" ca="1" si="62"/>
        <v>-8.0142526689861195E-3</v>
      </c>
      <c r="K1889" s="36"/>
    </row>
    <row r="1890" spans="2:11">
      <c r="B1890" s="36" t="s">
        <v>9736</v>
      </c>
      <c r="C1890" s="182">
        <v>1428.5</v>
      </c>
      <c r="D1890" s="182">
        <f t="shared" si="61"/>
        <v>1.455965909090909E-2</v>
      </c>
      <c r="E1890" s="182">
        <v>-5.0895050895050503E-3</v>
      </c>
      <c r="F1890" s="168"/>
      <c r="G1890" s="168">
        <v>1887</v>
      </c>
      <c r="H1890" s="183">
        <f t="shared" ca="1" si="62"/>
        <v>1.1350244713392844E-2</v>
      </c>
      <c r="K1890" s="36"/>
    </row>
    <row r="1891" spans="2:11">
      <c r="B1891" s="36" t="s">
        <v>9737</v>
      </c>
      <c r="C1891" s="182">
        <v>1408</v>
      </c>
      <c r="D1891" s="182">
        <f t="shared" si="61"/>
        <v>-2.4089556468755071E-3</v>
      </c>
      <c r="E1891" s="182">
        <v>-5.0910854055552651E-3</v>
      </c>
      <c r="F1891" s="168"/>
      <c r="G1891" s="168">
        <v>1888</v>
      </c>
      <c r="H1891" s="183">
        <f t="shared" ca="1" si="62"/>
        <v>8.0357556040137647E-3</v>
      </c>
      <c r="K1891" s="36"/>
    </row>
    <row r="1892" spans="2:11">
      <c r="B1892" s="36" t="s">
        <v>9738</v>
      </c>
      <c r="C1892" s="182">
        <v>1411.4</v>
      </c>
      <c r="D1892" s="182">
        <f t="shared" si="61"/>
        <v>-1.0550667741596239E-2</v>
      </c>
      <c r="E1892" s="182">
        <v>-5.0978513753934893E-3</v>
      </c>
      <c r="F1892" s="168"/>
      <c r="G1892" s="168">
        <v>1889</v>
      </c>
      <c r="H1892" s="183">
        <f t="shared" ca="1" si="62"/>
        <v>2.2251250502388225E-2</v>
      </c>
      <c r="K1892" s="36"/>
    </row>
    <row r="1893" spans="2:11">
      <c r="B1893" s="36" t="s">
        <v>9739</v>
      </c>
      <c r="C1893" s="182">
        <v>1426.45</v>
      </c>
      <c r="D1893" s="182">
        <f t="shared" si="61"/>
        <v>1.867456973505684E-2</v>
      </c>
      <c r="E1893" s="182">
        <v>-5.1114518745694155E-3</v>
      </c>
      <c r="F1893" s="168"/>
      <c r="G1893" s="168">
        <v>1890</v>
      </c>
      <c r="H1893" s="183">
        <f t="shared" ca="1" si="62"/>
        <v>1.389527123328247E-2</v>
      </c>
      <c r="K1893" s="36"/>
    </row>
    <row r="1894" spans="2:11">
      <c r="B1894" s="36">
        <v>43446</v>
      </c>
      <c r="C1894" s="182">
        <v>1400.3</v>
      </c>
      <c r="D1894" s="182">
        <f t="shared" si="61"/>
        <v>2.8573527251358793E-2</v>
      </c>
      <c r="E1894" s="182">
        <v>-5.1197721531862648E-3</v>
      </c>
      <c r="F1894" s="168"/>
      <c r="G1894" s="168">
        <v>1891</v>
      </c>
      <c r="H1894" s="183">
        <f t="shared" ca="1" si="62"/>
        <v>1.0080124924797308E-2</v>
      </c>
      <c r="K1894" s="36"/>
    </row>
    <row r="1895" spans="2:11">
      <c r="B1895" s="36">
        <v>43416</v>
      </c>
      <c r="C1895" s="182">
        <v>1361.4</v>
      </c>
      <c r="D1895" s="182">
        <f t="shared" si="61"/>
        <v>-4.6426613050629933E-3</v>
      </c>
      <c r="E1895" s="182">
        <v>-5.1270385665290437E-3</v>
      </c>
      <c r="F1895" s="168"/>
      <c r="G1895" s="168">
        <v>1892</v>
      </c>
      <c r="H1895" s="183">
        <f t="shared" ca="1" si="62"/>
        <v>-4.575049463005256E-3</v>
      </c>
      <c r="K1895" s="36"/>
    </row>
    <row r="1896" spans="2:11">
      <c r="B1896" s="36">
        <v>43385</v>
      </c>
      <c r="C1896" s="182">
        <v>1367.75</v>
      </c>
      <c r="D1896" s="182">
        <f t="shared" si="61"/>
        <v>-2.2965926137581319E-2</v>
      </c>
      <c r="E1896" s="182">
        <v>-5.128802890779785E-3</v>
      </c>
      <c r="F1896" s="168"/>
      <c r="G1896" s="168">
        <v>1893</v>
      </c>
      <c r="H1896" s="183">
        <f t="shared" ca="1" si="62"/>
        <v>4.9575216922865045E-3</v>
      </c>
      <c r="K1896" s="36"/>
    </row>
    <row r="1897" spans="2:11">
      <c r="B1897" s="36">
        <v>43293</v>
      </c>
      <c r="C1897" s="182">
        <v>1399.9</v>
      </c>
      <c r="D1897" s="182">
        <f t="shared" si="61"/>
        <v>1.4787966654585061E-2</v>
      </c>
      <c r="E1897" s="182">
        <v>-5.1526242848512847E-3</v>
      </c>
      <c r="F1897" s="168"/>
      <c r="G1897" s="168">
        <v>1894</v>
      </c>
      <c r="H1897" s="183">
        <f t="shared" ca="1" si="62"/>
        <v>8.4684767587909528E-3</v>
      </c>
      <c r="K1897" s="36"/>
    </row>
    <row r="1898" spans="2:11">
      <c r="B1898" s="36">
        <v>43263</v>
      </c>
      <c r="C1898" s="182">
        <v>1379.5</v>
      </c>
      <c r="D1898" s="182">
        <f t="shared" si="61"/>
        <v>-1.0969314597074818E-2</v>
      </c>
      <c r="E1898" s="182">
        <v>-5.1606849636406018E-3</v>
      </c>
      <c r="F1898" s="168"/>
      <c r="G1898" s="168">
        <v>1895</v>
      </c>
      <c r="H1898" s="183">
        <f t="shared" ca="1" si="62"/>
        <v>-2.2948337769373616E-2</v>
      </c>
      <c r="K1898" s="36"/>
    </row>
    <row r="1899" spans="2:11">
      <c r="B1899" s="36">
        <v>43232</v>
      </c>
      <c r="C1899" s="182">
        <v>1394.8</v>
      </c>
      <c r="D1899" s="182">
        <f t="shared" si="61"/>
        <v>-1.7677301218395756E-2</v>
      </c>
      <c r="E1899" s="182">
        <v>-5.1639125799573561E-3</v>
      </c>
      <c r="F1899" s="168"/>
      <c r="G1899" s="168">
        <v>1896</v>
      </c>
      <c r="H1899" s="183">
        <f t="shared" ca="1" si="62"/>
        <v>-1.3294165440406076E-2</v>
      </c>
      <c r="K1899" s="36"/>
    </row>
    <row r="1900" spans="2:11">
      <c r="B1900" s="36">
        <v>43202</v>
      </c>
      <c r="C1900" s="182">
        <v>1419.9</v>
      </c>
      <c r="D1900" s="182">
        <f t="shared" si="61"/>
        <v>-5.3239929947459961E-3</v>
      </c>
      <c r="E1900" s="182">
        <v>-5.1679586563307201E-3</v>
      </c>
      <c r="F1900" s="168"/>
      <c r="G1900" s="168">
        <v>1897</v>
      </c>
      <c r="H1900" s="183">
        <f t="shared" ca="1" si="62"/>
        <v>1.4655150328288548E-2</v>
      </c>
      <c r="K1900" s="36"/>
    </row>
    <row r="1901" spans="2:11">
      <c r="B1901" s="36">
        <v>43171</v>
      </c>
      <c r="C1901" s="182">
        <v>1427.5</v>
      </c>
      <c r="D1901" s="182">
        <f t="shared" si="61"/>
        <v>-3.4904013961605585E-3</v>
      </c>
      <c r="E1901" s="182">
        <v>-5.1708110620497854E-3</v>
      </c>
      <c r="F1901" s="168"/>
      <c r="G1901" s="168">
        <v>1898</v>
      </c>
      <c r="H1901" s="183">
        <f t="shared" ca="1" si="62"/>
        <v>1.5330183951167409E-2</v>
      </c>
      <c r="K1901" s="36"/>
    </row>
    <row r="1902" spans="2:11">
      <c r="B1902" s="36" t="s">
        <v>9740</v>
      </c>
      <c r="C1902" s="182">
        <v>1432.5</v>
      </c>
      <c r="D1902" s="182">
        <f t="shared" si="61"/>
        <v>7.06527470209846E-3</v>
      </c>
      <c r="E1902" s="182">
        <v>-5.1804524261785528E-3</v>
      </c>
      <c r="F1902" s="168"/>
      <c r="G1902" s="168">
        <v>1899</v>
      </c>
      <c r="H1902" s="183">
        <f t="shared" ca="1" si="62"/>
        <v>9.8262706569292972E-3</v>
      </c>
      <c r="K1902" s="36"/>
    </row>
    <row r="1903" spans="2:11">
      <c r="B1903" s="36" t="s">
        <v>9741</v>
      </c>
      <c r="C1903" s="182">
        <v>1422.45</v>
      </c>
      <c r="D1903" s="182">
        <f t="shared" si="61"/>
        <v>1.3574176998717368E-2</v>
      </c>
      <c r="E1903" s="182">
        <v>-5.1815746717603648E-3</v>
      </c>
      <c r="F1903" s="168"/>
      <c r="G1903" s="168">
        <v>1900</v>
      </c>
      <c r="H1903" s="183">
        <f t="shared" ca="1" si="62"/>
        <v>2.5000202172299094E-2</v>
      </c>
      <c r="K1903" s="36"/>
    </row>
    <row r="1904" spans="2:11">
      <c r="B1904" s="36" t="s">
        <v>9742</v>
      </c>
      <c r="C1904" s="182">
        <v>1403.4</v>
      </c>
      <c r="D1904" s="182">
        <f t="shared" si="61"/>
        <v>-1.9698239731768524E-2</v>
      </c>
      <c r="E1904" s="182">
        <v>-5.204746729016863E-3</v>
      </c>
      <c r="F1904" s="168"/>
      <c r="G1904" s="168">
        <v>1901</v>
      </c>
      <c r="H1904" s="183">
        <f t="shared" ca="1" si="62"/>
        <v>2.2114576612222211E-2</v>
      </c>
      <c r="K1904" s="36"/>
    </row>
    <row r="1905" spans="2:11">
      <c r="B1905" s="36" t="s">
        <v>9743</v>
      </c>
      <c r="C1905" s="182">
        <v>1431.6</v>
      </c>
      <c r="D1905" s="182">
        <f t="shared" si="61"/>
        <v>6.751054852320611E-3</v>
      </c>
      <c r="E1905" s="182">
        <v>-5.2201847142282687E-3</v>
      </c>
      <c r="F1905" s="168"/>
      <c r="G1905" s="168">
        <v>1902</v>
      </c>
      <c r="H1905" s="183">
        <f t="shared" ca="1" si="62"/>
        <v>-6.3848706223059836E-4</v>
      </c>
      <c r="K1905" s="36"/>
    </row>
    <row r="1906" spans="2:11">
      <c r="B1906" s="36" t="s">
        <v>9744</v>
      </c>
      <c r="C1906" s="182">
        <v>1422</v>
      </c>
      <c r="D1906" s="182">
        <f t="shared" si="61"/>
        <v>8.4033613445377506E-3</v>
      </c>
      <c r="E1906" s="182">
        <v>-5.2285748627750239E-3</v>
      </c>
      <c r="F1906" s="168"/>
      <c r="G1906" s="168">
        <v>1903</v>
      </c>
      <c r="H1906" s="183">
        <f t="shared" ca="1" si="62"/>
        <v>2.8608522688093789E-3</v>
      </c>
      <c r="K1906" s="36"/>
    </row>
    <row r="1907" spans="2:11">
      <c r="B1907" s="36" t="s">
        <v>9745</v>
      </c>
      <c r="C1907" s="182">
        <v>1410.15</v>
      </c>
      <c r="D1907" s="182">
        <f t="shared" si="61"/>
        <v>5.7413879181229463E-3</v>
      </c>
      <c r="E1907" s="182">
        <v>-5.2431289640592349E-3</v>
      </c>
      <c r="F1907" s="168"/>
      <c r="G1907" s="168">
        <v>1904</v>
      </c>
      <c r="H1907" s="183">
        <f t="shared" ca="1" si="62"/>
        <v>1.2193882583535355E-2</v>
      </c>
      <c r="K1907" s="36"/>
    </row>
    <row r="1908" spans="2:11">
      <c r="B1908" s="36" t="s">
        <v>9746</v>
      </c>
      <c r="C1908" s="182">
        <v>1402.1</v>
      </c>
      <c r="D1908" s="182">
        <f t="shared" si="61"/>
        <v>-7.7843040124548867E-3</v>
      </c>
      <c r="E1908" s="182">
        <v>-5.2454987949529372E-3</v>
      </c>
      <c r="F1908" s="168"/>
      <c r="G1908" s="168">
        <v>1905</v>
      </c>
      <c r="H1908" s="183">
        <f t="shared" ca="1" si="62"/>
        <v>-7.9610378478729774E-3</v>
      </c>
      <c r="K1908" s="36"/>
    </row>
    <row r="1909" spans="2:11">
      <c r="B1909" s="36" t="s">
        <v>9747</v>
      </c>
      <c r="C1909" s="182">
        <v>1413.1</v>
      </c>
      <c r="D1909" s="182">
        <f t="shared" si="61"/>
        <v>-2.8930285069151398E-3</v>
      </c>
      <c r="E1909" s="182">
        <v>-5.2469135802469136E-3</v>
      </c>
      <c r="F1909" s="168"/>
      <c r="G1909" s="168">
        <v>1906</v>
      </c>
      <c r="H1909" s="183">
        <f t="shared" ca="1" si="62"/>
        <v>3.5900082217855858E-2</v>
      </c>
      <c r="K1909" s="36"/>
    </row>
    <row r="1910" spans="2:11">
      <c r="B1910" s="36" t="s">
        <v>9748</v>
      </c>
      <c r="C1910" s="182">
        <v>1417.2</v>
      </c>
      <c r="D1910" s="182">
        <f t="shared" si="61"/>
        <v>1.2973088881741247E-2</v>
      </c>
      <c r="E1910" s="182">
        <v>-5.2504776937775796E-3</v>
      </c>
      <c r="F1910" s="168"/>
      <c r="G1910" s="168">
        <v>1907</v>
      </c>
      <c r="H1910" s="183">
        <f t="shared" ca="1" si="62"/>
        <v>-1.8715144885673995E-4</v>
      </c>
      <c r="K1910" s="36"/>
    </row>
    <row r="1911" spans="2:11">
      <c r="B1911" s="36" t="s">
        <v>9749</v>
      </c>
      <c r="C1911" s="182">
        <v>1399.05</v>
      </c>
      <c r="D1911" s="182">
        <f t="shared" si="61"/>
        <v>3.9327851269213766E-4</v>
      </c>
      <c r="E1911" s="182">
        <v>-5.2507326603712509E-3</v>
      </c>
      <c r="F1911" s="168"/>
      <c r="G1911" s="168">
        <v>1908</v>
      </c>
      <c r="H1911" s="183">
        <f t="shared" ca="1" si="62"/>
        <v>-4.5366569195546625E-3</v>
      </c>
      <c r="K1911" s="36"/>
    </row>
    <row r="1912" spans="2:11">
      <c r="B1912" s="36" t="s">
        <v>9750</v>
      </c>
      <c r="C1912" s="182">
        <v>1398.5</v>
      </c>
      <c r="D1912" s="182">
        <f t="shared" si="61"/>
        <v>9.9660576298114777E-3</v>
      </c>
      <c r="E1912" s="182">
        <v>-5.256060559624901E-3</v>
      </c>
      <c r="F1912" s="168"/>
      <c r="G1912" s="168">
        <v>1909</v>
      </c>
      <c r="H1912" s="183">
        <f t="shared" ca="1" si="62"/>
        <v>8.2976834502200905E-3</v>
      </c>
      <c r="K1912" s="36"/>
    </row>
    <row r="1913" spans="2:11">
      <c r="B1913" s="36" t="s">
        <v>9751</v>
      </c>
      <c r="C1913" s="182">
        <v>1384.7</v>
      </c>
      <c r="D1913" s="182">
        <f t="shared" si="61"/>
        <v>-4.6006757242469014E-3</v>
      </c>
      <c r="E1913" s="182">
        <v>-5.261859738551344E-3</v>
      </c>
      <c r="F1913" s="168"/>
      <c r="G1913" s="168">
        <v>1910</v>
      </c>
      <c r="H1913" s="183">
        <f t="shared" ca="1" si="62"/>
        <v>8.1040745975460536E-3</v>
      </c>
      <c r="K1913" s="36"/>
    </row>
    <row r="1914" spans="2:11">
      <c r="B1914" s="36" t="s">
        <v>9752</v>
      </c>
      <c r="C1914" s="182">
        <v>1391.1</v>
      </c>
      <c r="D1914" s="182">
        <f t="shared" si="61"/>
        <v>1.7480983031012188E-2</v>
      </c>
      <c r="E1914" s="182">
        <v>-5.2668850137204968E-3</v>
      </c>
      <c r="F1914" s="168"/>
      <c r="G1914" s="168">
        <v>1911</v>
      </c>
      <c r="H1914" s="183">
        <f t="shared" ca="1" si="62"/>
        <v>2.1052639331287159E-2</v>
      </c>
      <c r="K1914" s="36"/>
    </row>
    <row r="1915" spans="2:11">
      <c r="B1915" s="36">
        <v>43445</v>
      </c>
      <c r="C1915" s="182">
        <v>1367.2</v>
      </c>
      <c r="D1915" s="182">
        <f t="shared" si="61"/>
        <v>-1.0229431535875081E-3</v>
      </c>
      <c r="E1915" s="182">
        <v>-5.2916614990285594E-3</v>
      </c>
      <c r="F1915" s="168"/>
      <c r="G1915" s="168">
        <v>1912</v>
      </c>
      <c r="H1915" s="183">
        <f t="shared" ca="1" si="62"/>
        <v>2.6253248143451542E-2</v>
      </c>
      <c r="K1915" s="36"/>
    </row>
    <row r="1916" spans="2:11">
      <c r="B1916" s="36">
        <v>43354</v>
      </c>
      <c r="C1916" s="182">
        <v>1368.6</v>
      </c>
      <c r="D1916" s="182">
        <f t="shared" si="61"/>
        <v>1.9400417291993582E-3</v>
      </c>
      <c r="E1916" s="182">
        <v>-5.3092224231464473E-3</v>
      </c>
      <c r="F1916" s="168"/>
      <c r="G1916" s="168">
        <v>1913</v>
      </c>
      <c r="H1916" s="183">
        <f t="shared" ca="1" si="62"/>
        <v>1.1459569893788805E-3</v>
      </c>
      <c r="K1916" s="36"/>
    </row>
    <row r="1917" spans="2:11">
      <c r="B1917" s="36">
        <v>43292</v>
      </c>
      <c r="C1917" s="182">
        <v>1365.95</v>
      </c>
      <c r="D1917" s="182">
        <f t="shared" si="61"/>
        <v>1.5397587711259572E-3</v>
      </c>
      <c r="E1917" s="182">
        <v>-5.3585165928322727E-3</v>
      </c>
      <c r="F1917" s="168"/>
      <c r="G1917" s="168">
        <v>1914</v>
      </c>
      <c r="H1917" s="183">
        <f t="shared" ca="1" si="62"/>
        <v>5.7031152882359342E-4</v>
      </c>
      <c r="K1917" s="36"/>
    </row>
    <row r="1918" spans="2:11">
      <c r="B1918" s="36">
        <v>43262</v>
      </c>
      <c r="C1918" s="182">
        <v>1363.85</v>
      </c>
      <c r="D1918" s="182">
        <f t="shared" si="61"/>
        <v>1.0147020701403412E-2</v>
      </c>
      <c r="E1918" s="182">
        <v>-5.3594845772279437E-3</v>
      </c>
      <c r="F1918" s="168"/>
      <c r="G1918" s="168">
        <v>1915</v>
      </c>
      <c r="H1918" s="183">
        <f t="shared" ca="1" si="62"/>
        <v>-1.0037366454096846E-2</v>
      </c>
      <c r="K1918" s="36"/>
    </row>
    <row r="1919" spans="2:11">
      <c r="B1919" s="36">
        <v>43231</v>
      </c>
      <c r="C1919" s="182">
        <v>1350.15</v>
      </c>
      <c r="D1919" s="182">
        <f t="shared" si="61"/>
        <v>-5.9269621557944E-3</v>
      </c>
      <c r="E1919" s="182">
        <v>-5.3639002167603176E-3</v>
      </c>
      <c r="F1919" s="168"/>
      <c r="G1919" s="168">
        <v>1916</v>
      </c>
      <c r="H1919" s="183">
        <f t="shared" ca="1" si="62"/>
        <v>2.1094688975115558E-2</v>
      </c>
      <c r="K1919" s="36"/>
    </row>
    <row r="1920" spans="2:11">
      <c r="B1920" s="36">
        <v>43142</v>
      </c>
      <c r="C1920" s="182">
        <v>1358.2</v>
      </c>
      <c r="D1920" s="182">
        <f t="shared" si="61"/>
        <v>2.3704541172036967E-2</v>
      </c>
      <c r="E1920" s="182">
        <v>-5.3869440347744805E-3</v>
      </c>
      <c r="F1920" s="168"/>
      <c r="G1920" s="168">
        <v>1917</v>
      </c>
      <c r="H1920" s="183">
        <f t="shared" ca="1" si="62"/>
        <v>1.4125065530885082E-2</v>
      </c>
      <c r="K1920" s="36"/>
    </row>
    <row r="1921" spans="2:11">
      <c r="B1921" s="36">
        <v>43111</v>
      </c>
      <c r="C1921" s="182">
        <v>1326.75</v>
      </c>
      <c r="D1921" s="182">
        <f t="shared" si="61"/>
        <v>2.2543352601156069E-2</v>
      </c>
      <c r="E1921" s="182">
        <v>-5.412467338559164E-3</v>
      </c>
      <c r="F1921" s="168"/>
      <c r="G1921" s="168">
        <v>1918</v>
      </c>
      <c r="H1921" s="183">
        <f t="shared" ca="1" si="62"/>
        <v>1.0141506214271036E-2</v>
      </c>
      <c r="K1921" s="36"/>
    </row>
    <row r="1922" spans="2:11">
      <c r="B1922" s="36" t="s">
        <v>9753</v>
      </c>
      <c r="C1922" s="182">
        <v>1297.5</v>
      </c>
      <c r="D1922" s="182">
        <f t="shared" si="61"/>
        <v>2.0648967551622419E-2</v>
      </c>
      <c r="E1922" s="182">
        <v>-5.4187607041580503E-3</v>
      </c>
      <c r="F1922" s="168"/>
      <c r="G1922" s="168">
        <v>1919</v>
      </c>
      <c r="H1922" s="183">
        <f t="shared" ca="1" si="62"/>
        <v>2.4534055708424068E-3</v>
      </c>
      <c r="K1922" s="36"/>
    </row>
    <row r="1923" spans="2:11">
      <c r="B1923" s="36" t="s">
        <v>9754</v>
      </c>
      <c r="C1923" s="182">
        <v>1271.25</v>
      </c>
      <c r="D1923" s="182">
        <f t="shared" si="61"/>
        <v>7.888686276064415E-3</v>
      </c>
      <c r="E1923" s="182">
        <v>-5.4310533615592113E-3</v>
      </c>
      <c r="F1923" s="168"/>
      <c r="G1923" s="168">
        <v>1920</v>
      </c>
      <c r="H1923" s="183">
        <f t="shared" ca="1" si="62"/>
        <v>7.4852053331951347E-3</v>
      </c>
      <c r="K1923" s="36"/>
    </row>
    <row r="1924" spans="2:11">
      <c r="B1924" s="36" t="s">
        <v>9755</v>
      </c>
      <c r="C1924" s="182">
        <v>1261.3</v>
      </c>
      <c r="D1924" s="182">
        <f t="shared" ref="D1924:D1987" si="63">(C1924-C1925)/C1925</f>
        <v>5.3321641822205439E-2</v>
      </c>
      <c r="E1924" s="182">
        <v>-5.439330543933054E-3</v>
      </c>
      <c r="F1924" s="168"/>
      <c r="G1924" s="168">
        <v>1921</v>
      </c>
      <c r="H1924" s="183">
        <f t="shared" ca="1" si="62"/>
        <v>7.2588332705990537E-3</v>
      </c>
      <c r="K1924" s="36"/>
    </row>
    <row r="1925" spans="2:11">
      <c r="B1925" s="36" t="s">
        <v>9756</v>
      </c>
      <c r="C1925" s="182">
        <v>1197.45</v>
      </c>
      <c r="D1925" s="182">
        <f t="shared" si="63"/>
        <v>-3.4122591652448165E-3</v>
      </c>
      <c r="E1925" s="182">
        <v>-5.4826454843724193E-3</v>
      </c>
      <c r="F1925" s="168"/>
      <c r="G1925" s="168">
        <v>1922</v>
      </c>
      <c r="H1925" s="183">
        <f t="shared" ref="H1925:H1988" ca="1" si="64">_xlfn.NORM.INV(RAND(),N$6,N$7)</f>
        <v>-1.9725507470533888E-3</v>
      </c>
      <c r="K1925" s="36"/>
    </row>
    <row r="1926" spans="2:11">
      <c r="B1926" s="36" t="s">
        <v>9757</v>
      </c>
      <c r="C1926" s="182">
        <v>1201.55</v>
      </c>
      <c r="D1926" s="182">
        <f t="shared" si="63"/>
        <v>-1.4234145541061723E-2</v>
      </c>
      <c r="E1926" s="182">
        <v>-5.4884275017018768E-3</v>
      </c>
      <c r="F1926" s="168"/>
      <c r="G1926" s="168">
        <v>1923</v>
      </c>
      <c r="H1926" s="183">
        <f t="shared" ca="1" si="64"/>
        <v>1.5299770252916447E-3</v>
      </c>
      <c r="K1926" s="36"/>
    </row>
    <row r="1927" spans="2:11">
      <c r="B1927" s="36" t="s">
        <v>9758</v>
      </c>
      <c r="C1927" s="182">
        <v>1218.9000000000001</v>
      </c>
      <c r="D1927" s="182">
        <f t="shared" si="63"/>
        <v>1.5157824602315354E-2</v>
      </c>
      <c r="E1927" s="182">
        <v>-5.4912310573810817E-3</v>
      </c>
      <c r="F1927" s="168"/>
      <c r="G1927" s="168">
        <v>1924</v>
      </c>
      <c r="H1927" s="183">
        <f t="shared" ca="1" si="64"/>
        <v>1.4288490405962577E-2</v>
      </c>
      <c r="K1927" s="36"/>
    </row>
    <row r="1928" spans="2:11">
      <c r="B1928" s="36" t="s">
        <v>9759</v>
      </c>
      <c r="C1928" s="182">
        <v>1200.7</v>
      </c>
      <c r="D1928" s="182">
        <f t="shared" si="63"/>
        <v>-4.8897729156305849E-3</v>
      </c>
      <c r="E1928" s="182">
        <v>-5.4998382400518282E-3</v>
      </c>
      <c r="F1928" s="168"/>
      <c r="G1928" s="168">
        <v>1925</v>
      </c>
      <c r="H1928" s="183">
        <f t="shared" ca="1" si="64"/>
        <v>6.7909835588546089E-3</v>
      </c>
      <c r="K1928" s="36"/>
    </row>
    <row r="1929" spans="2:11">
      <c r="B1929" s="36" t="s">
        <v>9760</v>
      </c>
      <c r="C1929" s="182">
        <v>1206.5999999999999</v>
      </c>
      <c r="D1929" s="182">
        <f t="shared" si="63"/>
        <v>4.5603416110439411E-4</v>
      </c>
      <c r="E1929" s="182">
        <v>-5.5100577423858963E-3</v>
      </c>
      <c r="F1929" s="168"/>
      <c r="G1929" s="168">
        <v>1926</v>
      </c>
      <c r="H1929" s="183">
        <f t="shared" ca="1" si="64"/>
        <v>4.204885375696233E-2</v>
      </c>
      <c r="K1929" s="36"/>
    </row>
    <row r="1930" spans="2:11">
      <c r="B1930" s="36" t="s">
        <v>9761</v>
      </c>
      <c r="C1930" s="182">
        <v>1206.05</v>
      </c>
      <c r="D1930" s="182">
        <f t="shared" si="63"/>
        <v>-4.8271309513987426E-3</v>
      </c>
      <c r="E1930" s="182">
        <v>-5.5147730177860232E-3</v>
      </c>
      <c r="F1930" s="168"/>
      <c r="G1930" s="168">
        <v>1927</v>
      </c>
      <c r="H1930" s="183">
        <f t="shared" ca="1" si="64"/>
        <v>1.0388025696370238E-2</v>
      </c>
      <c r="K1930" s="36"/>
    </row>
    <row r="1931" spans="2:11">
      <c r="B1931" s="36" t="s">
        <v>9762</v>
      </c>
      <c r="C1931" s="182">
        <v>1211.9000000000001</v>
      </c>
      <c r="D1931" s="182">
        <f t="shared" si="63"/>
        <v>-1.0411137876127873E-2</v>
      </c>
      <c r="E1931" s="182">
        <v>-5.5181195946304934E-3</v>
      </c>
      <c r="F1931" s="168"/>
      <c r="G1931" s="168">
        <v>1928</v>
      </c>
      <c r="H1931" s="183">
        <f t="shared" ca="1" si="64"/>
        <v>2.8235281602698087E-2</v>
      </c>
      <c r="K1931" s="36"/>
    </row>
    <row r="1932" spans="2:11">
      <c r="B1932" s="36" t="s">
        <v>9763</v>
      </c>
      <c r="C1932" s="182">
        <v>1224.6500000000001</v>
      </c>
      <c r="D1932" s="182">
        <f t="shared" si="63"/>
        <v>6.7823084511673785E-3</v>
      </c>
      <c r="E1932" s="182">
        <v>-5.5315810121615962E-3</v>
      </c>
      <c r="F1932" s="168"/>
      <c r="G1932" s="168">
        <v>1929</v>
      </c>
      <c r="H1932" s="183">
        <f t="shared" ca="1" si="64"/>
        <v>-1.2362421516216573E-3</v>
      </c>
      <c r="K1932" s="36"/>
    </row>
    <row r="1933" spans="2:11">
      <c r="B1933" s="36" t="s">
        <v>9764</v>
      </c>
      <c r="C1933" s="182">
        <v>1216.4000000000001</v>
      </c>
      <c r="D1933" s="182">
        <f t="shared" si="63"/>
        <v>-1.5260068811981307E-2</v>
      </c>
      <c r="E1933" s="182">
        <v>-5.5484938361277563E-3</v>
      </c>
      <c r="F1933" s="168"/>
      <c r="G1933" s="168">
        <v>1930</v>
      </c>
      <c r="H1933" s="183">
        <f t="shared" ca="1" si="64"/>
        <v>-2.9169042690098011E-4</v>
      </c>
      <c r="K1933" s="36"/>
    </row>
    <row r="1934" spans="2:11">
      <c r="B1934" s="36">
        <v>43444</v>
      </c>
      <c r="C1934" s="182">
        <v>1235.25</v>
      </c>
      <c r="D1934" s="182">
        <f t="shared" si="63"/>
        <v>7.6681486315618485E-3</v>
      </c>
      <c r="E1934" s="182">
        <v>-5.5525089114339928E-3</v>
      </c>
      <c r="F1934" s="168"/>
      <c r="G1934" s="168">
        <v>1931</v>
      </c>
      <c r="H1934" s="183">
        <f t="shared" ca="1" si="64"/>
        <v>1.5005870810921629E-2</v>
      </c>
      <c r="K1934" s="36"/>
    </row>
    <row r="1935" spans="2:11">
      <c r="B1935" s="36">
        <v>43414</v>
      </c>
      <c r="C1935" s="182">
        <v>1225.8499999999999</v>
      </c>
      <c r="D1935" s="182">
        <f t="shared" si="63"/>
        <v>-1.9829688561947931E-2</v>
      </c>
      <c r="E1935" s="182">
        <v>-5.5590144979098107E-3</v>
      </c>
      <c r="F1935" s="168"/>
      <c r="G1935" s="168">
        <v>1932</v>
      </c>
      <c r="H1935" s="183">
        <f t="shared" ca="1" si="64"/>
        <v>3.730077474904174E-2</v>
      </c>
      <c r="K1935" s="36"/>
    </row>
    <row r="1936" spans="2:11">
      <c r="B1936" s="36">
        <v>43383</v>
      </c>
      <c r="C1936" s="182">
        <v>1250.6500000000001</v>
      </c>
      <c r="D1936" s="182">
        <f t="shared" si="63"/>
        <v>2.4241431554809498E-2</v>
      </c>
      <c r="E1936" s="182">
        <v>-5.5641617400650975E-3</v>
      </c>
      <c r="F1936" s="168"/>
      <c r="G1936" s="168">
        <v>1933</v>
      </c>
      <c r="H1936" s="183">
        <f t="shared" ca="1" si="64"/>
        <v>-2.902352137558406E-3</v>
      </c>
      <c r="K1936" s="36"/>
    </row>
    <row r="1937" spans="2:11">
      <c r="B1937" s="36">
        <v>43353</v>
      </c>
      <c r="C1937" s="182">
        <v>1221.05</v>
      </c>
      <c r="D1937" s="182">
        <f t="shared" si="63"/>
        <v>4.6900069938701165E-3</v>
      </c>
      <c r="E1937" s="182">
        <v>-5.5702525509784316E-3</v>
      </c>
      <c r="F1937" s="168"/>
      <c r="G1937" s="168">
        <v>1934</v>
      </c>
      <c r="H1937" s="183">
        <f t="shared" ca="1" si="64"/>
        <v>-6.7544791433475438E-3</v>
      </c>
      <c r="K1937" s="36"/>
    </row>
    <row r="1938" spans="2:11">
      <c r="B1938" s="36">
        <v>43322</v>
      </c>
      <c r="C1938" s="182">
        <v>1215.3499999999999</v>
      </c>
      <c r="D1938" s="182">
        <f t="shared" si="63"/>
        <v>-9.8175004073653097E-3</v>
      </c>
      <c r="E1938" s="182">
        <v>-5.5787565991647055E-3</v>
      </c>
      <c r="F1938" s="168"/>
      <c r="G1938" s="168">
        <v>1935</v>
      </c>
      <c r="H1938" s="183">
        <f t="shared" ca="1" si="64"/>
        <v>-4.9360128615051702E-3</v>
      </c>
      <c r="K1938" s="36"/>
    </row>
    <row r="1939" spans="2:11">
      <c r="B1939" s="36">
        <v>43230</v>
      </c>
      <c r="C1939" s="182">
        <v>1227.4000000000001</v>
      </c>
      <c r="D1939" s="182">
        <f t="shared" si="63"/>
        <v>-2.4246760473805546E-2</v>
      </c>
      <c r="E1939" s="182">
        <v>-5.5861463570345549E-3</v>
      </c>
      <c r="F1939" s="168"/>
      <c r="G1939" s="168">
        <v>1936</v>
      </c>
      <c r="H1939" s="183">
        <f t="shared" ca="1" si="64"/>
        <v>-1.1619480022489234E-2</v>
      </c>
      <c r="K1939" s="36"/>
    </row>
    <row r="1940" spans="2:11">
      <c r="B1940" s="36">
        <v>43200</v>
      </c>
      <c r="C1940" s="182">
        <v>1257.9000000000001</v>
      </c>
      <c r="D1940" s="182">
        <f t="shared" si="63"/>
        <v>9.996386848127219E-3</v>
      </c>
      <c r="E1940" s="182">
        <v>-5.5901359869961397E-3</v>
      </c>
      <c r="F1940" s="168"/>
      <c r="G1940" s="168">
        <v>1937</v>
      </c>
      <c r="H1940" s="183">
        <f t="shared" ca="1" si="64"/>
        <v>1.4122938690391837E-3</v>
      </c>
      <c r="K1940" s="36"/>
    </row>
    <row r="1941" spans="2:11">
      <c r="B1941" s="36">
        <v>43169</v>
      </c>
      <c r="C1941" s="182">
        <v>1245.45</v>
      </c>
      <c r="D1941" s="182">
        <f t="shared" si="63"/>
        <v>-2.1232273055042574E-3</v>
      </c>
      <c r="E1941" s="182">
        <v>-5.5930568948890595E-3</v>
      </c>
      <c r="F1941" s="168"/>
      <c r="G1941" s="168">
        <v>1938</v>
      </c>
      <c r="H1941" s="183">
        <f t="shared" ca="1" si="64"/>
        <v>5.1246402710617284E-3</v>
      </c>
      <c r="K1941" s="36"/>
    </row>
    <row r="1942" spans="2:11">
      <c r="B1942" s="36">
        <v>43110</v>
      </c>
      <c r="C1942" s="182">
        <v>1248.0999999999999</v>
      </c>
      <c r="D1942" s="182">
        <f t="shared" si="63"/>
        <v>-1.8866441317506488E-2</v>
      </c>
      <c r="E1942" s="182">
        <v>-5.6048677294833092E-3</v>
      </c>
      <c r="F1942" s="168"/>
      <c r="G1942" s="168">
        <v>1939</v>
      </c>
      <c r="H1942" s="183">
        <f t="shared" ca="1" si="64"/>
        <v>2.7049273826621451E-2</v>
      </c>
      <c r="K1942" s="36"/>
    </row>
    <row r="1943" spans="2:11">
      <c r="B1943" s="36" t="s">
        <v>9765</v>
      </c>
      <c r="C1943" s="182">
        <v>1272.0999999999999</v>
      </c>
      <c r="D1943" s="182">
        <f t="shared" si="63"/>
        <v>-2.8857164669058844E-2</v>
      </c>
      <c r="E1943" s="182">
        <v>-5.6327724945135667E-3</v>
      </c>
      <c r="F1943" s="168"/>
      <c r="G1943" s="168">
        <v>1940</v>
      </c>
      <c r="H1943" s="183">
        <f t="shared" ca="1" si="64"/>
        <v>-6.9427935676630121E-3</v>
      </c>
      <c r="K1943" s="36"/>
    </row>
    <row r="1944" spans="2:11">
      <c r="B1944" s="36" t="s">
        <v>9766</v>
      </c>
      <c r="C1944" s="182">
        <v>1309.9000000000001</v>
      </c>
      <c r="D1944" s="182">
        <f t="shared" si="63"/>
        <v>-1.7071249015120249E-2</v>
      </c>
      <c r="E1944" s="182">
        <v>-5.6332642045035632E-3</v>
      </c>
      <c r="F1944" s="168"/>
      <c r="G1944" s="168">
        <v>1941</v>
      </c>
      <c r="H1944" s="183">
        <f t="shared" ca="1" si="64"/>
        <v>1.3967793756605465E-2</v>
      </c>
      <c r="K1944" s="36"/>
    </row>
    <row r="1945" spans="2:11">
      <c r="B1945" s="36" t="s">
        <v>9767</v>
      </c>
      <c r="C1945" s="182">
        <v>1332.65</v>
      </c>
      <c r="D1945" s="182">
        <f t="shared" si="63"/>
        <v>1.031045070315768E-2</v>
      </c>
      <c r="E1945" s="182">
        <v>-5.6357004370543497E-3</v>
      </c>
      <c r="F1945" s="168"/>
      <c r="G1945" s="168">
        <v>1942</v>
      </c>
      <c r="H1945" s="183">
        <f t="shared" ca="1" si="64"/>
        <v>-2.2313386118705267E-3</v>
      </c>
      <c r="K1945" s="36"/>
    </row>
    <row r="1946" spans="2:11">
      <c r="B1946" s="36" t="s">
        <v>9768</v>
      </c>
      <c r="C1946" s="182">
        <v>1319.05</v>
      </c>
      <c r="D1946" s="182">
        <f t="shared" si="63"/>
        <v>5.3096673872647291E-4</v>
      </c>
      <c r="E1946" s="182">
        <v>-5.6384301189843153E-3</v>
      </c>
      <c r="F1946" s="168"/>
      <c r="G1946" s="168">
        <v>1943</v>
      </c>
      <c r="H1946" s="183">
        <f t="shared" ca="1" si="64"/>
        <v>1.3482960381601488E-3</v>
      </c>
      <c r="K1946" s="36"/>
    </row>
    <row r="1947" spans="2:11">
      <c r="B1947" s="36" t="s">
        <v>9769</v>
      </c>
      <c r="C1947" s="182">
        <v>1318.35</v>
      </c>
      <c r="D1947" s="182">
        <f t="shared" si="63"/>
        <v>-8.5357599458525495E-3</v>
      </c>
      <c r="E1947" s="182">
        <v>-5.6385930367850662E-3</v>
      </c>
      <c r="F1947" s="168"/>
      <c r="G1947" s="168">
        <v>1944</v>
      </c>
      <c r="H1947" s="183">
        <f t="shared" ca="1" si="64"/>
        <v>3.9369997542991362E-3</v>
      </c>
      <c r="K1947" s="36"/>
    </row>
    <row r="1948" spans="2:11">
      <c r="B1948" s="36" t="s">
        <v>9770</v>
      </c>
      <c r="C1948" s="182">
        <v>1329.7</v>
      </c>
      <c r="D1948" s="182">
        <f t="shared" si="63"/>
        <v>-2.4007802535824484E-3</v>
      </c>
      <c r="E1948" s="182">
        <v>-5.6481333119691992E-3</v>
      </c>
      <c r="F1948" s="168"/>
      <c r="G1948" s="168">
        <v>1945</v>
      </c>
      <c r="H1948" s="183">
        <f t="shared" ca="1" si="64"/>
        <v>8.3847096025001858E-3</v>
      </c>
      <c r="K1948" s="36"/>
    </row>
    <row r="1949" spans="2:11">
      <c r="B1949" s="36" t="s">
        <v>9771</v>
      </c>
      <c r="C1949" s="182">
        <v>1332.9</v>
      </c>
      <c r="D1949" s="182">
        <f t="shared" si="63"/>
        <v>3.7653437758867381E-3</v>
      </c>
      <c r="E1949" s="182">
        <v>-5.6556900470426793E-3</v>
      </c>
      <c r="F1949" s="168"/>
      <c r="G1949" s="168">
        <v>1946</v>
      </c>
      <c r="H1949" s="183">
        <f t="shared" ca="1" si="64"/>
        <v>2.2913662774478396E-2</v>
      </c>
      <c r="K1949" s="36"/>
    </row>
    <row r="1950" spans="2:11">
      <c r="B1950" s="36" t="s">
        <v>9772</v>
      </c>
      <c r="C1950" s="182">
        <v>1327.9</v>
      </c>
      <c r="D1950" s="182">
        <f t="shared" si="63"/>
        <v>-1.2530210076222278E-2</v>
      </c>
      <c r="E1950" s="182">
        <v>-5.6670602125147044E-3</v>
      </c>
      <c r="F1950" s="168"/>
      <c r="G1950" s="168">
        <v>1947</v>
      </c>
      <c r="H1950" s="183">
        <f t="shared" ca="1" si="64"/>
        <v>5.8222204109122412E-3</v>
      </c>
      <c r="K1950" s="36"/>
    </row>
    <row r="1951" spans="2:11">
      <c r="B1951" s="36" t="s">
        <v>9773</v>
      </c>
      <c r="C1951" s="182">
        <v>1344.75</v>
      </c>
      <c r="D1951" s="182">
        <f t="shared" si="63"/>
        <v>-1.0376421238547234E-2</v>
      </c>
      <c r="E1951" s="182">
        <v>-5.6753688989784334E-3</v>
      </c>
      <c r="F1951" s="168"/>
      <c r="G1951" s="168">
        <v>1948</v>
      </c>
      <c r="H1951" s="183">
        <f t="shared" ca="1" si="64"/>
        <v>-1.5336525132492264E-2</v>
      </c>
      <c r="K1951" s="36"/>
    </row>
    <row r="1952" spans="2:11">
      <c r="B1952" s="36" t="s">
        <v>9774</v>
      </c>
      <c r="C1952" s="182">
        <v>1358.85</v>
      </c>
      <c r="D1952" s="182">
        <f t="shared" si="63"/>
        <v>4.8807542983915026E-3</v>
      </c>
      <c r="E1952" s="182">
        <v>-5.6789576494753651E-3</v>
      </c>
      <c r="F1952" s="168"/>
      <c r="G1952" s="168">
        <v>1949</v>
      </c>
      <c r="H1952" s="183">
        <f t="shared" ca="1" si="64"/>
        <v>2.1801751443024705E-2</v>
      </c>
      <c r="K1952" s="36"/>
    </row>
    <row r="1953" spans="2:11">
      <c r="B1953" s="36">
        <v>43443</v>
      </c>
      <c r="C1953" s="182">
        <v>1352.25</v>
      </c>
      <c r="D1953" s="182">
        <f t="shared" si="63"/>
        <v>1.699695408566157E-2</v>
      </c>
      <c r="E1953" s="182">
        <v>-5.6903765690376014E-3</v>
      </c>
      <c r="F1953" s="168"/>
      <c r="G1953" s="168">
        <v>1950</v>
      </c>
      <c r="H1953" s="183">
        <f t="shared" ca="1" si="64"/>
        <v>-5.3417874974063121E-3</v>
      </c>
      <c r="K1953" s="36"/>
    </row>
    <row r="1954" spans="2:11">
      <c r="B1954" s="36">
        <v>43413</v>
      </c>
      <c r="C1954" s="182">
        <v>1329.65</v>
      </c>
      <c r="D1954" s="182">
        <f t="shared" si="63"/>
        <v>-5.3485936564930158E-3</v>
      </c>
      <c r="E1954" s="182">
        <v>-5.6930151083862488E-3</v>
      </c>
      <c r="F1954" s="168"/>
      <c r="G1954" s="168">
        <v>1951</v>
      </c>
      <c r="H1954" s="183">
        <f t="shared" ca="1" si="64"/>
        <v>1.0792710950500431E-2</v>
      </c>
      <c r="K1954" s="36"/>
    </row>
    <row r="1955" spans="2:11">
      <c r="B1955" s="36">
        <v>43382</v>
      </c>
      <c r="C1955" s="182">
        <v>1336.8</v>
      </c>
      <c r="D1955" s="182">
        <f t="shared" si="63"/>
        <v>-7.940630797773688E-3</v>
      </c>
      <c r="E1955" s="182">
        <v>-5.7044768873321843E-3</v>
      </c>
      <c r="F1955" s="168"/>
      <c r="G1955" s="168">
        <v>1952</v>
      </c>
      <c r="H1955" s="183">
        <f t="shared" ca="1" si="64"/>
        <v>1.3563263828528391E-2</v>
      </c>
      <c r="K1955" s="36"/>
    </row>
    <row r="1956" spans="2:11">
      <c r="B1956" s="36">
        <v>43290</v>
      </c>
      <c r="C1956" s="182">
        <v>1347.5</v>
      </c>
      <c r="D1956" s="182">
        <f t="shared" si="63"/>
        <v>2.9693415485122928E-4</v>
      </c>
      <c r="E1956" s="182">
        <v>-5.7162958402954883E-3</v>
      </c>
      <c r="F1956" s="168"/>
      <c r="G1956" s="168">
        <v>1953</v>
      </c>
      <c r="H1956" s="183">
        <f t="shared" ca="1" si="64"/>
        <v>-3.5503289840161439E-3</v>
      </c>
      <c r="K1956" s="36"/>
    </row>
    <row r="1957" spans="2:11">
      <c r="B1957" s="36">
        <v>43260</v>
      </c>
      <c r="C1957" s="182">
        <v>1347.1</v>
      </c>
      <c r="D1957" s="182">
        <f t="shared" si="63"/>
        <v>-6.6765578635021581E-4</v>
      </c>
      <c r="E1957" s="182">
        <v>-5.723866790009172E-3</v>
      </c>
      <c r="F1957" s="168"/>
      <c r="G1957" s="168">
        <v>1954</v>
      </c>
      <c r="H1957" s="183">
        <f t="shared" ca="1" si="64"/>
        <v>1.2007852357422293E-2</v>
      </c>
      <c r="K1957" s="36"/>
    </row>
    <row r="1958" spans="2:11">
      <c r="B1958" s="36">
        <v>43229</v>
      </c>
      <c r="C1958" s="182">
        <v>1348</v>
      </c>
      <c r="D1958" s="182">
        <f t="shared" si="63"/>
        <v>-8.3131023320826558E-3</v>
      </c>
      <c r="E1958" s="182">
        <v>-5.733978164547719E-3</v>
      </c>
      <c r="F1958" s="168"/>
      <c r="G1958" s="168">
        <v>1955</v>
      </c>
      <c r="H1958" s="183">
        <f t="shared" ca="1" si="64"/>
        <v>8.9770334415845421E-3</v>
      </c>
      <c r="K1958" s="36"/>
    </row>
    <row r="1959" spans="2:11">
      <c r="B1959" s="36">
        <v>43199</v>
      </c>
      <c r="C1959" s="182">
        <v>1359.3</v>
      </c>
      <c r="D1959" s="182">
        <f t="shared" si="63"/>
        <v>-2.7146001467351763E-3</v>
      </c>
      <c r="E1959" s="182">
        <v>-5.7662415804516053E-3</v>
      </c>
      <c r="F1959" s="168"/>
      <c r="G1959" s="168">
        <v>1956</v>
      </c>
      <c r="H1959" s="183">
        <f t="shared" ca="1" si="64"/>
        <v>2.0617738916647418E-2</v>
      </c>
      <c r="K1959" s="36"/>
    </row>
    <row r="1960" spans="2:11">
      <c r="B1960" s="36">
        <v>43168</v>
      </c>
      <c r="C1960" s="182">
        <v>1363</v>
      </c>
      <c r="D1960" s="182">
        <f t="shared" si="63"/>
        <v>-4.7825928224598992E-3</v>
      </c>
      <c r="E1960" s="182">
        <v>-5.7990163693752211E-3</v>
      </c>
      <c r="F1960" s="168"/>
      <c r="G1960" s="168">
        <v>1957</v>
      </c>
      <c r="H1960" s="183">
        <f t="shared" ca="1" si="64"/>
        <v>1.4081203305741159E-3</v>
      </c>
      <c r="K1960" s="36"/>
    </row>
    <row r="1961" spans="2:11">
      <c r="B1961" s="36" t="s">
        <v>9775</v>
      </c>
      <c r="C1961" s="182">
        <v>1369.55</v>
      </c>
      <c r="D1961" s="182">
        <f t="shared" si="63"/>
        <v>1.7080687683338903E-2</v>
      </c>
      <c r="E1961" s="182">
        <v>-5.8026260059296135E-3</v>
      </c>
      <c r="F1961" s="168"/>
      <c r="G1961" s="168">
        <v>1958</v>
      </c>
      <c r="H1961" s="183">
        <f t="shared" ca="1" si="64"/>
        <v>2.0495965356500043E-2</v>
      </c>
      <c r="K1961" s="36"/>
    </row>
    <row r="1962" spans="2:11">
      <c r="B1962" s="36" t="s">
        <v>9776</v>
      </c>
      <c r="C1962" s="182">
        <v>1346.55</v>
      </c>
      <c r="D1962" s="182">
        <f t="shared" si="63"/>
        <v>-3.6994561799415489E-3</v>
      </c>
      <c r="E1962" s="182">
        <v>-5.8211984191974611E-3</v>
      </c>
      <c r="F1962" s="168"/>
      <c r="G1962" s="168">
        <v>1959</v>
      </c>
      <c r="H1962" s="183">
        <f t="shared" ca="1" si="64"/>
        <v>1.5893436823743268E-2</v>
      </c>
      <c r="K1962" s="36"/>
    </row>
    <row r="1963" spans="2:11">
      <c r="B1963" s="36" t="s">
        <v>9777</v>
      </c>
      <c r="C1963" s="182">
        <v>1351.55</v>
      </c>
      <c r="D1963" s="182">
        <f t="shared" si="63"/>
        <v>-2.9876069637060749E-3</v>
      </c>
      <c r="E1963" s="182">
        <v>-5.8393108171431608E-3</v>
      </c>
      <c r="F1963" s="168"/>
      <c r="G1963" s="168">
        <v>1960</v>
      </c>
      <c r="H1963" s="183">
        <f t="shared" ca="1" si="64"/>
        <v>2.0432939681165236E-2</v>
      </c>
      <c r="K1963" s="36"/>
    </row>
    <row r="1964" spans="2:11">
      <c r="B1964" s="36" t="s">
        <v>9778</v>
      </c>
      <c r="C1964" s="182">
        <v>1355.6</v>
      </c>
      <c r="D1964" s="182">
        <f t="shared" si="63"/>
        <v>-3.6870437283386185E-4</v>
      </c>
      <c r="E1964" s="182">
        <v>-5.8639825653237446E-3</v>
      </c>
      <c r="F1964" s="168"/>
      <c r="G1964" s="168">
        <v>1961</v>
      </c>
      <c r="H1964" s="183">
        <f t="shared" ca="1" si="64"/>
        <v>3.8918448796558071E-2</v>
      </c>
      <c r="K1964" s="36"/>
    </row>
    <row r="1965" spans="2:11">
      <c r="B1965" s="36" t="s">
        <v>9779</v>
      </c>
      <c r="C1965" s="182">
        <v>1356.1</v>
      </c>
      <c r="D1965" s="182">
        <f t="shared" si="63"/>
        <v>9.8294735274404767E-3</v>
      </c>
      <c r="E1965" s="182">
        <v>-5.8642232403165045E-3</v>
      </c>
      <c r="F1965" s="168"/>
      <c r="G1965" s="168">
        <v>1962</v>
      </c>
      <c r="H1965" s="183">
        <f t="shared" ca="1" si="64"/>
        <v>6.4397535034678415E-3</v>
      </c>
      <c r="K1965" s="36"/>
    </row>
    <row r="1966" spans="2:11">
      <c r="B1966" s="36" t="s">
        <v>9780</v>
      </c>
      <c r="C1966" s="182">
        <v>1342.9</v>
      </c>
      <c r="D1966" s="182">
        <f t="shared" si="63"/>
        <v>-6.7675012018785282E-3</v>
      </c>
      <c r="E1966" s="182">
        <v>-5.8728230052652111E-3</v>
      </c>
      <c r="F1966" s="168"/>
      <c r="G1966" s="168">
        <v>1963</v>
      </c>
      <c r="H1966" s="183">
        <f t="shared" ca="1" si="64"/>
        <v>1.0251601892063381E-2</v>
      </c>
      <c r="K1966" s="36"/>
    </row>
    <row r="1967" spans="2:11">
      <c r="B1967" s="36" t="s">
        <v>9781</v>
      </c>
      <c r="C1967" s="182">
        <v>1352.05</v>
      </c>
      <c r="D1967" s="182">
        <f t="shared" si="63"/>
        <v>2.2305394881100903E-2</v>
      </c>
      <c r="E1967" s="182">
        <v>-5.8741373644430588E-3</v>
      </c>
      <c r="F1967" s="168"/>
      <c r="G1967" s="168">
        <v>1964</v>
      </c>
      <c r="H1967" s="183">
        <f t="shared" ca="1" si="64"/>
        <v>2.9031163553876291E-2</v>
      </c>
      <c r="K1967" s="36"/>
    </row>
    <row r="1968" spans="2:11">
      <c r="B1968" s="36" t="s">
        <v>9782</v>
      </c>
      <c r="C1968" s="182">
        <v>1322.55</v>
      </c>
      <c r="D1968" s="182">
        <f t="shared" si="63"/>
        <v>-8.6877691319792313E-4</v>
      </c>
      <c r="E1968" s="182">
        <v>-5.8794708476235654E-3</v>
      </c>
      <c r="F1968" s="168"/>
      <c r="G1968" s="168">
        <v>1965</v>
      </c>
      <c r="H1968" s="183">
        <f t="shared" ca="1" si="64"/>
        <v>1.9519343410255439E-2</v>
      </c>
      <c r="K1968" s="36"/>
    </row>
    <row r="1969" spans="2:11">
      <c r="B1969" s="36" t="s">
        <v>9783</v>
      </c>
      <c r="C1969" s="182">
        <v>1323.7</v>
      </c>
      <c r="D1969" s="182">
        <f t="shared" si="63"/>
        <v>6.7370882554529651E-2</v>
      </c>
      <c r="E1969" s="182">
        <v>-5.8953307533727009E-3</v>
      </c>
      <c r="F1969" s="168"/>
      <c r="G1969" s="168">
        <v>1966</v>
      </c>
      <c r="H1969" s="183">
        <f t="shared" ca="1" si="64"/>
        <v>1.036520077844519E-3</v>
      </c>
      <c r="K1969" s="36"/>
    </row>
    <row r="1970" spans="2:11">
      <c r="B1970" s="36" t="s">
        <v>9784</v>
      </c>
      <c r="C1970" s="182">
        <v>1240.1500000000001</v>
      </c>
      <c r="D1970" s="182">
        <f t="shared" si="63"/>
        <v>6.901311249137336E-3</v>
      </c>
      <c r="E1970" s="182">
        <v>-5.9010906742216016E-3</v>
      </c>
      <c r="F1970" s="168"/>
      <c r="G1970" s="168">
        <v>1967</v>
      </c>
      <c r="H1970" s="183">
        <f t="shared" ca="1" si="64"/>
        <v>1.1139095681323411E-2</v>
      </c>
      <c r="K1970" s="36"/>
    </row>
    <row r="1971" spans="2:11">
      <c r="B1971" s="36" t="s">
        <v>9785</v>
      </c>
      <c r="C1971" s="182">
        <v>1231.6500000000001</v>
      </c>
      <c r="D1971" s="182">
        <f t="shared" si="63"/>
        <v>-1.7235188509874256E-2</v>
      </c>
      <c r="E1971" s="182">
        <v>-5.9104149955671896E-3</v>
      </c>
      <c r="F1971" s="168"/>
      <c r="G1971" s="168">
        <v>1968</v>
      </c>
      <c r="H1971" s="183">
        <f t="shared" ca="1" si="64"/>
        <v>3.1191692273760535E-3</v>
      </c>
      <c r="K1971" s="36"/>
    </row>
    <row r="1972" spans="2:11">
      <c r="B1972" s="36" t="s">
        <v>9786</v>
      </c>
      <c r="C1972" s="182">
        <v>1253.25</v>
      </c>
      <c r="D1972" s="182">
        <f t="shared" si="63"/>
        <v>-1.2450258067058E-2</v>
      </c>
      <c r="E1972" s="182">
        <v>-5.9296732459776609E-3</v>
      </c>
      <c r="F1972" s="168"/>
      <c r="G1972" s="168">
        <v>1969</v>
      </c>
      <c r="H1972" s="183">
        <f t="shared" ca="1" si="64"/>
        <v>9.5098627680397473E-3</v>
      </c>
      <c r="K1972" s="36"/>
    </row>
    <row r="1973" spans="2:11">
      <c r="B1973" s="36" t="s">
        <v>9787</v>
      </c>
      <c r="C1973" s="182">
        <v>1269.05</v>
      </c>
      <c r="D1973" s="182">
        <f t="shared" si="63"/>
        <v>3.4792235005731732E-3</v>
      </c>
      <c r="E1973" s="182">
        <v>-5.934300821239709E-3</v>
      </c>
      <c r="F1973" s="168"/>
      <c r="G1973" s="168">
        <v>1970</v>
      </c>
      <c r="H1973" s="183">
        <f t="shared" ca="1" si="64"/>
        <v>1.6734946980842502E-2</v>
      </c>
      <c r="K1973" s="36"/>
    </row>
    <row r="1974" spans="2:11">
      <c r="B1974" s="36">
        <v>43381</v>
      </c>
      <c r="C1974" s="182">
        <v>1264.6500000000001</v>
      </c>
      <c r="D1974" s="182">
        <f t="shared" si="63"/>
        <v>-1.560675644119246E-2</v>
      </c>
      <c r="E1974" s="182">
        <v>-5.9406261128556797E-3</v>
      </c>
      <c r="F1974" s="168"/>
      <c r="G1974" s="168">
        <v>1971</v>
      </c>
      <c r="H1974" s="183">
        <f t="shared" ca="1" si="64"/>
        <v>-9.3707144476630928E-3</v>
      </c>
      <c r="K1974" s="36"/>
    </row>
    <row r="1975" spans="2:11">
      <c r="B1975" s="36">
        <v>43351</v>
      </c>
      <c r="C1975" s="182">
        <v>1284.7</v>
      </c>
      <c r="D1975" s="182">
        <f t="shared" si="63"/>
        <v>-1.043712690159827E-2</v>
      </c>
      <c r="E1975" s="182">
        <v>-5.9486406099451723E-3</v>
      </c>
      <c r="F1975" s="168"/>
      <c r="G1975" s="168">
        <v>1972</v>
      </c>
      <c r="H1975" s="183">
        <f t="shared" ca="1" si="64"/>
        <v>3.8149706163072158E-2</v>
      </c>
      <c r="K1975" s="36"/>
    </row>
    <row r="1976" spans="2:11">
      <c r="B1976" s="36">
        <v>43320</v>
      </c>
      <c r="C1976" s="182">
        <v>1298.25</v>
      </c>
      <c r="D1976" s="182">
        <f t="shared" si="63"/>
        <v>2.2774646799969471E-3</v>
      </c>
      <c r="E1976" s="182">
        <v>-5.9500788385446106E-3</v>
      </c>
      <c r="F1976" s="168"/>
      <c r="G1976" s="168">
        <v>1973</v>
      </c>
      <c r="H1976" s="183">
        <f t="shared" ca="1" si="64"/>
        <v>1.6831541815520608E-2</v>
      </c>
      <c r="K1976" s="36"/>
    </row>
    <row r="1977" spans="2:11">
      <c r="B1977" s="36">
        <v>43289</v>
      </c>
      <c r="C1977" s="182">
        <v>1295.3</v>
      </c>
      <c r="D1977" s="182">
        <f t="shared" si="63"/>
        <v>3.7583788600874957E-3</v>
      </c>
      <c r="E1977" s="182">
        <v>-5.9521008798758242E-3</v>
      </c>
      <c r="F1977" s="168"/>
      <c r="G1977" s="168">
        <v>1974</v>
      </c>
      <c r="H1977" s="183">
        <f t="shared" ca="1" si="64"/>
        <v>9.8679081393236549E-3</v>
      </c>
      <c r="K1977" s="36"/>
    </row>
    <row r="1978" spans="2:11">
      <c r="B1978" s="36">
        <v>43259</v>
      </c>
      <c r="C1978" s="182">
        <v>1290.45</v>
      </c>
      <c r="D1978" s="182">
        <f t="shared" si="63"/>
        <v>3.4883720930236082E-4</v>
      </c>
      <c r="E1978" s="182">
        <v>-5.9616426860608501E-3</v>
      </c>
      <c r="F1978" s="168"/>
      <c r="G1978" s="168">
        <v>1975</v>
      </c>
      <c r="H1978" s="183">
        <f t="shared" ca="1" si="64"/>
        <v>-3.6997655714626652E-3</v>
      </c>
      <c r="K1978" s="36"/>
    </row>
    <row r="1979" spans="2:11">
      <c r="B1979" s="36">
        <v>43167</v>
      </c>
      <c r="C1979" s="182">
        <v>1290</v>
      </c>
      <c r="D1979" s="182">
        <f t="shared" si="63"/>
        <v>5.9263880224578198E-3</v>
      </c>
      <c r="E1979" s="182">
        <v>-5.9964877714481519E-3</v>
      </c>
      <c r="F1979" s="168"/>
      <c r="G1979" s="168">
        <v>1976</v>
      </c>
      <c r="H1979" s="183">
        <f t="shared" ca="1" si="64"/>
        <v>6.9105166761070421E-3</v>
      </c>
      <c r="K1979" s="36"/>
    </row>
    <row r="1980" spans="2:11">
      <c r="B1980" s="36">
        <v>43139</v>
      </c>
      <c r="C1980" s="182">
        <v>1282.4000000000001</v>
      </c>
      <c r="D1980" s="182">
        <f t="shared" si="63"/>
        <v>-1.201848998459161E-2</v>
      </c>
      <c r="E1980" s="182">
        <v>-6.0131537738803064E-3</v>
      </c>
      <c r="F1980" s="168"/>
      <c r="G1980" s="168">
        <v>1977</v>
      </c>
      <c r="H1980" s="183">
        <f t="shared" ca="1" si="64"/>
        <v>5.7157525073453161E-4</v>
      </c>
      <c r="K1980" s="36"/>
    </row>
    <row r="1981" spans="2:11">
      <c r="B1981" s="36">
        <v>43108</v>
      </c>
      <c r="C1981" s="182">
        <v>1298</v>
      </c>
      <c r="D1981" s="182">
        <f t="shared" si="63"/>
        <v>-3.3018505720647734E-3</v>
      </c>
      <c r="E1981" s="182">
        <v>-6.0175549724007698E-3</v>
      </c>
      <c r="F1981" s="168"/>
      <c r="G1981" s="168">
        <v>1978</v>
      </c>
      <c r="H1981" s="183">
        <f t="shared" ca="1" si="64"/>
        <v>-2.0158712701987099E-2</v>
      </c>
      <c r="K1981" s="36"/>
    </row>
    <row r="1982" spans="2:11">
      <c r="B1982" s="36" t="s">
        <v>9788</v>
      </c>
      <c r="C1982" s="182">
        <v>1302.3</v>
      </c>
      <c r="D1982" s="182">
        <f t="shared" si="63"/>
        <v>5.3653452734782458E-3</v>
      </c>
      <c r="E1982" s="182">
        <v>-6.0317852437418024E-3</v>
      </c>
      <c r="F1982" s="168"/>
      <c r="G1982" s="168">
        <v>1979</v>
      </c>
      <c r="H1982" s="183">
        <f t="shared" ca="1" si="64"/>
        <v>-6.0803262082758597E-3</v>
      </c>
      <c r="K1982" s="36"/>
    </row>
    <row r="1983" spans="2:11">
      <c r="B1983" s="36" t="s">
        <v>9789</v>
      </c>
      <c r="C1983" s="182">
        <v>1295.3499999999999</v>
      </c>
      <c r="D1983" s="182">
        <f t="shared" si="63"/>
        <v>-1.2276487856952333E-2</v>
      </c>
      <c r="E1983" s="182">
        <v>-6.0888716154941964E-3</v>
      </c>
      <c r="F1983" s="168"/>
      <c r="G1983" s="168">
        <v>1980</v>
      </c>
      <c r="H1983" s="183">
        <f t="shared" ca="1" si="64"/>
        <v>-1.088169638351115E-3</v>
      </c>
      <c r="K1983" s="36"/>
    </row>
    <row r="1984" spans="2:11">
      <c r="B1984" s="36" t="s">
        <v>9790</v>
      </c>
      <c r="C1984" s="182">
        <v>1311.45</v>
      </c>
      <c r="D1984" s="182">
        <f t="shared" si="63"/>
        <v>4.211493548757609E-3</v>
      </c>
      <c r="E1984" s="182">
        <v>-6.0896511963100452E-3</v>
      </c>
      <c r="F1984" s="168"/>
      <c r="G1984" s="168">
        <v>1981</v>
      </c>
      <c r="H1984" s="183">
        <f t="shared" ca="1" si="64"/>
        <v>1.0234645169735841E-2</v>
      </c>
      <c r="K1984" s="36"/>
    </row>
    <row r="1985" spans="2:11">
      <c r="B1985" s="36" t="s">
        <v>9791</v>
      </c>
      <c r="C1985" s="182">
        <v>1305.95</v>
      </c>
      <c r="D1985" s="182">
        <f t="shared" si="63"/>
        <v>-1.1168319830392973E-2</v>
      </c>
      <c r="E1985" s="182">
        <v>-6.0901339829476245E-3</v>
      </c>
      <c r="F1985" s="168"/>
      <c r="G1985" s="168">
        <v>1982</v>
      </c>
      <c r="H1985" s="183">
        <f t="shared" ca="1" si="64"/>
        <v>-8.6808963642301222E-3</v>
      </c>
      <c r="K1985" s="36"/>
    </row>
    <row r="1986" spans="2:11">
      <c r="B1986" s="36" t="s">
        <v>9792</v>
      </c>
      <c r="C1986" s="182">
        <v>1320.7</v>
      </c>
      <c r="D1986" s="182">
        <f t="shared" si="63"/>
        <v>-2.4924471299093312E-3</v>
      </c>
      <c r="E1986" s="182">
        <v>-6.1007495206553946E-3</v>
      </c>
      <c r="F1986" s="168"/>
      <c r="G1986" s="168">
        <v>1983</v>
      </c>
      <c r="H1986" s="183">
        <f t="shared" ca="1" si="64"/>
        <v>9.5771854645293718E-3</v>
      </c>
      <c r="K1986" s="36"/>
    </row>
    <row r="1987" spans="2:11">
      <c r="B1987" s="36" t="s">
        <v>9793</v>
      </c>
      <c r="C1987" s="182">
        <v>1324</v>
      </c>
      <c r="D1987" s="182">
        <f t="shared" si="63"/>
        <v>3.5062346089199788E-2</v>
      </c>
      <c r="E1987" s="182">
        <v>-6.105716113275571E-3</v>
      </c>
      <c r="F1987" s="168"/>
      <c r="G1987" s="168">
        <v>1984</v>
      </c>
      <c r="H1987" s="183">
        <f t="shared" ca="1" si="64"/>
        <v>1.2433071152344627E-2</v>
      </c>
      <c r="K1987" s="36"/>
    </row>
    <row r="1988" spans="2:11">
      <c r="B1988" s="36" t="s">
        <v>9794</v>
      </c>
      <c r="C1988" s="182">
        <v>1279.1500000000001</v>
      </c>
      <c r="D1988" s="182">
        <f t="shared" ref="D1988:D2051" si="65">(C1988-C1989)/C1989</f>
        <v>6.9272247805724271E-3</v>
      </c>
      <c r="E1988" s="182">
        <v>-6.1100515645970835E-3</v>
      </c>
      <c r="F1988" s="168"/>
      <c r="G1988" s="168">
        <v>1985</v>
      </c>
      <c r="H1988" s="183">
        <f t="shared" ca="1" si="64"/>
        <v>1.0190424518943506E-2</v>
      </c>
      <c r="K1988" s="36"/>
    </row>
    <row r="1989" spans="2:11">
      <c r="B1989" s="36" t="s">
        <v>9795</v>
      </c>
      <c r="C1989" s="182">
        <v>1270.3499999999999</v>
      </c>
      <c r="D1989" s="182">
        <f t="shared" si="65"/>
        <v>9.7369048565296885E-3</v>
      </c>
      <c r="E1989" s="182">
        <v>-6.1132609579450355E-3</v>
      </c>
      <c r="F1989" s="168"/>
      <c r="G1989" s="168">
        <v>1986</v>
      </c>
      <c r="H1989" s="183">
        <f t="shared" ref="H1989:H2052" ca="1" si="66">_xlfn.NORM.INV(RAND(),N$6,N$7)</f>
        <v>-7.1128390251708881E-3</v>
      </c>
      <c r="K1989" s="36"/>
    </row>
    <row r="1990" spans="2:11">
      <c r="B1990" s="36" t="s">
        <v>9796</v>
      </c>
      <c r="C1990" s="182">
        <v>1258.0999999999999</v>
      </c>
      <c r="D1990" s="182">
        <f t="shared" si="65"/>
        <v>-2.6351429787563503E-2</v>
      </c>
      <c r="E1990" s="182">
        <v>-6.1156658541990615E-3</v>
      </c>
      <c r="F1990" s="168"/>
      <c r="G1990" s="168">
        <v>1987</v>
      </c>
      <c r="H1990" s="183">
        <f t="shared" ca="1" si="66"/>
        <v>1.9215906459096378E-3</v>
      </c>
      <c r="K1990" s="36"/>
    </row>
    <row r="1991" spans="2:11">
      <c r="B1991" s="36" t="s">
        <v>9797</v>
      </c>
      <c r="C1991" s="182">
        <v>1292.1500000000001</v>
      </c>
      <c r="D1991" s="182">
        <f t="shared" si="65"/>
        <v>4.1185841395657476E-3</v>
      </c>
      <c r="E1991" s="182">
        <v>-6.1205798914378082E-3</v>
      </c>
      <c r="F1991" s="168"/>
      <c r="G1991" s="168">
        <v>1988</v>
      </c>
      <c r="H1991" s="183">
        <f t="shared" ca="1" si="66"/>
        <v>1.1852645688434451E-3</v>
      </c>
      <c r="K1991" s="36"/>
    </row>
    <row r="1992" spans="2:11">
      <c r="B1992" s="36" t="s">
        <v>9798</v>
      </c>
      <c r="C1992" s="182">
        <v>1286.8499999999999</v>
      </c>
      <c r="D1992" s="182">
        <f t="shared" si="65"/>
        <v>2.9226093055880293E-3</v>
      </c>
      <c r="E1992" s="182">
        <v>-6.1492750625269984E-3</v>
      </c>
      <c r="F1992" s="168"/>
      <c r="G1992" s="168">
        <v>1989</v>
      </c>
      <c r="H1992" s="183">
        <f t="shared" ca="1" si="66"/>
        <v>9.6097981155528738E-3</v>
      </c>
      <c r="K1992" s="36"/>
    </row>
    <row r="1993" spans="2:11">
      <c r="B1993" s="36" t="s">
        <v>9799</v>
      </c>
      <c r="C1993" s="182">
        <v>1283.0999999999999</v>
      </c>
      <c r="D1993" s="182">
        <f t="shared" si="65"/>
        <v>-1.1783733826247828E-2</v>
      </c>
      <c r="E1993" s="182">
        <v>-6.1532847925962154E-3</v>
      </c>
      <c r="F1993" s="168"/>
      <c r="G1993" s="168">
        <v>1990</v>
      </c>
      <c r="H1993" s="183">
        <f t="shared" ca="1" si="66"/>
        <v>2.5566810164392821E-3</v>
      </c>
      <c r="K1993" s="36"/>
    </row>
    <row r="1994" spans="2:11">
      <c r="B1994" s="36" t="s">
        <v>9800</v>
      </c>
      <c r="C1994" s="182">
        <v>1298.4000000000001</v>
      </c>
      <c r="D1994" s="182">
        <f t="shared" si="65"/>
        <v>-1.0386612810155099E-3</v>
      </c>
      <c r="E1994" s="182">
        <v>-6.186909801367743E-3</v>
      </c>
      <c r="F1994" s="168"/>
      <c r="G1994" s="168">
        <v>1991</v>
      </c>
      <c r="H1994" s="183">
        <f t="shared" ca="1" si="66"/>
        <v>1.1589834141015005E-2</v>
      </c>
      <c r="K1994" s="36"/>
    </row>
    <row r="1995" spans="2:11">
      <c r="B1995" s="36">
        <v>43441</v>
      </c>
      <c r="C1995" s="182">
        <v>1299.75</v>
      </c>
      <c r="D1995" s="182">
        <f t="shared" si="65"/>
        <v>1.9611688566385566E-2</v>
      </c>
      <c r="E1995" s="182">
        <v>-6.211735263886865E-3</v>
      </c>
      <c r="F1995" s="168"/>
      <c r="G1995" s="168">
        <v>1992</v>
      </c>
      <c r="H1995" s="183">
        <f t="shared" ca="1" si="66"/>
        <v>-1.0065403317434676E-2</v>
      </c>
      <c r="K1995" s="36"/>
    </row>
    <row r="1996" spans="2:11">
      <c r="B1996" s="36">
        <v>43411</v>
      </c>
      <c r="C1996" s="182">
        <v>1274.75</v>
      </c>
      <c r="D1996" s="182">
        <f t="shared" si="65"/>
        <v>-7.6677565000777747E-3</v>
      </c>
      <c r="E1996" s="182">
        <v>-6.2166474115640394E-3</v>
      </c>
      <c r="F1996" s="168"/>
      <c r="G1996" s="168">
        <v>1993</v>
      </c>
      <c r="H1996" s="183">
        <f t="shared" ca="1" si="66"/>
        <v>-3.6460040723139964E-3</v>
      </c>
      <c r="K1996" s="36"/>
    </row>
    <row r="1997" spans="2:11">
      <c r="B1997" s="36">
        <v>43380</v>
      </c>
      <c r="C1997" s="182">
        <v>1284.5999999999999</v>
      </c>
      <c r="D1997" s="182">
        <f t="shared" si="65"/>
        <v>-2.6397515527951019E-3</v>
      </c>
      <c r="E1997" s="182">
        <v>-6.2185981385387981E-3</v>
      </c>
      <c r="F1997" s="168"/>
      <c r="G1997" s="168">
        <v>1994</v>
      </c>
      <c r="H1997" s="183">
        <f t="shared" ca="1" si="66"/>
        <v>2.938798949733289E-2</v>
      </c>
      <c r="K1997" s="36"/>
    </row>
    <row r="1998" spans="2:11">
      <c r="B1998" s="36">
        <v>43350</v>
      </c>
      <c r="C1998" s="182">
        <v>1288</v>
      </c>
      <c r="D1998" s="182">
        <f t="shared" si="65"/>
        <v>1.7136539524599263E-2</v>
      </c>
      <c r="E1998" s="182">
        <v>-6.2464828362408043E-3</v>
      </c>
      <c r="F1998" s="168"/>
      <c r="G1998" s="168">
        <v>1995</v>
      </c>
      <c r="H1998" s="183">
        <f t="shared" ca="1" si="66"/>
        <v>1.0515547972903817E-2</v>
      </c>
      <c r="K1998" s="36"/>
    </row>
    <row r="1999" spans="2:11">
      <c r="B1999" s="36">
        <v>43258</v>
      </c>
      <c r="C1999" s="182">
        <v>1266.3</v>
      </c>
      <c r="D1999" s="182">
        <f t="shared" si="65"/>
        <v>9.4463709195264124E-3</v>
      </c>
      <c r="E1999" s="182">
        <v>-6.2749572162007989E-3</v>
      </c>
      <c r="F1999" s="168"/>
      <c r="G1999" s="168">
        <v>1996</v>
      </c>
      <c r="H1999" s="183">
        <f t="shared" ca="1" si="66"/>
        <v>6.2467493328587313E-3</v>
      </c>
      <c r="K1999" s="36"/>
    </row>
    <row r="2000" spans="2:11">
      <c r="B2000" s="36">
        <v>43227</v>
      </c>
      <c r="C2000" s="182">
        <v>1254.45</v>
      </c>
      <c r="D2000" s="182">
        <f t="shared" si="65"/>
        <v>-4.0095275903135807E-3</v>
      </c>
      <c r="E2000" s="182">
        <v>-6.2886434497700493E-3</v>
      </c>
      <c r="F2000" s="168"/>
      <c r="G2000" s="168">
        <v>1997</v>
      </c>
      <c r="H2000" s="183">
        <f t="shared" ca="1" si="66"/>
        <v>6.5105556676842277E-4</v>
      </c>
      <c r="K2000" s="36"/>
    </row>
    <row r="2001" spans="2:11">
      <c r="B2001" s="36">
        <v>43197</v>
      </c>
      <c r="C2001" s="182">
        <v>1259.5</v>
      </c>
      <c r="D2001" s="182">
        <f t="shared" si="65"/>
        <v>6.392329204954055E-3</v>
      </c>
      <c r="E2001" s="182">
        <v>-6.2978274254552168E-3</v>
      </c>
      <c r="F2001" s="168"/>
      <c r="G2001" s="168">
        <v>1998</v>
      </c>
      <c r="H2001" s="183">
        <f t="shared" ca="1" si="66"/>
        <v>1.0186688257874941E-2</v>
      </c>
      <c r="K2001" s="36"/>
    </row>
    <row r="2002" spans="2:11">
      <c r="B2002" s="36">
        <v>43166</v>
      </c>
      <c r="C2002" s="182">
        <v>1251.5</v>
      </c>
      <c r="D2002" s="182">
        <f t="shared" si="65"/>
        <v>-3.5431346789283375E-3</v>
      </c>
      <c r="E2002" s="182">
        <v>-6.3171566891014556E-3</v>
      </c>
      <c r="F2002" s="168"/>
      <c r="G2002" s="168">
        <v>1999</v>
      </c>
      <c r="H2002" s="183">
        <f t="shared" ca="1" si="66"/>
        <v>5.2097138488067561E-3</v>
      </c>
      <c r="K2002" s="36"/>
    </row>
    <row r="2003" spans="2:11">
      <c r="B2003" s="36">
        <v>43138</v>
      </c>
      <c r="C2003" s="182">
        <v>1255.95</v>
      </c>
      <c r="D2003" s="182">
        <f t="shared" si="65"/>
        <v>-1.5018429927064437E-2</v>
      </c>
      <c r="E2003" s="182">
        <v>-6.3412254699636381E-3</v>
      </c>
      <c r="F2003" s="168"/>
      <c r="G2003" s="168">
        <v>2000</v>
      </c>
      <c r="H2003" s="183">
        <f t="shared" ca="1" si="66"/>
        <v>-3.8724314705071931E-3</v>
      </c>
      <c r="K2003" s="36"/>
    </row>
    <row r="2004" spans="2:11">
      <c r="B2004" s="36" t="s">
        <v>9801</v>
      </c>
      <c r="C2004" s="182">
        <v>1275.0999999999999</v>
      </c>
      <c r="D2004" s="182">
        <f t="shared" si="65"/>
        <v>3.2511437710028637E-2</v>
      </c>
      <c r="E2004" s="182">
        <v>-6.3444900812724258E-3</v>
      </c>
      <c r="F2004" s="168"/>
      <c r="G2004" s="168">
        <v>2001</v>
      </c>
      <c r="H2004" s="183">
        <f t="shared" ca="1" si="66"/>
        <v>9.0681854704044197E-3</v>
      </c>
      <c r="K2004" s="36"/>
    </row>
    <row r="2005" spans="2:11">
      <c r="B2005" s="36" t="s">
        <v>9802</v>
      </c>
      <c r="C2005" s="182">
        <v>1234.95</v>
      </c>
      <c r="D2005" s="182">
        <f t="shared" si="65"/>
        <v>1.784627864530558E-3</v>
      </c>
      <c r="E2005" s="182">
        <v>-6.3460372918821284E-3</v>
      </c>
      <c r="F2005" s="168"/>
      <c r="G2005" s="168">
        <v>2002</v>
      </c>
      <c r="H2005" s="183">
        <f t="shared" ca="1" si="66"/>
        <v>5.7144077828054519E-3</v>
      </c>
      <c r="K2005" s="36"/>
    </row>
    <row r="2006" spans="2:11">
      <c r="B2006" s="36" t="s">
        <v>9803</v>
      </c>
      <c r="C2006" s="182">
        <v>1232.75</v>
      </c>
      <c r="D2006" s="182">
        <f t="shared" si="65"/>
        <v>-2.9368922483366762E-2</v>
      </c>
      <c r="E2006" s="182">
        <v>-6.3986204392811356E-3</v>
      </c>
      <c r="F2006" s="168"/>
      <c r="G2006" s="168">
        <v>2003</v>
      </c>
      <c r="H2006" s="183">
        <f t="shared" ca="1" si="66"/>
        <v>6.7873345214931333E-3</v>
      </c>
      <c r="K2006" s="36"/>
    </row>
    <row r="2007" spans="2:11">
      <c r="B2007" s="36" t="s">
        <v>9804</v>
      </c>
      <c r="C2007" s="182">
        <v>1270.05</v>
      </c>
      <c r="D2007" s="182">
        <f t="shared" si="65"/>
        <v>1.4982454756928309E-3</v>
      </c>
      <c r="E2007" s="182">
        <v>-6.4022615781159434E-3</v>
      </c>
      <c r="F2007" s="168"/>
      <c r="G2007" s="168">
        <v>2004</v>
      </c>
      <c r="H2007" s="183">
        <f t="shared" ca="1" si="66"/>
        <v>-8.8454297769899361E-3</v>
      </c>
      <c r="K2007" s="36"/>
    </row>
    <row r="2008" spans="2:11">
      <c r="B2008" s="36" t="s">
        <v>9805</v>
      </c>
      <c r="C2008" s="182">
        <v>1268.1500000000001</v>
      </c>
      <c r="D2008" s="182">
        <f t="shared" si="65"/>
        <v>-2.438742931876741E-2</v>
      </c>
      <c r="E2008" s="182">
        <v>-6.4062231882400312E-3</v>
      </c>
      <c r="F2008" s="168"/>
      <c r="G2008" s="168">
        <v>2005</v>
      </c>
      <c r="H2008" s="183">
        <f t="shared" ca="1" si="66"/>
        <v>1.3958566925084785E-2</v>
      </c>
      <c r="K2008" s="36"/>
    </row>
    <row r="2009" spans="2:11">
      <c r="B2009" s="36" t="s">
        <v>9806</v>
      </c>
      <c r="C2009" s="182">
        <v>1299.8499999999999</v>
      </c>
      <c r="D2009" s="182">
        <f t="shared" si="65"/>
        <v>7.7919057218173013E-3</v>
      </c>
      <c r="E2009" s="182">
        <v>-6.4107155647874928E-3</v>
      </c>
      <c r="F2009" s="168"/>
      <c r="G2009" s="168">
        <v>2006</v>
      </c>
      <c r="H2009" s="183">
        <f t="shared" ca="1" si="66"/>
        <v>1.9255067342948729E-2</v>
      </c>
      <c r="K2009" s="36"/>
    </row>
    <row r="2010" spans="2:11">
      <c r="B2010" s="36" t="s">
        <v>9807</v>
      </c>
      <c r="C2010" s="182">
        <v>1289.8</v>
      </c>
      <c r="D2010" s="182">
        <f t="shared" si="65"/>
        <v>-1.2971111536254101E-2</v>
      </c>
      <c r="E2010" s="182">
        <v>-6.4263376748342803E-3</v>
      </c>
      <c r="F2010" s="168"/>
      <c r="G2010" s="168">
        <v>2007</v>
      </c>
      <c r="H2010" s="183">
        <f t="shared" ca="1" si="66"/>
        <v>2.897151011645175E-3</v>
      </c>
      <c r="K2010" s="36"/>
    </row>
    <row r="2011" spans="2:11">
      <c r="B2011" s="36" t="s">
        <v>9808</v>
      </c>
      <c r="C2011" s="182">
        <v>1306.75</v>
      </c>
      <c r="D2011" s="182">
        <f t="shared" si="65"/>
        <v>-2.7854090354091044E-3</v>
      </c>
      <c r="E2011" s="182">
        <v>-6.4535126248374793E-3</v>
      </c>
      <c r="F2011" s="168"/>
      <c r="G2011" s="168">
        <v>2008</v>
      </c>
      <c r="H2011" s="183">
        <f t="shared" ca="1" si="66"/>
        <v>9.4980259904773393E-3</v>
      </c>
      <c r="K2011" s="36"/>
    </row>
    <row r="2012" spans="2:11">
      <c r="B2012" s="36" t="s">
        <v>9809</v>
      </c>
      <c r="C2012" s="182">
        <v>1310.4000000000001</v>
      </c>
      <c r="D2012" s="182">
        <f t="shared" si="65"/>
        <v>-9.6735187424425283E-3</v>
      </c>
      <c r="E2012" s="182">
        <v>-6.4617477489150327E-3</v>
      </c>
      <c r="F2012" s="168"/>
      <c r="G2012" s="168">
        <v>2009</v>
      </c>
      <c r="H2012" s="183">
        <f t="shared" ca="1" si="66"/>
        <v>-5.361428827160457E-3</v>
      </c>
      <c r="K2012" s="36"/>
    </row>
    <row r="2013" spans="2:11">
      <c r="B2013" s="36" t="s">
        <v>9810</v>
      </c>
      <c r="C2013" s="182">
        <v>1323.2</v>
      </c>
      <c r="D2013" s="182">
        <f t="shared" si="65"/>
        <v>-5.0379727799082976E-3</v>
      </c>
      <c r="E2013" s="182">
        <v>-6.4805184414754267E-3</v>
      </c>
      <c r="F2013" s="168"/>
      <c r="G2013" s="168">
        <v>2010</v>
      </c>
      <c r="H2013" s="183">
        <f t="shared" ca="1" si="66"/>
        <v>-1.3589716097499458E-2</v>
      </c>
      <c r="K2013" s="36"/>
    </row>
    <row r="2014" spans="2:11">
      <c r="B2014" s="36" t="s">
        <v>9811</v>
      </c>
      <c r="C2014" s="182">
        <v>1329.9</v>
      </c>
      <c r="D2014" s="182">
        <f t="shared" si="65"/>
        <v>-9.7542814594191434E-3</v>
      </c>
      <c r="E2014" s="182">
        <v>-6.4813965575224773E-3</v>
      </c>
      <c r="F2014" s="168"/>
      <c r="G2014" s="168">
        <v>2011</v>
      </c>
      <c r="H2014" s="183">
        <f t="shared" ca="1" si="66"/>
        <v>-4.0750821635628107E-3</v>
      </c>
      <c r="K2014" s="36"/>
    </row>
    <row r="2015" spans="2:11">
      <c r="B2015" s="36" t="s">
        <v>9812</v>
      </c>
      <c r="C2015" s="182">
        <v>1343</v>
      </c>
      <c r="D2015" s="182">
        <f t="shared" si="65"/>
        <v>-1.1591536338546458E-2</v>
      </c>
      <c r="E2015" s="182">
        <v>-6.4874458741985769E-3</v>
      </c>
      <c r="F2015" s="168"/>
      <c r="G2015" s="168">
        <v>2012</v>
      </c>
      <c r="H2015" s="183">
        <f t="shared" ca="1" si="66"/>
        <v>-1.6793774204867475E-2</v>
      </c>
      <c r="K2015" s="36"/>
    </row>
    <row r="2016" spans="2:11">
      <c r="B2016" s="36" t="s">
        <v>9813</v>
      </c>
      <c r="C2016" s="182">
        <v>1358.75</v>
      </c>
      <c r="D2016" s="182">
        <f t="shared" si="65"/>
        <v>-5.5986533957846094E-3</v>
      </c>
      <c r="E2016" s="182">
        <v>-6.5199317376274839E-3</v>
      </c>
      <c r="F2016" s="168"/>
      <c r="G2016" s="168">
        <v>2013</v>
      </c>
      <c r="H2016" s="183">
        <f t="shared" ca="1" si="66"/>
        <v>9.7575375736490381E-3</v>
      </c>
      <c r="K2016" s="36"/>
    </row>
    <row r="2017" spans="2:11">
      <c r="B2017" s="36">
        <v>43440</v>
      </c>
      <c r="C2017" s="182">
        <v>1366.4</v>
      </c>
      <c r="D2017" s="182">
        <f t="shared" si="65"/>
        <v>1.723431974688263E-2</v>
      </c>
      <c r="E2017" s="182">
        <v>-6.5462916336954608E-3</v>
      </c>
      <c r="F2017" s="168"/>
      <c r="G2017" s="168">
        <v>2014</v>
      </c>
      <c r="H2017" s="183">
        <f t="shared" ca="1" si="66"/>
        <v>9.0236336071599123E-3</v>
      </c>
      <c r="K2017" s="36"/>
    </row>
    <row r="2018" spans="2:11">
      <c r="B2018" s="36">
        <v>43410</v>
      </c>
      <c r="C2018" s="182">
        <v>1343.25</v>
      </c>
      <c r="D2018" s="182">
        <f t="shared" si="65"/>
        <v>-5.2085271029431559E-4</v>
      </c>
      <c r="E2018" s="182">
        <v>-6.5676141257537254E-3</v>
      </c>
      <c r="F2018" s="168"/>
      <c r="G2018" s="168">
        <v>2015</v>
      </c>
      <c r="H2018" s="183">
        <f t="shared" ca="1" si="66"/>
        <v>3.207607676702349E-4</v>
      </c>
      <c r="K2018" s="36"/>
    </row>
    <row r="2019" spans="2:11">
      <c r="B2019" s="36">
        <v>43318</v>
      </c>
      <c r="C2019" s="182">
        <v>1343.95</v>
      </c>
      <c r="D2019" s="182">
        <f t="shared" si="65"/>
        <v>-8.2647677378888274E-3</v>
      </c>
      <c r="E2019" s="182">
        <v>-6.5759386876507687E-3</v>
      </c>
      <c r="F2019" s="168"/>
      <c r="G2019" s="168">
        <v>2016</v>
      </c>
      <c r="H2019" s="183">
        <f t="shared" ca="1" si="66"/>
        <v>-1.4707962464362463E-4</v>
      </c>
      <c r="K2019" s="36"/>
    </row>
    <row r="2020" spans="2:11">
      <c r="B2020" s="36">
        <v>43287</v>
      </c>
      <c r="C2020" s="182">
        <v>1355.15</v>
      </c>
      <c r="D2020" s="182">
        <f t="shared" si="65"/>
        <v>3.4060197697235472E-3</v>
      </c>
      <c r="E2020" s="182">
        <v>-6.601697579377586E-3</v>
      </c>
      <c r="F2020" s="168"/>
      <c r="G2020" s="168">
        <v>2017</v>
      </c>
      <c r="H2020" s="183">
        <f t="shared" ca="1" si="66"/>
        <v>-2.8802776257441575E-3</v>
      </c>
      <c r="K2020" s="36"/>
    </row>
    <row r="2021" spans="2:11">
      <c r="B2021" s="36">
        <v>43257</v>
      </c>
      <c r="C2021" s="182">
        <v>1350.55</v>
      </c>
      <c r="D2021" s="182">
        <f t="shared" si="65"/>
        <v>1.2596063730084315E-2</v>
      </c>
      <c r="E2021" s="182">
        <v>-6.6112019016491535E-3</v>
      </c>
      <c r="F2021" s="168"/>
      <c r="G2021" s="168">
        <v>2018</v>
      </c>
      <c r="H2021" s="183">
        <f t="shared" ca="1" si="66"/>
        <v>6.4992632982089054E-4</v>
      </c>
      <c r="K2021" s="36"/>
    </row>
    <row r="2022" spans="2:11">
      <c r="B2022" s="36">
        <v>43226</v>
      </c>
      <c r="C2022" s="182">
        <v>1333.75</v>
      </c>
      <c r="D2022" s="182">
        <f t="shared" si="65"/>
        <v>-1.7748646757741952E-2</v>
      </c>
      <c r="E2022" s="182">
        <v>-6.624825662482685E-3</v>
      </c>
      <c r="F2022" s="168"/>
      <c r="G2022" s="168">
        <v>2019</v>
      </c>
      <c r="H2022" s="183">
        <f t="shared" ca="1" si="66"/>
        <v>9.9933426931708268E-5</v>
      </c>
      <c r="K2022" s="36"/>
    </row>
    <row r="2023" spans="2:11">
      <c r="B2023" s="36">
        <v>43196</v>
      </c>
      <c r="C2023" s="182">
        <v>1357.85</v>
      </c>
      <c r="D2023" s="182">
        <f t="shared" si="65"/>
        <v>-1.0601865345380487E-2</v>
      </c>
      <c r="E2023" s="182">
        <v>-6.6472970593413937E-3</v>
      </c>
      <c r="F2023" s="168"/>
      <c r="G2023" s="168">
        <v>2020</v>
      </c>
      <c r="H2023" s="183">
        <f t="shared" ca="1" si="66"/>
        <v>-1.7667343699653441E-2</v>
      </c>
      <c r="K2023" s="36"/>
    </row>
    <row r="2024" spans="2:11">
      <c r="B2024" s="36">
        <v>43106</v>
      </c>
      <c r="C2024" s="182">
        <v>1372.4</v>
      </c>
      <c r="D2024" s="182">
        <f t="shared" si="65"/>
        <v>1.4594279042615295E-3</v>
      </c>
      <c r="E2024" s="182">
        <v>-6.6504101086233653E-3</v>
      </c>
      <c r="F2024" s="168"/>
      <c r="G2024" s="168">
        <v>2021</v>
      </c>
      <c r="H2024" s="183">
        <f t="shared" ca="1" si="66"/>
        <v>-7.841491126770659E-3</v>
      </c>
      <c r="K2024" s="36"/>
    </row>
    <row r="2025" spans="2:11">
      <c r="B2025" s="36" t="s">
        <v>9814</v>
      </c>
      <c r="C2025" s="182">
        <v>1370.4</v>
      </c>
      <c r="D2025" s="182">
        <f t="shared" si="65"/>
        <v>3.4781971954746822E-3</v>
      </c>
      <c r="E2025" s="182">
        <v>-6.6675325799885861E-3</v>
      </c>
      <c r="F2025" s="168"/>
      <c r="G2025" s="168">
        <v>2022</v>
      </c>
      <c r="H2025" s="183">
        <f t="shared" ca="1" si="66"/>
        <v>3.4821944594058039E-3</v>
      </c>
      <c r="K2025" s="36"/>
    </row>
    <row r="2026" spans="2:11">
      <c r="B2026" s="36" t="s">
        <v>9815</v>
      </c>
      <c r="C2026" s="182">
        <v>1365.65</v>
      </c>
      <c r="D2026" s="182">
        <f t="shared" si="65"/>
        <v>-1.0828625235404765E-2</v>
      </c>
      <c r="E2026" s="182">
        <v>-6.6843285102914573E-3</v>
      </c>
      <c r="F2026" s="168"/>
      <c r="G2026" s="168">
        <v>2023</v>
      </c>
      <c r="H2026" s="183">
        <f t="shared" ca="1" si="66"/>
        <v>3.0180815048121909E-2</v>
      </c>
      <c r="K2026" s="36"/>
    </row>
    <row r="2027" spans="2:11">
      <c r="B2027" s="36" t="s">
        <v>9816</v>
      </c>
      <c r="C2027" s="182">
        <v>1380.6</v>
      </c>
      <c r="D2027" s="182">
        <f t="shared" si="65"/>
        <v>3.0150023611463283E-3</v>
      </c>
      <c r="E2027" s="182">
        <v>-6.7021873247336203E-3</v>
      </c>
      <c r="F2027" s="168"/>
      <c r="G2027" s="168">
        <v>2024</v>
      </c>
      <c r="H2027" s="183">
        <f t="shared" ca="1" si="66"/>
        <v>1.0183704708818731E-2</v>
      </c>
      <c r="K2027" s="36"/>
    </row>
    <row r="2028" spans="2:11">
      <c r="B2028" s="36" t="s">
        <v>9817</v>
      </c>
      <c r="C2028" s="182">
        <v>1376.45</v>
      </c>
      <c r="D2028" s="182">
        <f t="shared" si="65"/>
        <v>2.5670640834575296E-2</v>
      </c>
      <c r="E2028" s="182">
        <v>-6.7070811298851661E-3</v>
      </c>
      <c r="F2028" s="168"/>
      <c r="G2028" s="168">
        <v>2025</v>
      </c>
      <c r="H2028" s="183">
        <f t="shared" ca="1" si="66"/>
        <v>-5.1481676627723886E-3</v>
      </c>
      <c r="K2028" s="36"/>
    </row>
    <row r="2029" spans="2:11">
      <c r="B2029" s="36" t="s">
        <v>9818</v>
      </c>
      <c r="C2029" s="182">
        <v>1342</v>
      </c>
      <c r="D2029" s="182">
        <f t="shared" si="65"/>
        <v>2.9520570980158035E-3</v>
      </c>
      <c r="E2029" s="182">
        <v>-6.7542213883676544E-3</v>
      </c>
      <c r="F2029" s="168"/>
      <c r="G2029" s="168">
        <v>2026</v>
      </c>
      <c r="H2029" s="183">
        <f t="shared" ca="1" si="66"/>
        <v>-1.7092951535584199E-3</v>
      </c>
      <c r="K2029" s="36"/>
    </row>
    <row r="2030" spans="2:11">
      <c r="B2030" s="36" t="s">
        <v>9819</v>
      </c>
      <c r="C2030" s="182">
        <v>1338.05</v>
      </c>
      <c r="D2030" s="182">
        <f t="shared" si="65"/>
        <v>8.4030446906321974E-3</v>
      </c>
      <c r="E2030" s="182">
        <v>-6.7798202486456299E-3</v>
      </c>
      <c r="F2030" s="168"/>
      <c r="G2030" s="168">
        <v>2027</v>
      </c>
      <c r="H2030" s="183">
        <f t="shared" ca="1" si="66"/>
        <v>3.461461458714744E-3</v>
      </c>
      <c r="K2030" s="36"/>
    </row>
    <row r="2031" spans="2:11">
      <c r="B2031" s="36" t="s">
        <v>9820</v>
      </c>
      <c r="C2031" s="182">
        <v>1326.9</v>
      </c>
      <c r="D2031" s="182">
        <f t="shared" si="65"/>
        <v>5.1130553346210653E-3</v>
      </c>
      <c r="E2031" s="182">
        <v>-6.8024722963831189E-3</v>
      </c>
      <c r="F2031" s="168"/>
      <c r="G2031" s="168">
        <v>2028</v>
      </c>
      <c r="H2031" s="183">
        <f t="shared" ca="1" si="66"/>
        <v>1.5574557438214384E-2</v>
      </c>
      <c r="K2031" s="36"/>
    </row>
    <row r="2032" spans="2:11">
      <c r="B2032" s="36" t="s">
        <v>9821</v>
      </c>
      <c r="C2032" s="182">
        <v>1320.15</v>
      </c>
      <c r="D2032" s="182">
        <f t="shared" si="65"/>
        <v>5.2541404911479852E-3</v>
      </c>
      <c r="E2032" s="182">
        <v>-6.8031850500434171E-3</v>
      </c>
      <c r="F2032" s="168"/>
      <c r="G2032" s="168">
        <v>2029</v>
      </c>
      <c r="H2032" s="183">
        <f t="shared" ca="1" si="66"/>
        <v>9.1038468934117392E-3</v>
      </c>
      <c r="K2032" s="36"/>
    </row>
    <row r="2033" spans="2:11">
      <c r="B2033" s="36" t="s">
        <v>9822</v>
      </c>
      <c r="C2033" s="182">
        <v>1313.25</v>
      </c>
      <c r="D2033" s="182">
        <f t="shared" si="65"/>
        <v>-1.7483181939112573E-3</v>
      </c>
      <c r="E2033" s="182">
        <v>-6.8068309972611927E-3</v>
      </c>
      <c r="F2033" s="168"/>
      <c r="G2033" s="168">
        <v>2030</v>
      </c>
      <c r="H2033" s="183">
        <f t="shared" ca="1" si="66"/>
        <v>-2.669363831329547E-3</v>
      </c>
      <c r="K2033" s="36"/>
    </row>
    <row r="2034" spans="2:11">
      <c r="B2034" s="36" t="s">
        <v>9823</v>
      </c>
      <c r="C2034" s="182">
        <v>1315.55</v>
      </c>
      <c r="D2034" s="182">
        <f t="shared" si="65"/>
        <v>-2.9794608945757653E-2</v>
      </c>
      <c r="E2034" s="182">
        <v>-6.8083246478162921E-3</v>
      </c>
      <c r="F2034" s="168"/>
      <c r="G2034" s="168">
        <v>2031</v>
      </c>
      <c r="H2034" s="183">
        <f t="shared" ca="1" si="66"/>
        <v>-2.1282241527537582E-3</v>
      </c>
      <c r="K2034" s="36"/>
    </row>
    <row r="2035" spans="2:11">
      <c r="B2035" s="36" t="s">
        <v>9824</v>
      </c>
      <c r="C2035" s="182">
        <v>1355.95</v>
      </c>
      <c r="D2035" s="182">
        <f t="shared" si="65"/>
        <v>-4.6977648915475937E-3</v>
      </c>
      <c r="E2035" s="182">
        <v>-6.8808817841950372E-3</v>
      </c>
      <c r="F2035" s="168"/>
      <c r="G2035" s="168">
        <v>2032</v>
      </c>
      <c r="H2035" s="183">
        <f t="shared" ca="1" si="66"/>
        <v>1.4213840174616098E-2</v>
      </c>
      <c r="K2035" s="36"/>
    </row>
    <row r="2036" spans="2:11">
      <c r="B2036" s="36" t="s">
        <v>9825</v>
      </c>
      <c r="C2036" s="182">
        <v>1362.35</v>
      </c>
      <c r="D2036" s="182">
        <f t="shared" si="65"/>
        <v>-8.623198952117694E-3</v>
      </c>
      <c r="E2036" s="182">
        <v>-6.8865839143004044E-3</v>
      </c>
      <c r="F2036" s="168"/>
      <c r="G2036" s="168">
        <v>2033</v>
      </c>
      <c r="H2036" s="183">
        <f t="shared" ca="1" si="66"/>
        <v>2.1028075648327114E-2</v>
      </c>
      <c r="K2036" s="36"/>
    </row>
    <row r="2037" spans="2:11">
      <c r="B2037" s="36" t="s">
        <v>9826</v>
      </c>
      <c r="C2037" s="182">
        <v>1374.2</v>
      </c>
      <c r="D2037" s="182">
        <f t="shared" si="65"/>
        <v>-5.4640853989505736E-3</v>
      </c>
      <c r="E2037" s="182">
        <v>-6.8868190798758375E-3</v>
      </c>
      <c r="F2037" s="168"/>
      <c r="G2037" s="168">
        <v>2034</v>
      </c>
      <c r="H2037" s="183">
        <f t="shared" ca="1" si="66"/>
        <v>4.2585731741230821E-3</v>
      </c>
      <c r="K2037" s="36"/>
    </row>
    <row r="2038" spans="2:11">
      <c r="B2038" s="36" t="s">
        <v>9827</v>
      </c>
      <c r="C2038" s="182">
        <v>1381.75</v>
      </c>
      <c r="D2038" s="182">
        <f t="shared" si="65"/>
        <v>-4.0723655758974275E-3</v>
      </c>
      <c r="E2038" s="182">
        <v>-6.8985579520427056E-3</v>
      </c>
      <c r="F2038" s="168"/>
      <c r="G2038" s="168">
        <v>2035</v>
      </c>
      <c r="H2038" s="183">
        <f t="shared" ca="1" si="66"/>
        <v>1.1670345872818212E-2</v>
      </c>
      <c r="K2038" s="36"/>
    </row>
    <row r="2039" spans="2:11">
      <c r="B2039" s="36">
        <v>43409</v>
      </c>
      <c r="C2039" s="182">
        <v>1387.4</v>
      </c>
      <c r="D2039" s="182">
        <f t="shared" si="65"/>
        <v>1.8499486125385437E-2</v>
      </c>
      <c r="E2039" s="182">
        <v>-6.9022156986090722E-3</v>
      </c>
      <c r="F2039" s="168"/>
      <c r="G2039" s="168">
        <v>2036</v>
      </c>
      <c r="H2039" s="183">
        <f t="shared" ca="1" si="66"/>
        <v>9.5672696778052266E-3</v>
      </c>
      <c r="K2039" s="36"/>
    </row>
    <row r="2040" spans="2:11">
      <c r="B2040" s="36">
        <v>43378</v>
      </c>
      <c r="C2040" s="182">
        <v>1362.2</v>
      </c>
      <c r="D2040" s="182">
        <f t="shared" si="65"/>
        <v>-9.7771962345073564E-3</v>
      </c>
      <c r="E2040" s="182">
        <v>-6.918752702637746E-3</v>
      </c>
      <c r="F2040" s="168"/>
      <c r="G2040" s="168">
        <v>2037</v>
      </c>
      <c r="H2040" s="183">
        <f t="shared" ca="1" si="66"/>
        <v>3.4821754701612508E-3</v>
      </c>
      <c r="K2040" s="36"/>
    </row>
    <row r="2041" spans="2:11">
      <c r="B2041" s="36">
        <v>43348</v>
      </c>
      <c r="C2041" s="182">
        <v>1375.65</v>
      </c>
      <c r="D2041" s="182">
        <f t="shared" si="65"/>
        <v>7.8760348743497684E-3</v>
      </c>
      <c r="E2041" s="182">
        <v>-6.9254601786039732E-3</v>
      </c>
      <c r="F2041" s="168"/>
      <c r="G2041" s="168">
        <v>2038</v>
      </c>
      <c r="H2041" s="183">
        <f t="shared" ca="1" si="66"/>
        <v>1.234856893271043E-3</v>
      </c>
      <c r="K2041" s="36"/>
    </row>
    <row r="2042" spans="2:11">
      <c r="B2042" s="36">
        <v>43317</v>
      </c>
      <c r="C2042" s="182">
        <v>1364.9</v>
      </c>
      <c r="D2042" s="182">
        <f t="shared" si="65"/>
        <v>-1.7456718136990245E-2</v>
      </c>
      <c r="E2042" s="182">
        <v>-6.9364929224540219E-3</v>
      </c>
      <c r="F2042" s="168"/>
      <c r="G2042" s="168">
        <v>2039</v>
      </c>
      <c r="H2042" s="183">
        <f t="shared" ca="1" si="66"/>
        <v>-1.5242128254077834E-3</v>
      </c>
      <c r="K2042" s="36"/>
    </row>
    <row r="2043" spans="2:11">
      <c r="B2043" s="36">
        <v>43286</v>
      </c>
      <c r="C2043" s="182">
        <v>1389.15</v>
      </c>
      <c r="D2043" s="182">
        <f t="shared" si="65"/>
        <v>1.494118506612117E-2</v>
      </c>
      <c r="E2043" s="182">
        <v>-6.9544679175961551E-3</v>
      </c>
      <c r="F2043" s="168"/>
      <c r="G2043" s="168">
        <v>2040</v>
      </c>
      <c r="H2043" s="183">
        <f t="shared" ca="1" si="66"/>
        <v>-4.7284687856368459E-3</v>
      </c>
      <c r="K2043" s="36"/>
    </row>
    <row r="2044" spans="2:11">
      <c r="B2044" s="36">
        <v>43195</v>
      </c>
      <c r="C2044" s="182">
        <v>1368.7</v>
      </c>
      <c r="D2044" s="182">
        <f t="shared" si="65"/>
        <v>-6.5686808201777932E-3</v>
      </c>
      <c r="E2044" s="182">
        <v>-6.9754464285714281E-3</v>
      </c>
      <c r="F2044" s="168"/>
      <c r="G2044" s="168">
        <v>2041</v>
      </c>
      <c r="H2044" s="183">
        <f t="shared" ca="1" si="66"/>
        <v>8.470503993894948E-3</v>
      </c>
      <c r="K2044" s="36"/>
    </row>
    <row r="2045" spans="2:11">
      <c r="B2045" s="36">
        <v>43164</v>
      </c>
      <c r="C2045" s="182">
        <v>1377.75</v>
      </c>
      <c r="D2045" s="182">
        <f t="shared" si="65"/>
        <v>-1.8102127356305519E-2</v>
      </c>
      <c r="E2045" s="182">
        <v>-7.0091658322421627E-3</v>
      </c>
      <c r="F2045" s="168"/>
      <c r="G2045" s="168">
        <v>2042</v>
      </c>
      <c r="H2045" s="183">
        <f t="shared" ca="1" si="66"/>
        <v>7.1357656506532575E-4</v>
      </c>
      <c r="K2045" s="36"/>
    </row>
    <row r="2046" spans="2:11">
      <c r="B2046" s="36">
        <v>43136</v>
      </c>
      <c r="C2046" s="182">
        <v>1403.15</v>
      </c>
      <c r="D2046" s="182">
        <f t="shared" si="65"/>
        <v>1.6061103576272395E-3</v>
      </c>
      <c r="E2046" s="182">
        <v>-7.0466214120808446E-3</v>
      </c>
      <c r="F2046" s="168"/>
      <c r="G2046" s="168">
        <v>2043</v>
      </c>
      <c r="H2046" s="183">
        <f t="shared" ca="1" si="66"/>
        <v>1.5112302911936822E-2</v>
      </c>
      <c r="K2046" s="36"/>
    </row>
    <row r="2047" spans="2:11">
      <c r="B2047" s="36" t="s">
        <v>9828</v>
      </c>
      <c r="C2047" s="182">
        <v>1400.9</v>
      </c>
      <c r="D2047" s="182">
        <f t="shared" si="65"/>
        <v>1.6802758120123457E-2</v>
      </c>
      <c r="E2047" s="182">
        <v>-7.0930300721027822E-3</v>
      </c>
      <c r="F2047" s="168"/>
      <c r="G2047" s="168">
        <v>2044</v>
      </c>
      <c r="H2047" s="183">
        <f t="shared" ca="1" si="66"/>
        <v>-1.1026314567957517E-2</v>
      </c>
      <c r="K2047" s="36"/>
    </row>
    <row r="2048" spans="2:11">
      <c r="B2048" s="36" t="s">
        <v>9829</v>
      </c>
      <c r="C2048" s="182">
        <v>1377.75</v>
      </c>
      <c r="D2048" s="182">
        <f t="shared" si="65"/>
        <v>2.2676662707838444E-2</v>
      </c>
      <c r="E2048" s="182">
        <v>-7.1021306391917801E-3</v>
      </c>
      <c r="F2048" s="168"/>
      <c r="G2048" s="168">
        <v>2045</v>
      </c>
      <c r="H2048" s="183">
        <f t="shared" ca="1" si="66"/>
        <v>1.4963432492195224E-2</v>
      </c>
      <c r="K2048" s="36"/>
    </row>
    <row r="2049" spans="2:11">
      <c r="B2049" s="36" t="s">
        <v>9830</v>
      </c>
      <c r="C2049" s="182">
        <v>1347.2</v>
      </c>
      <c r="D2049" s="182">
        <f t="shared" si="65"/>
        <v>-1.151955389243528E-2</v>
      </c>
      <c r="E2049" s="182">
        <v>-7.1028955260527193E-3</v>
      </c>
      <c r="F2049" s="168"/>
      <c r="G2049" s="168">
        <v>2046</v>
      </c>
      <c r="H2049" s="183">
        <f t="shared" ca="1" si="66"/>
        <v>8.8968002854498511E-3</v>
      </c>
      <c r="K2049" s="36"/>
    </row>
    <row r="2050" spans="2:11">
      <c r="B2050" s="36" t="s">
        <v>9831</v>
      </c>
      <c r="C2050" s="182">
        <v>1362.9</v>
      </c>
      <c r="D2050" s="182">
        <f t="shared" si="65"/>
        <v>-1.0957910014513721E-2</v>
      </c>
      <c r="E2050" s="182">
        <v>-7.1042471042471397E-3</v>
      </c>
      <c r="F2050" s="168"/>
      <c r="G2050" s="168">
        <v>2047</v>
      </c>
      <c r="H2050" s="183">
        <f t="shared" ca="1" si="66"/>
        <v>-6.210836215076075E-3</v>
      </c>
      <c r="K2050" s="36"/>
    </row>
    <row r="2051" spans="2:11">
      <c r="B2051" s="36" t="s">
        <v>9832</v>
      </c>
      <c r="C2051" s="182">
        <v>1378</v>
      </c>
      <c r="D2051" s="182">
        <f t="shared" si="65"/>
        <v>1.3235294117647059E-2</v>
      </c>
      <c r="E2051" s="182">
        <v>-7.1446291242868226E-3</v>
      </c>
      <c r="F2051" s="168"/>
      <c r="G2051" s="168">
        <v>2048</v>
      </c>
      <c r="H2051" s="183">
        <f t="shared" ca="1" si="66"/>
        <v>9.6372847654259148E-3</v>
      </c>
      <c r="K2051" s="36"/>
    </row>
    <row r="2052" spans="2:11">
      <c r="B2052" s="36" t="s">
        <v>9833</v>
      </c>
      <c r="C2052" s="182">
        <v>1360</v>
      </c>
      <c r="D2052" s="182">
        <f t="shared" ref="D2052:D2115" si="67">(C2052-C2053)/C2053</f>
        <v>-3.6994981868795681E-3</v>
      </c>
      <c r="E2052" s="182">
        <v>-7.1502437583098885E-3</v>
      </c>
      <c r="F2052" s="168"/>
      <c r="G2052" s="168">
        <v>2049</v>
      </c>
      <c r="H2052" s="183">
        <f t="shared" ca="1" si="66"/>
        <v>-3.5101043248473634E-3</v>
      </c>
      <c r="K2052" s="36"/>
    </row>
    <row r="2053" spans="2:11">
      <c r="B2053" s="36" t="s">
        <v>9834</v>
      </c>
      <c r="C2053" s="182">
        <v>1365.05</v>
      </c>
      <c r="D2053" s="182">
        <f t="shared" si="67"/>
        <v>-1.4404332129963933E-2</v>
      </c>
      <c r="E2053" s="182">
        <v>-7.1573936738987968E-3</v>
      </c>
      <c r="F2053" s="168"/>
      <c r="G2053" s="168">
        <v>2050</v>
      </c>
      <c r="H2053" s="183">
        <f t="shared" ref="H2053:H2116" ca="1" si="68">_xlfn.NORM.INV(RAND(),N$6,N$7)</f>
        <v>8.4789912534442187E-3</v>
      </c>
      <c r="K2053" s="36"/>
    </row>
    <row r="2054" spans="2:11">
      <c r="B2054" s="36" t="s">
        <v>9835</v>
      </c>
      <c r="C2054" s="182">
        <v>1385</v>
      </c>
      <c r="D2054" s="182">
        <f t="shared" si="67"/>
        <v>1.830747739136835E-2</v>
      </c>
      <c r="E2054" s="182">
        <v>-7.1753829170691941E-3</v>
      </c>
      <c r="F2054" s="168"/>
      <c r="G2054" s="168">
        <v>2051</v>
      </c>
      <c r="H2054" s="183">
        <f t="shared" ca="1" si="68"/>
        <v>1.6849154585246225E-2</v>
      </c>
      <c r="K2054" s="36"/>
    </row>
    <row r="2055" spans="2:11">
      <c r="B2055" s="36" t="s">
        <v>9836</v>
      </c>
      <c r="C2055" s="182">
        <v>1360.1</v>
      </c>
      <c r="D2055" s="182">
        <f t="shared" si="67"/>
        <v>4.045456217130334E-4</v>
      </c>
      <c r="E2055" s="182">
        <v>-7.2095496986172118E-3</v>
      </c>
      <c r="F2055" s="168"/>
      <c r="G2055" s="168">
        <v>2052</v>
      </c>
      <c r="H2055" s="183">
        <f t="shared" ca="1" si="68"/>
        <v>-6.1772527681176132E-3</v>
      </c>
      <c r="K2055" s="36"/>
    </row>
    <row r="2056" spans="2:11">
      <c r="B2056" s="36" t="s">
        <v>9837</v>
      </c>
      <c r="C2056" s="182">
        <v>1359.55</v>
      </c>
      <c r="D2056" s="182">
        <f t="shared" si="67"/>
        <v>-6.2495431620495246E-3</v>
      </c>
      <c r="E2056" s="182">
        <v>-7.2160595708748243E-3</v>
      </c>
      <c r="F2056" s="168"/>
      <c r="G2056" s="168">
        <v>2053</v>
      </c>
      <c r="H2056" s="183">
        <f t="shared" ca="1" si="68"/>
        <v>-1.6330287503030283E-2</v>
      </c>
      <c r="K2056" s="36"/>
    </row>
    <row r="2057" spans="2:11">
      <c r="B2057" s="36" t="s">
        <v>9838</v>
      </c>
      <c r="C2057" s="182">
        <v>1368.1</v>
      </c>
      <c r="D2057" s="182">
        <f t="shared" si="67"/>
        <v>9.7796804074251776E-3</v>
      </c>
      <c r="E2057" s="182">
        <v>-7.2220789270052996E-3</v>
      </c>
      <c r="F2057" s="168"/>
      <c r="G2057" s="168">
        <v>2054</v>
      </c>
      <c r="H2057" s="183">
        <f t="shared" ca="1" si="68"/>
        <v>2.738859438792968E-2</v>
      </c>
      <c r="K2057" s="36"/>
    </row>
    <row r="2058" spans="2:11">
      <c r="B2058" s="36" t="s">
        <v>9839</v>
      </c>
      <c r="C2058" s="182">
        <v>1354.85</v>
      </c>
      <c r="D2058" s="182">
        <f t="shared" si="67"/>
        <v>-1.9153559983794146E-3</v>
      </c>
      <c r="E2058" s="182">
        <v>-7.229593356053457E-3</v>
      </c>
      <c r="F2058" s="168"/>
      <c r="G2058" s="168">
        <v>2055</v>
      </c>
      <c r="H2058" s="183">
        <f t="shared" ca="1" si="68"/>
        <v>4.8640712513794652E-3</v>
      </c>
      <c r="K2058" s="36"/>
    </row>
    <row r="2059" spans="2:11">
      <c r="B2059" s="36">
        <v>43438</v>
      </c>
      <c r="C2059" s="182">
        <v>1357.45</v>
      </c>
      <c r="D2059" s="182">
        <f t="shared" si="67"/>
        <v>3.4744039918684498E-3</v>
      </c>
      <c r="E2059" s="182">
        <v>-7.2441819375032241E-3</v>
      </c>
      <c r="F2059" s="168"/>
      <c r="G2059" s="168">
        <v>2056</v>
      </c>
      <c r="H2059" s="183">
        <f t="shared" ca="1" si="68"/>
        <v>-1.1957197111223141E-2</v>
      </c>
      <c r="K2059" s="36"/>
    </row>
    <row r="2060" spans="2:11">
      <c r="B2060" s="36">
        <v>43408</v>
      </c>
      <c r="C2060" s="182">
        <v>1352.75</v>
      </c>
      <c r="D2060" s="182">
        <f t="shared" si="67"/>
        <v>2.1112675012963248E-3</v>
      </c>
      <c r="E2060" s="182">
        <v>-7.2521246458923253E-3</v>
      </c>
      <c r="F2060" s="168"/>
      <c r="G2060" s="168">
        <v>2057</v>
      </c>
      <c r="H2060" s="183">
        <f t="shared" ca="1" si="68"/>
        <v>-9.0497305985827482E-3</v>
      </c>
      <c r="K2060" s="36"/>
    </row>
    <row r="2061" spans="2:11">
      <c r="B2061" s="36">
        <v>43377</v>
      </c>
      <c r="C2061" s="182">
        <v>1349.9</v>
      </c>
      <c r="D2061" s="182">
        <f t="shared" si="67"/>
        <v>1.6567512613901648E-2</v>
      </c>
      <c r="E2061" s="182">
        <v>-7.2676933725556881E-3</v>
      </c>
      <c r="F2061" s="168"/>
      <c r="G2061" s="168">
        <v>2058</v>
      </c>
      <c r="H2061" s="183">
        <f t="shared" ca="1" si="68"/>
        <v>-2.4163928335480499E-4</v>
      </c>
      <c r="K2061" s="36"/>
    </row>
    <row r="2062" spans="2:11">
      <c r="B2062" s="36">
        <v>43347</v>
      </c>
      <c r="C2062" s="182">
        <v>1327.9</v>
      </c>
      <c r="D2062" s="182">
        <f t="shared" si="67"/>
        <v>8.6210170521439644E-3</v>
      </c>
      <c r="E2062" s="182">
        <v>-7.2682093492778665E-3</v>
      </c>
      <c r="F2062" s="168"/>
      <c r="G2062" s="168">
        <v>2059</v>
      </c>
      <c r="H2062" s="183">
        <f t="shared" ca="1" si="68"/>
        <v>5.6984438259422513E-3</v>
      </c>
      <c r="K2062" s="36"/>
    </row>
    <row r="2063" spans="2:11">
      <c r="B2063" s="36">
        <v>43255</v>
      </c>
      <c r="C2063" s="182">
        <v>1316.55</v>
      </c>
      <c r="D2063" s="182">
        <f t="shared" si="67"/>
        <v>-9.2188440698374469E-3</v>
      </c>
      <c r="E2063" s="182">
        <v>-7.2695744964653133E-3</v>
      </c>
      <c r="F2063" s="168"/>
      <c r="G2063" s="168">
        <v>2060</v>
      </c>
      <c r="H2063" s="183">
        <f t="shared" ca="1" si="68"/>
        <v>5.5716269607463779E-3</v>
      </c>
      <c r="K2063" s="36"/>
    </row>
    <row r="2064" spans="2:11">
      <c r="B2064" s="36">
        <v>43224</v>
      </c>
      <c r="C2064" s="182">
        <v>1328.8</v>
      </c>
      <c r="D2064" s="182">
        <f t="shared" si="67"/>
        <v>2.5189985726960507E-2</v>
      </c>
      <c r="E2064" s="182">
        <v>-7.2765072765073411E-3</v>
      </c>
      <c r="F2064" s="168"/>
      <c r="G2064" s="168">
        <v>2061</v>
      </c>
      <c r="H2064" s="183">
        <f t="shared" ca="1" si="68"/>
        <v>8.4911020766055556E-3</v>
      </c>
      <c r="K2064" s="36"/>
    </row>
    <row r="2065" spans="2:11">
      <c r="B2065" s="36">
        <v>43194</v>
      </c>
      <c r="C2065" s="182">
        <v>1296.1500000000001</v>
      </c>
      <c r="D2065" s="182">
        <f t="shared" si="67"/>
        <v>-2.5744137101623571E-2</v>
      </c>
      <c r="E2065" s="182">
        <v>-7.2819702538385843E-3</v>
      </c>
      <c r="F2065" s="168"/>
      <c r="G2065" s="168">
        <v>2062</v>
      </c>
      <c r="H2065" s="183">
        <f t="shared" ca="1" si="68"/>
        <v>1.2869324984480499E-2</v>
      </c>
      <c r="K2065" s="36"/>
    </row>
    <row r="2066" spans="2:11">
      <c r="B2066" s="36">
        <v>43163</v>
      </c>
      <c r="C2066" s="182">
        <v>1330.4</v>
      </c>
      <c r="D2066" s="182">
        <f t="shared" si="67"/>
        <v>-4.154347093828328E-3</v>
      </c>
      <c r="E2066" s="182">
        <v>-7.2901292544390092E-3</v>
      </c>
      <c r="F2066" s="168"/>
      <c r="G2066" s="168">
        <v>2063</v>
      </c>
      <c r="H2066" s="183">
        <f t="shared" ca="1" si="68"/>
        <v>1.8003234593476518E-2</v>
      </c>
      <c r="K2066" s="36"/>
    </row>
    <row r="2067" spans="2:11">
      <c r="B2067" s="36">
        <v>43135</v>
      </c>
      <c r="C2067" s="182">
        <v>1335.95</v>
      </c>
      <c r="D2067" s="182">
        <f t="shared" si="67"/>
        <v>1.910900907773282E-2</v>
      </c>
      <c r="E2067" s="182">
        <v>-7.298905164225245E-3</v>
      </c>
      <c r="F2067" s="168"/>
      <c r="G2067" s="168">
        <v>2064</v>
      </c>
      <c r="H2067" s="183">
        <f t="shared" ca="1" si="68"/>
        <v>3.1502706942071858E-4</v>
      </c>
      <c r="K2067" s="36"/>
    </row>
    <row r="2068" spans="2:11">
      <c r="B2068" s="36" t="s">
        <v>9840</v>
      </c>
      <c r="C2068" s="182">
        <v>1310.9</v>
      </c>
      <c r="D2068" s="182">
        <f t="shared" si="67"/>
        <v>2.5620435165004296E-3</v>
      </c>
      <c r="E2068" s="182">
        <v>-7.3136013351003488E-3</v>
      </c>
      <c r="F2068" s="168"/>
      <c r="G2068" s="168">
        <v>2065</v>
      </c>
      <c r="H2068" s="183">
        <f t="shared" ca="1" si="68"/>
        <v>1.0541825087281973E-2</v>
      </c>
      <c r="K2068" s="36"/>
    </row>
    <row r="2069" spans="2:11">
      <c r="B2069" s="36" t="s">
        <v>9841</v>
      </c>
      <c r="C2069" s="182">
        <v>1307.55</v>
      </c>
      <c r="D2069" s="182">
        <f t="shared" si="67"/>
        <v>7.8233389856635291E-3</v>
      </c>
      <c r="E2069" s="182">
        <v>-7.3160797092367185E-3</v>
      </c>
      <c r="F2069" s="168"/>
      <c r="G2069" s="168">
        <v>2066</v>
      </c>
      <c r="H2069" s="183">
        <f t="shared" ca="1" si="68"/>
        <v>-1.4307955989742091E-2</v>
      </c>
      <c r="K2069" s="36"/>
    </row>
    <row r="2070" spans="2:11">
      <c r="B2070" s="36" t="s">
        <v>9842</v>
      </c>
      <c r="C2070" s="182">
        <v>1297.4000000000001</v>
      </c>
      <c r="D2070" s="182">
        <f t="shared" si="67"/>
        <v>2.3266819149775218E-2</v>
      </c>
      <c r="E2070" s="182">
        <v>-7.3299228831030004E-3</v>
      </c>
      <c r="F2070" s="168"/>
      <c r="G2070" s="168">
        <v>2067</v>
      </c>
      <c r="H2070" s="183">
        <f t="shared" ca="1" si="68"/>
        <v>-6.2955886123609037E-3</v>
      </c>
      <c r="K2070" s="36"/>
    </row>
    <row r="2071" spans="2:11">
      <c r="B2071" s="36" t="s">
        <v>9843</v>
      </c>
      <c r="C2071" s="182">
        <v>1267.9000000000001</v>
      </c>
      <c r="D2071" s="182">
        <f t="shared" si="67"/>
        <v>-2.1870781099324905E-2</v>
      </c>
      <c r="E2071" s="182">
        <v>-7.3334646789693743E-3</v>
      </c>
      <c r="F2071" s="168"/>
      <c r="G2071" s="168">
        <v>2068</v>
      </c>
      <c r="H2071" s="183">
        <f t="shared" ca="1" si="68"/>
        <v>7.0061544488293909E-3</v>
      </c>
      <c r="K2071" s="36"/>
    </row>
    <row r="2072" spans="2:11">
      <c r="B2072" s="36" t="s">
        <v>9844</v>
      </c>
      <c r="C2072" s="182">
        <v>1296.25</v>
      </c>
      <c r="D2072" s="182">
        <f t="shared" si="67"/>
        <v>-1.0004964295260939E-2</v>
      </c>
      <c r="E2072" s="182">
        <v>-7.3388640714740902E-3</v>
      </c>
      <c r="F2072" s="168"/>
      <c r="G2072" s="168">
        <v>2069</v>
      </c>
      <c r="H2072" s="183">
        <f t="shared" ca="1" si="68"/>
        <v>1.1171001124872988E-3</v>
      </c>
      <c r="K2072" s="36"/>
    </row>
    <row r="2073" spans="2:11">
      <c r="B2073" s="36" t="s">
        <v>9845</v>
      </c>
      <c r="C2073" s="182">
        <v>1309.3499999999999</v>
      </c>
      <c r="D2073" s="182">
        <f t="shared" si="67"/>
        <v>1.2253575570158414E-2</v>
      </c>
      <c r="E2073" s="182">
        <v>-7.3409461663946794E-3</v>
      </c>
      <c r="F2073" s="168"/>
      <c r="G2073" s="168">
        <v>2070</v>
      </c>
      <c r="H2073" s="183">
        <f t="shared" ca="1" si="68"/>
        <v>-1.3960994697940793E-2</v>
      </c>
      <c r="K2073" s="36"/>
    </row>
    <row r="2074" spans="2:11">
      <c r="B2074" s="36" t="s">
        <v>9846</v>
      </c>
      <c r="C2074" s="182">
        <v>1293.5</v>
      </c>
      <c r="D2074" s="182">
        <f t="shared" si="67"/>
        <v>1.090227032941272E-2</v>
      </c>
      <c r="E2074" s="182">
        <v>-7.3669958585536799E-3</v>
      </c>
      <c r="F2074" s="168"/>
      <c r="G2074" s="168">
        <v>2071</v>
      </c>
      <c r="H2074" s="183">
        <f t="shared" ca="1" si="68"/>
        <v>2.1052712005327021E-3</v>
      </c>
      <c r="K2074" s="36"/>
    </row>
    <row r="2075" spans="2:11">
      <c r="B2075" s="36" t="s">
        <v>9847</v>
      </c>
      <c r="C2075" s="182">
        <v>1279.55</v>
      </c>
      <c r="D2075" s="182">
        <f t="shared" si="67"/>
        <v>8.0753171039155448E-3</v>
      </c>
      <c r="E2075" s="182">
        <v>-7.3838792178861634E-3</v>
      </c>
      <c r="F2075" s="168"/>
      <c r="G2075" s="168">
        <v>2072</v>
      </c>
      <c r="H2075" s="183">
        <f t="shared" ca="1" si="68"/>
        <v>1.7812465910497774E-2</v>
      </c>
      <c r="K2075" s="36"/>
    </row>
    <row r="2076" spans="2:11">
      <c r="B2076" s="36" t="s">
        <v>9848</v>
      </c>
      <c r="C2076" s="182">
        <v>1269.3</v>
      </c>
      <c r="D2076" s="182">
        <f t="shared" si="67"/>
        <v>-1.992124160296499E-2</v>
      </c>
      <c r="E2076" s="182">
        <v>-7.3941954699729548E-3</v>
      </c>
      <c r="F2076" s="168"/>
      <c r="G2076" s="168">
        <v>2073</v>
      </c>
      <c r="H2076" s="183">
        <f t="shared" ca="1" si="68"/>
        <v>2.5186752940471294E-2</v>
      </c>
      <c r="K2076" s="36"/>
    </row>
    <row r="2077" spans="2:11">
      <c r="B2077" s="36" t="s">
        <v>9849</v>
      </c>
      <c r="C2077" s="182">
        <v>1295.0999999999999</v>
      </c>
      <c r="D2077" s="182">
        <f t="shared" si="67"/>
        <v>-6.2535967772876198E-3</v>
      </c>
      <c r="E2077" s="182">
        <v>-7.3949039466280845E-3</v>
      </c>
      <c r="F2077" s="168"/>
      <c r="G2077" s="168">
        <v>2074</v>
      </c>
      <c r="H2077" s="183">
        <f t="shared" ca="1" si="68"/>
        <v>-1.8627439148076744E-2</v>
      </c>
      <c r="K2077" s="36"/>
    </row>
    <row r="2078" spans="2:11">
      <c r="B2078" s="36" t="s">
        <v>9850</v>
      </c>
      <c r="C2078" s="182">
        <v>1303.25</v>
      </c>
      <c r="D2078" s="182">
        <f t="shared" si="67"/>
        <v>3.8380349261178274E-4</v>
      </c>
      <c r="E2078" s="182">
        <v>-7.4150787075393911E-3</v>
      </c>
      <c r="F2078" s="168"/>
      <c r="G2078" s="168">
        <v>2075</v>
      </c>
      <c r="H2078" s="183">
        <f t="shared" ca="1" si="68"/>
        <v>2.455719591551362E-2</v>
      </c>
      <c r="K2078" s="36"/>
    </row>
    <row r="2079" spans="2:11">
      <c r="B2079" s="36" t="s">
        <v>9851</v>
      </c>
      <c r="C2079" s="182">
        <v>1302.75</v>
      </c>
      <c r="D2079" s="182">
        <f t="shared" si="67"/>
        <v>-5.5723064005190294E-3</v>
      </c>
      <c r="E2079" s="182">
        <v>-7.418397626112759E-3</v>
      </c>
      <c r="F2079" s="168"/>
      <c r="G2079" s="168">
        <v>2076</v>
      </c>
      <c r="H2079" s="183">
        <f t="shared" ca="1" si="68"/>
        <v>-1.040600240466729E-2</v>
      </c>
      <c r="K2079" s="36"/>
    </row>
    <row r="2080" spans="2:11">
      <c r="B2080" s="36">
        <v>43437</v>
      </c>
      <c r="C2080" s="182">
        <v>1310.05</v>
      </c>
      <c r="D2080" s="182">
        <f t="shared" si="67"/>
        <v>1.5149166989538903E-2</v>
      </c>
      <c r="E2080" s="182">
        <v>-7.4276843985244777E-3</v>
      </c>
      <c r="F2080" s="168"/>
      <c r="G2080" s="168">
        <v>2077</v>
      </c>
      <c r="H2080" s="183">
        <f t="shared" ca="1" si="68"/>
        <v>-7.1290929282020231E-3</v>
      </c>
      <c r="K2080" s="36"/>
    </row>
    <row r="2081" spans="2:11">
      <c r="B2081" s="36">
        <v>43346</v>
      </c>
      <c r="C2081" s="182">
        <v>1290.5</v>
      </c>
      <c r="D2081" s="182">
        <f t="shared" si="67"/>
        <v>5.2188814457080901E-3</v>
      </c>
      <c r="E2081" s="182">
        <v>-7.4517212426532956E-3</v>
      </c>
      <c r="F2081" s="168"/>
      <c r="G2081" s="168">
        <v>2078</v>
      </c>
      <c r="H2081" s="183">
        <f t="shared" ca="1" si="68"/>
        <v>-3.4635799963720999E-3</v>
      </c>
      <c r="K2081" s="36"/>
    </row>
    <row r="2082" spans="2:11">
      <c r="B2082" s="36">
        <v>43315</v>
      </c>
      <c r="C2082" s="182">
        <v>1283.8</v>
      </c>
      <c r="D2082" s="182">
        <f t="shared" si="67"/>
        <v>1.6227341090793952E-2</v>
      </c>
      <c r="E2082" s="182">
        <v>-7.4652093075666228E-3</v>
      </c>
      <c r="F2082" s="168"/>
      <c r="G2082" s="168">
        <v>2079</v>
      </c>
      <c r="H2082" s="183">
        <f t="shared" ca="1" si="68"/>
        <v>-2.9135987371255688E-4</v>
      </c>
      <c r="K2082" s="36"/>
    </row>
    <row r="2083" spans="2:11">
      <c r="B2083" s="36">
        <v>43284</v>
      </c>
      <c r="C2083" s="182">
        <v>1263.3</v>
      </c>
      <c r="D2083" s="182">
        <f t="shared" si="67"/>
        <v>-1.5661524076671447E-2</v>
      </c>
      <c r="E2083" s="182">
        <v>-7.4756160164271626E-3</v>
      </c>
      <c r="F2083" s="168"/>
      <c r="G2083" s="168">
        <v>2080</v>
      </c>
      <c r="H2083" s="183">
        <f t="shared" ca="1" si="68"/>
        <v>-1.4978102330649445E-3</v>
      </c>
      <c r="K2083" s="36"/>
    </row>
    <row r="2084" spans="2:11">
      <c r="B2084" s="36">
        <v>43254</v>
      </c>
      <c r="C2084" s="182">
        <v>1283.4000000000001</v>
      </c>
      <c r="D2084" s="182">
        <f t="shared" si="67"/>
        <v>-1.3300530483585727E-2</v>
      </c>
      <c r="E2084" s="182">
        <v>-7.5102504770023946E-3</v>
      </c>
      <c r="F2084" s="168"/>
      <c r="G2084" s="168">
        <v>2081</v>
      </c>
      <c r="H2084" s="183">
        <f t="shared" ca="1" si="68"/>
        <v>-1.4798347393541522E-2</v>
      </c>
      <c r="K2084" s="36"/>
    </row>
    <row r="2085" spans="2:11">
      <c r="B2085" s="36">
        <v>43223</v>
      </c>
      <c r="C2085" s="182">
        <v>1300.7</v>
      </c>
      <c r="D2085" s="182">
        <f t="shared" si="67"/>
        <v>-1.1024939172749392E-2</v>
      </c>
      <c r="E2085" s="182">
        <v>-7.5183219610815413E-3</v>
      </c>
      <c r="F2085" s="168"/>
      <c r="G2085" s="168">
        <v>2082</v>
      </c>
      <c r="H2085" s="183">
        <f t="shared" ca="1" si="68"/>
        <v>1.7380921229716718E-2</v>
      </c>
      <c r="K2085" s="36"/>
    </row>
    <row r="2086" spans="2:11">
      <c r="B2086" s="36">
        <v>43103</v>
      </c>
      <c r="C2086" s="182">
        <v>1315.2</v>
      </c>
      <c r="D2086" s="182">
        <f t="shared" si="67"/>
        <v>-2.2379850548117021E-3</v>
      </c>
      <c r="E2086" s="182">
        <v>-7.5361736334405138E-3</v>
      </c>
      <c r="F2086" s="168"/>
      <c r="G2086" s="168">
        <v>2083</v>
      </c>
      <c r="H2086" s="183">
        <f t="shared" ca="1" si="68"/>
        <v>-7.6594291387278622E-3</v>
      </c>
      <c r="K2086" s="36"/>
    </row>
    <row r="2087" spans="2:11">
      <c r="B2087" s="36" t="s">
        <v>9852</v>
      </c>
      <c r="C2087" s="182">
        <v>1318.15</v>
      </c>
      <c r="D2087" s="182">
        <f t="shared" si="67"/>
        <v>-1.4909199611389149E-2</v>
      </c>
      <c r="E2087" s="182">
        <v>-7.5640031031808264E-3</v>
      </c>
      <c r="F2087" s="168"/>
      <c r="G2087" s="168">
        <v>2084</v>
      </c>
      <c r="H2087" s="183">
        <f t="shared" ca="1" si="68"/>
        <v>-9.5022780049832424E-3</v>
      </c>
      <c r="K2087" s="36"/>
    </row>
    <row r="2088" spans="2:11">
      <c r="B2088" s="36" t="s">
        <v>9853</v>
      </c>
      <c r="C2088" s="182">
        <v>1338.1</v>
      </c>
      <c r="D2088" s="182">
        <f t="shared" si="67"/>
        <v>-4.5750418448949901E-3</v>
      </c>
      <c r="E2088" s="182">
        <v>-7.5892256898277763E-3</v>
      </c>
      <c r="F2088" s="168"/>
      <c r="G2088" s="168">
        <v>2085</v>
      </c>
      <c r="H2088" s="183">
        <f t="shared" ca="1" si="68"/>
        <v>-7.9099934926480549E-3</v>
      </c>
      <c r="K2088" s="36"/>
    </row>
    <row r="2089" spans="2:11">
      <c r="B2089" s="36" t="s">
        <v>9854</v>
      </c>
      <c r="C2089" s="182">
        <v>1344.25</v>
      </c>
      <c r="D2089" s="182">
        <f t="shared" si="67"/>
        <v>3.2688023354075404E-2</v>
      </c>
      <c r="E2089" s="182">
        <v>-7.6019350380097037E-3</v>
      </c>
      <c r="F2089" s="168"/>
      <c r="G2089" s="168">
        <v>2086</v>
      </c>
      <c r="H2089" s="183">
        <f t="shared" ca="1" si="68"/>
        <v>8.2092138062893529E-3</v>
      </c>
      <c r="K2089" s="36"/>
    </row>
    <row r="2090" spans="2:11">
      <c r="B2090" s="36" t="s">
        <v>9855</v>
      </c>
      <c r="C2090" s="182">
        <v>1301.7</v>
      </c>
      <c r="D2090" s="182">
        <f t="shared" si="67"/>
        <v>7.5077399380805302E-3</v>
      </c>
      <c r="E2090" s="182">
        <v>-7.6086032474709225E-3</v>
      </c>
      <c r="F2090" s="168"/>
      <c r="G2090" s="168">
        <v>2087</v>
      </c>
      <c r="H2090" s="183">
        <f t="shared" ca="1" si="68"/>
        <v>-3.855770659732651E-3</v>
      </c>
      <c r="K2090" s="36"/>
    </row>
    <row r="2091" spans="2:11">
      <c r="B2091" s="36" t="s">
        <v>9856</v>
      </c>
      <c r="C2091" s="182">
        <v>1292</v>
      </c>
      <c r="D2091" s="182">
        <f t="shared" si="67"/>
        <v>7.1718116619894339E-3</v>
      </c>
      <c r="E2091" s="182">
        <v>-7.625172255397294E-3</v>
      </c>
      <c r="F2091" s="168"/>
      <c r="G2091" s="168">
        <v>2088</v>
      </c>
      <c r="H2091" s="183">
        <f t="shared" ca="1" si="68"/>
        <v>1.9764565271978177E-2</v>
      </c>
      <c r="K2091" s="36"/>
    </row>
    <row r="2092" spans="2:11">
      <c r="B2092" s="36" t="s">
        <v>9857</v>
      </c>
      <c r="C2092" s="182">
        <v>1282.8</v>
      </c>
      <c r="D2092" s="182">
        <f t="shared" si="67"/>
        <v>-6.0437006043700253E-3</v>
      </c>
      <c r="E2092" s="182">
        <v>-7.6362833811520099E-3</v>
      </c>
      <c r="F2092" s="168"/>
      <c r="G2092" s="168">
        <v>2089</v>
      </c>
      <c r="H2092" s="183">
        <f t="shared" ca="1" si="68"/>
        <v>-4.6393528561014591E-3</v>
      </c>
      <c r="K2092" s="36"/>
    </row>
    <row r="2093" spans="2:11">
      <c r="B2093" s="36" t="s">
        <v>9858</v>
      </c>
      <c r="C2093" s="182">
        <v>1290.5999999999999</v>
      </c>
      <c r="D2093" s="182">
        <f t="shared" si="67"/>
        <v>-3.782323427248237E-3</v>
      </c>
      <c r="E2093" s="182">
        <v>-7.6672734293122017E-3</v>
      </c>
      <c r="F2093" s="168"/>
      <c r="G2093" s="168">
        <v>2090</v>
      </c>
      <c r="H2093" s="183">
        <f t="shared" ca="1" si="68"/>
        <v>1.2592940393343577E-2</v>
      </c>
      <c r="K2093" s="36"/>
    </row>
    <row r="2094" spans="2:11">
      <c r="B2094" s="36" t="s">
        <v>9859</v>
      </c>
      <c r="C2094" s="182">
        <v>1295.5</v>
      </c>
      <c r="D2094" s="182">
        <f t="shared" si="67"/>
        <v>-2.4766636555254507E-2</v>
      </c>
      <c r="E2094" s="182">
        <v>-7.6705309272643886E-3</v>
      </c>
      <c r="F2094" s="168"/>
      <c r="G2094" s="168">
        <v>2091</v>
      </c>
      <c r="H2094" s="183">
        <f t="shared" ca="1" si="68"/>
        <v>3.0439532647790562E-3</v>
      </c>
      <c r="K2094" s="36"/>
    </row>
    <row r="2095" spans="2:11">
      <c r="B2095" s="36" t="s">
        <v>9860</v>
      </c>
      <c r="C2095" s="182">
        <v>1328.4</v>
      </c>
      <c r="D2095" s="182">
        <f t="shared" si="67"/>
        <v>-1.6255044988336225E-2</v>
      </c>
      <c r="E2095" s="182">
        <v>-7.7002152956921113E-3</v>
      </c>
      <c r="F2095" s="168"/>
      <c r="G2095" s="168">
        <v>2092</v>
      </c>
      <c r="H2095" s="183">
        <f t="shared" ca="1" si="68"/>
        <v>1.4287817737640131E-2</v>
      </c>
      <c r="K2095" s="36"/>
    </row>
    <row r="2096" spans="2:11">
      <c r="B2096" s="36" t="s">
        <v>9861</v>
      </c>
      <c r="C2096" s="182">
        <v>1350.35</v>
      </c>
      <c r="D2096" s="182">
        <f t="shared" si="67"/>
        <v>-7.9709080223333353E-3</v>
      </c>
      <c r="E2096" s="182">
        <v>-7.7027639329406115E-3</v>
      </c>
      <c r="F2096" s="168"/>
      <c r="G2096" s="168">
        <v>2093</v>
      </c>
      <c r="H2096" s="183">
        <f t="shared" ca="1" si="68"/>
        <v>5.1000042934391627E-3</v>
      </c>
      <c r="K2096" s="36"/>
    </row>
    <row r="2097" spans="2:11">
      <c r="B2097" s="36" t="s">
        <v>9862</v>
      </c>
      <c r="C2097" s="182">
        <v>1361.2</v>
      </c>
      <c r="D2097" s="182">
        <f t="shared" si="67"/>
        <v>7.9229914846353534E-3</v>
      </c>
      <c r="E2097" s="182">
        <v>-7.7182653647329125E-3</v>
      </c>
      <c r="F2097" s="168"/>
      <c r="G2097" s="168">
        <v>2094</v>
      </c>
      <c r="H2097" s="183">
        <f t="shared" ca="1" si="68"/>
        <v>3.217232499193895E-2</v>
      </c>
      <c r="K2097" s="36"/>
    </row>
    <row r="2098" spans="2:11">
      <c r="B2098" s="36">
        <v>43436</v>
      </c>
      <c r="C2098" s="182">
        <v>1350.5</v>
      </c>
      <c r="D2098" s="182">
        <f t="shared" si="67"/>
        <v>1.5986458529245816E-2</v>
      </c>
      <c r="E2098" s="182">
        <v>-7.7237028244361702E-3</v>
      </c>
      <c r="F2098" s="168"/>
      <c r="G2098" s="168">
        <v>2095</v>
      </c>
      <c r="H2098" s="183">
        <f t="shared" ca="1" si="68"/>
        <v>8.5377515758315332E-3</v>
      </c>
      <c r="K2098" s="36"/>
    </row>
    <row r="2099" spans="2:11">
      <c r="B2099" s="36">
        <v>43345</v>
      </c>
      <c r="C2099" s="182">
        <v>1329.25</v>
      </c>
      <c r="D2099" s="182">
        <f t="shared" si="67"/>
        <v>-1.347038741279508E-2</v>
      </c>
      <c r="E2099" s="182">
        <v>-7.7336529909902947E-3</v>
      </c>
      <c r="F2099" s="168"/>
      <c r="G2099" s="168">
        <v>2096</v>
      </c>
      <c r="H2099" s="183">
        <f t="shared" ca="1" si="68"/>
        <v>1.8636921296958806E-2</v>
      </c>
      <c r="K2099" s="36"/>
    </row>
    <row r="2100" spans="2:11">
      <c r="B2100" s="36">
        <v>43314</v>
      </c>
      <c r="C2100" s="182">
        <v>1347.4</v>
      </c>
      <c r="D2100" s="182">
        <f t="shared" si="67"/>
        <v>1.0234301780693601E-2</v>
      </c>
      <c r="E2100" s="182">
        <v>-7.7562680540703578E-3</v>
      </c>
      <c r="F2100" s="168"/>
      <c r="G2100" s="168">
        <v>2097</v>
      </c>
      <c r="H2100" s="183">
        <f t="shared" ca="1" si="68"/>
        <v>5.250477841169842E-3</v>
      </c>
      <c r="K2100" s="36"/>
    </row>
    <row r="2101" spans="2:11">
      <c r="B2101" s="36">
        <v>43283</v>
      </c>
      <c r="C2101" s="182">
        <v>1333.75</v>
      </c>
      <c r="D2101" s="182">
        <f t="shared" si="67"/>
        <v>-1.4264070063929607E-2</v>
      </c>
      <c r="E2101" s="182">
        <v>-7.76808330987895E-3</v>
      </c>
      <c r="F2101" s="168"/>
      <c r="G2101" s="168">
        <v>2098</v>
      </c>
      <c r="H2101" s="183">
        <f t="shared" ca="1" si="68"/>
        <v>-5.4758570266818232E-3</v>
      </c>
      <c r="K2101" s="36"/>
    </row>
    <row r="2102" spans="2:11">
      <c r="B2102" s="36">
        <v>43253</v>
      </c>
      <c r="C2102" s="182">
        <v>1353.05</v>
      </c>
      <c r="D2102" s="182">
        <f t="shared" si="67"/>
        <v>-7.773255600777425E-3</v>
      </c>
      <c r="E2102" s="182">
        <v>-7.7877620881471191E-3</v>
      </c>
      <c r="F2102" s="168"/>
      <c r="G2102" s="168">
        <v>2099</v>
      </c>
      <c r="H2102" s="183">
        <f t="shared" ca="1" si="68"/>
        <v>7.592605730053493E-3</v>
      </c>
      <c r="K2102" s="36"/>
    </row>
    <row r="2103" spans="2:11">
      <c r="B2103" s="36">
        <v>43222</v>
      </c>
      <c r="C2103" s="182">
        <v>1363.65</v>
      </c>
      <c r="D2103" s="182">
        <f t="shared" si="67"/>
        <v>-3.6596135504609807E-2</v>
      </c>
      <c r="E2103" s="182">
        <v>-7.7911079745941877E-3</v>
      </c>
      <c r="F2103" s="168"/>
      <c r="G2103" s="168">
        <v>2100</v>
      </c>
      <c r="H2103" s="183">
        <f t="shared" ca="1" si="68"/>
        <v>3.7181175786033921E-3</v>
      </c>
      <c r="K2103" s="36"/>
    </row>
    <row r="2104" spans="2:11">
      <c r="B2104" s="36">
        <v>43133</v>
      </c>
      <c r="C2104" s="182">
        <v>1415.45</v>
      </c>
      <c r="D2104" s="182">
        <f t="shared" si="67"/>
        <v>-2.7583127232756161E-2</v>
      </c>
      <c r="E2104" s="182">
        <v>-7.8047336026564945E-3</v>
      </c>
      <c r="F2104" s="168"/>
      <c r="G2104" s="168">
        <v>2101</v>
      </c>
      <c r="H2104" s="183">
        <f t="shared" ca="1" si="68"/>
        <v>1.658608658893332E-3</v>
      </c>
      <c r="K2104" s="36"/>
    </row>
    <row r="2105" spans="2:11">
      <c r="B2105" s="36">
        <v>43102</v>
      </c>
      <c r="C2105" s="182">
        <v>1455.6</v>
      </c>
      <c r="D2105" s="182">
        <f t="shared" si="67"/>
        <v>2.7603247440875334E-2</v>
      </c>
      <c r="E2105" s="182">
        <v>-7.8148838786235575E-3</v>
      </c>
      <c r="F2105" s="168"/>
      <c r="G2105" s="168">
        <v>2102</v>
      </c>
      <c r="H2105" s="183">
        <f t="shared" ca="1" si="68"/>
        <v>1.2310734755031146E-2</v>
      </c>
      <c r="K2105" s="36"/>
    </row>
    <row r="2106" spans="2:11">
      <c r="B2106" s="36" t="s">
        <v>9863</v>
      </c>
      <c r="C2106" s="182">
        <v>1416.5</v>
      </c>
      <c r="D2106" s="182">
        <f t="shared" si="67"/>
        <v>-9.3712847052242042E-3</v>
      </c>
      <c r="E2106" s="182">
        <v>-7.8663151628539842E-3</v>
      </c>
      <c r="F2106" s="168"/>
      <c r="G2106" s="168">
        <v>2103</v>
      </c>
      <c r="H2106" s="183">
        <f t="shared" ca="1" si="68"/>
        <v>5.6236171439644437E-3</v>
      </c>
      <c r="K2106" s="36"/>
    </row>
    <row r="2107" spans="2:11">
      <c r="B2107" s="36" t="s">
        <v>9864</v>
      </c>
      <c r="C2107" s="182">
        <v>1429.9</v>
      </c>
      <c r="D2107" s="182">
        <f t="shared" si="67"/>
        <v>-1.4316142323404829E-3</v>
      </c>
      <c r="E2107" s="182">
        <v>-7.877806468554422E-3</v>
      </c>
      <c r="F2107" s="168"/>
      <c r="G2107" s="168">
        <v>2104</v>
      </c>
      <c r="H2107" s="183">
        <f t="shared" ca="1" si="68"/>
        <v>-1.8684035620315448E-3</v>
      </c>
      <c r="K2107" s="36"/>
    </row>
    <row r="2108" spans="2:11">
      <c r="B2108" s="36" t="s">
        <v>9865</v>
      </c>
      <c r="C2108" s="182">
        <v>1431.95</v>
      </c>
      <c r="D2108" s="182">
        <f t="shared" si="67"/>
        <v>1.0907165548888136E-2</v>
      </c>
      <c r="E2108" s="182">
        <v>-7.9155672823220044E-3</v>
      </c>
      <c r="F2108" s="168"/>
      <c r="G2108" s="168">
        <v>2105</v>
      </c>
      <c r="H2108" s="183">
        <f t="shared" ca="1" si="68"/>
        <v>-1.6269288377444402E-2</v>
      </c>
      <c r="K2108" s="36"/>
    </row>
    <row r="2109" spans="2:11">
      <c r="B2109" s="36" t="s">
        <v>9866</v>
      </c>
      <c r="C2109" s="182">
        <v>1416.5</v>
      </c>
      <c r="D2109" s="182">
        <f t="shared" si="67"/>
        <v>1.09192121039109E-2</v>
      </c>
      <c r="E2109" s="182">
        <v>-7.9218780944836295E-3</v>
      </c>
      <c r="F2109" s="168"/>
      <c r="G2109" s="168">
        <v>2106</v>
      </c>
      <c r="H2109" s="183">
        <f t="shared" ca="1" si="68"/>
        <v>2.1220433065117908E-2</v>
      </c>
      <c r="K2109" s="36"/>
    </row>
    <row r="2110" spans="2:11">
      <c r="B2110" s="36" t="s">
        <v>9867</v>
      </c>
      <c r="C2110" s="182">
        <v>1401.2</v>
      </c>
      <c r="D2110" s="182">
        <f t="shared" si="67"/>
        <v>-6.7342454100801016E-3</v>
      </c>
      <c r="E2110" s="182">
        <v>-7.9368540403819358E-3</v>
      </c>
      <c r="F2110" s="168"/>
      <c r="G2110" s="168">
        <v>2107</v>
      </c>
      <c r="H2110" s="183">
        <f t="shared" ca="1" si="68"/>
        <v>1.0734447512796303E-2</v>
      </c>
      <c r="K2110" s="36"/>
    </row>
    <row r="2111" spans="2:11">
      <c r="B2111" s="36" t="s">
        <v>9868</v>
      </c>
      <c r="C2111" s="182">
        <v>1410.7</v>
      </c>
      <c r="D2111" s="182">
        <f t="shared" si="67"/>
        <v>8.4712442363370898E-3</v>
      </c>
      <c r="E2111" s="182">
        <v>-7.962282191193713E-3</v>
      </c>
      <c r="F2111" s="168"/>
      <c r="G2111" s="168">
        <v>2108</v>
      </c>
      <c r="H2111" s="183">
        <f t="shared" ca="1" si="68"/>
        <v>-1.7120155974909915E-2</v>
      </c>
      <c r="K2111" s="36"/>
    </row>
    <row r="2112" spans="2:11">
      <c r="B2112" s="36" t="s">
        <v>9869</v>
      </c>
      <c r="C2112" s="182">
        <v>1398.85</v>
      </c>
      <c r="D2112" s="182">
        <f t="shared" si="67"/>
        <v>1.997885449706505E-2</v>
      </c>
      <c r="E2112" s="182">
        <v>-7.986157327299348E-3</v>
      </c>
      <c r="F2112" s="168"/>
      <c r="G2112" s="168">
        <v>2109</v>
      </c>
      <c r="H2112" s="183">
        <f t="shared" ca="1" si="68"/>
        <v>1.5338661647331053E-2</v>
      </c>
      <c r="K2112" s="36"/>
    </row>
    <row r="2113" spans="2:11">
      <c r="B2113" s="36" t="s">
        <v>9870</v>
      </c>
      <c r="C2113" s="182">
        <v>1371.45</v>
      </c>
      <c r="D2113" s="182">
        <f t="shared" si="67"/>
        <v>7.8262786596120602E-3</v>
      </c>
      <c r="E2113" s="182">
        <v>-7.9977937120795199E-3</v>
      </c>
      <c r="F2113" s="168"/>
      <c r="G2113" s="168">
        <v>2110</v>
      </c>
      <c r="H2113" s="183">
        <f t="shared" ca="1" si="68"/>
        <v>-1.6781667273142193E-2</v>
      </c>
      <c r="K2113" s="36"/>
    </row>
    <row r="2114" spans="2:11">
      <c r="B2114" s="36" t="s">
        <v>9871</v>
      </c>
      <c r="C2114" s="182">
        <v>1360.8</v>
      </c>
      <c r="D2114" s="182">
        <f t="shared" si="67"/>
        <v>5.5048583145528105E-3</v>
      </c>
      <c r="E2114" s="182">
        <v>-8.0267083392527028E-3</v>
      </c>
      <c r="F2114" s="168"/>
      <c r="G2114" s="168">
        <v>2111</v>
      </c>
      <c r="H2114" s="183">
        <f t="shared" ca="1" si="68"/>
        <v>1.1487222941351589E-2</v>
      </c>
      <c r="K2114" s="36"/>
    </row>
    <row r="2115" spans="2:11">
      <c r="B2115" s="36" t="s">
        <v>9872</v>
      </c>
      <c r="C2115" s="182">
        <v>1353.35</v>
      </c>
      <c r="D2115" s="182">
        <f t="shared" si="67"/>
        <v>2.0472025335545062E-2</v>
      </c>
      <c r="E2115" s="182">
        <v>-8.0311890838206269E-3</v>
      </c>
      <c r="F2115" s="168"/>
      <c r="G2115" s="168">
        <v>2112</v>
      </c>
      <c r="H2115" s="183">
        <f t="shared" ca="1" si="68"/>
        <v>1.697294855832945E-2</v>
      </c>
      <c r="K2115" s="36"/>
    </row>
    <row r="2116" spans="2:11">
      <c r="B2116" s="36" t="s">
        <v>9873</v>
      </c>
      <c r="C2116" s="182">
        <v>1326.2</v>
      </c>
      <c r="D2116" s="182">
        <f t="shared" ref="D2116:D2179" si="69">(C2116-C2117)/C2117</f>
        <v>1.8854406274746409E-4</v>
      </c>
      <c r="E2116" s="182">
        <v>-8.0516581632654148E-3</v>
      </c>
      <c r="F2116" s="168"/>
      <c r="G2116" s="168">
        <v>2113</v>
      </c>
      <c r="H2116" s="183">
        <f t="shared" ca="1" si="68"/>
        <v>-2.7630066241963371E-3</v>
      </c>
      <c r="K2116" s="36"/>
    </row>
    <row r="2117" spans="2:11">
      <c r="B2117" s="36" t="s">
        <v>9874</v>
      </c>
      <c r="C2117" s="182">
        <v>1325.95</v>
      </c>
      <c r="D2117" s="182">
        <f t="shared" si="69"/>
        <v>-2.4075536997329463E-3</v>
      </c>
      <c r="E2117" s="182">
        <v>-8.0570189030060076E-3</v>
      </c>
      <c r="F2117" s="168"/>
      <c r="G2117" s="168">
        <v>2114</v>
      </c>
      <c r="H2117" s="183">
        <f t="shared" ref="H2117:H2180" ca="1" si="70">_xlfn.NORM.INV(RAND(),N$6,N$7)</f>
        <v>-1.4620047892799064E-3</v>
      </c>
      <c r="K2117" s="36"/>
    </row>
    <row r="2118" spans="2:11">
      <c r="B2118" s="36">
        <v>43435</v>
      </c>
      <c r="C2118" s="182">
        <v>1329.15</v>
      </c>
      <c r="D2118" s="182">
        <f t="shared" si="69"/>
        <v>4.2310452948510725E-3</v>
      </c>
      <c r="E2118" s="182">
        <v>-8.0662279770748347E-3</v>
      </c>
      <c r="F2118" s="168"/>
      <c r="G2118" s="168">
        <v>2115</v>
      </c>
      <c r="H2118" s="183">
        <f t="shared" ca="1" si="70"/>
        <v>1.6087057425670799E-2</v>
      </c>
      <c r="K2118" s="36"/>
    </row>
    <row r="2119" spans="2:11">
      <c r="B2119" s="36">
        <v>43405</v>
      </c>
      <c r="C2119" s="182">
        <v>1323.55</v>
      </c>
      <c r="D2119" s="182">
        <f t="shared" si="69"/>
        <v>-1.5108593012279166E-4</v>
      </c>
      <c r="E2119" s="182">
        <v>-8.1377452866487465E-3</v>
      </c>
      <c r="F2119" s="168"/>
      <c r="G2119" s="168">
        <v>2116</v>
      </c>
      <c r="H2119" s="183">
        <f t="shared" ca="1" si="70"/>
        <v>-1.8313292887004284E-2</v>
      </c>
      <c r="K2119" s="36"/>
    </row>
    <row r="2120" spans="2:11">
      <c r="B2120" s="36">
        <v>43374</v>
      </c>
      <c r="C2120" s="182">
        <v>1323.75</v>
      </c>
      <c r="D2120" s="182">
        <f t="shared" si="69"/>
        <v>-6.7529544175576814E-3</v>
      </c>
      <c r="E2120" s="182">
        <v>-8.1413652443256476E-3</v>
      </c>
      <c r="F2120" s="168"/>
      <c r="G2120" s="168">
        <v>2117</v>
      </c>
      <c r="H2120" s="183">
        <f t="shared" ca="1" si="70"/>
        <v>6.5456729744071233E-3</v>
      </c>
      <c r="K2120" s="36"/>
    </row>
    <row r="2121" spans="2:11">
      <c r="B2121" s="36">
        <v>43344</v>
      </c>
      <c r="C2121" s="182">
        <v>1332.75</v>
      </c>
      <c r="D2121" s="182">
        <f t="shared" si="69"/>
        <v>-4.1098449467588272E-3</v>
      </c>
      <c r="E2121" s="182">
        <v>-8.1492280662404121E-3</v>
      </c>
      <c r="F2121" s="168"/>
      <c r="G2121" s="168">
        <v>2118</v>
      </c>
      <c r="H2121" s="183">
        <f t="shared" ca="1" si="70"/>
        <v>-2.222793023608058E-3</v>
      </c>
      <c r="K2121" s="36"/>
    </row>
    <row r="2122" spans="2:11">
      <c r="B2122" s="36">
        <v>43313</v>
      </c>
      <c r="C2122" s="182">
        <v>1338.25</v>
      </c>
      <c r="D2122" s="182">
        <f t="shared" si="69"/>
        <v>1.7758004410981753E-2</v>
      </c>
      <c r="E2122" s="182">
        <v>-8.161343482696275E-3</v>
      </c>
      <c r="F2122" s="168"/>
      <c r="G2122" s="168">
        <v>2119</v>
      </c>
      <c r="H2122" s="183">
        <f t="shared" ca="1" si="70"/>
        <v>2.7514513935649045E-2</v>
      </c>
      <c r="K2122" s="36"/>
    </row>
    <row r="2123" spans="2:11">
      <c r="B2123" s="36">
        <v>43221</v>
      </c>
      <c r="C2123" s="182">
        <v>1314.9</v>
      </c>
      <c r="D2123" s="182">
        <f t="shared" si="69"/>
        <v>-6.0804134681154858E-4</v>
      </c>
      <c r="E2123" s="182">
        <v>-8.1650027087686369E-3</v>
      </c>
      <c r="F2123" s="168"/>
      <c r="G2123" s="168">
        <v>2120</v>
      </c>
      <c r="H2123" s="183">
        <f t="shared" ca="1" si="70"/>
        <v>-5.779848689790471E-3</v>
      </c>
      <c r="K2123" s="36"/>
    </row>
    <row r="2124" spans="2:11">
      <c r="B2124" s="36">
        <v>43191</v>
      </c>
      <c r="C2124" s="182">
        <v>1315.7</v>
      </c>
      <c r="D2124" s="182">
        <f t="shared" si="69"/>
        <v>3.1678820669646432E-2</v>
      </c>
      <c r="E2124" s="182">
        <v>-8.1650831353919234E-3</v>
      </c>
      <c r="F2124" s="168"/>
      <c r="G2124" s="168">
        <v>2121</v>
      </c>
      <c r="H2124" s="183">
        <f t="shared" ca="1" si="70"/>
        <v>3.0266855024106433E-3</v>
      </c>
      <c r="K2124" s="36"/>
    </row>
    <row r="2125" spans="2:11">
      <c r="B2125" s="36">
        <v>43160</v>
      </c>
      <c r="C2125" s="182">
        <v>1275.3</v>
      </c>
      <c r="D2125" s="182">
        <f t="shared" si="69"/>
        <v>2.0444088817763516E-2</v>
      </c>
      <c r="E2125" s="182">
        <v>-8.1929075718649488E-3</v>
      </c>
      <c r="F2125" s="168"/>
      <c r="G2125" s="168">
        <v>2122</v>
      </c>
      <c r="H2125" s="183">
        <f t="shared" ca="1" si="70"/>
        <v>2.830839455484397E-2</v>
      </c>
      <c r="K2125" s="36"/>
    </row>
    <row r="2126" spans="2:11">
      <c r="B2126" s="36">
        <v>43132</v>
      </c>
      <c r="C2126" s="182">
        <v>1249.75</v>
      </c>
      <c r="D2126" s="182">
        <f t="shared" si="69"/>
        <v>-8.685650828904613E-3</v>
      </c>
      <c r="E2126" s="182">
        <v>-8.2351489729195673E-3</v>
      </c>
      <c r="F2126" s="168"/>
      <c r="G2126" s="168">
        <v>2123</v>
      </c>
      <c r="H2126" s="183">
        <f t="shared" ca="1" si="70"/>
        <v>-2.0786027127708898E-2</v>
      </c>
      <c r="K2126" s="36"/>
    </row>
    <row r="2127" spans="2:11">
      <c r="B2127" s="36">
        <v>43101</v>
      </c>
      <c r="C2127" s="182">
        <v>1260.7</v>
      </c>
      <c r="D2127" s="182">
        <f t="shared" si="69"/>
        <v>1.9471488178025396E-3</v>
      </c>
      <c r="E2127" s="182">
        <v>-8.2403433476394075E-3</v>
      </c>
      <c r="F2127" s="168"/>
      <c r="G2127" s="168">
        <v>2124</v>
      </c>
      <c r="H2127" s="183">
        <f t="shared" ca="1" si="70"/>
        <v>-1.3165685151246564E-2</v>
      </c>
      <c r="K2127" s="36"/>
    </row>
    <row r="2128" spans="2:11">
      <c r="B2128" s="36" t="s">
        <v>9875</v>
      </c>
      <c r="C2128" s="182">
        <v>1258.25</v>
      </c>
      <c r="D2128" s="182">
        <f t="shared" si="69"/>
        <v>4.3903412492516461E-3</v>
      </c>
      <c r="E2128" s="182">
        <v>-8.2495333293189886E-3</v>
      </c>
      <c r="F2128" s="168"/>
      <c r="G2128" s="168">
        <v>2125</v>
      </c>
      <c r="H2128" s="183">
        <f t="shared" ca="1" si="70"/>
        <v>-3.2474794138359292E-3</v>
      </c>
      <c r="K2128" s="36"/>
    </row>
    <row r="2129" spans="2:11">
      <c r="B2129" s="36" t="s">
        <v>9876</v>
      </c>
      <c r="C2129" s="182">
        <v>1252.75</v>
      </c>
      <c r="D2129" s="182">
        <f t="shared" si="69"/>
        <v>-4.0545375044718441E-3</v>
      </c>
      <c r="E2129" s="182">
        <v>-8.2615085196805528E-3</v>
      </c>
      <c r="F2129" s="168"/>
      <c r="G2129" s="168">
        <v>2126</v>
      </c>
      <c r="H2129" s="183">
        <f t="shared" ca="1" si="70"/>
        <v>9.1662928291748429E-3</v>
      </c>
      <c r="K2129" s="36"/>
    </row>
    <row r="2130" spans="2:11">
      <c r="B2130" s="36" t="s">
        <v>9877</v>
      </c>
      <c r="C2130" s="182">
        <v>1257.8499999999999</v>
      </c>
      <c r="D2130" s="182">
        <f t="shared" si="69"/>
        <v>-9.3329132866032411E-3</v>
      </c>
      <c r="E2130" s="182">
        <v>-8.2796063793688802E-3</v>
      </c>
      <c r="F2130" s="168"/>
      <c r="G2130" s="168">
        <v>2127</v>
      </c>
      <c r="H2130" s="183">
        <f t="shared" ca="1" si="70"/>
        <v>1.60454748795376E-2</v>
      </c>
      <c r="K2130" s="36"/>
    </row>
    <row r="2131" spans="2:11">
      <c r="B2131" s="36" t="s">
        <v>9878</v>
      </c>
      <c r="C2131" s="182">
        <v>1269.7</v>
      </c>
      <c r="D2131" s="182">
        <f t="shared" si="69"/>
        <v>2.8037752241045328E-3</v>
      </c>
      <c r="E2131" s="182">
        <v>-8.3194675540765387E-3</v>
      </c>
      <c r="F2131" s="168"/>
      <c r="G2131" s="168">
        <v>2128</v>
      </c>
      <c r="H2131" s="183">
        <f t="shared" ca="1" si="70"/>
        <v>6.0818632151411322E-3</v>
      </c>
      <c r="K2131" s="36"/>
    </row>
    <row r="2132" spans="2:11">
      <c r="B2132" s="36" t="s">
        <v>9879</v>
      </c>
      <c r="C2132" s="182">
        <v>1266.1500000000001</v>
      </c>
      <c r="D2132" s="182">
        <f t="shared" si="69"/>
        <v>5.8388941849381445E-3</v>
      </c>
      <c r="E2132" s="182">
        <v>-8.3211804066226046E-3</v>
      </c>
      <c r="F2132" s="168"/>
      <c r="G2132" s="168">
        <v>2129</v>
      </c>
      <c r="H2132" s="183">
        <f t="shared" ca="1" si="70"/>
        <v>-7.6105310357710747E-3</v>
      </c>
      <c r="K2132" s="36"/>
    </row>
    <row r="2133" spans="2:11">
      <c r="B2133" s="36" t="s">
        <v>9880</v>
      </c>
      <c r="C2133" s="182">
        <v>1258.8</v>
      </c>
      <c r="D2133" s="182">
        <f t="shared" si="69"/>
        <v>2.1338742393509091E-2</v>
      </c>
      <c r="E2133" s="182">
        <v>-8.3248038212214576E-3</v>
      </c>
      <c r="F2133" s="168"/>
      <c r="G2133" s="168">
        <v>2130</v>
      </c>
      <c r="H2133" s="183">
        <f t="shared" ca="1" si="70"/>
        <v>-9.041242501444776E-3</v>
      </c>
      <c r="K2133" s="36"/>
    </row>
    <row r="2134" spans="2:11">
      <c r="B2134" s="36" t="s">
        <v>9881</v>
      </c>
      <c r="C2134" s="182">
        <v>1232.5</v>
      </c>
      <c r="D2134" s="182">
        <f t="shared" si="69"/>
        <v>1.0328715468480947E-2</v>
      </c>
      <c r="E2134" s="182">
        <v>-8.3447695781131998E-3</v>
      </c>
      <c r="F2134" s="168"/>
      <c r="G2134" s="168">
        <v>2131</v>
      </c>
      <c r="H2134" s="183">
        <f t="shared" ca="1" si="70"/>
        <v>1.6735009938736094E-2</v>
      </c>
      <c r="K2134" s="36"/>
    </row>
    <row r="2135" spans="2:11">
      <c r="B2135" s="36" t="s">
        <v>9882</v>
      </c>
      <c r="C2135" s="182">
        <v>1219.9000000000001</v>
      </c>
      <c r="D2135" s="182">
        <f t="shared" si="69"/>
        <v>1.6421709499958945E-3</v>
      </c>
      <c r="E2135" s="182">
        <v>-8.363286949713512E-3</v>
      </c>
      <c r="F2135" s="168"/>
      <c r="G2135" s="168">
        <v>2132</v>
      </c>
      <c r="H2135" s="183">
        <f t="shared" ca="1" si="70"/>
        <v>1.0774955073698659E-2</v>
      </c>
      <c r="K2135" s="36"/>
    </row>
    <row r="2136" spans="2:11">
      <c r="B2136" s="36" t="s">
        <v>9883</v>
      </c>
      <c r="C2136" s="182">
        <v>1217.9000000000001</v>
      </c>
      <c r="D2136" s="182">
        <f t="shared" si="69"/>
        <v>1.192306094470536E-2</v>
      </c>
      <c r="E2136" s="182">
        <v>-8.3665684064505724E-3</v>
      </c>
      <c r="F2136" s="168"/>
      <c r="G2136" s="168">
        <v>2133</v>
      </c>
      <c r="H2136" s="183">
        <f t="shared" ca="1" si="70"/>
        <v>2.0093323367341567E-2</v>
      </c>
      <c r="K2136" s="36"/>
    </row>
    <row r="2137" spans="2:11">
      <c r="B2137" s="36" t="s">
        <v>9884</v>
      </c>
      <c r="C2137" s="182">
        <v>1203.55</v>
      </c>
      <c r="D2137" s="182">
        <f t="shared" si="69"/>
        <v>1.2407469717362046E-2</v>
      </c>
      <c r="E2137" s="182">
        <v>-8.3752093802345051E-3</v>
      </c>
      <c r="F2137" s="168"/>
      <c r="G2137" s="168">
        <v>2134</v>
      </c>
      <c r="H2137" s="183">
        <f t="shared" ca="1" si="70"/>
        <v>3.6440393489625212E-3</v>
      </c>
      <c r="K2137" s="36"/>
    </row>
    <row r="2138" spans="2:11">
      <c r="B2138" s="36" t="s">
        <v>9885</v>
      </c>
      <c r="C2138" s="182">
        <v>1188.8</v>
      </c>
      <c r="D2138" s="182">
        <f t="shared" si="69"/>
        <v>-3.7838974143371491E-4</v>
      </c>
      <c r="E2138" s="182">
        <v>-8.3898666142301192E-3</v>
      </c>
      <c r="F2138" s="168"/>
      <c r="G2138" s="168">
        <v>2135</v>
      </c>
      <c r="H2138" s="183">
        <f t="shared" ca="1" si="70"/>
        <v>-1.400196930879161E-2</v>
      </c>
      <c r="K2138" s="36"/>
    </row>
    <row r="2139" spans="2:11">
      <c r="B2139" s="36" t="s">
        <v>9886</v>
      </c>
      <c r="C2139" s="182">
        <v>1189.25</v>
      </c>
      <c r="D2139" s="182">
        <f t="shared" si="69"/>
        <v>-1.1347576689666714E-2</v>
      </c>
      <c r="E2139" s="182">
        <v>-8.3963911525028832E-3</v>
      </c>
      <c r="F2139" s="168"/>
      <c r="G2139" s="168">
        <v>2136</v>
      </c>
      <c r="H2139" s="183">
        <f t="shared" ca="1" si="70"/>
        <v>1.4671110257185666E-2</v>
      </c>
      <c r="K2139" s="36"/>
    </row>
    <row r="2140" spans="2:11">
      <c r="B2140" s="36">
        <v>43081</v>
      </c>
      <c r="C2140" s="182">
        <v>1202.9000000000001</v>
      </c>
      <c r="D2140" s="182">
        <f t="shared" si="69"/>
        <v>-1.5509268731840912E-2</v>
      </c>
      <c r="E2140" s="182">
        <v>-8.4071460741629786E-3</v>
      </c>
      <c r="F2140" s="168"/>
      <c r="G2140" s="168">
        <v>2137</v>
      </c>
      <c r="H2140" s="183">
        <f t="shared" ca="1" si="70"/>
        <v>-2.6607881553436805E-3</v>
      </c>
      <c r="K2140" s="36"/>
    </row>
    <row r="2141" spans="2:11">
      <c r="B2141" s="36">
        <v>43051</v>
      </c>
      <c r="C2141" s="182">
        <v>1221.8499999999999</v>
      </c>
      <c r="D2141" s="182">
        <f t="shared" si="69"/>
        <v>1.2291555701233253E-3</v>
      </c>
      <c r="E2141" s="182">
        <v>-8.412626491466518E-3</v>
      </c>
      <c r="F2141" s="168"/>
      <c r="G2141" s="168">
        <v>2138</v>
      </c>
      <c r="H2141" s="183">
        <f t="shared" ca="1" si="70"/>
        <v>3.1328861667917832E-2</v>
      </c>
      <c r="K2141" s="36"/>
    </row>
    <row r="2142" spans="2:11">
      <c r="B2142" s="36">
        <v>42959</v>
      </c>
      <c r="C2142" s="182">
        <v>1220.3499999999999</v>
      </c>
      <c r="D2142" s="182">
        <f t="shared" si="69"/>
        <v>1.600459619172536E-3</v>
      </c>
      <c r="E2142" s="182">
        <v>-8.4127641939495158E-3</v>
      </c>
      <c r="F2142" s="168"/>
      <c r="G2142" s="168">
        <v>2139</v>
      </c>
      <c r="H2142" s="183">
        <f t="shared" ca="1" si="70"/>
        <v>1.8192660853685475E-3</v>
      </c>
      <c r="K2142" s="36"/>
    </row>
    <row r="2143" spans="2:11">
      <c r="B2143" s="36">
        <v>42928</v>
      </c>
      <c r="C2143" s="182">
        <v>1218.4000000000001</v>
      </c>
      <c r="D2143" s="182">
        <f t="shared" si="69"/>
        <v>2.2791185729276048E-2</v>
      </c>
      <c r="E2143" s="182">
        <v>-8.440164742734603E-3</v>
      </c>
      <c r="F2143" s="168"/>
      <c r="G2143" s="168">
        <v>2140</v>
      </c>
      <c r="H2143" s="183">
        <f t="shared" ca="1" si="70"/>
        <v>5.1345213243060685E-3</v>
      </c>
      <c r="K2143" s="36"/>
    </row>
    <row r="2144" spans="2:11">
      <c r="B2144" s="36">
        <v>42898</v>
      </c>
      <c r="C2144" s="182">
        <v>1191.25</v>
      </c>
      <c r="D2144" s="182">
        <f t="shared" si="69"/>
        <v>-1.5414497065873287E-2</v>
      </c>
      <c r="E2144" s="182">
        <v>-8.4478918669841033E-3</v>
      </c>
      <c r="F2144" s="168"/>
      <c r="G2144" s="168">
        <v>2141</v>
      </c>
      <c r="H2144" s="183">
        <f t="shared" ca="1" si="70"/>
        <v>-6.0028817882696222E-3</v>
      </c>
      <c r="K2144" s="36"/>
    </row>
    <row r="2145" spans="2:11">
      <c r="B2145" s="36">
        <v>42867</v>
      </c>
      <c r="C2145" s="182">
        <v>1209.9000000000001</v>
      </c>
      <c r="D2145" s="182">
        <f t="shared" si="69"/>
        <v>-6.2422997946611162E-3</v>
      </c>
      <c r="E2145" s="182">
        <v>-8.4487590885089486E-3</v>
      </c>
      <c r="F2145" s="168"/>
      <c r="G2145" s="168">
        <v>2142</v>
      </c>
      <c r="H2145" s="183">
        <f t="shared" ca="1" si="70"/>
        <v>1.5489068496394615E-2</v>
      </c>
      <c r="K2145" s="36"/>
    </row>
    <row r="2146" spans="2:11">
      <c r="B2146" s="36">
        <v>42837</v>
      </c>
      <c r="C2146" s="182">
        <v>1217.5</v>
      </c>
      <c r="D2146" s="182">
        <f t="shared" si="69"/>
        <v>4.8281269343456515E-3</v>
      </c>
      <c r="E2146" s="182">
        <v>-8.4495815065762526E-3</v>
      </c>
      <c r="F2146" s="168"/>
      <c r="G2146" s="168">
        <v>2143</v>
      </c>
      <c r="H2146" s="183">
        <f t="shared" ca="1" si="70"/>
        <v>-6.9125724823615618E-3</v>
      </c>
      <c r="K2146" s="36"/>
    </row>
    <row r="2147" spans="2:11">
      <c r="B2147" s="36">
        <v>42747</v>
      </c>
      <c r="C2147" s="182">
        <v>1211.6500000000001</v>
      </c>
      <c r="D2147" s="182">
        <f t="shared" si="69"/>
        <v>-4.0277834860875947E-3</v>
      </c>
      <c r="E2147" s="182">
        <v>-8.506870325569656E-3</v>
      </c>
      <c r="F2147" s="168"/>
      <c r="G2147" s="168">
        <v>2144</v>
      </c>
      <c r="H2147" s="183">
        <f t="shared" ca="1" si="70"/>
        <v>-2.6509220859656296E-4</v>
      </c>
      <c r="K2147" s="36"/>
    </row>
    <row r="2148" spans="2:11">
      <c r="B2148" s="36" t="s">
        <v>9887</v>
      </c>
      <c r="C2148" s="182">
        <v>1216.55</v>
      </c>
      <c r="D2148" s="182">
        <f t="shared" si="69"/>
        <v>-1.0674549410846612E-3</v>
      </c>
      <c r="E2148" s="182">
        <v>-8.5180572851805275E-3</v>
      </c>
      <c r="F2148" s="168"/>
      <c r="G2148" s="168">
        <v>2145</v>
      </c>
      <c r="H2148" s="183">
        <f t="shared" ca="1" si="70"/>
        <v>1.6075173569480707E-2</v>
      </c>
      <c r="K2148" s="36"/>
    </row>
    <row r="2149" spans="2:11">
      <c r="B2149" s="36" t="s">
        <v>9888</v>
      </c>
      <c r="C2149" s="182">
        <v>1217.8499999999999</v>
      </c>
      <c r="D2149" s="182">
        <f t="shared" si="69"/>
        <v>5.0755137410248936E-3</v>
      </c>
      <c r="E2149" s="182">
        <v>-8.5219236209334893E-3</v>
      </c>
      <c r="F2149" s="168"/>
      <c r="G2149" s="168">
        <v>2146</v>
      </c>
      <c r="H2149" s="183">
        <f t="shared" ca="1" si="70"/>
        <v>2.0252325472595631E-2</v>
      </c>
      <c r="K2149" s="36"/>
    </row>
    <row r="2150" spans="2:11">
      <c r="B2150" s="36" t="s">
        <v>9889</v>
      </c>
      <c r="C2150" s="182">
        <v>1211.7</v>
      </c>
      <c r="D2150" s="182">
        <f t="shared" si="69"/>
        <v>-1.0655235762400453E-2</v>
      </c>
      <c r="E2150" s="182">
        <v>-8.5230731766711317E-3</v>
      </c>
      <c r="F2150" s="168"/>
      <c r="G2150" s="168">
        <v>2147</v>
      </c>
      <c r="H2150" s="183">
        <f t="shared" ca="1" si="70"/>
        <v>1.8906246013144244E-2</v>
      </c>
      <c r="K2150" s="36"/>
    </row>
    <row r="2151" spans="2:11">
      <c r="B2151" s="36" t="s">
        <v>9890</v>
      </c>
      <c r="C2151" s="182">
        <v>1224.75</v>
      </c>
      <c r="D2151" s="182">
        <f t="shared" si="69"/>
        <v>5.1292572835453425E-3</v>
      </c>
      <c r="E2151" s="182">
        <v>-8.535417996171123E-3</v>
      </c>
      <c r="F2151" s="168"/>
      <c r="G2151" s="168">
        <v>2148</v>
      </c>
      <c r="H2151" s="183">
        <f t="shared" ca="1" si="70"/>
        <v>1.6810238391536537E-2</v>
      </c>
      <c r="K2151" s="36"/>
    </row>
    <row r="2152" spans="2:11">
      <c r="B2152" s="36" t="s">
        <v>9891</v>
      </c>
      <c r="C2152" s="182">
        <v>1218.5</v>
      </c>
      <c r="D2152" s="182">
        <f t="shared" si="69"/>
        <v>2.0971257041818778E-3</v>
      </c>
      <c r="E2152" s="182">
        <v>-8.5713791971243469E-3</v>
      </c>
      <c r="F2152" s="168"/>
      <c r="G2152" s="168">
        <v>2149</v>
      </c>
      <c r="H2152" s="183">
        <f t="shared" ca="1" si="70"/>
        <v>-9.3622999709791731E-3</v>
      </c>
      <c r="K2152" s="36"/>
    </row>
    <row r="2153" spans="2:11">
      <c r="B2153" s="36" t="s">
        <v>9892</v>
      </c>
      <c r="C2153" s="182">
        <v>1215.95</v>
      </c>
      <c r="D2153" s="182">
        <f t="shared" si="69"/>
        <v>-5.52056923202748E-3</v>
      </c>
      <c r="E2153" s="182">
        <v>-8.5821875821001682E-3</v>
      </c>
      <c r="F2153" s="168"/>
      <c r="G2153" s="168">
        <v>2150</v>
      </c>
      <c r="H2153" s="183">
        <f t="shared" ca="1" si="70"/>
        <v>2.9663436250772116E-2</v>
      </c>
      <c r="K2153" s="36"/>
    </row>
    <row r="2154" spans="2:11">
      <c r="B2154" s="36" t="s">
        <v>9893</v>
      </c>
      <c r="C2154" s="182">
        <v>1222.7</v>
      </c>
      <c r="D2154" s="182">
        <f t="shared" si="69"/>
        <v>4.0894777736845803E-5</v>
      </c>
      <c r="E2154" s="182">
        <v>-8.6212748625348733E-3</v>
      </c>
      <c r="F2154" s="168"/>
      <c r="G2154" s="168">
        <v>2151</v>
      </c>
      <c r="H2154" s="183">
        <f t="shared" ca="1" si="70"/>
        <v>1.7256759245441468E-3</v>
      </c>
      <c r="K2154" s="36"/>
    </row>
    <row r="2155" spans="2:11">
      <c r="B2155" s="36" t="s">
        <v>9894</v>
      </c>
      <c r="C2155" s="182">
        <v>1222.6500000000001</v>
      </c>
      <c r="D2155" s="182">
        <f t="shared" si="69"/>
        <v>-5.8139534883719819E-3</v>
      </c>
      <c r="E2155" s="182">
        <v>-8.634795962037152E-3</v>
      </c>
      <c r="F2155" s="168"/>
      <c r="G2155" s="168">
        <v>2152</v>
      </c>
      <c r="H2155" s="183">
        <f t="shared" ca="1" si="70"/>
        <v>1.0791742975515543E-2</v>
      </c>
      <c r="K2155" s="36"/>
    </row>
    <row r="2156" spans="2:11">
      <c r="B2156" s="36" t="s">
        <v>9895</v>
      </c>
      <c r="C2156" s="182">
        <v>1229.8</v>
      </c>
      <c r="D2156" s="182">
        <f t="shared" si="69"/>
        <v>5.7245665685312398E-3</v>
      </c>
      <c r="E2156" s="182">
        <v>-8.6402052520374618E-3</v>
      </c>
      <c r="F2156" s="168"/>
      <c r="G2156" s="168">
        <v>2153</v>
      </c>
      <c r="H2156" s="183">
        <f t="shared" ca="1" si="70"/>
        <v>3.6000566967918893E-3</v>
      </c>
      <c r="K2156" s="36"/>
    </row>
    <row r="2157" spans="2:11">
      <c r="B2157" s="36" t="s">
        <v>9896</v>
      </c>
      <c r="C2157" s="182">
        <v>1222.8</v>
      </c>
      <c r="D2157" s="182">
        <f t="shared" si="69"/>
        <v>2.8704994669072419E-3</v>
      </c>
      <c r="E2157" s="182">
        <v>-8.6421086745165823E-3</v>
      </c>
      <c r="F2157" s="168"/>
      <c r="G2157" s="168">
        <v>2154</v>
      </c>
      <c r="H2157" s="183">
        <f t="shared" ca="1" si="70"/>
        <v>1.1781995527631949E-2</v>
      </c>
      <c r="K2157" s="36"/>
    </row>
    <row r="2158" spans="2:11">
      <c r="B2158" s="36" t="s">
        <v>9897</v>
      </c>
      <c r="C2158" s="182">
        <v>1219.3</v>
      </c>
      <c r="D2158" s="182">
        <f t="shared" si="69"/>
        <v>8.1025217031830965E-3</v>
      </c>
      <c r="E2158" s="182">
        <v>-8.6456558773424959E-3</v>
      </c>
      <c r="F2158" s="168"/>
      <c r="G2158" s="168">
        <v>2155</v>
      </c>
      <c r="H2158" s="183">
        <f t="shared" ca="1" si="70"/>
        <v>4.6586219310104579E-3</v>
      </c>
      <c r="K2158" s="36"/>
    </row>
    <row r="2159" spans="2:11">
      <c r="B2159" s="36" t="s">
        <v>9898</v>
      </c>
      <c r="C2159" s="182">
        <v>1209.5</v>
      </c>
      <c r="D2159" s="182">
        <f t="shared" si="69"/>
        <v>-5.7841679061315936E-4</v>
      </c>
      <c r="E2159" s="182">
        <v>-8.670520231213872E-3</v>
      </c>
      <c r="F2159" s="168"/>
      <c r="G2159" s="168">
        <v>2156</v>
      </c>
      <c r="H2159" s="183">
        <f t="shared" ca="1" si="70"/>
        <v>-1.7655929517522175E-2</v>
      </c>
      <c r="K2159" s="36"/>
    </row>
    <row r="2160" spans="2:11">
      <c r="B2160" s="36" t="s">
        <v>9899</v>
      </c>
      <c r="C2160" s="182">
        <v>1210.2</v>
      </c>
      <c r="D2160" s="182">
        <f t="shared" si="69"/>
        <v>-2.446495506025546E-2</v>
      </c>
      <c r="E2160" s="182">
        <v>-8.6852227139253071E-3</v>
      </c>
      <c r="F2160" s="168"/>
      <c r="G2160" s="168">
        <v>2157</v>
      </c>
      <c r="H2160" s="183">
        <f t="shared" ca="1" si="70"/>
        <v>8.5526251416276067E-3</v>
      </c>
      <c r="K2160" s="36"/>
    </row>
    <row r="2161" spans="2:11">
      <c r="B2161" s="36" t="s">
        <v>9900</v>
      </c>
      <c r="C2161" s="182">
        <v>1240.55</v>
      </c>
      <c r="D2161" s="182">
        <f t="shared" si="69"/>
        <v>-1.9289299972330993E-2</v>
      </c>
      <c r="E2161" s="182">
        <v>-8.6887675348665781E-3</v>
      </c>
      <c r="F2161" s="168"/>
      <c r="G2161" s="168">
        <v>2158</v>
      </c>
      <c r="H2161" s="183">
        <f t="shared" ca="1" si="70"/>
        <v>-3.7668961260822692E-3</v>
      </c>
      <c r="K2161" s="36"/>
    </row>
    <row r="2162" spans="2:11">
      <c r="B2162" s="36">
        <v>43019</v>
      </c>
      <c r="C2162" s="182">
        <v>1264.95</v>
      </c>
      <c r="D2162" s="182">
        <f t="shared" si="69"/>
        <v>4.0340488527016986E-2</v>
      </c>
      <c r="E2162" s="182">
        <v>-8.6941092973740249E-3</v>
      </c>
      <c r="F2162" s="168"/>
      <c r="G2162" s="168">
        <v>2159</v>
      </c>
      <c r="H2162" s="183">
        <f t="shared" ca="1" si="70"/>
        <v>-3.0051259660725691E-3</v>
      </c>
      <c r="K2162" s="36"/>
    </row>
    <row r="2163" spans="2:11">
      <c r="B2163" s="36">
        <v>42989</v>
      </c>
      <c r="C2163" s="182">
        <v>1215.9000000000001</v>
      </c>
      <c r="D2163" s="182">
        <f t="shared" si="69"/>
        <v>-1.8880315219175459E-3</v>
      </c>
      <c r="E2163" s="182">
        <v>-8.7085417824717803E-3</v>
      </c>
      <c r="F2163" s="168"/>
      <c r="G2163" s="168">
        <v>2160</v>
      </c>
      <c r="H2163" s="183">
        <f t="shared" ca="1" si="70"/>
        <v>-1.5471893922453265E-4</v>
      </c>
      <c r="K2163" s="36"/>
    </row>
    <row r="2164" spans="2:11">
      <c r="B2164" s="36">
        <v>42958</v>
      </c>
      <c r="C2164" s="182">
        <v>1218.2</v>
      </c>
      <c r="D2164" s="182">
        <f t="shared" si="69"/>
        <v>5.9039676313943201E-3</v>
      </c>
      <c r="E2164" s="182">
        <v>-8.7181557888554445E-3</v>
      </c>
      <c r="F2164" s="168"/>
      <c r="G2164" s="168">
        <v>2161</v>
      </c>
      <c r="H2164" s="183">
        <f t="shared" ca="1" si="70"/>
        <v>-7.0167526285845423E-3</v>
      </c>
      <c r="K2164" s="36"/>
    </row>
    <row r="2165" spans="2:11">
      <c r="B2165" s="36">
        <v>42927</v>
      </c>
      <c r="C2165" s="182">
        <v>1211.05</v>
      </c>
      <c r="D2165" s="182">
        <f t="shared" si="69"/>
        <v>-1.1145586674287654E-2</v>
      </c>
      <c r="E2165" s="182">
        <v>-8.7282525921152029E-3</v>
      </c>
      <c r="F2165" s="168"/>
      <c r="G2165" s="168">
        <v>2162</v>
      </c>
      <c r="H2165" s="183">
        <f t="shared" ca="1" si="70"/>
        <v>1.1725003637626741E-2</v>
      </c>
      <c r="K2165" s="36"/>
    </row>
    <row r="2166" spans="2:11">
      <c r="B2166" s="36">
        <v>42897</v>
      </c>
      <c r="C2166" s="182">
        <v>1224.7</v>
      </c>
      <c r="D2166" s="182">
        <f t="shared" si="69"/>
        <v>-8.3400809716598825E-3</v>
      </c>
      <c r="E2166" s="182">
        <v>-8.7533019112239555E-3</v>
      </c>
      <c r="F2166" s="168"/>
      <c r="G2166" s="168">
        <v>2163</v>
      </c>
      <c r="H2166" s="183">
        <f t="shared" ca="1" si="70"/>
        <v>8.2872929366437607E-3</v>
      </c>
      <c r="K2166" s="36"/>
    </row>
    <row r="2167" spans="2:11">
      <c r="B2167" s="36">
        <v>42805</v>
      </c>
      <c r="C2167" s="182">
        <v>1235</v>
      </c>
      <c r="D2167" s="182">
        <f t="shared" si="69"/>
        <v>1.9860440150295186E-2</v>
      </c>
      <c r="E2167" s="182">
        <v>-8.7939081306804678E-3</v>
      </c>
      <c r="F2167" s="168"/>
      <c r="G2167" s="168">
        <v>2164</v>
      </c>
      <c r="H2167" s="183">
        <f t="shared" ca="1" si="70"/>
        <v>-5.563988781834314E-3</v>
      </c>
      <c r="K2167" s="36"/>
    </row>
    <row r="2168" spans="2:11">
      <c r="B2168" s="36">
        <v>42777</v>
      </c>
      <c r="C2168" s="182">
        <v>1210.95</v>
      </c>
      <c r="D2168" s="182">
        <f t="shared" si="69"/>
        <v>-3.5793631202171556E-3</v>
      </c>
      <c r="E2168" s="182">
        <v>-8.796444770238613E-3</v>
      </c>
      <c r="F2168" s="168"/>
      <c r="G2168" s="168">
        <v>2165</v>
      </c>
      <c r="H2168" s="183">
        <f t="shared" ca="1" si="70"/>
        <v>-4.6320876817748831E-4</v>
      </c>
      <c r="K2168" s="36"/>
    </row>
    <row r="2169" spans="2:11">
      <c r="B2169" s="36">
        <v>42746</v>
      </c>
      <c r="C2169" s="182">
        <v>1215.3</v>
      </c>
      <c r="D2169" s="182">
        <f t="shared" si="69"/>
        <v>-5.7269082876544222E-3</v>
      </c>
      <c r="E2169" s="182">
        <v>-8.7983706720977228E-3</v>
      </c>
      <c r="F2169" s="168"/>
      <c r="G2169" s="168">
        <v>2166</v>
      </c>
      <c r="H2169" s="183">
        <f t="shared" ca="1" si="70"/>
        <v>-1.4298497949535562E-2</v>
      </c>
      <c r="K2169" s="36"/>
    </row>
    <row r="2170" spans="2:11">
      <c r="B2170" s="36" t="s">
        <v>9901</v>
      </c>
      <c r="C2170" s="182">
        <v>1222.3</v>
      </c>
      <c r="D2170" s="182">
        <f t="shared" si="69"/>
        <v>-1.1843647681798044E-2</v>
      </c>
      <c r="E2170" s="182">
        <v>-8.8014633758383438E-3</v>
      </c>
      <c r="F2170" s="168"/>
      <c r="G2170" s="168">
        <v>2167</v>
      </c>
      <c r="H2170" s="183">
        <f t="shared" ca="1" si="70"/>
        <v>7.3199688575752708E-3</v>
      </c>
      <c r="K2170" s="36"/>
    </row>
    <row r="2171" spans="2:11">
      <c r="B2171" s="36" t="s">
        <v>9902</v>
      </c>
      <c r="C2171" s="182">
        <v>1236.95</v>
      </c>
      <c r="D2171" s="182">
        <f t="shared" si="69"/>
        <v>1.0043685951088028E-2</v>
      </c>
      <c r="E2171" s="182">
        <v>-8.8292577364207283E-3</v>
      </c>
      <c r="F2171" s="168"/>
      <c r="G2171" s="168">
        <v>2168</v>
      </c>
      <c r="H2171" s="183">
        <f t="shared" ca="1" si="70"/>
        <v>2.0799066898626036E-2</v>
      </c>
      <c r="K2171" s="36"/>
    </row>
    <row r="2172" spans="2:11">
      <c r="B2172" s="36" t="s">
        <v>9903</v>
      </c>
      <c r="C2172" s="182">
        <v>1224.6500000000001</v>
      </c>
      <c r="D2172" s="182">
        <f t="shared" si="69"/>
        <v>9.3992644053951036E-4</v>
      </c>
      <c r="E2172" s="182">
        <v>-8.8334364473775604E-3</v>
      </c>
      <c r="F2172" s="168"/>
      <c r="G2172" s="168">
        <v>2169</v>
      </c>
      <c r="H2172" s="183">
        <f t="shared" ca="1" si="70"/>
        <v>8.3351161840655389E-3</v>
      </c>
      <c r="K2172" s="36"/>
    </row>
    <row r="2173" spans="2:11">
      <c r="B2173" s="36" t="s">
        <v>9904</v>
      </c>
      <c r="C2173" s="182">
        <v>1223.5</v>
      </c>
      <c r="D2173" s="182">
        <f t="shared" si="69"/>
        <v>1.6027238000332133E-2</v>
      </c>
      <c r="E2173" s="182">
        <v>-8.8607408931274424E-3</v>
      </c>
      <c r="F2173" s="168"/>
      <c r="G2173" s="168">
        <v>2170</v>
      </c>
      <c r="H2173" s="183">
        <f t="shared" ca="1" si="70"/>
        <v>-7.2603575360175683E-3</v>
      </c>
      <c r="K2173" s="36"/>
    </row>
    <row r="2174" spans="2:11">
      <c r="B2174" s="36" t="s">
        <v>9905</v>
      </c>
      <c r="C2174" s="182">
        <v>1204.2</v>
      </c>
      <c r="D2174" s="182">
        <f t="shared" si="69"/>
        <v>5.3958251280031587E-2</v>
      </c>
      <c r="E2174" s="182">
        <v>-8.8794593745088798E-3</v>
      </c>
      <c r="F2174" s="168"/>
      <c r="G2174" s="168">
        <v>2171</v>
      </c>
      <c r="H2174" s="183">
        <f t="shared" ca="1" si="70"/>
        <v>1.889627089326536E-3</v>
      </c>
      <c r="K2174" s="36"/>
    </row>
    <row r="2175" spans="2:11">
      <c r="B2175" s="36" t="s">
        <v>9906</v>
      </c>
      <c r="C2175" s="182">
        <v>1142.55</v>
      </c>
      <c r="D2175" s="182">
        <f t="shared" si="69"/>
        <v>5.9872331058771332E-3</v>
      </c>
      <c r="E2175" s="182">
        <v>-8.8944339356863654E-3</v>
      </c>
      <c r="F2175" s="168"/>
      <c r="G2175" s="168">
        <v>2172</v>
      </c>
      <c r="H2175" s="183">
        <f t="shared" ca="1" si="70"/>
        <v>4.7589255572403439E-3</v>
      </c>
      <c r="K2175" s="36"/>
    </row>
    <row r="2176" spans="2:11">
      <c r="B2176" s="36" t="s">
        <v>9907</v>
      </c>
      <c r="C2176" s="182">
        <v>1135.75</v>
      </c>
      <c r="D2176" s="182">
        <f t="shared" si="69"/>
        <v>-3.5095415661329241E-3</v>
      </c>
      <c r="E2176" s="182">
        <v>-8.9183863942757027E-3</v>
      </c>
      <c r="F2176" s="168"/>
      <c r="G2176" s="168">
        <v>2173</v>
      </c>
      <c r="H2176" s="183">
        <f t="shared" ca="1" si="70"/>
        <v>-7.4041505535198384E-3</v>
      </c>
      <c r="K2176" s="36"/>
    </row>
    <row r="2177" spans="2:11">
      <c r="B2177" s="36" t="s">
        <v>9908</v>
      </c>
      <c r="C2177" s="182">
        <v>1139.75</v>
      </c>
      <c r="D2177" s="182">
        <f t="shared" si="69"/>
        <v>-1.4455931312424136E-3</v>
      </c>
      <c r="E2177" s="182">
        <v>-8.9365186741196673E-3</v>
      </c>
      <c r="F2177" s="168"/>
      <c r="G2177" s="168">
        <v>2174</v>
      </c>
      <c r="H2177" s="183">
        <f t="shared" ca="1" si="70"/>
        <v>8.1833770081126168E-3</v>
      </c>
      <c r="K2177" s="36"/>
    </row>
    <row r="2178" spans="2:11">
      <c r="B2178" s="36" t="s">
        <v>9909</v>
      </c>
      <c r="C2178" s="182">
        <v>1141.4000000000001</v>
      </c>
      <c r="D2178" s="182">
        <f t="shared" si="69"/>
        <v>-6.3982589771489958E-3</v>
      </c>
      <c r="E2178" s="182">
        <v>-8.938351662796341E-3</v>
      </c>
      <c r="F2178" s="168"/>
      <c r="G2178" s="168">
        <v>2175</v>
      </c>
      <c r="H2178" s="183">
        <f t="shared" ca="1" si="70"/>
        <v>4.52935282724204E-3</v>
      </c>
      <c r="K2178" s="36"/>
    </row>
    <row r="2179" spans="2:11">
      <c r="B2179" s="36" t="s">
        <v>9910</v>
      </c>
      <c r="C2179" s="182">
        <v>1148.75</v>
      </c>
      <c r="D2179" s="182">
        <f t="shared" si="69"/>
        <v>3.5380449025945262E-3</v>
      </c>
      <c r="E2179" s="182">
        <v>-8.9404819345499948E-3</v>
      </c>
      <c r="F2179" s="168"/>
      <c r="G2179" s="168">
        <v>2176</v>
      </c>
      <c r="H2179" s="183">
        <f t="shared" ca="1" si="70"/>
        <v>-6.3778415662569818E-3</v>
      </c>
      <c r="K2179" s="36"/>
    </row>
    <row r="2180" spans="2:11">
      <c r="B2180" s="36" t="s">
        <v>9911</v>
      </c>
      <c r="C2180" s="182">
        <v>1144.7</v>
      </c>
      <c r="D2180" s="182">
        <f t="shared" ref="D2180:D2243" si="71">(C2180-C2181)/C2181</f>
        <v>5.3133096210424219E-3</v>
      </c>
      <c r="E2180" s="182">
        <v>-8.9445147884808056E-3</v>
      </c>
      <c r="F2180" s="168"/>
      <c r="G2180" s="168">
        <v>2177</v>
      </c>
      <c r="H2180" s="183">
        <f t="shared" ca="1" si="70"/>
        <v>1.0730606145947497E-2</v>
      </c>
      <c r="K2180" s="36"/>
    </row>
    <row r="2181" spans="2:11">
      <c r="B2181" s="36" t="s">
        <v>9912</v>
      </c>
      <c r="C2181" s="182">
        <v>1138.6500000000001</v>
      </c>
      <c r="D2181" s="182">
        <f t="shared" si="71"/>
        <v>-4.3719669479298732E-3</v>
      </c>
      <c r="E2181" s="182">
        <v>-8.9463220675945511E-3</v>
      </c>
      <c r="F2181" s="168"/>
      <c r="G2181" s="168">
        <v>2178</v>
      </c>
      <c r="H2181" s="183">
        <f t="shared" ref="H2181:H2244" ca="1" si="72">_xlfn.NORM.INV(RAND(),N$6,N$7)</f>
        <v>-4.4183412174015847E-3</v>
      </c>
      <c r="K2181" s="36"/>
    </row>
    <row r="2182" spans="2:11">
      <c r="B2182" s="36">
        <v>43079</v>
      </c>
      <c r="C2182" s="182">
        <v>1143.6500000000001</v>
      </c>
      <c r="D2182" s="182">
        <f t="shared" si="71"/>
        <v>8.6431185782953508E-3</v>
      </c>
      <c r="E2182" s="182">
        <v>-8.9825972830625753E-3</v>
      </c>
      <c r="F2182" s="168"/>
      <c r="G2182" s="168">
        <v>2179</v>
      </c>
      <c r="H2182" s="183">
        <f t="shared" ca="1" si="72"/>
        <v>5.6960927400394037E-3</v>
      </c>
      <c r="K2182" s="36"/>
    </row>
    <row r="2183" spans="2:11">
      <c r="B2183" s="36">
        <v>43049</v>
      </c>
      <c r="C2183" s="182">
        <v>1133.8499999999999</v>
      </c>
      <c r="D2183" s="182">
        <f t="shared" si="71"/>
        <v>-7.7448149120505263E-3</v>
      </c>
      <c r="E2183" s="182">
        <v>-9.0215420935036844E-3</v>
      </c>
      <c r="F2183" s="168"/>
      <c r="G2183" s="168">
        <v>2180</v>
      </c>
      <c r="H2183" s="183">
        <f t="shared" ca="1" si="72"/>
        <v>-2.7117176537117798E-3</v>
      </c>
      <c r="K2183" s="36"/>
    </row>
    <row r="2184" spans="2:11">
      <c r="B2184" s="36">
        <v>43018</v>
      </c>
      <c r="C2184" s="182">
        <v>1142.7</v>
      </c>
      <c r="D2184" s="182">
        <f t="shared" si="71"/>
        <v>1.5338095446776809E-3</v>
      </c>
      <c r="E2184" s="182">
        <v>-9.0404159773104353E-3</v>
      </c>
      <c r="F2184" s="168"/>
      <c r="G2184" s="168">
        <v>2181</v>
      </c>
      <c r="H2184" s="183">
        <f t="shared" ca="1" si="72"/>
        <v>-1.4631931608461803E-2</v>
      </c>
      <c r="K2184" s="36"/>
    </row>
    <row r="2185" spans="2:11">
      <c r="B2185" s="36">
        <v>42988</v>
      </c>
      <c r="C2185" s="182">
        <v>1140.95</v>
      </c>
      <c r="D2185" s="182">
        <f t="shared" si="71"/>
        <v>-7.4443860571020242E-4</v>
      </c>
      <c r="E2185" s="182">
        <v>-9.0539704973058924E-3</v>
      </c>
      <c r="F2185" s="168"/>
      <c r="G2185" s="168">
        <v>2182</v>
      </c>
      <c r="H2185" s="183">
        <f t="shared" ca="1" si="72"/>
        <v>6.8953756596644832E-3</v>
      </c>
      <c r="K2185" s="36"/>
    </row>
    <row r="2186" spans="2:11">
      <c r="B2186" s="36">
        <v>42896</v>
      </c>
      <c r="C2186" s="182">
        <v>1141.8</v>
      </c>
      <c r="D2186" s="182">
        <f t="shared" si="71"/>
        <v>8.612693785610177E-3</v>
      </c>
      <c r="E2186" s="182">
        <v>-9.109187148660219E-3</v>
      </c>
      <c r="F2186" s="168"/>
      <c r="G2186" s="168">
        <v>2183</v>
      </c>
      <c r="H2186" s="183">
        <f t="shared" ca="1" si="72"/>
        <v>1.2198346025095824E-2</v>
      </c>
      <c r="K2186" s="36"/>
    </row>
    <row r="2187" spans="2:11">
      <c r="B2187" s="36">
        <v>42865</v>
      </c>
      <c r="C2187" s="182">
        <v>1132.05</v>
      </c>
      <c r="D2187" s="182">
        <f t="shared" si="71"/>
        <v>-5.490643942721603E-3</v>
      </c>
      <c r="E2187" s="182">
        <v>-9.1107036442815096E-3</v>
      </c>
      <c r="F2187" s="168"/>
      <c r="G2187" s="168">
        <v>2184</v>
      </c>
      <c r="H2187" s="183">
        <f t="shared" ca="1" si="72"/>
        <v>7.5260211874300809E-3</v>
      </c>
      <c r="K2187" s="36"/>
    </row>
    <row r="2188" spans="2:11">
      <c r="B2188" s="36">
        <v>42835</v>
      </c>
      <c r="C2188" s="182">
        <v>1138.3</v>
      </c>
      <c r="D2188" s="182">
        <f t="shared" si="71"/>
        <v>2.9958586659616384E-3</v>
      </c>
      <c r="E2188" s="182">
        <v>-9.1156623653367696E-3</v>
      </c>
      <c r="F2188" s="168"/>
      <c r="G2188" s="168">
        <v>2185</v>
      </c>
      <c r="H2188" s="183">
        <f t="shared" ca="1" si="72"/>
        <v>6.8588512416333175E-3</v>
      </c>
      <c r="K2188" s="36"/>
    </row>
    <row r="2189" spans="2:11">
      <c r="B2189" s="36">
        <v>42804</v>
      </c>
      <c r="C2189" s="182">
        <v>1134.9000000000001</v>
      </c>
      <c r="D2189" s="182">
        <f t="shared" si="71"/>
        <v>-6.2606715993168988E-3</v>
      </c>
      <c r="E2189" s="182">
        <v>-9.1268576997319707E-3</v>
      </c>
      <c r="F2189" s="168"/>
      <c r="G2189" s="168">
        <v>2186</v>
      </c>
      <c r="H2189" s="183">
        <f t="shared" ca="1" si="72"/>
        <v>-3.3678935862628441E-3</v>
      </c>
      <c r="K2189" s="36"/>
    </row>
    <row r="2190" spans="2:11">
      <c r="B2190" s="36" t="s">
        <v>9913</v>
      </c>
      <c r="C2190" s="182">
        <v>1142.05</v>
      </c>
      <c r="D2190" s="182">
        <f t="shared" si="71"/>
        <v>7.6763577006220907E-3</v>
      </c>
      <c r="E2190" s="182">
        <v>-9.1427312532702532E-3</v>
      </c>
      <c r="F2190" s="168"/>
      <c r="G2190" s="168">
        <v>2187</v>
      </c>
      <c r="H2190" s="183">
        <f t="shared" ca="1" si="72"/>
        <v>-7.6134841771430704E-3</v>
      </c>
      <c r="K2190" s="36"/>
    </row>
    <row r="2191" spans="2:11">
      <c r="B2191" s="36" t="s">
        <v>9914</v>
      </c>
      <c r="C2191" s="182">
        <v>1133.3499999999999</v>
      </c>
      <c r="D2191" s="182">
        <f t="shared" si="71"/>
        <v>-3.3855082659164054E-3</v>
      </c>
      <c r="E2191" s="182">
        <v>-9.1496232508072924E-3</v>
      </c>
      <c r="F2191" s="168"/>
      <c r="G2191" s="168">
        <v>2188</v>
      </c>
      <c r="H2191" s="183">
        <f t="shared" ca="1" si="72"/>
        <v>-6.0374870224566947E-3</v>
      </c>
      <c r="K2191" s="36"/>
    </row>
    <row r="2192" spans="2:11">
      <c r="B2192" s="36" t="s">
        <v>9915</v>
      </c>
      <c r="C2192" s="182">
        <v>1137.2</v>
      </c>
      <c r="D2192" s="182">
        <f t="shared" si="71"/>
        <v>-2.2099922607274954E-2</v>
      </c>
      <c r="E2192" s="182">
        <v>-9.1536187452097191E-3</v>
      </c>
      <c r="F2192" s="168"/>
      <c r="G2192" s="168">
        <v>2189</v>
      </c>
      <c r="H2192" s="183">
        <f t="shared" ca="1" si="72"/>
        <v>7.1846624213589647E-5</v>
      </c>
      <c r="K2192" s="36"/>
    </row>
    <row r="2193" spans="2:11">
      <c r="B2193" s="36" t="s">
        <v>9916</v>
      </c>
      <c r="C2193" s="182">
        <v>1162.9000000000001</v>
      </c>
      <c r="D2193" s="182">
        <f t="shared" si="71"/>
        <v>-1.9739100583590409E-3</v>
      </c>
      <c r="E2193" s="182">
        <v>-9.1859640831757766E-3</v>
      </c>
      <c r="F2193" s="168"/>
      <c r="G2193" s="168">
        <v>2190</v>
      </c>
      <c r="H2193" s="183">
        <f t="shared" ca="1" si="72"/>
        <v>5.2063661440934104E-3</v>
      </c>
      <c r="K2193" s="36"/>
    </row>
    <row r="2194" spans="2:11">
      <c r="B2194" s="36" t="s">
        <v>9917</v>
      </c>
      <c r="C2194" s="182">
        <v>1165.2</v>
      </c>
      <c r="D2194" s="182">
        <f t="shared" si="71"/>
        <v>-1.6542876434841248E-2</v>
      </c>
      <c r="E2194" s="182">
        <v>-9.1908556802978037E-3</v>
      </c>
      <c r="F2194" s="168"/>
      <c r="G2194" s="168">
        <v>2191</v>
      </c>
      <c r="H2194" s="183">
        <f t="shared" ca="1" si="72"/>
        <v>8.9797222197944421E-3</v>
      </c>
      <c r="K2194" s="36"/>
    </row>
    <row r="2195" spans="2:11">
      <c r="B2195" s="36" t="s">
        <v>9918</v>
      </c>
      <c r="C2195" s="182">
        <v>1184.8</v>
      </c>
      <c r="D2195" s="182">
        <f t="shared" si="71"/>
        <v>-3.5218435731444162E-2</v>
      </c>
      <c r="E2195" s="182">
        <v>-9.2356106905044245E-3</v>
      </c>
      <c r="F2195" s="168"/>
      <c r="G2195" s="168">
        <v>2192</v>
      </c>
      <c r="H2195" s="183">
        <f t="shared" ca="1" si="72"/>
        <v>-5.3706552811485933E-3</v>
      </c>
      <c r="K2195" s="36"/>
    </row>
    <row r="2196" spans="2:11">
      <c r="B2196" s="36" t="s">
        <v>9919</v>
      </c>
      <c r="C2196" s="182">
        <v>1228.05</v>
      </c>
      <c r="D2196" s="182">
        <f t="shared" si="71"/>
        <v>-6.3918443302723336E-3</v>
      </c>
      <c r="E2196" s="182">
        <v>-9.2385065325533613E-3</v>
      </c>
      <c r="F2196" s="168"/>
      <c r="G2196" s="168">
        <v>2193</v>
      </c>
      <c r="H2196" s="183">
        <f t="shared" ca="1" si="72"/>
        <v>3.6110575114744943E-3</v>
      </c>
      <c r="K2196" s="36"/>
    </row>
    <row r="2197" spans="2:11">
      <c r="B2197" s="36" t="s">
        <v>9920</v>
      </c>
      <c r="C2197" s="182">
        <v>1235.95</v>
      </c>
      <c r="D2197" s="182">
        <f t="shared" si="71"/>
        <v>8.1980585692144163E-3</v>
      </c>
      <c r="E2197" s="182">
        <v>-9.3000672294016925E-3</v>
      </c>
      <c r="F2197" s="168"/>
      <c r="G2197" s="168">
        <v>2194</v>
      </c>
      <c r="H2197" s="183">
        <f t="shared" ca="1" si="72"/>
        <v>4.0140719327362469E-3</v>
      </c>
      <c r="K2197" s="36"/>
    </row>
    <row r="2198" spans="2:11">
      <c r="B2198" s="36" t="s">
        <v>9921</v>
      </c>
      <c r="C2198" s="182">
        <v>1225.9000000000001</v>
      </c>
      <c r="D2198" s="182">
        <f t="shared" si="71"/>
        <v>-9.7338341613150397E-3</v>
      </c>
      <c r="E2198" s="182">
        <v>-9.3151304872529112E-3</v>
      </c>
      <c r="F2198" s="168"/>
      <c r="G2198" s="168">
        <v>2195</v>
      </c>
      <c r="H2198" s="183">
        <f t="shared" ca="1" si="72"/>
        <v>1.3893031694525337E-2</v>
      </c>
      <c r="K2198" s="36"/>
    </row>
    <row r="2199" spans="2:11">
      <c r="B2199" s="36" t="s">
        <v>9922</v>
      </c>
      <c r="C2199" s="182">
        <v>1237.95</v>
      </c>
      <c r="D2199" s="182">
        <f t="shared" si="71"/>
        <v>2.1073903002309428E-2</v>
      </c>
      <c r="E2199" s="182">
        <v>-9.3375652708099447E-3</v>
      </c>
      <c r="F2199" s="168"/>
      <c r="G2199" s="168">
        <v>2196</v>
      </c>
      <c r="H2199" s="183">
        <f t="shared" ca="1" si="72"/>
        <v>-1.526093350087903E-2</v>
      </c>
      <c r="K2199" s="36"/>
    </row>
    <row r="2200" spans="2:11">
      <c r="B2200" s="36" t="s">
        <v>9923</v>
      </c>
      <c r="C2200" s="182">
        <v>1212.4000000000001</v>
      </c>
      <c r="D2200" s="182">
        <f t="shared" si="71"/>
        <v>-1.4824575852412736E-3</v>
      </c>
      <c r="E2200" s="182">
        <v>-9.3535647474537516E-3</v>
      </c>
      <c r="F2200" s="168"/>
      <c r="G2200" s="168">
        <v>2197</v>
      </c>
      <c r="H2200" s="183">
        <f t="shared" ca="1" si="72"/>
        <v>5.1299596607353986E-3</v>
      </c>
      <c r="K2200" s="36"/>
    </row>
    <row r="2201" spans="2:11">
      <c r="B2201" s="36" t="s">
        <v>9924</v>
      </c>
      <c r="C2201" s="182">
        <v>1214.2</v>
      </c>
      <c r="D2201" s="182">
        <f t="shared" si="71"/>
        <v>-7.4794621326683816E-3</v>
      </c>
      <c r="E2201" s="182">
        <v>-9.3905224611145685E-3</v>
      </c>
      <c r="F2201" s="168"/>
      <c r="G2201" s="168">
        <v>2198</v>
      </c>
      <c r="H2201" s="183">
        <f t="shared" ca="1" si="72"/>
        <v>-2.2973303401352873E-3</v>
      </c>
      <c r="K2201" s="36"/>
    </row>
    <row r="2202" spans="2:11">
      <c r="B2202" s="36" t="s">
        <v>9925</v>
      </c>
      <c r="C2202" s="182">
        <v>1223.3499999999999</v>
      </c>
      <c r="D2202" s="182">
        <f t="shared" si="71"/>
        <v>-5.6086161349319982E-3</v>
      </c>
      <c r="E2202" s="182">
        <v>-9.3912549486054493E-3</v>
      </c>
      <c r="F2202" s="168"/>
      <c r="G2202" s="168">
        <v>2199</v>
      </c>
      <c r="H2202" s="183">
        <f t="shared" ca="1" si="72"/>
        <v>1.7266006239792193E-2</v>
      </c>
      <c r="K2202" s="36"/>
    </row>
    <row r="2203" spans="2:11">
      <c r="B2203" s="36">
        <v>43078</v>
      </c>
      <c r="C2203" s="182">
        <v>1230.25</v>
      </c>
      <c r="D2203" s="182">
        <f t="shared" si="71"/>
        <v>1.01818778995772E-2</v>
      </c>
      <c r="E2203" s="182">
        <v>-9.3978476957200067E-3</v>
      </c>
      <c r="F2203" s="168"/>
      <c r="G2203" s="168">
        <v>2200</v>
      </c>
      <c r="H2203" s="183">
        <f t="shared" ca="1" si="72"/>
        <v>2.7378137874272696E-3</v>
      </c>
      <c r="K2203" s="36"/>
    </row>
    <row r="2204" spans="2:11">
      <c r="B2204" s="36">
        <v>43048</v>
      </c>
      <c r="C2204" s="182">
        <v>1217.8499999999999</v>
      </c>
      <c r="D2204" s="182">
        <f t="shared" si="71"/>
        <v>3.8766632548618063E-2</v>
      </c>
      <c r="E2204" s="182">
        <v>-9.398000527438978E-3</v>
      </c>
      <c r="F2204" s="168"/>
      <c r="G2204" s="168">
        <v>2201</v>
      </c>
      <c r="H2204" s="183">
        <f t="shared" ca="1" si="72"/>
        <v>4.2750550455683788E-3</v>
      </c>
      <c r="K2204" s="36"/>
    </row>
    <row r="2205" spans="2:11">
      <c r="B2205" s="36">
        <v>42956</v>
      </c>
      <c r="C2205" s="182">
        <v>1172.4000000000001</v>
      </c>
      <c r="D2205" s="182">
        <f t="shared" si="71"/>
        <v>3.8349127623771309E-2</v>
      </c>
      <c r="E2205" s="182">
        <v>-9.4293531366034574E-3</v>
      </c>
      <c r="F2205" s="168"/>
      <c r="G2205" s="168">
        <v>2202</v>
      </c>
      <c r="H2205" s="183">
        <f t="shared" ca="1" si="72"/>
        <v>1.8294106259876253E-2</v>
      </c>
      <c r="K2205" s="36"/>
    </row>
    <row r="2206" spans="2:11">
      <c r="B2206" s="36">
        <v>42925</v>
      </c>
      <c r="C2206" s="182">
        <v>1129.0999999999999</v>
      </c>
      <c r="D2206" s="182">
        <f t="shared" si="71"/>
        <v>1.0289906943450252E-2</v>
      </c>
      <c r="E2206" s="182">
        <v>-9.4523732754085259E-3</v>
      </c>
      <c r="F2206" s="168"/>
      <c r="G2206" s="168">
        <v>2203</v>
      </c>
      <c r="H2206" s="183">
        <f t="shared" ca="1" si="72"/>
        <v>-9.5215878979266824E-3</v>
      </c>
      <c r="K2206" s="36"/>
    </row>
    <row r="2207" spans="2:11">
      <c r="B2207" s="36">
        <v>42895</v>
      </c>
      <c r="C2207" s="182">
        <v>1117.5999999999999</v>
      </c>
      <c r="D2207" s="182">
        <f t="shared" si="71"/>
        <v>-8.032663205077159E-3</v>
      </c>
      <c r="E2207" s="182">
        <v>-9.4587255611875178E-3</v>
      </c>
      <c r="F2207" s="168"/>
      <c r="G2207" s="168">
        <v>2204</v>
      </c>
      <c r="H2207" s="183">
        <f t="shared" ca="1" si="72"/>
        <v>-5.4792208739974039E-4</v>
      </c>
      <c r="K2207" s="36"/>
    </row>
    <row r="2208" spans="2:11">
      <c r="B2208" s="36">
        <v>42864</v>
      </c>
      <c r="C2208" s="182">
        <v>1126.6500000000001</v>
      </c>
      <c r="D2208" s="182">
        <f t="shared" si="71"/>
        <v>-3.5377879980542162E-3</v>
      </c>
      <c r="E2208" s="182">
        <v>-9.47484392214476E-3</v>
      </c>
      <c r="F2208" s="168"/>
      <c r="G2208" s="168">
        <v>2205</v>
      </c>
      <c r="H2208" s="183">
        <f t="shared" ca="1" si="72"/>
        <v>-1.3326115459038106E-2</v>
      </c>
      <c r="K2208" s="36"/>
    </row>
    <row r="2209" spans="2:11">
      <c r="B2209" s="36">
        <v>42834</v>
      </c>
      <c r="C2209" s="182">
        <v>1130.6500000000001</v>
      </c>
      <c r="D2209" s="182">
        <f t="shared" si="71"/>
        <v>-7.5052668539325436E-3</v>
      </c>
      <c r="E2209" s="182">
        <v>-9.4792276184903716E-3</v>
      </c>
      <c r="F2209" s="168"/>
      <c r="G2209" s="168">
        <v>2206</v>
      </c>
      <c r="H2209" s="183">
        <f t="shared" ca="1" si="72"/>
        <v>7.2371557163306219E-3</v>
      </c>
      <c r="K2209" s="36"/>
    </row>
    <row r="2210" spans="2:11">
      <c r="B2210" s="36">
        <v>42744</v>
      </c>
      <c r="C2210" s="182">
        <v>1139.2</v>
      </c>
      <c r="D2210" s="182">
        <f t="shared" si="71"/>
        <v>2.5521429200036005E-3</v>
      </c>
      <c r="E2210" s="182">
        <v>-9.4850948509483824E-3</v>
      </c>
      <c r="F2210" s="168"/>
      <c r="G2210" s="168">
        <v>2207</v>
      </c>
      <c r="H2210" s="183">
        <f t="shared" ca="1" si="72"/>
        <v>2.1848377799933479E-3</v>
      </c>
      <c r="K2210" s="36"/>
    </row>
    <row r="2211" spans="2:11">
      <c r="B2211" s="36" t="s">
        <v>9926</v>
      </c>
      <c r="C2211" s="182">
        <v>1136.3</v>
      </c>
      <c r="D2211" s="182">
        <f t="shared" si="71"/>
        <v>-2.9394989689818245E-3</v>
      </c>
      <c r="E2211" s="182">
        <v>-9.4979647218453641E-3</v>
      </c>
      <c r="F2211" s="168"/>
      <c r="G2211" s="168">
        <v>2208</v>
      </c>
      <c r="H2211" s="183">
        <f t="shared" ca="1" si="72"/>
        <v>-1.1792915948802496E-2</v>
      </c>
      <c r="K2211" s="36"/>
    </row>
    <row r="2212" spans="2:11">
      <c r="B2212" s="36" t="s">
        <v>9927</v>
      </c>
      <c r="C2212" s="182">
        <v>1139.6500000000001</v>
      </c>
      <c r="D2212" s="182">
        <f t="shared" si="71"/>
        <v>8.4951993274635079E-3</v>
      </c>
      <c r="E2212" s="182">
        <v>-9.5091816682854931E-3</v>
      </c>
      <c r="F2212" s="168"/>
      <c r="G2212" s="168">
        <v>2209</v>
      </c>
      <c r="H2212" s="183">
        <f t="shared" ca="1" si="72"/>
        <v>-9.1937294603082753E-3</v>
      </c>
      <c r="K2212" s="36"/>
    </row>
    <row r="2213" spans="2:11">
      <c r="B2213" s="36" t="s">
        <v>9928</v>
      </c>
      <c r="C2213" s="182">
        <v>1130.05</v>
      </c>
      <c r="D2213" s="182">
        <f t="shared" si="71"/>
        <v>-7.7706558960401574E-3</v>
      </c>
      <c r="E2213" s="182">
        <v>-9.5263414418006991E-3</v>
      </c>
      <c r="F2213" s="168"/>
      <c r="G2213" s="168">
        <v>2210</v>
      </c>
      <c r="H2213" s="183">
        <f t="shared" ca="1" si="72"/>
        <v>8.3536413574379527E-3</v>
      </c>
      <c r="K2213" s="36"/>
    </row>
    <row r="2214" spans="2:11">
      <c r="B2214" s="36" t="s">
        <v>9929</v>
      </c>
      <c r="C2214" s="182">
        <v>1138.9000000000001</v>
      </c>
      <c r="D2214" s="182">
        <f t="shared" si="71"/>
        <v>6.3621100998498235E-3</v>
      </c>
      <c r="E2214" s="182">
        <v>-9.5448787711191595E-3</v>
      </c>
      <c r="F2214" s="168"/>
      <c r="G2214" s="168">
        <v>2211</v>
      </c>
      <c r="H2214" s="183">
        <f t="shared" ca="1" si="72"/>
        <v>-4.0408766043625866E-4</v>
      </c>
      <c r="K2214" s="36"/>
    </row>
    <row r="2215" spans="2:11">
      <c r="B2215" s="36" t="s">
        <v>9930</v>
      </c>
      <c r="C2215" s="182">
        <v>1131.7</v>
      </c>
      <c r="D2215" s="182">
        <f t="shared" si="71"/>
        <v>6.7161855624249022E-3</v>
      </c>
      <c r="E2215" s="182">
        <v>-9.5934597630832549E-3</v>
      </c>
      <c r="F2215" s="168"/>
      <c r="G2215" s="168">
        <v>2212</v>
      </c>
      <c r="H2215" s="183">
        <f t="shared" ca="1" si="72"/>
        <v>1.3379229366036111E-3</v>
      </c>
      <c r="K2215" s="36"/>
    </row>
    <row r="2216" spans="2:11">
      <c r="B2216" s="36" t="s">
        <v>9931</v>
      </c>
      <c r="C2216" s="182">
        <v>1124.1500000000001</v>
      </c>
      <c r="D2216" s="182">
        <f t="shared" si="71"/>
        <v>5.7707792788763042E-3</v>
      </c>
      <c r="E2216" s="182">
        <v>-9.611961552153752E-3</v>
      </c>
      <c r="F2216" s="168"/>
      <c r="G2216" s="168">
        <v>2213</v>
      </c>
      <c r="H2216" s="183">
        <f t="shared" ca="1" si="72"/>
        <v>1.318339782951929E-2</v>
      </c>
      <c r="K2216" s="36"/>
    </row>
    <row r="2217" spans="2:11">
      <c r="B2217" s="36" t="s">
        <v>9932</v>
      </c>
      <c r="C2217" s="182">
        <v>1117.7</v>
      </c>
      <c r="D2217" s="182">
        <f t="shared" si="71"/>
        <v>-8.3399875787417838E-3</v>
      </c>
      <c r="E2217" s="182">
        <v>-9.7350850743053666E-3</v>
      </c>
      <c r="F2217" s="168"/>
      <c r="G2217" s="168">
        <v>2214</v>
      </c>
      <c r="H2217" s="183">
        <f t="shared" ca="1" si="72"/>
        <v>-6.7376436077805123E-3</v>
      </c>
      <c r="K2217" s="36"/>
    </row>
    <row r="2218" spans="2:11">
      <c r="B2218" s="36" t="s">
        <v>9933</v>
      </c>
      <c r="C2218" s="182">
        <v>1127.0999999999999</v>
      </c>
      <c r="D2218" s="182">
        <f t="shared" si="71"/>
        <v>-3.0957013974880596E-3</v>
      </c>
      <c r="E2218" s="182">
        <v>-9.7380374587765946E-3</v>
      </c>
      <c r="F2218" s="168"/>
      <c r="G2218" s="168">
        <v>2215</v>
      </c>
      <c r="H2218" s="183">
        <f t="shared" ca="1" si="72"/>
        <v>-2.4201658945672078E-3</v>
      </c>
      <c r="K2218" s="36"/>
    </row>
    <row r="2219" spans="2:11">
      <c r="B2219" s="36" t="s">
        <v>9934</v>
      </c>
      <c r="C2219" s="182">
        <v>1130.5999999999999</v>
      </c>
      <c r="D2219" s="182">
        <f t="shared" si="71"/>
        <v>-2.9982363315697452E-3</v>
      </c>
      <c r="E2219" s="182">
        <v>-9.7428958051420135E-3</v>
      </c>
      <c r="F2219" s="168"/>
      <c r="G2219" s="168">
        <v>2216</v>
      </c>
      <c r="H2219" s="183">
        <f t="shared" ca="1" si="72"/>
        <v>1.2576669319823958E-2</v>
      </c>
      <c r="K2219" s="36"/>
    </row>
    <row r="2220" spans="2:11">
      <c r="B2220" s="36" t="s">
        <v>9935</v>
      </c>
      <c r="C2220" s="182">
        <v>1134</v>
      </c>
      <c r="D2220" s="182">
        <f t="shared" si="71"/>
        <v>-7.222586999343401E-3</v>
      </c>
      <c r="E2220" s="182">
        <v>-9.7823981403758579E-3</v>
      </c>
      <c r="F2220" s="168"/>
      <c r="G2220" s="168">
        <v>2217</v>
      </c>
      <c r="H2220" s="183">
        <f t="shared" ca="1" si="72"/>
        <v>1.7377416003713838E-2</v>
      </c>
      <c r="K2220" s="36"/>
    </row>
    <row r="2221" spans="2:11">
      <c r="B2221" s="36" t="s">
        <v>9936</v>
      </c>
      <c r="C2221" s="182">
        <v>1142.25</v>
      </c>
      <c r="D2221" s="182">
        <f t="shared" si="71"/>
        <v>-4.0544075333508508E-3</v>
      </c>
      <c r="E2221" s="182">
        <v>-9.7997644287396365E-3</v>
      </c>
      <c r="F2221" s="168"/>
      <c r="G2221" s="168">
        <v>2218</v>
      </c>
      <c r="H2221" s="183">
        <f t="shared" ca="1" si="72"/>
        <v>4.2736828313406109E-3</v>
      </c>
      <c r="K2221" s="36"/>
    </row>
    <row r="2222" spans="2:11">
      <c r="B2222" s="36" t="s">
        <v>9937</v>
      </c>
      <c r="C2222" s="182">
        <v>1146.9000000000001</v>
      </c>
      <c r="D2222" s="182">
        <f t="shared" si="71"/>
        <v>1.3207297142099955E-2</v>
      </c>
      <c r="E2222" s="182">
        <v>-9.8120052770447434E-3</v>
      </c>
      <c r="F2222" s="168"/>
      <c r="G2222" s="168">
        <v>2219</v>
      </c>
      <c r="H2222" s="183">
        <f t="shared" ca="1" si="72"/>
        <v>1.2444126129927371E-2</v>
      </c>
      <c r="K2222" s="36"/>
    </row>
    <row r="2223" spans="2:11">
      <c r="B2223" s="36">
        <v>43047</v>
      </c>
      <c r="C2223" s="182">
        <v>1131.95</v>
      </c>
      <c r="D2223" s="182">
        <f t="shared" si="71"/>
        <v>-2.2242377127062278E-2</v>
      </c>
      <c r="E2223" s="182">
        <v>-9.8279143844929411E-3</v>
      </c>
      <c r="F2223" s="168"/>
      <c r="G2223" s="168">
        <v>2220</v>
      </c>
      <c r="H2223" s="183">
        <f t="shared" ca="1" si="72"/>
        <v>-1.0520068994850834E-2</v>
      </c>
      <c r="K2223" s="36"/>
    </row>
    <row r="2224" spans="2:11">
      <c r="B2224" s="36">
        <v>43016</v>
      </c>
      <c r="C2224" s="182">
        <v>1157.7</v>
      </c>
      <c r="D2224" s="182">
        <f t="shared" si="71"/>
        <v>3.2931796516162183E-3</v>
      </c>
      <c r="E2224" s="182">
        <v>-9.9226036912085733E-3</v>
      </c>
      <c r="F2224" s="168"/>
      <c r="G2224" s="168">
        <v>2221</v>
      </c>
      <c r="H2224" s="183">
        <f t="shared" ca="1" si="72"/>
        <v>-7.1941308315873727E-3</v>
      </c>
      <c r="K2224" s="36"/>
    </row>
    <row r="2225" spans="2:11">
      <c r="B2225" s="36">
        <v>42986</v>
      </c>
      <c r="C2225" s="182">
        <v>1153.9000000000001</v>
      </c>
      <c r="D2225" s="182">
        <f t="shared" si="71"/>
        <v>-1.4771174863387939E-2</v>
      </c>
      <c r="E2225" s="182">
        <v>-9.9372384937237972E-3</v>
      </c>
      <c r="F2225" s="168"/>
      <c r="G2225" s="168">
        <v>2222</v>
      </c>
      <c r="H2225" s="183">
        <f t="shared" ca="1" si="72"/>
        <v>-5.0753478847197107E-3</v>
      </c>
      <c r="K2225" s="36"/>
    </row>
    <row r="2226" spans="2:11">
      <c r="B2226" s="36">
        <v>42955</v>
      </c>
      <c r="C2226" s="182">
        <v>1171.2</v>
      </c>
      <c r="D2226" s="182">
        <f t="shared" si="71"/>
        <v>-7.4155684562905201E-3</v>
      </c>
      <c r="E2226" s="182">
        <v>-9.9416775988240124E-3</v>
      </c>
      <c r="F2226" s="168"/>
      <c r="G2226" s="168">
        <v>2223</v>
      </c>
      <c r="H2226" s="183">
        <f t="shared" ca="1" si="72"/>
        <v>-1.2099094320508069E-3</v>
      </c>
      <c r="K2226" s="36"/>
    </row>
    <row r="2227" spans="2:11">
      <c r="B2227" s="36">
        <v>42924</v>
      </c>
      <c r="C2227" s="182">
        <v>1179.95</v>
      </c>
      <c r="D2227" s="182">
        <f t="shared" si="71"/>
        <v>3.4868393077349463E-3</v>
      </c>
      <c r="E2227" s="182">
        <v>-9.9614640610483206E-3</v>
      </c>
      <c r="F2227" s="168"/>
      <c r="G2227" s="168">
        <v>2224</v>
      </c>
      <c r="H2227" s="183">
        <f t="shared" ca="1" si="72"/>
        <v>-2.7335355811182573E-3</v>
      </c>
      <c r="K2227" s="36"/>
    </row>
    <row r="2228" spans="2:11">
      <c r="B2228" s="36">
        <v>42833</v>
      </c>
      <c r="C2228" s="182">
        <v>1175.8499999999999</v>
      </c>
      <c r="D2228" s="182">
        <f t="shared" si="71"/>
        <v>9.3636944030637073E-4</v>
      </c>
      <c r="E2228" s="182">
        <v>-1.0038075458636206E-2</v>
      </c>
      <c r="F2228" s="168"/>
      <c r="G2228" s="168">
        <v>2225</v>
      </c>
      <c r="H2228" s="183">
        <f t="shared" ca="1" si="72"/>
        <v>-1.3704538683572114E-4</v>
      </c>
      <c r="K2228" s="36"/>
    </row>
    <row r="2229" spans="2:11">
      <c r="B2229" s="36">
        <v>42802</v>
      </c>
      <c r="C2229" s="182">
        <v>1174.75</v>
      </c>
      <c r="D2229" s="182">
        <f t="shared" si="71"/>
        <v>-1.7420122365737207E-3</v>
      </c>
      <c r="E2229" s="182">
        <v>-1.0039621247733409E-2</v>
      </c>
      <c r="F2229" s="168"/>
      <c r="G2229" s="168">
        <v>2226</v>
      </c>
      <c r="H2229" s="183">
        <f t="shared" ca="1" si="72"/>
        <v>4.974456369660837E-3</v>
      </c>
      <c r="K2229" s="36"/>
    </row>
    <row r="2230" spans="2:11">
      <c r="B2230" s="36">
        <v>42774</v>
      </c>
      <c r="C2230" s="182">
        <v>1176.8</v>
      </c>
      <c r="D2230" s="182">
        <f t="shared" si="71"/>
        <v>-1.1133985966976179E-2</v>
      </c>
      <c r="E2230" s="182">
        <v>-1.0039861019333737E-2</v>
      </c>
      <c r="F2230" s="168"/>
      <c r="G2230" s="168">
        <v>2227</v>
      </c>
      <c r="H2230" s="183">
        <f t="shared" ca="1" si="72"/>
        <v>2.8854387350612406E-2</v>
      </c>
      <c r="K2230" s="36"/>
    </row>
    <row r="2231" spans="2:11">
      <c r="B2231" s="36">
        <v>42743</v>
      </c>
      <c r="C2231" s="182">
        <v>1190.05</v>
      </c>
      <c r="D2231" s="182">
        <f t="shared" si="71"/>
        <v>-3.2664684450773407E-3</v>
      </c>
      <c r="E2231" s="182">
        <v>-1.0043126366160572E-2</v>
      </c>
      <c r="F2231" s="168"/>
      <c r="G2231" s="168">
        <v>2228</v>
      </c>
      <c r="H2231" s="183">
        <f t="shared" ca="1" si="72"/>
        <v>-5.1554538932497224E-3</v>
      </c>
      <c r="K2231" s="36"/>
    </row>
    <row r="2232" spans="2:11">
      <c r="B2232" s="36" t="s">
        <v>9938</v>
      </c>
      <c r="C2232" s="182">
        <v>1193.95</v>
      </c>
      <c r="D2232" s="182">
        <f t="shared" si="71"/>
        <v>2.8026519717582188E-2</v>
      </c>
      <c r="E2232" s="182">
        <v>-1.0075016387074956E-2</v>
      </c>
      <c r="F2232" s="168"/>
      <c r="G2232" s="168">
        <v>2229</v>
      </c>
      <c r="H2232" s="183">
        <f t="shared" ca="1" si="72"/>
        <v>-7.3113529852809412E-3</v>
      </c>
      <c r="K2232" s="36"/>
    </row>
    <row r="2233" spans="2:11">
      <c r="B2233" s="36" t="s">
        <v>9939</v>
      </c>
      <c r="C2233" s="182">
        <v>1161.4000000000001</v>
      </c>
      <c r="D2233" s="182">
        <f t="shared" si="71"/>
        <v>-1.7469650184002254E-2</v>
      </c>
      <c r="E2233" s="182">
        <v>-1.0083359592082348E-2</v>
      </c>
      <c r="F2233" s="168"/>
      <c r="G2233" s="168">
        <v>2230</v>
      </c>
      <c r="H2233" s="183">
        <f t="shared" ca="1" si="72"/>
        <v>4.1196220718098444E-3</v>
      </c>
      <c r="K2233" s="36"/>
    </row>
    <row r="2234" spans="2:11">
      <c r="B2234" s="36" t="s">
        <v>9940</v>
      </c>
      <c r="C2234" s="182">
        <v>1182.05</v>
      </c>
      <c r="D2234" s="182">
        <f t="shared" si="71"/>
        <v>1.5251006142765978E-3</v>
      </c>
      <c r="E2234" s="182">
        <v>-1.0111587982832555E-2</v>
      </c>
      <c r="F2234" s="168"/>
      <c r="G2234" s="168">
        <v>2231</v>
      </c>
      <c r="H2234" s="183">
        <f t="shared" ca="1" si="72"/>
        <v>-1.2689279657512952E-2</v>
      </c>
      <c r="K2234" s="36"/>
    </row>
    <row r="2235" spans="2:11">
      <c r="B2235" s="36" t="s">
        <v>9941</v>
      </c>
      <c r="C2235" s="182">
        <v>1180.25</v>
      </c>
      <c r="D2235" s="182">
        <f t="shared" si="71"/>
        <v>8.0283554682496414E-3</v>
      </c>
      <c r="E2235" s="182">
        <v>-1.01135029354208E-2</v>
      </c>
      <c r="F2235" s="168"/>
      <c r="G2235" s="168">
        <v>2232</v>
      </c>
      <c r="H2235" s="183">
        <f t="shared" ca="1" si="72"/>
        <v>1.6555833180257454E-2</v>
      </c>
      <c r="K2235" s="36"/>
    </row>
    <row r="2236" spans="2:11">
      <c r="B2236" s="36" t="s">
        <v>9942</v>
      </c>
      <c r="C2236" s="182">
        <v>1170.8499999999999</v>
      </c>
      <c r="D2236" s="182">
        <f t="shared" si="71"/>
        <v>-6.0696095076401453E-3</v>
      </c>
      <c r="E2236" s="182">
        <v>-1.0122999891150612E-2</v>
      </c>
      <c r="F2236" s="168"/>
      <c r="G2236" s="168">
        <v>2233</v>
      </c>
      <c r="H2236" s="183">
        <f t="shared" ca="1" si="72"/>
        <v>-1.0341317892459439E-2</v>
      </c>
      <c r="K2236" s="36"/>
    </row>
    <row r="2237" spans="2:11">
      <c r="B2237" s="36" t="s">
        <v>9943</v>
      </c>
      <c r="C2237" s="182">
        <v>1178</v>
      </c>
      <c r="D2237" s="182">
        <f t="shared" si="71"/>
        <v>-1.0599957600169599E-3</v>
      </c>
      <c r="E2237" s="182">
        <v>-1.0128542666873104E-2</v>
      </c>
      <c r="F2237" s="168"/>
      <c r="G2237" s="168">
        <v>2234</v>
      </c>
      <c r="H2237" s="183">
        <f t="shared" ca="1" si="72"/>
        <v>-3.4058621297989389E-3</v>
      </c>
      <c r="K2237" s="36"/>
    </row>
    <row r="2238" spans="2:11">
      <c r="B2238" s="36" t="s">
        <v>9944</v>
      </c>
      <c r="C2238" s="182">
        <v>1179.25</v>
      </c>
      <c r="D2238" s="182">
        <f t="shared" si="71"/>
        <v>-5.3978830177540509E-3</v>
      </c>
      <c r="E2238" s="182">
        <v>-1.0147345009730163E-2</v>
      </c>
      <c r="F2238" s="168"/>
      <c r="G2238" s="168">
        <v>2235</v>
      </c>
      <c r="H2238" s="183">
        <f t="shared" ca="1" si="72"/>
        <v>1.2272825497808902E-3</v>
      </c>
      <c r="K2238" s="36"/>
    </row>
    <row r="2239" spans="2:11">
      <c r="B2239" s="36" t="s">
        <v>9945</v>
      </c>
      <c r="C2239" s="182">
        <v>1185.6500000000001</v>
      </c>
      <c r="D2239" s="182">
        <f t="shared" si="71"/>
        <v>3.6823838144418326E-3</v>
      </c>
      <c r="E2239" s="182">
        <v>-1.0171590306032196E-2</v>
      </c>
      <c r="F2239" s="168"/>
      <c r="G2239" s="168">
        <v>2236</v>
      </c>
      <c r="H2239" s="183">
        <f t="shared" ca="1" si="72"/>
        <v>1.3334779092888285E-2</v>
      </c>
      <c r="K2239" s="36"/>
    </row>
    <row r="2240" spans="2:11">
      <c r="B2240" s="36" t="s">
        <v>9946</v>
      </c>
      <c r="C2240" s="182">
        <v>1181.3</v>
      </c>
      <c r="D2240" s="182">
        <f t="shared" si="71"/>
        <v>2.8864929111128818E-3</v>
      </c>
      <c r="E2240" s="182">
        <v>-1.0184111336619278E-2</v>
      </c>
      <c r="F2240" s="168"/>
      <c r="G2240" s="168">
        <v>2237</v>
      </c>
      <c r="H2240" s="183">
        <f t="shared" ca="1" si="72"/>
        <v>1.3467060262973583E-2</v>
      </c>
      <c r="K2240" s="36"/>
    </row>
    <row r="2241" spans="2:11">
      <c r="B2241" s="36" t="s">
        <v>9947</v>
      </c>
      <c r="C2241" s="182">
        <v>1177.9000000000001</v>
      </c>
      <c r="D2241" s="182">
        <f t="shared" si="71"/>
        <v>5.6776947705443675E-3</v>
      </c>
      <c r="E2241" s="182">
        <v>-1.0188062142273129E-2</v>
      </c>
      <c r="F2241" s="168"/>
      <c r="G2241" s="168">
        <v>2238</v>
      </c>
      <c r="H2241" s="183">
        <f t="shared" ca="1" si="72"/>
        <v>7.1362371291167643E-3</v>
      </c>
      <c r="K2241" s="36"/>
    </row>
    <row r="2242" spans="2:11">
      <c r="B2242" s="36" t="s">
        <v>9948</v>
      </c>
      <c r="C2242" s="182">
        <v>1171.25</v>
      </c>
      <c r="D2242" s="182">
        <f t="shared" si="71"/>
        <v>4.2691256830562265E-5</v>
      </c>
      <c r="E2242" s="182">
        <v>-1.0199014477252863E-2</v>
      </c>
      <c r="F2242" s="168"/>
      <c r="G2242" s="168">
        <v>2239</v>
      </c>
      <c r="H2242" s="183">
        <f t="shared" ca="1" si="72"/>
        <v>1.4458572781582135E-2</v>
      </c>
      <c r="K2242" s="36"/>
    </row>
    <row r="2243" spans="2:11">
      <c r="B2243" s="36" t="s">
        <v>9949</v>
      </c>
      <c r="C2243" s="182">
        <v>1171.2</v>
      </c>
      <c r="D2243" s="182">
        <f t="shared" si="71"/>
        <v>-3.3188664794484416E-3</v>
      </c>
      <c r="E2243" s="182">
        <v>-1.0202953049825828E-2</v>
      </c>
      <c r="F2243" s="168"/>
      <c r="G2243" s="168">
        <v>2240</v>
      </c>
      <c r="H2243" s="183">
        <f t="shared" ca="1" si="72"/>
        <v>1.4183671433536913E-2</v>
      </c>
      <c r="K2243" s="36"/>
    </row>
    <row r="2244" spans="2:11">
      <c r="B2244" s="36" t="s">
        <v>9950</v>
      </c>
      <c r="C2244" s="182">
        <v>1175.0999999999999</v>
      </c>
      <c r="D2244" s="182">
        <f t="shared" ref="D2244:D2307" si="73">(C2244-C2245)/C2245</f>
        <v>1.3279296369750679E-2</v>
      </c>
      <c r="E2244" s="182">
        <v>-1.0206905032741975E-2</v>
      </c>
      <c r="F2244" s="168"/>
      <c r="G2244" s="168">
        <v>2241</v>
      </c>
      <c r="H2244" s="183">
        <f t="shared" ca="1" si="72"/>
        <v>-1.3982127263661315E-3</v>
      </c>
      <c r="K2244" s="36"/>
    </row>
    <row r="2245" spans="2:11">
      <c r="B2245" s="36">
        <v>43076</v>
      </c>
      <c r="C2245" s="182">
        <v>1159.7</v>
      </c>
      <c r="D2245" s="182">
        <f t="shared" si="73"/>
        <v>-8.8737260172475313E-4</v>
      </c>
      <c r="E2245" s="182">
        <v>-1.0226522982186006E-2</v>
      </c>
      <c r="F2245" s="168"/>
      <c r="G2245" s="168">
        <v>2242</v>
      </c>
      <c r="H2245" s="183">
        <f t="shared" ref="H2245:H2308" ca="1" si="74">_xlfn.NORM.INV(RAND(),N$6,N$7)</f>
        <v>-1.4670390363587015E-3</v>
      </c>
      <c r="K2245" s="36"/>
    </row>
    <row r="2246" spans="2:11">
      <c r="B2246" s="36">
        <v>43046</v>
      </c>
      <c r="C2246" s="182">
        <v>1160.73</v>
      </c>
      <c r="D2246" s="182">
        <f t="shared" si="73"/>
        <v>5.1612009317873143E-3</v>
      </c>
      <c r="E2246" s="182">
        <v>-1.0308545428693304E-2</v>
      </c>
      <c r="F2246" s="168"/>
      <c r="G2246" s="168">
        <v>2243</v>
      </c>
      <c r="H2246" s="183">
        <f t="shared" ca="1" si="74"/>
        <v>1.9637962790955102E-2</v>
      </c>
      <c r="K2246" s="36"/>
    </row>
    <row r="2247" spans="2:11">
      <c r="B2247" s="36">
        <v>43015</v>
      </c>
      <c r="C2247" s="182">
        <v>1154.77</v>
      </c>
      <c r="D2247" s="182">
        <f t="shared" si="73"/>
        <v>1.6281341582546401E-2</v>
      </c>
      <c r="E2247" s="182">
        <v>-1.0320086492153458E-2</v>
      </c>
      <c r="F2247" s="168"/>
      <c r="G2247" s="168">
        <v>2244</v>
      </c>
      <c r="H2247" s="183">
        <f t="shared" ca="1" si="74"/>
        <v>-1.4014250996763143E-2</v>
      </c>
      <c r="K2247" s="36"/>
    </row>
    <row r="2248" spans="2:11">
      <c r="B2248" s="36">
        <v>42923</v>
      </c>
      <c r="C2248" s="182">
        <v>1136.27</v>
      </c>
      <c r="D2248" s="182">
        <f t="shared" si="73"/>
        <v>4.0115575269719485E-3</v>
      </c>
      <c r="E2248" s="182">
        <v>-1.0328638497652559E-2</v>
      </c>
      <c r="F2248" s="168"/>
      <c r="G2248" s="168">
        <v>2245</v>
      </c>
      <c r="H2248" s="183">
        <f t="shared" ca="1" si="74"/>
        <v>2.225145896662405E-2</v>
      </c>
      <c r="K2248" s="36"/>
    </row>
    <row r="2249" spans="2:11">
      <c r="B2249" s="36">
        <v>42893</v>
      </c>
      <c r="C2249" s="182">
        <v>1131.73</v>
      </c>
      <c r="D2249" s="182">
        <f t="shared" si="73"/>
        <v>1.3537427004069835E-3</v>
      </c>
      <c r="E2249" s="182">
        <v>-1.0328865552024349E-2</v>
      </c>
      <c r="F2249" s="168"/>
      <c r="G2249" s="168">
        <v>2246</v>
      </c>
      <c r="H2249" s="183">
        <f t="shared" ca="1" si="74"/>
        <v>1.4050594856239811E-2</v>
      </c>
      <c r="K2249" s="36"/>
    </row>
    <row r="2250" spans="2:11">
      <c r="B2250" s="36">
        <v>42862</v>
      </c>
      <c r="C2250" s="182">
        <v>1130.2</v>
      </c>
      <c r="D2250" s="182">
        <f t="shared" si="73"/>
        <v>7.1019309767160269E-3</v>
      </c>
      <c r="E2250" s="182">
        <v>-1.035068501849482E-2</v>
      </c>
      <c r="F2250" s="168"/>
      <c r="G2250" s="168">
        <v>2247</v>
      </c>
      <c r="H2250" s="183">
        <f t="shared" ca="1" si="74"/>
        <v>6.7632162766400258E-3</v>
      </c>
      <c r="K2250" s="36"/>
    </row>
    <row r="2251" spans="2:11">
      <c r="B2251" s="36">
        <v>42832</v>
      </c>
      <c r="C2251" s="182">
        <v>1122.23</v>
      </c>
      <c r="D2251" s="182">
        <f t="shared" si="73"/>
        <v>-2.3114603984601312E-3</v>
      </c>
      <c r="E2251" s="182">
        <v>-1.0368147617341495E-2</v>
      </c>
      <c r="F2251" s="168"/>
      <c r="G2251" s="168">
        <v>2248</v>
      </c>
      <c r="H2251" s="183">
        <f t="shared" ca="1" si="74"/>
        <v>-7.1260827564782235E-3</v>
      </c>
      <c r="K2251" s="36"/>
    </row>
    <row r="2252" spans="2:11">
      <c r="B2252" s="36">
        <v>42801</v>
      </c>
      <c r="C2252" s="182">
        <v>1124.83</v>
      </c>
      <c r="D2252" s="182">
        <f t="shared" si="73"/>
        <v>-2.1332006008515836E-4</v>
      </c>
      <c r="E2252" s="182">
        <v>-1.0419620073717073E-2</v>
      </c>
      <c r="F2252" s="168"/>
      <c r="G2252" s="168">
        <v>2249</v>
      </c>
      <c r="H2252" s="183">
        <f t="shared" ca="1" si="74"/>
        <v>-4.0057708069698342E-2</v>
      </c>
      <c r="K2252" s="36"/>
    </row>
    <row r="2253" spans="2:11">
      <c r="B2253" s="36" t="s">
        <v>9951</v>
      </c>
      <c r="C2253" s="182">
        <v>1125.07</v>
      </c>
      <c r="D2253" s="182">
        <f t="shared" si="73"/>
        <v>-9.4209214893860947E-3</v>
      </c>
      <c r="E2253" s="182">
        <v>-1.0456231288261357E-2</v>
      </c>
      <c r="F2253" s="168"/>
      <c r="G2253" s="168">
        <v>2250</v>
      </c>
      <c r="H2253" s="183">
        <f t="shared" ca="1" si="74"/>
        <v>4.2645274206232582E-3</v>
      </c>
      <c r="K2253" s="36"/>
    </row>
    <row r="2254" spans="2:11">
      <c r="B2254" s="36" t="s">
        <v>9952</v>
      </c>
      <c r="C2254" s="182">
        <v>1135.77</v>
      </c>
      <c r="D2254" s="182">
        <f t="shared" si="73"/>
        <v>2.3778071334212399E-4</v>
      </c>
      <c r="E2254" s="182">
        <v>-1.045697438732277E-2</v>
      </c>
      <c r="F2254" s="168"/>
      <c r="G2254" s="168">
        <v>2251</v>
      </c>
      <c r="H2254" s="183">
        <f t="shared" ca="1" si="74"/>
        <v>-2.2574356454327486E-2</v>
      </c>
      <c r="K2254" s="36"/>
    </row>
    <row r="2255" spans="2:11">
      <c r="B2255" s="36" t="s">
        <v>9953</v>
      </c>
      <c r="C2255" s="182">
        <v>1135.5</v>
      </c>
      <c r="D2255" s="182">
        <f t="shared" si="73"/>
        <v>9.079129461334127E-4</v>
      </c>
      <c r="E2255" s="182">
        <v>-1.0468449985533597E-2</v>
      </c>
      <c r="F2255" s="168"/>
      <c r="G2255" s="168">
        <v>2252</v>
      </c>
      <c r="H2255" s="183">
        <f t="shared" ca="1" si="74"/>
        <v>-2.4411800384588518E-2</v>
      </c>
      <c r="K2255" s="36"/>
    </row>
    <row r="2256" spans="2:11">
      <c r="B2256" s="36" t="s">
        <v>9954</v>
      </c>
      <c r="C2256" s="182">
        <v>1134.47</v>
      </c>
      <c r="D2256" s="182">
        <f t="shared" si="73"/>
        <v>-1.2190131218055325E-2</v>
      </c>
      <c r="E2256" s="182">
        <v>-1.0520306638395115E-2</v>
      </c>
      <c r="F2256" s="168"/>
      <c r="G2256" s="168">
        <v>2253</v>
      </c>
      <c r="H2256" s="183">
        <f t="shared" ca="1" si="74"/>
        <v>1.5755005332120264E-2</v>
      </c>
      <c r="K2256" s="36"/>
    </row>
    <row r="2257" spans="2:11">
      <c r="B2257" s="36" t="s">
        <v>9955</v>
      </c>
      <c r="C2257" s="182">
        <v>1148.47</v>
      </c>
      <c r="D2257" s="182">
        <f t="shared" si="73"/>
        <v>-7.8870076019349374E-3</v>
      </c>
      <c r="E2257" s="182">
        <v>-1.0521164668460942E-2</v>
      </c>
      <c r="F2257" s="168"/>
      <c r="G2257" s="168">
        <v>2254</v>
      </c>
      <c r="H2257" s="183">
        <f t="shared" ca="1" si="74"/>
        <v>1.0209875845332552E-2</v>
      </c>
      <c r="K2257" s="36"/>
    </row>
    <row r="2258" spans="2:11">
      <c r="B2258" s="36" t="s">
        <v>9956</v>
      </c>
      <c r="C2258" s="182">
        <v>1157.5999999999999</v>
      </c>
      <c r="D2258" s="182">
        <f t="shared" si="73"/>
        <v>-1.0149896961871718E-2</v>
      </c>
      <c r="E2258" s="182">
        <v>-1.0576981109300556E-2</v>
      </c>
      <c r="F2258" s="168"/>
      <c r="G2258" s="168">
        <v>2255</v>
      </c>
      <c r="H2258" s="183">
        <f t="shared" ca="1" si="74"/>
        <v>-2.2672916460197796E-3</v>
      </c>
      <c r="K2258" s="36"/>
    </row>
    <row r="2259" spans="2:11">
      <c r="B2259" s="36" t="s">
        <v>9957</v>
      </c>
      <c r="C2259" s="182">
        <v>1169.47</v>
      </c>
      <c r="D2259" s="182">
        <f t="shared" si="73"/>
        <v>2.1165381319623198E-3</v>
      </c>
      <c r="E2259" s="182">
        <v>-1.0587993421052586E-2</v>
      </c>
      <c r="F2259" s="168"/>
      <c r="G2259" s="168">
        <v>2256</v>
      </c>
      <c r="H2259" s="183">
        <f t="shared" ca="1" si="74"/>
        <v>3.1029208820321187E-3</v>
      </c>
      <c r="K2259" s="36"/>
    </row>
    <row r="2260" spans="2:11">
      <c r="B2260" s="36" t="s">
        <v>9958</v>
      </c>
      <c r="C2260" s="182">
        <v>1167</v>
      </c>
      <c r="D2260" s="182">
        <f t="shared" si="73"/>
        <v>-3.0157279181225365E-3</v>
      </c>
      <c r="E2260" s="182">
        <v>-1.0597848070544454E-2</v>
      </c>
      <c r="F2260" s="168"/>
      <c r="G2260" s="168">
        <v>2257</v>
      </c>
      <c r="H2260" s="183">
        <f t="shared" ca="1" si="74"/>
        <v>-9.5373830695944049E-4</v>
      </c>
      <c r="K2260" s="36"/>
    </row>
    <row r="2261" spans="2:11">
      <c r="B2261" s="36" t="s">
        <v>9959</v>
      </c>
      <c r="C2261" s="182">
        <v>1170.53</v>
      </c>
      <c r="D2261" s="182">
        <f t="shared" si="73"/>
        <v>1.685300530782784E-2</v>
      </c>
      <c r="E2261" s="182">
        <v>-1.0624565584351226E-2</v>
      </c>
      <c r="F2261" s="168"/>
      <c r="G2261" s="168">
        <v>2258</v>
      </c>
      <c r="H2261" s="183">
        <f t="shared" ca="1" si="74"/>
        <v>3.6031466937793834E-2</v>
      </c>
      <c r="K2261" s="36"/>
    </row>
    <row r="2262" spans="2:11">
      <c r="B2262" s="36" t="s">
        <v>9960</v>
      </c>
      <c r="C2262" s="182">
        <v>1151.1300000000001</v>
      </c>
      <c r="D2262" s="182">
        <f t="shared" si="73"/>
        <v>-4.9874665053159144E-3</v>
      </c>
      <c r="E2262" s="182">
        <v>-1.0664507954385376E-2</v>
      </c>
      <c r="F2262" s="168"/>
      <c r="G2262" s="168">
        <v>2259</v>
      </c>
      <c r="H2262" s="183">
        <f t="shared" ca="1" si="74"/>
        <v>-1.6169562030726847E-2</v>
      </c>
      <c r="K2262" s="36"/>
    </row>
    <row r="2263" spans="2:11">
      <c r="B2263" s="36" t="s">
        <v>9961</v>
      </c>
      <c r="C2263" s="182">
        <v>1156.9000000000001</v>
      </c>
      <c r="D2263" s="182">
        <f t="shared" si="73"/>
        <v>-1.6492391396752414E-2</v>
      </c>
      <c r="E2263" s="182">
        <v>-1.0668643535156681E-2</v>
      </c>
      <c r="F2263" s="168"/>
      <c r="G2263" s="168">
        <v>2260</v>
      </c>
      <c r="H2263" s="183">
        <f t="shared" ca="1" si="74"/>
        <v>3.6014127713020812E-3</v>
      </c>
      <c r="K2263" s="36"/>
    </row>
    <row r="2264" spans="2:11">
      <c r="B2264" s="36" t="s">
        <v>9962</v>
      </c>
      <c r="C2264" s="182">
        <v>1176.3</v>
      </c>
      <c r="D2264" s="182">
        <f t="shared" si="73"/>
        <v>1.4637764915942854E-2</v>
      </c>
      <c r="E2264" s="182">
        <v>-1.067927773000866E-2</v>
      </c>
      <c r="F2264" s="168"/>
      <c r="G2264" s="168">
        <v>2261</v>
      </c>
      <c r="H2264" s="183">
        <f t="shared" ca="1" si="74"/>
        <v>1.8701086731150479E-2</v>
      </c>
      <c r="K2264" s="36"/>
    </row>
    <row r="2265" spans="2:11">
      <c r="B2265" s="36" t="s">
        <v>9963</v>
      </c>
      <c r="C2265" s="182">
        <v>1159.33</v>
      </c>
      <c r="D2265" s="182">
        <f t="shared" si="73"/>
        <v>1.3820148048335182E-3</v>
      </c>
      <c r="E2265" s="182">
        <v>-1.0720995011984164E-2</v>
      </c>
      <c r="F2265" s="168"/>
      <c r="G2265" s="168">
        <v>2262</v>
      </c>
      <c r="H2265" s="183">
        <f t="shared" ca="1" si="74"/>
        <v>-2.4111666171421828E-2</v>
      </c>
      <c r="K2265" s="36"/>
    </row>
    <row r="2266" spans="2:11">
      <c r="B2266" s="36">
        <v>43075</v>
      </c>
      <c r="C2266" s="182">
        <v>1157.73</v>
      </c>
      <c r="D2266" s="182">
        <f t="shared" si="73"/>
        <v>-2.3400001687094576E-2</v>
      </c>
      <c r="E2266" s="182">
        <v>-1.0724026779072622E-2</v>
      </c>
      <c r="F2266" s="168"/>
      <c r="G2266" s="168">
        <v>2263</v>
      </c>
      <c r="H2266" s="183">
        <f t="shared" ca="1" si="74"/>
        <v>1.821527501624092E-3</v>
      </c>
      <c r="K2266" s="36"/>
    </row>
    <row r="2267" spans="2:11">
      <c r="B2267" s="36">
        <v>42984</v>
      </c>
      <c r="C2267" s="182">
        <v>1185.47</v>
      </c>
      <c r="D2267" s="182">
        <f t="shared" si="73"/>
        <v>2.2319352738771423E-3</v>
      </c>
      <c r="E2267" s="182">
        <v>-1.0724406016130231E-2</v>
      </c>
      <c r="F2267" s="168"/>
      <c r="G2267" s="168">
        <v>2264</v>
      </c>
      <c r="H2267" s="183">
        <f t="shared" ca="1" si="74"/>
        <v>-1.0734485553813736E-2</v>
      </c>
      <c r="K2267" s="36"/>
    </row>
    <row r="2268" spans="2:11">
      <c r="B2268" s="36">
        <v>42953</v>
      </c>
      <c r="C2268" s="182">
        <v>1182.83</v>
      </c>
      <c r="D2268" s="182">
        <f t="shared" si="73"/>
        <v>-8.0258302583027189E-3</v>
      </c>
      <c r="E2268" s="182">
        <v>-1.0748986305561897E-2</v>
      </c>
      <c r="F2268" s="168"/>
      <c r="G2268" s="168">
        <v>2265</v>
      </c>
      <c r="H2268" s="183">
        <f t="shared" ca="1" si="74"/>
        <v>-1.5914887838481686E-2</v>
      </c>
      <c r="K2268" s="36"/>
    </row>
    <row r="2269" spans="2:11">
      <c r="B2269" s="36">
        <v>42922</v>
      </c>
      <c r="C2269" s="182">
        <v>1192.4000000000001</v>
      </c>
      <c r="D2269" s="182">
        <f t="shared" si="73"/>
        <v>7.5796625064431583E-3</v>
      </c>
      <c r="E2269" s="182">
        <v>-1.0756379448449453E-2</v>
      </c>
      <c r="F2269" s="168"/>
      <c r="G2269" s="168">
        <v>2266</v>
      </c>
      <c r="H2269" s="183">
        <f t="shared" ca="1" si="74"/>
        <v>-7.816097443947588E-3</v>
      </c>
      <c r="K2269" s="36"/>
    </row>
    <row r="2270" spans="2:11">
      <c r="B2270" s="36">
        <v>42892</v>
      </c>
      <c r="C2270" s="182">
        <v>1183.43</v>
      </c>
      <c r="D2270" s="182">
        <f t="shared" si="73"/>
        <v>-1.6488402436693275E-2</v>
      </c>
      <c r="E2270" s="182">
        <v>-1.0763543990490362E-2</v>
      </c>
      <c r="F2270" s="168"/>
      <c r="G2270" s="168">
        <v>2267</v>
      </c>
      <c r="H2270" s="183">
        <f t="shared" ca="1" si="74"/>
        <v>-3.3927204487503495E-3</v>
      </c>
      <c r="K2270" s="36"/>
    </row>
    <row r="2271" spans="2:11">
      <c r="B2271" s="36">
        <v>42861</v>
      </c>
      <c r="C2271" s="182">
        <v>1203.27</v>
      </c>
      <c r="D2271" s="182">
        <f t="shared" si="73"/>
        <v>1.172088486795091E-2</v>
      </c>
      <c r="E2271" s="182">
        <v>-1.0774756285274616E-2</v>
      </c>
      <c r="F2271" s="168"/>
      <c r="G2271" s="168">
        <v>2268</v>
      </c>
      <c r="H2271" s="183">
        <f t="shared" ca="1" si="74"/>
        <v>-8.8401076653610161E-3</v>
      </c>
      <c r="K2271" s="36"/>
    </row>
    <row r="2272" spans="2:11">
      <c r="B2272" s="36">
        <v>42772</v>
      </c>
      <c r="C2272" s="182">
        <v>1189.33</v>
      </c>
      <c r="D2272" s="182">
        <f t="shared" si="73"/>
        <v>-4.9113119143240616E-3</v>
      </c>
      <c r="E2272" s="182">
        <v>-1.0796988208552384E-2</v>
      </c>
      <c r="F2272" s="168"/>
      <c r="G2272" s="168">
        <v>2269</v>
      </c>
      <c r="H2272" s="183">
        <f t="shared" ca="1" si="74"/>
        <v>-9.570317045496041E-4</v>
      </c>
      <c r="K2272" s="36"/>
    </row>
    <row r="2273" spans="2:11">
      <c r="B2273" s="36">
        <v>42741</v>
      </c>
      <c r="C2273" s="182">
        <v>1195.2</v>
      </c>
      <c r="D2273" s="182">
        <f t="shared" si="73"/>
        <v>1.8231385244505103E-2</v>
      </c>
      <c r="E2273" s="182">
        <v>-1.080238619874244E-2</v>
      </c>
      <c r="F2273" s="168"/>
      <c r="G2273" s="168">
        <v>2270</v>
      </c>
      <c r="H2273" s="183">
        <f t="shared" ca="1" si="74"/>
        <v>-1.0142901640955035E-2</v>
      </c>
      <c r="K2273" s="36"/>
    </row>
    <row r="2274" spans="2:11">
      <c r="B2274" s="36" t="s">
        <v>9964</v>
      </c>
      <c r="C2274" s="182">
        <v>1173.8</v>
      </c>
      <c r="D2274" s="182">
        <f t="shared" si="73"/>
        <v>-3.8782385838063908E-3</v>
      </c>
      <c r="E2274" s="182">
        <v>-1.080543998012789E-2</v>
      </c>
      <c r="F2274" s="168"/>
      <c r="G2274" s="168">
        <v>2271</v>
      </c>
      <c r="H2274" s="183">
        <f t="shared" ca="1" si="74"/>
        <v>3.0630655220725736E-2</v>
      </c>
      <c r="K2274" s="36"/>
    </row>
    <row r="2275" spans="2:11">
      <c r="B2275" s="36" t="s">
        <v>9965</v>
      </c>
      <c r="C2275" s="182">
        <v>1178.3699999999999</v>
      </c>
      <c r="D2275" s="182">
        <f t="shared" si="73"/>
        <v>-8.331439824282437E-3</v>
      </c>
      <c r="E2275" s="182">
        <v>-1.0806451612903258E-2</v>
      </c>
      <c r="F2275" s="168"/>
      <c r="G2275" s="168">
        <v>2272</v>
      </c>
      <c r="H2275" s="183">
        <f t="shared" ca="1" si="74"/>
        <v>-6.7952338466871825E-3</v>
      </c>
      <c r="K2275" s="36"/>
    </row>
    <row r="2276" spans="2:11">
      <c r="B2276" s="36" t="s">
        <v>9966</v>
      </c>
      <c r="C2276" s="182">
        <v>1188.27</v>
      </c>
      <c r="D2276" s="182">
        <f t="shared" si="73"/>
        <v>-2.903342199994996E-3</v>
      </c>
      <c r="E2276" s="182">
        <v>-1.0809059582363936E-2</v>
      </c>
      <c r="F2276" s="168"/>
      <c r="G2276" s="168">
        <v>2273</v>
      </c>
      <c r="H2276" s="183">
        <f t="shared" ca="1" si="74"/>
        <v>4.9358105641194444E-3</v>
      </c>
      <c r="K2276" s="36"/>
    </row>
    <row r="2277" spans="2:11">
      <c r="B2277" s="36" t="s">
        <v>9967</v>
      </c>
      <c r="C2277" s="182">
        <v>1191.73</v>
      </c>
      <c r="D2277" s="182">
        <f t="shared" si="73"/>
        <v>1.0600137377780415E-2</v>
      </c>
      <c r="E2277" s="182">
        <v>-1.0822333360662495E-2</v>
      </c>
      <c r="F2277" s="168"/>
      <c r="G2277" s="168">
        <v>2274</v>
      </c>
      <c r="H2277" s="183">
        <f t="shared" ca="1" si="74"/>
        <v>-8.7124052950534776E-3</v>
      </c>
      <c r="K2277" s="36"/>
    </row>
    <row r="2278" spans="2:11">
      <c r="B2278" s="36" t="s">
        <v>9968</v>
      </c>
      <c r="C2278" s="182">
        <v>1179.23</v>
      </c>
      <c r="D2278" s="182">
        <f t="shared" si="73"/>
        <v>5.0099290274896027E-2</v>
      </c>
      <c r="E2278" s="182">
        <v>-1.0823702073014155E-2</v>
      </c>
      <c r="F2278" s="168"/>
      <c r="G2278" s="168">
        <v>2275</v>
      </c>
      <c r="H2278" s="183">
        <f t="shared" ca="1" si="74"/>
        <v>1.3744773324755516E-2</v>
      </c>
      <c r="K2278" s="36"/>
    </row>
    <row r="2279" spans="2:11">
      <c r="B2279" s="36" t="s">
        <v>9969</v>
      </c>
      <c r="C2279" s="182">
        <v>1122.97</v>
      </c>
      <c r="D2279" s="182">
        <f t="shared" si="73"/>
        <v>-3.2339508832399805E-2</v>
      </c>
      <c r="E2279" s="182">
        <v>-1.0824808595509262E-2</v>
      </c>
      <c r="F2279" s="168"/>
      <c r="G2279" s="168">
        <v>2276</v>
      </c>
      <c r="H2279" s="183">
        <f t="shared" ca="1" si="74"/>
        <v>1.9728541236233556E-2</v>
      </c>
      <c r="K2279" s="36"/>
    </row>
    <row r="2280" spans="2:11">
      <c r="B2280" s="36" t="s">
        <v>9970</v>
      </c>
      <c r="C2280" s="182">
        <v>1160.5</v>
      </c>
      <c r="D2280" s="182">
        <f t="shared" si="73"/>
        <v>-6.3957122186357757E-3</v>
      </c>
      <c r="E2280" s="182">
        <v>-1.0834978048092657E-2</v>
      </c>
      <c r="F2280" s="168"/>
      <c r="G2280" s="168">
        <v>2277</v>
      </c>
      <c r="H2280" s="183">
        <f t="shared" ca="1" si="74"/>
        <v>3.1378062647816588E-3</v>
      </c>
      <c r="K2280" s="36"/>
    </row>
    <row r="2281" spans="2:11">
      <c r="B2281" s="36" t="s">
        <v>9971</v>
      </c>
      <c r="C2281" s="182">
        <v>1167.97</v>
      </c>
      <c r="D2281" s="182">
        <f t="shared" si="73"/>
        <v>1.5891102026615624E-2</v>
      </c>
      <c r="E2281" s="182">
        <v>-1.0869565217391304E-2</v>
      </c>
      <c r="F2281" s="168"/>
      <c r="G2281" s="168">
        <v>2278</v>
      </c>
      <c r="H2281" s="183">
        <f t="shared" ca="1" si="74"/>
        <v>2.7443490722912373E-3</v>
      </c>
      <c r="K2281" s="36"/>
    </row>
    <row r="2282" spans="2:11">
      <c r="B2282" s="36" t="s">
        <v>9972</v>
      </c>
      <c r="C2282" s="182">
        <v>1149.7</v>
      </c>
      <c r="D2282" s="182">
        <f t="shared" si="73"/>
        <v>1.1320097526993681E-3</v>
      </c>
      <c r="E2282" s="182">
        <v>-1.0887115375743835E-2</v>
      </c>
      <c r="F2282" s="168"/>
      <c r="G2282" s="168">
        <v>2279</v>
      </c>
      <c r="H2282" s="183">
        <f t="shared" ca="1" si="74"/>
        <v>3.5869617840717412E-3</v>
      </c>
      <c r="K2282" s="36"/>
    </row>
    <row r="2283" spans="2:11">
      <c r="B2283" s="36" t="s">
        <v>9973</v>
      </c>
      <c r="C2283" s="182">
        <v>1148.4000000000001</v>
      </c>
      <c r="D2283" s="182">
        <f t="shared" si="73"/>
        <v>-1.8713150474237258E-2</v>
      </c>
      <c r="E2283" s="182">
        <v>-1.0903982517950439E-2</v>
      </c>
      <c r="F2283" s="168"/>
      <c r="G2283" s="168">
        <v>2280</v>
      </c>
      <c r="H2283" s="183">
        <f t="shared" ca="1" si="74"/>
        <v>-6.0414394042837454E-3</v>
      </c>
      <c r="K2283" s="36"/>
    </row>
    <row r="2284" spans="2:11">
      <c r="B2284" s="36" t="s">
        <v>9974</v>
      </c>
      <c r="C2284" s="182">
        <v>1170.3</v>
      </c>
      <c r="D2284" s="182">
        <f t="shared" si="73"/>
        <v>8.470705834704842E-3</v>
      </c>
      <c r="E2284" s="182">
        <v>-1.0926174911524228E-2</v>
      </c>
      <c r="F2284" s="168"/>
      <c r="G2284" s="168">
        <v>2281</v>
      </c>
      <c r="H2284" s="183">
        <f t="shared" ca="1" si="74"/>
        <v>2.4024689801358273E-2</v>
      </c>
      <c r="K2284" s="36"/>
    </row>
    <row r="2285" spans="2:11">
      <c r="B2285" s="36" t="s">
        <v>9975</v>
      </c>
      <c r="C2285" s="182">
        <v>1160.47</v>
      </c>
      <c r="D2285" s="182">
        <f t="shared" si="73"/>
        <v>-9.7279614325058701E-4</v>
      </c>
      <c r="E2285" s="182">
        <v>-1.0928749975778409E-2</v>
      </c>
      <c r="F2285" s="168"/>
      <c r="G2285" s="168">
        <v>2282</v>
      </c>
      <c r="H2285" s="183">
        <f t="shared" ca="1" si="74"/>
        <v>-2.4660389688941797E-2</v>
      </c>
      <c r="K2285" s="36"/>
    </row>
    <row r="2286" spans="2:11">
      <c r="B2286" s="36" t="s">
        <v>9976</v>
      </c>
      <c r="C2286" s="182">
        <v>1161.5999999999999</v>
      </c>
      <c r="D2286" s="182">
        <f t="shared" si="73"/>
        <v>1.0341261633917769E-3</v>
      </c>
      <c r="E2286" s="182">
        <v>-1.0939838602663154E-2</v>
      </c>
      <c r="F2286" s="168"/>
      <c r="G2286" s="168">
        <v>2283</v>
      </c>
      <c r="H2286" s="183">
        <f t="shared" ca="1" si="74"/>
        <v>3.474105889850085E-3</v>
      </c>
      <c r="K2286" s="36"/>
    </row>
    <row r="2287" spans="2:11">
      <c r="B2287" s="36">
        <v>43074</v>
      </c>
      <c r="C2287" s="182">
        <v>1160.4000000000001</v>
      </c>
      <c r="D2287" s="182">
        <f t="shared" si="73"/>
        <v>2.1590810950859311E-3</v>
      </c>
      <c r="E2287" s="182">
        <v>-1.096638655462181E-2</v>
      </c>
      <c r="F2287" s="168"/>
      <c r="G2287" s="168">
        <v>2284</v>
      </c>
      <c r="H2287" s="183">
        <f t="shared" ca="1" si="74"/>
        <v>-3.5506415220225166E-3</v>
      </c>
      <c r="K2287" s="36"/>
    </row>
    <row r="2288" spans="2:11">
      <c r="B2288" s="36">
        <v>43044</v>
      </c>
      <c r="C2288" s="182">
        <v>1157.9000000000001</v>
      </c>
      <c r="D2288" s="182">
        <f t="shared" si="73"/>
        <v>-1.3799051315221294E-3</v>
      </c>
      <c r="E2288" s="182">
        <v>-1.0983613876858467E-2</v>
      </c>
      <c r="F2288" s="168"/>
      <c r="G2288" s="168">
        <v>2285</v>
      </c>
      <c r="H2288" s="183">
        <f t="shared" ca="1" si="74"/>
        <v>1.899361045239906E-3</v>
      </c>
      <c r="K2288" s="36"/>
    </row>
    <row r="2289" spans="2:11">
      <c r="B2289" s="36">
        <v>43013</v>
      </c>
      <c r="C2289" s="182">
        <v>1159.5</v>
      </c>
      <c r="D2289" s="182">
        <f t="shared" si="73"/>
        <v>-3.0951766830022436E-3</v>
      </c>
      <c r="E2289" s="182">
        <v>-1.0987139085256793E-2</v>
      </c>
      <c r="F2289" s="168"/>
      <c r="G2289" s="168">
        <v>2286</v>
      </c>
      <c r="H2289" s="183">
        <f t="shared" ca="1" si="74"/>
        <v>8.2149831093902559E-3</v>
      </c>
      <c r="K2289" s="36"/>
    </row>
    <row r="2290" spans="2:11">
      <c r="B2290" s="36">
        <v>42983</v>
      </c>
      <c r="C2290" s="182">
        <v>1163.0999999999999</v>
      </c>
      <c r="D2290" s="182">
        <f t="shared" si="73"/>
        <v>2.0504856413360962E-2</v>
      </c>
      <c r="E2290" s="182">
        <v>-1.0993649007155061E-2</v>
      </c>
      <c r="F2290" s="168"/>
      <c r="G2290" s="168">
        <v>2287</v>
      </c>
      <c r="H2290" s="183">
        <f t="shared" ca="1" si="74"/>
        <v>4.7817615291420937E-3</v>
      </c>
      <c r="K2290" s="36"/>
    </row>
    <row r="2291" spans="2:11">
      <c r="B2291" s="36">
        <v>42952</v>
      </c>
      <c r="C2291" s="182">
        <v>1139.73</v>
      </c>
      <c r="D2291" s="182">
        <f t="shared" si="73"/>
        <v>-8.585594989561492E-3</v>
      </c>
      <c r="E2291" s="182">
        <v>-1.1007018008474576E-2</v>
      </c>
      <c r="F2291" s="168"/>
      <c r="G2291" s="168">
        <v>2288</v>
      </c>
      <c r="H2291" s="183">
        <f t="shared" ca="1" si="74"/>
        <v>2.0733221373563083E-2</v>
      </c>
      <c r="K2291" s="36"/>
    </row>
    <row r="2292" spans="2:11">
      <c r="B2292" s="36">
        <v>42860</v>
      </c>
      <c r="C2292" s="182">
        <v>1149.5999999999999</v>
      </c>
      <c r="D2292" s="182">
        <f t="shared" si="73"/>
        <v>-4.1838829552247898E-3</v>
      </c>
      <c r="E2292" s="182">
        <v>-1.1014882704111587E-2</v>
      </c>
      <c r="F2292" s="168"/>
      <c r="G2292" s="168">
        <v>2289</v>
      </c>
      <c r="H2292" s="183">
        <f t="shared" ca="1" si="74"/>
        <v>-2.7061970246644897E-3</v>
      </c>
      <c r="K2292" s="36"/>
    </row>
    <row r="2293" spans="2:11">
      <c r="B2293" s="36">
        <v>42830</v>
      </c>
      <c r="C2293" s="182">
        <v>1154.43</v>
      </c>
      <c r="D2293" s="182">
        <f t="shared" si="73"/>
        <v>6.6532961283572636E-3</v>
      </c>
      <c r="E2293" s="182">
        <v>-1.1046182846371416E-2</v>
      </c>
      <c r="F2293" s="168"/>
      <c r="G2293" s="168">
        <v>2290</v>
      </c>
      <c r="H2293" s="183">
        <f t="shared" ca="1" si="74"/>
        <v>-2.9572825747638306E-3</v>
      </c>
      <c r="K2293" s="36"/>
    </row>
    <row r="2294" spans="2:11">
      <c r="B2294" s="36">
        <v>42799</v>
      </c>
      <c r="C2294" s="182">
        <v>1146.8</v>
      </c>
      <c r="D2294" s="182">
        <f t="shared" si="73"/>
        <v>-6.8416038797956963E-3</v>
      </c>
      <c r="E2294" s="182">
        <v>-1.1053588918427228E-2</v>
      </c>
      <c r="F2294" s="168"/>
      <c r="G2294" s="168">
        <v>2291</v>
      </c>
      <c r="H2294" s="183">
        <f t="shared" ca="1" si="74"/>
        <v>-4.5752174902758585E-3</v>
      </c>
      <c r="K2294" s="36"/>
    </row>
    <row r="2295" spans="2:11">
      <c r="B2295" s="36">
        <v>42771</v>
      </c>
      <c r="C2295" s="182">
        <v>1154.7</v>
      </c>
      <c r="D2295" s="182">
        <f t="shared" si="73"/>
        <v>-1.0141187967733301E-2</v>
      </c>
      <c r="E2295" s="182">
        <v>-1.1077038613179825E-2</v>
      </c>
      <c r="F2295" s="168"/>
      <c r="G2295" s="168">
        <v>2292</v>
      </c>
      <c r="H2295" s="183">
        <f t="shared" ca="1" si="74"/>
        <v>7.843524530649227E-3</v>
      </c>
      <c r="K2295" s="36"/>
    </row>
    <row r="2296" spans="2:11">
      <c r="B2296" s="36" t="s">
        <v>9977</v>
      </c>
      <c r="C2296" s="182">
        <v>1166.53</v>
      </c>
      <c r="D2296" s="182">
        <f t="shared" si="73"/>
        <v>-9.5939142321047645E-3</v>
      </c>
      <c r="E2296" s="182">
        <v>-1.107916695883876E-2</v>
      </c>
      <c r="F2296" s="168"/>
      <c r="G2296" s="168">
        <v>2293</v>
      </c>
      <c r="H2296" s="183">
        <f t="shared" ca="1" si="74"/>
        <v>-7.1337492578765491E-3</v>
      </c>
      <c r="K2296" s="36"/>
    </row>
    <row r="2297" spans="2:11">
      <c r="B2297" s="36" t="s">
        <v>9978</v>
      </c>
      <c r="C2297" s="182">
        <v>1177.83</v>
      </c>
      <c r="D2297" s="182">
        <f t="shared" si="73"/>
        <v>8.8220431166650577E-3</v>
      </c>
      <c r="E2297" s="182">
        <v>-1.1134851564264154E-2</v>
      </c>
      <c r="F2297" s="168"/>
      <c r="G2297" s="168">
        <v>2294</v>
      </c>
      <c r="H2297" s="183">
        <f t="shared" ca="1" si="74"/>
        <v>1.3624079013602259E-2</v>
      </c>
      <c r="K2297" s="36"/>
    </row>
    <row r="2298" spans="2:11">
      <c r="B2298" s="36" t="s">
        <v>9979</v>
      </c>
      <c r="C2298" s="182">
        <v>1167.53</v>
      </c>
      <c r="D2298" s="182">
        <f t="shared" si="73"/>
        <v>2.9723298427070852E-3</v>
      </c>
      <c r="E2298" s="182">
        <v>-1.1214526724151864E-2</v>
      </c>
      <c r="F2298" s="168"/>
      <c r="G2298" s="168">
        <v>2295</v>
      </c>
      <c r="H2298" s="183">
        <f t="shared" ca="1" si="74"/>
        <v>-1.7719934687699668E-2</v>
      </c>
      <c r="K2298" s="36"/>
    </row>
    <row r="2299" spans="2:11">
      <c r="B2299" s="36" t="s">
        <v>9980</v>
      </c>
      <c r="C2299" s="182">
        <v>1164.07</v>
      </c>
      <c r="D2299" s="182">
        <f t="shared" si="73"/>
        <v>7.7393886402394767E-3</v>
      </c>
      <c r="E2299" s="182">
        <v>-1.12258137304677E-2</v>
      </c>
      <c r="F2299" s="168"/>
      <c r="G2299" s="168">
        <v>2296</v>
      </c>
      <c r="H2299" s="183">
        <f t="shared" ca="1" si="74"/>
        <v>-5.2045921773439608E-3</v>
      </c>
      <c r="K2299" s="36"/>
    </row>
    <row r="2300" spans="2:11">
      <c r="B2300" s="36" t="s">
        <v>9981</v>
      </c>
      <c r="C2300" s="182">
        <v>1155.1300000000001</v>
      </c>
      <c r="D2300" s="182">
        <f t="shared" si="73"/>
        <v>2.6782222222222318E-2</v>
      </c>
      <c r="E2300" s="182">
        <v>-1.1258315801444223E-2</v>
      </c>
      <c r="F2300" s="168"/>
      <c r="G2300" s="168">
        <v>2297</v>
      </c>
      <c r="H2300" s="183">
        <f t="shared" ca="1" si="74"/>
        <v>2.1343746700058668E-2</v>
      </c>
      <c r="K2300" s="36"/>
    </row>
    <row r="2301" spans="2:11">
      <c r="B2301" s="36" t="s">
        <v>9982</v>
      </c>
      <c r="C2301" s="182">
        <v>1125</v>
      </c>
      <c r="D2301" s="182">
        <f t="shared" si="73"/>
        <v>3.7473233404711329E-3</v>
      </c>
      <c r="E2301" s="182">
        <v>-1.1272034724067797E-2</v>
      </c>
      <c r="F2301" s="168"/>
      <c r="G2301" s="168">
        <v>2298</v>
      </c>
      <c r="H2301" s="183">
        <f t="shared" ca="1" si="74"/>
        <v>-8.2901745764026001E-3</v>
      </c>
      <c r="K2301" s="36"/>
    </row>
    <row r="2302" spans="2:11">
      <c r="B2302" s="36" t="s">
        <v>9983</v>
      </c>
      <c r="C2302" s="182">
        <v>1120.8</v>
      </c>
      <c r="D2302" s="182">
        <f t="shared" si="73"/>
        <v>6.3751459100295487E-3</v>
      </c>
      <c r="E2302" s="182">
        <v>-1.1390787353447797E-2</v>
      </c>
      <c r="F2302" s="168"/>
      <c r="G2302" s="168">
        <v>2299</v>
      </c>
      <c r="H2302" s="183">
        <f t="shared" ca="1" si="74"/>
        <v>1.3147443283840682E-2</v>
      </c>
      <c r="K2302" s="36"/>
    </row>
    <row r="2303" spans="2:11">
      <c r="B2303" s="36" t="s">
        <v>9984</v>
      </c>
      <c r="C2303" s="182">
        <v>1113.7</v>
      </c>
      <c r="D2303" s="182">
        <f t="shared" si="73"/>
        <v>6.2893081761010374E-4</v>
      </c>
      <c r="E2303" s="182">
        <v>-1.1393866385584523E-2</v>
      </c>
      <c r="F2303" s="168"/>
      <c r="G2303" s="168">
        <v>2300</v>
      </c>
      <c r="H2303" s="183">
        <f t="shared" ca="1" si="74"/>
        <v>9.9030767593976873E-3</v>
      </c>
      <c r="K2303" s="36"/>
    </row>
    <row r="2304" spans="2:11">
      <c r="B2304" s="36" t="s">
        <v>9985</v>
      </c>
      <c r="C2304" s="182">
        <v>1113</v>
      </c>
      <c r="D2304" s="182">
        <f t="shared" si="73"/>
        <v>-7.0479079311268535E-3</v>
      </c>
      <c r="E2304" s="182">
        <v>-1.1402423014890698E-2</v>
      </c>
      <c r="F2304" s="168"/>
      <c r="G2304" s="168">
        <v>2301</v>
      </c>
      <c r="H2304" s="183">
        <f t="shared" ca="1" si="74"/>
        <v>-5.1935594498890942E-3</v>
      </c>
      <c r="K2304" s="36"/>
    </row>
    <row r="2305" spans="2:11">
      <c r="B2305" s="36" t="s">
        <v>9986</v>
      </c>
      <c r="C2305" s="182">
        <v>1120.9000000000001</v>
      </c>
      <c r="D2305" s="182">
        <f t="shared" si="73"/>
        <v>1.6710901405682763E-3</v>
      </c>
      <c r="E2305" s="182">
        <v>-1.1417779113190502E-2</v>
      </c>
      <c r="F2305" s="168"/>
      <c r="G2305" s="168">
        <v>2302</v>
      </c>
      <c r="H2305" s="183">
        <f t="shared" ca="1" si="74"/>
        <v>1.8331442485640628E-2</v>
      </c>
      <c r="K2305" s="36"/>
    </row>
    <row r="2306" spans="2:11">
      <c r="B2306" s="36" t="s">
        <v>9987</v>
      </c>
      <c r="C2306" s="182">
        <v>1119.03</v>
      </c>
      <c r="D2306" s="182">
        <f t="shared" si="73"/>
        <v>-1.4244186046511691E-2</v>
      </c>
      <c r="E2306" s="182">
        <v>-1.1424997711949807E-2</v>
      </c>
      <c r="F2306" s="168"/>
      <c r="G2306" s="168">
        <v>2303</v>
      </c>
      <c r="H2306" s="183">
        <f t="shared" ca="1" si="74"/>
        <v>1.5823521805825083E-3</v>
      </c>
      <c r="K2306" s="36"/>
    </row>
    <row r="2307" spans="2:11">
      <c r="B2307" s="36">
        <v>43073</v>
      </c>
      <c r="C2307" s="182">
        <v>1135.2</v>
      </c>
      <c r="D2307" s="182">
        <f t="shared" si="73"/>
        <v>-1.2317437972900437E-3</v>
      </c>
      <c r="E2307" s="182">
        <v>-1.1425248699533361E-2</v>
      </c>
      <c r="F2307" s="168"/>
      <c r="G2307" s="168">
        <v>2304</v>
      </c>
      <c r="H2307" s="183">
        <f t="shared" ca="1" si="74"/>
        <v>1.6807982182055991E-2</v>
      </c>
      <c r="K2307" s="36"/>
    </row>
    <row r="2308" spans="2:11">
      <c r="B2308" s="36">
        <v>43043</v>
      </c>
      <c r="C2308" s="182">
        <v>1136.5999999999999</v>
      </c>
      <c r="D2308" s="182">
        <f t="shared" ref="D2308:D2371" si="75">(C2308-C2309)/C2309</f>
        <v>1.8431404173722871E-2</v>
      </c>
      <c r="E2308" s="182">
        <v>-1.1442352096054122E-2</v>
      </c>
      <c r="F2308" s="168"/>
      <c r="G2308" s="168">
        <v>2305</v>
      </c>
      <c r="H2308" s="183">
        <f t="shared" ca="1" si="74"/>
        <v>-1.3557331708436156E-2</v>
      </c>
      <c r="K2308" s="36"/>
    </row>
    <row r="2309" spans="2:11">
      <c r="B2309" s="36">
        <v>43012</v>
      </c>
      <c r="C2309" s="182">
        <v>1116.03</v>
      </c>
      <c r="D2309" s="182">
        <f t="shared" si="75"/>
        <v>-6.7991492164070407E-3</v>
      </c>
      <c r="E2309" s="182">
        <v>-1.1462929319145254E-2</v>
      </c>
      <c r="F2309" s="168"/>
      <c r="G2309" s="168">
        <v>2306</v>
      </c>
      <c r="H2309" s="183">
        <f t="shared" ref="H2309:H2372" ca="1" si="76">_xlfn.NORM.INV(RAND(),N$6,N$7)</f>
        <v>-3.2730696453325521E-4</v>
      </c>
      <c r="K2309" s="36"/>
    </row>
    <row r="2310" spans="2:11">
      <c r="B2310" s="36">
        <v>42920</v>
      </c>
      <c r="C2310" s="182">
        <v>1123.67</v>
      </c>
      <c r="D2310" s="182">
        <f t="shared" si="75"/>
        <v>1.3723900082877772E-3</v>
      </c>
      <c r="E2310" s="182">
        <v>-1.1489529830106648E-2</v>
      </c>
      <c r="F2310" s="168"/>
      <c r="G2310" s="168">
        <v>2307</v>
      </c>
      <c r="H2310" s="183">
        <f t="shared" ca="1" si="76"/>
        <v>4.0227398367505985E-3</v>
      </c>
      <c r="K2310" s="36"/>
    </row>
    <row r="2311" spans="2:11">
      <c r="B2311" s="36">
        <v>42890</v>
      </c>
      <c r="C2311" s="182">
        <v>1122.1300000000001</v>
      </c>
      <c r="D2311" s="182">
        <f t="shared" si="75"/>
        <v>-7.8162992829163627E-3</v>
      </c>
      <c r="E2311" s="182">
        <v>-1.1500683824443617E-2</v>
      </c>
      <c r="F2311" s="168"/>
      <c r="G2311" s="168">
        <v>2308</v>
      </c>
      <c r="H2311" s="183">
        <f t="shared" ca="1" si="76"/>
        <v>-1.3303691122352475E-2</v>
      </c>
      <c r="K2311" s="36"/>
    </row>
    <row r="2312" spans="2:11">
      <c r="B2312" s="36">
        <v>42859</v>
      </c>
      <c r="C2312" s="182">
        <v>1130.97</v>
      </c>
      <c r="D2312" s="182">
        <f t="shared" si="75"/>
        <v>2.1348649454092369E-2</v>
      </c>
      <c r="E2312" s="182">
        <v>-1.1616954474097371E-2</v>
      </c>
      <c r="F2312" s="168"/>
      <c r="G2312" s="168">
        <v>2309</v>
      </c>
      <c r="H2312" s="183">
        <f t="shared" ca="1" si="76"/>
        <v>2.6005680324769067E-3</v>
      </c>
      <c r="K2312" s="36"/>
    </row>
    <row r="2313" spans="2:11">
      <c r="B2313" s="36">
        <v>42798</v>
      </c>
      <c r="C2313" s="182">
        <v>1107.33</v>
      </c>
      <c r="D2313" s="182">
        <f t="shared" si="75"/>
        <v>5.4670311354090138E-2</v>
      </c>
      <c r="E2313" s="182">
        <v>-1.1617565314063419E-2</v>
      </c>
      <c r="F2313" s="168"/>
      <c r="G2313" s="168">
        <v>2310</v>
      </c>
      <c r="H2313" s="183">
        <f t="shared" ca="1" si="76"/>
        <v>4.3771438478781713E-3</v>
      </c>
      <c r="K2313" s="36"/>
    </row>
    <row r="2314" spans="2:11">
      <c r="B2314" s="36" t="s">
        <v>9988</v>
      </c>
      <c r="C2314" s="182">
        <v>1049.93</v>
      </c>
      <c r="D2314" s="182">
        <f t="shared" si="75"/>
        <v>1.1201001637291833E-2</v>
      </c>
      <c r="E2314" s="182">
        <v>-1.1636927851047323E-2</v>
      </c>
      <c r="F2314" s="168"/>
      <c r="G2314" s="168">
        <v>2311</v>
      </c>
      <c r="H2314" s="183">
        <f t="shared" ca="1" si="76"/>
        <v>1.9886796192548697E-2</v>
      </c>
      <c r="K2314" s="36"/>
    </row>
    <row r="2315" spans="2:11">
      <c r="B2315" s="36" t="s">
        <v>9989</v>
      </c>
      <c r="C2315" s="182">
        <v>1038.3</v>
      </c>
      <c r="D2315" s="182">
        <f t="shared" si="75"/>
        <v>5.7820179242546886E-4</v>
      </c>
      <c r="E2315" s="182">
        <v>-1.1667786302726019E-2</v>
      </c>
      <c r="F2315" s="168"/>
      <c r="G2315" s="168">
        <v>2312</v>
      </c>
      <c r="H2315" s="183">
        <f t="shared" ca="1" si="76"/>
        <v>2.8774214196909519E-3</v>
      </c>
      <c r="K2315" s="36"/>
    </row>
    <row r="2316" spans="2:11">
      <c r="B2316" s="36" t="s">
        <v>9990</v>
      </c>
      <c r="C2316" s="182">
        <v>1037.7</v>
      </c>
      <c r="D2316" s="182">
        <f t="shared" si="75"/>
        <v>7.9650315687227243E-3</v>
      </c>
      <c r="E2316" s="182">
        <v>-1.1676340047797822E-2</v>
      </c>
      <c r="F2316" s="168"/>
      <c r="G2316" s="168">
        <v>2313</v>
      </c>
      <c r="H2316" s="183">
        <f t="shared" ca="1" si="76"/>
        <v>1.1322962655723124E-2</v>
      </c>
      <c r="K2316" s="36"/>
    </row>
    <row r="2317" spans="2:11">
      <c r="B2317" s="36" t="s">
        <v>9991</v>
      </c>
      <c r="C2317" s="182">
        <v>1029.5</v>
      </c>
      <c r="D2317" s="182">
        <f t="shared" si="75"/>
        <v>2.2345934497266821E-4</v>
      </c>
      <c r="E2317" s="182">
        <v>-1.1685201026518422E-2</v>
      </c>
      <c r="F2317" s="168"/>
      <c r="G2317" s="168">
        <v>2314</v>
      </c>
      <c r="H2317" s="183">
        <f t="shared" ca="1" si="76"/>
        <v>4.6466440899160218E-3</v>
      </c>
      <c r="K2317" s="36"/>
    </row>
    <row r="2318" spans="2:11">
      <c r="B2318" s="36" t="s">
        <v>9992</v>
      </c>
      <c r="C2318" s="182">
        <v>1029.27</v>
      </c>
      <c r="D2318" s="182">
        <f t="shared" si="75"/>
        <v>-4.6996025644746083E-3</v>
      </c>
      <c r="E2318" s="182">
        <v>-1.1709397988943581E-2</v>
      </c>
      <c r="F2318" s="168"/>
      <c r="G2318" s="168">
        <v>2315</v>
      </c>
      <c r="H2318" s="183">
        <f t="shared" ca="1" si="76"/>
        <v>-3.1467924773097462E-4</v>
      </c>
      <c r="K2318" s="36"/>
    </row>
    <row r="2319" spans="2:11">
      <c r="B2319" s="36" t="s">
        <v>9993</v>
      </c>
      <c r="C2319" s="182">
        <v>1034.1300000000001</v>
      </c>
      <c r="D2319" s="182">
        <f t="shared" si="75"/>
        <v>4.7217931155091736E-3</v>
      </c>
      <c r="E2319" s="182">
        <v>-1.1760966306420996E-2</v>
      </c>
      <c r="F2319" s="168"/>
      <c r="G2319" s="168">
        <v>2316</v>
      </c>
      <c r="H2319" s="183">
        <f t="shared" ca="1" si="76"/>
        <v>-9.6512288009629951E-3</v>
      </c>
      <c r="K2319" s="36"/>
    </row>
    <row r="2320" spans="2:11">
      <c r="B2320" s="36" t="s">
        <v>9994</v>
      </c>
      <c r="C2320" s="182">
        <v>1029.27</v>
      </c>
      <c r="D2320" s="182">
        <f t="shared" si="75"/>
        <v>9.1871752132562066E-3</v>
      </c>
      <c r="E2320" s="182">
        <v>-1.1780306534677836E-2</v>
      </c>
      <c r="F2320" s="168"/>
      <c r="G2320" s="168">
        <v>2317</v>
      </c>
      <c r="H2320" s="183">
        <f t="shared" ca="1" si="76"/>
        <v>-1.0929504488678531E-2</v>
      </c>
      <c r="K2320" s="36"/>
    </row>
    <row r="2321" spans="2:11">
      <c r="B2321" s="36" t="s">
        <v>9995</v>
      </c>
      <c r="C2321" s="182">
        <v>1019.9</v>
      </c>
      <c r="D2321" s="182">
        <f t="shared" si="75"/>
        <v>-1.2394693521836029E-2</v>
      </c>
      <c r="E2321" s="182">
        <v>-1.1782207676286792E-2</v>
      </c>
      <c r="F2321" s="168"/>
      <c r="G2321" s="168">
        <v>2318</v>
      </c>
      <c r="H2321" s="183">
        <f t="shared" ca="1" si="76"/>
        <v>9.6442051989697342E-3</v>
      </c>
      <c r="K2321" s="36"/>
    </row>
    <row r="2322" spans="2:11">
      <c r="B2322" s="36" t="s">
        <v>9996</v>
      </c>
      <c r="C2322" s="182">
        <v>1032.7</v>
      </c>
      <c r="D2322" s="182">
        <f t="shared" si="75"/>
        <v>7.4139108379671611E-3</v>
      </c>
      <c r="E2322" s="182">
        <v>-1.1802729922373269E-2</v>
      </c>
      <c r="F2322" s="168"/>
      <c r="G2322" s="168">
        <v>2319</v>
      </c>
      <c r="H2322" s="183">
        <f t="shared" ca="1" si="76"/>
        <v>1.2377115443582557E-2</v>
      </c>
      <c r="K2322" s="36"/>
    </row>
    <row r="2323" spans="2:11">
      <c r="B2323" s="36" t="s">
        <v>9997</v>
      </c>
      <c r="C2323" s="182">
        <v>1025.0999999999999</v>
      </c>
      <c r="D2323" s="182">
        <f t="shared" si="75"/>
        <v>-9.5939248137735748E-3</v>
      </c>
      <c r="E2323" s="182">
        <v>-1.1824902457389342E-2</v>
      </c>
      <c r="F2323" s="168"/>
      <c r="G2323" s="168">
        <v>2320</v>
      </c>
      <c r="H2323" s="183">
        <f t="shared" ca="1" si="76"/>
        <v>-7.6716291648416075E-3</v>
      </c>
      <c r="K2323" s="36"/>
    </row>
    <row r="2324" spans="2:11">
      <c r="B2324" s="36" t="s">
        <v>9998</v>
      </c>
      <c r="C2324" s="182">
        <v>1035.03</v>
      </c>
      <c r="D2324" s="182">
        <f t="shared" si="75"/>
        <v>-1.1781891786092707E-2</v>
      </c>
      <c r="E2324" s="182">
        <v>-1.1834018995378223E-2</v>
      </c>
      <c r="F2324" s="168"/>
      <c r="G2324" s="168">
        <v>2321</v>
      </c>
      <c r="H2324" s="183">
        <f t="shared" ca="1" si="76"/>
        <v>4.2110727044196708E-3</v>
      </c>
      <c r="K2324" s="36"/>
    </row>
    <row r="2325" spans="2:11">
      <c r="B2325" s="36" t="s">
        <v>9999</v>
      </c>
      <c r="C2325" s="182">
        <v>1047.3699999999999</v>
      </c>
      <c r="D2325" s="182">
        <f t="shared" si="75"/>
        <v>1.4303699399573875E-2</v>
      </c>
      <c r="E2325" s="182">
        <v>-1.1836150543457378E-2</v>
      </c>
      <c r="F2325" s="168"/>
      <c r="G2325" s="168">
        <v>2322</v>
      </c>
      <c r="H2325" s="183">
        <f t="shared" ca="1" si="76"/>
        <v>1.2516254037640652E-2</v>
      </c>
      <c r="K2325" s="36"/>
    </row>
    <row r="2326" spans="2:11">
      <c r="B2326" s="36" t="s">
        <v>10000</v>
      </c>
      <c r="C2326" s="182">
        <v>1032.5999999999999</v>
      </c>
      <c r="D2326" s="182">
        <f t="shared" si="75"/>
        <v>-5.9014373321268363E-3</v>
      </c>
      <c r="E2326" s="182">
        <v>-1.1839932544004592E-2</v>
      </c>
      <c r="F2326" s="168"/>
      <c r="G2326" s="168">
        <v>2323</v>
      </c>
      <c r="H2326" s="183">
        <f t="shared" ca="1" si="76"/>
        <v>1.5342472643489119E-2</v>
      </c>
      <c r="K2326" s="36"/>
    </row>
    <row r="2327" spans="2:11">
      <c r="B2327" s="36" t="s">
        <v>10001</v>
      </c>
      <c r="C2327" s="182">
        <v>1038.73</v>
      </c>
      <c r="D2327" s="182">
        <f t="shared" si="75"/>
        <v>4.4579646017699155E-2</v>
      </c>
      <c r="E2327" s="182">
        <v>-1.1863249092281699E-2</v>
      </c>
      <c r="F2327" s="168"/>
      <c r="G2327" s="168">
        <v>2324</v>
      </c>
      <c r="H2327" s="183">
        <f t="shared" ca="1" si="76"/>
        <v>1.0549399739476871E-2</v>
      </c>
      <c r="K2327" s="36"/>
    </row>
    <row r="2328" spans="2:11">
      <c r="B2328" s="36">
        <v>43011</v>
      </c>
      <c r="C2328" s="182">
        <v>994.4</v>
      </c>
      <c r="D2328" s="182">
        <f t="shared" si="75"/>
        <v>9.9532805200080784E-3</v>
      </c>
      <c r="E2328" s="182">
        <v>-1.1863682671136057E-2</v>
      </c>
      <c r="F2328" s="168"/>
      <c r="G2328" s="168">
        <v>2325</v>
      </c>
      <c r="H2328" s="183">
        <f t="shared" ca="1" si="76"/>
        <v>-1.1222748681323769E-2</v>
      </c>
      <c r="K2328" s="36"/>
    </row>
    <row r="2329" spans="2:11">
      <c r="B2329" s="36">
        <v>42981</v>
      </c>
      <c r="C2329" s="182">
        <v>984.6</v>
      </c>
      <c r="D2329" s="182">
        <f t="shared" si="75"/>
        <v>4.0642145905301486E-4</v>
      </c>
      <c r="E2329" s="182">
        <v>-1.1877141496243287E-2</v>
      </c>
      <c r="F2329" s="168"/>
      <c r="G2329" s="168">
        <v>2326</v>
      </c>
      <c r="H2329" s="183">
        <f t="shared" ca="1" si="76"/>
        <v>-9.2051081135818107E-3</v>
      </c>
      <c r="K2329" s="36"/>
    </row>
    <row r="2330" spans="2:11">
      <c r="B2330" s="36">
        <v>42950</v>
      </c>
      <c r="C2330" s="182">
        <v>984.2</v>
      </c>
      <c r="D2330" s="182">
        <f t="shared" si="75"/>
        <v>-6.7915998102791369E-3</v>
      </c>
      <c r="E2330" s="182">
        <v>-1.1880263544710917E-2</v>
      </c>
      <c r="F2330" s="168"/>
      <c r="G2330" s="168">
        <v>2327</v>
      </c>
      <c r="H2330" s="183">
        <f t="shared" ca="1" si="76"/>
        <v>-9.3247112432599706E-3</v>
      </c>
      <c r="K2330" s="36"/>
    </row>
    <row r="2331" spans="2:11">
      <c r="B2331" s="36">
        <v>42919</v>
      </c>
      <c r="C2331" s="182">
        <v>990.93</v>
      </c>
      <c r="D2331" s="182">
        <f t="shared" si="75"/>
        <v>5.3513731825522283E-4</v>
      </c>
      <c r="E2331" s="182">
        <v>-1.1893910762321868E-2</v>
      </c>
      <c r="F2331" s="168"/>
      <c r="G2331" s="168">
        <v>2328</v>
      </c>
      <c r="H2331" s="183">
        <f t="shared" ca="1" si="76"/>
        <v>-1.3345624572600221E-2</v>
      </c>
      <c r="K2331" s="36"/>
    </row>
    <row r="2332" spans="2:11">
      <c r="B2332" s="36">
        <v>42889</v>
      </c>
      <c r="C2332" s="182">
        <v>990.4</v>
      </c>
      <c r="D2332" s="182">
        <f t="shared" si="75"/>
        <v>1.0375116044193668E-2</v>
      </c>
      <c r="E2332" s="182">
        <v>-1.1912718694712082E-2</v>
      </c>
      <c r="F2332" s="168"/>
      <c r="G2332" s="168">
        <v>2329</v>
      </c>
      <c r="H2332" s="183">
        <f t="shared" ca="1" si="76"/>
        <v>-1.0662468088225692E-2</v>
      </c>
      <c r="K2332" s="36"/>
    </row>
    <row r="2333" spans="2:11">
      <c r="B2333" s="36">
        <v>42797</v>
      </c>
      <c r="C2333" s="182">
        <v>980.23</v>
      </c>
      <c r="D2333" s="182">
        <f t="shared" si="75"/>
        <v>-2.4424249208755862E-3</v>
      </c>
      <c r="E2333" s="182">
        <v>-1.1935318275154044E-2</v>
      </c>
      <c r="F2333" s="168"/>
      <c r="G2333" s="168">
        <v>2330</v>
      </c>
      <c r="H2333" s="183">
        <f t="shared" ca="1" si="76"/>
        <v>-2.7520899612457784E-3</v>
      </c>
      <c r="K2333" s="36"/>
    </row>
    <row r="2334" spans="2:11">
      <c r="B2334" s="36">
        <v>42769</v>
      </c>
      <c r="C2334" s="182">
        <v>982.63</v>
      </c>
      <c r="D2334" s="182">
        <f t="shared" si="75"/>
        <v>-1.4937506350980868E-3</v>
      </c>
      <c r="E2334" s="182">
        <v>-1.1948890148707031E-2</v>
      </c>
      <c r="F2334" s="168"/>
      <c r="G2334" s="168">
        <v>2331</v>
      </c>
      <c r="H2334" s="183">
        <f t="shared" ca="1" si="76"/>
        <v>8.2486180103558786E-3</v>
      </c>
      <c r="K2334" s="36"/>
    </row>
    <row r="2335" spans="2:11">
      <c r="B2335" s="36">
        <v>42738</v>
      </c>
      <c r="C2335" s="182">
        <v>984.1</v>
      </c>
      <c r="D2335" s="182">
        <f t="shared" si="75"/>
        <v>4.72704625971188E-3</v>
      </c>
      <c r="E2335" s="182">
        <v>-1.1956657117947328E-2</v>
      </c>
      <c r="F2335" s="168"/>
      <c r="G2335" s="168">
        <v>2332</v>
      </c>
      <c r="H2335" s="183">
        <f t="shared" ca="1" si="76"/>
        <v>1.8150805419552732E-2</v>
      </c>
      <c r="K2335" s="36"/>
    </row>
    <row r="2336" spans="2:11">
      <c r="B2336" s="36" t="s">
        <v>10002</v>
      </c>
      <c r="C2336" s="182">
        <v>979.47</v>
      </c>
      <c r="D2336" s="182">
        <f t="shared" si="75"/>
        <v>2.292193240076552E-3</v>
      </c>
      <c r="E2336" s="182">
        <v>-1.1978192526562898E-2</v>
      </c>
      <c r="F2336" s="168"/>
      <c r="G2336" s="168">
        <v>2333</v>
      </c>
      <c r="H2336" s="183">
        <f t="shared" ca="1" si="76"/>
        <v>-1.2034342008144783E-2</v>
      </c>
      <c r="K2336" s="36"/>
    </row>
    <row r="2337" spans="2:11">
      <c r="B2337" s="36" t="s">
        <v>10003</v>
      </c>
      <c r="C2337" s="182">
        <v>977.23</v>
      </c>
      <c r="D2337" s="182">
        <f t="shared" si="75"/>
        <v>-1.3964704813988952E-2</v>
      </c>
      <c r="E2337" s="182">
        <v>-1.1990141439261052E-2</v>
      </c>
      <c r="F2337" s="168"/>
      <c r="G2337" s="168">
        <v>2334</v>
      </c>
      <c r="H2337" s="183">
        <f t="shared" ca="1" si="76"/>
        <v>7.1545136940561176E-3</v>
      </c>
      <c r="K2337" s="36"/>
    </row>
    <row r="2338" spans="2:11">
      <c r="B2338" s="36" t="s">
        <v>10004</v>
      </c>
      <c r="C2338" s="182">
        <v>991.07</v>
      </c>
      <c r="D2338" s="182">
        <f t="shared" si="75"/>
        <v>6.5405279140388316E-3</v>
      </c>
      <c r="E2338" s="182">
        <v>-1.2014251387853177E-2</v>
      </c>
      <c r="F2338" s="168"/>
      <c r="G2338" s="168">
        <v>2335</v>
      </c>
      <c r="H2338" s="183">
        <f t="shared" ca="1" si="76"/>
        <v>2.0395493178518135E-2</v>
      </c>
      <c r="K2338" s="36"/>
    </row>
    <row r="2339" spans="2:11">
      <c r="B2339" s="36" t="s">
        <v>10005</v>
      </c>
      <c r="C2339" s="182">
        <v>984.63</v>
      </c>
      <c r="D2339" s="182">
        <f t="shared" si="75"/>
        <v>-4.287722349752757E-3</v>
      </c>
      <c r="E2339" s="182">
        <v>-1.2027016847866934E-2</v>
      </c>
      <c r="F2339" s="168"/>
      <c r="G2339" s="168">
        <v>2336</v>
      </c>
      <c r="H2339" s="183">
        <f t="shared" ca="1" si="76"/>
        <v>5.6182382963419772E-3</v>
      </c>
      <c r="K2339" s="36"/>
    </row>
    <row r="2340" spans="2:11">
      <c r="B2340" s="36" t="s">
        <v>10006</v>
      </c>
      <c r="C2340" s="182">
        <v>988.87</v>
      </c>
      <c r="D2340" s="182">
        <f t="shared" si="75"/>
        <v>4.4515039001249919E-4</v>
      </c>
      <c r="E2340" s="182">
        <v>-1.206750259262754E-2</v>
      </c>
      <c r="F2340" s="168"/>
      <c r="G2340" s="168">
        <v>2337</v>
      </c>
      <c r="H2340" s="183">
        <f t="shared" ca="1" si="76"/>
        <v>-1.5088372376118857E-3</v>
      </c>
      <c r="K2340" s="36"/>
    </row>
    <row r="2341" spans="2:11">
      <c r="B2341" s="36" t="s">
        <v>10007</v>
      </c>
      <c r="C2341" s="182">
        <v>988.43</v>
      </c>
      <c r="D2341" s="182">
        <f t="shared" si="75"/>
        <v>3.1461540803587721E-3</v>
      </c>
      <c r="E2341" s="182">
        <v>-1.2134655532358924E-2</v>
      </c>
      <c r="F2341" s="168"/>
      <c r="G2341" s="168">
        <v>2338</v>
      </c>
      <c r="H2341" s="183">
        <f t="shared" ca="1" si="76"/>
        <v>1.2125201877558882E-2</v>
      </c>
      <c r="K2341" s="36"/>
    </row>
    <row r="2342" spans="2:11">
      <c r="B2342" s="36" t="s">
        <v>10008</v>
      </c>
      <c r="C2342" s="182">
        <v>985.33</v>
      </c>
      <c r="D2342" s="182">
        <f t="shared" si="75"/>
        <v>5.2643929114338144E-3</v>
      </c>
      <c r="E2342" s="182">
        <v>-1.2140147288551581E-2</v>
      </c>
      <c r="F2342" s="168"/>
      <c r="G2342" s="168">
        <v>2339</v>
      </c>
      <c r="H2342" s="183">
        <f t="shared" ca="1" si="76"/>
        <v>-9.8530970459800079E-5</v>
      </c>
      <c r="K2342" s="36"/>
    </row>
    <row r="2343" spans="2:11">
      <c r="B2343" s="36" t="s">
        <v>10009</v>
      </c>
      <c r="C2343" s="182">
        <v>980.17</v>
      </c>
      <c r="D2343" s="182">
        <f t="shared" si="75"/>
        <v>-6.5878155817041158E-3</v>
      </c>
      <c r="E2343" s="182">
        <v>-1.2169093052148647E-2</v>
      </c>
      <c r="F2343" s="168"/>
      <c r="G2343" s="168">
        <v>2340</v>
      </c>
      <c r="H2343" s="183">
        <f t="shared" ca="1" si="76"/>
        <v>-2.641902624115575E-2</v>
      </c>
      <c r="K2343" s="36"/>
    </row>
    <row r="2344" spans="2:11">
      <c r="B2344" s="36" t="s">
        <v>10010</v>
      </c>
      <c r="C2344" s="182">
        <v>986.67</v>
      </c>
      <c r="D2344" s="182">
        <f t="shared" si="75"/>
        <v>-8.4416171726613108E-3</v>
      </c>
      <c r="E2344" s="182">
        <v>-1.2209221662119013E-2</v>
      </c>
      <c r="F2344" s="168"/>
      <c r="G2344" s="168">
        <v>2341</v>
      </c>
      <c r="H2344" s="183">
        <f t="shared" ca="1" si="76"/>
        <v>-8.1074970712500492E-3</v>
      </c>
      <c r="K2344" s="36"/>
    </row>
    <row r="2345" spans="2:11">
      <c r="B2345" s="36" t="s">
        <v>10011</v>
      </c>
      <c r="C2345" s="182">
        <v>995.07</v>
      </c>
      <c r="D2345" s="182">
        <f t="shared" si="75"/>
        <v>-5.0294970502949435E-3</v>
      </c>
      <c r="E2345" s="182">
        <v>-1.2254286909243071E-2</v>
      </c>
      <c r="F2345" s="168"/>
      <c r="G2345" s="168">
        <v>2342</v>
      </c>
      <c r="H2345" s="183">
        <f t="shared" ca="1" si="76"/>
        <v>-2.2796937466017849E-5</v>
      </c>
      <c r="K2345" s="36"/>
    </row>
    <row r="2346" spans="2:11">
      <c r="B2346" s="36" t="s">
        <v>10012</v>
      </c>
      <c r="C2346" s="182">
        <v>1000.1</v>
      </c>
      <c r="D2346" s="182">
        <f t="shared" si="75"/>
        <v>-1.1984420253669547E-3</v>
      </c>
      <c r="E2346" s="182">
        <v>-1.2262175556995096E-2</v>
      </c>
      <c r="F2346" s="168"/>
      <c r="G2346" s="168">
        <v>2343</v>
      </c>
      <c r="H2346" s="183">
        <f t="shared" ca="1" si="76"/>
        <v>1.8401952772999459E-2</v>
      </c>
      <c r="K2346" s="36"/>
    </row>
    <row r="2347" spans="2:11">
      <c r="B2347" s="36">
        <v>43010</v>
      </c>
      <c r="C2347" s="182">
        <v>1001.3</v>
      </c>
      <c r="D2347" s="182">
        <f t="shared" si="75"/>
        <v>7.546790098611391E-3</v>
      </c>
      <c r="E2347" s="182">
        <v>-1.229461433135552E-2</v>
      </c>
      <c r="F2347" s="168"/>
      <c r="G2347" s="168">
        <v>2344</v>
      </c>
      <c r="H2347" s="183">
        <f t="shared" ca="1" si="76"/>
        <v>-1.112655843392955E-2</v>
      </c>
      <c r="K2347" s="36"/>
    </row>
    <row r="2348" spans="2:11">
      <c r="B2348" s="36">
        <v>42980</v>
      </c>
      <c r="C2348" s="182">
        <v>993.8</v>
      </c>
      <c r="D2348" s="182">
        <f t="shared" si="75"/>
        <v>-1.0721005007117567E-2</v>
      </c>
      <c r="E2348" s="182">
        <v>-1.2308099523557476E-2</v>
      </c>
      <c r="F2348" s="168"/>
      <c r="G2348" s="168">
        <v>2345</v>
      </c>
      <c r="H2348" s="183">
        <f t="shared" ca="1" si="76"/>
        <v>-1.8205983415109036E-2</v>
      </c>
      <c r="K2348" s="36"/>
    </row>
    <row r="2349" spans="2:11">
      <c r="B2349" s="36">
        <v>42949</v>
      </c>
      <c r="C2349" s="182">
        <v>1004.57</v>
      </c>
      <c r="D2349" s="182">
        <f t="shared" si="75"/>
        <v>4.3691261747650515E-3</v>
      </c>
      <c r="E2349" s="182">
        <v>-1.2335549582684936E-2</v>
      </c>
      <c r="F2349" s="168"/>
      <c r="G2349" s="168">
        <v>2346</v>
      </c>
      <c r="H2349" s="183">
        <f t="shared" ca="1" si="76"/>
        <v>9.8300244913713079E-3</v>
      </c>
      <c r="K2349" s="36"/>
    </row>
    <row r="2350" spans="2:11">
      <c r="B2350" s="36">
        <v>42918</v>
      </c>
      <c r="C2350" s="182">
        <v>1000.2</v>
      </c>
      <c r="D2350" s="182">
        <f t="shared" si="75"/>
        <v>1.1120097048119693E-2</v>
      </c>
      <c r="E2350" s="182">
        <v>-1.2349932900511309E-2</v>
      </c>
      <c r="F2350" s="168"/>
      <c r="G2350" s="168">
        <v>2347</v>
      </c>
      <c r="H2350" s="183">
        <f t="shared" ca="1" si="76"/>
        <v>-1.220336638150403E-2</v>
      </c>
      <c r="K2350" s="36"/>
    </row>
    <row r="2351" spans="2:11">
      <c r="B2351" s="36">
        <v>42888</v>
      </c>
      <c r="C2351" s="182">
        <v>989.2</v>
      </c>
      <c r="D2351" s="182">
        <f t="shared" si="75"/>
        <v>2.0969882386312338E-3</v>
      </c>
      <c r="E2351" s="182">
        <v>-1.2361702464426385E-2</v>
      </c>
      <c r="F2351" s="168"/>
      <c r="G2351" s="168">
        <v>2348</v>
      </c>
      <c r="H2351" s="183">
        <f t="shared" ca="1" si="76"/>
        <v>1.3920123463247783E-2</v>
      </c>
      <c r="K2351" s="36"/>
    </row>
    <row r="2352" spans="2:11">
      <c r="B2352" s="36">
        <v>42796</v>
      </c>
      <c r="C2352" s="182">
        <v>987.13</v>
      </c>
      <c r="D2352" s="182">
        <f t="shared" si="75"/>
        <v>2.8445744821350102E-3</v>
      </c>
      <c r="E2352" s="182">
        <v>-1.2419757889538974E-2</v>
      </c>
      <c r="F2352" s="168"/>
      <c r="G2352" s="168">
        <v>2349</v>
      </c>
      <c r="H2352" s="183">
        <f t="shared" ca="1" si="76"/>
        <v>3.1052660444459007E-2</v>
      </c>
      <c r="K2352" s="36"/>
    </row>
    <row r="2353" spans="2:11">
      <c r="B2353" s="36">
        <v>42768</v>
      </c>
      <c r="C2353" s="182">
        <v>984.33</v>
      </c>
      <c r="D2353" s="182">
        <f t="shared" si="75"/>
        <v>-9.2299949672873267E-3</v>
      </c>
      <c r="E2353" s="182">
        <v>-1.2434741338395882E-2</v>
      </c>
      <c r="F2353" s="168"/>
      <c r="G2353" s="168">
        <v>2350</v>
      </c>
      <c r="H2353" s="183">
        <f t="shared" ca="1" si="76"/>
        <v>-5.5691455824767111E-3</v>
      </c>
      <c r="K2353" s="36"/>
    </row>
    <row r="2354" spans="2:11">
      <c r="B2354" s="36">
        <v>42737</v>
      </c>
      <c r="C2354" s="182">
        <v>993.5</v>
      </c>
      <c r="D2354" s="182">
        <f t="shared" si="75"/>
        <v>3.0419946689899127E-2</v>
      </c>
      <c r="E2354" s="182">
        <v>-1.2451771308312912E-2</v>
      </c>
      <c r="F2354" s="168"/>
      <c r="G2354" s="168">
        <v>2351</v>
      </c>
      <c r="H2354" s="183">
        <f t="shared" ca="1" si="76"/>
        <v>9.9587741912714554E-3</v>
      </c>
      <c r="K2354" s="36"/>
    </row>
    <row r="2355" spans="2:11">
      <c r="B2355" s="36" t="s">
        <v>10013</v>
      </c>
      <c r="C2355" s="182">
        <v>964.17</v>
      </c>
      <c r="D2355" s="182">
        <f t="shared" si="75"/>
        <v>2.3911755226797326E-3</v>
      </c>
      <c r="E2355" s="182">
        <v>-1.2456048477594142E-2</v>
      </c>
      <c r="F2355" s="168"/>
      <c r="G2355" s="168">
        <v>2352</v>
      </c>
      <c r="H2355" s="183">
        <f t="shared" ca="1" si="76"/>
        <v>6.7918283094876956E-3</v>
      </c>
      <c r="K2355" s="36"/>
    </row>
    <row r="2356" spans="2:11">
      <c r="B2356" s="36" t="s">
        <v>10014</v>
      </c>
      <c r="C2356" s="182">
        <v>961.87</v>
      </c>
      <c r="D2356" s="182">
        <f t="shared" si="75"/>
        <v>2.0209806965091775E-3</v>
      </c>
      <c r="E2356" s="182">
        <v>-1.2493229824878105E-2</v>
      </c>
      <c r="F2356" s="168"/>
      <c r="G2356" s="168">
        <v>2353</v>
      </c>
      <c r="H2356" s="183">
        <f t="shared" ca="1" si="76"/>
        <v>8.306460876055119E-3</v>
      </c>
      <c r="K2356" s="36"/>
    </row>
    <row r="2357" spans="2:11">
      <c r="B2357" s="36" t="s">
        <v>10015</v>
      </c>
      <c r="C2357" s="182">
        <v>959.93</v>
      </c>
      <c r="D2357" s="182">
        <f t="shared" si="75"/>
        <v>-6.797723745473409E-3</v>
      </c>
      <c r="E2357" s="182">
        <v>-1.2506708007870676E-2</v>
      </c>
      <c r="F2357" s="168"/>
      <c r="G2357" s="168">
        <v>2354</v>
      </c>
      <c r="H2357" s="183">
        <f t="shared" ca="1" si="76"/>
        <v>1.2895829643029454E-2</v>
      </c>
      <c r="K2357" s="36"/>
    </row>
    <row r="2358" spans="2:11">
      <c r="B2358" s="36" t="s">
        <v>10016</v>
      </c>
      <c r="C2358" s="182">
        <v>966.5</v>
      </c>
      <c r="D2358" s="182">
        <f t="shared" si="75"/>
        <v>2.1098116277349928E-2</v>
      </c>
      <c r="E2358" s="182">
        <v>-1.2511999999999971E-2</v>
      </c>
      <c r="F2358" s="168"/>
      <c r="G2358" s="168">
        <v>2355</v>
      </c>
      <c r="H2358" s="183">
        <f t="shared" ca="1" si="76"/>
        <v>-1.084422446766533E-2</v>
      </c>
      <c r="K2358" s="36"/>
    </row>
    <row r="2359" spans="2:11">
      <c r="B2359" s="36" t="s">
        <v>10017</v>
      </c>
      <c r="C2359" s="182">
        <v>946.53</v>
      </c>
      <c r="D2359" s="182">
        <f t="shared" si="75"/>
        <v>1.8836851339569229E-2</v>
      </c>
      <c r="E2359" s="182">
        <v>-1.2558726212456321E-2</v>
      </c>
      <c r="F2359" s="168"/>
      <c r="G2359" s="168">
        <v>2356</v>
      </c>
      <c r="H2359" s="183">
        <f t="shared" ca="1" si="76"/>
        <v>7.6804673721847664E-3</v>
      </c>
      <c r="K2359" s="36"/>
    </row>
    <row r="2360" spans="2:11">
      <c r="B2360" s="36" t="s">
        <v>10018</v>
      </c>
      <c r="C2360" s="182">
        <v>929.03</v>
      </c>
      <c r="D2360" s="182">
        <f t="shared" si="75"/>
        <v>-1.499199508042027E-2</v>
      </c>
      <c r="E2360" s="182">
        <v>-1.2571228631410509E-2</v>
      </c>
      <c r="F2360" s="168"/>
      <c r="G2360" s="168">
        <v>2357</v>
      </c>
      <c r="H2360" s="183">
        <f t="shared" ca="1" si="76"/>
        <v>-1.4720888107785164E-2</v>
      </c>
      <c r="K2360" s="36"/>
    </row>
    <row r="2361" spans="2:11">
      <c r="B2361" s="36" t="s">
        <v>10019</v>
      </c>
      <c r="C2361" s="182">
        <v>943.17</v>
      </c>
      <c r="D2361" s="182">
        <f t="shared" si="75"/>
        <v>-2.3936665631791365E-2</v>
      </c>
      <c r="E2361" s="182">
        <v>-1.2613308973367873E-2</v>
      </c>
      <c r="F2361" s="168"/>
      <c r="G2361" s="168">
        <v>2358</v>
      </c>
      <c r="H2361" s="183">
        <f t="shared" ca="1" si="76"/>
        <v>1.3723980327930277E-2</v>
      </c>
      <c r="K2361" s="36"/>
    </row>
    <row r="2362" spans="2:11">
      <c r="B2362" s="36" t="s">
        <v>10020</v>
      </c>
      <c r="C2362" s="182">
        <v>966.3</v>
      </c>
      <c r="D2362" s="182">
        <f t="shared" si="75"/>
        <v>-2.0654755757513166E-3</v>
      </c>
      <c r="E2362" s="182">
        <v>-1.2686422622506207E-2</v>
      </c>
      <c r="F2362" s="168"/>
      <c r="G2362" s="168">
        <v>2359</v>
      </c>
      <c r="H2362" s="183">
        <f t="shared" ca="1" si="76"/>
        <v>-1.5245374610874319E-2</v>
      </c>
      <c r="K2362" s="36"/>
    </row>
    <row r="2363" spans="2:11">
      <c r="B2363" s="36" t="s">
        <v>10021</v>
      </c>
      <c r="C2363" s="182">
        <v>968.3</v>
      </c>
      <c r="D2363" s="182">
        <f t="shared" si="75"/>
        <v>4.6377473205854907E-3</v>
      </c>
      <c r="E2363" s="182">
        <v>-1.2706626893221395E-2</v>
      </c>
      <c r="F2363" s="168"/>
      <c r="G2363" s="168">
        <v>2360</v>
      </c>
      <c r="H2363" s="183">
        <f t="shared" ca="1" si="76"/>
        <v>5.5992587940805237E-3</v>
      </c>
      <c r="K2363" s="36"/>
    </row>
    <row r="2364" spans="2:11">
      <c r="B2364" s="36" t="s">
        <v>10022</v>
      </c>
      <c r="C2364" s="182">
        <v>963.83</v>
      </c>
      <c r="D2364" s="182">
        <f t="shared" si="75"/>
        <v>2.0376974019358503E-3</v>
      </c>
      <c r="E2364" s="182">
        <v>-1.2707056954844453E-2</v>
      </c>
      <c r="F2364" s="168"/>
      <c r="G2364" s="168">
        <v>2361</v>
      </c>
      <c r="H2364" s="183">
        <f t="shared" ca="1" si="76"/>
        <v>-2.3697877377231835E-2</v>
      </c>
      <c r="K2364" s="36"/>
    </row>
    <row r="2365" spans="2:11">
      <c r="B2365" s="36" t="s">
        <v>10023</v>
      </c>
      <c r="C2365" s="182">
        <v>961.87</v>
      </c>
      <c r="D2365" s="182">
        <f t="shared" si="75"/>
        <v>2.8149337448002392E-3</v>
      </c>
      <c r="E2365" s="182">
        <v>-1.2754287704228292E-2</v>
      </c>
      <c r="F2365" s="168"/>
      <c r="G2365" s="168">
        <v>2362</v>
      </c>
      <c r="H2365" s="183">
        <f t="shared" ca="1" si="76"/>
        <v>3.6148614750629456E-3</v>
      </c>
      <c r="K2365" s="36"/>
    </row>
    <row r="2366" spans="2:11">
      <c r="B2366" s="36" t="s">
        <v>10024</v>
      </c>
      <c r="C2366" s="182">
        <v>959.17</v>
      </c>
      <c r="D2366" s="182">
        <f t="shared" si="75"/>
        <v>-7.3067489107149011E-3</v>
      </c>
      <c r="E2366" s="182">
        <v>-1.2777777777777754E-2</v>
      </c>
      <c r="F2366" s="168"/>
      <c r="G2366" s="168">
        <v>2363</v>
      </c>
      <c r="H2366" s="183">
        <f t="shared" ca="1" si="76"/>
        <v>-5.4496909879599752E-3</v>
      </c>
      <c r="K2366" s="36"/>
    </row>
    <row r="2367" spans="2:11">
      <c r="B2367" s="36">
        <v>43070</v>
      </c>
      <c r="C2367" s="182">
        <v>966.23</v>
      </c>
      <c r="D2367" s="182">
        <f t="shared" si="75"/>
        <v>2.6190299181154845E-2</v>
      </c>
      <c r="E2367" s="182">
        <v>-1.2782296771585855E-2</v>
      </c>
      <c r="F2367" s="168"/>
      <c r="G2367" s="168">
        <v>2364</v>
      </c>
      <c r="H2367" s="183">
        <f t="shared" ca="1" si="76"/>
        <v>1.3112582459773335E-2</v>
      </c>
      <c r="K2367" s="36"/>
    </row>
    <row r="2368" spans="2:11">
      <c r="B2368" s="36">
        <v>43040</v>
      </c>
      <c r="C2368" s="182">
        <v>941.57</v>
      </c>
      <c r="D2368" s="182">
        <f t="shared" si="75"/>
        <v>1.7913513513513567E-2</v>
      </c>
      <c r="E2368" s="182">
        <v>-1.2802881466928588E-2</v>
      </c>
      <c r="F2368" s="168"/>
      <c r="G2368" s="168">
        <v>2365</v>
      </c>
      <c r="H2368" s="183">
        <f t="shared" ca="1" si="76"/>
        <v>-7.0188372388822915E-3</v>
      </c>
      <c r="K2368" s="36"/>
    </row>
    <row r="2369" spans="2:11">
      <c r="B2369" s="36">
        <v>43009</v>
      </c>
      <c r="C2369" s="182">
        <v>925</v>
      </c>
      <c r="D2369" s="182">
        <f t="shared" si="75"/>
        <v>4.9650706734896194E-3</v>
      </c>
      <c r="E2369" s="182">
        <v>-1.2842176410949774E-2</v>
      </c>
      <c r="F2369" s="168"/>
      <c r="G2369" s="168">
        <v>2366</v>
      </c>
      <c r="H2369" s="183">
        <f t="shared" ca="1" si="76"/>
        <v>5.3785948387584138E-3</v>
      </c>
      <c r="K2369" s="36"/>
    </row>
    <row r="2370" spans="2:11">
      <c r="B2370" s="36">
        <v>42979</v>
      </c>
      <c r="C2370" s="182">
        <v>920.43</v>
      </c>
      <c r="D2370" s="182">
        <f t="shared" si="75"/>
        <v>-7.4086056292462042E-3</v>
      </c>
      <c r="E2370" s="182">
        <v>-1.2850850049146377E-2</v>
      </c>
      <c r="F2370" s="168"/>
      <c r="G2370" s="168">
        <v>2367</v>
      </c>
      <c r="H2370" s="183">
        <f t="shared" ca="1" si="76"/>
        <v>1.8200269483462185E-2</v>
      </c>
      <c r="K2370" s="36"/>
    </row>
    <row r="2371" spans="2:11">
      <c r="B2371" s="36">
        <v>42887</v>
      </c>
      <c r="C2371" s="182">
        <v>927.3</v>
      </c>
      <c r="D2371" s="182">
        <f t="shared" si="75"/>
        <v>-9.6961861667753813E-4</v>
      </c>
      <c r="E2371" s="182">
        <v>-1.2866629773104531E-2</v>
      </c>
      <c r="F2371" s="168"/>
      <c r="G2371" s="168">
        <v>2368</v>
      </c>
      <c r="H2371" s="183">
        <f t="shared" ca="1" si="76"/>
        <v>8.0680081722528316E-3</v>
      </c>
      <c r="K2371" s="36"/>
    </row>
    <row r="2372" spans="2:11">
      <c r="B2372" s="36">
        <v>42856</v>
      </c>
      <c r="C2372" s="182">
        <v>928.2</v>
      </c>
      <c r="D2372" s="182">
        <f t="shared" ref="D2372:D2435" si="77">(C2372-C2373)/C2373</f>
        <v>1.1408584224118234E-2</v>
      </c>
      <c r="E2372" s="182">
        <v>-1.2932349173427711E-2</v>
      </c>
      <c r="F2372" s="168"/>
      <c r="G2372" s="168">
        <v>2369</v>
      </c>
      <c r="H2372" s="183">
        <f t="shared" ca="1" si="76"/>
        <v>-6.6505543325173647E-3</v>
      </c>
      <c r="K2372" s="36"/>
    </row>
    <row r="2373" spans="2:11">
      <c r="B2373" s="36">
        <v>42826</v>
      </c>
      <c r="C2373" s="182">
        <v>917.73</v>
      </c>
      <c r="D2373" s="182">
        <f t="shared" si="77"/>
        <v>6.8680263749766757E-3</v>
      </c>
      <c r="E2373" s="182">
        <v>-1.2936453221947398E-2</v>
      </c>
      <c r="F2373" s="168"/>
      <c r="G2373" s="168">
        <v>2370</v>
      </c>
      <c r="H2373" s="183">
        <f t="shared" ref="H2373:H2436" ca="1" si="78">_xlfn.NORM.INV(RAND(),N$6,N$7)</f>
        <v>-6.8360926069744735E-3</v>
      </c>
      <c r="K2373" s="36"/>
    </row>
    <row r="2374" spans="2:11">
      <c r="B2374" s="36">
        <v>42795</v>
      </c>
      <c r="C2374" s="182">
        <v>911.47</v>
      </c>
      <c r="D2374" s="182">
        <f t="shared" si="77"/>
        <v>5.5935569285084398E-3</v>
      </c>
      <c r="E2374" s="182">
        <v>-1.294016604637842E-2</v>
      </c>
      <c r="F2374" s="168"/>
      <c r="G2374" s="168">
        <v>2371</v>
      </c>
      <c r="H2374" s="183">
        <f t="shared" ca="1" si="78"/>
        <v>-6.7527455462992958E-3</v>
      </c>
      <c r="K2374" s="36"/>
    </row>
    <row r="2375" spans="2:11">
      <c r="B2375" s="36">
        <v>42767</v>
      </c>
      <c r="C2375" s="182">
        <v>906.4</v>
      </c>
      <c r="D2375" s="182">
        <f t="shared" si="77"/>
        <v>7.7829664220591503E-3</v>
      </c>
      <c r="E2375" s="182">
        <v>-1.2943108277793963E-2</v>
      </c>
      <c r="F2375" s="168"/>
      <c r="G2375" s="168">
        <v>2372</v>
      </c>
      <c r="H2375" s="183">
        <f t="shared" ca="1" si="78"/>
        <v>1.7734458372963578E-2</v>
      </c>
      <c r="K2375" s="36"/>
    </row>
    <row r="2376" spans="2:11">
      <c r="B2376" s="36" t="s">
        <v>10025</v>
      </c>
      <c r="C2376" s="182">
        <v>899.4</v>
      </c>
      <c r="D2376" s="182">
        <f t="shared" si="77"/>
        <v>7.3924731182795954E-3</v>
      </c>
      <c r="E2376" s="182">
        <v>-1.2968138624930153E-2</v>
      </c>
      <c r="F2376" s="168"/>
      <c r="G2376" s="168">
        <v>2373</v>
      </c>
      <c r="H2376" s="183">
        <f t="shared" ca="1" si="78"/>
        <v>-4.9679494711899353E-4</v>
      </c>
      <c r="K2376" s="36"/>
    </row>
    <row r="2377" spans="2:11">
      <c r="B2377" s="36" t="s">
        <v>10026</v>
      </c>
      <c r="C2377" s="182">
        <v>892.8</v>
      </c>
      <c r="D2377" s="182">
        <f t="shared" si="77"/>
        <v>-7.966932231074449E-3</v>
      </c>
      <c r="E2377" s="182">
        <v>-1.2983717487840904E-2</v>
      </c>
      <c r="F2377" s="168"/>
      <c r="G2377" s="168">
        <v>2374</v>
      </c>
      <c r="H2377" s="183">
        <f t="shared" ca="1" si="78"/>
        <v>-2.9868964177128601E-3</v>
      </c>
      <c r="K2377" s="36"/>
    </row>
    <row r="2378" spans="2:11">
      <c r="B2378" s="36" t="s">
        <v>10027</v>
      </c>
      <c r="C2378" s="182">
        <v>899.97</v>
      </c>
      <c r="D2378" s="182">
        <f t="shared" si="77"/>
        <v>-4.1605346729664729E-3</v>
      </c>
      <c r="E2378" s="182">
        <v>-1.2988290858998297E-2</v>
      </c>
      <c r="F2378" s="168"/>
      <c r="G2378" s="168">
        <v>2375</v>
      </c>
      <c r="H2378" s="183">
        <f t="shared" ca="1" si="78"/>
        <v>8.4685363745921234E-3</v>
      </c>
      <c r="K2378" s="36"/>
    </row>
    <row r="2379" spans="2:11">
      <c r="B2379" s="36" t="s">
        <v>10028</v>
      </c>
      <c r="C2379" s="182">
        <v>903.73</v>
      </c>
      <c r="D2379" s="182">
        <f t="shared" si="77"/>
        <v>1.3456988101779687E-2</v>
      </c>
      <c r="E2379" s="182">
        <v>-1.3014157182279964E-2</v>
      </c>
      <c r="F2379" s="168"/>
      <c r="G2379" s="168">
        <v>2376</v>
      </c>
      <c r="H2379" s="183">
        <f t="shared" ca="1" si="78"/>
        <v>-6.4802202005615614E-3</v>
      </c>
      <c r="K2379" s="36"/>
    </row>
    <row r="2380" spans="2:11">
      <c r="B2380" s="36" t="s">
        <v>10029</v>
      </c>
      <c r="C2380" s="182">
        <v>891.73</v>
      </c>
      <c r="D2380" s="182">
        <f t="shared" si="77"/>
        <v>1.1215414465644128E-4</v>
      </c>
      <c r="E2380" s="182">
        <v>-1.3022448220265409E-2</v>
      </c>
      <c r="F2380" s="168"/>
      <c r="G2380" s="168">
        <v>2377</v>
      </c>
      <c r="H2380" s="183">
        <f t="shared" ca="1" si="78"/>
        <v>1.2799645089375974E-2</v>
      </c>
      <c r="K2380" s="36"/>
    </row>
    <row r="2381" spans="2:11">
      <c r="B2381" s="36" t="s">
        <v>10030</v>
      </c>
      <c r="C2381" s="182">
        <v>891.63</v>
      </c>
      <c r="D2381" s="182">
        <f t="shared" si="77"/>
        <v>1.7343085015346402E-2</v>
      </c>
      <c r="E2381" s="182">
        <v>-1.3065579968911634E-2</v>
      </c>
      <c r="F2381" s="168"/>
      <c r="G2381" s="168">
        <v>2378</v>
      </c>
      <c r="H2381" s="183">
        <f t="shared" ca="1" si="78"/>
        <v>8.130621818273974E-3</v>
      </c>
      <c r="K2381" s="36"/>
    </row>
    <row r="2382" spans="2:11">
      <c r="B2382" s="36" t="s">
        <v>10031</v>
      </c>
      <c r="C2382" s="182">
        <v>876.43</v>
      </c>
      <c r="D2382" s="182">
        <f t="shared" si="77"/>
        <v>-2.0387405412051383E-2</v>
      </c>
      <c r="E2382" s="182">
        <v>-1.3096243951148461E-2</v>
      </c>
      <c r="F2382" s="168"/>
      <c r="G2382" s="168">
        <v>2379</v>
      </c>
      <c r="H2382" s="183">
        <f t="shared" ca="1" si="78"/>
        <v>-1.2453070548485009E-3</v>
      </c>
      <c r="K2382" s="36"/>
    </row>
    <row r="2383" spans="2:11">
      <c r="B2383" s="36" t="s">
        <v>10032</v>
      </c>
      <c r="C2383" s="182">
        <v>894.67</v>
      </c>
      <c r="D2383" s="182">
        <f t="shared" si="77"/>
        <v>-9.9593878296280729E-3</v>
      </c>
      <c r="E2383" s="182">
        <v>-1.3096650543031975E-2</v>
      </c>
      <c r="F2383" s="168"/>
      <c r="G2383" s="168">
        <v>2380</v>
      </c>
      <c r="H2383" s="183">
        <f t="shared" ca="1" si="78"/>
        <v>-4.5909701264385564E-3</v>
      </c>
      <c r="K2383" s="36"/>
    </row>
    <row r="2384" spans="2:11">
      <c r="B2384" s="36" t="s">
        <v>10033</v>
      </c>
      <c r="C2384" s="182">
        <v>903.67</v>
      </c>
      <c r="D2384" s="182">
        <f t="shared" si="77"/>
        <v>7.8516221852937811E-3</v>
      </c>
      <c r="E2384" s="182">
        <v>-1.3115349682107142E-2</v>
      </c>
      <c r="F2384" s="168"/>
      <c r="G2384" s="168">
        <v>2381</v>
      </c>
      <c r="H2384" s="183">
        <f t="shared" ca="1" si="78"/>
        <v>1.7519903241290005E-2</v>
      </c>
      <c r="K2384" s="36"/>
    </row>
    <row r="2385" spans="2:11">
      <c r="B2385" s="36" t="s">
        <v>10034</v>
      </c>
      <c r="C2385" s="182">
        <v>896.63</v>
      </c>
      <c r="D2385" s="182">
        <f t="shared" si="77"/>
        <v>-1.1509585809254031E-2</v>
      </c>
      <c r="E2385" s="182">
        <v>-1.3126797031416976E-2</v>
      </c>
      <c r="F2385" s="168"/>
      <c r="G2385" s="168">
        <v>2382</v>
      </c>
      <c r="H2385" s="183">
        <f t="shared" ca="1" si="78"/>
        <v>2.5693682762551353E-3</v>
      </c>
      <c r="K2385" s="36"/>
    </row>
    <row r="2386" spans="2:11">
      <c r="B2386" s="36" t="s">
        <v>10035</v>
      </c>
      <c r="C2386" s="182">
        <v>907.07</v>
      </c>
      <c r="D2386" s="182">
        <f t="shared" si="77"/>
        <v>2.7637440994063476E-3</v>
      </c>
      <c r="E2386" s="182">
        <v>-1.3133101124878662E-2</v>
      </c>
      <c r="F2386" s="168"/>
      <c r="G2386" s="168">
        <v>2383</v>
      </c>
      <c r="H2386" s="183">
        <f t="shared" ca="1" si="78"/>
        <v>-3.6639483922640869E-3</v>
      </c>
      <c r="K2386" s="36"/>
    </row>
    <row r="2387" spans="2:11">
      <c r="B2387" s="36" t="s">
        <v>10036</v>
      </c>
      <c r="C2387" s="182">
        <v>904.57</v>
      </c>
      <c r="D2387" s="182">
        <f t="shared" si="77"/>
        <v>-2.2721507119772624E-3</v>
      </c>
      <c r="E2387" s="182">
        <v>-1.3144942990730756E-2</v>
      </c>
      <c r="F2387" s="168"/>
      <c r="G2387" s="168">
        <v>2384</v>
      </c>
      <c r="H2387" s="183">
        <f t="shared" ca="1" si="78"/>
        <v>-2.1256067022341632E-2</v>
      </c>
      <c r="K2387" s="36"/>
    </row>
    <row r="2388" spans="2:11">
      <c r="B2388" s="36" t="s">
        <v>10037</v>
      </c>
      <c r="C2388" s="182">
        <v>906.63</v>
      </c>
      <c r="D2388" s="182">
        <f t="shared" si="77"/>
        <v>-1.1448758627457395E-2</v>
      </c>
      <c r="E2388" s="182">
        <v>-1.3161328809514832E-2</v>
      </c>
      <c r="F2388" s="168"/>
      <c r="G2388" s="168">
        <v>2385</v>
      </c>
      <c r="H2388" s="183">
        <f t="shared" ca="1" si="78"/>
        <v>9.9508690691903837E-3</v>
      </c>
      <c r="K2388" s="36"/>
    </row>
    <row r="2389" spans="2:11">
      <c r="B2389" s="36" t="s">
        <v>10038</v>
      </c>
      <c r="C2389" s="182">
        <v>917.13</v>
      </c>
      <c r="D2389" s="182">
        <f t="shared" si="77"/>
        <v>7.8683912656460856E-3</v>
      </c>
      <c r="E2389" s="182">
        <v>-1.3171871680475853E-2</v>
      </c>
      <c r="F2389" s="168"/>
      <c r="G2389" s="168">
        <v>2386</v>
      </c>
      <c r="H2389" s="183">
        <f t="shared" ca="1" si="78"/>
        <v>-7.2752135305111888E-3</v>
      </c>
      <c r="K2389" s="36"/>
    </row>
    <row r="2390" spans="2:11">
      <c r="B2390" s="36">
        <v>42716</v>
      </c>
      <c r="C2390" s="182">
        <v>909.97</v>
      </c>
      <c r="D2390" s="182">
        <f t="shared" si="77"/>
        <v>2.0261416317047471E-3</v>
      </c>
      <c r="E2390" s="182">
        <v>-1.3188804617759642E-2</v>
      </c>
      <c r="F2390" s="168"/>
      <c r="G2390" s="168">
        <v>2387</v>
      </c>
      <c r="H2390" s="183">
        <f t="shared" ca="1" si="78"/>
        <v>-8.5895360449327711E-3</v>
      </c>
      <c r="K2390" s="36"/>
    </row>
    <row r="2391" spans="2:11">
      <c r="B2391" s="36">
        <v>42625</v>
      </c>
      <c r="C2391" s="182">
        <v>908.13</v>
      </c>
      <c r="D2391" s="182">
        <f t="shared" si="77"/>
        <v>-3.4785471304729062E-3</v>
      </c>
      <c r="E2391" s="182">
        <v>-1.3214982287147342E-2</v>
      </c>
      <c r="F2391" s="168"/>
      <c r="G2391" s="168">
        <v>2388</v>
      </c>
      <c r="H2391" s="183">
        <f t="shared" ca="1" si="78"/>
        <v>1.8071076037950287E-2</v>
      </c>
      <c r="K2391" s="36"/>
    </row>
    <row r="2392" spans="2:11">
      <c r="B2392" s="36">
        <v>42594</v>
      </c>
      <c r="C2392" s="182">
        <v>911.3</v>
      </c>
      <c r="D2392" s="182">
        <f t="shared" si="77"/>
        <v>9.7171285165035867E-3</v>
      </c>
      <c r="E2392" s="182">
        <v>-1.3215515763554503E-2</v>
      </c>
      <c r="F2392" s="168"/>
      <c r="G2392" s="168">
        <v>2389</v>
      </c>
      <c r="H2392" s="183">
        <f t="shared" ca="1" si="78"/>
        <v>7.945139019500131E-3</v>
      </c>
      <c r="K2392" s="36"/>
    </row>
    <row r="2393" spans="2:11">
      <c r="B2393" s="36">
        <v>42563</v>
      </c>
      <c r="C2393" s="182">
        <v>902.53</v>
      </c>
      <c r="D2393" s="182">
        <f t="shared" si="77"/>
        <v>-6.1336857174320554E-3</v>
      </c>
      <c r="E2393" s="182">
        <v>-1.3216580056467196E-2</v>
      </c>
      <c r="F2393" s="168"/>
      <c r="G2393" s="168">
        <v>2390</v>
      </c>
      <c r="H2393" s="183">
        <f t="shared" ca="1" si="78"/>
        <v>6.578230891753507E-3</v>
      </c>
      <c r="K2393" s="36"/>
    </row>
    <row r="2394" spans="2:11">
      <c r="B2394" s="36">
        <v>42533</v>
      </c>
      <c r="C2394" s="182">
        <v>908.1</v>
      </c>
      <c r="D2394" s="182">
        <f t="shared" si="77"/>
        <v>4.424289348523393E-3</v>
      </c>
      <c r="E2394" s="182">
        <v>-1.3229494283860017E-2</v>
      </c>
      <c r="F2394" s="168"/>
      <c r="G2394" s="168">
        <v>2391</v>
      </c>
      <c r="H2394" s="183">
        <f t="shared" ca="1" si="78"/>
        <v>-9.892761751678969E-3</v>
      </c>
      <c r="K2394" s="36"/>
    </row>
    <row r="2395" spans="2:11">
      <c r="B2395" s="36">
        <v>42502</v>
      </c>
      <c r="C2395" s="182">
        <v>904.1</v>
      </c>
      <c r="D2395" s="182">
        <f t="shared" si="77"/>
        <v>-4.1854829827072965E-3</v>
      </c>
      <c r="E2395" s="182">
        <v>-1.3231806266383751E-2</v>
      </c>
      <c r="F2395" s="168"/>
      <c r="G2395" s="168">
        <v>2392</v>
      </c>
      <c r="H2395" s="183">
        <f t="shared" ca="1" si="78"/>
        <v>-1.4699265828864343E-3</v>
      </c>
      <c r="K2395" s="36"/>
    </row>
    <row r="2396" spans="2:11">
      <c r="B2396" s="36">
        <v>42412</v>
      </c>
      <c r="C2396" s="182">
        <v>907.9</v>
      </c>
      <c r="D2396" s="182">
        <f t="shared" si="77"/>
        <v>-1.9090938556781303E-2</v>
      </c>
      <c r="E2396" s="182">
        <v>-1.3243046329233312E-2</v>
      </c>
      <c r="F2396" s="168"/>
      <c r="G2396" s="168">
        <v>2393</v>
      </c>
      <c r="H2396" s="183">
        <f t="shared" ca="1" si="78"/>
        <v>-1.9083681426990271E-2</v>
      </c>
      <c r="K2396" s="36"/>
    </row>
    <row r="2397" spans="2:11">
      <c r="B2397" s="36">
        <v>42381</v>
      </c>
      <c r="C2397" s="182">
        <v>925.57</v>
      </c>
      <c r="D2397" s="182">
        <f t="shared" si="77"/>
        <v>4.0571471963377296E-3</v>
      </c>
      <c r="E2397" s="182">
        <v>-1.3245518819491195E-2</v>
      </c>
      <c r="F2397" s="168"/>
      <c r="G2397" s="168">
        <v>2394</v>
      </c>
      <c r="H2397" s="183">
        <f t="shared" ca="1" si="78"/>
        <v>-1.8721768313527478E-2</v>
      </c>
      <c r="K2397" s="36"/>
    </row>
    <row r="2398" spans="2:11">
      <c r="B2398" s="36" t="s">
        <v>10039</v>
      </c>
      <c r="C2398" s="182">
        <v>921.83</v>
      </c>
      <c r="D2398" s="182">
        <f t="shared" si="77"/>
        <v>2.2403868549183196E-2</v>
      </c>
      <c r="E2398" s="182">
        <v>-1.3276973933777705E-2</v>
      </c>
      <c r="F2398" s="168"/>
      <c r="G2398" s="168">
        <v>2395</v>
      </c>
      <c r="H2398" s="183">
        <f t="shared" ca="1" si="78"/>
        <v>1.5454568222655288E-4</v>
      </c>
      <c r="K2398" s="36"/>
    </row>
    <row r="2399" spans="2:11">
      <c r="B2399" s="36" t="s">
        <v>10040</v>
      </c>
      <c r="C2399" s="182">
        <v>901.63</v>
      </c>
      <c r="D2399" s="182">
        <f t="shared" si="77"/>
        <v>-3.3162729513723844E-3</v>
      </c>
      <c r="E2399" s="182">
        <v>-1.3295380846004212E-2</v>
      </c>
      <c r="F2399" s="168"/>
      <c r="G2399" s="168">
        <v>2396</v>
      </c>
      <c r="H2399" s="183">
        <f t="shared" ca="1" si="78"/>
        <v>1.1043135400924942E-2</v>
      </c>
      <c r="K2399" s="36"/>
    </row>
    <row r="2400" spans="2:11">
      <c r="B2400" s="36" t="s">
        <v>10041</v>
      </c>
      <c r="C2400" s="182">
        <v>904.63</v>
      </c>
      <c r="D2400" s="182">
        <f t="shared" si="77"/>
        <v>-1.0035018603633136E-2</v>
      </c>
      <c r="E2400" s="182">
        <v>-1.3349598361221718E-2</v>
      </c>
      <c r="F2400" s="168"/>
      <c r="G2400" s="168">
        <v>2397</v>
      </c>
      <c r="H2400" s="183">
        <f t="shared" ca="1" si="78"/>
        <v>1.2581348217370496E-2</v>
      </c>
      <c r="K2400" s="36"/>
    </row>
    <row r="2401" spans="2:11">
      <c r="B2401" s="36" t="s">
        <v>10042</v>
      </c>
      <c r="C2401" s="182">
        <v>913.8</v>
      </c>
      <c r="D2401" s="182">
        <f t="shared" si="77"/>
        <v>1.5592873734398761E-2</v>
      </c>
      <c r="E2401" s="182">
        <v>-1.3351591920575048E-2</v>
      </c>
      <c r="F2401" s="168"/>
      <c r="G2401" s="168">
        <v>2398</v>
      </c>
      <c r="H2401" s="183">
        <f t="shared" ca="1" si="78"/>
        <v>-4.9797587860992013E-3</v>
      </c>
      <c r="K2401" s="36"/>
    </row>
    <row r="2402" spans="2:11">
      <c r="B2402" s="36" t="s">
        <v>10043</v>
      </c>
      <c r="C2402" s="182">
        <v>899.77</v>
      </c>
      <c r="D2402" s="182">
        <f t="shared" si="77"/>
        <v>-5.5922106915111775E-3</v>
      </c>
      <c r="E2402" s="182">
        <v>-1.3383634240546002E-2</v>
      </c>
      <c r="F2402" s="168"/>
      <c r="G2402" s="168">
        <v>2399</v>
      </c>
      <c r="H2402" s="183">
        <f t="shared" ca="1" si="78"/>
        <v>-1.095655710384652E-2</v>
      </c>
      <c r="K2402" s="36"/>
    </row>
    <row r="2403" spans="2:11">
      <c r="B2403" s="36" t="s">
        <v>10044</v>
      </c>
      <c r="C2403" s="182">
        <v>904.83</v>
      </c>
      <c r="D2403" s="182">
        <f t="shared" si="77"/>
        <v>2.0826517142953888E-2</v>
      </c>
      <c r="E2403" s="182">
        <v>-1.3385686239514544E-2</v>
      </c>
      <c r="F2403" s="168"/>
      <c r="G2403" s="168">
        <v>2400</v>
      </c>
      <c r="H2403" s="183">
        <f t="shared" ca="1" si="78"/>
        <v>-1.2173225086800979E-2</v>
      </c>
      <c r="K2403" s="36"/>
    </row>
    <row r="2404" spans="2:11">
      <c r="B2404" s="36" t="s">
        <v>10045</v>
      </c>
      <c r="C2404" s="182">
        <v>886.37</v>
      </c>
      <c r="D2404" s="182">
        <f t="shared" si="77"/>
        <v>-1.3610060093478765E-2</v>
      </c>
      <c r="E2404" s="182">
        <v>-1.3424335563189419E-2</v>
      </c>
      <c r="F2404" s="168"/>
      <c r="G2404" s="168">
        <v>2401</v>
      </c>
      <c r="H2404" s="183">
        <f t="shared" ca="1" si="78"/>
        <v>1.6445728983241523E-2</v>
      </c>
      <c r="K2404" s="36"/>
    </row>
    <row r="2405" spans="2:11">
      <c r="B2405" s="36" t="s">
        <v>10046</v>
      </c>
      <c r="C2405" s="182">
        <v>898.6</v>
      </c>
      <c r="D2405" s="182">
        <f t="shared" si="77"/>
        <v>-1.6450860851767096E-2</v>
      </c>
      <c r="E2405" s="182">
        <v>-1.3426665029268566E-2</v>
      </c>
      <c r="F2405" s="168"/>
      <c r="G2405" s="168">
        <v>2402</v>
      </c>
      <c r="H2405" s="183">
        <f t="shared" ca="1" si="78"/>
        <v>1.0685331257453565E-2</v>
      </c>
      <c r="K2405" s="36"/>
    </row>
    <row r="2406" spans="2:11">
      <c r="B2406" s="36" t="s">
        <v>10047</v>
      </c>
      <c r="C2406" s="182">
        <v>913.63</v>
      </c>
      <c r="D2406" s="182">
        <f t="shared" si="77"/>
        <v>-4.0481400437637261E-4</v>
      </c>
      <c r="E2406" s="182">
        <v>-1.3434579439252449E-2</v>
      </c>
      <c r="F2406" s="168"/>
      <c r="G2406" s="168">
        <v>2403</v>
      </c>
      <c r="H2406" s="183">
        <f t="shared" ca="1" si="78"/>
        <v>-2.1707427375620121E-3</v>
      </c>
      <c r="K2406" s="36"/>
    </row>
    <row r="2407" spans="2:11">
      <c r="B2407" s="36" t="s">
        <v>10048</v>
      </c>
      <c r="C2407" s="182">
        <v>914</v>
      </c>
      <c r="D2407" s="182">
        <f t="shared" si="77"/>
        <v>-3.3041449025658625E-3</v>
      </c>
      <c r="E2407" s="182">
        <v>-1.3437135756856096E-2</v>
      </c>
      <c r="F2407" s="168"/>
      <c r="G2407" s="168">
        <v>2404</v>
      </c>
      <c r="H2407" s="183">
        <f t="shared" ca="1" si="78"/>
        <v>2.0854290049491311E-3</v>
      </c>
      <c r="K2407" s="36"/>
    </row>
    <row r="2408" spans="2:11">
      <c r="B2408" s="36" t="s">
        <v>10049</v>
      </c>
      <c r="C2408" s="182">
        <v>917.03</v>
      </c>
      <c r="D2408" s="182">
        <f t="shared" si="77"/>
        <v>3.8312918021301983E-3</v>
      </c>
      <c r="E2408" s="182">
        <v>-1.346114623699788E-2</v>
      </c>
      <c r="F2408" s="168"/>
      <c r="G2408" s="168">
        <v>2405</v>
      </c>
      <c r="H2408" s="183">
        <f t="shared" ca="1" si="78"/>
        <v>7.5428772640353803E-3</v>
      </c>
      <c r="K2408" s="36"/>
    </row>
    <row r="2409" spans="2:11">
      <c r="B2409" s="36" t="s">
        <v>10050</v>
      </c>
      <c r="C2409" s="182">
        <v>913.53</v>
      </c>
      <c r="D2409" s="182">
        <f t="shared" si="77"/>
        <v>-1.332800501150273E-2</v>
      </c>
      <c r="E2409" s="182">
        <v>-1.3484197541367251E-2</v>
      </c>
      <c r="F2409" s="168"/>
      <c r="G2409" s="168">
        <v>2406</v>
      </c>
      <c r="H2409" s="183">
        <f t="shared" ca="1" si="78"/>
        <v>5.3758473868235467E-3</v>
      </c>
      <c r="K2409" s="36"/>
    </row>
    <row r="2410" spans="2:11">
      <c r="B2410" s="36">
        <v>42685</v>
      </c>
      <c r="C2410" s="182">
        <v>925.87</v>
      </c>
      <c r="D2410" s="182">
        <f t="shared" si="77"/>
        <v>-1.6496707032079852E-2</v>
      </c>
      <c r="E2410" s="182">
        <v>-1.3489809555629879E-2</v>
      </c>
      <c r="F2410" s="168"/>
      <c r="G2410" s="168">
        <v>2407</v>
      </c>
      <c r="H2410" s="183">
        <f t="shared" ca="1" si="78"/>
        <v>2.1471375069297546E-3</v>
      </c>
      <c r="K2410" s="36"/>
    </row>
    <row r="2411" spans="2:11">
      <c r="B2411" s="36">
        <v>42654</v>
      </c>
      <c r="C2411" s="182">
        <v>941.4</v>
      </c>
      <c r="D2411" s="182">
        <f t="shared" si="77"/>
        <v>1.5566846823521743E-2</v>
      </c>
      <c r="E2411" s="182">
        <v>-1.3501898144831968E-2</v>
      </c>
      <c r="F2411" s="168"/>
      <c r="G2411" s="168">
        <v>2408</v>
      </c>
      <c r="H2411" s="183">
        <f t="shared" ca="1" si="78"/>
        <v>-7.018775018270155E-3</v>
      </c>
      <c r="K2411" s="36"/>
    </row>
    <row r="2412" spans="2:11">
      <c r="B2412" s="36">
        <v>42624</v>
      </c>
      <c r="C2412" s="182">
        <v>926.97</v>
      </c>
      <c r="D2412" s="182">
        <f t="shared" si="77"/>
        <v>-4.8310734645238169E-3</v>
      </c>
      <c r="E2412" s="182">
        <v>-1.3537675606641153E-2</v>
      </c>
      <c r="F2412" s="168"/>
      <c r="G2412" s="168">
        <v>2409</v>
      </c>
      <c r="H2412" s="183">
        <f t="shared" ca="1" si="78"/>
        <v>-9.222002351363421E-3</v>
      </c>
      <c r="K2412" s="36"/>
    </row>
    <row r="2413" spans="2:11">
      <c r="B2413" s="36">
        <v>42593</v>
      </c>
      <c r="C2413" s="182">
        <v>931.47</v>
      </c>
      <c r="D2413" s="182">
        <f t="shared" si="77"/>
        <v>-5.6866952789696643E-4</v>
      </c>
      <c r="E2413" s="182">
        <v>-1.3576565514821897E-2</v>
      </c>
      <c r="F2413" s="168"/>
      <c r="G2413" s="168">
        <v>2410</v>
      </c>
      <c r="H2413" s="183">
        <f t="shared" ca="1" si="78"/>
        <v>-2.8290323279085983E-3</v>
      </c>
      <c r="K2413" s="36"/>
    </row>
    <row r="2414" spans="2:11">
      <c r="B2414" s="36">
        <v>42562</v>
      </c>
      <c r="C2414" s="182">
        <v>932</v>
      </c>
      <c r="D2414" s="182">
        <f t="shared" si="77"/>
        <v>-1.535080768702521E-2</v>
      </c>
      <c r="E2414" s="182">
        <v>-1.3588924387646471E-2</v>
      </c>
      <c r="F2414" s="168"/>
      <c r="G2414" s="168">
        <v>2411</v>
      </c>
      <c r="H2414" s="183">
        <f t="shared" ca="1" si="78"/>
        <v>-1.8815402033679632E-3</v>
      </c>
      <c r="K2414" s="36"/>
    </row>
    <row r="2415" spans="2:11">
      <c r="B2415" s="36">
        <v>42471</v>
      </c>
      <c r="C2415" s="182">
        <v>946.53</v>
      </c>
      <c r="D2415" s="182">
        <f t="shared" si="77"/>
        <v>-1.6898628998753617E-2</v>
      </c>
      <c r="E2415" s="182">
        <v>-1.3680017293024174E-2</v>
      </c>
      <c r="F2415" s="168"/>
      <c r="G2415" s="168">
        <v>2412</v>
      </c>
      <c r="H2415" s="183">
        <f t="shared" ca="1" si="78"/>
        <v>2.0723513198817919E-2</v>
      </c>
      <c r="K2415" s="36"/>
    </row>
    <row r="2416" spans="2:11">
      <c r="B2416" s="36">
        <v>42440</v>
      </c>
      <c r="C2416" s="182">
        <v>962.8</v>
      </c>
      <c r="D2416" s="182">
        <f t="shared" si="77"/>
        <v>-3.0752663677687518E-3</v>
      </c>
      <c r="E2416" s="182">
        <v>-1.3780451384444807E-2</v>
      </c>
      <c r="F2416" s="168"/>
      <c r="G2416" s="168">
        <v>2413</v>
      </c>
      <c r="H2416" s="183">
        <f t="shared" ca="1" si="78"/>
        <v>3.6928668324877371E-3</v>
      </c>
      <c r="K2416" s="36"/>
    </row>
    <row r="2417" spans="2:11">
      <c r="B2417" s="36">
        <v>42411</v>
      </c>
      <c r="C2417" s="182">
        <v>965.77</v>
      </c>
      <c r="D2417" s="182">
        <f t="shared" si="77"/>
        <v>-9.9033246875736541E-3</v>
      </c>
      <c r="E2417" s="182">
        <v>-1.3780487804878085E-2</v>
      </c>
      <c r="F2417" s="168"/>
      <c r="G2417" s="168">
        <v>2414</v>
      </c>
      <c r="H2417" s="183">
        <f t="shared" ca="1" si="78"/>
        <v>-5.5277803359329034E-3</v>
      </c>
      <c r="K2417" s="36"/>
    </row>
    <row r="2418" spans="2:11">
      <c r="B2418" s="36">
        <v>42380</v>
      </c>
      <c r="C2418" s="182">
        <v>975.43</v>
      </c>
      <c r="D2418" s="182">
        <f t="shared" si="77"/>
        <v>-8.2053889171327405E-3</v>
      </c>
      <c r="E2418" s="182">
        <v>-1.3786139674820128E-2</v>
      </c>
      <c r="F2418" s="168"/>
      <c r="G2418" s="168">
        <v>2415</v>
      </c>
      <c r="H2418" s="183">
        <f t="shared" ca="1" si="78"/>
        <v>1.0844447212972848E-2</v>
      </c>
      <c r="K2418" s="36"/>
    </row>
    <row r="2419" spans="2:11">
      <c r="B2419" s="36" t="s">
        <v>10051</v>
      </c>
      <c r="C2419" s="182">
        <v>983.5</v>
      </c>
      <c r="D2419" s="182">
        <f t="shared" si="77"/>
        <v>-3.6773272010778677E-3</v>
      </c>
      <c r="E2419" s="182">
        <v>-1.3808046904873179E-2</v>
      </c>
      <c r="F2419" s="168"/>
      <c r="G2419" s="168">
        <v>2416</v>
      </c>
      <c r="H2419" s="183">
        <f t="shared" ca="1" si="78"/>
        <v>3.1329636663080196E-2</v>
      </c>
      <c r="K2419" s="36"/>
    </row>
    <row r="2420" spans="2:11">
      <c r="B2420" s="36" t="s">
        <v>10052</v>
      </c>
      <c r="C2420" s="182">
        <v>987.13</v>
      </c>
      <c r="D2420" s="182">
        <f t="shared" si="77"/>
        <v>3.6602848921741308E-3</v>
      </c>
      <c r="E2420" s="182">
        <v>-1.3900589721988061E-2</v>
      </c>
      <c r="F2420" s="168"/>
      <c r="G2420" s="168">
        <v>2417</v>
      </c>
      <c r="H2420" s="183">
        <f t="shared" ca="1" si="78"/>
        <v>3.8975767869349311E-3</v>
      </c>
      <c r="K2420" s="36"/>
    </row>
    <row r="2421" spans="2:11">
      <c r="B2421" s="36" t="s">
        <v>10053</v>
      </c>
      <c r="C2421" s="182">
        <v>983.53</v>
      </c>
      <c r="D2421" s="182">
        <f t="shared" si="77"/>
        <v>-4.7257640153815748E-3</v>
      </c>
      <c r="E2421" s="182">
        <v>-1.3904530884518717E-2</v>
      </c>
      <c r="F2421" s="168"/>
      <c r="G2421" s="168">
        <v>2418</v>
      </c>
      <c r="H2421" s="183">
        <f t="shared" ca="1" si="78"/>
        <v>2.8679598884452512E-2</v>
      </c>
      <c r="K2421" s="36"/>
    </row>
    <row r="2422" spans="2:11">
      <c r="B2422" s="36" t="s">
        <v>10054</v>
      </c>
      <c r="C2422" s="182">
        <v>988.2</v>
      </c>
      <c r="D2422" s="182">
        <f t="shared" si="77"/>
        <v>-1.2128562765311621E-3</v>
      </c>
      <c r="E2422" s="182">
        <v>-1.3931986574631119E-2</v>
      </c>
      <c r="F2422" s="168"/>
      <c r="G2422" s="168">
        <v>2419</v>
      </c>
      <c r="H2422" s="183">
        <f t="shared" ca="1" si="78"/>
        <v>7.5978459282118136E-4</v>
      </c>
      <c r="K2422" s="36"/>
    </row>
    <row r="2423" spans="2:11">
      <c r="B2423" s="36" t="s">
        <v>10055</v>
      </c>
      <c r="C2423" s="182">
        <v>989.4</v>
      </c>
      <c r="D2423" s="182">
        <f t="shared" si="77"/>
        <v>-5.7280675309014624E-3</v>
      </c>
      <c r="E2423" s="182">
        <v>-1.3996490176775359E-2</v>
      </c>
      <c r="F2423" s="168"/>
      <c r="G2423" s="168">
        <v>2420</v>
      </c>
      <c r="H2423" s="183">
        <f t="shared" ca="1" si="78"/>
        <v>1.5466570701957822E-3</v>
      </c>
      <c r="K2423" s="36"/>
    </row>
    <row r="2424" spans="2:11">
      <c r="B2424" s="36" t="s">
        <v>10056</v>
      </c>
      <c r="C2424" s="182">
        <v>995.1</v>
      </c>
      <c r="D2424" s="182">
        <f t="shared" si="77"/>
        <v>-1.2042929618855669E-2</v>
      </c>
      <c r="E2424" s="182">
        <v>-1.4012594315538687E-2</v>
      </c>
      <c r="F2424" s="168"/>
      <c r="G2424" s="168">
        <v>2421</v>
      </c>
      <c r="H2424" s="183">
        <f t="shared" ca="1" si="78"/>
        <v>8.4480622233797931E-3</v>
      </c>
      <c r="K2424" s="36"/>
    </row>
    <row r="2425" spans="2:11">
      <c r="B2425" s="36" t="s">
        <v>10057</v>
      </c>
      <c r="C2425" s="182">
        <v>1007.23</v>
      </c>
      <c r="D2425" s="182">
        <f t="shared" si="77"/>
        <v>4.7883642748122743E-3</v>
      </c>
      <c r="E2425" s="182">
        <v>-1.4027388672295978E-2</v>
      </c>
      <c r="F2425" s="168"/>
      <c r="G2425" s="168">
        <v>2422</v>
      </c>
      <c r="H2425" s="183">
        <f t="shared" ca="1" si="78"/>
        <v>-7.5744455852603297E-3</v>
      </c>
      <c r="K2425" s="36"/>
    </row>
    <row r="2426" spans="2:11">
      <c r="B2426" s="36" t="s">
        <v>10058</v>
      </c>
      <c r="C2426" s="182">
        <v>1002.43</v>
      </c>
      <c r="D2426" s="182">
        <f t="shared" si="77"/>
        <v>8.4504491816142138E-3</v>
      </c>
      <c r="E2426" s="182">
        <v>-1.4056368176953297E-2</v>
      </c>
      <c r="F2426" s="168"/>
      <c r="G2426" s="168">
        <v>2423</v>
      </c>
      <c r="H2426" s="183">
        <f t="shared" ca="1" si="78"/>
        <v>-2.1900823034853186E-2</v>
      </c>
      <c r="K2426" s="36"/>
    </row>
    <row r="2427" spans="2:11">
      <c r="B2427" s="36" t="s">
        <v>10059</v>
      </c>
      <c r="C2427" s="182">
        <v>994.03</v>
      </c>
      <c r="D2427" s="182">
        <f t="shared" si="77"/>
        <v>1.8746787344910789E-3</v>
      </c>
      <c r="E2427" s="182">
        <v>-1.4100678124215036E-2</v>
      </c>
      <c r="F2427" s="168"/>
      <c r="G2427" s="168">
        <v>2424</v>
      </c>
      <c r="H2427" s="183">
        <f t="shared" ca="1" si="78"/>
        <v>4.5119781429944321E-3</v>
      </c>
      <c r="K2427" s="36"/>
    </row>
    <row r="2428" spans="2:11">
      <c r="B2428" s="36" t="s">
        <v>10060</v>
      </c>
      <c r="C2428" s="182">
        <v>992.17</v>
      </c>
      <c r="D2428" s="182">
        <f t="shared" si="77"/>
        <v>2.7835905935978459E-2</v>
      </c>
      <c r="E2428" s="182">
        <v>-1.4126056617688823E-2</v>
      </c>
      <c r="F2428" s="168"/>
      <c r="G2428" s="168">
        <v>2425</v>
      </c>
      <c r="H2428" s="183">
        <f t="shared" ca="1" si="78"/>
        <v>-5.1099337018747698E-3</v>
      </c>
      <c r="K2428" s="36"/>
    </row>
    <row r="2429" spans="2:11">
      <c r="B2429" s="36" t="s">
        <v>10061</v>
      </c>
      <c r="C2429" s="182">
        <v>965.3</v>
      </c>
      <c r="D2429" s="182">
        <f t="shared" si="77"/>
        <v>-1.8235814611026985E-2</v>
      </c>
      <c r="E2429" s="182">
        <v>-1.4135454079014856E-2</v>
      </c>
      <c r="F2429" s="168"/>
      <c r="G2429" s="168">
        <v>2426</v>
      </c>
      <c r="H2429" s="183">
        <f t="shared" ca="1" si="78"/>
        <v>-6.5123243757702369E-3</v>
      </c>
      <c r="K2429" s="36"/>
    </row>
    <row r="2430" spans="2:11">
      <c r="B2430" s="36" t="s">
        <v>10062</v>
      </c>
      <c r="C2430" s="182">
        <v>983.23</v>
      </c>
      <c r="D2430" s="182">
        <f t="shared" si="77"/>
        <v>2.5340744371330617E-2</v>
      </c>
      <c r="E2430" s="182">
        <v>-1.413739226853483E-2</v>
      </c>
      <c r="F2430" s="168"/>
      <c r="G2430" s="168">
        <v>2427</v>
      </c>
      <c r="H2430" s="183">
        <f t="shared" ca="1" si="78"/>
        <v>5.9243483497446797E-3</v>
      </c>
      <c r="K2430" s="36"/>
    </row>
    <row r="2431" spans="2:11">
      <c r="B2431" s="36" t="s">
        <v>10063</v>
      </c>
      <c r="C2431" s="182">
        <v>958.93</v>
      </c>
      <c r="D2431" s="182">
        <f t="shared" si="77"/>
        <v>-8.0068689418312453E-3</v>
      </c>
      <c r="E2431" s="182">
        <v>-1.4288336368898841E-2</v>
      </c>
      <c r="F2431" s="168"/>
      <c r="G2431" s="168">
        <v>2428</v>
      </c>
      <c r="H2431" s="183">
        <f t="shared" ca="1" si="78"/>
        <v>3.7803126560245629E-3</v>
      </c>
      <c r="K2431" s="36"/>
    </row>
    <row r="2432" spans="2:11">
      <c r="B2432" s="36">
        <v>42653</v>
      </c>
      <c r="C2432" s="182">
        <v>966.67</v>
      </c>
      <c r="D2432" s="182">
        <f t="shared" si="77"/>
        <v>-4.7668073715638791E-3</v>
      </c>
      <c r="E2432" s="182">
        <v>-1.4292537752140073E-2</v>
      </c>
      <c r="F2432" s="168"/>
      <c r="G2432" s="168">
        <v>2429</v>
      </c>
      <c r="H2432" s="183">
        <f t="shared" ca="1" si="78"/>
        <v>-3.6601835325087992E-3</v>
      </c>
      <c r="K2432" s="36"/>
    </row>
    <row r="2433" spans="2:11">
      <c r="B2433" s="36">
        <v>42561</v>
      </c>
      <c r="C2433" s="182">
        <v>971.3</v>
      </c>
      <c r="D2433" s="182">
        <f t="shared" si="77"/>
        <v>1.6809842523745145E-3</v>
      </c>
      <c r="E2433" s="182">
        <v>-1.4302779840506305E-2</v>
      </c>
      <c r="F2433" s="168"/>
      <c r="G2433" s="168">
        <v>2430</v>
      </c>
      <c r="H2433" s="183">
        <f t="shared" ca="1" si="78"/>
        <v>8.5981604247771966E-3</v>
      </c>
      <c r="K2433" s="36"/>
    </row>
    <row r="2434" spans="2:11">
      <c r="B2434" s="36">
        <v>42531</v>
      </c>
      <c r="C2434" s="182">
        <v>969.67</v>
      </c>
      <c r="D2434" s="182">
        <f t="shared" si="77"/>
        <v>3.8171876611988505E-4</v>
      </c>
      <c r="E2434" s="182">
        <v>-1.4336227419129068E-2</v>
      </c>
      <c r="F2434" s="168"/>
      <c r="G2434" s="168">
        <v>2431</v>
      </c>
      <c r="H2434" s="183">
        <f t="shared" ca="1" si="78"/>
        <v>1.8871721600393101E-2</v>
      </c>
      <c r="K2434" s="36"/>
    </row>
    <row r="2435" spans="2:11">
      <c r="B2435" s="36">
        <v>42500</v>
      </c>
      <c r="C2435" s="182">
        <v>969.3</v>
      </c>
      <c r="D2435" s="182">
        <f t="shared" si="77"/>
        <v>3.3122865127832852E-3</v>
      </c>
      <c r="E2435" s="182">
        <v>-1.4354755192451423E-2</v>
      </c>
      <c r="F2435" s="168"/>
      <c r="G2435" s="168">
        <v>2432</v>
      </c>
      <c r="H2435" s="183">
        <f t="shared" ca="1" si="78"/>
        <v>8.932716102974486E-4</v>
      </c>
      <c r="K2435" s="36"/>
    </row>
    <row r="2436" spans="2:11">
      <c r="B2436" s="36">
        <v>42470</v>
      </c>
      <c r="C2436" s="182">
        <v>966.1</v>
      </c>
      <c r="D2436" s="182">
        <f t="shared" ref="D2436:D2478" si="79">(C2436-C2437)/C2437</f>
        <v>-1.4656236294838193E-2</v>
      </c>
      <c r="E2436" s="182">
        <v>-1.4392752825636032E-2</v>
      </c>
      <c r="F2436" s="168"/>
      <c r="G2436" s="168">
        <v>2433</v>
      </c>
      <c r="H2436" s="183">
        <f t="shared" ca="1" si="78"/>
        <v>2.1118577783739295E-2</v>
      </c>
      <c r="K2436" s="36"/>
    </row>
    <row r="2437" spans="2:11">
      <c r="B2437" s="36">
        <v>42439</v>
      </c>
      <c r="C2437" s="182">
        <v>980.47</v>
      </c>
      <c r="D2437" s="182">
        <f t="shared" si="79"/>
        <v>2.6208094784547355E-2</v>
      </c>
      <c r="E2437" s="182">
        <v>-1.4444114023535409E-2</v>
      </c>
      <c r="F2437" s="168"/>
      <c r="G2437" s="168">
        <v>2434</v>
      </c>
      <c r="H2437" s="183">
        <f t="shared" ref="H2437:H2500" ca="1" si="80">_xlfn.NORM.INV(RAND(),N$6,N$7)</f>
        <v>1.0945727188441608E-2</v>
      </c>
      <c r="K2437" s="36"/>
    </row>
    <row r="2438" spans="2:11">
      <c r="B2438" s="36" t="s">
        <v>10064</v>
      </c>
      <c r="C2438" s="182">
        <v>955.43</v>
      </c>
      <c r="D2438" s="182">
        <f t="shared" si="79"/>
        <v>-3.0989148580968565E-3</v>
      </c>
      <c r="E2438" s="182">
        <v>-1.4493850520340655E-2</v>
      </c>
      <c r="F2438" s="168"/>
      <c r="G2438" s="168">
        <v>2435</v>
      </c>
      <c r="H2438" s="183">
        <f t="shared" ca="1" si="80"/>
        <v>-2.6303782851047012E-4</v>
      </c>
      <c r="K2438" s="36"/>
    </row>
    <row r="2439" spans="2:11">
      <c r="B2439" s="36" t="s">
        <v>10065</v>
      </c>
      <c r="C2439" s="182">
        <v>958.4</v>
      </c>
      <c r="D2439" s="182">
        <f t="shared" si="79"/>
        <v>-1.2569544611580512E-2</v>
      </c>
      <c r="E2439" s="182">
        <v>-1.4499776353063995E-2</v>
      </c>
      <c r="F2439" s="168"/>
      <c r="G2439" s="168">
        <v>2436</v>
      </c>
      <c r="H2439" s="183">
        <f t="shared" ca="1" si="80"/>
        <v>-6.4885303035359118E-3</v>
      </c>
      <c r="K2439" s="36"/>
    </row>
    <row r="2440" spans="2:11">
      <c r="B2440" s="36" t="s">
        <v>10066</v>
      </c>
      <c r="C2440" s="182">
        <v>970.6</v>
      </c>
      <c r="D2440" s="182">
        <f t="shared" si="79"/>
        <v>1.3575605680868838E-2</v>
      </c>
      <c r="E2440" s="182">
        <v>-1.4519097498352807E-2</v>
      </c>
      <c r="F2440" s="168"/>
      <c r="G2440" s="168">
        <v>2437</v>
      </c>
      <c r="H2440" s="183">
        <f t="shared" ca="1" si="80"/>
        <v>-1.5277092467017538E-2</v>
      </c>
      <c r="K2440" s="36"/>
    </row>
    <row r="2441" spans="2:11">
      <c r="B2441" s="36" t="s">
        <v>10067</v>
      </c>
      <c r="C2441" s="182">
        <v>957.6</v>
      </c>
      <c r="D2441" s="182">
        <f t="shared" si="79"/>
        <v>-1.9987105093488045E-2</v>
      </c>
      <c r="E2441" s="182">
        <v>-1.4523027951855078E-2</v>
      </c>
      <c r="F2441" s="168"/>
      <c r="G2441" s="168">
        <v>2438</v>
      </c>
      <c r="H2441" s="183">
        <f t="shared" ca="1" si="80"/>
        <v>1.3206719266854079E-2</v>
      </c>
      <c r="K2441" s="36"/>
    </row>
    <row r="2442" spans="2:11">
      <c r="B2442" s="36" t="s">
        <v>10068</v>
      </c>
      <c r="C2442" s="182">
        <v>977.13</v>
      </c>
      <c r="D2442" s="182">
        <f t="shared" si="79"/>
        <v>-2.0911823647294592E-2</v>
      </c>
      <c r="E2442" s="182">
        <v>-1.4539678660883487E-2</v>
      </c>
      <c r="F2442" s="168"/>
      <c r="G2442" s="168">
        <v>2439</v>
      </c>
      <c r="H2442" s="183">
        <f t="shared" ca="1" si="80"/>
        <v>1.4039551197318124E-2</v>
      </c>
      <c r="K2442" s="36"/>
    </row>
    <row r="2443" spans="2:11">
      <c r="B2443" s="36" t="s">
        <v>10069</v>
      </c>
      <c r="C2443" s="182">
        <v>998</v>
      </c>
      <c r="D2443" s="182">
        <f t="shared" si="79"/>
        <v>-1.9700591017730805E-3</v>
      </c>
      <c r="E2443" s="182">
        <v>-1.455283118715823E-2</v>
      </c>
      <c r="F2443" s="168"/>
      <c r="G2443" s="168">
        <v>2440</v>
      </c>
      <c r="H2443" s="183">
        <f t="shared" ca="1" si="80"/>
        <v>1.7376873181518614E-2</v>
      </c>
      <c r="K2443" s="36"/>
    </row>
    <row r="2444" spans="2:11">
      <c r="B2444" s="36" t="s">
        <v>10070</v>
      </c>
      <c r="C2444" s="182">
        <v>999.97</v>
      </c>
      <c r="D2444" s="182">
        <f t="shared" si="79"/>
        <v>1.8921948237212199E-2</v>
      </c>
      <c r="E2444" s="182">
        <v>-1.4683601431288395E-2</v>
      </c>
      <c r="F2444" s="168"/>
      <c r="G2444" s="168">
        <v>2441</v>
      </c>
      <c r="H2444" s="183">
        <f t="shared" ca="1" si="80"/>
        <v>2.2616978963136509E-3</v>
      </c>
      <c r="K2444" s="36"/>
    </row>
    <row r="2445" spans="2:11">
      <c r="B2445" s="36" t="s">
        <v>10071</v>
      </c>
      <c r="C2445" s="182">
        <v>981.4</v>
      </c>
      <c r="D2445" s="182">
        <f t="shared" si="79"/>
        <v>-2.6118682480157423E-3</v>
      </c>
      <c r="E2445" s="182">
        <v>-1.4721901832628418E-2</v>
      </c>
      <c r="F2445" s="168"/>
      <c r="G2445" s="168">
        <v>2442</v>
      </c>
      <c r="H2445" s="183">
        <f t="shared" ca="1" si="80"/>
        <v>2.7421166598088256E-2</v>
      </c>
      <c r="K2445" s="36"/>
    </row>
    <row r="2446" spans="2:11">
      <c r="B2446" s="36" t="s">
        <v>10072</v>
      </c>
      <c r="C2446" s="182">
        <v>983.97</v>
      </c>
      <c r="D2446" s="182">
        <f t="shared" si="79"/>
        <v>-2.5949540307947509E-3</v>
      </c>
      <c r="E2446" s="182">
        <v>-1.4739506777723302E-2</v>
      </c>
      <c r="F2446" s="168"/>
      <c r="G2446" s="168">
        <v>2443</v>
      </c>
      <c r="H2446" s="183">
        <f t="shared" ca="1" si="80"/>
        <v>-7.1231372795771035E-3</v>
      </c>
      <c r="K2446" s="36"/>
    </row>
    <row r="2447" spans="2:11">
      <c r="B2447" s="36" t="s">
        <v>10073</v>
      </c>
      <c r="C2447" s="182">
        <v>986.53</v>
      </c>
      <c r="D2447" s="182">
        <f t="shared" si="79"/>
        <v>4.4800586480404601E-3</v>
      </c>
      <c r="E2447" s="182">
        <v>-1.4812770264053731E-2</v>
      </c>
      <c r="F2447" s="168"/>
      <c r="G2447" s="168">
        <v>2444</v>
      </c>
      <c r="H2447" s="183">
        <f t="shared" ca="1" si="80"/>
        <v>-6.0297665287172035E-3</v>
      </c>
      <c r="K2447" s="36"/>
    </row>
    <row r="2448" spans="2:11">
      <c r="B2448" s="36" t="s">
        <v>10074</v>
      </c>
      <c r="C2448" s="182">
        <v>982.13</v>
      </c>
      <c r="D2448" s="182">
        <f t="shared" si="79"/>
        <v>1.9996531213973458E-3</v>
      </c>
      <c r="E2448" s="182">
        <v>-1.4864328663431393E-2</v>
      </c>
      <c r="F2448" s="168"/>
      <c r="G2448" s="168">
        <v>2445</v>
      </c>
      <c r="H2448" s="183">
        <f t="shared" ca="1" si="80"/>
        <v>3.8669960070250378E-2</v>
      </c>
      <c r="K2448" s="36"/>
    </row>
    <row r="2449" spans="2:11">
      <c r="B2449" s="36" t="s">
        <v>10075</v>
      </c>
      <c r="C2449" s="182">
        <v>980.17</v>
      </c>
      <c r="D2449" s="182">
        <f t="shared" si="79"/>
        <v>-3.4162658993625145E-3</v>
      </c>
      <c r="E2449" s="182">
        <v>-1.4865701897629421E-2</v>
      </c>
      <c r="F2449" s="168"/>
      <c r="G2449" s="168">
        <v>2446</v>
      </c>
      <c r="H2449" s="183">
        <f t="shared" ca="1" si="80"/>
        <v>2.5955036062831924E-2</v>
      </c>
      <c r="K2449" s="36"/>
    </row>
    <row r="2450" spans="2:11">
      <c r="B2450" s="36" t="s">
        <v>10076</v>
      </c>
      <c r="C2450" s="182">
        <v>983.53</v>
      </c>
      <c r="D2450" s="182">
        <f t="shared" si="79"/>
        <v>8.2626836294298605E-3</v>
      </c>
      <c r="E2450" s="182">
        <v>-1.4933563281464493E-2</v>
      </c>
      <c r="F2450" s="168"/>
      <c r="G2450" s="168">
        <v>2447</v>
      </c>
      <c r="H2450" s="183">
        <f t="shared" ca="1" si="80"/>
        <v>-8.5854382167930322E-3</v>
      </c>
      <c r="K2450" s="36"/>
    </row>
    <row r="2451" spans="2:11">
      <c r="B2451" s="36">
        <v>42713</v>
      </c>
      <c r="C2451" s="182">
        <v>975.47</v>
      </c>
      <c r="D2451" s="182">
        <f t="shared" si="79"/>
        <v>-3.5906305593990835E-2</v>
      </c>
      <c r="E2451" s="182">
        <v>-1.5053763440860277E-2</v>
      </c>
      <c r="F2451" s="168"/>
      <c r="G2451" s="168">
        <v>2448</v>
      </c>
      <c r="H2451" s="183">
        <f t="shared" ca="1" si="80"/>
        <v>-8.905530442628453E-3</v>
      </c>
      <c r="K2451" s="36"/>
    </row>
    <row r="2452" spans="2:11">
      <c r="B2452" s="36">
        <v>42622</v>
      </c>
      <c r="C2452" s="182">
        <v>1011.8</v>
      </c>
      <c r="D2452" s="182">
        <f t="shared" si="79"/>
        <v>-1.4157239874114538E-2</v>
      </c>
      <c r="E2452" s="182">
        <v>-1.507251456863694E-2</v>
      </c>
      <c r="F2452" s="168"/>
      <c r="G2452" s="168">
        <v>2449</v>
      </c>
      <c r="H2452" s="183">
        <f t="shared" ca="1" si="80"/>
        <v>-1.2705313675772236E-2</v>
      </c>
      <c r="K2452" s="36"/>
    </row>
    <row r="2453" spans="2:11">
      <c r="B2453" s="36">
        <v>42591</v>
      </c>
      <c r="C2453" s="182">
        <v>1026.33</v>
      </c>
      <c r="D2453" s="182">
        <f t="shared" si="79"/>
        <v>1.3989744805714424E-2</v>
      </c>
      <c r="E2453" s="182">
        <v>-1.5074344861578831E-2</v>
      </c>
      <c r="F2453" s="168"/>
      <c r="G2453" s="168">
        <v>2450</v>
      </c>
      <c r="H2453" s="183">
        <f t="shared" ca="1" si="80"/>
        <v>2.0244127794076458E-3</v>
      </c>
      <c r="K2453" s="36"/>
    </row>
    <row r="2454" spans="2:11">
      <c r="B2454" s="36">
        <v>42560</v>
      </c>
      <c r="C2454" s="182">
        <v>1012.17</v>
      </c>
      <c r="D2454" s="182">
        <f t="shared" si="79"/>
        <v>1.2265933348500975E-3</v>
      </c>
      <c r="E2454" s="182">
        <v>-1.5102088369790103E-2</v>
      </c>
      <c r="F2454" s="168"/>
      <c r="G2454" s="168">
        <v>2451</v>
      </c>
      <c r="H2454" s="183">
        <f t="shared" ca="1" si="80"/>
        <v>2.0876558561360066E-3</v>
      </c>
      <c r="K2454" s="36"/>
    </row>
    <row r="2455" spans="2:11">
      <c r="B2455" s="36">
        <v>42530</v>
      </c>
      <c r="C2455" s="182">
        <v>1010.93</v>
      </c>
      <c r="D2455" s="182">
        <f t="shared" si="79"/>
        <v>7.5346083697937407E-3</v>
      </c>
      <c r="E2455" s="182">
        <v>-1.511690405804891E-2</v>
      </c>
      <c r="F2455" s="168"/>
      <c r="G2455" s="168">
        <v>2452</v>
      </c>
      <c r="H2455" s="183">
        <f t="shared" ca="1" si="80"/>
        <v>5.490887639644261E-3</v>
      </c>
      <c r="K2455" s="36"/>
    </row>
    <row r="2456" spans="2:11">
      <c r="B2456" s="36">
        <v>42409</v>
      </c>
      <c r="C2456" s="182">
        <v>1003.37</v>
      </c>
      <c r="D2456" s="182">
        <f t="shared" si="79"/>
        <v>-1.3535974839011611E-3</v>
      </c>
      <c r="E2456" s="182">
        <v>-1.5172477402693202E-2</v>
      </c>
      <c r="F2456" s="168"/>
      <c r="G2456" s="168">
        <v>2453</v>
      </c>
      <c r="H2456" s="183">
        <f t="shared" ca="1" si="80"/>
        <v>2.316230012432997E-2</v>
      </c>
      <c r="K2456" s="36"/>
    </row>
    <row r="2457" spans="2:11">
      <c r="B2457" s="36">
        <v>42378</v>
      </c>
      <c r="C2457" s="182">
        <v>1004.73</v>
      </c>
      <c r="D2457" s="182">
        <f t="shared" si="79"/>
        <v>-3.8666309746884162E-3</v>
      </c>
      <c r="E2457" s="182">
        <v>-1.5206271544534588E-2</v>
      </c>
      <c r="F2457" s="168"/>
      <c r="G2457" s="168">
        <v>2454</v>
      </c>
      <c r="H2457" s="183">
        <f t="shared" ca="1" si="80"/>
        <v>8.9461950974509003E-3</v>
      </c>
      <c r="K2457" s="36"/>
    </row>
    <row r="2458" spans="2:11">
      <c r="B2458" s="36" t="s">
        <v>10077</v>
      </c>
      <c r="C2458" s="182">
        <v>1008.63</v>
      </c>
      <c r="D2458" s="182">
        <f t="shared" si="79"/>
        <v>2.5270134279353929E-2</v>
      </c>
      <c r="E2458" s="182">
        <v>-1.5232400882625162E-2</v>
      </c>
      <c r="F2458" s="168"/>
      <c r="G2458" s="168">
        <v>2455</v>
      </c>
      <c r="H2458" s="183">
        <f t="shared" ca="1" si="80"/>
        <v>4.6197231214137081E-3</v>
      </c>
      <c r="K2458" s="36"/>
    </row>
    <row r="2459" spans="2:11">
      <c r="B2459" s="36" t="s">
        <v>10078</v>
      </c>
      <c r="C2459" s="182">
        <v>983.77</v>
      </c>
      <c r="D2459" s="182">
        <f t="shared" si="79"/>
        <v>1.1068859198355582E-2</v>
      </c>
      <c r="E2459" s="182">
        <v>-1.5253722272865335E-2</v>
      </c>
      <c r="F2459" s="168"/>
      <c r="G2459" s="168">
        <v>2456</v>
      </c>
      <c r="H2459" s="183">
        <f t="shared" ca="1" si="80"/>
        <v>2.0441012169307639E-2</v>
      </c>
      <c r="K2459" s="36"/>
    </row>
    <row r="2460" spans="2:11">
      <c r="B2460" s="36" t="s">
        <v>10079</v>
      </c>
      <c r="C2460" s="182">
        <v>973</v>
      </c>
      <c r="D2460" s="182">
        <f t="shared" si="79"/>
        <v>2.2628143819563382E-2</v>
      </c>
      <c r="E2460" s="182">
        <v>-1.5267823062894948E-2</v>
      </c>
      <c r="F2460" s="168"/>
      <c r="G2460" s="168">
        <v>2457</v>
      </c>
      <c r="H2460" s="183">
        <f t="shared" ca="1" si="80"/>
        <v>-2.0234983703137236E-3</v>
      </c>
      <c r="K2460" s="36"/>
    </row>
    <row r="2461" spans="2:11">
      <c r="B2461" s="36" t="s">
        <v>10080</v>
      </c>
      <c r="C2461" s="182">
        <v>951.47</v>
      </c>
      <c r="D2461" s="182">
        <f t="shared" si="79"/>
        <v>-1.8870453818946715E-2</v>
      </c>
      <c r="E2461" s="182">
        <v>-1.5283483976992531E-2</v>
      </c>
      <c r="F2461" s="168"/>
      <c r="G2461" s="168">
        <v>2458</v>
      </c>
      <c r="H2461" s="183">
        <f t="shared" ca="1" si="80"/>
        <v>9.6768190602440456E-3</v>
      </c>
      <c r="K2461" s="36"/>
    </row>
    <row r="2462" spans="2:11">
      <c r="B2462" s="36" t="s">
        <v>10081</v>
      </c>
      <c r="C2462" s="182">
        <v>969.77</v>
      </c>
      <c r="D2462" s="182">
        <f t="shared" si="79"/>
        <v>-1.2785927336027668E-2</v>
      </c>
      <c r="E2462" s="182">
        <v>-1.5359213608263256E-2</v>
      </c>
      <c r="F2462" s="168"/>
      <c r="G2462" s="168">
        <v>2459</v>
      </c>
      <c r="H2462" s="183">
        <f t="shared" ca="1" si="80"/>
        <v>-6.48378033327338E-3</v>
      </c>
      <c r="K2462" s="36"/>
    </row>
    <row r="2463" spans="2:11">
      <c r="B2463" s="36" t="s">
        <v>10082</v>
      </c>
      <c r="C2463" s="182">
        <v>982.33</v>
      </c>
      <c r="D2463" s="182">
        <f t="shared" si="79"/>
        <v>-2.4777359180315618E-3</v>
      </c>
      <c r="E2463" s="182">
        <v>-1.5369782214156157E-2</v>
      </c>
      <c r="F2463" s="168"/>
      <c r="G2463" s="168">
        <v>2460</v>
      </c>
      <c r="H2463" s="183">
        <f t="shared" ca="1" si="80"/>
        <v>1.7489758647879935E-2</v>
      </c>
      <c r="K2463" s="36"/>
    </row>
    <row r="2464" spans="2:11">
      <c r="B2464" s="36" t="s">
        <v>10083</v>
      </c>
      <c r="C2464" s="182">
        <v>984.77</v>
      </c>
      <c r="D2464" s="182">
        <f t="shared" si="79"/>
        <v>-1.0380866244598573E-2</v>
      </c>
      <c r="E2464" s="182">
        <v>-1.5372720243780497E-2</v>
      </c>
      <c r="F2464" s="168"/>
      <c r="G2464" s="168">
        <v>2461</v>
      </c>
      <c r="H2464" s="183">
        <f t="shared" ca="1" si="80"/>
        <v>1.0791813257320173E-2</v>
      </c>
      <c r="K2464" s="36"/>
    </row>
    <row r="2465" spans="2:11">
      <c r="B2465" s="36" t="s">
        <v>10084</v>
      </c>
      <c r="C2465" s="182">
        <v>995.1</v>
      </c>
      <c r="D2465" s="182">
        <f t="shared" si="79"/>
        <v>-1.1342762213545018E-3</v>
      </c>
      <c r="E2465" s="182">
        <v>-1.537670792821332E-2</v>
      </c>
      <c r="F2465" s="168"/>
      <c r="G2465" s="168">
        <v>2462</v>
      </c>
      <c r="H2465" s="183">
        <f t="shared" ca="1" si="80"/>
        <v>-2.0662248183202642E-2</v>
      </c>
      <c r="K2465" s="36"/>
    </row>
    <row r="2466" spans="2:11">
      <c r="B2466" s="36" t="s">
        <v>10085</v>
      </c>
      <c r="C2466" s="182">
        <v>996.23</v>
      </c>
      <c r="D2466" s="182">
        <f t="shared" si="79"/>
        <v>8.2585241936299729E-3</v>
      </c>
      <c r="E2466" s="182">
        <v>-1.5394008111290275E-2</v>
      </c>
      <c r="F2466" s="168"/>
      <c r="G2466" s="168">
        <v>2463</v>
      </c>
      <c r="H2466" s="183">
        <f t="shared" ca="1" si="80"/>
        <v>1.0993700637451542E-3</v>
      </c>
      <c r="K2466" s="36"/>
    </row>
    <row r="2467" spans="2:11">
      <c r="B2467" s="36" t="s">
        <v>10086</v>
      </c>
      <c r="C2467" s="182">
        <v>988.07</v>
      </c>
      <c r="D2467" s="182">
        <f t="shared" si="79"/>
        <v>-1.3577325865804016E-2</v>
      </c>
      <c r="E2467" s="182">
        <v>-1.5495628844997455E-2</v>
      </c>
      <c r="F2467" s="168"/>
      <c r="G2467" s="168">
        <v>2464</v>
      </c>
      <c r="H2467" s="183">
        <f t="shared" ca="1" si="80"/>
        <v>5.9624441318287761E-3</v>
      </c>
      <c r="K2467" s="36"/>
    </row>
    <row r="2468" spans="2:11">
      <c r="B2468" s="36" t="s">
        <v>10087</v>
      </c>
      <c r="C2468" s="182">
        <v>1001.67</v>
      </c>
      <c r="D2468" s="182">
        <f t="shared" si="79"/>
        <v>-2.5492168128815702E-3</v>
      </c>
      <c r="E2468" s="182">
        <v>-1.5527950310559006E-2</v>
      </c>
      <c r="F2468" s="168"/>
      <c r="G2468" s="168">
        <v>2465</v>
      </c>
      <c r="H2468" s="183">
        <f t="shared" ca="1" si="80"/>
        <v>-2.0239013452843138E-2</v>
      </c>
      <c r="K2468" s="36"/>
    </row>
    <row r="2469" spans="2:11">
      <c r="B2469" s="36" t="s">
        <v>10088</v>
      </c>
      <c r="C2469" s="182">
        <v>1004.23</v>
      </c>
      <c r="D2469" s="182">
        <f t="shared" si="79"/>
        <v>9.6822843354112155E-3</v>
      </c>
      <c r="E2469" s="182">
        <v>-1.5560466632852626E-2</v>
      </c>
      <c r="F2469" s="168"/>
      <c r="G2469" s="168">
        <v>2466</v>
      </c>
      <c r="H2469" s="183">
        <f t="shared" ca="1" si="80"/>
        <v>1.7158121405780338E-2</v>
      </c>
      <c r="K2469" s="36"/>
    </row>
    <row r="2470" spans="2:11">
      <c r="B2470" s="36">
        <v>42712</v>
      </c>
      <c r="C2470" s="182">
        <v>994.6</v>
      </c>
      <c r="D2470" s="182">
        <f t="shared" si="79"/>
        <v>1.1666819240588759E-2</v>
      </c>
      <c r="E2470" s="182">
        <v>-1.5581886057458241E-2</v>
      </c>
      <c r="F2470" s="168"/>
      <c r="G2470" s="168">
        <v>2467</v>
      </c>
      <c r="H2470" s="183">
        <f t="shared" ca="1" si="80"/>
        <v>-2.1979448776099055E-2</v>
      </c>
      <c r="K2470" s="36"/>
    </row>
    <row r="2471" spans="2:11">
      <c r="B2471" s="36">
        <v>42682</v>
      </c>
      <c r="C2471" s="182">
        <v>983.13</v>
      </c>
      <c r="D2471" s="182">
        <f t="shared" si="79"/>
        <v>-5.7342233009708326E-3</v>
      </c>
      <c r="E2471" s="182">
        <v>-1.5589202969700101E-2</v>
      </c>
      <c r="F2471" s="168"/>
      <c r="G2471" s="168">
        <v>2468</v>
      </c>
      <c r="H2471" s="183">
        <f t="shared" ca="1" si="80"/>
        <v>-3.2413638323439261E-3</v>
      </c>
      <c r="K2471" s="36"/>
    </row>
    <row r="2472" spans="2:11">
      <c r="B2472" s="36">
        <v>42651</v>
      </c>
      <c r="C2472" s="182">
        <v>988.8</v>
      </c>
      <c r="D2472" s="182">
        <f t="shared" si="79"/>
        <v>-1.1822551792370847E-2</v>
      </c>
      <c r="E2472" s="182">
        <v>-1.5642242330611417E-2</v>
      </c>
      <c r="F2472" s="168"/>
      <c r="G2472" s="168">
        <v>2469</v>
      </c>
      <c r="H2472" s="183">
        <f t="shared" ca="1" si="80"/>
        <v>-2.6552723231476633E-3</v>
      </c>
      <c r="K2472" s="36"/>
    </row>
    <row r="2473" spans="2:11">
      <c r="B2473" s="36">
        <v>42621</v>
      </c>
      <c r="C2473" s="182">
        <v>1000.63</v>
      </c>
      <c r="D2473" s="182">
        <f t="shared" si="79"/>
        <v>-4.1203459498193483E-3</v>
      </c>
      <c r="E2473" s="182">
        <v>-1.5648458251530148E-2</v>
      </c>
      <c r="F2473" s="168"/>
      <c r="G2473" s="168">
        <v>2470</v>
      </c>
      <c r="H2473" s="183">
        <f t="shared" ca="1" si="80"/>
        <v>3.7295122858969597E-3</v>
      </c>
      <c r="K2473" s="36"/>
    </row>
    <row r="2474" spans="2:11">
      <c r="B2474" s="36">
        <v>42590</v>
      </c>
      <c r="C2474" s="182">
        <v>1004.77</v>
      </c>
      <c r="D2474" s="182">
        <f t="shared" si="79"/>
        <v>-3.3329034945890051E-3</v>
      </c>
      <c r="E2474" s="182">
        <v>-1.585303623065144E-2</v>
      </c>
      <c r="F2474" s="168"/>
      <c r="G2474" s="168">
        <v>2471</v>
      </c>
      <c r="H2474" s="183">
        <f t="shared" ca="1" si="80"/>
        <v>-2.5193946619788334E-2</v>
      </c>
      <c r="K2474" s="36"/>
    </row>
    <row r="2475" spans="2:11">
      <c r="B2475" s="36">
        <v>42498</v>
      </c>
      <c r="C2475" s="182">
        <v>1008.13</v>
      </c>
      <c r="D2475" s="182">
        <f t="shared" si="79"/>
        <v>2.930275772643277E-2</v>
      </c>
      <c r="E2475" s="182">
        <v>-1.5897402723420655E-2</v>
      </c>
      <c r="F2475" s="168"/>
      <c r="G2475" s="168">
        <v>2472</v>
      </c>
      <c r="H2475" s="183">
        <f t="shared" ca="1" si="80"/>
        <v>-2.7170425186073422E-3</v>
      </c>
      <c r="K2475" s="36"/>
    </row>
    <row r="2476" spans="2:11">
      <c r="B2476" s="36">
        <v>42468</v>
      </c>
      <c r="C2476" s="182">
        <v>979.43</v>
      </c>
      <c r="D2476" s="182">
        <f t="shared" si="79"/>
        <v>-6.3912024590913009E-3</v>
      </c>
      <c r="E2476" s="182">
        <v>-1.5935313031965326E-2</v>
      </c>
      <c r="F2476" s="168"/>
      <c r="G2476" s="168">
        <v>2473</v>
      </c>
      <c r="H2476" s="183">
        <f t="shared" ca="1" si="80"/>
        <v>-1.8864389557897545E-3</v>
      </c>
      <c r="K2476" s="36"/>
    </row>
    <row r="2477" spans="2:11">
      <c r="B2477" s="36">
        <v>42437</v>
      </c>
      <c r="C2477" s="182">
        <v>985.73</v>
      </c>
      <c r="D2477" s="182">
        <f t="shared" si="79"/>
        <v>-1.6463286870279276E-2</v>
      </c>
      <c r="E2477" s="182">
        <v>-1.598816398606405E-2</v>
      </c>
      <c r="F2477" s="168"/>
      <c r="G2477" s="168">
        <v>2474</v>
      </c>
      <c r="H2477" s="183">
        <f t="shared" ca="1" si="80"/>
        <v>1.4511808479603615E-2</v>
      </c>
      <c r="K2477" s="36"/>
    </row>
    <row r="2478" spans="2:11">
      <c r="B2478" s="36">
        <v>42408</v>
      </c>
      <c r="C2478" s="182">
        <v>1002.23</v>
      </c>
      <c r="D2478" s="182">
        <f t="shared" si="79"/>
        <v>6.4571199035951638E-3</v>
      </c>
      <c r="E2478" s="182">
        <v>-1.6003174183309116E-2</v>
      </c>
      <c r="F2478" s="168"/>
      <c r="G2478" s="168">
        <v>2475</v>
      </c>
      <c r="H2478" s="183">
        <f t="shared" ca="1" si="80"/>
        <v>6.8863317205315831E-4</v>
      </c>
      <c r="K2478" s="36"/>
    </row>
    <row r="2479" spans="2:11">
      <c r="B2479" s="36">
        <v>42377</v>
      </c>
      <c r="C2479" s="182">
        <v>995.8</v>
      </c>
      <c r="D2479" s="182"/>
      <c r="E2479" s="182"/>
      <c r="F2479" s="168"/>
      <c r="G2479" s="168">
        <v>2476</v>
      </c>
      <c r="H2479" s="183">
        <f t="shared" ca="1" si="80"/>
        <v>-4.8186984859939783E-3</v>
      </c>
      <c r="K2479" s="36"/>
    </row>
    <row r="2480" spans="2:11">
      <c r="B2480" s="36"/>
      <c r="C2480" s="182"/>
      <c r="D2480" s="182"/>
      <c r="E2480" s="182"/>
      <c r="F2480" s="168"/>
      <c r="G2480" s="168">
        <v>2477</v>
      </c>
      <c r="H2480" s="183">
        <f t="shared" ca="1" si="80"/>
        <v>-1.029389696715621E-2</v>
      </c>
      <c r="K2480" s="36"/>
    </row>
    <row r="2481" spans="2:11">
      <c r="B2481" s="36"/>
      <c r="C2481" s="182"/>
      <c r="D2481" s="182"/>
      <c r="E2481" s="182"/>
      <c r="F2481" s="168"/>
      <c r="G2481" s="168">
        <v>2478</v>
      </c>
      <c r="H2481" s="183">
        <f t="shared" ca="1" si="80"/>
        <v>1.2417425239219685E-2</v>
      </c>
      <c r="K2481" s="36"/>
    </row>
    <row r="2482" spans="2:11">
      <c r="B2482" s="36"/>
      <c r="C2482" s="182"/>
      <c r="D2482" s="182"/>
      <c r="E2482" s="182"/>
      <c r="F2482" s="168"/>
      <c r="G2482" s="168">
        <v>2479</v>
      </c>
      <c r="H2482" s="183">
        <f t="shared" ca="1" si="80"/>
        <v>4.7753120376974826E-3</v>
      </c>
      <c r="K2482" s="36"/>
    </row>
    <row r="2483" spans="2:11">
      <c r="B2483" s="36"/>
      <c r="C2483" s="182"/>
      <c r="D2483" s="182"/>
      <c r="E2483" s="182"/>
      <c r="F2483" s="168"/>
      <c r="G2483" s="168">
        <v>2480</v>
      </c>
      <c r="H2483" s="183">
        <f t="shared" ca="1" si="80"/>
        <v>-9.846645703574082E-3</v>
      </c>
      <c r="K2483" s="36"/>
    </row>
    <row r="2484" spans="2:11">
      <c r="B2484" s="36"/>
      <c r="C2484" s="182"/>
      <c r="D2484" s="182"/>
      <c r="E2484" s="182"/>
      <c r="F2484" s="168"/>
      <c r="G2484" s="168">
        <v>2481</v>
      </c>
      <c r="H2484" s="183">
        <f t="shared" ca="1" si="80"/>
        <v>1.6472763448363184E-3</v>
      </c>
      <c r="K2484" s="36"/>
    </row>
    <row r="2485" spans="2:11">
      <c r="B2485" s="36"/>
      <c r="C2485" s="182"/>
      <c r="D2485" s="182"/>
      <c r="E2485" s="182"/>
      <c r="F2485" s="168"/>
      <c r="G2485" s="168">
        <v>2482</v>
      </c>
      <c r="H2485" s="183">
        <f t="shared" ca="1" si="80"/>
        <v>-6.7938662845476189E-4</v>
      </c>
      <c r="K2485" s="36"/>
    </row>
    <row r="2486" spans="2:11">
      <c r="B2486" s="36"/>
      <c r="C2486" s="182"/>
      <c r="D2486" s="182"/>
      <c r="E2486" s="182"/>
      <c r="F2486" s="168"/>
      <c r="G2486" s="168">
        <v>2483</v>
      </c>
      <c r="H2486" s="183">
        <f t="shared" ca="1" si="80"/>
        <v>2.5125830576501511E-2</v>
      </c>
      <c r="K2486" s="36"/>
    </row>
    <row r="2487" spans="2:11">
      <c r="B2487" s="36"/>
      <c r="C2487" s="182"/>
      <c r="D2487" s="182"/>
      <c r="E2487" s="182"/>
      <c r="F2487" s="168"/>
      <c r="G2487" s="168">
        <v>2484</v>
      </c>
      <c r="H2487" s="183">
        <f t="shared" ca="1" si="80"/>
        <v>-3.4297573681679201E-3</v>
      </c>
      <c r="K2487" s="36"/>
    </row>
    <row r="2488" spans="2:11">
      <c r="B2488" s="36"/>
      <c r="C2488" s="182"/>
      <c r="D2488" s="182"/>
      <c r="E2488" s="182"/>
      <c r="F2488" s="168"/>
      <c r="G2488" s="168">
        <v>2485</v>
      </c>
      <c r="H2488" s="183">
        <f t="shared" ca="1" si="80"/>
        <v>-3.0563479832058926E-3</v>
      </c>
      <c r="K2488" s="36"/>
    </row>
    <row r="2489" spans="2:11">
      <c r="B2489" s="36"/>
      <c r="C2489" s="182"/>
      <c r="D2489" s="182"/>
      <c r="E2489" s="182"/>
      <c r="F2489" s="168"/>
      <c r="G2489" s="168">
        <v>2486</v>
      </c>
      <c r="H2489" s="183">
        <f t="shared" ca="1" si="80"/>
        <v>6.038821270900982E-3</v>
      </c>
      <c r="K2489" s="36"/>
    </row>
    <row r="2490" spans="2:11">
      <c r="B2490" s="36"/>
      <c r="C2490" s="182"/>
      <c r="D2490" s="182"/>
      <c r="E2490" s="182"/>
      <c r="F2490" s="168"/>
      <c r="G2490" s="168">
        <v>2487</v>
      </c>
      <c r="H2490" s="183">
        <f t="shared" ca="1" si="80"/>
        <v>1.3604479109825835E-2</v>
      </c>
      <c r="K2490" s="36"/>
    </row>
    <row r="2491" spans="2:11">
      <c r="B2491" s="36"/>
      <c r="C2491" s="182"/>
      <c r="D2491" s="182"/>
      <c r="E2491" s="182"/>
      <c r="F2491" s="168"/>
      <c r="G2491" s="168">
        <v>2488</v>
      </c>
      <c r="H2491" s="183">
        <f t="shared" ca="1" si="80"/>
        <v>-1.7309659580795961E-2</v>
      </c>
      <c r="K2491" s="36"/>
    </row>
    <row r="2492" spans="2:11">
      <c r="B2492" s="36"/>
      <c r="C2492" s="182"/>
      <c r="D2492" s="182"/>
      <c r="E2492" s="182"/>
      <c r="F2492" s="168"/>
      <c r="G2492" s="168">
        <v>2489</v>
      </c>
      <c r="H2492" s="183">
        <f t="shared" ca="1" si="80"/>
        <v>8.3923117048537929E-3</v>
      </c>
      <c r="K2492" s="36"/>
    </row>
    <row r="2493" spans="2:11">
      <c r="B2493" s="36"/>
      <c r="C2493" s="182"/>
      <c r="D2493" s="182"/>
      <c r="E2493" s="182"/>
      <c r="F2493" s="168"/>
      <c r="G2493" s="168">
        <v>2490</v>
      </c>
      <c r="H2493" s="183">
        <f t="shared" ca="1" si="80"/>
        <v>2.9947530217350183E-2</v>
      </c>
      <c r="K2493" s="36"/>
    </row>
    <row r="2494" spans="2:11">
      <c r="B2494" s="36"/>
      <c r="C2494" s="182"/>
      <c r="D2494" s="182"/>
      <c r="E2494" s="182"/>
      <c r="F2494" s="168"/>
      <c r="G2494" s="168">
        <v>2491</v>
      </c>
      <c r="H2494" s="183">
        <f t="shared" ca="1" si="80"/>
        <v>9.718726133070902E-3</v>
      </c>
      <c r="K2494" s="36"/>
    </row>
    <row r="2495" spans="2:11">
      <c r="B2495" s="36"/>
      <c r="C2495" s="182"/>
      <c r="D2495" s="182"/>
      <c r="E2495" s="182"/>
      <c r="F2495" s="168"/>
      <c r="G2495" s="168">
        <v>2492</v>
      </c>
      <c r="H2495" s="183">
        <f t="shared" ca="1" si="80"/>
        <v>1.9649463379232471E-2</v>
      </c>
      <c r="K2495" s="36"/>
    </row>
    <row r="2496" spans="2:11">
      <c r="B2496" s="36"/>
      <c r="C2496" s="182"/>
      <c r="D2496" s="182"/>
      <c r="E2496" s="182"/>
      <c r="F2496" s="168"/>
      <c r="G2496" s="168">
        <v>2493</v>
      </c>
      <c r="H2496" s="183">
        <f t="shared" ca="1" si="80"/>
        <v>-1.0881222587403792E-2</v>
      </c>
      <c r="K2496" s="36"/>
    </row>
    <row r="2497" spans="2:11">
      <c r="B2497" s="36"/>
      <c r="C2497" s="182"/>
      <c r="D2497" s="182"/>
      <c r="E2497" s="182"/>
      <c r="F2497" s="168"/>
      <c r="G2497" s="168">
        <v>2494</v>
      </c>
      <c r="H2497" s="183">
        <f t="shared" ca="1" si="80"/>
        <v>3.1051983098359585E-3</v>
      </c>
      <c r="K2497" s="36"/>
    </row>
    <row r="2498" spans="2:11">
      <c r="B2498" s="36"/>
      <c r="C2498" s="182"/>
      <c r="D2498" s="182"/>
      <c r="E2498" s="182"/>
      <c r="F2498" s="168"/>
      <c r="G2498" s="168">
        <v>2495</v>
      </c>
      <c r="H2498" s="183">
        <f t="shared" ca="1" si="80"/>
        <v>1.8140825782820013E-2</v>
      </c>
      <c r="K2498" s="36"/>
    </row>
    <row r="2499" spans="2:11">
      <c r="B2499" s="36"/>
      <c r="C2499" s="182"/>
      <c r="D2499" s="182"/>
      <c r="E2499" s="182"/>
      <c r="F2499" s="168"/>
      <c r="G2499" s="168">
        <v>2496</v>
      </c>
      <c r="H2499" s="183">
        <f t="shared" ca="1" si="80"/>
        <v>1.3323870244337031E-2</v>
      </c>
      <c r="K2499" s="36"/>
    </row>
    <row r="2500" spans="2:11">
      <c r="B2500" s="36"/>
      <c r="C2500" s="182"/>
      <c r="D2500" s="182"/>
      <c r="E2500" s="182"/>
      <c r="F2500" s="168"/>
      <c r="G2500" s="168">
        <v>2497</v>
      </c>
      <c r="H2500" s="183">
        <f t="shared" ca="1" si="80"/>
        <v>1.8061261640935911E-2</v>
      </c>
      <c r="K2500" s="36"/>
    </row>
    <row r="2501" spans="2:11">
      <c r="B2501" s="36"/>
      <c r="C2501" s="182"/>
      <c r="D2501" s="182"/>
      <c r="E2501" s="182"/>
      <c r="F2501" s="168"/>
      <c r="G2501" s="168">
        <v>2498</v>
      </c>
      <c r="H2501" s="183">
        <f t="shared" ref="H2501:H2564" ca="1" si="81">_xlfn.NORM.INV(RAND(),N$6,N$7)</f>
        <v>1.3330275377503005E-3</v>
      </c>
      <c r="K2501" s="36"/>
    </row>
    <row r="2502" spans="2:11">
      <c r="B2502" s="36"/>
      <c r="C2502" s="182"/>
      <c r="D2502" s="182"/>
      <c r="E2502" s="182"/>
      <c r="F2502" s="168"/>
      <c r="G2502" s="168">
        <v>2499</v>
      </c>
      <c r="H2502" s="183">
        <f t="shared" ca="1" si="81"/>
        <v>1.4414784850531367E-2</v>
      </c>
      <c r="K2502" s="36"/>
    </row>
    <row r="2503" spans="2:11">
      <c r="B2503" s="36"/>
      <c r="C2503" s="182"/>
      <c r="D2503" s="182"/>
      <c r="E2503" s="182"/>
      <c r="F2503" s="168"/>
      <c r="G2503" s="168">
        <v>2500</v>
      </c>
      <c r="H2503" s="183">
        <f t="shared" ca="1" si="81"/>
        <v>1.0361815582876306E-2</v>
      </c>
      <c r="K2503" s="36"/>
    </row>
    <row r="2504" spans="2:11">
      <c r="B2504" s="36"/>
      <c r="C2504" s="182"/>
      <c r="D2504" s="182"/>
      <c r="E2504" s="182"/>
      <c r="F2504" s="168"/>
      <c r="G2504" s="168">
        <v>2501</v>
      </c>
      <c r="H2504" s="183">
        <f t="shared" ca="1" si="81"/>
        <v>-3.8256950235221994E-3</v>
      </c>
      <c r="K2504" s="36"/>
    </row>
    <row r="2505" spans="2:11">
      <c r="B2505" s="36"/>
      <c r="C2505" s="182"/>
      <c r="D2505" s="182"/>
      <c r="E2505" s="182"/>
      <c r="F2505" s="168"/>
      <c r="G2505" s="168">
        <v>2502</v>
      </c>
      <c r="H2505" s="183">
        <f t="shared" ca="1" si="81"/>
        <v>6.8050543217193556E-3</v>
      </c>
      <c r="K2505" s="36"/>
    </row>
    <row r="2506" spans="2:11">
      <c r="B2506" s="36"/>
      <c r="C2506" s="182"/>
      <c r="D2506" s="182"/>
      <c r="E2506" s="182"/>
      <c r="F2506" s="168"/>
      <c r="G2506" s="168">
        <v>2503</v>
      </c>
      <c r="H2506" s="183">
        <f t="shared" ca="1" si="81"/>
        <v>-1.2116794840687586E-2</v>
      </c>
      <c r="K2506" s="36"/>
    </row>
    <row r="2507" spans="2:11">
      <c r="B2507" s="36"/>
      <c r="C2507" s="182"/>
      <c r="D2507" s="182"/>
      <c r="E2507" s="182"/>
      <c r="F2507" s="168"/>
      <c r="G2507" s="168">
        <v>2504</v>
      </c>
      <c r="H2507" s="183">
        <f t="shared" ca="1" si="81"/>
        <v>2.4560986123721401E-2</v>
      </c>
      <c r="K2507" s="36"/>
    </row>
    <row r="2508" spans="2:11">
      <c r="B2508" s="36"/>
      <c r="C2508" s="182"/>
      <c r="D2508" s="182"/>
      <c r="E2508" s="182"/>
      <c r="F2508" s="168"/>
      <c r="G2508" s="168">
        <v>2505</v>
      </c>
      <c r="H2508" s="183">
        <f t="shared" ca="1" si="81"/>
        <v>-2.2734889322846182E-3</v>
      </c>
      <c r="K2508" s="36"/>
    </row>
    <row r="2509" spans="2:11">
      <c r="B2509" s="36"/>
      <c r="C2509" s="182"/>
      <c r="D2509" s="182"/>
      <c r="E2509" s="182"/>
      <c r="F2509" s="168"/>
      <c r="G2509" s="168">
        <v>2506</v>
      </c>
      <c r="H2509" s="183">
        <f t="shared" ca="1" si="81"/>
        <v>-3.1545214247624886E-3</v>
      </c>
      <c r="K2509" s="36"/>
    </row>
    <row r="2510" spans="2:11">
      <c r="B2510" s="36"/>
      <c r="C2510" s="182"/>
      <c r="D2510" s="182"/>
      <c r="E2510" s="182"/>
      <c r="F2510" s="168"/>
      <c r="G2510" s="168">
        <v>2507</v>
      </c>
      <c r="H2510" s="183">
        <f t="shared" ca="1" si="81"/>
        <v>3.486269477605327E-2</v>
      </c>
      <c r="K2510" s="36"/>
    </row>
    <row r="2511" spans="2:11">
      <c r="B2511" s="36"/>
      <c r="C2511" s="182"/>
      <c r="D2511" s="182"/>
      <c r="E2511" s="182"/>
      <c r="F2511" s="168"/>
      <c r="G2511" s="168">
        <v>2508</v>
      </c>
      <c r="H2511" s="183">
        <f t="shared" ca="1" si="81"/>
        <v>-1.3253376899550372E-2</v>
      </c>
      <c r="K2511" s="36"/>
    </row>
    <row r="2512" spans="2:11">
      <c r="B2512" s="36"/>
      <c r="C2512" s="182"/>
      <c r="D2512" s="182"/>
      <c r="E2512" s="182"/>
      <c r="F2512" s="168"/>
      <c r="G2512" s="168">
        <v>2509</v>
      </c>
      <c r="H2512" s="183">
        <f t="shared" ca="1" si="81"/>
        <v>6.7259226124526603E-3</v>
      </c>
      <c r="K2512" s="36"/>
    </row>
    <row r="2513" spans="2:11">
      <c r="B2513" s="36"/>
      <c r="C2513" s="182"/>
      <c r="D2513" s="182"/>
      <c r="E2513" s="182"/>
      <c r="F2513" s="168"/>
      <c r="G2513" s="168">
        <v>2510</v>
      </c>
      <c r="H2513" s="183">
        <f t="shared" ca="1" si="81"/>
        <v>2.3965459873303363E-3</v>
      </c>
      <c r="K2513" s="36"/>
    </row>
    <row r="2514" spans="2:11">
      <c r="B2514" s="36"/>
      <c r="C2514" s="182"/>
      <c r="D2514" s="182"/>
      <c r="E2514" s="182"/>
      <c r="F2514" s="168"/>
      <c r="G2514" s="168">
        <v>2511</v>
      </c>
      <c r="H2514" s="183">
        <f t="shared" ca="1" si="81"/>
        <v>-3.1431253062040327E-3</v>
      </c>
      <c r="K2514" s="36"/>
    </row>
    <row r="2515" spans="2:11">
      <c r="B2515" s="36"/>
      <c r="C2515" s="182"/>
      <c r="D2515" s="182"/>
      <c r="E2515" s="182"/>
      <c r="F2515" s="168"/>
      <c r="G2515" s="168">
        <v>2512</v>
      </c>
      <c r="H2515" s="183">
        <f t="shared" ca="1" si="81"/>
        <v>1.1886982563239966E-2</v>
      </c>
      <c r="K2515" s="36"/>
    </row>
    <row r="2516" spans="2:11">
      <c r="B2516" s="36"/>
      <c r="C2516" s="182"/>
      <c r="D2516" s="182"/>
      <c r="E2516" s="182"/>
      <c r="F2516" s="168"/>
      <c r="G2516" s="168">
        <v>2513</v>
      </c>
      <c r="H2516" s="183">
        <f t="shared" ca="1" si="81"/>
        <v>-1.1764327536730509E-2</v>
      </c>
      <c r="K2516" s="36"/>
    </row>
    <row r="2517" spans="2:11">
      <c r="B2517" s="36"/>
      <c r="C2517" s="182"/>
      <c r="D2517" s="182"/>
      <c r="E2517" s="182"/>
      <c r="F2517" s="168"/>
      <c r="G2517" s="168">
        <v>2514</v>
      </c>
      <c r="H2517" s="183">
        <f t="shared" ca="1" si="81"/>
        <v>-1.2682761485583807E-2</v>
      </c>
      <c r="K2517" s="36"/>
    </row>
    <row r="2518" spans="2:11">
      <c r="B2518" s="36"/>
      <c r="C2518" s="182"/>
      <c r="D2518" s="182"/>
      <c r="E2518" s="182"/>
      <c r="F2518" s="168"/>
      <c r="G2518" s="168">
        <v>2515</v>
      </c>
      <c r="H2518" s="183">
        <f t="shared" ca="1" si="81"/>
        <v>1.8750912373358283E-2</v>
      </c>
      <c r="K2518" s="36"/>
    </row>
    <row r="2519" spans="2:11">
      <c r="B2519" s="36"/>
      <c r="C2519" s="182"/>
      <c r="D2519" s="182"/>
      <c r="E2519" s="182"/>
      <c r="F2519" s="168"/>
      <c r="G2519" s="168">
        <v>2516</v>
      </c>
      <c r="H2519" s="183">
        <f t="shared" ca="1" si="81"/>
        <v>-1.2338236229774965E-2</v>
      </c>
      <c r="K2519" s="36"/>
    </row>
    <row r="2520" spans="2:11">
      <c r="B2520" s="36"/>
      <c r="C2520" s="182"/>
      <c r="D2520" s="182"/>
      <c r="E2520" s="182"/>
      <c r="F2520" s="168"/>
      <c r="G2520" s="168">
        <v>2517</v>
      </c>
      <c r="H2520" s="183">
        <f t="shared" ca="1" si="81"/>
        <v>6.3402949712188638E-3</v>
      </c>
      <c r="K2520" s="36"/>
    </row>
    <row r="2521" spans="2:11">
      <c r="B2521" s="36"/>
      <c r="C2521" s="182"/>
      <c r="D2521" s="182"/>
      <c r="E2521" s="182"/>
      <c r="F2521" s="168"/>
      <c r="G2521" s="168">
        <v>2518</v>
      </c>
      <c r="H2521" s="183">
        <f t="shared" ca="1" si="81"/>
        <v>1.9265976296304763E-2</v>
      </c>
      <c r="K2521" s="36"/>
    </row>
    <row r="2522" spans="2:11">
      <c r="B2522" s="36"/>
      <c r="C2522" s="182"/>
      <c r="D2522" s="182"/>
      <c r="E2522" s="182"/>
      <c r="F2522" s="168"/>
      <c r="G2522" s="168">
        <v>2519</v>
      </c>
      <c r="H2522" s="183">
        <f t="shared" ca="1" si="81"/>
        <v>4.0896013123076971E-3</v>
      </c>
      <c r="K2522" s="36"/>
    </row>
    <row r="2523" spans="2:11">
      <c r="B2523" s="36"/>
      <c r="C2523" s="182"/>
      <c r="D2523" s="182"/>
      <c r="E2523" s="182"/>
      <c r="F2523" s="168"/>
      <c r="G2523" s="168">
        <v>2520</v>
      </c>
      <c r="H2523" s="183">
        <f t="shared" ca="1" si="81"/>
        <v>1.8862566280560409E-2</v>
      </c>
      <c r="K2523" s="36"/>
    </row>
    <row r="2524" spans="2:11">
      <c r="B2524" s="36"/>
      <c r="C2524" s="182"/>
      <c r="D2524" s="182"/>
      <c r="E2524" s="182"/>
      <c r="F2524" s="168"/>
      <c r="G2524" s="168">
        <v>2521</v>
      </c>
      <c r="H2524" s="183">
        <f t="shared" ca="1" si="81"/>
        <v>8.7168205510812901E-3</v>
      </c>
      <c r="K2524" s="36"/>
    </row>
    <row r="2525" spans="2:11">
      <c r="B2525" s="36"/>
      <c r="C2525" s="182"/>
      <c r="D2525" s="182"/>
      <c r="E2525" s="182"/>
      <c r="F2525" s="168"/>
      <c r="G2525" s="168">
        <v>2522</v>
      </c>
      <c r="H2525" s="183">
        <f t="shared" ca="1" si="81"/>
        <v>6.2453614003499715E-3</v>
      </c>
      <c r="K2525" s="36"/>
    </row>
    <row r="2526" spans="2:11">
      <c r="B2526" s="36"/>
      <c r="C2526" s="182"/>
      <c r="D2526" s="182"/>
      <c r="E2526" s="182"/>
      <c r="F2526" s="168"/>
      <c r="G2526" s="168">
        <v>2523</v>
      </c>
      <c r="H2526" s="183">
        <f t="shared" ca="1" si="81"/>
        <v>-1.955632620747871E-2</v>
      </c>
      <c r="K2526" s="36"/>
    </row>
    <row r="2527" spans="2:11">
      <c r="B2527" s="36"/>
      <c r="C2527" s="182"/>
      <c r="D2527" s="182"/>
      <c r="E2527" s="182"/>
      <c r="F2527" s="168"/>
      <c r="G2527" s="168">
        <v>2524</v>
      </c>
      <c r="H2527" s="183">
        <f t="shared" ca="1" si="81"/>
        <v>-2.3883175922909432E-2</v>
      </c>
      <c r="K2527" s="36"/>
    </row>
    <row r="2528" spans="2:11">
      <c r="B2528" s="36"/>
      <c r="C2528" s="182"/>
      <c r="D2528" s="182"/>
      <c r="E2528" s="182"/>
      <c r="F2528" s="168"/>
      <c r="G2528" s="168">
        <v>2525</v>
      </c>
      <c r="H2528" s="183">
        <f t="shared" ca="1" si="81"/>
        <v>-6.2303380638303466E-3</v>
      </c>
      <c r="K2528" s="36"/>
    </row>
    <row r="2529" spans="2:11">
      <c r="B2529" s="36"/>
      <c r="C2529" s="182"/>
      <c r="D2529" s="182"/>
      <c r="E2529" s="182"/>
      <c r="F2529" s="168"/>
      <c r="G2529" s="168">
        <v>2526</v>
      </c>
      <c r="H2529" s="183">
        <f t="shared" ca="1" si="81"/>
        <v>5.7858565779685591E-3</v>
      </c>
      <c r="K2529" s="36"/>
    </row>
    <row r="2530" spans="2:11">
      <c r="B2530" s="36"/>
      <c r="C2530" s="182"/>
      <c r="D2530" s="182"/>
      <c r="E2530" s="182"/>
      <c r="F2530" s="168"/>
      <c r="G2530" s="168">
        <v>2527</v>
      </c>
      <c r="H2530" s="183">
        <f t="shared" ca="1" si="81"/>
        <v>1.1202879573205128E-2</v>
      </c>
      <c r="K2530" s="36"/>
    </row>
    <row r="2531" spans="2:11">
      <c r="B2531" s="36"/>
      <c r="C2531" s="182"/>
      <c r="D2531" s="182"/>
      <c r="E2531" s="182"/>
      <c r="F2531" s="168"/>
      <c r="G2531" s="168">
        <v>2528</v>
      </c>
      <c r="H2531" s="183">
        <f t="shared" ca="1" si="81"/>
        <v>-5.8569347631430655E-4</v>
      </c>
      <c r="K2531" s="36"/>
    </row>
    <row r="2532" spans="2:11">
      <c r="B2532" s="36"/>
      <c r="C2532" s="182"/>
      <c r="D2532" s="182"/>
      <c r="E2532" s="182"/>
      <c r="F2532" s="168"/>
      <c r="G2532" s="168">
        <v>2529</v>
      </c>
      <c r="H2532" s="183">
        <f t="shared" ca="1" si="81"/>
        <v>1.7253957827427883E-2</v>
      </c>
      <c r="K2532" s="36"/>
    </row>
    <row r="2533" spans="2:11">
      <c r="B2533" s="36"/>
      <c r="C2533" s="182"/>
      <c r="D2533" s="182"/>
      <c r="E2533" s="182"/>
      <c r="F2533" s="168"/>
      <c r="G2533" s="168">
        <v>2530</v>
      </c>
      <c r="H2533" s="183">
        <f t="shared" ca="1" si="81"/>
        <v>6.01585021509231E-5</v>
      </c>
      <c r="K2533" s="36"/>
    </row>
    <row r="2534" spans="2:11">
      <c r="B2534" s="36"/>
      <c r="C2534" s="182"/>
      <c r="D2534" s="182"/>
      <c r="E2534" s="182"/>
      <c r="F2534" s="168"/>
      <c r="G2534" s="168">
        <v>2531</v>
      </c>
      <c r="H2534" s="183">
        <f t="shared" ca="1" si="81"/>
        <v>-1.0404275655888216E-2</v>
      </c>
      <c r="K2534" s="36"/>
    </row>
    <row r="2535" spans="2:11">
      <c r="B2535" s="36"/>
      <c r="C2535" s="182"/>
      <c r="D2535" s="182"/>
      <c r="E2535" s="182"/>
      <c r="F2535" s="168"/>
      <c r="G2535" s="168">
        <v>2532</v>
      </c>
      <c r="H2535" s="183">
        <f t="shared" ca="1" si="81"/>
        <v>9.6476371925207603E-3</v>
      </c>
      <c r="K2535" s="36"/>
    </row>
    <row r="2536" spans="2:11">
      <c r="B2536" s="36"/>
      <c r="C2536" s="182"/>
      <c r="D2536" s="182"/>
      <c r="E2536" s="182"/>
      <c r="F2536" s="168"/>
      <c r="G2536" s="168">
        <v>2533</v>
      </c>
      <c r="H2536" s="183">
        <f t="shared" ca="1" si="81"/>
        <v>5.1193100423439931E-3</v>
      </c>
      <c r="K2536" s="36"/>
    </row>
    <row r="2537" spans="2:11">
      <c r="B2537" s="36"/>
      <c r="C2537" s="182"/>
      <c r="D2537" s="182"/>
      <c r="E2537" s="182"/>
      <c r="F2537" s="168"/>
      <c r="G2537" s="168">
        <v>2534</v>
      </c>
      <c r="H2537" s="183">
        <f t="shared" ca="1" si="81"/>
        <v>-2.505932309338579E-2</v>
      </c>
      <c r="K2537" s="36"/>
    </row>
    <row r="2538" spans="2:11">
      <c r="B2538" s="36"/>
      <c r="C2538" s="182"/>
      <c r="D2538" s="182"/>
      <c r="E2538" s="182"/>
      <c r="F2538" s="168"/>
      <c r="G2538" s="168">
        <v>2535</v>
      </c>
      <c r="H2538" s="183">
        <f t="shared" ca="1" si="81"/>
        <v>-8.8034109152408564E-3</v>
      </c>
      <c r="K2538" s="36"/>
    </row>
    <row r="2539" spans="2:11">
      <c r="B2539" s="36"/>
      <c r="C2539" s="182"/>
      <c r="D2539" s="182"/>
      <c r="E2539" s="182"/>
      <c r="F2539" s="168"/>
      <c r="G2539" s="168">
        <v>2536</v>
      </c>
      <c r="H2539" s="183">
        <f t="shared" ca="1" si="81"/>
        <v>-2.6023934555894506E-2</v>
      </c>
      <c r="K2539" s="36"/>
    </row>
    <row r="2540" spans="2:11">
      <c r="B2540" s="36"/>
      <c r="C2540" s="182"/>
      <c r="D2540" s="182"/>
      <c r="E2540" s="182"/>
      <c r="F2540" s="168"/>
      <c r="G2540" s="168">
        <v>2537</v>
      </c>
      <c r="H2540" s="183">
        <f t="shared" ca="1" si="81"/>
        <v>1.2594833723550145E-3</v>
      </c>
      <c r="K2540" s="36"/>
    </row>
    <row r="2541" spans="2:11">
      <c r="B2541" s="36"/>
      <c r="C2541" s="182"/>
      <c r="D2541" s="182"/>
      <c r="E2541" s="182"/>
      <c r="F2541" s="168"/>
      <c r="G2541" s="168">
        <v>2538</v>
      </c>
      <c r="H2541" s="183">
        <f t="shared" ca="1" si="81"/>
        <v>2.4318340245609504E-3</v>
      </c>
      <c r="K2541" s="36"/>
    </row>
    <row r="2542" spans="2:11">
      <c r="B2542" s="36"/>
      <c r="C2542" s="182"/>
      <c r="D2542" s="182"/>
      <c r="E2542" s="182"/>
      <c r="F2542" s="168"/>
      <c r="G2542" s="168">
        <v>2539</v>
      </c>
      <c r="H2542" s="183">
        <f t="shared" ca="1" si="81"/>
        <v>1.0841470943134389E-2</v>
      </c>
      <c r="K2542" s="36"/>
    </row>
    <row r="2543" spans="2:11">
      <c r="B2543" s="36"/>
      <c r="C2543" s="182"/>
      <c r="D2543" s="182"/>
      <c r="E2543" s="182"/>
      <c r="F2543" s="168"/>
      <c r="G2543" s="168">
        <v>2540</v>
      </c>
      <c r="H2543" s="183">
        <f t="shared" ca="1" si="81"/>
        <v>-9.3256932727930203E-4</v>
      </c>
      <c r="K2543" s="36"/>
    </row>
    <row r="2544" spans="2:11">
      <c r="B2544" s="36"/>
      <c r="C2544" s="182"/>
      <c r="D2544" s="182"/>
      <c r="E2544" s="182"/>
      <c r="F2544" s="168"/>
      <c r="G2544" s="168">
        <v>2541</v>
      </c>
      <c r="H2544" s="183">
        <f t="shared" ca="1" si="81"/>
        <v>1.8043754699368142E-2</v>
      </c>
      <c r="K2544" s="36"/>
    </row>
    <row r="2545" spans="2:11">
      <c r="B2545" s="36"/>
      <c r="C2545" s="182"/>
      <c r="D2545" s="182"/>
      <c r="E2545" s="182"/>
      <c r="F2545" s="168"/>
      <c r="G2545" s="168">
        <v>2542</v>
      </c>
      <c r="H2545" s="183">
        <f t="shared" ca="1" si="81"/>
        <v>1.5831886624508365E-4</v>
      </c>
      <c r="K2545" s="36"/>
    </row>
    <row r="2546" spans="2:11">
      <c r="B2546" s="36"/>
      <c r="C2546" s="182"/>
      <c r="D2546" s="182"/>
      <c r="E2546" s="182"/>
      <c r="F2546" s="168"/>
      <c r="G2546" s="168">
        <v>2543</v>
      </c>
      <c r="H2546" s="183">
        <f t="shared" ca="1" si="81"/>
        <v>-3.5973336028364555E-3</v>
      </c>
      <c r="K2546" s="36"/>
    </row>
    <row r="2547" spans="2:11">
      <c r="B2547" s="36"/>
      <c r="C2547" s="182"/>
      <c r="D2547" s="182"/>
      <c r="E2547" s="182"/>
      <c r="F2547" s="168"/>
      <c r="G2547" s="168">
        <v>2544</v>
      </c>
      <c r="H2547" s="183">
        <f t="shared" ca="1" si="81"/>
        <v>-6.3142718673670313E-3</v>
      </c>
      <c r="K2547" s="36"/>
    </row>
    <row r="2548" spans="2:11">
      <c r="B2548" s="36"/>
      <c r="C2548" s="182"/>
      <c r="D2548" s="182"/>
      <c r="E2548" s="182"/>
      <c r="F2548" s="168"/>
      <c r="G2548" s="168">
        <v>2545</v>
      </c>
      <c r="H2548" s="183">
        <f t="shared" ca="1" si="81"/>
        <v>-1.6950415927661153E-3</v>
      </c>
      <c r="K2548" s="36"/>
    </row>
    <row r="2549" spans="2:11">
      <c r="B2549" s="36"/>
      <c r="C2549" s="182"/>
      <c r="D2549" s="182"/>
      <c r="E2549" s="182"/>
      <c r="F2549" s="168"/>
      <c r="G2549" s="168">
        <v>2546</v>
      </c>
      <c r="H2549" s="183">
        <f t="shared" ca="1" si="81"/>
        <v>1.1852594471495958E-2</v>
      </c>
      <c r="K2549" s="36"/>
    </row>
    <row r="2550" spans="2:11">
      <c r="B2550" s="36"/>
      <c r="C2550" s="182"/>
      <c r="D2550" s="182"/>
      <c r="E2550" s="182"/>
      <c r="F2550" s="168"/>
      <c r="G2550" s="168">
        <v>2547</v>
      </c>
      <c r="H2550" s="183">
        <f t="shared" ca="1" si="81"/>
        <v>-8.8726517843139285E-4</v>
      </c>
      <c r="K2550" s="36"/>
    </row>
    <row r="2551" spans="2:11">
      <c r="B2551" s="36"/>
      <c r="C2551" s="182"/>
      <c r="D2551" s="182"/>
      <c r="E2551" s="182"/>
      <c r="F2551" s="168"/>
      <c r="G2551" s="168">
        <v>2548</v>
      </c>
      <c r="H2551" s="183">
        <f t="shared" ca="1" si="81"/>
        <v>1.8096145535582198E-2</v>
      </c>
      <c r="K2551" s="36"/>
    </row>
    <row r="2552" spans="2:11">
      <c r="B2552" s="36"/>
      <c r="C2552" s="182"/>
      <c r="D2552" s="182"/>
      <c r="E2552" s="182"/>
      <c r="F2552" s="168"/>
      <c r="G2552" s="168">
        <v>2549</v>
      </c>
      <c r="H2552" s="183">
        <f t="shared" ca="1" si="81"/>
        <v>2.3541510139009764E-2</v>
      </c>
      <c r="K2552" s="36"/>
    </row>
    <row r="2553" spans="2:11">
      <c r="B2553" s="36"/>
      <c r="C2553" s="182"/>
      <c r="D2553" s="182"/>
      <c r="E2553" s="182"/>
      <c r="F2553" s="168"/>
      <c r="G2553" s="168">
        <v>2550</v>
      </c>
      <c r="H2553" s="183">
        <f t="shared" ca="1" si="81"/>
        <v>4.8369658778343117E-3</v>
      </c>
      <c r="K2553" s="36"/>
    </row>
    <row r="2554" spans="2:11">
      <c r="B2554" s="36"/>
      <c r="C2554" s="182"/>
      <c r="D2554" s="182"/>
      <c r="E2554" s="182"/>
      <c r="F2554" s="168"/>
      <c r="G2554" s="168">
        <v>2551</v>
      </c>
      <c r="H2554" s="183">
        <f t="shared" ca="1" si="81"/>
        <v>-2.1347937478358222E-3</v>
      </c>
      <c r="K2554" s="36"/>
    </row>
    <row r="2555" spans="2:11">
      <c r="B2555" s="36"/>
      <c r="C2555" s="182"/>
      <c r="D2555" s="182"/>
      <c r="E2555" s="182"/>
      <c r="F2555" s="168"/>
      <c r="G2555" s="168">
        <v>2552</v>
      </c>
      <c r="H2555" s="183">
        <f t="shared" ca="1" si="81"/>
        <v>3.4824747176106963E-3</v>
      </c>
      <c r="K2555" s="36"/>
    </row>
    <row r="2556" spans="2:11">
      <c r="B2556" s="36"/>
      <c r="C2556" s="182"/>
      <c r="D2556" s="182"/>
      <c r="E2556" s="182"/>
      <c r="F2556" s="168"/>
      <c r="G2556" s="168">
        <v>2553</v>
      </c>
      <c r="H2556" s="183">
        <f t="shared" ca="1" si="81"/>
        <v>2.1467771143392749E-2</v>
      </c>
      <c r="K2556" s="36"/>
    </row>
    <row r="2557" spans="2:11">
      <c r="B2557" s="36"/>
      <c r="C2557" s="182"/>
      <c r="D2557" s="182"/>
      <c r="E2557" s="182"/>
      <c r="F2557" s="168"/>
      <c r="G2557" s="168">
        <v>2554</v>
      </c>
      <c r="H2557" s="183">
        <f t="shared" ca="1" si="81"/>
        <v>-9.3200465276058291E-3</v>
      </c>
      <c r="K2557" s="36"/>
    </row>
    <row r="2558" spans="2:11">
      <c r="B2558" s="36"/>
      <c r="C2558" s="182"/>
      <c r="D2558" s="182"/>
      <c r="E2558" s="182"/>
      <c r="F2558" s="168"/>
      <c r="G2558" s="168">
        <v>2555</v>
      </c>
      <c r="H2558" s="183">
        <f t="shared" ca="1" si="81"/>
        <v>-7.4720518471665691E-3</v>
      </c>
      <c r="K2558" s="36"/>
    </row>
    <row r="2559" spans="2:11">
      <c r="B2559" s="36"/>
      <c r="C2559" s="182"/>
      <c r="D2559" s="182"/>
      <c r="E2559" s="182"/>
      <c r="F2559" s="168"/>
      <c r="G2559" s="168">
        <v>2556</v>
      </c>
      <c r="H2559" s="183">
        <f t="shared" ca="1" si="81"/>
        <v>-1.8389614077804527E-4</v>
      </c>
      <c r="K2559" s="36"/>
    </row>
    <row r="2560" spans="2:11">
      <c r="B2560" s="36"/>
      <c r="C2560" s="182"/>
      <c r="D2560" s="182"/>
      <c r="E2560" s="182"/>
      <c r="F2560" s="168"/>
      <c r="G2560" s="168">
        <v>2557</v>
      </c>
      <c r="H2560" s="183">
        <f t="shared" ca="1" si="81"/>
        <v>4.5577551940126759E-3</v>
      </c>
      <c r="K2560" s="36"/>
    </row>
    <row r="2561" spans="2:11">
      <c r="B2561" s="36"/>
      <c r="C2561" s="182"/>
      <c r="D2561" s="182"/>
      <c r="E2561" s="182"/>
      <c r="F2561" s="168"/>
      <c r="G2561" s="168">
        <v>2558</v>
      </c>
      <c r="H2561" s="183">
        <f t="shared" ca="1" si="81"/>
        <v>2.8435855916369632E-2</v>
      </c>
      <c r="K2561" s="36"/>
    </row>
    <row r="2562" spans="2:11">
      <c r="B2562" s="36"/>
      <c r="C2562" s="182"/>
      <c r="D2562" s="182"/>
      <c r="E2562" s="182"/>
      <c r="F2562" s="168"/>
      <c r="G2562" s="168">
        <v>2559</v>
      </c>
      <c r="H2562" s="183">
        <f t="shared" ca="1" si="81"/>
        <v>-7.0054032973164504E-3</v>
      </c>
      <c r="K2562" s="36"/>
    </row>
    <row r="2563" spans="2:11">
      <c r="B2563" s="36"/>
      <c r="C2563" s="182"/>
      <c r="D2563" s="182"/>
      <c r="E2563" s="182"/>
      <c r="F2563" s="168"/>
      <c r="G2563" s="168">
        <v>2560</v>
      </c>
      <c r="H2563" s="183">
        <f t="shared" ca="1" si="81"/>
        <v>-1.0779527143152452E-2</v>
      </c>
      <c r="K2563" s="36"/>
    </row>
    <row r="2564" spans="2:11">
      <c r="B2564" s="36"/>
      <c r="C2564" s="182"/>
      <c r="D2564" s="182"/>
      <c r="E2564" s="182"/>
      <c r="F2564" s="168"/>
      <c r="G2564" s="168">
        <v>2561</v>
      </c>
      <c r="H2564" s="183">
        <f t="shared" ca="1" si="81"/>
        <v>-3.7273962486125333E-3</v>
      </c>
      <c r="K2564" s="36"/>
    </row>
    <row r="2565" spans="2:11">
      <c r="B2565" s="36"/>
      <c r="C2565" s="182"/>
      <c r="D2565" s="182"/>
      <c r="E2565" s="182"/>
      <c r="F2565" s="168"/>
      <c r="G2565" s="168">
        <v>2562</v>
      </c>
      <c r="H2565" s="183">
        <f t="shared" ref="H2565:H2628" ca="1" si="82">_xlfn.NORM.INV(RAND(),N$6,N$7)</f>
        <v>-6.61762024585666E-3</v>
      </c>
      <c r="K2565" s="36"/>
    </row>
    <row r="2566" spans="2:11">
      <c r="B2566" s="36"/>
      <c r="C2566" s="182"/>
      <c r="D2566" s="182"/>
      <c r="E2566" s="182"/>
      <c r="F2566" s="168"/>
      <c r="G2566" s="168">
        <v>2563</v>
      </c>
      <c r="H2566" s="183">
        <f t="shared" ca="1" si="82"/>
        <v>6.4045021640690798E-3</v>
      </c>
      <c r="K2566" s="36"/>
    </row>
    <row r="2567" spans="2:11">
      <c r="B2567" s="36"/>
      <c r="C2567" s="182"/>
      <c r="D2567" s="182"/>
      <c r="E2567" s="182"/>
      <c r="F2567" s="168"/>
      <c r="G2567" s="168">
        <v>2564</v>
      </c>
      <c r="H2567" s="183">
        <f t="shared" ca="1" si="82"/>
        <v>5.1891794879272875E-3</v>
      </c>
      <c r="K2567" s="36"/>
    </row>
    <row r="2568" spans="2:11">
      <c r="B2568" s="36"/>
      <c r="C2568" s="182"/>
      <c r="D2568" s="182"/>
      <c r="E2568" s="182"/>
      <c r="F2568" s="168"/>
      <c r="G2568" s="168">
        <v>2565</v>
      </c>
      <c r="H2568" s="183">
        <f t="shared" ca="1" si="82"/>
        <v>-3.6215573635675173E-3</v>
      </c>
      <c r="K2568" s="36"/>
    </row>
    <row r="2569" spans="2:11">
      <c r="B2569" s="36"/>
      <c r="C2569" s="182"/>
      <c r="D2569" s="182"/>
      <c r="E2569" s="182"/>
      <c r="F2569" s="168"/>
      <c r="G2569" s="168">
        <v>2566</v>
      </c>
      <c r="H2569" s="183">
        <f t="shared" ca="1" si="82"/>
        <v>2.6418698235934495E-2</v>
      </c>
      <c r="K2569" s="36"/>
    </row>
    <row r="2570" spans="2:11">
      <c r="B2570" s="36"/>
      <c r="C2570" s="182"/>
      <c r="D2570" s="182"/>
      <c r="E2570" s="182"/>
      <c r="F2570" s="168"/>
      <c r="G2570" s="168">
        <v>2567</v>
      </c>
      <c r="H2570" s="183">
        <f t="shared" ca="1" si="82"/>
        <v>9.0663997009220567E-4</v>
      </c>
      <c r="K2570" s="36"/>
    </row>
    <row r="2571" spans="2:11">
      <c r="B2571" s="36"/>
      <c r="C2571" s="182"/>
      <c r="D2571" s="182"/>
      <c r="E2571" s="182"/>
      <c r="F2571" s="168"/>
      <c r="G2571" s="168">
        <v>2568</v>
      </c>
      <c r="H2571" s="183">
        <f t="shared" ca="1" si="82"/>
        <v>-4.8070622681954311E-3</v>
      </c>
      <c r="K2571" s="36"/>
    </row>
    <row r="2572" spans="2:11">
      <c r="B2572" s="36"/>
      <c r="C2572" s="182"/>
      <c r="D2572" s="182"/>
      <c r="E2572" s="182"/>
      <c r="F2572" s="168"/>
      <c r="G2572" s="168">
        <v>2569</v>
      </c>
      <c r="H2572" s="183">
        <f t="shared" ca="1" si="82"/>
        <v>-4.4902533504257922E-4</v>
      </c>
      <c r="K2572" s="36"/>
    </row>
    <row r="2573" spans="2:11">
      <c r="B2573" s="36"/>
      <c r="C2573" s="182"/>
      <c r="D2573" s="182"/>
      <c r="E2573" s="182"/>
      <c r="F2573" s="168"/>
      <c r="G2573" s="168">
        <v>2570</v>
      </c>
      <c r="H2573" s="183">
        <f t="shared" ca="1" si="82"/>
        <v>7.2009965582192064E-3</v>
      </c>
      <c r="K2573" s="36"/>
    </row>
    <row r="2574" spans="2:11">
      <c r="B2574" s="36"/>
      <c r="C2574" s="182"/>
      <c r="D2574" s="182"/>
      <c r="E2574" s="182"/>
      <c r="F2574" s="168"/>
      <c r="G2574" s="168">
        <v>2571</v>
      </c>
      <c r="H2574" s="183">
        <f t="shared" ca="1" si="82"/>
        <v>-2.8161692223184581E-2</v>
      </c>
      <c r="K2574" s="36"/>
    </row>
    <row r="2575" spans="2:11">
      <c r="B2575" s="36"/>
      <c r="C2575" s="182"/>
      <c r="D2575" s="182"/>
      <c r="E2575" s="182"/>
      <c r="F2575" s="168"/>
      <c r="G2575" s="168">
        <v>2572</v>
      </c>
      <c r="H2575" s="183">
        <f t="shared" ca="1" si="82"/>
        <v>1.5394313382389616E-2</v>
      </c>
      <c r="K2575" s="36"/>
    </row>
    <row r="2576" spans="2:11">
      <c r="B2576" s="36"/>
      <c r="C2576" s="182"/>
      <c r="D2576" s="182"/>
      <c r="E2576" s="182"/>
      <c r="F2576" s="168"/>
      <c r="G2576" s="168">
        <v>2573</v>
      </c>
      <c r="H2576" s="183">
        <f t="shared" ca="1" si="82"/>
        <v>-1.4489046324805771E-2</v>
      </c>
      <c r="K2576" s="36"/>
    </row>
    <row r="2577" spans="2:11">
      <c r="B2577" s="36"/>
      <c r="C2577" s="182"/>
      <c r="D2577" s="182"/>
      <c r="E2577" s="182"/>
      <c r="F2577" s="168"/>
      <c r="G2577" s="168">
        <v>2574</v>
      </c>
      <c r="H2577" s="183">
        <f t="shared" ca="1" si="82"/>
        <v>-2.966180800735593E-2</v>
      </c>
      <c r="K2577" s="36"/>
    </row>
    <row r="2578" spans="2:11">
      <c r="B2578" s="36"/>
      <c r="C2578" s="182"/>
      <c r="D2578" s="182"/>
      <c r="E2578" s="182"/>
      <c r="F2578" s="168"/>
      <c r="G2578" s="168">
        <v>2575</v>
      </c>
      <c r="H2578" s="183">
        <f t="shared" ca="1" si="82"/>
        <v>-1.5721961392891594E-2</v>
      </c>
      <c r="K2578" s="36"/>
    </row>
    <row r="2579" spans="2:11">
      <c r="B2579" s="36"/>
      <c r="C2579" s="182"/>
      <c r="D2579" s="182"/>
      <c r="E2579" s="182"/>
      <c r="F2579" s="168"/>
      <c r="G2579" s="168">
        <v>2576</v>
      </c>
      <c r="H2579" s="183">
        <f t="shared" ca="1" si="82"/>
        <v>-5.9143832455411252E-3</v>
      </c>
      <c r="K2579" s="36"/>
    </row>
    <row r="2580" spans="2:11">
      <c r="B2580" s="36"/>
      <c r="C2580" s="182"/>
      <c r="D2580" s="182"/>
      <c r="E2580" s="182"/>
      <c r="F2580" s="168"/>
      <c r="G2580" s="168">
        <v>2577</v>
      </c>
      <c r="H2580" s="183">
        <f t="shared" ca="1" si="82"/>
        <v>-2.4597264117265146E-3</v>
      </c>
      <c r="K2580" s="36"/>
    </row>
    <row r="2581" spans="2:11">
      <c r="B2581" s="36"/>
      <c r="C2581" s="182"/>
      <c r="D2581" s="182"/>
      <c r="E2581" s="182"/>
      <c r="F2581" s="168"/>
      <c r="G2581" s="168">
        <v>2578</v>
      </c>
      <c r="H2581" s="183">
        <f t="shared" ca="1" si="82"/>
        <v>2.1139268961403133E-3</v>
      </c>
      <c r="K2581" s="36"/>
    </row>
    <row r="2582" spans="2:11">
      <c r="B2582" s="36"/>
      <c r="C2582" s="182"/>
      <c r="D2582" s="182"/>
      <c r="E2582" s="182"/>
      <c r="F2582" s="168"/>
      <c r="G2582" s="168">
        <v>2579</v>
      </c>
      <c r="H2582" s="183">
        <f t="shared" ca="1" si="82"/>
        <v>2.358181758530602E-3</v>
      </c>
      <c r="K2582" s="36"/>
    </row>
    <row r="2583" spans="2:11">
      <c r="B2583" s="36"/>
      <c r="C2583" s="182"/>
      <c r="D2583" s="182"/>
      <c r="E2583" s="182"/>
      <c r="F2583" s="168"/>
      <c r="G2583" s="168">
        <v>2580</v>
      </c>
      <c r="H2583" s="183">
        <f t="shared" ca="1" si="82"/>
        <v>3.5106411957926712E-3</v>
      </c>
      <c r="K2583" s="36"/>
    </row>
    <row r="2584" spans="2:11">
      <c r="B2584" s="36"/>
      <c r="C2584" s="182"/>
      <c r="D2584" s="182"/>
      <c r="E2584" s="182"/>
      <c r="F2584" s="168"/>
      <c r="G2584" s="168">
        <v>2581</v>
      </c>
      <c r="H2584" s="183">
        <f t="shared" ca="1" si="82"/>
        <v>8.4691171031497665E-3</v>
      </c>
      <c r="K2584" s="36"/>
    </row>
    <row r="2585" spans="2:11">
      <c r="B2585" s="36"/>
      <c r="C2585" s="182"/>
      <c r="D2585" s="182"/>
      <c r="E2585" s="182"/>
      <c r="F2585" s="168"/>
      <c r="G2585" s="168">
        <v>2582</v>
      </c>
      <c r="H2585" s="183">
        <f t="shared" ca="1" si="82"/>
        <v>-1.4135466858859948E-2</v>
      </c>
      <c r="K2585" s="36"/>
    </row>
    <row r="2586" spans="2:11">
      <c r="B2586" s="36"/>
      <c r="C2586" s="182"/>
      <c r="D2586" s="182"/>
      <c r="E2586" s="182"/>
      <c r="F2586" s="168"/>
      <c r="G2586" s="168">
        <v>2583</v>
      </c>
      <c r="H2586" s="183">
        <f t="shared" ca="1" si="82"/>
        <v>2.5377312746691614E-2</v>
      </c>
      <c r="K2586" s="36"/>
    </row>
    <row r="2587" spans="2:11">
      <c r="B2587" s="36"/>
      <c r="C2587" s="182"/>
      <c r="D2587" s="182"/>
      <c r="E2587" s="182"/>
      <c r="F2587" s="168"/>
      <c r="G2587" s="168">
        <v>2584</v>
      </c>
      <c r="H2587" s="183">
        <f t="shared" ca="1" si="82"/>
        <v>-2.3142531497937855E-2</v>
      </c>
      <c r="K2587" s="36"/>
    </row>
    <row r="2588" spans="2:11">
      <c r="B2588" s="36"/>
      <c r="C2588" s="182"/>
      <c r="D2588" s="182"/>
      <c r="E2588" s="182"/>
      <c r="F2588" s="168"/>
      <c r="G2588" s="168">
        <v>2585</v>
      </c>
      <c r="H2588" s="183">
        <f t="shared" ca="1" si="82"/>
        <v>-5.1618877218638842E-3</v>
      </c>
      <c r="K2588" s="36"/>
    </row>
    <row r="2589" spans="2:11">
      <c r="B2589" s="36"/>
      <c r="C2589" s="182"/>
      <c r="D2589" s="182"/>
      <c r="E2589" s="182"/>
      <c r="F2589" s="168"/>
      <c r="G2589" s="168">
        <v>2586</v>
      </c>
      <c r="H2589" s="183">
        <f t="shared" ca="1" si="82"/>
        <v>-7.3597866062820585E-3</v>
      </c>
      <c r="K2589" s="36"/>
    </row>
    <row r="2590" spans="2:11">
      <c r="B2590" s="36"/>
      <c r="C2590" s="182"/>
      <c r="D2590" s="182"/>
      <c r="E2590" s="182"/>
      <c r="F2590" s="168"/>
      <c r="G2590" s="168">
        <v>2587</v>
      </c>
      <c r="H2590" s="183">
        <f t="shared" ca="1" si="82"/>
        <v>-5.6458016183820918E-3</v>
      </c>
      <c r="K2590" s="36"/>
    </row>
    <row r="2591" spans="2:11">
      <c r="B2591" s="36"/>
      <c r="C2591" s="182"/>
      <c r="D2591" s="182"/>
      <c r="E2591" s="182"/>
      <c r="F2591" s="168"/>
      <c r="G2591" s="168">
        <v>2588</v>
      </c>
      <c r="H2591" s="183">
        <f t="shared" ca="1" si="82"/>
        <v>-3.0921188004750643E-3</v>
      </c>
      <c r="K2591" s="36"/>
    </row>
    <row r="2592" spans="2:11">
      <c r="B2592" s="36"/>
      <c r="C2592" s="182"/>
      <c r="D2592" s="182"/>
      <c r="E2592" s="182"/>
      <c r="F2592" s="168"/>
      <c r="G2592" s="168">
        <v>2589</v>
      </c>
      <c r="H2592" s="183">
        <f t="shared" ca="1" si="82"/>
        <v>9.88097282388266E-3</v>
      </c>
      <c r="K2592" s="36"/>
    </row>
    <row r="2593" spans="2:11">
      <c r="B2593" s="36"/>
      <c r="C2593" s="182"/>
      <c r="D2593" s="182"/>
      <c r="E2593" s="182"/>
      <c r="F2593" s="168"/>
      <c r="G2593" s="168">
        <v>2590</v>
      </c>
      <c r="H2593" s="183">
        <f t="shared" ca="1" si="82"/>
        <v>-3.0961414499979427E-3</v>
      </c>
      <c r="K2593" s="36"/>
    </row>
    <row r="2594" spans="2:11">
      <c r="B2594" s="36"/>
      <c r="C2594" s="182"/>
      <c r="D2594" s="182"/>
      <c r="E2594" s="182"/>
      <c r="F2594" s="168"/>
      <c r="G2594" s="168">
        <v>2591</v>
      </c>
      <c r="H2594" s="183">
        <f t="shared" ca="1" si="82"/>
        <v>3.2148705091579496E-3</v>
      </c>
      <c r="K2594" s="36"/>
    </row>
    <row r="2595" spans="2:11">
      <c r="B2595" s="36"/>
      <c r="C2595" s="182"/>
      <c r="D2595" s="182"/>
      <c r="E2595" s="182"/>
      <c r="F2595" s="168"/>
      <c r="G2595" s="168">
        <v>2592</v>
      </c>
      <c r="H2595" s="183">
        <f t="shared" ca="1" si="82"/>
        <v>2.1955586015186884E-3</v>
      </c>
      <c r="K2595" s="36"/>
    </row>
    <row r="2596" spans="2:11">
      <c r="B2596" s="36"/>
      <c r="C2596" s="182"/>
      <c r="D2596" s="182"/>
      <c r="E2596" s="182"/>
      <c r="F2596" s="168"/>
      <c r="G2596" s="168">
        <v>2593</v>
      </c>
      <c r="H2596" s="183">
        <f t="shared" ca="1" si="82"/>
        <v>8.6220731552440243E-4</v>
      </c>
      <c r="K2596" s="36"/>
    </row>
    <row r="2597" spans="2:11">
      <c r="B2597" s="36"/>
      <c r="C2597" s="182"/>
      <c r="D2597" s="182"/>
      <c r="E2597" s="182"/>
      <c r="F2597" s="168"/>
      <c r="G2597" s="168">
        <v>2594</v>
      </c>
      <c r="H2597" s="183">
        <f t="shared" ca="1" si="82"/>
        <v>-1.1550806368215233E-2</v>
      </c>
      <c r="K2597" s="36"/>
    </row>
    <row r="2598" spans="2:11">
      <c r="B2598" s="36"/>
      <c r="C2598" s="182"/>
      <c r="D2598" s="182"/>
      <c r="E2598" s="182"/>
      <c r="F2598" s="168"/>
      <c r="G2598" s="168">
        <v>2595</v>
      </c>
      <c r="H2598" s="183">
        <f t="shared" ca="1" si="82"/>
        <v>2.1479966386989024E-2</v>
      </c>
      <c r="K2598" s="36"/>
    </row>
    <row r="2599" spans="2:11">
      <c r="B2599" s="36"/>
      <c r="C2599" s="182"/>
      <c r="D2599" s="182"/>
      <c r="E2599" s="182"/>
      <c r="F2599" s="168"/>
      <c r="G2599" s="168">
        <v>2596</v>
      </c>
      <c r="H2599" s="183">
        <f t="shared" ca="1" si="82"/>
        <v>9.2876006127291452E-3</v>
      </c>
      <c r="K2599" s="36"/>
    </row>
    <row r="2600" spans="2:11">
      <c r="B2600" s="36"/>
      <c r="C2600" s="182"/>
      <c r="D2600" s="182"/>
      <c r="E2600" s="182"/>
      <c r="F2600" s="168"/>
      <c r="G2600" s="168">
        <v>2597</v>
      </c>
      <c r="H2600" s="183">
        <f t="shared" ca="1" si="82"/>
        <v>-1.3071161310530786E-2</v>
      </c>
      <c r="K2600" s="36"/>
    </row>
    <row r="2601" spans="2:11">
      <c r="B2601" s="36"/>
      <c r="C2601" s="182"/>
      <c r="D2601" s="182"/>
      <c r="E2601" s="182"/>
      <c r="F2601" s="168"/>
      <c r="G2601" s="168">
        <v>2598</v>
      </c>
      <c r="H2601" s="183">
        <f t="shared" ca="1" si="82"/>
        <v>5.2644290722564848E-3</v>
      </c>
      <c r="K2601" s="36"/>
    </row>
    <row r="2602" spans="2:11">
      <c r="B2602" s="36"/>
      <c r="C2602" s="182"/>
      <c r="D2602" s="182"/>
      <c r="E2602" s="182"/>
      <c r="F2602" s="168"/>
      <c r="G2602" s="168">
        <v>2599</v>
      </c>
      <c r="H2602" s="183">
        <f t="shared" ca="1" si="82"/>
        <v>-4.6602646814275757E-3</v>
      </c>
      <c r="K2602" s="36"/>
    </row>
    <row r="2603" spans="2:11">
      <c r="B2603" s="36"/>
      <c r="C2603" s="182"/>
      <c r="D2603" s="182"/>
      <c r="E2603" s="182"/>
      <c r="F2603" s="168"/>
      <c r="G2603" s="168">
        <v>2600</v>
      </c>
      <c r="H2603" s="183">
        <f t="shared" ca="1" si="82"/>
        <v>9.9817491018218164E-3</v>
      </c>
      <c r="K2603" s="36"/>
    </row>
    <row r="2604" spans="2:11">
      <c r="B2604" s="36"/>
      <c r="C2604" s="182"/>
      <c r="D2604" s="182"/>
      <c r="E2604" s="182"/>
      <c r="F2604" s="168"/>
      <c r="G2604" s="168">
        <v>2601</v>
      </c>
      <c r="H2604" s="183">
        <f t="shared" ca="1" si="82"/>
        <v>1.9103318594309343E-3</v>
      </c>
      <c r="K2604" s="36"/>
    </row>
    <row r="2605" spans="2:11">
      <c r="B2605" s="36"/>
      <c r="C2605" s="182"/>
      <c r="D2605" s="182"/>
      <c r="E2605" s="182"/>
      <c r="F2605" s="168"/>
      <c r="G2605" s="168">
        <v>2602</v>
      </c>
      <c r="H2605" s="183">
        <f t="shared" ca="1" si="82"/>
        <v>2.234906840867407E-2</v>
      </c>
      <c r="K2605" s="36"/>
    </row>
    <row r="2606" spans="2:11">
      <c r="B2606" s="36"/>
      <c r="C2606" s="182"/>
      <c r="D2606" s="182"/>
      <c r="E2606" s="182"/>
      <c r="F2606" s="168"/>
      <c r="G2606" s="168">
        <v>2603</v>
      </c>
      <c r="H2606" s="183">
        <f t="shared" ca="1" si="82"/>
        <v>-5.9350644904682115E-4</v>
      </c>
      <c r="K2606" s="36"/>
    </row>
    <row r="2607" spans="2:11">
      <c r="B2607" s="36"/>
      <c r="C2607" s="182"/>
      <c r="D2607" s="182"/>
      <c r="E2607" s="182"/>
      <c r="F2607" s="168"/>
      <c r="G2607" s="168">
        <v>2604</v>
      </c>
      <c r="H2607" s="183">
        <f t="shared" ca="1" si="82"/>
        <v>-2.6257860373831024E-3</v>
      </c>
      <c r="K2607" s="36"/>
    </row>
    <row r="2608" spans="2:11">
      <c r="B2608" s="36"/>
      <c r="C2608" s="182"/>
      <c r="D2608" s="182"/>
      <c r="E2608" s="182"/>
      <c r="F2608" s="168"/>
      <c r="G2608" s="168">
        <v>2605</v>
      </c>
      <c r="H2608" s="183">
        <f t="shared" ca="1" si="82"/>
        <v>3.9276679639886842E-3</v>
      </c>
      <c r="K2608" s="36"/>
    </row>
    <row r="2609" spans="2:11">
      <c r="B2609" s="36"/>
      <c r="C2609" s="182"/>
      <c r="D2609" s="182"/>
      <c r="E2609" s="182"/>
      <c r="F2609" s="168"/>
      <c r="G2609" s="168">
        <v>2606</v>
      </c>
      <c r="H2609" s="183">
        <f t="shared" ca="1" si="82"/>
        <v>-5.0138844977462979E-3</v>
      </c>
      <c r="K2609" s="36"/>
    </row>
    <row r="2610" spans="2:11">
      <c r="B2610" s="36"/>
      <c r="C2610" s="182"/>
      <c r="D2610" s="182"/>
      <c r="E2610" s="182"/>
      <c r="F2610" s="168"/>
      <c r="G2610" s="168">
        <v>2607</v>
      </c>
      <c r="H2610" s="183">
        <f t="shared" ca="1" si="82"/>
        <v>-8.546097657334082E-4</v>
      </c>
      <c r="K2610" s="36"/>
    </row>
    <row r="2611" spans="2:11">
      <c r="B2611" s="36"/>
      <c r="C2611" s="182"/>
      <c r="D2611" s="182"/>
      <c r="E2611" s="182"/>
      <c r="F2611" s="168"/>
      <c r="G2611" s="168">
        <v>2608</v>
      </c>
      <c r="H2611" s="183">
        <f t="shared" ca="1" si="82"/>
        <v>4.9835087562441465E-3</v>
      </c>
      <c r="K2611" s="36"/>
    </row>
    <row r="2612" spans="2:11">
      <c r="B2612" s="36"/>
      <c r="C2612" s="182"/>
      <c r="D2612" s="182"/>
      <c r="E2612" s="182"/>
      <c r="F2612" s="168"/>
      <c r="G2612" s="168">
        <v>2609</v>
      </c>
      <c r="H2612" s="183">
        <f t="shared" ca="1" si="82"/>
        <v>-6.4922424126241272E-3</v>
      </c>
      <c r="K2612" s="36"/>
    </row>
    <row r="2613" spans="2:11">
      <c r="B2613" s="36"/>
      <c r="C2613" s="182"/>
      <c r="D2613" s="182"/>
      <c r="E2613" s="182"/>
      <c r="F2613" s="168"/>
      <c r="G2613" s="168">
        <v>2610</v>
      </c>
      <c r="H2613" s="183">
        <f t="shared" ca="1" si="82"/>
        <v>5.9516172811915156E-3</v>
      </c>
      <c r="K2613" s="36"/>
    </row>
    <row r="2614" spans="2:11">
      <c r="B2614" s="36"/>
      <c r="C2614" s="182"/>
      <c r="D2614" s="182"/>
      <c r="E2614" s="182"/>
      <c r="F2614" s="168"/>
      <c r="G2614" s="168">
        <v>2611</v>
      </c>
      <c r="H2614" s="183">
        <f t="shared" ca="1" si="82"/>
        <v>-3.2655330474890163E-3</v>
      </c>
      <c r="K2614" s="36"/>
    </row>
    <row r="2615" spans="2:11">
      <c r="B2615" s="36"/>
      <c r="C2615" s="182"/>
      <c r="D2615" s="182"/>
      <c r="E2615" s="182"/>
      <c r="F2615" s="168"/>
      <c r="G2615" s="168">
        <v>2612</v>
      </c>
      <c r="H2615" s="183">
        <f t="shared" ca="1" si="82"/>
        <v>1.8599450238351585E-2</v>
      </c>
      <c r="K2615" s="36"/>
    </row>
    <row r="2616" spans="2:11">
      <c r="B2616" s="36"/>
      <c r="C2616" s="182"/>
      <c r="D2616" s="182"/>
      <c r="E2616" s="182"/>
      <c r="F2616" s="168"/>
      <c r="G2616" s="168">
        <v>2613</v>
      </c>
      <c r="H2616" s="183">
        <f t="shared" ca="1" si="82"/>
        <v>3.3679121470225675E-3</v>
      </c>
      <c r="K2616" s="36"/>
    </row>
    <row r="2617" spans="2:11">
      <c r="B2617" s="36"/>
      <c r="C2617" s="182"/>
      <c r="D2617" s="182"/>
      <c r="E2617" s="182"/>
      <c r="F2617" s="168"/>
      <c r="G2617" s="168">
        <v>2614</v>
      </c>
      <c r="H2617" s="183">
        <f t="shared" ca="1" si="82"/>
        <v>-5.8589663384074854E-3</v>
      </c>
      <c r="K2617" s="36"/>
    </row>
    <row r="2618" spans="2:11">
      <c r="B2618" s="36"/>
      <c r="C2618" s="182"/>
      <c r="D2618" s="182"/>
      <c r="E2618" s="182"/>
      <c r="F2618" s="168"/>
      <c r="G2618" s="168">
        <v>2615</v>
      </c>
      <c r="H2618" s="183">
        <f t="shared" ca="1" si="82"/>
        <v>6.7480412612581052E-4</v>
      </c>
      <c r="K2618" s="36"/>
    </row>
    <row r="2619" spans="2:11">
      <c r="B2619" s="36"/>
      <c r="C2619" s="182"/>
      <c r="D2619" s="182"/>
      <c r="E2619" s="182"/>
      <c r="F2619" s="168"/>
      <c r="G2619" s="168">
        <v>2616</v>
      </c>
      <c r="H2619" s="183">
        <f t="shared" ca="1" si="82"/>
        <v>5.8682274302119287E-3</v>
      </c>
      <c r="K2619" s="36"/>
    </row>
    <row r="2620" spans="2:11">
      <c r="B2620" s="36"/>
      <c r="C2620" s="182"/>
      <c r="D2620" s="182"/>
      <c r="E2620" s="182"/>
      <c r="F2620" s="168"/>
      <c r="G2620" s="168">
        <v>2617</v>
      </c>
      <c r="H2620" s="183">
        <f t="shared" ca="1" si="82"/>
        <v>4.0084636391898472E-3</v>
      </c>
      <c r="K2620" s="36"/>
    </row>
    <row r="2621" spans="2:11">
      <c r="B2621" s="36"/>
      <c r="C2621" s="182"/>
      <c r="D2621" s="182"/>
      <c r="E2621" s="182"/>
      <c r="F2621" s="168"/>
      <c r="G2621" s="168">
        <v>2618</v>
      </c>
      <c r="H2621" s="183">
        <f t="shared" ca="1" si="82"/>
        <v>-4.9157187188249201E-3</v>
      </c>
      <c r="K2621" s="36"/>
    </row>
    <row r="2622" spans="2:11">
      <c r="B2622" s="36"/>
      <c r="C2622" s="182"/>
      <c r="D2622" s="182"/>
      <c r="E2622" s="182"/>
      <c r="F2622" s="168"/>
      <c r="G2622" s="168">
        <v>2619</v>
      </c>
      <c r="H2622" s="183">
        <f t="shared" ca="1" si="82"/>
        <v>-6.1710605887708341E-3</v>
      </c>
      <c r="K2622" s="36"/>
    </row>
    <row r="2623" spans="2:11">
      <c r="B2623" s="36"/>
      <c r="C2623" s="182"/>
      <c r="D2623" s="182"/>
      <c r="E2623" s="182"/>
      <c r="F2623" s="168"/>
      <c r="G2623" s="168">
        <v>2620</v>
      </c>
      <c r="H2623" s="183">
        <f t="shared" ca="1" si="82"/>
        <v>-8.9659525905553122E-3</v>
      </c>
      <c r="K2623" s="36"/>
    </row>
    <row r="2624" spans="2:11">
      <c r="B2624" s="36"/>
      <c r="C2624" s="182"/>
      <c r="D2624" s="182"/>
      <c r="E2624" s="182"/>
      <c r="F2624" s="168"/>
      <c r="G2624" s="168">
        <v>2621</v>
      </c>
      <c r="H2624" s="183">
        <f t="shared" ca="1" si="82"/>
        <v>1.2777108816066564E-2</v>
      </c>
      <c r="K2624" s="36"/>
    </row>
    <row r="2625" spans="2:11">
      <c r="B2625" s="36"/>
      <c r="C2625" s="182"/>
      <c r="D2625" s="182"/>
      <c r="E2625" s="182"/>
      <c r="F2625" s="168"/>
      <c r="G2625" s="168">
        <v>2622</v>
      </c>
      <c r="H2625" s="183">
        <f t="shared" ca="1" si="82"/>
        <v>1.5737114790212161E-3</v>
      </c>
      <c r="K2625" s="36"/>
    </row>
    <row r="2626" spans="2:11">
      <c r="B2626" s="36"/>
      <c r="C2626" s="182"/>
      <c r="D2626" s="182"/>
      <c r="E2626" s="182"/>
      <c r="F2626" s="168"/>
      <c r="G2626" s="168">
        <v>2623</v>
      </c>
      <c r="H2626" s="183">
        <f t="shared" ca="1" si="82"/>
        <v>-1.528512535129087E-3</v>
      </c>
      <c r="K2626" s="36"/>
    </row>
    <row r="2627" spans="2:11">
      <c r="B2627" s="36"/>
      <c r="C2627" s="182"/>
      <c r="D2627" s="182"/>
      <c r="E2627" s="182"/>
      <c r="F2627" s="168"/>
      <c r="G2627" s="168">
        <v>2624</v>
      </c>
      <c r="H2627" s="183">
        <f t="shared" ca="1" si="82"/>
        <v>-3.6434243202476561E-2</v>
      </c>
      <c r="K2627" s="36"/>
    </row>
    <row r="2628" spans="2:11">
      <c r="B2628" s="36"/>
      <c r="C2628" s="182"/>
      <c r="D2628" s="182"/>
      <c r="E2628" s="182"/>
      <c r="F2628" s="168"/>
      <c r="G2628" s="168">
        <v>2625</v>
      </c>
      <c r="H2628" s="183">
        <f t="shared" ca="1" si="82"/>
        <v>1.770957637851021E-2</v>
      </c>
      <c r="K2628" s="36"/>
    </row>
    <row r="2629" spans="2:11">
      <c r="B2629" s="36"/>
      <c r="C2629" s="182"/>
      <c r="D2629" s="182"/>
      <c r="E2629" s="182"/>
      <c r="F2629" s="168"/>
      <c r="G2629" s="168">
        <v>2626</v>
      </c>
      <c r="H2629" s="183">
        <f t="shared" ref="H2629:H2692" ca="1" si="83">_xlfn.NORM.INV(RAND(),N$6,N$7)</f>
        <v>-4.6197493081551978E-3</v>
      </c>
      <c r="K2629" s="36"/>
    </row>
    <row r="2630" spans="2:11">
      <c r="B2630" s="36"/>
      <c r="C2630" s="182"/>
      <c r="D2630" s="182"/>
      <c r="E2630" s="182"/>
      <c r="F2630" s="168"/>
      <c r="G2630" s="168">
        <v>2627</v>
      </c>
      <c r="H2630" s="183">
        <f t="shared" ca="1" si="83"/>
        <v>9.2257791223591037E-3</v>
      </c>
      <c r="K2630" s="36"/>
    </row>
    <row r="2631" spans="2:11">
      <c r="B2631" s="36"/>
      <c r="C2631" s="182"/>
      <c r="D2631" s="182"/>
      <c r="E2631" s="182"/>
      <c r="F2631" s="168"/>
      <c r="G2631" s="168">
        <v>2628</v>
      </c>
      <c r="H2631" s="183">
        <f t="shared" ca="1" si="83"/>
        <v>8.866992838518245E-3</v>
      </c>
      <c r="K2631" s="36"/>
    </row>
    <row r="2632" spans="2:11">
      <c r="B2632" s="36"/>
      <c r="C2632" s="182"/>
      <c r="D2632" s="182"/>
      <c r="E2632" s="182"/>
      <c r="F2632" s="168"/>
      <c r="G2632" s="168">
        <v>2629</v>
      </c>
      <c r="H2632" s="183">
        <f t="shared" ca="1" si="83"/>
        <v>6.4069177971272017E-3</v>
      </c>
      <c r="K2632" s="36"/>
    </row>
    <row r="2633" spans="2:11">
      <c r="B2633" s="36"/>
      <c r="C2633" s="182"/>
      <c r="D2633" s="182"/>
      <c r="E2633" s="182"/>
      <c r="F2633" s="168"/>
      <c r="G2633" s="168">
        <v>2630</v>
      </c>
      <c r="H2633" s="183">
        <f t="shared" ca="1" si="83"/>
        <v>-1.2212408763354138E-2</v>
      </c>
      <c r="K2633" s="36"/>
    </row>
    <row r="2634" spans="2:11">
      <c r="B2634" s="36"/>
      <c r="C2634" s="182"/>
      <c r="D2634" s="182"/>
      <c r="E2634" s="182"/>
      <c r="F2634" s="168"/>
      <c r="G2634" s="168">
        <v>2631</v>
      </c>
      <c r="H2634" s="183">
        <f t="shared" ca="1" si="83"/>
        <v>6.449703704937383E-3</v>
      </c>
      <c r="K2634" s="36"/>
    </row>
    <row r="2635" spans="2:11">
      <c r="B2635" s="36"/>
      <c r="C2635" s="182"/>
      <c r="D2635" s="182"/>
      <c r="E2635" s="182"/>
      <c r="F2635" s="168"/>
      <c r="G2635" s="168">
        <v>2632</v>
      </c>
      <c r="H2635" s="183">
        <f t="shared" ca="1" si="83"/>
        <v>1.0497951774780318E-2</v>
      </c>
      <c r="K2635" s="36"/>
    </row>
    <row r="2636" spans="2:11">
      <c r="B2636" s="36"/>
      <c r="C2636" s="182"/>
      <c r="D2636" s="182"/>
      <c r="E2636" s="182"/>
      <c r="F2636" s="168"/>
      <c r="G2636" s="168">
        <v>2633</v>
      </c>
      <c r="H2636" s="183">
        <f t="shared" ca="1" si="83"/>
        <v>7.3804980374836786E-3</v>
      </c>
      <c r="K2636" s="36"/>
    </row>
    <row r="2637" spans="2:11">
      <c r="B2637" s="36"/>
      <c r="C2637" s="182"/>
      <c r="D2637" s="182"/>
      <c r="E2637" s="182"/>
      <c r="F2637" s="168"/>
      <c r="G2637" s="168">
        <v>2634</v>
      </c>
      <c r="H2637" s="183">
        <f t="shared" ca="1" si="83"/>
        <v>-7.3473489392930375E-4</v>
      </c>
      <c r="K2637" s="36"/>
    </row>
    <row r="2638" spans="2:11">
      <c r="B2638" s="36"/>
      <c r="C2638" s="182"/>
      <c r="D2638" s="182"/>
      <c r="E2638" s="182"/>
      <c r="F2638" s="168"/>
      <c r="G2638" s="168">
        <v>2635</v>
      </c>
      <c r="H2638" s="183">
        <f t="shared" ca="1" si="83"/>
        <v>-1.0389593441449642E-3</v>
      </c>
      <c r="K2638" s="36"/>
    </row>
    <row r="2639" spans="2:11">
      <c r="B2639" s="36"/>
      <c r="C2639" s="182"/>
      <c r="D2639" s="182"/>
      <c r="E2639" s="182"/>
      <c r="F2639" s="168"/>
      <c r="G2639" s="168">
        <v>2636</v>
      </c>
      <c r="H2639" s="183">
        <f t="shared" ca="1" si="83"/>
        <v>3.851174709564201E-3</v>
      </c>
      <c r="K2639" s="36"/>
    </row>
    <row r="2640" spans="2:11">
      <c r="B2640" s="36"/>
      <c r="C2640" s="182"/>
      <c r="D2640" s="182"/>
      <c r="E2640" s="182"/>
      <c r="F2640" s="168"/>
      <c r="G2640" s="168">
        <v>2637</v>
      </c>
      <c r="H2640" s="183">
        <f t="shared" ca="1" si="83"/>
        <v>1.7981018106222883E-2</v>
      </c>
      <c r="K2640" s="36"/>
    </row>
    <row r="2641" spans="2:11">
      <c r="B2641" s="36"/>
      <c r="C2641" s="182"/>
      <c r="D2641" s="182"/>
      <c r="E2641" s="182"/>
      <c r="F2641" s="168"/>
      <c r="G2641" s="168">
        <v>2638</v>
      </c>
      <c r="H2641" s="183">
        <f t="shared" ca="1" si="83"/>
        <v>1.0339697367067953E-2</v>
      </c>
      <c r="K2641" s="36"/>
    </row>
    <row r="2642" spans="2:11">
      <c r="B2642" s="36"/>
      <c r="C2642" s="182"/>
      <c r="D2642" s="182"/>
      <c r="E2642" s="182"/>
      <c r="F2642" s="168"/>
      <c r="G2642" s="168">
        <v>2639</v>
      </c>
      <c r="H2642" s="183">
        <f t="shared" ca="1" si="83"/>
        <v>1.0277762110916976E-2</v>
      </c>
      <c r="K2642" s="36"/>
    </row>
    <row r="2643" spans="2:11">
      <c r="B2643" s="36"/>
      <c r="C2643" s="182"/>
      <c r="D2643" s="182"/>
      <c r="E2643" s="182"/>
      <c r="F2643" s="168"/>
      <c r="G2643" s="168">
        <v>2640</v>
      </c>
      <c r="H2643" s="183">
        <f t="shared" ca="1" si="83"/>
        <v>1.9565500537900675E-2</v>
      </c>
      <c r="K2643" s="36"/>
    </row>
    <row r="2644" spans="2:11">
      <c r="B2644" s="36"/>
      <c r="C2644" s="182"/>
      <c r="D2644" s="182"/>
      <c r="E2644" s="182"/>
      <c r="F2644" s="168"/>
      <c r="G2644" s="168">
        <v>2641</v>
      </c>
      <c r="H2644" s="183">
        <f t="shared" ca="1" si="83"/>
        <v>3.9431421130754658E-3</v>
      </c>
      <c r="K2644" s="36"/>
    </row>
    <row r="2645" spans="2:11">
      <c r="B2645" s="36"/>
      <c r="C2645" s="182"/>
      <c r="D2645" s="182"/>
      <c r="E2645" s="182"/>
      <c r="F2645" s="168"/>
      <c r="G2645" s="168">
        <v>2642</v>
      </c>
      <c r="H2645" s="183">
        <f t="shared" ca="1" si="83"/>
        <v>1.9244269494214841E-2</v>
      </c>
      <c r="K2645" s="36"/>
    </row>
    <row r="2646" spans="2:11">
      <c r="B2646" s="36"/>
      <c r="C2646" s="182"/>
      <c r="D2646" s="182"/>
      <c r="E2646" s="182"/>
      <c r="F2646" s="168"/>
      <c r="G2646" s="168">
        <v>2643</v>
      </c>
      <c r="H2646" s="183">
        <f t="shared" ca="1" si="83"/>
        <v>1.1182706676057915E-2</v>
      </c>
      <c r="K2646" s="36"/>
    </row>
    <row r="2647" spans="2:11">
      <c r="B2647" s="36"/>
      <c r="C2647" s="182"/>
      <c r="D2647" s="182"/>
      <c r="E2647" s="182"/>
      <c r="F2647" s="168"/>
      <c r="G2647" s="168">
        <v>2644</v>
      </c>
      <c r="H2647" s="183">
        <f t="shared" ca="1" si="83"/>
        <v>1.7400817947938498E-2</v>
      </c>
      <c r="K2647" s="36"/>
    </row>
    <row r="2648" spans="2:11">
      <c r="B2648" s="36"/>
      <c r="C2648" s="182"/>
      <c r="D2648" s="182"/>
      <c r="E2648" s="182"/>
      <c r="F2648" s="168"/>
      <c r="G2648" s="168">
        <v>2645</v>
      </c>
      <c r="H2648" s="183">
        <f t="shared" ca="1" si="83"/>
        <v>-1.1334990430900332E-2</v>
      </c>
      <c r="K2648" s="36"/>
    </row>
    <row r="2649" spans="2:11">
      <c r="B2649" s="36"/>
      <c r="C2649" s="182"/>
      <c r="D2649" s="182"/>
      <c r="E2649" s="182"/>
      <c r="F2649" s="168"/>
      <c r="G2649" s="168">
        <v>2646</v>
      </c>
      <c r="H2649" s="183">
        <f t="shared" ca="1" si="83"/>
        <v>-5.5036069332372369E-5</v>
      </c>
      <c r="K2649" s="36"/>
    </row>
    <row r="2650" spans="2:11">
      <c r="B2650" s="36"/>
      <c r="C2650" s="182"/>
      <c r="D2650" s="182"/>
      <c r="E2650" s="182"/>
      <c r="F2650" s="168"/>
      <c r="G2650" s="168">
        <v>2647</v>
      </c>
      <c r="H2650" s="183">
        <f t="shared" ca="1" si="83"/>
        <v>1.3836246908686362E-2</v>
      </c>
      <c r="K2650" s="36"/>
    </row>
    <row r="2651" spans="2:11">
      <c r="B2651" s="36"/>
      <c r="C2651" s="182"/>
      <c r="D2651" s="182"/>
      <c r="E2651" s="182"/>
      <c r="F2651" s="168"/>
      <c r="G2651" s="168">
        <v>2648</v>
      </c>
      <c r="H2651" s="183">
        <f t="shared" ca="1" si="83"/>
        <v>-1.0578097663803434E-2</v>
      </c>
      <c r="K2651" s="36"/>
    </row>
    <row r="2652" spans="2:11">
      <c r="B2652" s="36"/>
      <c r="C2652" s="182"/>
      <c r="D2652" s="182"/>
      <c r="E2652" s="182"/>
      <c r="F2652" s="168"/>
      <c r="G2652" s="168">
        <v>2649</v>
      </c>
      <c r="H2652" s="183">
        <f t="shared" ca="1" si="83"/>
        <v>2.0750906470729184E-2</v>
      </c>
      <c r="K2652" s="36"/>
    </row>
    <row r="2653" spans="2:11">
      <c r="B2653" s="36"/>
      <c r="C2653" s="182"/>
      <c r="D2653" s="182"/>
      <c r="E2653" s="182"/>
      <c r="F2653" s="168"/>
      <c r="G2653" s="168">
        <v>2650</v>
      </c>
      <c r="H2653" s="183">
        <f t="shared" ca="1" si="83"/>
        <v>2.0294264795547187E-2</v>
      </c>
      <c r="K2653" s="36"/>
    </row>
    <row r="2654" spans="2:11">
      <c r="B2654" s="36"/>
      <c r="C2654" s="182"/>
      <c r="D2654" s="182"/>
      <c r="E2654" s="182"/>
      <c r="F2654" s="168"/>
      <c r="G2654" s="168">
        <v>2651</v>
      </c>
      <c r="H2654" s="183">
        <f t="shared" ca="1" si="83"/>
        <v>3.4694993865533553E-3</v>
      </c>
      <c r="K2654" s="36"/>
    </row>
    <row r="2655" spans="2:11">
      <c r="B2655" s="36"/>
      <c r="C2655" s="182"/>
      <c r="D2655" s="182"/>
      <c r="E2655" s="182"/>
      <c r="F2655" s="168"/>
      <c r="G2655" s="168">
        <v>2652</v>
      </c>
      <c r="H2655" s="183">
        <f t="shared" ca="1" si="83"/>
        <v>2.3666857667509079E-2</v>
      </c>
      <c r="K2655" s="36"/>
    </row>
    <row r="2656" spans="2:11">
      <c r="B2656" s="36"/>
      <c r="C2656" s="182"/>
      <c r="D2656" s="182"/>
      <c r="E2656" s="182"/>
      <c r="F2656" s="168"/>
      <c r="G2656" s="168">
        <v>2653</v>
      </c>
      <c r="H2656" s="183">
        <f t="shared" ca="1" si="83"/>
        <v>2.9671303158006548E-2</v>
      </c>
      <c r="K2656" s="36"/>
    </row>
    <row r="2657" spans="2:11">
      <c r="B2657" s="36"/>
      <c r="C2657" s="182"/>
      <c r="D2657" s="182"/>
      <c r="E2657" s="182"/>
      <c r="F2657" s="168"/>
      <c r="G2657" s="168">
        <v>2654</v>
      </c>
      <c r="H2657" s="183">
        <f t="shared" ca="1" si="83"/>
        <v>-1.0373007789957027E-3</v>
      </c>
      <c r="K2657" s="36"/>
    </row>
    <row r="2658" spans="2:11">
      <c r="B2658" s="36"/>
      <c r="C2658" s="182"/>
      <c r="D2658" s="182"/>
      <c r="E2658" s="182"/>
      <c r="F2658" s="168"/>
      <c r="G2658" s="168">
        <v>2655</v>
      </c>
      <c r="H2658" s="183">
        <f t="shared" ca="1" si="83"/>
        <v>-4.3341995137800649E-3</v>
      </c>
      <c r="K2658" s="36"/>
    </row>
    <row r="2659" spans="2:11">
      <c r="B2659" s="36"/>
      <c r="C2659" s="182"/>
      <c r="D2659" s="182"/>
      <c r="E2659" s="182"/>
      <c r="F2659" s="168"/>
      <c r="G2659" s="168">
        <v>2656</v>
      </c>
      <c r="H2659" s="183">
        <f t="shared" ca="1" si="83"/>
        <v>6.3379768120875018E-4</v>
      </c>
      <c r="K2659" s="36"/>
    </row>
    <row r="2660" spans="2:11">
      <c r="B2660" s="36"/>
      <c r="C2660" s="182"/>
      <c r="D2660" s="182"/>
      <c r="E2660" s="182"/>
      <c r="F2660" s="168"/>
      <c r="G2660" s="168">
        <v>2657</v>
      </c>
      <c r="H2660" s="183">
        <f t="shared" ca="1" si="83"/>
        <v>7.2843503624383651E-3</v>
      </c>
      <c r="K2660" s="36"/>
    </row>
    <row r="2661" spans="2:11">
      <c r="B2661" s="36"/>
      <c r="C2661" s="182"/>
      <c r="D2661" s="182"/>
      <c r="E2661" s="182"/>
      <c r="F2661" s="168"/>
      <c r="G2661" s="168">
        <v>2658</v>
      </c>
      <c r="H2661" s="183">
        <f t="shared" ca="1" si="83"/>
        <v>2.6746203263883665E-2</v>
      </c>
      <c r="K2661" s="36"/>
    </row>
    <row r="2662" spans="2:11">
      <c r="B2662" s="36"/>
      <c r="C2662" s="182"/>
      <c r="D2662" s="182"/>
      <c r="E2662" s="182"/>
      <c r="F2662" s="168"/>
      <c r="G2662" s="168">
        <v>2659</v>
      </c>
      <c r="H2662" s="183">
        <f t="shared" ca="1" si="83"/>
        <v>8.856586656277813E-3</v>
      </c>
      <c r="K2662" s="36"/>
    </row>
    <row r="2663" spans="2:11">
      <c r="B2663" s="36"/>
      <c r="C2663" s="182"/>
      <c r="D2663" s="182"/>
      <c r="E2663" s="182"/>
      <c r="F2663" s="168"/>
      <c r="G2663" s="168">
        <v>2660</v>
      </c>
      <c r="H2663" s="183">
        <f t="shared" ca="1" si="83"/>
        <v>5.4224187687286268E-4</v>
      </c>
      <c r="K2663" s="36"/>
    </row>
    <row r="2664" spans="2:11">
      <c r="B2664" s="36"/>
      <c r="C2664" s="182"/>
      <c r="D2664" s="182"/>
      <c r="E2664" s="182"/>
      <c r="F2664" s="168"/>
      <c r="G2664" s="168">
        <v>2661</v>
      </c>
      <c r="H2664" s="183">
        <f t="shared" ca="1" si="83"/>
        <v>2.0257543916079191E-3</v>
      </c>
      <c r="K2664" s="36"/>
    </row>
    <row r="2665" spans="2:11">
      <c r="B2665" s="36"/>
      <c r="C2665" s="182"/>
      <c r="D2665" s="182"/>
      <c r="E2665" s="182"/>
      <c r="F2665" s="168"/>
      <c r="G2665" s="168">
        <v>2662</v>
      </c>
      <c r="H2665" s="183">
        <f t="shared" ca="1" si="83"/>
        <v>5.5037753185642E-3</v>
      </c>
      <c r="K2665" s="36"/>
    </row>
    <row r="2666" spans="2:11">
      <c r="B2666" s="36"/>
      <c r="C2666" s="182"/>
      <c r="D2666" s="182"/>
      <c r="E2666" s="182"/>
      <c r="F2666" s="168"/>
      <c r="G2666" s="168">
        <v>2663</v>
      </c>
      <c r="H2666" s="183">
        <f t="shared" ca="1" si="83"/>
        <v>-6.6274373520658044E-3</v>
      </c>
      <c r="K2666" s="36"/>
    </row>
    <row r="2667" spans="2:11">
      <c r="B2667" s="36"/>
      <c r="C2667" s="182"/>
      <c r="D2667" s="182"/>
      <c r="E2667" s="182"/>
      <c r="F2667" s="168"/>
      <c r="G2667" s="168">
        <v>2664</v>
      </c>
      <c r="H2667" s="183">
        <f t="shared" ca="1" si="83"/>
        <v>1.0664235894306373E-2</v>
      </c>
      <c r="K2667" s="36"/>
    </row>
    <row r="2668" spans="2:11">
      <c r="B2668" s="36"/>
      <c r="C2668" s="182"/>
      <c r="D2668" s="182"/>
      <c r="E2668" s="182"/>
      <c r="F2668" s="168"/>
      <c r="G2668" s="168">
        <v>2665</v>
      </c>
      <c r="H2668" s="183">
        <f t="shared" ca="1" si="83"/>
        <v>-1.6288645252216592E-2</v>
      </c>
      <c r="K2668" s="36"/>
    </row>
    <row r="2669" spans="2:11">
      <c r="B2669" s="36"/>
      <c r="C2669" s="182"/>
      <c r="D2669" s="182"/>
      <c r="E2669" s="182"/>
      <c r="F2669" s="168"/>
      <c r="G2669" s="168">
        <v>2666</v>
      </c>
      <c r="H2669" s="183">
        <f t="shared" ca="1" si="83"/>
        <v>-3.130351094574259E-4</v>
      </c>
      <c r="K2669" s="36"/>
    </row>
    <row r="2670" spans="2:11">
      <c r="B2670" s="36"/>
      <c r="C2670" s="182"/>
      <c r="D2670" s="182"/>
      <c r="E2670" s="182"/>
      <c r="F2670" s="168"/>
      <c r="G2670" s="168">
        <v>2667</v>
      </c>
      <c r="H2670" s="183">
        <f t="shared" ca="1" si="83"/>
        <v>-6.5797039966255305E-3</v>
      </c>
      <c r="K2670" s="36"/>
    </row>
    <row r="2671" spans="2:11">
      <c r="B2671" s="36"/>
      <c r="C2671" s="182"/>
      <c r="D2671" s="182"/>
      <c r="E2671" s="182"/>
      <c r="F2671" s="168"/>
      <c r="G2671" s="168">
        <v>2668</v>
      </c>
      <c r="H2671" s="183">
        <f t="shared" ca="1" si="83"/>
        <v>7.953747294966701E-3</v>
      </c>
      <c r="K2671" s="36"/>
    </row>
    <row r="2672" spans="2:11">
      <c r="B2672" s="36"/>
      <c r="C2672" s="182"/>
      <c r="D2672" s="182"/>
      <c r="E2672" s="182"/>
      <c r="F2672" s="168"/>
      <c r="G2672" s="168">
        <v>2669</v>
      </c>
      <c r="H2672" s="183">
        <f t="shared" ca="1" si="83"/>
        <v>1.3035973596251235E-2</v>
      </c>
      <c r="K2672" s="36"/>
    </row>
    <row r="2673" spans="2:11">
      <c r="B2673" s="36"/>
      <c r="C2673" s="182"/>
      <c r="D2673" s="182"/>
      <c r="E2673" s="182"/>
      <c r="F2673" s="168"/>
      <c r="G2673" s="168">
        <v>2670</v>
      </c>
      <c r="H2673" s="183">
        <f t="shared" ca="1" si="83"/>
        <v>2.053648503003761E-4</v>
      </c>
      <c r="K2673" s="36"/>
    </row>
    <row r="2674" spans="2:11">
      <c r="B2674" s="36"/>
      <c r="C2674" s="182"/>
      <c r="D2674" s="182"/>
      <c r="E2674" s="182"/>
      <c r="F2674" s="168"/>
      <c r="G2674" s="168">
        <v>2671</v>
      </c>
      <c r="H2674" s="183">
        <f t="shared" ca="1" si="83"/>
        <v>1.0251271107256058E-2</v>
      </c>
      <c r="K2674" s="36"/>
    </row>
    <row r="2675" spans="2:11">
      <c r="B2675" s="36"/>
      <c r="C2675" s="182"/>
      <c r="D2675" s="182"/>
      <c r="E2675" s="182"/>
      <c r="F2675" s="168"/>
      <c r="G2675" s="168">
        <v>2672</v>
      </c>
      <c r="H2675" s="183">
        <f t="shared" ca="1" si="83"/>
        <v>-2.3298060392686722E-2</v>
      </c>
      <c r="K2675" s="36"/>
    </row>
    <row r="2676" spans="2:11">
      <c r="B2676" s="36"/>
      <c r="C2676" s="182"/>
      <c r="D2676" s="182"/>
      <c r="E2676" s="182"/>
      <c r="F2676" s="168"/>
      <c r="G2676" s="168">
        <v>2673</v>
      </c>
      <c r="H2676" s="183">
        <f t="shared" ca="1" si="83"/>
        <v>-6.5487664086741337E-4</v>
      </c>
      <c r="K2676" s="36"/>
    </row>
    <row r="2677" spans="2:11">
      <c r="B2677" s="36"/>
      <c r="C2677" s="182"/>
      <c r="D2677" s="182"/>
      <c r="E2677" s="182"/>
      <c r="F2677" s="168"/>
      <c r="G2677" s="168">
        <v>2674</v>
      </c>
      <c r="H2677" s="183">
        <f t="shared" ca="1" si="83"/>
        <v>1.1028215291925703E-2</v>
      </c>
      <c r="K2677" s="36"/>
    </row>
    <row r="2678" spans="2:11">
      <c r="B2678" s="36"/>
      <c r="C2678" s="182"/>
      <c r="D2678" s="182"/>
      <c r="E2678" s="182"/>
      <c r="F2678" s="168"/>
      <c r="G2678" s="168">
        <v>2675</v>
      </c>
      <c r="H2678" s="183">
        <f t="shared" ca="1" si="83"/>
        <v>4.666863552466872E-3</v>
      </c>
      <c r="K2678" s="36"/>
    </row>
    <row r="2679" spans="2:11">
      <c r="B2679" s="36"/>
      <c r="C2679" s="182"/>
      <c r="D2679" s="182"/>
      <c r="E2679" s="182"/>
      <c r="F2679" s="168"/>
      <c r="G2679" s="168">
        <v>2676</v>
      </c>
      <c r="H2679" s="183">
        <f t="shared" ca="1" si="83"/>
        <v>5.0224812138294217E-3</v>
      </c>
      <c r="K2679" s="36"/>
    </row>
    <row r="2680" spans="2:11">
      <c r="B2680" s="36"/>
      <c r="C2680" s="182"/>
      <c r="D2680" s="182"/>
      <c r="E2680" s="182"/>
      <c r="F2680" s="168"/>
      <c r="G2680" s="168">
        <v>2677</v>
      </c>
      <c r="H2680" s="183">
        <f t="shared" ca="1" si="83"/>
        <v>1.8015781288923478E-3</v>
      </c>
      <c r="K2680" s="36"/>
    </row>
    <row r="2681" spans="2:11">
      <c r="B2681" s="36"/>
      <c r="C2681" s="182"/>
      <c r="D2681" s="182"/>
      <c r="E2681" s="182"/>
      <c r="F2681" s="168"/>
      <c r="G2681" s="168">
        <v>2678</v>
      </c>
      <c r="H2681" s="183">
        <f t="shared" ca="1" si="83"/>
        <v>-5.5742760856455119E-3</v>
      </c>
      <c r="K2681" s="36"/>
    </row>
    <row r="2682" spans="2:11">
      <c r="B2682" s="36"/>
      <c r="C2682" s="182"/>
      <c r="D2682" s="182"/>
      <c r="E2682" s="182"/>
      <c r="F2682" s="168"/>
      <c r="G2682" s="168">
        <v>2679</v>
      </c>
      <c r="H2682" s="183">
        <f t="shared" ca="1" si="83"/>
        <v>1.4746655156696299E-2</v>
      </c>
      <c r="K2682" s="36"/>
    </row>
    <row r="2683" spans="2:11">
      <c r="B2683" s="36"/>
      <c r="C2683" s="182"/>
      <c r="D2683" s="182"/>
      <c r="E2683" s="182"/>
      <c r="F2683" s="168"/>
      <c r="G2683" s="168">
        <v>2680</v>
      </c>
      <c r="H2683" s="183">
        <f t="shared" ca="1" si="83"/>
        <v>-1.2559935109551269E-2</v>
      </c>
      <c r="K2683" s="36"/>
    </row>
    <row r="2684" spans="2:11">
      <c r="B2684" s="36"/>
      <c r="C2684" s="182"/>
      <c r="D2684" s="182"/>
      <c r="E2684" s="182"/>
      <c r="F2684" s="168"/>
      <c r="G2684" s="168">
        <v>2681</v>
      </c>
      <c r="H2684" s="183">
        <f t="shared" ca="1" si="83"/>
        <v>2.5596937698433766E-3</v>
      </c>
      <c r="K2684" s="36"/>
    </row>
    <row r="2685" spans="2:11">
      <c r="B2685" s="36"/>
      <c r="C2685" s="182"/>
      <c r="D2685" s="182"/>
      <c r="E2685" s="182"/>
      <c r="F2685" s="168"/>
      <c r="G2685" s="168">
        <v>2682</v>
      </c>
      <c r="H2685" s="183">
        <f t="shared" ca="1" si="83"/>
        <v>-1.3715180770317005E-2</v>
      </c>
      <c r="K2685" s="36"/>
    </row>
    <row r="2686" spans="2:11">
      <c r="B2686" s="36"/>
      <c r="C2686" s="182"/>
      <c r="D2686" s="182"/>
      <c r="E2686" s="182"/>
      <c r="F2686" s="168"/>
      <c r="G2686" s="168">
        <v>2683</v>
      </c>
      <c r="H2686" s="183">
        <f t="shared" ca="1" si="83"/>
        <v>-8.840809162545385E-3</v>
      </c>
      <c r="K2686" s="36"/>
    </row>
    <row r="2687" spans="2:11">
      <c r="B2687" s="36"/>
      <c r="C2687" s="182"/>
      <c r="D2687" s="182"/>
      <c r="E2687" s="182"/>
      <c r="F2687" s="168"/>
      <c r="G2687" s="168">
        <v>2684</v>
      </c>
      <c r="H2687" s="183">
        <f t="shared" ca="1" si="83"/>
        <v>1.3492915412446189E-2</v>
      </c>
      <c r="K2687" s="36"/>
    </row>
    <row r="2688" spans="2:11">
      <c r="B2688" s="36"/>
      <c r="C2688" s="182"/>
      <c r="D2688" s="182"/>
      <c r="E2688" s="182"/>
      <c r="F2688" s="168"/>
      <c r="G2688" s="168">
        <v>2685</v>
      </c>
      <c r="H2688" s="183">
        <f t="shared" ca="1" si="83"/>
        <v>2.2984868767334271E-2</v>
      </c>
      <c r="K2688" s="36"/>
    </row>
    <row r="2689" spans="2:11">
      <c r="B2689" s="36"/>
      <c r="C2689" s="182"/>
      <c r="D2689" s="182"/>
      <c r="E2689" s="182"/>
      <c r="F2689" s="168"/>
      <c r="G2689" s="168">
        <v>2686</v>
      </c>
      <c r="H2689" s="183">
        <f t="shared" ca="1" si="83"/>
        <v>-8.3519475643038903E-3</v>
      </c>
      <c r="K2689" s="36"/>
    </row>
    <row r="2690" spans="2:11">
      <c r="B2690" s="36"/>
      <c r="C2690" s="182"/>
      <c r="D2690" s="182"/>
      <c r="E2690" s="182"/>
      <c r="F2690" s="168"/>
      <c r="G2690" s="168">
        <v>2687</v>
      </c>
      <c r="H2690" s="183">
        <f t="shared" ca="1" si="83"/>
        <v>-3.2018052723557389E-3</v>
      </c>
      <c r="K2690" s="36"/>
    </row>
    <row r="2691" spans="2:11">
      <c r="B2691" s="36"/>
      <c r="C2691" s="182"/>
      <c r="D2691" s="182"/>
      <c r="E2691" s="182"/>
      <c r="F2691" s="168"/>
      <c r="G2691" s="168">
        <v>2688</v>
      </c>
      <c r="H2691" s="183">
        <f t="shared" ca="1" si="83"/>
        <v>-3.0972128130962407E-3</v>
      </c>
      <c r="K2691" s="36"/>
    </row>
    <row r="2692" spans="2:11">
      <c r="B2692" s="36"/>
      <c r="C2692" s="182"/>
      <c r="D2692" s="182"/>
      <c r="E2692" s="182"/>
      <c r="F2692" s="168"/>
      <c r="G2692" s="168">
        <v>2689</v>
      </c>
      <c r="H2692" s="183">
        <f t="shared" ca="1" si="83"/>
        <v>1.2429133963538536E-2</v>
      </c>
      <c r="K2692" s="36"/>
    </row>
    <row r="2693" spans="2:11">
      <c r="B2693" s="36"/>
      <c r="C2693" s="182"/>
      <c r="D2693" s="182"/>
      <c r="E2693" s="182"/>
      <c r="F2693" s="168"/>
      <c r="G2693" s="168">
        <v>2690</v>
      </c>
      <c r="H2693" s="183">
        <f t="shared" ref="H2693:H2756" ca="1" si="84">_xlfn.NORM.INV(RAND(),N$6,N$7)</f>
        <v>3.7298386815205016E-3</v>
      </c>
      <c r="K2693" s="36"/>
    </row>
    <row r="2694" spans="2:11">
      <c r="B2694" s="36"/>
      <c r="C2694" s="182"/>
      <c r="D2694" s="182"/>
      <c r="E2694" s="182"/>
      <c r="F2694" s="168"/>
      <c r="G2694" s="168">
        <v>2691</v>
      </c>
      <c r="H2694" s="183">
        <f t="shared" ca="1" si="84"/>
        <v>-1.1744574483325731E-2</v>
      </c>
      <c r="K2694" s="36"/>
    </row>
    <row r="2695" spans="2:11">
      <c r="B2695" s="36"/>
      <c r="C2695" s="182"/>
      <c r="D2695" s="182"/>
      <c r="E2695" s="182"/>
      <c r="F2695" s="168"/>
      <c r="G2695" s="168">
        <v>2692</v>
      </c>
      <c r="H2695" s="183">
        <f t="shared" ca="1" si="84"/>
        <v>1.7620475519469641E-2</v>
      </c>
      <c r="K2695" s="36"/>
    </row>
    <row r="2696" spans="2:11">
      <c r="B2696" s="36"/>
      <c r="C2696" s="182"/>
      <c r="D2696" s="182"/>
      <c r="E2696" s="182"/>
      <c r="F2696" s="168"/>
      <c r="G2696" s="168">
        <v>2693</v>
      </c>
      <c r="H2696" s="183">
        <f t="shared" ca="1" si="84"/>
        <v>8.4307777951113522E-3</v>
      </c>
      <c r="K2696" s="36"/>
    </row>
    <row r="2697" spans="2:11">
      <c r="B2697" s="36"/>
      <c r="C2697" s="182"/>
      <c r="D2697" s="182"/>
      <c r="E2697" s="182"/>
      <c r="F2697" s="168"/>
      <c r="G2697" s="168">
        <v>2694</v>
      </c>
      <c r="H2697" s="183">
        <f t="shared" ca="1" si="84"/>
        <v>1.54032103001208E-2</v>
      </c>
      <c r="K2697" s="36"/>
    </row>
    <row r="2698" spans="2:11">
      <c r="B2698" s="36"/>
      <c r="C2698" s="182"/>
      <c r="D2698" s="182"/>
      <c r="E2698" s="182"/>
      <c r="F2698" s="168"/>
      <c r="G2698" s="168">
        <v>2695</v>
      </c>
      <c r="H2698" s="183">
        <f t="shared" ca="1" si="84"/>
        <v>3.2477483022089462E-3</v>
      </c>
      <c r="K2698" s="36"/>
    </row>
    <row r="2699" spans="2:11">
      <c r="B2699" s="36"/>
      <c r="C2699" s="182"/>
      <c r="D2699" s="182"/>
      <c r="E2699" s="182"/>
      <c r="F2699" s="168"/>
      <c r="G2699" s="168">
        <v>2696</v>
      </c>
      <c r="H2699" s="183">
        <f t="shared" ca="1" si="84"/>
        <v>4.5480071947475911E-3</v>
      </c>
      <c r="K2699" s="36"/>
    </row>
    <row r="2700" spans="2:11">
      <c r="B2700" s="36"/>
      <c r="C2700" s="182"/>
      <c r="D2700" s="182"/>
      <c r="E2700" s="182"/>
      <c r="F2700" s="168"/>
      <c r="G2700" s="168">
        <v>2697</v>
      </c>
      <c r="H2700" s="183">
        <f t="shared" ca="1" si="84"/>
        <v>2.1769986641816423E-3</v>
      </c>
      <c r="K2700" s="36"/>
    </row>
    <row r="2701" spans="2:11">
      <c r="B2701" s="36"/>
      <c r="C2701" s="182"/>
      <c r="D2701" s="182"/>
      <c r="E2701" s="182"/>
      <c r="F2701" s="168"/>
      <c r="G2701" s="168">
        <v>2698</v>
      </c>
      <c r="H2701" s="183">
        <f t="shared" ca="1" si="84"/>
        <v>-1.1453488780914293E-2</v>
      </c>
      <c r="K2701" s="36"/>
    </row>
    <row r="2702" spans="2:11">
      <c r="B2702" s="36"/>
      <c r="C2702" s="182"/>
      <c r="D2702" s="182"/>
      <c r="E2702" s="182"/>
      <c r="F2702" s="168"/>
      <c r="G2702" s="168">
        <v>2699</v>
      </c>
      <c r="H2702" s="183">
        <f t="shared" ca="1" si="84"/>
        <v>-5.0173712881313353E-3</v>
      </c>
      <c r="K2702" s="36"/>
    </row>
    <row r="2703" spans="2:11">
      <c r="B2703" s="36"/>
      <c r="C2703" s="182"/>
      <c r="D2703" s="182"/>
      <c r="E2703" s="182"/>
      <c r="F2703" s="168"/>
      <c r="G2703" s="168">
        <v>2700</v>
      </c>
      <c r="H2703" s="183">
        <f t="shared" ca="1" si="84"/>
        <v>-1.6503716085868852E-3</v>
      </c>
      <c r="K2703" s="36"/>
    </row>
    <row r="2704" spans="2:11">
      <c r="B2704" s="36"/>
      <c r="C2704" s="182"/>
      <c r="D2704" s="182"/>
      <c r="E2704" s="182"/>
      <c r="F2704" s="168"/>
      <c r="G2704" s="168">
        <v>2701</v>
      </c>
      <c r="H2704" s="183">
        <f t="shared" ca="1" si="84"/>
        <v>1.3464944871819051E-2</v>
      </c>
      <c r="K2704" s="36"/>
    </row>
    <row r="2705" spans="2:11">
      <c r="B2705" s="36"/>
      <c r="C2705" s="182"/>
      <c r="D2705" s="182"/>
      <c r="E2705" s="182"/>
      <c r="F2705" s="168"/>
      <c r="G2705" s="168">
        <v>2702</v>
      </c>
      <c r="H2705" s="183">
        <f t="shared" ca="1" si="84"/>
        <v>8.6394680373569482E-3</v>
      </c>
      <c r="K2705" s="36"/>
    </row>
    <row r="2706" spans="2:11">
      <c r="B2706" s="36"/>
      <c r="C2706" s="182"/>
      <c r="D2706" s="182"/>
      <c r="E2706" s="182"/>
      <c r="F2706" s="168"/>
      <c r="G2706" s="168">
        <v>2703</v>
      </c>
      <c r="H2706" s="183">
        <f t="shared" ca="1" si="84"/>
        <v>-1.7351238959810472E-2</v>
      </c>
      <c r="K2706" s="36"/>
    </row>
    <row r="2707" spans="2:11">
      <c r="B2707" s="36"/>
      <c r="C2707" s="182"/>
      <c r="D2707" s="182"/>
      <c r="E2707" s="182"/>
      <c r="F2707" s="168"/>
      <c r="G2707" s="168">
        <v>2704</v>
      </c>
      <c r="H2707" s="183">
        <f t="shared" ca="1" si="84"/>
        <v>2.2451118631647927E-2</v>
      </c>
      <c r="K2707" s="36"/>
    </row>
    <row r="2708" spans="2:11">
      <c r="B2708" s="36"/>
      <c r="C2708" s="182"/>
      <c r="D2708" s="182"/>
      <c r="E2708" s="182"/>
      <c r="F2708" s="168"/>
      <c r="G2708" s="168">
        <v>2705</v>
      </c>
      <c r="H2708" s="183">
        <f t="shared" ca="1" si="84"/>
        <v>1.8874075013163457E-2</v>
      </c>
      <c r="K2708" s="36"/>
    </row>
    <row r="2709" spans="2:11">
      <c r="B2709" s="36"/>
      <c r="C2709" s="182"/>
      <c r="D2709" s="182"/>
      <c r="E2709" s="182"/>
      <c r="F2709" s="168"/>
      <c r="G2709" s="168">
        <v>2706</v>
      </c>
      <c r="H2709" s="183">
        <f t="shared" ca="1" si="84"/>
        <v>4.9972774213498808E-3</v>
      </c>
      <c r="K2709" s="36"/>
    </row>
    <row r="2710" spans="2:11">
      <c r="B2710" s="36"/>
      <c r="C2710" s="182"/>
      <c r="D2710" s="182"/>
      <c r="E2710" s="182"/>
      <c r="F2710" s="168"/>
      <c r="G2710" s="168">
        <v>2707</v>
      </c>
      <c r="H2710" s="183">
        <f t="shared" ca="1" si="84"/>
        <v>8.488796656655747E-3</v>
      </c>
      <c r="K2710" s="36"/>
    </row>
    <row r="2711" spans="2:11">
      <c r="B2711" s="36"/>
      <c r="C2711" s="182"/>
      <c r="D2711" s="182"/>
      <c r="E2711" s="182"/>
      <c r="F2711" s="168"/>
      <c r="G2711" s="168">
        <v>2708</v>
      </c>
      <c r="H2711" s="183">
        <f t="shared" ca="1" si="84"/>
        <v>-1.2402195960866457E-2</v>
      </c>
      <c r="K2711" s="36"/>
    </row>
    <row r="2712" spans="2:11">
      <c r="B2712" s="36"/>
      <c r="C2712" s="182"/>
      <c r="D2712" s="182"/>
      <c r="E2712" s="182"/>
      <c r="F2712" s="168"/>
      <c r="G2712" s="168">
        <v>2709</v>
      </c>
      <c r="H2712" s="183">
        <f t="shared" ca="1" si="84"/>
        <v>-6.2028554640012994E-4</v>
      </c>
      <c r="K2712" s="36"/>
    </row>
    <row r="2713" spans="2:11">
      <c r="B2713" s="36"/>
      <c r="C2713" s="182"/>
      <c r="D2713" s="182"/>
      <c r="E2713" s="182"/>
      <c r="F2713" s="168"/>
      <c r="G2713" s="168">
        <v>2710</v>
      </c>
      <c r="H2713" s="183">
        <f t="shared" ca="1" si="84"/>
        <v>5.9291744052406281E-3</v>
      </c>
      <c r="K2713" s="36"/>
    </row>
    <row r="2714" spans="2:11">
      <c r="B2714" s="36"/>
      <c r="C2714" s="182"/>
      <c r="D2714" s="182"/>
      <c r="E2714" s="182"/>
      <c r="F2714" s="168"/>
      <c r="G2714" s="168">
        <v>2711</v>
      </c>
      <c r="H2714" s="183">
        <f t="shared" ca="1" si="84"/>
        <v>-2.1636239750905551E-3</v>
      </c>
      <c r="K2714" s="36"/>
    </row>
    <row r="2715" spans="2:11">
      <c r="B2715" s="36"/>
      <c r="C2715" s="182"/>
      <c r="D2715" s="182"/>
      <c r="E2715" s="182"/>
      <c r="F2715" s="168"/>
      <c r="G2715" s="168">
        <v>2712</v>
      </c>
      <c r="H2715" s="183">
        <f t="shared" ca="1" si="84"/>
        <v>1.4003397982921748E-2</v>
      </c>
      <c r="K2715" s="36"/>
    </row>
    <row r="2716" spans="2:11">
      <c r="B2716" s="36"/>
      <c r="C2716" s="182"/>
      <c r="D2716" s="182"/>
      <c r="E2716" s="182"/>
      <c r="F2716" s="168"/>
      <c r="G2716" s="168">
        <v>2713</v>
      </c>
      <c r="H2716" s="183">
        <f t="shared" ca="1" si="84"/>
        <v>-5.1525836041937364E-3</v>
      </c>
      <c r="K2716" s="36"/>
    </row>
    <row r="2717" spans="2:11">
      <c r="B2717" s="36"/>
      <c r="C2717" s="182"/>
      <c r="D2717" s="182"/>
      <c r="E2717" s="182"/>
      <c r="F2717" s="168"/>
      <c r="G2717" s="168">
        <v>2714</v>
      </c>
      <c r="H2717" s="183">
        <f t="shared" ca="1" si="84"/>
        <v>1.7049283503294592E-2</v>
      </c>
      <c r="K2717" s="36"/>
    </row>
    <row r="2718" spans="2:11">
      <c r="B2718" s="36"/>
      <c r="C2718" s="182"/>
      <c r="D2718" s="182"/>
      <c r="E2718" s="182"/>
      <c r="F2718" s="168"/>
      <c r="G2718" s="168">
        <v>2715</v>
      </c>
      <c r="H2718" s="183">
        <f t="shared" ca="1" si="84"/>
        <v>8.0033179599581852E-3</v>
      </c>
      <c r="K2718" s="36"/>
    </row>
    <row r="2719" spans="2:11">
      <c r="B2719" s="36"/>
      <c r="C2719" s="182"/>
      <c r="D2719" s="182"/>
      <c r="E2719" s="182"/>
      <c r="F2719" s="168"/>
      <c r="G2719" s="168">
        <v>2716</v>
      </c>
      <c r="H2719" s="183">
        <f t="shared" ca="1" si="84"/>
        <v>-1.8413249102552591E-2</v>
      </c>
      <c r="K2719" s="36"/>
    </row>
    <row r="2720" spans="2:11">
      <c r="B2720" s="36"/>
      <c r="C2720" s="182"/>
      <c r="D2720" s="182"/>
      <c r="E2720" s="182"/>
      <c r="F2720" s="168"/>
      <c r="G2720" s="168">
        <v>2717</v>
      </c>
      <c r="H2720" s="183">
        <f t="shared" ca="1" si="84"/>
        <v>2.2113130488473635E-2</v>
      </c>
      <c r="K2720" s="36"/>
    </row>
    <row r="2721" spans="2:11">
      <c r="B2721" s="36"/>
      <c r="C2721" s="182"/>
      <c r="D2721" s="182"/>
      <c r="E2721" s="182"/>
      <c r="F2721" s="168"/>
      <c r="G2721" s="168">
        <v>2718</v>
      </c>
      <c r="H2721" s="183">
        <f t="shared" ca="1" si="84"/>
        <v>1.7807812002267227E-2</v>
      </c>
      <c r="K2721" s="36"/>
    </row>
    <row r="2722" spans="2:11">
      <c r="B2722" s="36"/>
      <c r="C2722" s="182"/>
      <c r="D2722" s="182"/>
      <c r="E2722" s="182"/>
      <c r="F2722" s="168"/>
      <c r="G2722" s="168">
        <v>2719</v>
      </c>
      <c r="H2722" s="183">
        <f t="shared" ca="1" si="84"/>
        <v>-9.6004999669913639E-3</v>
      </c>
      <c r="K2722" s="36"/>
    </row>
    <row r="2723" spans="2:11">
      <c r="B2723" s="36"/>
      <c r="C2723" s="182"/>
      <c r="D2723" s="182"/>
      <c r="E2723" s="182"/>
      <c r="F2723" s="168"/>
      <c r="G2723" s="168">
        <v>2720</v>
      </c>
      <c r="H2723" s="183">
        <f t="shared" ca="1" si="84"/>
        <v>1.0640393439103266E-2</v>
      </c>
      <c r="K2723" s="36"/>
    </row>
    <row r="2724" spans="2:11">
      <c r="B2724" s="36"/>
      <c r="C2724" s="182"/>
      <c r="D2724" s="182"/>
      <c r="E2724" s="182"/>
      <c r="F2724" s="168"/>
      <c r="G2724" s="168">
        <v>2721</v>
      </c>
      <c r="H2724" s="183">
        <f t="shared" ca="1" si="84"/>
        <v>9.4336250100703501E-3</v>
      </c>
      <c r="K2724" s="36"/>
    </row>
    <row r="2725" spans="2:11">
      <c r="B2725" s="36"/>
      <c r="C2725" s="182"/>
      <c r="D2725" s="182"/>
      <c r="E2725" s="182"/>
      <c r="F2725" s="168"/>
      <c r="G2725" s="168">
        <v>2722</v>
      </c>
      <c r="H2725" s="183">
        <f t="shared" ca="1" si="84"/>
        <v>3.3298602251083868E-3</v>
      </c>
      <c r="K2725" s="36"/>
    </row>
    <row r="2726" spans="2:11">
      <c r="B2726" s="36"/>
      <c r="C2726" s="182"/>
      <c r="D2726" s="182"/>
      <c r="E2726" s="182"/>
      <c r="F2726" s="168"/>
      <c r="G2726" s="168">
        <v>2723</v>
      </c>
      <c r="H2726" s="183">
        <f t="shared" ca="1" si="84"/>
        <v>-6.013739007869264E-3</v>
      </c>
      <c r="K2726" s="36"/>
    </row>
    <row r="2727" spans="2:11">
      <c r="B2727" s="36"/>
      <c r="C2727" s="182"/>
      <c r="D2727" s="182"/>
      <c r="E2727" s="182"/>
      <c r="F2727" s="168"/>
      <c r="G2727" s="168">
        <v>2724</v>
      </c>
      <c r="H2727" s="183">
        <f t="shared" ca="1" si="84"/>
        <v>-1.237323765574979E-2</v>
      </c>
      <c r="K2727" s="36"/>
    </row>
    <row r="2728" spans="2:11">
      <c r="B2728" s="36"/>
      <c r="C2728" s="182"/>
      <c r="D2728" s="182"/>
      <c r="E2728" s="182"/>
      <c r="F2728" s="168"/>
      <c r="G2728" s="168">
        <v>2725</v>
      </c>
      <c r="H2728" s="183">
        <f t="shared" ca="1" si="84"/>
        <v>-9.3890579131934958E-3</v>
      </c>
      <c r="K2728" s="36"/>
    </row>
    <row r="2729" spans="2:11">
      <c r="B2729" s="36"/>
      <c r="C2729" s="182"/>
      <c r="D2729" s="182"/>
      <c r="E2729" s="182"/>
      <c r="F2729" s="168"/>
      <c r="G2729" s="168">
        <v>2726</v>
      </c>
      <c r="H2729" s="183">
        <f t="shared" ca="1" si="84"/>
        <v>1.5167179642564439E-2</v>
      </c>
      <c r="K2729" s="36"/>
    </row>
    <row r="2730" spans="2:11">
      <c r="B2730" s="36"/>
      <c r="C2730" s="182"/>
      <c r="D2730" s="182"/>
      <c r="E2730" s="182"/>
      <c r="F2730" s="168"/>
      <c r="G2730" s="168">
        <v>2727</v>
      </c>
      <c r="H2730" s="183">
        <f t="shared" ca="1" si="84"/>
        <v>-1.0793196560068215E-2</v>
      </c>
      <c r="K2730" s="36"/>
    </row>
    <row r="2731" spans="2:11">
      <c r="B2731" s="36"/>
      <c r="C2731" s="182"/>
      <c r="D2731" s="182"/>
      <c r="E2731" s="182"/>
      <c r="F2731" s="168"/>
      <c r="G2731" s="168">
        <v>2728</v>
      </c>
      <c r="H2731" s="183">
        <f t="shared" ca="1" si="84"/>
        <v>-2.9672813686517025E-3</v>
      </c>
      <c r="K2731" s="36"/>
    </row>
    <row r="2732" spans="2:11">
      <c r="B2732" s="36"/>
      <c r="C2732" s="182"/>
      <c r="D2732" s="182"/>
      <c r="E2732" s="182"/>
      <c r="F2732" s="168"/>
      <c r="G2732" s="168">
        <v>2729</v>
      </c>
      <c r="H2732" s="183">
        <f t="shared" ca="1" si="84"/>
        <v>-1.6411256644677255E-2</v>
      </c>
      <c r="K2732" s="36"/>
    </row>
    <row r="2733" spans="2:11">
      <c r="B2733" s="36"/>
      <c r="C2733" s="182"/>
      <c r="D2733" s="182"/>
      <c r="E2733" s="182"/>
      <c r="F2733" s="168"/>
      <c r="G2733" s="168">
        <v>2730</v>
      </c>
      <c r="H2733" s="183">
        <f t="shared" ca="1" si="84"/>
        <v>-3.7959863120005403E-3</v>
      </c>
      <c r="K2733" s="36"/>
    </row>
    <row r="2734" spans="2:11">
      <c r="B2734" s="36"/>
      <c r="C2734" s="182"/>
      <c r="D2734" s="182"/>
      <c r="E2734" s="182"/>
      <c r="F2734" s="168"/>
      <c r="G2734" s="168">
        <v>2731</v>
      </c>
      <c r="H2734" s="183">
        <f t="shared" ca="1" si="84"/>
        <v>-1.5993618324487261E-2</v>
      </c>
      <c r="K2734" s="36"/>
    </row>
    <row r="2735" spans="2:11">
      <c r="B2735" s="36"/>
      <c r="C2735" s="182"/>
      <c r="D2735" s="182"/>
      <c r="E2735" s="182"/>
      <c r="F2735" s="168"/>
      <c r="G2735" s="168">
        <v>2732</v>
      </c>
      <c r="H2735" s="183">
        <f t="shared" ca="1" si="84"/>
        <v>4.5233412520947818E-4</v>
      </c>
      <c r="K2735" s="36"/>
    </row>
    <row r="2736" spans="2:11">
      <c r="B2736" s="36"/>
      <c r="C2736" s="182"/>
      <c r="D2736" s="182"/>
      <c r="E2736" s="182"/>
      <c r="F2736" s="168"/>
      <c r="G2736" s="168">
        <v>2733</v>
      </c>
      <c r="H2736" s="183">
        <f t="shared" ca="1" si="84"/>
        <v>2.4800482910339251E-2</v>
      </c>
      <c r="K2736" s="36"/>
    </row>
    <row r="2737" spans="2:11">
      <c r="B2737" s="36"/>
      <c r="C2737" s="182"/>
      <c r="D2737" s="182"/>
      <c r="E2737" s="182"/>
      <c r="F2737" s="168"/>
      <c r="G2737" s="168">
        <v>2734</v>
      </c>
      <c r="H2737" s="183">
        <f t="shared" ca="1" si="84"/>
        <v>1.4712217150247998E-3</v>
      </c>
      <c r="K2737" s="36"/>
    </row>
    <row r="2738" spans="2:11">
      <c r="B2738" s="36"/>
      <c r="C2738" s="182"/>
      <c r="D2738" s="182"/>
      <c r="E2738" s="182"/>
      <c r="F2738" s="168"/>
      <c r="G2738" s="168">
        <v>2735</v>
      </c>
      <c r="H2738" s="183">
        <f t="shared" ca="1" si="84"/>
        <v>6.3640692431078064E-3</v>
      </c>
      <c r="K2738" s="36"/>
    </row>
    <row r="2739" spans="2:11">
      <c r="B2739" s="36"/>
      <c r="C2739" s="182"/>
      <c r="D2739" s="182"/>
      <c r="E2739" s="182"/>
      <c r="F2739" s="168"/>
      <c r="G2739" s="168">
        <v>2736</v>
      </c>
      <c r="H2739" s="183">
        <f t="shared" ca="1" si="84"/>
        <v>-6.6251760510771156E-3</v>
      </c>
      <c r="K2739" s="36"/>
    </row>
    <row r="2740" spans="2:11">
      <c r="B2740" s="36"/>
      <c r="C2740" s="182"/>
      <c r="D2740" s="182"/>
      <c r="E2740" s="182"/>
      <c r="F2740" s="168"/>
      <c r="G2740" s="168">
        <v>2737</v>
      </c>
      <c r="H2740" s="183">
        <f t="shared" ca="1" si="84"/>
        <v>-1.0460345611426648E-3</v>
      </c>
      <c r="K2740" s="36"/>
    </row>
    <row r="2741" spans="2:11">
      <c r="B2741" s="36"/>
      <c r="C2741" s="182"/>
      <c r="D2741" s="182"/>
      <c r="E2741" s="182"/>
      <c r="F2741" s="168"/>
      <c r="G2741" s="168">
        <v>2738</v>
      </c>
      <c r="H2741" s="183">
        <f t="shared" ca="1" si="84"/>
        <v>1.122287310835125E-3</v>
      </c>
      <c r="K2741" s="36"/>
    </row>
    <row r="2742" spans="2:11">
      <c r="B2742" s="36"/>
      <c r="C2742" s="182"/>
      <c r="D2742" s="182"/>
      <c r="E2742" s="182"/>
      <c r="F2742" s="168"/>
      <c r="G2742" s="168">
        <v>2739</v>
      </c>
      <c r="H2742" s="183">
        <f t="shared" ca="1" si="84"/>
        <v>1.3929676716062894E-3</v>
      </c>
      <c r="K2742" s="36"/>
    </row>
    <row r="2743" spans="2:11">
      <c r="B2743" s="36"/>
      <c r="C2743" s="182"/>
      <c r="D2743" s="182"/>
      <c r="E2743" s="182"/>
      <c r="F2743" s="168"/>
      <c r="G2743" s="168">
        <v>2740</v>
      </c>
      <c r="H2743" s="183">
        <f t="shared" ca="1" si="84"/>
        <v>-3.3479377857547638E-3</v>
      </c>
      <c r="K2743" s="36"/>
    </row>
    <row r="2744" spans="2:11">
      <c r="B2744" s="36"/>
      <c r="C2744" s="182"/>
      <c r="D2744" s="182"/>
      <c r="E2744" s="182"/>
      <c r="F2744" s="168"/>
      <c r="G2744" s="168">
        <v>2741</v>
      </c>
      <c r="H2744" s="183">
        <f t="shared" ca="1" si="84"/>
        <v>-1.1502935130694929E-2</v>
      </c>
      <c r="K2744" s="36"/>
    </row>
    <row r="2745" spans="2:11">
      <c r="B2745" s="36"/>
      <c r="C2745" s="182"/>
      <c r="D2745" s="182"/>
      <c r="E2745" s="182"/>
      <c r="F2745" s="168"/>
      <c r="G2745" s="168">
        <v>2742</v>
      </c>
      <c r="H2745" s="183">
        <f t="shared" ca="1" si="84"/>
        <v>4.4562955569090491E-3</v>
      </c>
      <c r="K2745" s="36"/>
    </row>
    <row r="2746" spans="2:11">
      <c r="B2746" s="36"/>
      <c r="C2746" s="182"/>
      <c r="D2746" s="182"/>
      <c r="E2746" s="182"/>
      <c r="F2746" s="168"/>
      <c r="G2746" s="168">
        <v>2743</v>
      </c>
      <c r="H2746" s="183">
        <f t="shared" ca="1" si="84"/>
        <v>8.7977229426505071E-3</v>
      </c>
      <c r="K2746" s="36"/>
    </row>
    <row r="2747" spans="2:11">
      <c r="B2747" s="36"/>
      <c r="C2747" s="182"/>
      <c r="D2747" s="168"/>
      <c r="E2747" s="168"/>
      <c r="F2747" s="168"/>
      <c r="G2747" s="168">
        <v>2744</v>
      </c>
      <c r="H2747" s="183">
        <f t="shared" ca="1" si="84"/>
        <v>6.3994649565092031E-3</v>
      </c>
      <c r="K2747" s="36"/>
    </row>
    <row r="2748" spans="2:11">
      <c r="G2748" s="168">
        <v>2745</v>
      </c>
      <c r="H2748" s="183">
        <f t="shared" ca="1" si="84"/>
        <v>2.0292033633590289E-3</v>
      </c>
      <c r="K2748" s="36"/>
    </row>
    <row r="2749" spans="2:11">
      <c r="G2749" s="168">
        <v>2746</v>
      </c>
      <c r="H2749" s="183">
        <f t="shared" ca="1" si="84"/>
        <v>4.9866175638646777E-3</v>
      </c>
      <c r="K2749" s="36"/>
    </row>
    <row r="2750" spans="2:11">
      <c r="G2750" s="168">
        <v>2747</v>
      </c>
      <c r="H2750" s="183">
        <f t="shared" ca="1" si="84"/>
        <v>-4.3263239593734739E-3</v>
      </c>
      <c r="K2750" s="36"/>
    </row>
    <row r="2751" spans="2:11">
      <c r="G2751" s="168">
        <v>2748</v>
      </c>
      <c r="H2751" s="183">
        <f t="shared" ca="1" si="84"/>
        <v>4.0767596263915238E-3</v>
      </c>
      <c r="K2751" s="36"/>
    </row>
    <row r="2752" spans="2:11">
      <c r="G2752" s="168">
        <v>2749</v>
      </c>
      <c r="H2752" s="183">
        <f t="shared" ca="1" si="84"/>
        <v>-9.1866395243610267E-3</v>
      </c>
      <c r="K2752" s="36"/>
    </row>
    <row r="2753" spans="7:11">
      <c r="G2753" s="168">
        <v>2750</v>
      </c>
      <c r="H2753" s="183">
        <f t="shared" ca="1" si="84"/>
        <v>6.9067616811720085E-3</v>
      </c>
      <c r="K2753" s="36"/>
    </row>
    <row r="2754" spans="7:11">
      <c r="G2754" s="168">
        <v>2751</v>
      </c>
      <c r="H2754" s="183">
        <f t="shared" ca="1" si="84"/>
        <v>1.2308738737052776E-2</v>
      </c>
      <c r="K2754" s="36"/>
    </row>
    <row r="2755" spans="7:11">
      <c r="G2755" s="168">
        <v>2752</v>
      </c>
      <c r="H2755" s="183">
        <f t="shared" ca="1" si="84"/>
        <v>1.2739582879808909E-2</v>
      </c>
      <c r="K2755" s="36"/>
    </row>
    <row r="2756" spans="7:11">
      <c r="G2756" s="168">
        <v>2753</v>
      </c>
      <c r="H2756" s="183">
        <f t="shared" ca="1" si="84"/>
        <v>3.4381099641429817E-2</v>
      </c>
      <c r="K2756" s="36"/>
    </row>
    <row r="2757" spans="7:11">
      <c r="G2757" s="168">
        <v>2754</v>
      </c>
      <c r="H2757" s="183">
        <f t="shared" ref="H2757:H2820" ca="1" si="85">_xlfn.NORM.INV(RAND(),N$6,N$7)</f>
        <v>2.5093333520023246E-2</v>
      </c>
      <c r="K2757" s="36"/>
    </row>
    <row r="2758" spans="7:11">
      <c r="G2758" s="168">
        <v>2755</v>
      </c>
      <c r="H2758" s="183">
        <f t="shared" ca="1" si="85"/>
        <v>-2.34510377441179E-2</v>
      </c>
      <c r="K2758" s="36"/>
    </row>
    <row r="2759" spans="7:11">
      <c r="G2759" s="168">
        <v>2756</v>
      </c>
      <c r="H2759" s="183">
        <f t="shared" ca="1" si="85"/>
        <v>4.3622636259022587E-3</v>
      </c>
      <c r="K2759" s="36"/>
    </row>
    <row r="2760" spans="7:11">
      <c r="G2760" s="168">
        <v>2757</v>
      </c>
      <c r="H2760" s="183">
        <f t="shared" ca="1" si="85"/>
        <v>1.1316127218018853E-3</v>
      </c>
      <c r="K2760" s="36"/>
    </row>
    <row r="2761" spans="7:11">
      <c r="G2761" s="168">
        <v>2758</v>
      </c>
      <c r="H2761" s="183">
        <f t="shared" ca="1" si="85"/>
        <v>2.2802782834804559E-2</v>
      </c>
      <c r="K2761" s="36"/>
    </row>
    <row r="2762" spans="7:11">
      <c r="G2762" s="168">
        <v>2759</v>
      </c>
      <c r="H2762" s="183">
        <f t="shared" ca="1" si="85"/>
        <v>7.6293804766881853E-3</v>
      </c>
      <c r="K2762" s="36"/>
    </row>
    <row r="2763" spans="7:11">
      <c r="G2763" s="168">
        <v>2760</v>
      </c>
      <c r="H2763" s="183">
        <f t="shared" ca="1" si="85"/>
        <v>-1.078988495977839E-3</v>
      </c>
      <c r="K2763" s="36"/>
    </row>
    <row r="2764" spans="7:11">
      <c r="G2764" s="168">
        <v>2761</v>
      </c>
      <c r="H2764" s="183">
        <f t="shared" ca="1" si="85"/>
        <v>-4.4735990315416347E-3</v>
      </c>
      <c r="K2764" s="36"/>
    </row>
    <row r="2765" spans="7:11">
      <c r="G2765" s="168">
        <v>2762</v>
      </c>
      <c r="H2765" s="183">
        <f t="shared" ca="1" si="85"/>
        <v>7.26130916819215E-3</v>
      </c>
      <c r="K2765" s="36"/>
    </row>
    <row r="2766" spans="7:11">
      <c r="G2766" s="168">
        <v>2763</v>
      </c>
      <c r="H2766" s="183">
        <f t="shared" ca="1" si="85"/>
        <v>1.0396102509417802E-2</v>
      </c>
      <c r="K2766" s="36"/>
    </row>
    <row r="2767" spans="7:11">
      <c r="G2767" s="168">
        <v>2764</v>
      </c>
      <c r="H2767" s="183">
        <f t="shared" ca="1" si="85"/>
        <v>1.5346669573272919E-2</v>
      </c>
      <c r="K2767" s="36"/>
    </row>
    <row r="2768" spans="7:11">
      <c r="G2768" s="168">
        <v>2765</v>
      </c>
      <c r="H2768" s="183">
        <f t="shared" ca="1" si="85"/>
        <v>3.1668395712140786E-2</v>
      </c>
      <c r="K2768" s="36"/>
    </row>
    <row r="2769" spans="7:11">
      <c r="G2769" s="168">
        <v>2766</v>
      </c>
      <c r="H2769" s="183">
        <f t="shared" ca="1" si="85"/>
        <v>2.0273097360996827E-2</v>
      </c>
      <c r="K2769" s="36"/>
    </row>
    <row r="2770" spans="7:11">
      <c r="G2770" s="168">
        <v>2767</v>
      </c>
      <c r="H2770" s="183">
        <f t="shared" ca="1" si="85"/>
        <v>5.9012177716280421E-3</v>
      </c>
      <c r="K2770" s="36"/>
    </row>
    <row r="2771" spans="7:11">
      <c r="G2771" s="168">
        <v>2768</v>
      </c>
      <c r="H2771" s="183">
        <f t="shared" ca="1" si="85"/>
        <v>6.8098561972622131E-3</v>
      </c>
      <c r="K2771" s="36"/>
    </row>
    <row r="2772" spans="7:11">
      <c r="G2772" s="168">
        <v>2769</v>
      </c>
      <c r="H2772" s="183">
        <f t="shared" ca="1" si="85"/>
        <v>1.1559185263771182E-2</v>
      </c>
      <c r="K2772" s="36"/>
    </row>
    <row r="2773" spans="7:11">
      <c r="G2773" s="168">
        <v>2770</v>
      </c>
      <c r="H2773" s="183">
        <f t="shared" ca="1" si="85"/>
        <v>1.9466712235237223E-2</v>
      </c>
      <c r="K2773" s="36"/>
    </row>
    <row r="2774" spans="7:11">
      <c r="G2774" s="168">
        <v>2771</v>
      </c>
      <c r="H2774" s="183">
        <f t="shared" ca="1" si="85"/>
        <v>9.43221077364206E-3</v>
      </c>
      <c r="K2774" s="36"/>
    </row>
    <row r="2775" spans="7:11">
      <c r="G2775" s="168">
        <v>2772</v>
      </c>
      <c r="H2775" s="183">
        <f t="shared" ca="1" si="85"/>
        <v>1.7479212318304987E-2</v>
      </c>
      <c r="K2775" s="36"/>
    </row>
    <row r="2776" spans="7:11">
      <c r="G2776" s="168">
        <v>2773</v>
      </c>
      <c r="H2776" s="183">
        <f t="shared" ca="1" si="85"/>
        <v>1.0070159571288383E-2</v>
      </c>
      <c r="K2776" s="36"/>
    </row>
    <row r="2777" spans="7:11">
      <c r="G2777" s="168">
        <v>2774</v>
      </c>
      <c r="H2777" s="183">
        <f t="shared" ca="1" si="85"/>
        <v>1.9409886244516398E-2</v>
      </c>
      <c r="K2777" s="36"/>
    </row>
    <row r="2778" spans="7:11">
      <c r="G2778" s="168">
        <v>2775</v>
      </c>
      <c r="H2778" s="183">
        <f t="shared" ca="1" si="85"/>
        <v>-1.2042315325514297E-2</v>
      </c>
      <c r="K2778" s="36"/>
    </row>
    <row r="2779" spans="7:11">
      <c r="G2779" s="168">
        <v>2776</v>
      </c>
      <c r="H2779" s="183">
        <f t="shared" ca="1" si="85"/>
        <v>1.8850300411475542E-2</v>
      </c>
      <c r="K2779" s="36"/>
    </row>
    <row r="2780" spans="7:11">
      <c r="G2780" s="168">
        <v>2777</v>
      </c>
      <c r="H2780" s="183">
        <f t="shared" ca="1" si="85"/>
        <v>2.5992632813115171E-2</v>
      </c>
      <c r="K2780" s="36"/>
    </row>
    <row r="2781" spans="7:11">
      <c r="G2781" s="168">
        <v>2778</v>
      </c>
      <c r="H2781" s="183">
        <f t="shared" ca="1" si="85"/>
        <v>1.2657720517289608E-2</v>
      </c>
      <c r="K2781" s="36"/>
    </row>
    <row r="2782" spans="7:11">
      <c r="G2782" s="168">
        <v>2779</v>
      </c>
      <c r="H2782" s="183">
        <f t="shared" ca="1" si="85"/>
        <v>8.1849856117396612E-3</v>
      </c>
      <c r="K2782" s="36"/>
    </row>
    <row r="2783" spans="7:11">
      <c r="G2783" s="168">
        <v>2780</v>
      </c>
      <c r="H2783" s="183">
        <f t="shared" ca="1" si="85"/>
        <v>-2.6760402865845844E-3</v>
      </c>
      <c r="K2783" s="36"/>
    </row>
    <row r="2784" spans="7:11">
      <c r="G2784" s="168">
        <v>2781</v>
      </c>
      <c r="H2784" s="183">
        <f t="shared" ca="1" si="85"/>
        <v>4.884850455026386E-3</v>
      </c>
      <c r="K2784" s="36"/>
    </row>
    <row r="2785" spans="7:11">
      <c r="G2785" s="168">
        <v>2782</v>
      </c>
      <c r="H2785" s="183">
        <f t="shared" ca="1" si="85"/>
        <v>1.1325016330575453E-2</v>
      </c>
      <c r="K2785" s="36"/>
    </row>
    <row r="2786" spans="7:11">
      <c r="G2786" s="168">
        <v>2783</v>
      </c>
      <c r="H2786" s="183">
        <f t="shared" ca="1" si="85"/>
        <v>-8.7927093405290348E-3</v>
      </c>
      <c r="K2786" s="36"/>
    </row>
    <row r="2787" spans="7:11">
      <c r="G2787" s="168">
        <v>2784</v>
      </c>
      <c r="H2787" s="183">
        <f t="shared" ca="1" si="85"/>
        <v>1.0907119736692896E-2</v>
      </c>
    </row>
    <row r="2788" spans="7:11">
      <c r="G2788" s="168">
        <v>2785</v>
      </c>
      <c r="H2788" s="183">
        <f t="shared" ca="1" si="85"/>
        <v>1.0089468291440726E-3</v>
      </c>
    </row>
    <row r="2789" spans="7:11">
      <c r="G2789" s="168">
        <v>2786</v>
      </c>
      <c r="H2789" s="183">
        <f t="shared" ca="1" si="85"/>
        <v>2.6106610939773348E-2</v>
      </c>
    </row>
    <row r="2790" spans="7:11">
      <c r="G2790" s="168">
        <v>2787</v>
      </c>
      <c r="H2790" s="183">
        <f t="shared" ca="1" si="85"/>
        <v>1.493997414766092E-2</v>
      </c>
    </row>
    <row r="2791" spans="7:11">
      <c r="G2791" s="168">
        <v>2788</v>
      </c>
      <c r="H2791" s="183">
        <f t="shared" ca="1" si="85"/>
        <v>-1.5678159184842836E-3</v>
      </c>
    </row>
    <row r="2792" spans="7:11">
      <c r="G2792" s="168">
        <v>2789</v>
      </c>
      <c r="H2792" s="183">
        <f t="shared" ca="1" si="85"/>
        <v>4.4480185564373933E-3</v>
      </c>
    </row>
    <row r="2793" spans="7:11">
      <c r="G2793" s="168">
        <v>2790</v>
      </c>
      <c r="H2793" s="183">
        <f t="shared" ca="1" si="85"/>
        <v>1.0303941848193627E-2</v>
      </c>
    </row>
    <row r="2794" spans="7:11">
      <c r="G2794" s="168">
        <v>2791</v>
      </c>
      <c r="H2794" s="183">
        <f t="shared" ca="1" si="85"/>
        <v>-1.7878179888798671E-2</v>
      </c>
    </row>
    <row r="2795" spans="7:11">
      <c r="G2795" s="168">
        <v>2792</v>
      </c>
      <c r="H2795" s="183">
        <f t="shared" ca="1" si="85"/>
        <v>1.1259889415347711E-2</v>
      </c>
    </row>
    <row r="2796" spans="7:11">
      <c r="G2796" s="168">
        <v>2793</v>
      </c>
      <c r="H2796" s="183">
        <f t="shared" ca="1" si="85"/>
        <v>1.4879738445136102E-2</v>
      </c>
    </row>
    <row r="2797" spans="7:11">
      <c r="G2797" s="168">
        <v>2794</v>
      </c>
      <c r="H2797" s="183">
        <f t="shared" ca="1" si="85"/>
        <v>-1.4485805852113558E-2</v>
      </c>
    </row>
    <row r="2798" spans="7:11">
      <c r="G2798" s="168">
        <v>2795</v>
      </c>
      <c r="H2798" s="183">
        <f t="shared" ca="1" si="85"/>
        <v>7.4415327611007838E-3</v>
      </c>
    </row>
    <row r="2799" spans="7:11">
      <c r="G2799" s="168">
        <v>2796</v>
      </c>
      <c r="H2799" s="183">
        <f t="shared" ca="1" si="85"/>
        <v>7.1880426594212125E-3</v>
      </c>
    </row>
    <row r="2800" spans="7:11">
      <c r="G2800" s="168">
        <v>2797</v>
      </c>
      <c r="H2800" s="183">
        <f t="shared" ca="1" si="85"/>
        <v>8.7187134626247548E-4</v>
      </c>
    </row>
    <row r="2801" spans="7:8">
      <c r="G2801" s="168">
        <v>2798</v>
      </c>
      <c r="H2801" s="183">
        <f t="shared" ca="1" si="85"/>
        <v>-2.7122155126055427E-3</v>
      </c>
    </row>
    <row r="2802" spans="7:8">
      <c r="G2802" s="168">
        <v>2799</v>
      </c>
      <c r="H2802" s="183">
        <f t="shared" ca="1" si="85"/>
        <v>-1.5103479938709287E-3</v>
      </c>
    </row>
    <row r="2803" spans="7:8">
      <c r="G2803" s="168">
        <v>2800</v>
      </c>
      <c r="H2803" s="183">
        <f t="shared" ca="1" si="85"/>
        <v>1.3812149852252119E-2</v>
      </c>
    </row>
    <row r="2804" spans="7:8">
      <c r="G2804" s="168">
        <v>2801</v>
      </c>
      <c r="H2804" s="183">
        <f t="shared" ca="1" si="85"/>
        <v>1.2437932578864764E-2</v>
      </c>
    </row>
    <row r="2805" spans="7:8">
      <c r="G2805" s="168">
        <v>2802</v>
      </c>
      <c r="H2805" s="183">
        <f t="shared" ca="1" si="85"/>
        <v>-2.4886660473869004E-3</v>
      </c>
    </row>
    <row r="2806" spans="7:8">
      <c r="G2806" s="168">
        <v>2803</v>
      </c>
      <c r="H2806" s="183">
        <f t="shared" ca="1" si="85"/>
        <v>5.2301216505108456E-3</v>
      </c>
    </row>
    <row r="2807" spans="7:8">
      <c r="G2807" s="168">
        <v>2804</v>
      </c>
      <c r="H2807" s="183">
        <f t="shared" ca="1" si="85"/>
        <v>1.5111413720719679E-2</v>
      </c>
    </row>
    <row r="2808" spans="7:8">
      <c r="G2808" s="168">
        <v>2805</v>
      </c>
      <c r="H2808" s="183">
        <f t="shared" ca="1" si="85"/>
        <v>-6.9408272688051284E-3</v>
      </c>
    </row>
    <row r="2809" spans="7:8">
      <c r="G2809" s="168">
        <v>2806</v>
      </c>
      <c r="H2809" s="183">
        <f t="shared" ca="1" si="85"/>
        <v>-7.5733426469503295E-3</v>
      </c>
    </row>
    <row r="2810" spans="7:8">
      <c r="G2810" s="168">
        <v>2807</v>
      </c>
      <c r="H2810" s="183">
        <f t="shared" ca="1" si="85"/>
        <v>-1.5181710617062326E-3</v>
      </c>
    </row>
    <row r="2811" spans="7:8">
      <c r="G2811" s="168">
        <v>2808</v>
      </c>
      <c r="H2811" s="183">
        <f t="shared" ca="1" si="85"/>
        <v>3.4811609791778234E-2</v>
      </c>
    </row>
    <row r="2812" spans="7:8">
      <c r="G2812" s="168">
        <v>2809</v>
      </c>
      <c r="H2812" s="183">
        <f t="shared" ca="1" si="85"/>
        <v>2.4566395713692215E-3</v>
      </c>
    </row>
    <row r="2813" spans="7:8">
      <c r="G2813" s="168">
        <v>2810</v>
      </c>
      <c r="H2813" s="183">
        <f t="shared" ca="1" si="85"/>
        <v>-9.7783198976297385E-3</v>
      </c>
    </row>
    <row r="2814" spans="7:8">
      <c r="G2814" s="168">
        <v>2811</v>
      </c>
      <c r="H2814" s="183">
        <f t="shared" ca="1" si="85"/>
        <v>7.5796454418356933E-3</v>
      </c>
    </row>
    <row r="2815" spans="7:8">
      <c r="G2815" s="168">
        <v>2812</v>
      </c>
      <c r="H2815" s="183">
        <f t="shared" ca="1" si="85"/>
        <v>3.0903172448408702E-2</v>
      </c>
    </row>
    <row r="2816" spans="7:8">
      <c r="G2816" s="168">
        <v>2813</v>
      </c>
      <c r="H2816" s="183">
        <f t="shared" ca="1" si="85"/>
        <v>7.5583831560431811E-3</v>
      </c>
    </row>
    <row r="2817" spans="7:8">
      <c r="G2817" s="168">
        <v>2814</v>
      </c>
      <c r="H2817" s="183">
        <f t="shared" ca="1" si="85"/>
        <v>2.3226555427392773E-2</v>
      </c>
    </row>
    <row r="2818" spans="7:8">
      <c r="G2818" s="168">
        <v>2815</v>
      </c>
      <c r="H2818" s="183">
        <f t="shared" ca="1" si="85"/>
        <v>8.316947821983816E-4</v>
      </c>
    </row>
    <row r="2819" spans="7:8">
      <c r="G2819" s="168">
        <v>2816</v>
      </c>
      <c r="H2819" s="183">
        <f t="shared" ca="1" si="85"/>
        <v>-2.2172063266656755E-2</v>
      </c>
    </row>
    <row r="2820" spans="7:8">
      <c r="G2820" s="168">
        <v>2817</v>
      </c>
      <c r="H2820" s="183">
        <f t="shared" ca="1" si="85"/>
        <v>-1.5377911576870077E-2</v>
      </c>
    </row>
    <row r="2821" spans="7:8">
      <c r="G2821" s="168">
        <v>2818</v>
      </c>
      <c r="H2821" s="183">
        <f t="shared" ref="H2821:H2884" ca="1" si="86">_xlfn.NORM.INV(RAND(),N$6,N$7)</f>
        <v>-5.7780130912673715E-3</v>
      </c>
    </row>
    <row r="2822" spans="7:8">
      <c r="G2822" s="168">
        <v>2819</v>
      </c>
      <c r="H2822" s="183">
        <f t="shared" ca="1" si="86"/>
        <v>7.2925047327917969E-3</v>
      </c>
    </row>
    <row r="2823" spans="7:8">
      <c r="G2823" s="168">
        <v>2820</v>
      </c>
      <c r="H2823" s="183">
        <f t="shared" ca="1" si="86"/>
        <v>2.917537010794477E-2</v>
      </c>
    </row>
    <row r="2824" spans="7:8">
      <c r="G2824" s="168">
        <v>2821</v>
      </c>
      <c r="H2824" s="183">
        <f t="shared" ca="1" si="86"/>
        <v>8.6516213564386303E-3</v>
      </c>
    </row>
    <row r="2825" spans="7:8">
      <c r="G2825" s="168">
        <v>2822</v>
      </c>
      <c r="H2825" s="183">
        <f t="shared" ca="1" si="86"/>
        <v>6.0426566663731029E-3</v>
      </c>
    </row>
    <row r="2826" spans="7:8">
      <c r="G2826" s="168">
        <v>2823</v>
      </c>
      <c r="H2826" s="183">
        <f t="shared" ca="1" si="86"/>
        <v>-9.7794542658096971E-3</v>
      </c>
    </row>
    <row r="2827" spans="7:8">
      <c r="G2827" s="168">
        <v>2824</v>
      </c>
      <c r="H2827" s="183">
        <f t="shared" ca="1" si="86"/>
        <v>7.7328337786001572E-3</v>
      </c>
    </row>
    <row r="2828" spans="7:8">
      <c r="G2828" s="168">
        <v>2825</v>
      </c>
      <c r="H2828" s="183">
        <f t="shared" ca="1" si="86"/>
        <v>7.2766278942316739E-3</v>
      </c>
    </row>
    <row r="2829" spans="7:8">
      <c r="G2829" s="168">
        <v>2826</v>
      </c>
      <c r="H2829" s="183">
        <f t="shared" ca="1" si="86"/>
        <v>7.2867102243972942E-3</v>
      </c>
    </row>
    <row r="2830" spans="7:8">
      <c r="G2830" s="168">
        <v>2827</v>
      </c>
      <c r="H2830" s="183">
        <f t="shared" ca="1" si="86"/>
        <v>3.1817814269383183E-3</v>
      </c>
    </row>
    <row r="2831" spans="7:8">
      <c r="G2831" s="168">
        <v>2828</v>
      </c>
      <c r="H2831" s="183">
        <f t="shared" ca="1" si="86"/>
        <v>9.2980784345624724E-3</v>
      </c>
    </row>
    <row r="2832" spans="7:8">
      <c r="G2832" s="168">
        <v>2829</v>
      </c>
      <c r="H2832" s="183">
        <f t="shared" ca="1" si="86"/>
        <v>2.4365856513872533E-2</v>
      </c>
    </row>
    <row r="2833" spans="7:8">
      <c r="G2833" s="168">
        <v>2830</v>
      </c>
      <c r="H2833" s="183">
        <f t="shared" ca="1" si="86"/>
        <v>1.0138697852850055E-2</v>
      </c>
    </row>
    <row r="2834" spans="7:8">
      <c r="G2834" s="168">
        <v>2831</v>
      </c>
      <c r="H2834" s="183">
        <f t="shared" ca="1" si="86"/>
        <v>-3.1610253716013855E-3</v>
      </c>
    </row>
    <row r="2835" spans="7:8">
      <c r="G2835" s="168">
        <v>2832</v>
      </c>
      <c r="H2835" s="183">
        <f t="shared" ca="1" si="86"/>
        <v>2.3871633569632292E-3</v>
      </c>
    </row>
    <row r="2836" spans="7:8">
      <c r="G2836" s="168">
        <v>2833</v>
      </c>
      <c r="H2836" s="183">
        <f t="shared" ca="1" si="86"/>
        <v>5.1849214314138451E-3</v>
      </c>
    </row>
    <row r="2837" spans="7:8">
      <c r="G2837" s="168">
        <v>2834</v>
      </c>
      <c r="H2837" s="183">
        <f t="shared" ca="1" si="86"/>
        <v>1.7998651870721742E-2</v>
      </c>
    </row>
    <row r="2838" spans="7:8">
      <c r="G2838" s="168">
        <v>2835</v>
      </c>
      <c r="H2838" s="183">
        <f t="shared" ca="1" si="86"/>
        <v>-8.6448764698201612E-3</v>
      </c>
    </row>
    <row r="2839" spans="7:8">
      <c r="G2839" s="168">
        <v>2836</v>
      </c>
      <c r="H2839" s="183">
        <f t="shared" ca="1" si="86"/>
        <v>-1.1582451941523252E-2</v>
      </c>
    </row>
    <row r="2840" spans="7:8">
      <c r="G2840" s="168">
        <v>2837</v>
      </c>
      <c r="H2840" s="183">
        <f t="shared" ca="1" si="86"/>
        <v>-9.0432454329141508E-3</v>
      </c>
    </row>
    <row r="2841" spans="7:8">
      <c r="G2841" s="168">
        <v>2838</v>
      </c>
      <c r="H2841" s="183">
        <f t="shared" ca="1" si="86"/>
        <v>-9.2261728633619318E-3</v>
      </c>
    </row>
    <row r="2842" spans="7:8">
      <c r="G2842" s="168">
        <v>2839</v>
      </c>
      <c r="H2842" s="183">
        <f t="shared" ca="1" si="86"/>
        <v>-5.5031830728144498E-3</v>
      </c>
    </row>
    <row r="2843" spans="7:8">
      <c r="G2843" s="168">
        <v>2840</v>
      </c>
      <c r="H2843" s="183">
        <f t="shared" ca="1" si="86"/>
        <v>-7.4259942228836057E-4</v>
      </c>
    </row>
    <row r="2844" spans="7:8">
      <c r="G2844" s="168">
        <v>2841</v>
      </c>
      <c r="H2844" s="183">
        <f t="shared" ca="1" si="86"/>
        <v>-2.29789784373815E-2</v>
      </c>
    </row>
    <row r="2845" spans="7:8">
      <c r="G2845" s="168">
        <v>2842</v>
      </c>
      <c r="H2845" s="183">
        <f t="shared" ca="1" si="86"/>
        <v>3.1744147175069319E-3</v>
      </c>
    </row>
    <row r="2846" spans="7:8">
      <c r="G2846" s="168">
        <v>2843</v>
      </c>
      <c r="H2846" s="183">
        <f t="shared" ca="1" si="86"/>
        <v>1.2832105673691262E-2</v>
      </c>
    </row>
    <row r="2847" spans="7:8">
      <c r="G2847" s="168">
        <v>2844</v>
      </c>
      <c r="H2847" s="183">
        <f t="shared" ca="1" si="86"/>
        <v>2.0995647986361252E-2</v>
      </c>
    </row>
    <row r="2848" spans="7:8">
      <c r="G2848" s="168">
        <v>2845</v>
      </c>
      <c r="H2848" s="183">
        <f t="shared" ca="1" si="86"/>
        <v>1.9902782181868046E-2</v>
      </c>
    </row>
    <row r="2849" spans="7:8">
      <c r="G2849" s="168">
        <v>2846</v>
      </c>
      <c r="H2849" s="183">
        <f t="shared" ca="1" si="86"/>
        <v>5.7428094462223817E-3</v>
      </c>
    </row>
    <row r="2850" spans="7:8">
      <c r="G2850" s="168">
        <v>2847</v>
      </c>
      <c r="H2850" s="183">
        <f t="shared" ca="1" si="86"/>
        <v>5.7514319235134979E-3</v>
      </c>
    </row>
    <row r="2851" spans="7:8">
      <c r="G2851" s="168">
        <v>2848</v>
      </c>
      <c r="H2851" s="183">
        <f t="shared" ca="1" si="86"/>
        <v>-6.4130279874987138E-3</v>
      </c>
    </row>
    <row r="2852" spans="7:8">
      <c r="G2852" s="168">
        <v>2849</v>
      </c>
      <c r="H2852" s="183">
        <f t="shared" ca="1" si="86"/>
        <v>-1.2731045232822948E-2</v>
      </c>
    </row>
    <row r="2853" spans="7:8">
      <c r="G2853" s="168">
        <v>2850</v>
      </c>
      <c r="H2853" s="183">
        <f t="shared" ca="1" si="86"/>
        <v>-1.9262216781224674E-2</v>
      </c>
    </row>
    <row r="2854" spans="7:8">
      <c r="G2854" s="168">
        <v>2851</v>
      </c>
      <c r="H2854" s="183">
        <f t="shared" ca="1" si="86"/>
        <v>-1.1097783595298769E-2</v>
      </c>
    </row>
    <row r="2855" spans="7:8">
      <c r="G2855" s="168">
        <v>2852</v>
      </c>
      <c r="H2855" s="183">
        <f t="shared" ca="1" si="86"/>
        <v>-1.1659245737565587E-2</v>
      </c>
    </row>
    <row r="2856" spans="7:8">
      <c r="G2856" s="168">
        <v>2853</v>
      </c>
      <c r="H2856" s="183">
        <f t="shared" ca="1" si="86"/>
        <v>-1.3592257816117267E-2</v>
      </c>
    </row>
    <row r="2857" spans="7:8">
      <c r="G2857" s="168">
        <v>2854</v>
      </c>
      <c r="H2857" s="183">
        <f t="shared" ca="1" si="86"/>
        <v>-3.5610059283088351E-3</v>
      </c>
    </row>
    <row r="2858" spans="7:8">
      <c r="G2858" s="168">
        <v>2855</v>
      </c>
      <c r="H2858" s="183">
        <f t="shared" ca="1" si="86"/>
        <v>-3.2758179735643336E-3</v>
      </c>
    </row>
    <row r="2859" spans="7:8">
      <c r="G2859" s="168">
        <v>2856</v>
      </c>
      <c r="H2859" s="183">
        <f t="shared" ca="1" si="86"/>
        <v>-2.5582703814992303E-3</v>
      </c>
    </row>
    <row r="2860" spans="7:8">
      <c r="G2860" s="168">
        <v>2857</v>
      </c>
      <c r="H2860" s="183">
        <f t="shared" ca="1" si="86"/>
        <v>-6.5841413940549804E-3</v>
      </c>
    </row>
    <row r="2861" spans="7:8">
      <c r="G2861" s="168">
        <v>2858</v>
      </c>
      <c r="H2861" s="183">
        <f t="shared" ca="1" si="86"/>
        <v>1.9197450269902591E-2</v>
      </c>
    </row>
    <row r="2862" spans="7:8">
      <c r="G2862" s="168">
        <v>2859</v>
      </c>
      <c r="H2862" s="183">
        <f t="shared" ca="1" si="86"/>
        <v>2.378065523217689E-2</v>
      </c>
    </row>
    <row r="2863" spans="7:8">
      <c r="G2863" s="168">
        <v>2860</v>
      </c>
      <c r="H2863" s="183">
        <f t="shared" ca="1" si="86"/>
        <v>-2.0206751942528946E-2</v>
      </c>
    </row>
    <row r="2864" spans="7:8">
      <c r="G2864" s="168">
        <v>2861</v>
      </c>
      <c r="H2864" s="183">
        <f t="shared" ca="1" si="86"/>
        <v>-1.124746847314868E-2</v>
      </c>
    </row>
    <row r="2865" spans="7:8">
      <c r="G2865" s="168">
        <v>2862</v>
      </c>
      <c r="H2865" s="183">
        <f t="shared" ca="1" si="86"/>
        <v>-7.1123968450610567E-3</v>
      </c>
    </row>
    <row r="2866" spans="7:8">
      <c r="G2866" s="168">
        <v>2863</v>
      </c>
      <c r="H2866" s="183">
        <f t="shared" ca="1" si="86"/>
        <v>1.6308327418408691E-2</v>
      </c>
    </row>
    <row r="2867" spans="7:8">
      <c r="G2867" s="168">
        <v>2864</v>
      </c>
      <c r="H2867" s="183">
        <f t="shared" ca="1" si="86"/>
        <v>4.0889095740934092E-2</v>
      </c>
    </row>
    <row r="2868" spans="7:8">
      <c r="G2868" s="168">
        <v>2865</v>
      </c>
      <c r="H2868" s="183">
        <f t="shared" ca="1" si="86"/>
        <v>3.8093806346303728E-3</v>
      </c>
    </row>
    <row r="2869" spans="7:8">
      <c r="G2869" s="168">
        <v>2866</v>
      </c>
      <c r="H2869" s="183">
        <f t="shared" ca="1" si="86"/>
        <v>1.0543261748442136E-2</v>
      </c>
    </row>
    <row r="2870" spans="7:8">
      <c r="G2870" s="168">
        <v>2867</v>
      </c>
      <c r="H2870" s="183">
        <f t="shared" ca="1" si="86"/>
        <v>-6.0121266663217118E-3</v>
      </c>
    </row>
    <row r="2871" spans="7:8">
      <c r="G2871" s="168">
        <v>2868</v>
      </c>
      <c r="H2871" s="183">
        <f t="shared" ca="1" si="86"/>
        <v>4.7644204005016563E-3</v>
      </c>
    </row>
    <row r="2872" spans="7:8">
      <c r="G2872" s="168">
        <v>2869</v>
      </c>
      <c r="H2872" s="183">
        <f t="shared" ca="1" si="86"/>
        <v>1.4782462638150095E-2</v>
      </c>
    </row>
    <row r="2873" spans="7:8">
      <c r="G2873" s="168">
        <v>2870</v>
      </c>
      <c r="H2873" s="183">
        <f t="shared" ca="1" si="86"/>
        <v>1.2849958854752042E-2</v>
      </c>
    </row>
    <row r="2874" spans="7:8">
      <c r="G2874" s="168">
        <v>2871</v>
      </c>
      <c r="H2874" s="183">
        <f t="shared" ca="1" si="86"/>
        <v>-9.437350234092921E-4</v>
      </c>
    </row>
    <row r="2875" spans="7:8">
      <c r="G2875" s="168">
        <v>2872</v>
      </c>
      <c r="H2875" s="183">
        <f t="shared" ca="1" si="86"/>
        <v>-9.4919148651707481E-3</v>
      </c>
    </row>
    <row r="2876" spans="7:8">
      <c r="G2876" s="168">
        <v>2873</v>
      </c>
      <c r="H2876" s="183">
        <f t="shared" ca="1" si="86"/>
        <v>-2.8814804151651571E-4</v>
      </c>
    </row>
    <row r="2877" spans="7:8">
      <c r="G2877" s="168">
        <v>2874</v>
      </c>
      <c r="H2877" s="183">
        <f t="shared" ca="1" si="86"/>
        <v>-4.0176099943293499E-5</v>
      </c>
    </row>
    <row r="2878" spans="7:8">
      <c r="G2878" s="168">
        <v>2875</v>
      </c>
      <c r="H2878" s="183">
        <f t="shared" ca="1" si="86"/>
        <v>1.7667624630163324E-2</v>
      </c>
    </row>
    <row r="2879" spans="7:8">
      <c r="G2879" s="168">
        <v>2876</v>
      </c>
      <c r="H2879" s="183">
        <f t="shared" ca="1" si="86"/>
        <v>9.0857974447047535E-4</v>
      </c>
    </row>
    <row r="2880" spans="7:8">
      <c r="G2880" s="168">
        <v>2877</v>
      </c>
      <c r="H2880" s="183">
        <f t="shared" ca="1" si="86"/>
        <v>-1.5356843493303006E-3</v>
      </c>
    </row>
    <row r="2881" spans="7:8">
      <c r="G2881" s="168">
        <v>2878</v>
      </c>
      <c r="H2881" s="183">
        <f t="shared" ca="1" si="86"/>
        <v>-1.2988480307114629E-6</v>
      </c>
    </row>
    <row r="2882" spans="7:8">
      <c r="G2882" s="168">
        <v>2879</v>
      </c>
      <c r="H2882" s="183">
        <f t="shared" ca="1" si="86"/>
        <v>1.6587299058858616E-3</v>
      </c>
    </row>
    <row r="2883" spans="7:8">
      <c r="G2883" s="168">
        <v>2880</v>
      </c>
      <c r="H2883" s="183">
        <f t="shared" ca="1" si="86"/>
        <v>3.9836231234169342E-3</v>
      </c>
    </row>
    <row r="2884" spans="7:8">
      <c r="G2884" s="168">
        <v>2881</v>
      </c>
      <c r="H2884" s="183">
        <f t="shared" ca="1" si="86"/>
        <v>-1.4579836237978594E-2</v>
      </c>
    </row>
    <row r="2885" spans="7:8">
      <c r="G2885" s="168">
        <v>2882</v>
      </c>
      <c r="H2885" s="183">
        <f t="shared" ref="H2885:H2948" ca="1" si="87">_xlfn.NORM.INV(RAND(),N$6,N$7)</f>
        <v>2.5070741984060653E-2</v>
      </c>
    </row>
    <row r="2886" spans="7:8">
      <c r="G2886" s="168">
        <v>2883</v>
      </c>
      <c r="H2886" s="183">
        <f t="shared" ca="1" si="87"/>
        <v>-1.3141008041290736E-3</v>
      </c>
    </row>
    <row r="2887" spans="7:8">
      <c r="G2887" s="168">
        <v>2884</v>
      </c>
      <c r="H2887" s="183">
        <f t="shared" ca="1" si="87"/>
        <v>2.3246215437413759E-2</v>
      </c>
    </row>
    <row r="2888" spans="7:8">
      <c r="G2888" s="168">
        <v>2885</v>
      </c>
      <c r="H2888" s="183">
        <f t="shared" ca="1" si="87"/>
        <v>5.5520924684788094E-3</v>
      </c>
    </row>
    <row r="2889" spans="7:8">
      <c r="G2889" s="168">
        <v>2886</v>
      </c>
      <c r="H2889" s="183">
        <f t="shared" ca="1" si="87"/>
        <v>1.1621816948391782E-2</v>
      </c>
    </row>
    <row r="2890" spans="7:8">
      <c r="G2890" s="168">
        <v>2887</v>
      </c>
      <c r="H2890" s="183">
        <f t="shared" ca="1" si="87"/>
        <v>7.0865688055940885E-3</v>
      </c>
    </row>
    <row r="2891" spans="7:8">
      <c r="G2891" s="168">
        <v>2888</v>
      </c>
      <c r="H2891" s="183">
        <f t="shared" ca="1" si="87"/>
        <v>-1.9115835904876331E-2</v>
      </c>
    </row>
    <row r="2892" spans="7:8">
      <c r="G2892" s="168">
        <v>2889</v>
      </c>
      <c r="H2892" s="183">
        <f t="shared" ca="1" si="87"/>
        <v>-1.5014465989348653E-3</v>
      </c>
    </row>
    <row r="2893" spans="7:8">
      <c r="G2893" s="168">
        <v>2890</v>
      </c>
      <c r="H2893" s="183">
        <f t="shared" ca="1" si="87"/>
        <v>-3.6384263036202777E-2</v>
      </c>
    </row>
    <row r="2894" spans="7:8">
      <c r="G2894" s="168">
        <v>2891</v>
      </c>
      <c r="H2894" s="183">
        <f t="shared" ca="1" si="87"/>
        <v>8.2729863056224349E-3</v>
      </c>
    </row>
    <row r="2895" spans="7:8">
      <c r="G2895" s="168">
        <v>2892</v>
      </c>
      <c r="H2895" s="183">
        <f t="shared" ca="1" si="87"/>
        <v>1.3734695696397858E-2</v>
      </c>
    </row>
    <row r="2896" spans="7:8">
      <c r="G2896" s="168">
        <v>2893</v>
      </c>
      <c r="H2896" s="183">
        <f t="shared" ca="1" si="87"/>
        <v>-1.228323913353346E-4</v>
      </c>
    </row>
    <row r="2897" spans="7:8">
      <c r="G2897" s="168">
        <v>2894</v>
      </c>
      <c r="H2897" s="183">
        <f t="shared" ca="1" si="87"/>
        <v>1.4803604095992174E-2</v>
      </c>
    </row>
    <row r="2898" spans="7:8">
      <c r="G2898" s="168">
        <v>2895</v>
      </c>
      <c r="H2898" s="183">
        <f t="shared" ca="1" si="87"/>
        <v>1.1926637440090353E-2</v>
      </c>
    </row>
    <row r="2899" spans="7:8">
      <c r="G2899" s="168">
        <v>2896</v>
      </c>
      <c r="H2899" s="183">
        <f t="shared" ca="1" si="87"/>
        <v>-1.4325502688552257E-2</v>
      </c>
    </row>
    <row r="2900" spans="7:8">
      <c r="G2900" s="168">
        <v>2897</v>
      </c>
      <c r="H2900" s="183">
        <f t="shared" ca="1" si="87"/>
        <v>1.5890992168543932E-2</v>
      </c>
    </row>
    <row r="2901" spans="7:8">
      <c r="G2901" s="168">
        <v>2898</v>
      </c>
      <c r="H2901" s="183">
        <f t="shared" ca="1" si="87"/>
        <v>6.1685076548065251E-3</v>
      </c>
    </row>
    <row r="2902" spans="7:8">
      <c r="G2902" s="168">
        <v>2899</v>
      </c>
      <c r="H2902" s="183">
        <f t="shared" ca="1" si="87"/>
        <v>-1.052533190039092E-2</v>
      </c>
    </row>
    <row r="2903" spans="7:8">
      <c r="G2903" s="168">
        <v>2900</v>
      </c>
      <c r="H2903" s="183">
        <f t="shared" ca="1" si="87"/>
        <v>4.4994093209055636E-3</v>
      </c>
    </row>
    <row r="2904" spans="7:8">
      <c r="G2904" s="168">
        <v>2901</v>
      </c>
      <c r="H2904" s="183">
        <f t="shared" ca="1" si="87"/>
        <v>-8.7020456955427261E-3</v>
      </c>
    </row>
    <row r="2905" spans="7:8">
      <c r="G2905" s="168">
        <v>2902</v>
      </c>
      <c r="H2905" s="183">
        <f t="shared" ca="1" si="87"/>
        <v>-8.9332156254522295E-3</v>
      </c>
    </row>
    <row r="2906" spans="7:8">
      <c r="G2906" s="168">
        <v>2903</v>
      </c>
      <c r="H2906" s="183">
        <f t="shared" ca="1" si="87"/>
        <v>-5.3043673753148972E-3</v>
      </c>
    </row>
    <row r="2907" spans="7:8">
      <c r="G2907" s="168">
        <v>2904</v>
      </c>
      <c r="H2907" s="183">
        <f t="shared" ca="1" si="87"/>
        <v>5.5272432903787257E-3</v>
      </c>
    </row>
    <row r="2908" spans="7:8">
      <c r="G2908" s="168">
        <v>2905</v>
      </c>
      <c r="H2908" s="183">
        <f t="shared" ca="1" si="87"/>
        <v>-7.3059170438491911E-3</v>
      </c>
    </row>
    <row r="2909" spans="7:8">
      <c r="G2909" s="168">
        <v>2906</v>
      </c>
      <c r="H2909" s="183">
        <f t="shared" ca="1" si="87"/>
        <v>-3.6186890527444091E-3</v>
      </c>
    </row>
    <row r="2910" spans="7:8">
      <c r="G2910" s="168">
        <v>2907</v>
      </c>
      <c r="H2910" s="183">
        <f t="shared" ca="1" si="87"/>
        <v>-1.1754509183093927E-3</v>
      </c>
    </row>
    <row r="2911" spans="7:8">
      <c r="G2911" s="168">
        <v>2908</v>
      </c>
      <c r="H2911" s="183">
        <f t="shared" ca="1" si="87"/>
        <v>-1.1715077687498091E-2</v>
      </c>
    </row>
    <row r="2912" spans="7:8">
      <c r="G2912" s="168">
        <v>2909</v>
      </c>
      <c r="H2912" s="183">
        <f t="shared" ca="1" si="87"/>
        <v>1.0559793642957517E-2</v>
      </c>
    </row>
    <row r="2913" spans="7:8">
      <c r="G2913" s="168">
        <v>2910</v>
      </c>
      <c r="H2913" s="183">
        <f t="shared" ca="1" si="87"/>
        <v>3.7291754102129065E-2</v>
      </c>
    </row>
    <row r="2914" spans="7:8">
      <c r="G2914" s="168">
        <v>2911</v>
      </c>
      <c r="H2914" s="183">
        <f t="shared" ca="1" si="87"/>
        <v>-6.6831053410089563E-3</v>
      </c>
    </row>
    <row r="2915" spans="7:8">
      <c r="G2915" s="168">
        <v>2912</v>
      </c>
      <c r="H2915" s="183">
        <f t="shared" ca="1" si="87"/>
        <v>-6.6363332447475264E-3</v>
      </c>
    </row>
    <row r="2916" spans="7:8">
      <c r="G2916" s="168">
        <v>2913</v>
      </c>
      <c r="H2916" s="183">
        <f t="shared" ca="1" si="87"/>
        <v>-3.6341860254796151E-3</v>
      </c>
    </row>
    <row r="2917" spans="7:8">
      <c r="G2917" s="168">
        <v>2914</v>
      </c>
      <c r="H2917" s="183">
        <f t="shared" ca="1" si="87"/>
        <v>-3.1159430733453317E-2</v>
      </c>
    </row>
    <row r="2918" spans="7:8">
      <c r="G2918" s="168">
        <v>2915</v>
      </c>
      <c r="H2918" s="183">
        <f t="shared" ca="1" si="87"/>
        <v>7.3963116325304369E-3</v>
      </c>
    </row>
    <row r="2919" spans="7:8">
      <c r="G2919" s="168">
        <v>2916</v>
      </c>
      <c r="H2919" s="183">
        <f t="shared" ca="1" si="87"/>
        <v>1.5508748943671843E-3</v>
      </c>
    </row>
    <row r="2920" spans="7:8">
      <c r="G2920" s="168">
        <v>2917</v>
      </c>
      <c r="H2920" s="183">
        <f t="shared" ca="1" si="87"/>
        <v>2.5737615551940599E-2</v>
      </c>
    </row>
    <row r="2921" spans="7:8">
      <c r="G2921" s="168">
        <v>2918</v>
      </c>
      <c r="H2921" s="183">
        <f t="shared" ca="1" si="87"/>
        <v>3.0422910051494563E-2</v>
      </c>
    </row>
    <row r="2922" spans="7:8">
      <c r="G2922" s="168">
        <v>2919</v>
      </c>
      <c r="H2922" s="183">
        <f t="shared" ca="1" si="87"/>
        <v>-1.3089130142918031E-3</v>
      </c>
    </row>
    <row r="2923" spans="7:8">
      <c r="G2923" s="168">
        <v>2920</v>
      </c>
      <c r="H2923" s="183">
        <f t="shared" ca="1" si="87"/>
        <v>6.6243709329418723E-3</v>
      </c>
    </row>
    <row r="2924" spans="7:8">
      <c r="G2924" s="168">
        <v>2921</v>
      </c>
      <c r="H2924" s="183">
        <f t="shared" ca="1" si="87"/>
        <v>4.0536394064810436E-3</v>
      </c>
    </row>
    <row r="2925" spans="7:8">
      <c r="G2925" s="168">
        <v>2922</v>
      </c>
      <c r="H2925" s="183">
        <f t="shared" ca="1" si="87"/>
        <v>6.7252713351091346E-3</v>
      </c>
    </row>
    <row r="2926" spans="7:8">
      <c r="G2926" s="168">
        <v>2923</v>
      </c>
      <c r="H2926" s="183">
        <f t="shared" ca="1" si="87"/>
        <v>-2.8690375561818129E-3</v>
      </c>
    </row>
    <row r="2927" spans="7:8">
      <c r="G2927" s="168">
        <v>2924</v>
      </c>
      <c r="H2927" s="183">
        <f t="shared" ca="1" si="87"/>
        <v>8.3302704444788191E-3</v>
      </c>
    </row>
    <row r="2928" spans="7:8">
      <c r="G2928" s="168">
        <v>2925</v>
      </c>
      <c r="H2928" s="183">
        <f t="shared" ca="1" si="87"/>
        <v>8.7522818742078352E-3</v>
      </c>
    </row>
    <row r="2929" spans="7:8">
      <c r="G2929" s="168">
        <v>2926</v>
      </c>
      <c r="H2929" s="183">
        <f t="shared" ca="1" si="87"/>
        <v>-1.8893800068878964E-2</v>
      </c>
    </row>
    <row r="2930" spans="7:8">
      <c r="G2930" s="168">
        <v>2927</v>
      </c>
      <c r="H2930" s="183">
        <f t="shared" ca="1" si="87"/>
        <v>1.7458234116640867E-2</v>
      </c>
    </row>
    <row r="2931" spans="7:8">
      <c r="G2931" s="168">
        <v>2928</v>
      </c>
      <c r="H2931" s="183">
        <f t="shared" ca="1" si="87"/>
        <v>1.1308856102028138E-2</v>
      </c>
    </row>
    <row r="2932" spans="7:8">
      <c r="G2932" s="168">
        <v>2929</v>
      </c>
      <c r="H2932" s="183">
        <f t="shared" ca="1" si="87"/>
        <v>-9.73619619494559E-3</v>
      </c>
    </row>
    <row r="2933" spans="7:8">
      <c r="G2933" s="168">
        <v>2930</v>
      </c>
      <c r="H2933" s="183">
        <f t="shared" ca="1" si="87"/>
        <v>1.4720879869781465E-2</v>
      </c>
    </row>
    <row r="2934" spans="7:8">
      <c r="G2934" s="168">
        <v>2931</v>
      </c>
      <c r="H2934" s="183">
        <f t="shared" ca="1" si="87"/>
        <v>-4.1021905734934579E-3</v>
      </c>
    </row>
    <row r="2935" spans="7:8">
      <c r="G2935" s="168">
        <v>2932</v>
      </c>
      <c r="H2935" s="183">
        <f t="shared" ca="1" si="87"/>
        <v>-3.299855223670314E-3</v>
      </c>
    </row>
    <row r="2936" spans="7:8">
      <c r="G2936" s="168">
        <v>2933</v>
      </c>
      <c r="H2936" s="183">
        <f t="shared" ca="1" si="87"/>
        <v>7.833727416300347E-3</v>
      </c>
    </row>
    <row r="2937" spans="7:8">
      <c r="G2937" s="168">
        <v>2934</v>
      </c>
      <c r="H2937" s="183">
        <f t="shared" ca="1" si="87"/>
        <v>-3.9929468912900026E-3</v>
      </c>
    </row>
    <row r="2938" spans="7:8">
      <c r="G2938" s="168">
        <v>2935</v>
      </c>
      <c r="H2938" s="183">
        <f t="shared" ca="1" si="87"/>
        <v>9.2143966812179836E-4</v>
      </c>
    </row>
    <row r="2939" spans="7:8">
      <c r="G2939" s="168">
        <v>2936</v>
      </c>
      <c r="H2939" s="183">
        <f t="shared" ca="1" si="87"/>
        <v>-3.273825309517509E-3</v>
      </c>
    </row>
    <row r="2940" spans="7:8">
      <c r="G2940" s="168">
        <v>2937</v>
      </c>
      <c r="H2940" s="183">
        <f t="shared" ca="1" si="87"/>
        <v>3.0816127264343861E-2</v>
      </c>
    </row>
    <row r="2941" spans="7:8">
      <c r="G2941" s="168">
        <v>2938</v>
      </c>
      <c r="H2941" s="183">
        <f t="shared" ca="1" si="87"/>
        <v>1.7911191190807235E-2</v>
      </c>
    </row>
    <row r="2942" spans="7:8">
      <c r="G2942" s="168">
        <v>2939</v>
      </c>
      <c r="H2942" s="183">
        <f t="shared" ca="1" si="87"/>
        <v>1.5047538433649615E-2</v>
      </c>
    </row>
    <row r="2943" spans="7:8">
      <c r="G2943" s="168">
        <v>2940</v>
      </c>
      <c r="H2943" s="183">
        <f t="shared" ca="1" si="87"/>
        <v>7.5235942470189962E-3</v>
      </c>
    </row>
    <row r="2944" spans="7:8">
      <c r="G2944" s="168">
        <v>2941</v>
      </c>
      <c r="H2944" s="183">
        <f t="shared" ca="1" si="87"/>
        <v>7.6164650001164652E-3</v>
      </c>
    </row>
    <row r="2945" spans="7:8">
      <c r="G2945" s="168">
        <v>2942</v>
      </c>
      <c r="H2945" s="183">
        <f t="shared" ca="1" si="87"/>
        <v>6.4834199635948175E-3</v>
      </c>
    </row>
    <row r="2946" spans="7:8">
      <c r="G2946" s="168">
        <v>2943</v>
      </c>
      <c r="H2946" s="183">
        <f t="shared" ca="1" si="87"/>
        <v>-7.1367799961169842E-3</v>
      </c>
    </row>
    <row r="2947" spans="7:8">
      <c r="G2947" s="168">
        <v>2944</v>
      </c>
      <c r="H2947" s="183">
        <f t="shared" ca="1" si="87"/>
        <v>1.0562369135095675E-2</v>
      </c>
    </row>
    <row r="2948" spans="7:8">
      <c r="G2948" s="168">
        <v>2945</v>
      </c>
      <c r="H2948" s="183">
        <f t="shared" ca="1" si="87"/>
        <v>5.015607667617104E-5</v>
      </c>
    </row>
    <row r="2949" spans="7:8">
      <c r="G2949" s="168">
        <v>2946</v>
      </c>
      <c r="H2949" s="183">
        <f t="shared" ref="H2949:H3012" ca="1" si="88">_xlfn.NORM.INV(RAND(),N$6,N$7)</f>
        <v>-1.3706128743093845E-2</v>
      </c>
    </row>
    <row r="2950" spans="7:8">
      <c r="G2950" s="168">
        <v>2947</v>
      </c>
      <c r="H2950" s="183">
        <f t="shared" ca="1" si="88"/>
        <v>2.6233138177247779E-2</v>
      </c>
    </row>
    <row r="2951" spans="7:8">
      <c r="G2951" s="168">
        <v>2948</v>
      </c>
      <c r="H2951" s="183">
        <f t="shared" ca="1" si="88"/>
        <v>-2.1889072906281478E-3</v>
      </c>
    </row>
    <row r="2952" spans="7:8">
      <c r="G2952" s="168">
        <v>2949</v>
      </c>
      <c r="H2952" s="183">
        <f t="shared" ca="1" si="88"/>
        <v>-1.6803116108392267E-2</v>
      </c>
    </row>
    <row r="2953" spans="7:8">
      <c r="G2953" s="168">
        <v>2950</v>
      </c>
      <c r="H2953" s="183">
        <f t="shared" ca="1" si="88"/>
        <v>-7.3730442094114392E-3</v>
      </c>
    </row>
    <row r="2954" spans="7:8">
      <c r="G2954" s="168">
        <v>2951</v>
      </c>
      <c r="H2954" s="183">
        <f t="shared" ca="1" si="88"/>
        <v>-5.980282019222875E-4</v>
      </c>
    </row>
    <row r="2955" spans="7:8">
      <c r="G2955" s="168">
        <v>2952</v>
      </c>
      <c r="H2955" s="183">
        <f t="shared" ca="1" si="88"/>
        <v>-2.3828841881999279E-3</v>
      </c>
    </row>
    <row r="2956" spans="7:8">
      <c r="G2956" s="168">
        <v>2953</v>
      </c>
      <c r="H2956" s="183">
        <f t="shared" ca="1" si="88"/>
        <v>-2.7132054781430597E-3</v>
      </c>
    </row>
    <row r="2957" spans="7:8">
      <c r="G2957" s="168">
        <v>2954</v>
      </c>
      <c r="H2957" s="183">
        <f t="shared" ca="1" si="88"/>
        <v>1.6925127752563801E-2</v>
      </c>
    </row>
    <row r="2958" spans="7:8">
      <c r="G2958" s="168">
        <v>2955</v>
      </c>
      <c r="H2958" s="183">
        <f t="shared" ca="1" si="88"/>
        <v>5.6704351967644265E-3</v>
      </c>
    </row>
    <row r="2959" spans="7:8">
      <c r="G2959" s="168">
        <v>2956</v>
      </c>
      <c r="H2959" s="183">
        <f t="shared" ca="1" si="88"/>
        <v>-1.2176308994902602E-2</v>
      </c>
    </row>
    <row r="2960" spans="7:8">
      <c r="G2960" s="168">
        <v>2957</v>
      </c>
      <c r="H2960" s="183">
        <f t="shared" ca="1" si="88"/>
        <v>2.8068230483545686E-3</v>
      </c>
    </row>
    <row r="2961" spans="7:8">
      <c r="G2961" s="168">
        <v>2958</v>
      </c>
      <c r="H2961" s="183">
        <f t="shared" ca="1" si="88"/>
        <v>6.0164209755183351E-3</v>
      </c>
    </row>
    <row r="2962" spans="7:8">
      <c r="G2962" s="168">
        <v>2959</v>
      </c>
      <c r="H2962" s="183">
        <f t="shared" ca="1" si="88"/>
        <v>-2.3528864975771464E-3</v>
      </c>
    </row>
    <row r="2963" spans="7:8">
      <c r="G2963" s="168">
        <v>2960</v>
      </c>
      <c r="H2963" s="183">
        <f t="shared" ca="1" si="88"/>
        <v>6.1155938159476149E-3</v>
      </c>
    </row>
    <row r="2964" spans="7:8">
      <c r="G2964" s="168">
        <v>2961</v>
      </c>
      <c r="H2964" s="183">
        <f t="shared" ca="1" si="88"/>
        <v>-1.0989318292118931E-2</v>
      </c>
    </row>
    <row r="2965" spans="7:8">
      <c r="G2965" s="168">
        <v>2962</v>
      </c>
      <c r="H2965" s="183">
        <f t="shared" ca="1" si="88"/>
        <v>-2.7644633146516828E-2</v>
      </c>
    </row>
    <row r="2966" spans="7:8">
      <c r="G2966" s="168">
        <v>2963</v>
      </c>
      <c r="H2966" s="183">
        <f t="shared" ca="1" si="88"/>
        <v>2.4988391189664234E-2</v>
      </c>
    </row>
    <row r="2967" spans="7:8">
      <c r="G2967" s="168">
        <v>2964</v>
      </c>
      <c r="H2967" s="183">
        <f t="shared" ca="1" si="88"/>
        <v>8.4436210132049841E-3</v>
      </c>
    </row>
    <row r="2968" spans="7:8">
      <c r="G2968" s="168">
        <v>2965</v>
      </c>
      <c r="H2968" s="183">
        <f t="shared" ca="1" si="88"/>
        <v>-1.7985186000846753E-2</v>
      </c>
    </row>
    <row r="2969" spans="7:8">
      <c r="G2969" s="168">
        <v>2966</v>
      </c>
      <c r="H2969" s="183">
        <f t="shared" ca="1" si="88"/>
        <v>7.5976888921520736E-3</v>
      </c>
    </row>
    <row r="2970" spans="7:8">
      <c r="G2970" s="168">
        <v>2967</v>
      </c>
      <c r="H2970" s="183">
        <f t="shared" ca="1" si="88"/>
        <v>2.64184888724209E-2</v>
      </c>
    </row>
    <row r="2971" spans="7:8">
      <c r="G2971" s="168">
        <v>2968</v>
      </c>
      <c r="H2971" s="183">
        <f t="shared" ca="1" si="88"/>
        <v>5.0220622869574672E-3</v>
      </c>
    </row>
    <row r="2972" spans="7:8">
      <c r="G2972" s="168">
        <v>2969</v>
      </c>
      <c r="H2972" s="183">
        <f t="shared" ca="1" si="88"/>
        <v>-1.8514996401388321E-2</v>
      </c>
    </row>
    <row r="2973" spans="7:8">
      <c r="G2973" s="168">
        <v>2970</v>
      </c>
      <c r="H2973" s="183">
        <f t="shared" ca="1" si="88"/>
        <v>1.2750317786215701E-2</v>
      </c>
    </row>
    <row r="2974" spans="7:8">
      <c r="G2974" s="168">
        <v>2971</v>
      </c>
      <c r="H2974" s="183">
        <f t="shared" ca="1" si="88"/>
        <v>3.1255835640932907E-3</v>
      </c>
    </row>
    <row r="2975" spans="7:8">
      <c r="G2975" s="168">
        <v>2972</v>
      </c>
      <c r="H2975" s="183">
        <f t="shared" ca="1" si="88"/>
        <v>2.0216238880753773E-3</v>
      </c>
    </row>
    <row r="2976" spans="7:8">
      <c r="G2976" s="168">
        <v>2973</v>
      </c>
      <c r="H2976" s="183">
        <f t="shared" ca="1" si="88"/>
        <v>4.6924027892191206E-3</v>
      </c>
    </row>
    <row r="2977" spans="7:8">
      <c r="G2977" s="168">
        <v>2974</v>
      </c>
      <c r="H2977" s="183">
        <f t="shared" ca="1" si="88"/>
        <v>2.0349326303001195E-3</v>
      </c>
    </row>
    <row r="2978" spans="7:8">
      <c r="G2978" s="168">
        <v>2975</v>
      </c>
      <c r="H2978" s="183">
        <f t="shared" ca="1" si="88"/>
        <v>1.3843251547919468E-2</v>
      </c>
    </row>
    <row r="2979" spans="7:8">
      <c r="G2979" s="168">
        <v>2976</v>
      </c>
      <c r="H2979" s="183">
        <f t="shared" ca="1" si="88"/>
        <v>7.3421812179493007E-4</v>
      </c>
    </row>
    <row r="2980" spans="7:8">
      <c r="G2980" s="168">
        <v>2977</v>
      </c>
      <c r="H2980" s="183">
        <f t="shared" ca="1" si="88"/>
        <v>1.7953522273941487E-2</v>
      </c>
    </row>
    <row r="2981" spans="7:8">
      <c r="G2981" s="168">
        <v>2978</v>
      </c>
      <c r="H2981" s="183">
        <f t="shared" ca="1" si="88"/>
        <v>5.1673896467318717E-3</v>
      </c>
    </row>
    <row r="2982" spans="7:8">
      <c r="G2982" s="168">
        <v>2979</v>
      </c>
      <c r="H2982" s="183">
        <f t="shared" ca="1" si="88"/>
        <v>-4.4855174593557206E-3</v>
      </c>
    </row>
    <row r="2983" spans="7:8">
      <c r="G2983" s="168">
        <v>2980</v>
      </c>
      <c r="H2983" s="183">
        <f t="shared" ca="1" si="88"/>
        <v>-9.2411231189018991E-3</v>
      </c>
    </row>
    <row r="2984" spans="7:8">
      <c r="G2984" s="168">
        <v>2981</v>
      </c>
      <c r="H2984" s="183">
        <f t="shared" ca="1" si="88"/>
        <v>-1.1972107158724959E-2</v>
      </c>
    </row>
    <row r="2985" spans="7:8">
      <c r="G2985" s="168">
        <v>2982</v>
      </c>
      <c r="H2985" s="183">
        <f t="shared" ca="1" si="88"/>
        <v>5.773769733292286E-3</v>
      </c>
    </row>
    <row r="2986" spans="7:8">
      <c r="G2986" s="168">
        <v>2983</v>
      </c>
      <c r="H2986" s="183">
        <f t="shared" ca="1" si="88"/>
        <v>8.351868516878188E-3</v>
      </c>
    </row>
    <row r="2987" spans="7:8">
      <c r="G2987" s="168">
        <v>2984</v>
      </c>
      <c r="H2987" s="183">
        <f t="shared" ca="1" si="88"/>
        <v>9.6072281209983006E-3</v>
      </c>
    </row>
    <row r="2988" spans="7:8">
      <c r="G2988" s="168">
        <v>2985</v>
      </c>
      <c r="H2988" s="183">
        <f t="shared" ca="1" si="88"/>
        <v>1.3483627674339558E-2</v>
      </c>
    </row>
    <row r="2989" spans="7:8">
      <c r="G2989" s="168">
        <v>2986</v>
      </c>
      <c r="H2989" s="183">
        <f t="shared" ca="1" si="88"/>
        <v>-2.2039545590986621E-2</v>
      </c>
    </row>
    <row r="2990" spans="7:8">
      <c r="G2990" s="168">
        <v>2987</v>
      </c>
      <c r="H2990" s="183">
        <f t="shared" ca="1" si="88"/>
        <v>-1.1488398182650718E-2</v>
      </c>
    </row>
    <row r="2991" spans="7:8">
      <c r="G2991" s="168">
        <v>2988</v>
      </c>
      <c r="H2991" s="183">
        <f t="shared" ca="1" si="88"/>
        <v>1.8452717084216173E-2</v>
      </c>
    </row>
    <row r="2992" spans="7:8">
      <c r="G2992" s="168">
        <v>2989</v>
      </c>
      <c r="H2992" s="183">
        <f t="shared" ca="1" si="88"/>
        <v>1.7465458954861367E-2</v>
      </c>
    </row>
    <row r="2993" spans="7:8">
      <c r="G2993" s="168">
        <v>2990</v>
      </c>
      <c r="H2993" s="183">
        <f t="shared" ca="1" si="88"/>
        <v>-1.5263424548628932E-2</v>
      </c>
    </row>
    <row r="2994" spans="7:8">
      <c r="G2994" s="168">
        <v>2991</v>
      </c>
      <c r="H2994" s="183">
        <f t="shared" ca="1" si="88"/>
        <v>6.2378098817783747E-3</v>
      </c>
    </row>
    <row r="2995" spans="7:8">
      <c r="G2995" s="168">
        <v>2992</v>
      </c>
      <c r="H2995" s="183">
        <f t="shared" ca="1" si="88"/>
        <v>-1.4210712997142692E-2</v>
      </c>
    </row>
    <row r="2996" spans="7:8">
      <c r="G2996" s="168">
        <v>2993</v>
      </c>
      <c r="H2996" s="183">
        <f t="shared" ca="1" si="88"/>
        <v>-1.6426454956534178E-2</v>
      </c>
    </row>
    <row r="2997" spans="7:8">
      <c r="G2997" s="168">
        <v>2994</v>
      </c>
      <c r="H2997" s="183">
        <f t="shared" ca="1" si="88"/>
        <v>-7.1236302400215458E-3</v>
      </c>
    </row>
    <row r="2998" spans="7:8">
      <c r="G2998" s="168">
        <v>2995</v>
      </c>
      <c r="H2998" s="183">
        <f t="shared" ca="1" si="88"/>
        <v>-2.6043350032947526E-2</v>
      </c>
    </row>
    <row r="2999" spans="7:8">
      <c r="G2999" s="168">
        <v>2996</v>
      </c>
      <c r="H2999" s="183">
        <f t="shared" ca="1" si="88"/>
        <v>-6.7491566581394553E-4</v>
      </c>
    </row>
    <row r="3000" spans="7:8">
      <c r="G3000" s="168">
        <v>2997</v>
      </c>
      <c r="H3000" s="183">
        <f t="shared" ca="1" si="88"/>
        <v>7.4607814350183743E-4</v>
      </c>
    </row>
    <row r="3001" spans="7:8">
      <c r="G3001" s="168">
        <v>2998</v>
      </c>
      <c r="H3001" s="183">
        <f t="shared" ca="1" si="88"/>
        <v>-1.3514856477309527E-2</v>
      </c>
    </row>
    <row r="3002" spans="7:8">
      <c r="G3002" s="168">
        <v>2999</v>
      </c>
      <c r="H3002" s="183">
        <f t="shared" ca="1" si="88"/>
        <v>4.03156947849884E-3</v>
      </c>
    </row>
    <row r="3003" spans="7:8">
      <c r="G3003" s="168">
        <v>3000</v>
      </c>
      <c r="H3003" s="183">
        <f t="shared" ca="1" si="88"/>
        <v>1.3227520843502424E-2</v>
      </c>
    </row>
    <row r="3004" spans="7:8">
      <c r="G3004" s="168">
        <v>3001</v>
      </c>
      <c r="H3004" s="183">
        <f t="shared" ca="1" si="88"/>
        <v>-1.1009245806665454E-2</v>
      </c>
    </row>
    <row r="3005" spans="7:8">
      <c r="G3005" s="168">
        <v>3002</v>
      </c>
      <c r="H3005" s="183">
        <f t="shared" ca="1" si="88"/>
        <v>7.7963797122101173E-3</v>
      </c>
    </row>
    <row r="3006" spans="7:8">
      <c r="G3006" s="168">
        <v>3003</v>
      </c>
      <c r="H3006" s="183">
        <f t="shared" ca="1" si="88"/>
        <v>1.9197029122188257E-2</v>
      </c>
    </row>
    <row r="3007" spans="7:8">
      <c r="G3007" s="168">
        <v>3004</v>
      </c>
      <c r="H3007" s="183">
        <f t="shared" ca="1" si="88"/>
        <v>-2.180340438199758E-3</v>
      </c>
    </row>
    <row r="3008" spans="7:8">
      <c r="G3008" s="168">
        <v>3005</v>
      </c>
      <c r="H3008" s="183">
        <f t="shared" ca="1" si="88"/>
        <v>1.0339922356931614E-2</v>
      </c>
    </row>
    <row r="3009" spans="7:8">
      <c r="G3009" s="168">
        <v>3006</v>
      </c>
      <c r="H3009" s="183">
        <f t="shared" ca="1" si="88"/>
        <v>-6.6745769403176143E-3</v>
      </c>
    </row>
    <row r="3010" spans="7:8">
      <c r="G3010" s="168">
        <v>3007</v>
      </c>
      <c r="H3010" s="183">
        <f t="shared" ca="1" si="88"/>
        <v>-3.6048153946605221E-3</v>
      </c>
    </row>
    <row r="3011" spans="7:8">
      <c r="G3011" s="168">
        <v>3008</v>
      </c>
      <c r="H3011" s="183">
        <f t="shared" ca="1" si="88"/>
        <v>2.5454764700055775E-3</v>
      </c>
    </row>
    <row r="3012" spans="7:8">
      <c r="G3012" s="168">
        <v>3009</v>
      </c>
      <c r="H3012" s="183">
        <f t="shared" ca="1" si="88"/>
        <v>6.4146551264431962E-3</v>
      </c>
    </row>
    <row r="3013" spans="7:8">
      <c r="G3013" s="168">
        <v>3010</v>
      </c>
      <c r="H3013" s="183">
        <f t="shared" ref="H3013:H3076" ca="1" si="89">_xlfn.NORM.INV(RAND(),N$6,N$7)</f>
        <v>9.6143511262254781E-3</v>
      </c>
    </row>
    <row r="3014" spans="7:8">
      <c r="G3014" s="168">
        <v>3011</v>
      </c>
      <c r="H3014" s="183">
        <f t="shared" ca="1" si="89"/>
        <v>-6.0146734675941343E-3</v>
      </c>
    </row>
    <row r="3015" spans="7:8">
      <c r="G3015" s="168">
        <v>3012</v>
      </c>
      <c r="H3015" s="183">
        <f t="shared" ca="1" si="89"/>
        <v>1.5888420808021688E-2</v>
      </c>
    </row>
    <row r="3016" spans="7:8">
      <c r="G3016" s="168">
        <v>3013</v>
      </c>
      <c r="H3016" s="183">
        <f t="shared" ca="1" si="89"/>
        <v>-3.1077871965310951E-4</v>
      </c>
    </row>
    <row r="3017" spans="7:8">
      <c r="G3017" s="168">
        <v>3014</v>
      </c>
      <c r="H3017" s="183">
        <f t="shared" ca="1" si="89"/>
        <v>-1.6756119856087236E-2</v>
      </c>
    </row>
    <row r="3018" spans="7:8">
      <c r="G3018" s="168">
        <v>3015</v>
      </c>
      <c r="H3018" s="183">
        <f t="shared" ca="1" si="89"/>
        <v>-2.5255487016632248E-2</v>
      </c>
    </row>
    <row r="3019" spans="7:8">
      <c r="G3019" s="168">
        <v>3016</v>
      </c>
      <c r="H3019" s="183">
        <f t="shared" ca="1" si="89"/>
        <v>-7.4147854462916244E-3</v>
      </c>
    </row>
    <row r="3020" spans="7:8">
      <c r="G3020" s="168">
        <v>3017</v>
      </c>
      <c r="H3020" s="183">
        <f t="shared" ca="1" si="89"/>
        <v>1.6903250039472701E-2</v>
      </c>
    </row>
    <row r="3021" spans="7:8">
      <c r="G3021" s="168">
        <v>3018</v>
      </c>
      <c r="H3021" s="183">
        <f t="shared" ca="1" si="89"/>
        <v>1.1016324328573076E-2</v>
      </c>
    </row>
    <row r="3022" spans="7:8">
      <c r="G3022" s="168">
        <v>3019</v>
      </c>
      <c r="H3022" s="183">
        <f t="shared" ca="1" si="89"/>
        <v>-1.4754439058478074E-2</v>
      </c>
    </row>
    <row r="3023" spans="7:8">
      <c r="G3023" s="168">
        <v>3020</v>
      </c>
      <c r="H3023" s="183">
        <f t="shared" ca="1" si="89"/>
        <v>9.5151802513648576E-3</v>
      </c>
    </row>
    <row r="3024" spans="7:8">
      <c r="G3024" s="168">
        <v>3021</v>
      </c>
      <c r="H3024" s="183">
        <f t="shared" ca="1" si="89"/>
        <v>9.216820976519902E-3</v>
      </c>
    </row>
    <row r="3025" spans="7:8">
      <c r="G3025" s="168">
        <v>3022</v>
      </c>
      <c r="H3025" s="183">
        <f t="shared" ca="1" si="89"/>
        <v>-1.177107718308922E-4</v>
      </c>
    </row>
    <row r="3026" spans="7:8">
      <c r="G3026" s="168">
        <v>3023</v>
      </c>
      <c r="H3026" s="183">
        <f t="shared" ca="1" si="89"/>
        <v>2.839060005494308E-2</v>
      </c>
    </row>
    <row r="3027" spans="7:8">
      <c r="G3027" s="168">
        <v>3024</v>
      </c>
      <c r="H3027" s="183">
        <f t="shared" ca="1" si="89"/>
        <v>-1.734036545563503E-2</v>
      </c>
    </row>
    <row r="3028" spans="7:8">
      <c r="G3028" s="168">
        <v>3025</v>
      </c>
      <c r="H3028" s="183">
        <f t="shared" ca="1" si="89"/>
        <v>2.0418117647524759E-3</v>
      </c>
    </row>
    <row r="3029" spans="7:8">
      <c r="G3029" s="168">
        <v>3026</v>
      </c>
      <c r="H3029" s="183">
        <f t="shared" ca="1" si="89"/>
        <v>1.2259731897063487E-3</v>
      </c>
    </row>
    <row r="3030" spans="7:8">
      <c r="G3030" s="168">
        <v>3027</v>
      </c>
      <c r="H3030" s="183">
        <f t="shared" ca="1" si="89"/>
        <v>-8.3719718613227204E-3</v>
      </c>
    </row>
    <row r="3031" spans="7:8">
      <c r="G3031" s="168">
        <v>3028</v>
      </c>
      <c r="H3031" s="183">
        <f t="shared" ca="1" si="89"/>
        <v>1.184490434424796E-2</v>
      </c>
    </row>
    <row r="3032" spans="7:8">
      <c r="G3032" s="168">
        <v>3029</v>
      </c>
      <c r="H3032" s="183">
        <f t="shared" ca="1" si="89"/>
        <v>-1.5860860125178042E-2</v>
      </c>
    </row>
    <row r="3033" spans="7:8">
      <c r="G3033" s="168">
        <v>3030</v>
      </c>
      <c r="H3033" s="183">
        <f t="shared" ca="1" si="89"/>
        <v>-1.6699200478228916E-2</v>
      </c>
    </row>
    <row r="3034" spans="7:8">
      <c r="G3034" s="168">
        <v>3031</v>
      </c>
      <c r="H3034" s="183">
        <f t="shared" ca="1" si="89"/>
        <v>-1.2561207598841374E-2</v>
      </c>
    </row>
    <row r="3035" spans="7:8">
      <c r="G3035" s="168">
        <v>3032</v>
      </c>
      <c r="H3035" s="183">
        <f t="shared" ca="1" si="89"/>
        <v>1.1068013506787627E-2</v>
      </c>
    </row>
    <row r="3036" spans="7:8">
      <c r="G3036" s="168">
        <v>3033</v>
      </c>
      <c r="H3036" s="183">
        <f t="shared" ca="1" si="89"/>
        <v>1.4036623266426469E-2</v>
      </c>
    </row>
    <row r="3037" spans="7:8">
      <c r="G3037" s="168">
        <v>3034</v>
      </c>
      <c r="H3037" s="183">
        <f t="shared" ca="1" si="89"/>
        <v>8.45335493678772E-3</v>
      </c>
    </row>
    <row r="3038" spans="7:8">
      <c r="G3038" s="168">
        <v>3035</v>
      </c>
      <c r="H3038" s="183">
        <f t="shared" ca="1" si="89"/>
        <v>3.4663612223878289E-3</v>
      </c>
    </row>
    <row r="3039" spans="7:8">
      <c r="G3039" s="168">
        <v>3036</v>
      </c>
      <c r="H3039" s="183">
        <f t="shared" ca="1" si="89"/>
        <v>1.1508752017793958E-2</v>
      </c>
    </row>
    <row r="3040" spans="7:8">
      <c r="G3040" s="168">
        <v>3037</v>
      </c>
      <c r="H3040" s="183">
        <f t="shared" ca="1" si="89"/>
        <v>1.7071893288321066E-2</v>
      </c>
    </row>
    <row r="3041" spans="7:8">
      <c r="G3041" s="168">
        <v>3038</v>
      </c>
      <c r="H3041" s="183">
        <f t="shared" ca="1" si="89"/>
        <v>-2.2864039995385043E-3</v>
      </c>
    </row>
    <row r="3042" spans="7:8">
      <c r="G3042" s="168">
        <v>3039</v>
      </c>
      <c r="H3042" s="183">
        <f t="shared" ca="1" si="89"/>
        <v>-8.3176964820443934E-4</v>
      </c>
    </row>
    <row r="3043" spans="7:8">
      <c r="G3043" s="168">
        <v>3040</v>
      </c>
      <c r="H3043" s="183">
        <f t="shared" ca="1" si="89"/>
        <v>-6.2291752264809755E-3</v>
      </c>
    </row>
    <row r="3044" spans="7:8">
      <c r="G3044" s="168">
        <v>3041</v>
      </c>
      <c r="H3044" s="183">
        <f t="shared" ca="1" si="89"/>
        <v>2.6424123231801435E-3</v>
      </c>
    </row>
    <row r="3045" spans="7:8">
      <c r="G3045" s="168">
        <v>3042</v>
      </c>
      <c r="H3045" s="183">
        <f t="shared" ca="1" si="89"/>
        <v>1.451780277453063E-2</v>
      </c>
    </row>
    <row r="3046" spans="7:8">
      <c r="G3046" s="168">
        <v>3043</v>
      </c>
      <c r="H3046" s="183">
        <f t="shared" ca="1" si="89"/>
        <v>-5.9407038294398201E-3</v>
      </c>
    </row>
    <row r="3047" spans="7:8">
      <c r="G3047" s="168">
        <v>3044</v>
      </c>
      <c r="H3047" s="183">
        <f t="shared" ca="1" si="89"/>
        <v>1.5956335546361475E-2</v>
      </c>
    </row>
    <row r="3048" spans="7:8">
      <c r="G3048" s="168">
        <v>3045</v>
      </c>
      <c r="H3048" s="183">
        <f t="shared" ca="1" si="89"/>
        <v>-9.7305072472760566E-3</v>
      </c>
    </row>
    <row r="3049" spans="7:8">
      <c r="G3049" s="168">
        <v>3046</v>
      </c>
      <c r="H3049" s="183">
        <f t="shared" ca="1" si="89"/>
        <v>4.1105983558303392E-3</v>
      </c>
    </row>
    <row r="3050" spans="7:8">
      <c r="G3050" s="168">
        <v>3047</v>
      </c>
      <c r="H3050" s="183">
        <f t="shared" ca="1" si="89"/>
        <v>-9.2082060731403549E-3</v>
      </c>
    </row>
    <row r="3051" spans="7:8">
      <c r="G3051" s="168">
        <v>3048</v>
      </c>
      <c r="H3051" s="183">
        <f t="shared" ca="1" si="89"/>
        <v>3.4611811961416765E-2</v>
      </c>
    </row>
    <row r="3052" spans="7:8">
      <c r="G3052" s="168">
        <v>3049</v>
      </c>
      <c r="H3052" s="183">
        <f t="shared" ca="1" si="89"/>
        <v>-2.6804121976804811E-2</v>
      </c>
    </row>
    <row r="3053" spans="7:8">
      <c r="G3053" s="168">
        <v>3050</v>
      </c>
      <c r="H3053" s="183">
        <f t="shared" ca="1" si="89"/>
        <v>-1.5954999079538131E-3</v>
      </c>
    </row>
    <row r="3054" spans="7:8">
      <c r="G3054" s="168">
        <v>3051</v>
      </c>
      <c r="H3054" s="183">
        <f t="shared" ca="1" si="89"/>
        <v>-1.4697247034931481E-2</v>
      </c>
    </row>
    <row r="3055" spans="7:8">
      <c r="G3055" s="168">
        <v>3052</v>
      </c>
      <c r="H3055" s="183">
        <f t="shared" ca="1" si="89"/>
        <v>6.4496124624576733E-3</v>
      </c>
    </row>
    <row r="3056" spans="7:8">
      <c r="G3056" s="168">
        <v>3053</v>
      </c>
      <c r="H3056" s="183">
        <f t="shared" ca="1" si="89"/>
        <v>2.2470115416011151E-2</v>
      </c>
    </row>
    <row r="3057" spans="7:8">
      <c r="G3057" s="168">
        <v>3054</v>
      </c>
      <c r="H3057" s="183">
        <f t="shared" ca="1" si="89"/>
        <v>6.3030411645916412E-3</v>
      </c>
    </row>
    <row r="3058" spans="7:8">
      <c r="G3058" s="168">
        <v>3055</v>
      </c>
      <c r="H3058" s="183">
        <f t="shared" ca="1" si="89"/>
        <v>1.5480371865454878E-2</v>
      </c>
    </row>
    <row r="3059" spans="7:8">
      <c r="G3059" s="168">
        <v>3056</v>
      </c>
      <c r="H3059" s="183">
        <f t="shared" ca="1" si="89"/>
        <v>1.0308918889977967E-2</v>
      </c>
    </row>
    <row r="3060" spans="7:8">
      <c r="G3060" s="168">
        <v>3057</v>
      </c>
      <c r="H3060" s="183">
        <f t="shared" ca="1" si="89"/>
        <v>-1.1225131424517455E-2</v>
      </c>
    </row>
    <row r="3061" spans="7:8">
      <c r="G3061" s="168">
        <v>3058</v>
      </c>
      <c r="H3061" s="183">
        <f t="shared" ca="1" si="89"/>
        <v>-1.6354147414922244E-3</v>
      </c>
    </row>
    <row r="3062" spans="7:8">
      <c r="G3062" s="168">
        <v>3059</v>
      </c>
      <c r="H3062" s="183">
        <f t="shared" ca="1" si="89"/>
        <v>2.4560394917033041E-3</v>
      </c>
    </row>
    <row r="3063" spans="7:8">
      <c r="G3063" s="168">
        <v>3060</v>
      </c>
      <c r="H3063" s="183">
        <f t="shared" ca="1" si="89"/>
        <v>3.3707117377128424E-3</v>
      </c>
    </row>
    <row r="3064" spans="7:8">
      <c r="G3064" s="168">
        <v>3061</v>
      </c>
      <c r="H3064" s="183">
        <f t="shared" ca="1" si="89"/>
        <v>1.5048971793489345E-2</v>
      </c>
    </row>
    <row r="3065" spans="7:8">
      <c r="G3065" s="168">
        <v>3062</v>
      </c>
      <c r="H3065" s="183">
        <f t="shared" ca="1" si="89"/>
        <v>-3.6734503051306057E-3</v>
      </c>
    </row>
    <row r="3066" spans="7:8">
      <c r="G3066" s="168">
        <v>3063</v>
      </c>
      <c r="H3066" s="183">
        <f t="shared" ca="1" si="89"/>
        <v>-8.827260668881922E-3</v>
      </c>
    </row>
    <row r="3067" spans="7:8">
      <c r="G3067" s="168">
        <v>3064</v>
      </c>
      <c r="H3067" s="183">
        <f t="shared" ca="1" si="89"/>
        <v>-2.1562813982170968E-3</v>
      </c>
    </row>
    <row r="3068" spans="7:8">
      <c r="G3068" s="168">
        <v>3065</v>
      </c>
      <c r="H3068" s="183">
        <f t="shared" ca="1" si="89"/>
        <v>4.989989817339357E-3</v>
      </c>
    </row>
    <row r="3069" spans="7:8">
      <c r="G3069" s="168">
        <v>3066</v>
      </c>
      <c r="H3069" s="183">
        <f t="shared" ca="1" si="89"/>
        <v>-1.3335178647712796E-2</v>
      </c>
    </row>
    <row r="3070" spans="7:8">
      <c r="G3070" s="168">
        <v>3067</v>
      </c>
      <c r="H3070" s="183">
        <f t="shared" ca="1" si="89"/>
        <v>-1.7448561194273095E-3</v>
      </c>
    </row>
    <row r="3071" spans="7:8">
      <c r="G3071" s="168">
        <v>3068</v>
      </c>
      <c r="H3071" s="183">
        <f t="shared" ca="1" si="89"/>
        <v>1.8479976636058396E-2</v>
      </c>
    </row>
    <row r="3072" spans="7:8">
      <c r="G3072" s="168">
        <v>3069</v>
      </c>
      <c r="H3072" s="183">
        <f t="shared" ca="1" si="89"/>
        <v>2.3482426680148565E-4</v>
      </c>
    </row>
    <row r="3073" spans="7:8">
      <c r="G3073" s="168">
        <v>3070</v>
      </c>
      <c r="H3073" s="183">
        <f t="shared" ca="1" si="89"/>
        <v>3.2021817804537764E-5</v>
      </c>
    </row>
    <row r="3074" spans="7:8">
      <c r="G3074" s="168">
        <v>3071</v>
      </c>
      <c r="H3074" s="183">
        <f t="shared" ca="1" si="89"/>
        <v>-1.2646493147672702E-2</v>
      </c>
    </row>
    <row r="3075" spans="7:8">
      <c r="G3075" s="168">
        <v>3072</v>
      </c>
      <c r="H3075" s="183">
        <f t="shared" ca="1" si="89"/>
        <v>1.6708057393116229E-2</v>
      </c>
    </row>
    <row r="3076" spans="7:8">
      <c r="G3076" s="168">
        <v>3073</v>
      </c>
      <c r="H3076" s="183">
        <f t="shared" ca="1" si="89"/>
        <v>-1.3743944686488664E-3</v>
      </c>
    </row>
    <row r="3077" spans="7:8">
      <c r="G3077" s="168">
        <v>3074</v>
      </c>
      <c r="H3077" s="183">
        <f t="shared" ref="H3077:H3140" ca="1" si="90">_xlfn.NORM.INV(RAND(),N$6,N$7)</f>
        <v>2.2491075526733642E-2</v>
      </c>
    </row>
    <row r="3078" spans="7:8">
      <c r="G3078" s="168">
        <v>3075</v>
      </c>
      <c r="H3078" s="183">
        <f t="shared" ca="1" si="90"/>
        <v>1.4164618358587674E-2</v>
      </c>
    </row>
    <row r="3079" spans="7:8">
      <c r="G3079" s="168">
        <v>3076</v>
      </c>
      <c r="H3079" s="183">
        <f t="shared" ca="1" si="90"/>
        <v>5.766085339928468E-3</v>
      </c>
    </row>
    <row r="3080" spans="7:8">
      <c r="G3080" s="168">
        <v>3077</v>
      </c>
      <c r="H3080" s="183">
        <f t="shared" ca="1" si="90"/>
        <v>1.057815098490086E-3</v>
      </c>
    </row>
    <row r="3081" spans="7:8">
      <c r="G3081" s="168">
        <v>3078</v>
      </c>
      <c r="H3081" s="183">
        <f t="shared" ca="1" si="90"/>
        <v>5.578571839666327E-3</v>
      </c>
    </row>
    <row r="3082" spans="7:8">
      <c r="G3082" s="168">
        <v>3079</v>
      </c>
      <c r="H3082" s="183">
        <f t="shared" ca="1" si="90"/>
        <v>1.3598790335393515E-3</v>
      </c>
    </row>
    <row r="3083" spans="7:8">
      <c r="G3083" s="168">
        <v>3080</v>
      </c>
      <c r="H3083" s="183">
        <f t="shared" ca="1" si="90"/>
        <v>8.5770643172662711E-3</v>
      </c>
    </row>
    <row r="3084" spans="7:8">
      <c r="G3084" s="168">
        <v>3081</v>
      </c>
      <c r="H3084" s="183">
        <f t="shared" ca="1" si="90"/>
        <v>2.4617350423068118E-2</v>
      </c>
    </row>
    <row r="3085" spans="7:8">
      <c r="G3085" s="168">
        <v>3082</v>
      </c>
      <c r="H3085" s="183">
        <f t="shared" ca="1" si="90"/>
        <v>8.1275087850423526E-3</v>
      </c>
    </row>
    <row r="3086" spans="7:8">
      <c r="G3086" s="168">
        <v>3083</v>
      </c>
      <c r="H3086" s="183">
        <f t="shared" ca="1" si="90"/>
        <v>1.930102852678876E-2</v>
      </c>
    </row>
    <row r="3087" spans="7:8">
      <c r="G3087" s="168">
        <v>3084</v>
      </c>
      <c r="H3087" s="183">
        <f t="shared" ca="1" si="90"/>
        <v>-1.7746766949334788E-2</v>
      </c>
    </row>
    <row r="3088" spans="7:8">
      <c r="G3088" s="168">
        <v>3085</v>
      </c>
      <c r="H3088" s="183">
        <f t="shared" ca="1" si="90"/>
        <v>-1.7391229501644106E-2</v>
      </c>
    </row>
    <row r="3089" spans="7:8">
      <c r="G3089" s="168">
        <v>3086</v>
      </c>
      <c r="H3089" s="183">
        <f t="shared" ca="1" si="90"/>
        <v>1.4994825537410814E-2</v>
      </c>
    </row>
    <row r="3090" spans="7:8">
      <c r="G3090" s="168">
        <v>3087</v>
      </c>
      <c r="H3090" s="183">
        <f t="shared" ca="1" si="90"/>
        <v>8.3692758732307609E-3</v>
      </c>
    </row>
    <row r="3091" spans="7:8">
      <c r="G3091" s="168">
        <v>3088</v>
      </c>
      <c r="H3091" s="183">
        <f t="shared" ca="1" si="90"/>
        <v>1.9812104619773528E-3</v>
      </c>
    </row>
    <row r="3092" spans="7:8">
      <c r="G3092" s="168">
        <v>3089</v>
      </c>
      <c r="H3092" s="183">
        <f t="shared" ca="1" si="90"/>
        <v>-1.5985728893857163E-2</v>
      </c>
    </row>
    <row r="3093" spans="7:8">
      <c r="G3093" s="168">
        <v>3090</v>
      </c>
      <c r="H3093" s="183">
        <f t="shared" ca="1" si="90"/>
        <v>-1.1015579059991482E-2</v>
      </c>
    </row>
    <row r="3094" spans="7:8">
      <c r="G3094" s="168">
        <v>3091</v>
      </c>
      <c r="H3094" s="183">
        <f t="shared" ca="1" si="90"/>
        <v>-1.2288819516298125E-2</v>
      </c>
    </row>
    <row r="3095" spans="7:8">
      <c r="G3095" s="168">
        <v>3092</v>
      </c>
      <c r="H3095" s="183">
        <f t="shared" ca="1" si="90"/>
        <v>3.0633309161261181E-3</v>
      </c>
    </row>
    <row r="3096" spans="7:8">
      <c r="G3096" s="168">
        <v>3093</v>
      </c>
      <c r="H3096" s="183">
        <f t="shared" ca="1" si="90"/>
        <v>2.2048967818855503E-2</v>
      </c>
    </row>
    <row r="3097" spans="7:8">
      <c r="G3097" s="168">
        <v>3094</v>
      </c>
      <c r="H3097" s="183">
        <f t="shared" ca="1" si="90"/>
        <v>-1.2556254245496661E-2</v>
      </c>
    </row>
    <row r="3098" spans="7:8">
      <c r="G3098" s="168">
        <v>3095</v>
      </c>
      <c r="H3098" s="183">
        <f t="shared" ca="1" si="90"/>
        <v>1.1554194523263955E-3</v>
      </c>
    </row>
    <row r="3099" spans="7:8">
      <c r="G3099" s="168">
        <v>3096</v>
      </c>
      <c r="H3099" s="183">
        <f t="shared" ca="1" si="90"/>
        <v>-2.2976085052832298E-4</v>
      </c>
    </row>
    <row r="3100" spans="7:8">
      <c r="G3100" s="168">
        <v>3097</v>
      </c>
      <c r="H3100" s="183">
        <f t="shared" ca="1" si="90"/>
        <v>1.7660340092085221E-2</v>
      </c>
    </row>
    <row r="3101" spans="7:8">
      <c r="G3101" s="168">
        <v>3098</v>
      </c>
      <c r="H3101" s="183">
        <f t="shared" ca="1" si="90"/>
        <v>2.4467618680836394E-2</v>
      </c>
    </row>
    <row r="3102" spans="7:8">
      <c r="G3102" s="168">
        <v>3099</v>
      </c>
      <c r="H3102" s="183">
        <f t="shared" ca="1" si="90"/>
        <v>8.1920204105631715E-3</v>
      </c>
    </row>
    <row r="3103" spans="7:8">
      <c r="G3103" s="168">
        <v>3100</v>
      </c>
      <c r="H3103" s="183">
        <f t="shared" ca="1" si="90"/>
        <v>1.5785407478786475E-3</v>
      </c>
    </row>
    <row r="3104" spans="7:8">
      <c r="G3104" s="168">
        <v>3101</v>
      </c>
      <c r="H3104" s="183">
        <f t="shared" ca="1" si="90"/>
        <v>-4.0411772484284314E-3</v>
      </c>
    </row>
    <row r="3105" spans="7:8">
      <c r="G3105" s="168">
        <v>3102</v>
      </c>
      <c r="H3105" s="183">
        <f t="shared" ca="1" si="90"/>
        <v>1.1727248603612329E-2</v>
      </c>
    </row>
    <row r="3106" spans="7:8">
      <c r="G3106" s="168">
        <v>3103</v>
      </c>
      <c r="H3106" s="183">
        <f t="shared" ca="1" si="90"/>
        <v>1.2470096598445057E-2</v>
      </c>
    </row>
    <row r="3107" spans="7:8">
      <c r="G3107" s="168">
        <v>3104</v>
      </c>
      <c r="H3107" s="183">
        <f t="shared" ca="1" si="90"/>
        <v>5.0060028042118732E-3</v>
      </c>
    </row>
    <row r="3108" spans="7:8">
      <c r="G3108" s="168">
        <v>3105</v>
      </c>
      <c r="H3108" s="183">
        <f t="shared" ca="1" si="90"/>
        <v>1.5027453804334717E-2</v>
      </c>
    </row>
    <row r="3109" spans="7:8">
      <c r="G3109" s="168">
        <v>3106</v>
      </c>
      <c r="H3109" s="183">
        <f t="shared" ca="1" si="90"/>
        <v>-1.3478584101571822E-2</v>
      </c>
    </row>
    <row r="3110" spans="7:8">
      <c r="G3110" s="168">
        <v>3107</v>
      </c>
      <c r="H3110" s="183">
        <f t="shared" ca="1" si="90"/>
        <v>1.4312733744403231E-2</v>
      </c>
    </row>
    <row r="3111" spans="7:8">
      <c r="G3111" s="168">
        <v>3108</v>
      </c>
      <c r="H3111" s="183">
        <f t="shared" ca="1" si="90"/>
        <v>7.9466966800349967E-3</v>
      </c>
    </row>
    <row r="3112" spans="7:8">
      <c r="G3112" s="168">
        <v>3109</v>
      </c>
      <c r="H3112" s="183">
        <f t="shared" ca="1" si="90"/>
        <v>5.4194904796472541E-4</v>
      </c>
    </row>
    <row r="3113" spans="7:8">
      <c r="G3113" s="168">
        <v>3110</v>
      </c>
      <c r="H3113" s="183">
        <f t="shared" ca="1" si="90"/>
        <v>-8.3826033692518537E-3</v>
      </c>
    </row>
    <row r="3114" spans="7:8">
      <c r="G3114" s="168">
        <v>3111</v>
      </c>
      <c r="H3114" s="183">
        <f t="shared" ca="1" si="90"/>
        <v>1.1618639827099639E-2</v>
      </c>
    </row>
    <row r="3115" spans="7:8">
      <c r="G3115" s="168">
        <v>3112</v>
      </c>
      <c r="H3115" s="183">
        <f t="shared" ca="1" si="90"/>
        <v>9.5502546255048018E-3</v>
      </c>
    </row>
    <row r="3116" spans="7:8">
      <c r="G3116" s="168">
        <v>3113</v>
      </c>
      <c r="H3116" s="183">
        <f t="shared" ca="1" si="90"/>
        <v>-9.9193085018349069E-4</v>
      </c>
    </row>
    <row r="3117" spans="7:8">
      <c r="G3117" s="168">
        <v>3114</v>
      </c>
      <c r="H3117" s="183">
        <f t="shared" ca="1" si="90"/>
        <v>2.729550778211816E-3</v>
      </c>
    </row>
    <row r="3118" spans="7:8">
      <c r="G3118" s="168">
        <v>3115</v>
      </c>
      <c r="H3118" s="183">
        <f t="shared" ca="1" si="90"/>
        <v>5.4869889461982464E-3</v>
      </c>
    </row>
    <row r="3119" spans="7:8">
      <c r="G3119" s="168">
        <v>3116</v>
      </c>
      <c r="H3119" s="183">
        <f t="shared" ca="1" si="90"/>
        <v>9.3023154831884183E-3</v>
      </c>
    </row>
    <row r="3120" spans="7:8">
      <c r="G3120" s="168">
        <v>3117</v>
      </c>
      <c r="H3120" s="183">
        <f t="shared" ca="1" si="90"/>
        <v>-9.1579112280573451E-3</v>
      </c>
    </row>
    <row r="3121" spans="7:8">
      <c r="G3121" s="168">
        <v>3118</v>
      </c>
      <c r="H3121" s="183">
        <f t="shared" ca="1" si="90"/>
        <v>6.4153048943040112E-3</v>
      </c>
    </row>
    <row r="3122" spans="7:8">
      <c r="G3122" s="168">
        <v>3119</v>
      </c>
      <c r="H3122" s="183">
        <f t="shared" ca="1" si="90"/>
        <v>-6.4347156100992391E-4</v>
      </c>
    </row>
    <row r="3123" spans="7:8">
      <c r="G3123" s="168">
        <v>3120</v>
      </c>
      <c r="H3123" s="183">
        <f t="shared" ca="1" si="90"/>
        <v>-5.4317053215346038E-3</v>
      </c>
    </row>
    <row r="3124" spans="7:8">
      <c r="G3124" s="168">
        <v>3121</v>
      </c>
      <c r="H3124" s="183">
        <f t="shared" ca="1" si="90"/>
        <v>7.0426659115360411E-3</v>
      </c>
    </row>
    <row r="3125" spans="7:8">
      <c r="G3125" s="168">
        <v>3122</v>
      </c>
      <c r="H3125" s="183">
        <f t="shared" ca="1" si="90"/>
        <v>1.1124735835153171E-2</v>
      </c>
    </row>
    <row r="3126" spans="7:8">
      <c r="G3126" s="168">
        <v>3123</v>
      </c>
      <c r="H3126" s="183">
        <f t="shared" ca="1" si="90"/>
        <v>-1.671082658630204E-2</v>
      </c>
    </row>
    <row r="3127" spans="7:8">
      <c r="G3127" s="168">
        <v>3124</v>
      </c>
      <c r="H3127" s="183">
        <f t="shared" ca="1" si="90"/>
        <v>-1.1217227777379844E-2</v>
      </c>
    </row>
    <row r="3128" spans="7:8">
      <c r="G3128" s="168">
        <v>3125</v>
      </c>
      <c r="H3128" s="183">
        <f t="shared" ca="1" si="90"/>
        <v>1.0476194091833448E-2</v>
      </c>
    </row>
    <row r="3129" spans="7:8">
      <c r="G3129" s="168">
        <v>3126</v>
      </c>
      <c r="H3129" s="183">
        <f t="shared" ca="1" si="90"/>
        <v>8.8203606920856919E-3</v>
      </c>
    </row>
    <row r="3130" spans="7:8">
      <c r="G3130" s="168">
        <v>3127</v>
      </c>
      <c r="H3130" s="183">
        <f t="shared" ca="1" si="90"/>
        <v>-9.2010485818954726E-3</v>
      </c>
    </row>
    <row r="3131" spans="7:8">
      <c r="G3131" s="168">
        <v>3128</v>
      </c>
      <c r="H3131" s="183">
        <f t="shared" ca="1" si="90"/>
        <v>-1.7387138479265894E-3</v>
      </c>
    </row>
    <row r="3132" spans="7:8">
      <c r="G3132" s="168">
        <v>3129</v>
      </c>
      <c r="H3132" s="183">
        <f t="shared" ca="1" si="90"/>
        <v>-5.7910766723698178E-3</v>
      </c>
    </row>
    <row r="3133" spans="7:8">
      <c r="G3133" s="168">
        <v>3130</v>
      </c>
      <c r="H3133" s="183">
        <f t="shared" ca="1" si="90"/>
        <v>-8.1731812587460574E-3</v>
      </c>
    </row>
    <row r="3134" spans="7:8">
      <c r="G3134" s="168">
        <v>3131</v>
      </c>
      <c r="H3134" s="183">
        <f t="shared" ca="1" si="90"/>
        <v>-1.4388162853356642E-2</v>
      </c>
    </row>
    <row r="3135" spans="7:8">
      <c r="G3135" s="168">
        <v>3132</v>
      </c>
      <c r="H3135" s="183">
        <f t="shared" ca="1" si="90"/>
        <v>-9.6000933138037144E-4</v>
      </c>
    </row>
    <row r="3136" spans="7:8">
      <c r="G3136" s="168">
        <v>3133</v>
      </c>
      <c r="H3136" s="183">
        <f t="shared" ca="1" si="90"/>
        <v>1.9310995771009084E-2</v>
      </c>
    </row>
    <row r="3137" spans="7:8">
      <c r="G3137" s="168">
        <v>3134</v>
      </c>
      <c r="H3137" s="183">
        <f t="shared" ca="1" si="90"/>
        <v>-1.1856219961805785E-2</v>
      </c>
    </row>
    <row r="3138" spans="7:8">
      <c r="G3138" s="168">
        <v>3135</v>
      </c>
      <c r="H3138" s="183">
        <f t="shared" ca="1" si="90"/>
        <v>2.6515337502690386E-2</v>
      </c>
    </row>
    <row r="3139" spans="7:8">
      <c r="G3139" s="168">
        <v>3136</v>
      </c>
      <c r="H3139" s="183">
        <f t="shared" ca="1" si="90"/>
        <v>1.0328457810762724E-3</v>
      </c>
    </row>
    <row r="3140" spans="7:8">
      <c r="G3140" s="168">
        <v>3137</v>
      </c>
      <c r="H3140" s="183">
        <f t="shared" ca="1" si="90"/>
        <v>1.8403630161022064E-2</v>
      </c>
    </row>
    <row r="3141" spans="7:8">
      <c r="G3141" s="168">
        <v>3138</v>
      </c>
      <c r="H3141" s="183">
        <f t="shared" ref="H3141:H3204" ca="1" si="91">_xlfn.NORM.INV(RAND(),N$6,N$7)</f>
        <v>5.0487107481173386E-3</v>
      </c>
    </row>
    <row r="3142" spans="7:8">
      <c r="G3142" s="168">
        <v>3139</v>
      </c>
      <c r="H3142" s="183">
        <f t="shared" ca="1" si="91"/>
        <v>5.0604385037658038E-3</v>
      </c>
    </row>
    <row r="3143" spans="7:8">
      <c r="G3143" s="168">
        <v>3140</v>
      </c>
      <c r="H3143" s="183">
        <f t="shared" ca="1" si="91"/>
        <v>1.6291485484464768E-2</v>
      </c>
    </row>
    <row r="3144" spans="7:8">
      <c r="G3144" s="168">
        <v>3141</v>
      </c>
      <c r="H3144" s="183">
        <f t="shared" ca="1" si="91"/>
        <v>1.4793651480195943E-3</v>
      </c>
    </row>
    <row r="3145" spans="7:8">
      <c r="G3145" s="168">
        <v>3142</v>
      </c>
      <c r="H3145" s="183">
        <f t="shared" ca="1" si="91"/>
        <v>5.8663946909605488E-4</v>
      </c>
    </row>
    <row r="3146" spans="7:8">
      <c r="G3146" s="168">
        <v>3143</v>
      </c>
      <c r="H3146" s="183">
        <f t="shared" ca="1" si="91"/>
        <v>6.3620916054466566E-4</v>
      </c>
    </row>
    <row r="3147" spans="7:8">
      <c r="G3147" s="168">
        <v>3144</v>
      </c>
      <c r="H3147" s="183">
        <f t="shared" ca="1" si="91"/>
        <v>2.5419783479403817E-3</v>
      </c>
    </row>
    <row r="3148" spans="7:8">
      <c r="G3148" s="168">
        <v>3145</v>
      </c>
      <c r="H3148" s="183">
        <f t="shared" ca="1" si="91"/>
        <v>6.8135504701975404E-3</v>
      </c>
    </row>
    <row r="3149" spans="7:8">
      <c r="G3149" s="168">
        <v>3146</v>
      </c>
      <c r="H3149" s="183">
        <f t="shared" ca="1" si="91"/>
        <v>9.8193308984284352E-3</v>
      </c>
    </row>
    <row r="3150" spans="7:8">
      <c r="G3150" s="168">
        <v>3147</v>
      </c>
      <c r="H3150" s="183">
        <f t="shared" ca="1" si="91"/>
        <v>2.3240146930163805E-4</v>
      </c>
    </row>
    <row r="3151" spans="7:8">
      <c r="G3151" s="168">
        <v>3148</v>
      </c>
      <c r="H3151" s="183">
        <f t="shared" ca="1" si="91"/>
        <v>2.3636819535358809E-2</v>
      </c>
    </row>
    <row r="3152" spans="7:8">
      <c r="G3152" s="168">
        <v>3149</v>
      </c>
      <c r="H3152" s="183">
        <f t="shared" ca="1" si="91"/>
        <v>1.2236530069671039E-2</v>
      </c>
    </row>
    <row r="3153" spans="7:8">
      <c r="G3153" s="168">
        <v>3150</v>
      </c>
      <c r="H3153" s="183">
        <f t="shared" ca="1" si="91"/>
        <v>-5.5998805314165954E-3</v>
      </c>
    </row>
    <row r="3154" spans="7:8">
      <c r="G3154" s="168">
        <v>3151</v>
      </c>
      <c r="H3154" s="183">
        <f t="shared" ca="1" si="91"/>
        <v>1.1602457311317052E-2</v>
      </c>
    </row>
    <row r="3155" spans="7:8">
      <c r="G3155" s="168">
        <v>3152</v>
      </c>
      <c r="H3155" s="183">
        <f t="shared" ca="1" si="91"/>
        <v>1.942873314424574E-2</v>
      </c>
    </row>
    <row r="3156" spans="7:8">
      <c r="G3156" s="168">
        <v>3153</v>
      </c>
      <c r="H3156" s="183">
        <f t="shared" ca="1" si="91"/>
        <v>-3.6161531322183409E-3</v>
      </c>
    </row>
    <row r="3157" spans="7:8">
      <c r="G3157" s="168">
        <v>3154</v>
      </c>
      <c r="H3157" s="183">
        <f t="shared" ca="1" si="91"/>
        <v>2.7249596744749388E-2</v>
      </c>
    </row>
    <row r="3158" spans="7:8">
      <c r="G3158" s="168">
        <v>3155</v>
      </c>
      <c r="H3158" s="183">
        <f t="shared" ca="1" si="91"/>
        <v>2.9106983897371548E-2</v>
      </c>
    </row>
    <row r="3159" spans="7:8">
      <c r="G3159" s="168">
        <v>3156</v>
      </c>
      <c r="H3159" s="183">
        <f t="shared" ca="1" si="91"/>
        <v>-1.3704894721401014E-2</v>
      </c>
    </row>
    <row r="3160" spans="7:8">
      <c r="G3160" s="168">
        <v>3157</v>
      </c>
      <c r="H3160" s="183">
        <f t="shared" ca="1" si="91"/>
        <v>-1.5535867127821248E-2</v>
      </c>
    </row>
    <row r="3161" spans="7:8">
      <c r="G3161" s="168">
        <v>3158</v>
      </c>
      <c r="H3161" s="183">
        <f t="shared" ca="1" si="91"/>
        <v>2.8533693995694913E-3</v>
      </c>
    </row>
    <row r="3162" spans="7:8">
      <c r="G3162" s="168">
        <v>3159</v>
      </c>
      <c r="H3162" s="183">
        <f t="shared" ca="1" si="91"/>
        <v>-1.7716426763536356E-2</v>
      </c>
    </row>
    <row r="3163" spans="7:8">
      <c r="G3163" s="168">
        <v>3160</v>
      </c>
      <c r="H3163" s="183">
        <f t="shared" ca="1" si="91"/>
        <v>-1.9707715781163079E-3</v>
      </c>
    </row>
    <row r="3164" spans="7:8">
      <c r="G3164" s="168">
        <v>3161</v>
      </c>
      <c r="H3164" s="183">
        <f t="shared" ca="1" si="91"/>
        <v>-1.2040275974346412E-2</v>
      </c>
    </row>
    <row r="3165" spans="7:8">
      <c r="G3165" s="168">
        <v>3162</v>
      </c>
      <c r="H3165" s="183">
        <f t="shared" ca="1" si="91"/>
        <v>-1.4114393020182931E-2</v>
      </c>
    </row>
    <row r="3166" spans="7:8">
      <c r="G3166" s="168">
        <v>3163</v>
      </c>
      <c r="H3166" s="183">
        <f t="shared" ca="1" si="91"/>
        <v>-8.7961242056132025E-3</v>
      </c>
    </row>
    <row r="3167" spans="7:8">
      <c r="G3167" s="168">
        <v>3164</v>
      </c>
      <c r="H3167" s="183">
        <f t="shared" ca="1" si="91"/>
        <v>1.5443369355008341E-2</v>
      </c>
    </row>
    <row r="3168" spans="7:8">
      <c r="G3168" s="168">
        <v>3165</v>
      </c>
      <c r="H3168" s="183">
        <f t="shared" ca="1" si="91"/>
        <v>9.9054968837617788E-3</v>
      </c>
    </row>
    <row r="3169" spans="7:8">
      <c r="G3169" s="168">
        <v>3166</v>
      </c>
      <c r="H3169" s="183">
        <f t="shared" ca="1" si="91"/>
        <v>-2.0057082593743433E-2</v>
      </c>
    </row>
    <row r="3170" spans="7:8">
      <c r="G3170" s="168">
        <v>3167</v>
      </c>
      <c r="H3170" s="183">
        <f t="shared" ca="1" si="91"/>
        <v>-1.7450057895213204E-2</v>
      </c>
    </row>
    <row r="3171" spans="7:8">
      <c r="G3171" s="168">
        <v>3168</v>
      </c>
      <c r="H3171" s="183">
        <f t="shared" ca="1" si="91"/>
        <v>1.7259354569029026E-2</v>
      </c>
    </row>
    <row r="3172" spans="7:8">
      <c r="G3172" s="168">
        <v>3169</v>
      </c>
      <c r="H3172" s="183">
        <f t="shared" ca="1" si="91"/>
        <v>-5.5676485230597905E-3</v>
      </c>
    </row>
    <row r="3173" spans="7:8">
      <c r="G3173" s="168">
        <v>3170</v>
      </c>
      <c r="H3173" s="183">
        <f t="shared" ca="1" si="91"/>
        <v>7.1199923516595022E-3</v>
      </c>
    </row>
    <row r="3174" spans="7:8">
      <c r="G3174" s="168">
        <v>3171</v>
      </c>
      <c r="H3174" s="183">
        <f t="shared" ca="1" si="91"/>
        <v>1.4525350656217201E-2</v>
      </c>
    </row>
    <row r="3175" spans="7:8">
      <c r="G3175" s="168">
        <v>3172</v>
      </c>
      <c r="H3175" s="183">
        <f t="shared" ca="1" si="91"/>
        <v>7.593537612703925E-3</v>
      </c>
    </row>
    <row r="3176" spans="7:8">
      <c r="G3176" s="168">
        <v>3173</v>
      </c>
      <c r="H3176" s="183">
        <f t="shared" ca="1" si="91"/>
        <v>2.9648706135392286E-3</v>
      </c>
    </row>
    <row r="3177" spans="7:8">
      <c r="G3177" s="168">
        <v>3174</v>
      </c>
      <c r="H3177" s="183">
        <f t="shared" ca="1" si="91"/>
        <v>1.7225451704611107E-3</v>
      </c>
    </row>
    <row r="3178" spans="7:8">
      <c r="G3178" s="168">
        <v>3175</v>
      </c>
      <c r="H3178" s="183">
        <f t="shared" ca="1" si="91"/>
        <v>1.7125721105355561E-2</v>
      </c>
    </row>
    <row r="3179" spans="7:8">
      <c r="G3179" s="168">
        <v>3176</v>
      </c>
      <c r="H3179" s="183">
        <f t="shared" ca="1" si="91"/>
        <v>7.1595152873584547E-3</v>
      </c>
    </row>
    <row r="3180" spans="7:8">
      <c r="G3180" s="168">
        <v>3177</v>
      </c>
      <c r="H3180" s="183">
        <f t="shared" ca="1" si="91"/>
        <v>2.748802079128023E-3</v>
      </c>
    </row>
    <row r="3181" spans="7:8">
      <c r="G3181" s="168">
        <v>3178</v>
      </c>
      <c r="H3181" s="183">
        <f t="shared" ca="1" si="91"/>
        <v>-8.6775025797794815E-3</v>
      </c>
    </row>
    <row r="3182" spans="7:8">
      <c r="G3182" s="168">
        <v>3179</v>
      </c>
      <c r="H3182" s="183">
        <f t="shared" ca="1" si="91"/>
        <v>-4.4231061090334979E-3</v>
      </c>
    </row>
    <row r="3183" spans="7:8">
      <c r="G3183" s="168">
        <v>3180</v>
      </c>
      <c r="H3183" s="183">
        <f t="shared" ca="1" si="91"/>
        <v>-5.1432529387804215E-3</v>
      </c>
    </row>
    <row r="3184" spans="7:8">
      <c r="G3184" s="168">
        <v>3181</v>
      </c>
      <c r="H3184" s="183">
        <f t="shared" ca="1" si="91"/>
        <v>3.3949600575485066E-3</v>
      </c>
    </row>
    <row r="3185" spans="7:8">
      <c r="G3185" s="168">
        <v>3182</v>
      </c>
      <c r="H3185" s="183">
        <f t="shared" ca="1" si="91"/>
        <v>-9.8449159956442746E-3</v>
      </c>
    </row>
    <row r="3186" spans="7:8">
      <c r="G3186" s="168">
        <v>3183</v>
      </c>
      <c r="H3186" s="183">
        <f t="shared" ca="1" si="91"/>
        <v>3.5859685125244523E-3</v>
      </c>
    </row>
    <row r="3187" spans="7:8">
      <c r="G3187" s="168">
        <v>3184</v>
      </c>
      <c r="H3187" s="183">
        <f t="shared" ca="1" si="91"/>
        <v>3.203091909349564E-2</v>
      </c>
    </row>
    <row r="3188" spans="7:8">
      <c r="G3188" s="168">
        <v>3185</v>
      </c>
      <c r="H3188" s="183">
        <f t="shared" ca="1" si="91"/>
        <v>2.5748298462692804E-2</v>
      </c>
    </row>
    <row r="3189" spans="7:8">
      <c r="G3189" s="168">
        <v>3186</v>
      </c>
      <c r="H3189" s="183">
        <f t="shared" ca="1" si="91"/>
        <v>6.5650837746112183E-3</v>
      </c>
    </row>
    <row r="3190" spans="7:8">
      <c r="G3190" s="168">
        <v>3187</v>
      </c>
      <c r="H3190" s="183">
        <f t="shared" ca="1" si="91"/>
        <v>2.5216169051313245E-2</v>
      </c>
    </row>
    <row r="3191" spans="7:8">
      <c r="G3191" s="168">
        <v>3188</v>
      </c>
      <c r="H3191" s="183">
        <f t="shared" ca="1" si="91"/>
        <v>7.453128296121667E-3</v>
      </c>
    </row>
    <row r="3192" spans="7:8">
      <c r="G3192" s="168">
        <v>3189</v>
      </c>
      <c r="H3192" s="183">
        <f t="shared" ca="1" si="91"/>
        <v>-1.0650734179133287E-2</v>
      </c>
    </row>
    <row r="3193" spans="7:8">
      <c r="G3193" s="168">
        <v>3190</v>
      </c>
      <c r="H3193" s="183">
        <f t="shared" ca="1" si="91"/>
        <v>8.6017001565705346E-3</v>
      </c>
    </row>
    <row r="3194" spans="7:8">
      <c r="G3194" s="168">
        <v>3191</v>
      </c>
      <c r="H3194" s="183">
        <f t="shared" ca="1" si="91"/>
        <v>-2.6327557611044106E-2</v>
      </c>
    </row>
    <row r="3195" spans="7:8">
      <c r="G3195" s="168">
        <v>3192</v>
      </c>
      <c r="H3195" s="183">
        <f t="shared" ca="1" si="91"/>
        <v>-4.2132761170426952E-3</v>
      </c>
    </row>
    <row r="3196" spans="7:8">
      <c r="G3196" s="168">
        <v>3193</v>
      </c>
      <c r="H3196" s="183">
        <f t="shared" ca="1" si="91"/>
        <v>-1.566831960440835E-2</v>
      </c>
    </row>
    <row r="3197" spans="7:8">
      <c r="G3197" s="168">
        <v>3194</v>
      </c>
      <c r="H3197" s="183">
        <f t="shared" ca="1" si="91"/>
        <v>4.1441142705853536E-3</v>
      </c>
    </row>
    <row r="3198" spans="7:8">
      <c r="G3198" s="168">
        <v>3195</v>
      </c>
      <c r="H3198" s="183">
        <f t="shared" ca="1" si="91"/>
        <v>-1.1113428943722348E-2</v>
      </c>
    </row>
    <row r="3199" spans="7:8">
      <c r="G3199" s="168">
        <v>3196</v>
      </c>
      <c r="H3199" s="183">
        <f t="shared" ca="1" si="91"/>
        <v>1.0819393986764834E-3</v>
      </c>
    </row>
    <row r="3200" spans="7:8">
      <c r="G3200" s="168">
        <v>3197</v>
      </c>
      <c r="H3200" s="183">
        <f t="shared" ca="1" si="91"/>
        <v>7.2835314237930625E-3</v>
      </c>
    </row>
    <row r="3201" spans="7:8">
      <c r="G3201" s="168">
        <v>3198</v>
      </c>
      <c r="H3201" s="183">
        <f t="shared" ca="1" si="91"/>
        <v>-6.1648144012865372E-3</v>
      </c>
    </row>
    <row r="3202" spans="7:8">
      <c r="G3202" s="168">
        <v>3199</v>
      </c>
      <c r="H3202" s="183">
        <f t="shared" ca="1" si="91"/>
        <v>1.9495567691165477E-2</v>
      </c>
    </row>
    <row r="3203" spans="7:8">
      <c r="G3203" s="168">
        <v>3200</v>
      </c>
      <c r="H3203" s="183">
        <f t="shared" ca="1" si="91"/>
        <v>-8.9421760183001492E-3</v>
      </c>
    </row>
    <row r="3204" spans="7:8">
      <c r="G3204" s="168">
        <v>3201</v>
      </c>
      <c r="H3204" s="183">
        <f t="shared" ca="1" si="91"/>
        <v>-1.2338808133052333E-2</v>
      </c>
    </row>
    <row r="3205" spans="7:8">
      <c r="G3205" s="168">
        <v>3202</v>
      </c>
      <c r="H3205" s="183">
        <f t="shared" ref="H3205:H3268" ca="1" si="92">_xlfn.NORM.INV(RAND(),N$6,N$7)</f>
        <v>7.466083190272331E-3</v>
      </c>
    </row>
    <row r="3206" spans="7:8">
      <c r="G3206" s="168">
        <v>3203</v>
      </c>
      <c r="H3206" s="183">
        <f t="shared" ca="1" si="92"/>
        <v>-1.6779001360115401E-3</v>
      </c>
    </row>
    <row r="3207" spans="7:8">
      <c r="G3207" s="168">
        <v>3204</v>
      </c>
      <c r="H3207" s="183">
        <f t="shared" ca="1" si="92"/>
        <v>7.0091723756414695E-3</v>
      </c>
    </row>
    <row r="3208" spans="7:8">
      <c r="G3208" s="168">
        <v>3205</v>
      </c>
      <c r="H3208" s="183">
        <f t="shared" ca="1" si="92"/>
        <v>5.5868402039917706E-3</v>
      </c>
    </row>
    <row r="3209" spans="7:8">
      <c r="G3209" s="168">
        <v>3206</v>
      </c>
      <c r="H3209" s="183">
        <f t="shared" ca="1" si="92"/>
        <v>-1.1285594309225523E-2</v>
      </c>
    </row>
    <row r="3210" spans="7:8">
      <c r="G3210" s="168">
        <v>3207</v>
      </c>
      <c r="H3210" s="183">
        <f t="shared" ca="1" si="92"/>
        <v>-5.9068997545064046E-3</v>
      </c>
    </row>
    <row r="3211" spans="7:8">
      <c r="G3211" s="168">
        <v>3208</v>
      </c>
      <c r="H3211" s="183">
        <f t="shared" ca="1" si="92"/>
        <v>4.8013088672534676E-3</v>
      </c>
    </row>
    <row r="3212" spans="7:8">
      <c r="G3212" s="168">
        <v>3209</v>
      </c>
      <c r="H3212" s="183">
        <f t="shared" ca="1" si="92"/>
        <v>-1.4903464522614984E-2</v>
      </c>
    </row>
    <row r="3213" spans="7:8">
      <c r="G3213" s="168">
        <v>3210</v>
      </c>
      <c r="H3213" s="183">
        <f t="shared" ca="1" si="92"/>
        <v>2.6337677729359526E-3</v>
      </c>
    </row>
    <row r="3214" spans="7:8">
      <c r="G3214" s="168">
        <v>3211</v>
      </c>
      <c r="H3214" s="183">
        <f t="shared" ca="1" si="92"/>
        <v>-3.2977530381464492E-3</v>
      </c>
    </row>
    <row r="3215" spans="7:8">
      <c r="G3215" s="168">
        <v>3212</v>
      </c>
      <c r="H3215" s="183">
        <f t="shared" ca="1" si="92"/>
        <v>-4.287544304290512E-3</v>
      </c>
    </row>
    <row r="3216" spans="7:8">
      <c r="G3216" s="168">
        <v>3213</v>
      </c>
      <c r="H3216" s="183">
        <f t="shared" ca="1" si="92"/>
        <v>1.2638405380389871E-2</v>
      </c>
    </row>
    <row r="3217" spans="7:8">
      <c r="G3217" s="168">
        <v>3214</v>
      </c>
      <c r="H3217" s="183">
        <f t="shared" ca="1" si="92"/>
        <v>2.2374939784544454E-2</v>
      </c>
    </row>
    <row r="3218" spans="7:8">
      <c r="G3218" s="168">
        <v>3215</v>
      </c>
      <c r="H3218" s="183">
        <f t="shared" ca="1" si="92"/>
        <v>-3.8080558647439148E-3</v>
      </c>
    </row>
    <row r="3219" spans="7:8">
      <c r="G3219" s="168">
        <v>3216</v>
      </c>
      <c r="H3219" s="183">
        <f t="shared" ca="1" si="92"/>
        <v>-5.3434152523747754E-3</v>
      </c>
    </row>
    <row r="3220" spans="7:8">
      <c r="G3220" s="168">
        <v>3217</v>
      </c>
      <c r="H3220" s="183">
        <f t="shared" ca="1" si="92"/>
        <v>-5.6006913724679355E-3</v>
      </c>
    </row>
    <row r="3221" spans="7:8">
      <c r="G3221" s="168">
        <v>3218</v>
      </c>
      <c r="H3221" s="183">
        <f t="shared" ca="1" si="92"/>
        <v>-6.2118539655345107E-3</v>
      </c>
    </row>
    <row r="3222" spans="7:8">
      <c r="G3222" s="168">
        <v>3219</v>
      </c>
      <c r="H3222" s="183">
        <f t="shared" ca="1" si="92"/>
        <v>-6.7185683783621214E-3</v>
      </c>
    </row>
    <row r="3223" spans="7:8">
      <c r="G3223" s="168">
        <v>3220</v>
      </c>
      <c r="H3223" s="183">
        <f t="shared" ca="1" si="92"/>
        <v>4.6200957678709052E-5</v>
      </c>
    </row>
    <row r="3224" spans="7:8">
      <c r="G3224" s="168">
        <v>3221</v>
      </c>
      <c r="H3224" s="183">
        <f t="shared" ca="1" si="92"/>
        <v>-1.3252721920661143E-2</v>
      </c>
    </row>
    <row r="3225" spans="7:8">
      <c r="G3225" s="168">
        <v>3222</v>
      </c>
      <c r="H3225" s="183">
        <f t="shared" ca="1" si="92"/>
        <v>9.6988919003708311E-3</v>
      </c>
    </row>
    <row r="3226" spans="7:8">
      <c r="G3226" s="168">
        <v>3223</v>
      </c>
      <c r="H3226" s="183">
        <f t="shared" ca="1" si="92"/>
        <v>1.165448475040504E-2</v>
      </c>
    </row>
    <row r="3227" spans="7:8">
      <c r="G3227" s="168">
        <v>3224</v>
      </c>
      <c r="H3227" s="183">
        <f t="shared" ca="1" si="92"/>
        <v>1.2003659651120428E-2</v>
      </c>
    </row>
    <row r="3228" spans="7:8">
      <c r="G3228" s="168">
        <v>3225</v>
      </c>
      <c r="H3228" s="183">
        <f t="shared" ca="1" si="92"/>
        <v>2.6282765092147494E-2</v>
      </c>
    </row>
    <row r="3229" spans="7:8">
      <c r="G3229" s="168">
        <v>3226</v>
      </c>
      <c r="H3229" s="183">
        <f t="shared" ca="1" si="92"/>
        <v>2.6333659299964118E-2</v>
      </c>
    </row>
    <row r="3230" spans="7:8">
      <c r="G3230" s="168">
        <v>3227</v>
      </c>
      <c r="H3230" s="183">
        <f t="shared" ca="1" si="92"/>
        <v>1.1672043929437187E-2</v>
      </c>
    </row>
    <row r="3231" spans="7:8">
      <c r="G3231" s="168">
        <v>3228</v>
      </c>
      <c r="H3231" s="183">
        <f t="shared" ca="1" si="92"/>
        <v>-1.8740421875642092E-4</v>
      </c>
    </row>
    <row r="3232" spans="7:8">
      <c r="G3232" s="168">
        <v>3229</v>
      </c>
      <c r="H3232" s="183">
        <f t="shared" ca="1" si="92"/>
        <v>-1.009490217932537E-2</v>
      </c>
    </row>
    <row r="3233" spans="7:8">
      <c r="G3233" s="168">
        <v>3230</v>
      </c>
      <c r="H3233" s="183">
        <f t="shared" ca="1" si="92"/>
        <v>-1.5806631106684566E-3</v>
      </c>
    </row>
    <row r="3234" spans="7:8">
      <c r="G3234" s="168">
        <v>3231</v>
      </c>
      <c r="H3234" s="183">
        <f t="shared" ca="1" si="92"/>
        <v>-2.1452635302646947E-2</v>
      </c>
    </row>
    <row r="3235" spans="7:8">
      <c r="G3235" s="168">
        <v>3232</v>
      </c>
      <c r="H3235" s="183">
        <f t="shared" ca="1" si="92"/>
        <v>-6.2378429734840238E-3</v>
      </c>
    </row>
    <row r="3236" spans="7:8">
      <c r="G3236" s="168">
        <v>3233</v>
      </c>
      <c r="H3236" s="183">
        <f t="shared" ca="1" si="92"/>
        <v>2.598587171169293E-3</v>
      </c>
    </row>
    <row r="3237" spans="7:8">
      <c r="G3237" s="168">
        <v>3234</v>
      </c>
      <c r="H3237" s="183">
        <f t="shared" ca="1" si="92"/>
        <v>1.2908839956850427E-2</v>
      </c>
    </row>
    <row r="3238" spans="7:8">
      <c r="G3238" s="168">
        <v>3235</v>
      </c>
      <c r="H3238" s="183">
        <f t="shared" ca="1" si="92"/>
        <v>-2.1065518720117755E-2</v>
      </c>
    </row>
    <row r="3239" spans="7:8">
      <c r="G3239" s="168">
        <v>3236</v>
      </c>
      <c r="H3239" s="183">
        <f t="shared" ca="1" si="92"/>
        <v>-8.0636652035605619E-3</v>
      </c>
    </row>
    <row r="3240" spans="7:8">
      <c r="G3240" s="168">
        <v>3237</v>
      </c>
      <c r="H3240" s="183">
        <f t="shared" ca="1" si="92"/>
        <v>-2.1997646237101664E-2</v>
      </c>
    </row>
    <row r="3241" spans="7:8">
      <c r="G3241" s="168">
        <v>3238</v>
      </c>
      <c r="H3241" s="183">
        <f t="shared" ca="1" si="92"/>
        <v>-6.9202812118047364E-3</v>
      </c>
    </row>
    <row r="3242" spans="7:8">
      <c r="G3242" s="168">
        <v>3239</v>
      </c>
      <c r="H3242" s="183">
        <f t="shared" ca="1" si="92"/>
        <v>1.2520652597124132E-2</v>
      </c>
    </row>
    <row r="3243" spans="7:8">
      <c r="G3243" s="168">
        <v>3240</v>
      </c>
      <c r="H3243" s="183">
        <f t="shared" ca="1" si="92"/>
        <v>8.348768851705133E-3</v>
      </c>
    </row>
    <row r="3244" spans="7:8">
      <c r="G3244" s="168">
        <v>3241</v>
      </c>
      <c r="H3244" s="183">
        <f t="shared" ca="1" si="92"/>
        <v>9.6839142836152373E-3</v>
      </c>
    </row>
    <row r="3245" spans="7:8">
      <c r="G3245" s="168">
        <v>3242</v>
      </c>
      <c r="H3245" s="183">
        <f t="shared" ca="1" si="92"/>
        <v>-7.0174870228395707E-3</v>
      </c>
    </row>
    <row r="3246" spans="7:8">
      <c r="G3246" s="168">
        <v>3243</v>
      </c>
      <c r="H3246" s="183">
        <f t="shared" ca="1" si="92"/>
        <v>1.4111787687444095E-2</v>
      </c>
    </row>
    <row r="3247" spans="7:8">
      <c r="G3247" s="168">
        <v>3244</v>
      </c>
      <c r="H3247" s="183">
        <f t="shared" ca="1" si="92"/>
        <v>6.5860105073646848E-3</v>
      </c>
    </row>
    <row r="3248" spans="7:8">
      <c r="G3248" s="168">
        <v>3245</v>
      </c>
      <c r="H3248" s="183">
        <f t="shared" ca="1" si="92"/>
        <v>-3.5773743516071361E-3</v>
      </c>
    </row>
    <row r="3249" spans="7:8">
      <c r="G3249" s="168">
        <v>3246</v>
      </c>
      <c r="H3249" s="183">
        <f t="shared" ca="1" si="92"/>
        <v>3.9041489205559228E-3</v>
      </c>
    </row>
    <row r="3250" spans="7:8">
      <c r="G3250" s="168">
        <v>3247</v>
      </c>
      <c r="H3250" s="183">
        <f t="shared" ca="1" si="92"/>
        <v>2.1063949208046533E-2</v>
      </c>
    </row>
    <row r="3251" spans="7:8">
      <c r="G3251" s="168">
        <v>3248</v>
      </c>
      <c r="H3251" s="183">
        <f t="shared" ca="1" si="92"/>
        <v>4.9531998239888547E-5</v>
      </c>
    </row>
    <row r="3252" spans="7:8">
      <c r="G3252" s="168">
        <v>3249</v>
      </c>
      <c r="H3252" s="183">
        <f t="shared" ca="1" si="92"/>
        <v>-8.8400946473875114E-3</v>
      </c>
    </row>
    <row r="3253" spans="7:8">
      <c r="G3253" s="168">
        <v>3250</v>
      </c>
      <c r="H3253" s="183">
        <f t="shared" ca="1" si="92"/>
        <v>-9.1817495182634733E-3</v>
      </c>
    </row>
    <row r="3254" spans="7:8">
      <c r="G3254" s="168">
        <v>3251</v>
      </c>
      <c r="H3254" s="183">
        <f t="shared" ca="1" si="92"/>
        <v>-1.6380295765158311E-2</v>
      </c>
    </row>
    <row r="3255" spans="7:8">
      <c r="G3255" s="168">
        <v>3252</v>
      </c>
      <c r="H3255" s="183">
        <f t="shared" ca="1" si="92"/>
        <v>1.4860805612423641E-2</v>
      </c>
    </row>
    <row r="3256" spans="7:8">
      <c r="G3256" s="168">
        <v>3253</v>
      </c>
      <c r="H3256" s="183">
        <f t="shared" ca="1" si="92"/>
        <v>-7.7299934630917942E-3</v>
      </c>
    </row>
    <row r="3257" spans="7:8">
      <c r="G3257" s="168">
        <v>3254</v>
      </c>
      <c r="H3257" s="183">
        <f t="shared" ca="1" si="92"/>
        <v>1.4899930575817368E-2</v>
      </c>
    </row>
    <row r="3258" spans="7:8">
      <c r="G3258" s="168">
        <v>3255</v>
      </c>
      <c r="H3258" s="183">
        <f t="shared" ca="1" si="92"/>
        <v>-2.1555640780819953E-3</v>
      </c>
    </row>
    <row r="3259" spans="7:8">
      <c r="G3259" s="168">
        <v>3256</v>
      </c>
      <c r="H3259" s="183">
        <f t="shared" ca="1" si="92"/>
        <v>3.4223659406604269E-3</v>
      </c>
    </row>
    <row r="3260" spans="7:8">
      <c r="G3260" s="168">
        <v>3257</v>
      </c>
      <c r="H3260" s="183">
        <f t="shared" ca="1" si="92"/>
        <v>-1.000457085285187E-2</v>
      </c>
    </row>
    <row r="3261" spans="7:8">
      <c r="G3261" s="168">
        <v>3258</v>
      </c>
      <c r="H3261" s="183">
        <f t="shared" ca="1" si="92"/>
        <v>1.1821691154100124E-2</v>
      </c>
    </row>
    <row r="3262" spans="7:8">
      <c r="G3262" s="168">
        <v>3259</v>
      </c>
      <c r="H3262" s="183">
        <f t="shared" ca="1" si="92"/>
        <v>5.2338156590860828E-3</v>
      </c>
    </row>
    <row r="3263" spans="7:8">
      <c r="G3263" s="168">
        <v>3260</v>
      </c>
      <c r="H3263" s="183">
        <f t="shared" ca="1" si="92"/>
        <v>2.8314518623698253E-3</v>
      </c>
    </row>
    <row r="3264" spans="7:8">
      <c r="G3264" s="168">
        <v>3261</v>
      </c>
      <c r="H3264" s="183">
        <f t="shared" ca="1" si="92"/>
        <v>2.1215359836340812E-2</v>
      </c>
    </row>
    <row r="3265" spans="7:8">
      <c r="G3265" s="168">
        <v>3262</v>
      </c>
      <c r="H3265" s="183">
        <f t="shared" ca="1" si="92"/>
        <v>1.4509288560997445E-2</v>
      </c>
    </row>
    <row r="3266" spans="7:8">
      <c r="G3266" s="168">
        <v>3263</v>
      </c>
      <c r="H3266" s="183">
        <f t="shared" ca="1" si="92"/>
        <v>4.6360598070177925E-3</v>
      </c>
    </row>
    <row r="3267" spans="7:8">
      <c r="G3267" s="168">
        <v>3264</v>
      </c>
      <c r="H3267" s="183">
        <f t="shared" ca="1" si="92"/>
        <v>-7.7910553924508104E-3</v>
      </c>
    </row>
    <row r="3268" spans="7:8">
      <c r="G3268" s="168">
        <v>3265</v>
      </c>
      <c r="H3268" s="183">
        <f t="shared" ca="1" si="92"/>
        <v>-1.8874723033595255E-2</v>
      </c>
    </row>
    <row r="3269" spans="7:8">
      <c r="G3269" s="168">
        <v>3266</v>
      </c>
      <c r="H3269" s="183">
        <f t="shared" ref="H3269:H3332" ca="1" si="93">_xlfn.NORM.INV(RAND(),N$6,N$7)</f>
        <v>4.5675148889418263E-3</v>
      </c>
    </row>
    <row r="3270" spans="7:8">
      <c r="G3270" s="168">
        <v>3267</v>
      </c>
      <c r="H3270" s="183">
        <f t="shared" ca="1" si="93"/>
        <v>-6.5374555955536812E-3</v>
      </c>
    </row>
    <row r="3271" spans="7:8">
      <c r="G3271" s="168">
        <v>3268</v>
      </c>
      <c r="H3271" s="183">
        <f t="shared" ca="1" si="93"/>
        <v>-9.4551043434348055E-4</v>
      </c>
    </row>
    <row r="3272" spans="7:8">
      <c r="G3272" s="168">
        <v>3269</v>
      </c>
      <c r="H3272" s="183">
        <f t="shared" ca="1" si="93"/>
        <v>6.4340372234271588E-5</v>
      </c>
    </row>
    <row r="3273" spans="7:8">
      <c r="G3273" s="168">
        <v>3270</v>
      </c>
      <c r="H3273" s="183">
        <f t="shared" ca="1" si="93"/>
        <v>-5.3127988905868609E-3</v>
      </c>
    </row>
    <row r="3274" spans="7:8">
      <c r="G3274" s="168">
        <v>3271</v>
      </c>
      <c r="H3274" s="183">
        <f t="shared" ca="1" si="93"/>
        <v>-1.2679661172693979E-3</v>
      </c>
    </row>
    <row r="3275" spans="7:8">
      <c r="G3275" s="168">
        <v>3272</v>
      </c>
      <c r="H3275" s="183">
        <f t="shared" ca="1" si="93"/>
        <v>-5.3841122587104063E-3</v>
      </c>
    </row>
    <row r="3276" spans="7:8">
      <c r="G3276" s="168">
        <v>3273</v>
      </c>
      <c r="H3276" s="183">
        <f t="shared" ca="1" si="93"/>
        <v>7.704485981138964E-3</v>
      </c>
    </row>
    <row r="3277" spans="7:8">
      <c r="G3277" s="168">
        <v>3274</v>
      </c>
      <c r="H3277" s="183">
        <f t="shared" ca="1" si="93"/>
        <v>9.9535287591762424E-3</v>
      </c>
    </row>
    <row r="3278" spans="7:8">
      <c r="G3278" s="168">
        <v>3275</v>
      </c>
      <c r="H3278" s="183">
        <f t="shared" ca="1" si="93"/>
        <v>-7.8664876869428517E-3</v>
      </c>
    </row>
    <row r="3279" spans="7:8">
      <c r="G3279" s="168">
        <v>3276</v>
      </c>
      <c r="H3279" s="183">
        <f t="shared" ca="1" si="93"/>
        <v>2.7672104288182016E-2</v>
      </c>
    </row>
    <row r="3280" spans="7:8">
      <c r="G3280" s="168">
        <v>3277</v>
      </c>
      <c r="H3280" s="183">
        <f t="shared" ca="1" si="93"/>
        <v>-1.3570431985186385E-2</v>
      </c>
    </row>
    <row r="3281" spans="7:8">
      <c r="G3281" s="168">
        <v>3278</v>
      </c>
      <c r="H3281" s="183">
        <f t="shared" ca="1" si="93"/>
        <v>1.042449599761448E-2</v>
      </c>
    </row>
    <row r="3282" spans="7:8">
      <c r="G3282" s="168">
        <v>3279</v>
      </c>
      <c r="H3282" s="183">
        <f t="shared" ca="1" si="93"/>
        <v>-2.6763048800607144E-3</v>
      </c>
    </row>
    <row r="3283" spans="7:8">
      <c r="G3283" s="168">
        <v>3280</v>
      </c>
      <c r="H3283" s="183">
        <f t="shared" ca="1" si="93"/>
        <v>3.5545451167679019E-3</v>
      </c>
    </row>
    <row r="3284" spans="7:8">
      <c r="G3284" s="168">
        <v>3281</v>
      </c>
      <c r="H3284" s="183">
        <f t="shared" ca="1" si="93"/>
        <v>-2.2655031504292605E-4</v>
      </c>
    </row>
    <row r="3285" spans="7:8">
      <c r="G3285" s="168">
        <v>3282</v>
      </c>
      <c r="H3285" s="183">
        <f t="shared" ca="1" si="93"/>
        <v>-1.0981841943005291E-3</v>
      </c>
    </row>
    <row r="3286" spans="7:8">
      <c r="G3286" s="168">
        <v>3283</v>
      </c>
      <c r="H3286" s="183">
        <f t="shared" ca="1" si="93"/>
        <v>8.6321797086457031E-3</v>
      </c>
    </row>
    <row r="3287" spans="7:8">
      <c r="G3287" s="168">
        <v>3284</v>
      </c>
      <c r="H3287" s="183">
        <f t="shared" ca="1" si="93"/>
        <v>-4.9916893024033382E-3</v>
      </c>
    </row>
    <row r="3288" spans="7:8">
      <c r="G3288" s="168">
        <v>3285</v>
      </c>
      <c r="H3288" s="183">
        <f t="shared" ca="1" si="93"/>
        <v>2.8529520901567025E-2</v>
      </c>
    </row>
    <row r="3289" spans="7:8">
      <c r="G3289" s="168">
        <v>3286</v>
      </c>
      <c r="H3289" s="183">
        <f t="shared" ca="1" si="93"/>
        <v>-5.6186549320438777E-3</v>
      </c>
    </row>
    <row r="3290" spans="7:8">
      <c r="G3290" s="168">
        <v>3287</v>
      </c>
      <c r="H3290" s="183">
        <f t="shared" ca="1" si="93"/>
        <v>-8.549622469220447E-3</v>
      </c>
    </row>
    <row r="3291" spans="7:8">
      <c r="G3291" s="168">
        <v>3288</v>
      </c>
      <c r="H3291" s="183">
        <f t="shared" ca="1" si="93"/>
        <v>-7.4738896252632804E-3</v>
      </c>
    </row>
    <row r="3292" spans="7:8">
      <c r="G3292" s="168">
        <v>3289</v>
      </c>
      <c r="H3292" s="183">
        <f t="shared" ca="1" si="93"/>
        <v>-1.3759754082251444E-3</v>
      </c>
    </row>
    <row r="3293" spans="7:8">
      <c r="G3293" s="168">
        <v>3290</v>
      </c>
      <c r="H3293" s="183">
        <f t="shared" ca="1" si="93"/>
        <v>-1.5792967108799495E-3</v>
      </c>
    </row>
    <row r="3294" spans="7:8">
      <c r="G3294" s="168">
        <v>3291</v>
      </c>
      <c r="H3294" s="183">
        <f t="shared" ca="1" si="93"/>
        <v>-1.7806660977380883E-2</v>
      </c>
    </row>
    <row r="3295" spans="7:8">
      <c r="G3295" s="168">
        <v>3292</v>
      </c>
      <c r="H3295" s="183">
        <f t="shared" ca="1" si="93"/>
        <v>-1.489256042432891E-3</v>
      </c>
    </row>
    <row r="3296" spans="7:8">
      <c r="G3296" s="168">
        <v>3293</v>
      </c>
      <c r="H3296" s="183">
        <f t="shared" ca="1" si="93"/>
        <v>1.6757176620609941E-2</v>
      </c>
    </row>
    <row r="3297" spans="7:8">
      <c r="G3297" s="168">
        <v>3294</v>
      </c>
      <c r="H3297" s="183">
        <f t="shared" ca="1" si="93"/>
        <v>6.8225604641231584E-3</v>
      </c>
    </row>
    <row r="3298" spans="7:8">
      <c r="G3298" s="168">
        <v>3295</v>
      </c>
      <c r="H3298" s="183">
        <f t="shared" ca="1" si="93"/>
        <v>6.9833793828497004E-3</v>
      </c>
    </row>
    <row r="3299" spans="7:8">
      <c r="G3299" s="168">
        <v>3296</v>
      </c>
      <c r="H3299" s="183">
        <f t="shared" ca="1" si="93"/>
        <v>3.8078944639122632E-3</v>
      </c>
    </row>
    <row r="3300" spans="7:8">
      <c r="G3300" s="168">
        <v>3297</v>
      </c>
      <c r="H3300" s="183">
        <f t="shared" ca="1" si="93"/>
        <v>1.6566438513106223E-2</v>
      </c>
    </row>
    <row r="3301" spans="7:8">
      <c r="G3301" s="168">
        <v>3298</v>
      </c>
      <c r="H3301" s="183">
        <f t="shared" ca="1" si="93"/>
        <v>-1.8546859518921294E-3</v>
      </c>
    </row>
    <row r="3302" spans="7:8">
      <c r="G3302" s="168">
        <v>3299</v>
      </c>
      <c r="H3302" s="183">
        <f t="shared" ca="1" si="93"/>
        <v>8.0606755781881343E-3</v>
      </c>
    </row>
    <row r="3303" spans="7:8">
      <c r="G3303" s="168">
        <v>3300</v>
      </c>
      <c r="H3303" s="183">
        <f t="shared" ca="1" si="93"/>
        <v>1.7702135685074796E-2</v>
      </c>
    </row>
    <row r="3304" spans="7:8">
      <c r="G3304" s="168">
        <v>3301</v>
      </c>
      <c r="H3304" s="183">
        <f t="shared" ca="1" si="93"/>
        <v>-6.6048523415375921E-3</v>
      </c>
    </row>
    <row r="3305" spans="7:8">
      <c r="G3305" s="168">
        <v>3302</v>
      </c>
      <c r="H3305" s="183">
        <f t="shared" ca="1" si="93"/>
        <v>-3.9761367215587588E-3</v>
      </c>
    </row>
    <row r="3306" spans="7:8">
      <c r="G3306" s="168">
        <v>3303</v>
      </c>
      <c r="H3306" s="183">
        <f t="shared" ca="1" si="93"/>
        <v>-8.2445154499854595E-3</v>
      </c>
    </row>
    <row r="3307" spans="7:8">
      <c r="G3307" s="168">
        <v>3304</v>
      </c>
      <c r="H3307" s="183">
        <f t="shared" ca="1" si="93"/>
        <v>1.5265986074920596E-2</v>
      </c>
    </row>
    <row r="3308" spans="7:8">
      <c r="G3308" s="168">
        <v>3305</v>
      </c>
      <c r="H3308" s="183">
        <f t="shared" ca="1" si="93"/>
        <v>-7.888200392159133E-3</v>
      </c>
    </row>
    <row r="3309" spans="7:8">
      <c r="G3309" s="168">
        <v>3306</v>
      </c>
      <c r="H3309" s="183">
        <f t="shared" ca="1" si="93"/>
        <v>5.531599965852476E-3</v>
      </c>
    </row>
    <row r="3310" spans="7:8">
      <c r="G3310" s="168">
        <v>3307</v>
      </c>
      <c r="H3310" s="183">
        <f t="shared" ca="1" si="93"/>
        <v>-1.2630651096897771E-2</v>
      </c>
    </row>
    <row r="3311" spans="7:8">
      <c r="G3311" s="168">
        <v>3308</v>
      </c>
      <c r="H3311" s="183">
        <f t="shared" ca="1" si="93"/>
        <v>1.7561628552179374E-2</v>
      </c>
    </row>
    <row r="3312" spans="7:8">
      <c r="G3312" s="168">
        <v>3309</v>
      </c>
      <c r="H3312" s="183">
        <f t="shared" ca="1" si="93"/>
        <v>9.6420751999344127E-3</v>
      </c>
    </row>
    <row r="3313" spans="7:8">
      <c r="G3313" s="168">
        <v>3310</v>
      </c>
      <c r="H3313" s="183">
        <f t="shared" ca="1" si="93"/>
        <v>2.8710149468108457E-3</v>
      </c>
    </row>
    <row r="3314" spans="7:8">
      <c r="G3314" s="168">
        <v>3311</v>
      </c>
      <c r="H3314" s="183">
        <f t="shared" ca="1" si="93"/>
        <v>-7.9063505077311101E-3</v>
      </c>
    </row>
    <row r="3315" spans="7:8">
      <c r="G3315" s="168">
        <v>3312</v>
      </c>
      <c r="H3315" s="183">
        <f t="shared" ca="1" si="93"/>
        <v>4.5060348525346565E-3</v>
      </c>
    </row>
    <row r="3316" spans="7:8">
      <c r="G3316" s="168">
        <v>3313</v>
      </c>
      <c r="H3316" s="183">
        <f t="shared" ca="1" si="93"/>
        <v>-8.392346856345486E-3</v>
      </c>
    </row>
    <row r="3317" spans="7:8">
      <c r="G3317" s="168">
        <v>3314</v>
      </c>
      <c r="H3317" s="183">
        <f t="shared" ca="1" si="93"/>
        <v>1.4621841141452967E-2</v>
      </c>
    </row>
    <row r="3318" spans="7:8">
      <c r="G3318" s="168">
        <v>3315</v>
      </c>
      <c r="H3318" s="183">
        <f t="shared" ca="1" si="93"/>
        <v>-2.4295827541839687E-2</v>
      </c>
    </row>
    <row r="3319" spans="7:8">
      <c r="G3319" s="168">
        <v>3316</v>
      </c>
      <c r="H3319" s="183">
        <f t="shared" ca="1" si="93"/>
        <v>1.1959793184476937E-2</v>
      </c>
    </row>
    <row r="3320" spans="7:8">
      <c r="G3320" s="168">
        <v>3317</v>
      </c>
      <c r="H3320" s="183">
        <f t="shared" ca="1" si="93"/>
        <v>1.4678008980842025E-2</v>
      </c>
    </row>
    <row r="3321" spans="7:8">
      <c r="G3321" s="168">
        <v>3318</v>
      </c>
      <c r="H3321" s="183">
        <f t="shared" ca="1" si="93"/>
        <v>9.6104859106530792E-3</v>
      </c>
    </row>
    <row r="3322" spans="7:8">
      <c r="G3322" s="168">
        <v>3319</v>
      </c>
      <c r="H3322" s="183">
        <f t="shared" ca="1" si="93"/>
        <v>1.6992288861622331E-3</v>
      </c>
    </row>
    <row r="3323" spans="7:8">
      <c r="G3323" s="168">
        <v>3320</v>
      </c>
      <c r="H3323" s="183">
        <f t="shared" ca="1" si="93"/>
        <v>2.6644024277627465E-2</v>
      </c>
    </row>
    <row r="3324" spans="7:8">
      <c r="G3324" s="168">
        <v>3321</v>
      </c>
      <c r="H3324" s="183">
        <f t="shared" ca="1" si="93"/>
        <v>-7.7896946470444152E-3</v>
      </c>
    </row>
    <row r="3325" spans="7:8">
      <c r="G3325" s="168">
        <v>3322</v>
      </c>
      <c r="H3325" s="183">
        <f t="shared" ca="1" si="93"/>
        <v>7.8164962951166421E-3</v>
      </c>
    </row>
    <row r="3326" spans="7:8">
      <c r="G3326" s="168">
        <v>3323</v>
      </c>
      <c r="H3326" s="183">
        <f t="shared" ca="1" si="93"/>
        <v>6.9647555578435955E-3</v>
      </c>
    </row>
    <row r="3327" spans="7:8">
      <c r="G3327" s="168">
        <v>3324</v>
      </c>
      <c r="H3327" s="183">
        <f t="shared" ca="1" si="93"/>
        <v>7.7996461134012098E-3</v>
      </c>
    </row>
    <row r="3328" spans="7:8">
      <c r="G3328" s="168">
        <v>3325</v>
      </c>
      <c r="H3328" s="183">
        <f t="shared" ca="1" si="93"/>
        <v>-5.123465424915292E-3</v>
      </c>
    </row>
    <row r="3329" spans="7:8">
      <c r="G3329" s="168">
        <v>3326</v>
      </c>
      <c r="H3329" s="183">
        <f t="shared" ca="1" si="93"/>
        <v>-1.6284185363807758E-2</v>
      </c>
    </row>
    <row r="3330" spans="7:8">
      <c r="G3330" s="168">
        <v>3327</v>
      </c>
      <c r="H3330" s="183">
        <f t="shared" ca="1" si="93"/>
        <v>-4.0308399471629518E-3</v>
      </c>
    </row>
    <row r="3331" spans="7:8">
      <c r="G3331" s="168">
        <v>3328</v>
      </c>
      <c r="H3331" s="183">
        <f t="shared" ca="1" si="93"/>
        <v>9.5859989157793778E-3</v>
      </c>
    </row>
    <row r="3332" spans="7:8">
      <c r="G3332" s="168">
        <v>3329</v>
      </c>
      <c r="H3332" s="183">
        <f t="shared" ca="1" si="93"/>
        <v>-1.9228789449450129E-2</v>
      </c>
    </row>
    <row r="3333" spans="7:8">
      <c r="G3333" s="168">
        <v>3330</v>
      </c>
      <c r="H3333" s="183">
        <f t="shared" ref="H3333:H3396" ca="1" si="94">_xlfn.NORM.INV(RAND(),N$6,N$7)</f>
        <v>1.3940317839810513E-2</v>
      </c>
    </row>
    <row r="3334" spans="7:8">
      <c r="G3334" s="168">
        <v>3331</v>
      </c>
      <c r="H3334" s="183">
        <f t="shared" ca="1" si="94"/>
        <v>-1.5004256446816227E-2</v>
      </c>
    </row>
    <row r="3335" spans="7:8">
      <c r="G3335" s="168">
        <v>3332</v>
      </c>
      <c r="H3335" s="183">
        <f t="shared" ca="1" si="94"/>
        <v>3.587785076843604E-4</v>
      </c>
    </row>
    <row r="3336" spans="7:8">
      <c r="G3336" s="168">
        <v>3333</v>
      </c>
      <c r="H3336" s="183">
        <f t="shared" ca="1" si="94"/>
        <v>7.2812574747590873E-3</v>
      </c>
    </row>
    <row r="3337" spans="7:8">
      <c r="G3337" s="168">
        <v>3334</v>
      </c>
      <c r="H3337" s="183">
        <f t="shared" ca="1" si="94"/>
        <v>4.4449891149294122E-3</v>
      </c>
    </row>
    <row r="3338" spans="7:8">
      <c r="G3338" s="168">
        <v>3335</v>
      </c>
      <c r="H3338" s="183">
        <f t="shared" ca="1" si="94"/>
        <v>-2.5222769892369826E-3</v>
      </c>
    </row>
    <row r="3339" spans="7:8">
      <c r="G3339" s="168">
        <v>3336</v>
      </c>
      <c r="H3339" s="183">
        <f t="shared" ca="1" si="94"/>
        <v>1.7555285819553557E-2</v>
      </c>
    </row>
    <row r="3340" spans="7:8">
      <c r="G3340" s="168">
        <v>3337</v>
      </c>
      <c r="H3340" s="183">
        <f t="shared" ca="1" si="94"/>
        <v>5.7866632620867508E-3</v>
      </c>
    </row>
    <row r="3341" spans="7:8">
      <c r="G3341" s="168">
        <v>3338</v>
      </c>
      <c r="H3341" s="183">
        <f t="shared" ca="1" si="94"/>
        <v>6.2144290242597943E-3</v>
      </c>
    </row>
    <row r="3342" spans="7:8">
      <c r="G3342" s="168">
        <v>3339</v>
      </c>
      <c r="H3342" s="183">
        <f t="shared" ca="1" si="94"/>
        <v>-1.5635553880000794E-2</v>
      </c>
    </row>
    <row r="3343" spans="7:8">
      <c r="G3343" s="168">
        <v>3340</v>
      </c>
      <c r="H3343" s="183">
        <f t="shared" ca="1" si="94"/>
        <v>-2.9254720820641759E-3</v>
      </c>
    </row>
    <row r="3344" spans="7:8">
      <c r="G3344" s="168">
        <v>3341</v>
      </c>
      <c r="H3344" s="183">
        <f t="shared" ca="1" si="94"/>
        <v>1.9302236244612241E-2</v>
      </c>
    </row>
    <row r="3345" spans="7:8">
      <c r="G3345" s="168">
        <v>3342</v>
      </c>
      <c r="H3345" s="183">
        <f t="shared" ca="1" si="94"/>
        <v>2.3132971577424114E-2</v>
      </c>
    </row>
    <row r="3346" spans="7:8">
      <c r="G3346" s="168">
        <v>3343</v>
      </c>
      <c r="H3346" s="183">
        <f t="shared" ca="1" si="94"/>
        <v>-5.5887523535328902E-3</v>
      </c>
    </row>
    <row r="3347" spans="7:8">
      <c r="G3347" s="168">
        <v>3344</v>
      </c>
      <c r="H3347" s="183">
        <f t="shared" ca="1" si="94"/>
        <v>1.3047818537750725E-2</v>
      </c>
    </row>
    <row r="3348" spans="7:8">
      <c r="G3348" s="168">
        <v>3345</v>
      </c>
      <c r="H3348" s="183">
        <f t="shared" ca="1" si="94"/>
        <v>1.7603933790390585E-3</v>
      </c>
    </row>
    <row r="3349" spans="7:8">
      <c r="G3349" s="168">
        <v>3346</v>
      </c>
      <c r="H3349" s="183">
        <f t="shared" ca="1" si="94"/>
        <v>1.3022716062303211E-2</v>
      </c>
    </row>
    <row r="3350" spans="7:8">
      <c r="G3350" s="168">
        <v>3347</v>
      </c>
      <c r="H3350" s="183">
        <f t="shared" ca="1" si="94"/>
        <v>7.2948922176669893E-3</v>
      </c>
    </row>
    <row r="3351" spans="7:8">
      <c r="G3351" s="168">
        <v>3348</v>
      </c>
      <c r="H3351" s="183">
        <f t="shared" ca="1" si="94"/>
        <v>4.1584385101881265E-4</v>
      </c>
    </row>
    <row r="3352" spans="7:8">
      <c r="G3352" s="168">
        <v>3349</v>
      </c>
      <c r="H3352" s="183">
        <f t="shared" ca="1" si="94"/>
        <v>-1.4466402893378055E-2</v>
      </c>
    </row>
    <row r="3353" spans="7:8">
      <c r="G3353" s="168">
        <v>3350</v>
      </c>
      <c r="H3353" s="183">
        <f t="shared" ca="1" si="94"/>
        <v>-2.2141647715535418E-3</v>
      </c>
    </row>
    <row r="3354" spans="7:8">
      <c r="G3354" s="168">
        <v>3351</v>
      </c>
      <c r="H3354" s="183">
        <f t="shared" ca="1" si="94"/>
        <v>-1.5949744134232561E-2</v>
      </c>
    </row>
    <row r="3355" spans="7:8">
      <c r="G3355" s="168">
        <v>3352</v>
      </c>
      <c r="H3355" s="183">
        <f t="shared" ca="1" si="94"/>
        <v>3.1023904493480879E-2</v>
      </c>
    </row>
    <row r="3356" spans="7:8">
      <c r="G3356" s="168">
        <v>3353</v>
      </c>
      <c r="H3356" s="183">
        <f t="shared" ca="1" si="94"/>
        <v>1.0075308591814378E-3</v>
      </c>
    </row>
    <row r="3357" spans="7:8">
      <c r="G3357" s="168">
        <v>3354</v>
      </c>
      <c r="H3357" s="183">
        <f t="shared" ca="1" si="94"/>
        <v>-9.5249583700784644E-3</v>
      </c>
    </row>
    <row r="3358" spans="7:8">
      <c r="G3358" s="168">
        <v>3355</v>
      </c>
      <c r="H3358" s="183">
        <f t="shared" ca="1" si="94"/>
        <v>2.8776084983072915E-3</v>
      </c>
    </row>
    <row r="3359" spans="7:8">
      <c r="G3359" s="168">
        <v>3356</v>
      </c>
      <c r="H3359" s="183">
        <f t="shared" ca="1" si="94"/>
        <v>-1.2683143565239183E-2</v>
      </c>
    </row>
    <row r="3360" spans="7:8">
      <c r="G3360" s="168">
        <v>3357</v>
      </c>
      <c r="H3360" s="183">
        <f t="shared" ca="1" si="94"/>
        <v>1.7408732023221754E-2</v>
      </c>
    </row>
    <row r="3361" spans="7:8">
      <c r="G3361" s="168">
        <v>3358</v>
      </c>
      <c r="H3361" s="183">
        <f t="shared" ca="1" si="94"/>
        <v>-9.3918700301519019E-3</v>
      </c>
    </row>
    <row r="3362" spans="7:8">
      <c r="G3362" s="168">
        <v>3359</v>
      </c>
      <c r="H3362" s="183">
        <f t="shared" ca="1" si="94"/>
        <v>7.8044074678046676E-4</v>
      </c>
    </row>
    <row r="3363" spans="7:8">
      <c r="G3363" s="168">
        <v>3360</v>
      </c>
      <c r="H3363" s="183">
        <f t="shared" ca="1" si="94"/>
        <v>-4.9581814023825924E-3</v>
      </c>
    </row>
    <row r="3364" spans="7:8">
      <c r="G3364" s="168">
        <v>3361</v>
      </c>
      <c r="H3364" s="183">
        <f t="shared" ca="1" si="94"/>
        <v>2.4841599041877844E-2</v>
      </c>
    </row>
    <row r="3365" spans="7:8">
      <c r="G3365" s="168">
        <v>3362</v>
      </c>
      <c r="H3365" s="183">
        <f t="shared" ca="1" si="94"/>
        <v>-5.2190263776530224E-3</v>
      </c>
    </row>
    <row r="3366" spans="7:8">
      <c r="G3366" s="168">
        <v>3363</v>
      </c>
      <c r="H3366" s="183">
        <f t="shared" ca="1" si="94"/>
        <v>4.378475199349083E-3</v>
      </c>
    </row>
    <row r="3367" spans="7:8">
      <c r="G3367" s="168">
        <v>3364</v>
      </c>
      <c r="H3367" s="183">
        <f t="shared" ca="1" si="94"/>
        <v>-4.227186041178806E-4</v>
      </c>
    </row>
    <row r="3368" spans="7:8">
      <c r="G3368" s="168">
        <v>3365</v>
      </c>
      <c r="H3368" s="183">
        <f t="shared" ca="1" si="94"/>
        <v>6.3720619677754137E-3</v>
      </c>
    </row>
    <row r="3369" spans="7:8">
      <c r="G3369" s="168">
        <v>3366</v>
      </c>
      <c r="H3369" s="183">
        <f t="shared" ca="1" si="94"/>
        <v>-9.8227610415714886E-4</v>
      </c>
    </row>
    <row r="3370" spans="7:8">
      <c r="G3370" s="168">
        <v>3367</v>
      </c>
      <c r="H3370" s="183">
        <f t="shared" ca="1" si="94"/>
        <v>-2.0822545691779916E-3</v>
      </c>
    </row>
    <row r="3371" spans="7:8">
      <c r="G3371" s="168">
        <v>3368</v>
      </c>
      <c r="H3371" s="183">
        <f t="shared" ca="1" si="94"/>
        <v>2.3365344865449562E-2</v>
      </c>
    </row>
    <row r="3372" spans="7:8">
      <c r="G3372" s="168">
        <v>3369</v>
      </c>
      <c r="H3372" s="183">
        <f t="shared" ca="1" si="94"/>
        <v>1.0377449114382032E-2</v>
      </c>
    </row>
    <row r="3373" spans="7:8">
      <c r="G3373" s="168">
        <v>3370</v>
      </c>
      <c r="H3373" s="183">
        <f t="shared" ca="1" si="94"/>
        <v>6.1248894739062837E-3</v>
      </c>
    </row>
    <row r="3374" spans="7:8">
      <c r="G3374" s="168">
        <v>3371</v>
      </c>
      <c r="H3374" s="183">
        <f t="shared" ca="1" si="94"/>
        <v>-3.527981568723559E-4</v>
      </c>
    </row>
    <row r="3375" spans="7:8">
      <c r="G3375" s="168">
        <v>3372</v>
      </c>
      <c r="H3375" s="183">
        <f t="shared" ca="1" si="94"/>
        <v>-1.5127629730274022E-2</v>
      </c>
    </row>
    <row r="3376" spans="7:8">
      <c r="G3376" s="168">
        <v>3373</v>
      </c>
      <c r="H3376" s="183">
        <f t="shared" ca="1" si="94"/>
        <v>-9.8770213060395025E-3</v>
      </c>
    </row>
    <row r="3377" spans="7:8">
      <c r="G3377" s="168">
        <v>3374</v>
      </c>
      <c r="H3377" s="183">
        <f t="shared" ca="1" si="94"/>
        <v>-7.446061633733978E-3</v>
      </c>
    </row>
    <row r="3378" spans="7:8">
      <c r="G3378" s="168">
        <v>3375</v>
      </c>
      <c r="H3378" s="183">
        <f t="shared" ca="1" si="94"/>
        <v>-5.3006790171337163E-3</v>
      </c>
    </row>
    <row r="3379" spans="7:8">
      <c r="G3379" s="168">
        <v>3376</v>
      </c>
      <c r="H3379" s="183">
        <f t="shared" ca="1" si="94"/>
        <v>3.0299270416888607E-3</v>
      </c>
    </row>
    <row r="3380" spans="7:8">
      <c r="G3380" s="168">
        <v>3377</v>
      </c>
      <c r="H3380" s="183">
        <f t="shared" ca="1" si="94"/>
        <v>-1.0681680652932766E-2</v>
      </c>
    </row>
    <row r="3381" spans="7:8">
      <c r="G3381" s="168">
        <v>3378</v>
      </c>
      <c r="H3381" s="183">
        <f t="shared" ca="1" si="94"/>
        <v>-4.4393647551516915E-3</v>
      </c>
    </row>
    <row r="3382" spans="7:8">
      <c r="G3382" s="168">
        <v>3379</v>
      </c>
      <c r="H3382" s="183">
        <f t="shared" ca="1" si="94"/>
        <v>-7.2712179213023738E-3</v>
      </c>
    </row>
    <row r="3383" spans="7:8">
      <c r="G3383" s="168">
        <v>3380</v>
      </c>
      <c r="H3383" s="183">
        <f t="shared" ca="1" si="94"/>
        <v>-1.0670546449790763E-2</v>
      </c>
    </row>
    <row r="3384" spans="7:8">
      <c r="G3384" s="168">
        <v>3381</v>
      </c>
      <c r="H3384" s="183">
        <f t="shared" ca="1" si="94"/>
        <v>-8.0256865477995668E-3</v>
      </c>
    </row>
    <row r="3385" spans="7:8">
      <c r="G3385" s="168">
        <v>3382</v>
      </c>
      <c r="H3385" s="183">
        <f t="shared" ca="1" si="94"/>
        <v>1.3130359892949906E-2</v>
      </c>
    </row>
    <row r="3386" spans="7:8">
      <c r="G3386" s="168">
        <v>3383</v>
      </c>
      <c r="H3386" s="183">
        <f t="shared" ca="1" si="94"/>
        <v>1.3822624595024882E-2</v>
      </c>
    </row>
    <row r="3387" spans="7:8">
      <c r="G3387" s="168">
        <v>3384</v>
      </c>
      <c r="H3387" s="183">
        <f t="shared" ca="1" si="94"/>
        <v>-2.3895354076733906E-3</v>
      </c>
    </row>
    <row r="3388" spans="7:8">
      <c r="G3388" s="168">
        <v>3385</v>
      </c>
      <c r="H3388" s="183">
        <f t="shared" ca="1" si="94"/>
        <v>9.4546807833138721E-3</v>
      </c>
    </row>
    <row r="3389" spans="7:8">
      <c r="G3389" s="168">
        <v>3386</v>
      </c>
      <c r="H3389" s="183">
        <f t="shared" ca="1" si="94"/>
        <v>1.4332391100438265E-2</v>
      </c>
    </row>
    <row r="3390" spans="7:8">
      <c r="G3390" s="168">
        <v>3387</v>
      </c>
      <c r="H3390" s="183">
        <f t="shared" ca="1" si="94"/>
        <v>-2.6440723113324693E-3</v>
      </c>
    </row>
    <row r="3391" spans="7:8">
      <c r="G3391" s="168">
        <v>3388</v>
      </c>
      <c r="H3391" s="183">
        <f t="shared" ca="1" si="94"/>
        <v>7.6320622257003562E-3</v>
      </c>
    </row>
    <row r="3392" spans="7:8">
      <c r="G3392" s="168">
        <v>3389</v>
      </c>
      <c r="H3392" s="183">
        <f t="shared" ca="1" si="94"/>
        <v>2.0629609897732441E-2</v>
      </c>
    </row>
    <row r="3393" spans="7:8">
      <c r="G3393" s="168">
        <v>3390</v>
      </c>
      <c r="H3393" s="183">
        <f t="shared" ca="1" si="94"/>
        <v>5.4854740906280326E-3</v>
      </c>
    </row>
    <row r="3394" spans="7:8">
      <c r="G3394" s="168">
        <v>3391</v>
      </c>
      <c r="H3394" s="183">
        <f t="shared" ca="1" si="94"/>
        <v>3.7708322428655586E-2</v>
      </c>
    </row>
    <row r="3395" spans="7:8">
      <c r="G3395" s="168">
        <v>3392</v>
      </c>
      <c r="H3395" s="183">
        <f t="shared" ca="1" si="94"/>
        <v>1.5624591160213509E-2</v>
      </c>
    </row>
    <row r="3396" spans="7:8">
      <c r="G3396" s="168">
        <v>3393</v>
      </c>
      <c r="H3396" s="183">
        <f t="shared" ca="1" si="94"/>
        <v>6.5579810544216096E-3</v>
      </c>
    </row>
    <row r="3397" spans="7:8">
      <c r="G3397" s="168">
        <v>3394</v>
      </c>
      <c r="H3397" s="183">
        <f t="shared" ref="H3397:H3460" ca="1" si="95">_xlfn.NORM.INV(RAND(),N$6,N$7)</f>
        <v>1.221966412188695E-2</v>
      </c>
    </row>
    <row r="3398" spans="7:8">
      <c r="G3398" s="168">
        <v>3395</v>
      </c>
      <c r="H3398" s="183">
        <f t="shared" ca="1" si="95"/>
        <v>1.3674408808332386E-2</v>
      </c>
    </row>
    <row r="3399" spans="7:8">
      <c r="G3399" s="168">
        <v>3396</v>
      </c>
      <c r="H3399" s="183">
        <f t="shared" ca="1" si="95"/>
        <v>2.5918760756478681E-3</v>
      </c>
    </row>
    <row r="3400" spans="7:8">
      <c r="G3400" s="168">
        <v>3397</v>
      </c>
      <c r="H3400" s="183">
        <f t="shared" ca="1" si="95"/>
        <v>1.0085407236098999E-2</v>
      </c>
    </row>
    <row r="3401" spans="7:8">
      <c r="G3401" s="168">
        <v>3398</v>
      </c>
      <c r="H3401" s="183">
        <f t="shared" ca="1" si="95"/>
        <v>8.9276566832842338E-3</v>
      </c>
    </row>
    <row r="3402" spans="7:8">
      <c r="G3402" s="168">
        <v>3399</v>
      </c>
      <c r="H3402" s="183">
        <f t="shared" ca="1" si="95"/>
        <v>-6.3421296707986659E-3</v>
      </c>
    </row>
    <row r="3403" spans="7:8">
      <c r="G3403" s="168">
        <v>3400</v>
      </c>
      <c r="H3403" s="183">
        <f t="shared" ca="1" si="95"/>
        <v>1.1030491495120833E-2</v>
      </c>
    </row>
    <row r="3404" spans="7:8">
      <c r="G3404" s="168">
        <v>3401</v>
      </c>
      <c r="H3404" s="183">
        <f t="shared" ca="1" si="95"/>
        <v>2.6075719287850714E-3</v>
      </c>
    </row>
    <row r="3405" spans="7:8">
      <c r="G3405" s="168">
        <v>3402</v>
      </c>
      <c r="H3405" s="183">
        <f t="shared" ca="1" si="95"/>
        <v>-8.4356696394629858E-3</v>
      </c>
    </row>
    <row r="3406" spans="7:8">
      <c r="G3406" s="168">
        <v>3403</v>
      </c>
      <c r="H3406" s="183">
        <f t="shared" ca="1" si="95"/>
        <v>-4.7234887913160132E-3</v>
      </c>
    </row>
    <row r="3407" spans="7:8">
      <c r="G3407" s="168">
        <v>3404</v>
      </c>
      <c r="H3407" s="183">
        <f t="shared" ca="1" si="95"/>
        <v>-6.8068875851255298E-3</v>
      </c>
    </row>
    <row r="3408" spans="7:8">
      <c r="G3408" s="168">
        <v>3405</v>
      </c>
      <c r="H3408" s="183">
        <f t="shared" ca="1" si="95"/>
        <v>-1.2784358776359889E-2</v>
      </c>
    </row>
    <row r="3409" spans="7:8">
      <c r="G3409" s="168">
        <v>3406</v>
      </c>
      <c r="H3409" s="183">
        <f t="shared" ca="1" si="95"/>
        <v>-7.9845138890671831E-3</v>
      </c>
    </row>
    <row r="3410" spans="7:8">
      <c r="G3410" s="168">
        <v>3407</v>
      </c>
      <c r="H3410" s="183">
        <f t="shared" ca="1" si="95"/>
        <v>-1.2843532622834643E-2</v>
      </c>
    </row>
    <row r="3411" spans="7:8">
      <c r="G3411" s="168">
        <v>3408</v>
      </c>
      <c r="H3411" s="183">
        <f t="shared" ca="1" si="95"/>
        <v>-3.0987881571415783E-3</v>
      </c>
    </row>
    <row r="3412" spans="7:8">
      <c r="G3412" s="168">
        <v>3409</v>
      </c>
      <c r="H3412" s="183">
        <f t="shared" ca="1" si="95"/>
        <v>1.7721426403533715E-2</v>
      </c>
    </row>
    <row r="3413" spans="7:8">
      <c r="G3413" s="168">
        <v>3410</v>
      </c>
      <c r="H3413" s="183">
        <f t="shared" ca="1" si="95"/>
        <v>1.1343277639312595E-2</v>
      </c>
    </row>
    <row r="3414" spans="7:8">
      <c r="G3414" s="168">
        <v>3411</v>
      </c>
      <c r="H3414" s="183">
        <f t="shared" ca="1" si="95"/>
        <v>-2.1388974090567378E-2</v>
      </c>
    </row>
    <row r="3415" spans="7:8">
      <c r="G3415" s="168">
        <v>3412</v>
      </c>
      <c r="H3415" s="183">
        <f t="shared" ca="1" si="95"/>
        <v>6.1477798961588493E-3</v>
      </c>
    </row>
    <row r="3416" spans="7:8">
      <c r="G3416" s="168">
        <v>3413</v>
      </c>
      <c r="H3416" s="183">
        <f t="shared" ca="1" si="95"/>
        <v>1.5438989188571801E-2</v>
      </c>
    </row>
    <row r="3417" spans="7:8">
      <c r="G3417" s="168">
        <v>3414</v>
      </c>
      <c r="H3417" s="183">
        <f t="shared" ca="1" si="95"/>
        <v>6.8733149367260242E-3</v>
      </c>
    </row>
    <row r="3418" spans="7:8">
      <c r="G3418" s="168">
        <v>3415</v>
      </c>
      <c r="H3418" s="183">
        <f t="shared" ca="1" si="95"/>
        <v>-1.9290151312778874E-2</v>
      </c>
    </row>
    <row r="3419" spans="7:8">
      <c r="G3419" s="168">
        <v>3416</v>
      </c>
      <c r="H3419" s="183">
        <f t="shared" ca="1" si="95"/>
        <v>-8.8063305563674428E-3</v>
      </c>
    </row>
    <row r="3420" spans="7:8">
      <c r="G3420" s="168">
        <v>3417</v>
      </c>
      <c r="H3420" s="183">
        <f t="shared" ca="1" si="95"/>
        <v>3.4505034646182316E-3</v>
      </c>
    </row>
    <row r="3421" spans="7:8">
      <c r="G3421" s="168">
        <v>3418</v>
      </c>
      <c r="H3421" s="183">
        <f t="shared" ca="1" si="95"/>
        <v>1.8966285971797659E-2</v>
      </c>
    </row>
    <row r="3422" spans="7:8">
      <c r="G3422" s="168">
        <v>3419</v>
      </c>
      <c r="H3422" s="183">
        <f t="shared" ca="1" si="95"/>
        <v>2.3899309361852333E-2</v>
      </c>
    </row>
    <row r="3423" spans="7:8">
      <c r="G3423" s="168">
        <v>3420</v>
      </c>
      <c r="H3423" s="183">
        <f t="shared" ca="1" si="95"/>
        <v>6.6817222188891752E-3</v>
      </c>
    </row>
    <row r="3424" spans="7:8">
      <c r="G3424" s="168">
        <v>3421</v>
      </c>
      <c r="H3424" s="183">
        <f t="shared" ca="1" si="95"/>
        <v>1.6713881034790531E-2</v>
      </c>
    </row>
    <row r="3425" spans="7:8">
      <c r="G3425" s="168">
        <v>3422</v>
      </c>
      <c r="H3425" s="183">
        <f t="shared" ca="1" si="95"/>
        <v>1.1427040888725756E-2</v>
      </c>
    </row>
    <row r="3426" spans="7:8">
      <c r="G3426" s="168">
        <v>3423</v>
      </c>
      <c r="H3426" s="183">
        <f t="shared" ca="1" si="95"/>
        <v>1.5383345519462424E-2</v>
      </c>
    </row>
    <row r="3427" spans="7:8">
      <c r="G3427" s="168">
        <v>3424</v>
      </c>
      <c r="H3427" s="183">
        <f t="shared" ca="1" si="95"/>
        <v>6.2963416309157281E-3</v>
      </c>
    </row>
    <row r="3428" spans="7:8">
      <c r="G3428" s="168">
        <v>3425</v>
      </c>
      <c r="H3428" s="183">
        <f t="shared" ca="1" si="95"/>
        <v>-2.077199490658517E-2</v>
      </c>
    </row>
    <row r="3429" spans="7:8">
      <c r="G3429" s="168">
        <v>3426</v>
      </c>
      <c r="H3429" s="183">
        <f t="shared" ca="1" si="95"/>
        <v>-3.0267164577004414E-3</v>
      </c>
    </row>
    <row r="3430" spans="7:8">
      <c r="G3430" s="168">
        <v>3427</v>
      </c>
      <c r="H3430" s="183">
        <f t="shared" ca="1" si="95"/>
        <v>1.1072627399403762E-2</v>
      </c>
    </row>
    <row r="3431" spans="7:8">
      <c r="G3431" s="168">
        <v>3428</v>
      </c>
      <c r="H3431" s="183">
        <f t="shared" ca="1" si="95"/>
        <v>1.5361234656856626E-2</v>
      </c>
    </row>
    <row r="3432" spans="7:8">
      <c r="G3432" s="168">
        <v>3429</v>
      </c>
      <c r="H3432" s="183">
        <f t="shared" ca="1" si="95"/>
        <v>-4.0613582365395954E-3</v>
      </c>
    </row>
    <row r="3433" spans="7:8">
      <c r="G3433" s="168">
        <v>3430</v>
      </c>
      <c r="H3433" s="183">
        <f t="shared" ca="1" si="95"/>
        <v>-7.0125781418600075E-3</v>
      </c>
    </row>
    <row r="3434" spans="7:8">
      <c r="G3434" s="168">
        <v>3431</v>
      </c>
      <c r="H3434" s="183">
        <f t="shared" ca="1" si="95"/>
        <v>1.3759388838828965E-2</v>
      </c>
    </row>
    <row r="3435" spans="7:8">
      <c r="G3435" s="168">
        <v>3432</v>
      </c>
      <c r="H3435" s="183">
        <f t="shared" ca="1" si="95"/>
        <v>2.4716953742272195E-2</v>
      </c>
    </row>
    <row r="3436" spans="7:8">
      <c r="G3436" s="168">
        <v>3433</v>
      </c>
      <c r="H3436" s="183">
        <f t="shared" ca="1" si="95"/>
        <v>-7.1989830011601483E-3</v>
      </c>
    </row>
    <row r="3437" spans="7:8">
      <c r="G3437" s="168">
        <v>3434</v>
      </c>
      <c r="H3437" s="183">
        <f t="shared" ca="1" si="95"/>
        <v>3.4976002934721147E-4</v>
      </c>
    </row>
    <row r="3438" spans="7:8">
      <c r="G3438" s="168">
        <v>3435</v>
      </c>
      <c r="H3438" s="183">
        <f t="shared" ca="1" si="95"/>
        <v>9.2945470196959829E-3</v>
      </c>
    </row>
    <row r="3439" spans="7:8">
      <c r="G3439" s="168">
        <v>3436</v>
      </c>
      <c r="H3439" s="183">
        <f t="shared" ca="1" si="95"/>
        <v>7.7196192851214027E-5</v>
      </c>
    </row>
    <row r="3440" spans="7:8">
      <c r="G3440" s="168">
        <v>3437</v>
      </c>
      <c r="H3440" s="183">
        <f t="shared" ca="1" si="95"/>
        <v>-5.7323190296157825E-3</v>
      </c>
    </row>
    <row r="3441" spans="7:8">
      <c r="G3441" s="168">
        <v>3438</v>
      </c>
      <c r="H3441" s="183">
        <f t="shared" ca="1" si="95"/>
        <v>-2.0651552133265265E-3</v>
      </c>
    </row>
    <row r="3442" spans="7:8">
      <c r="G3442" s="168">
        <v>3439</v>
      </c>
      <c r="H3442" s="183">
        <f t="shared" ca="1" si="95"/>
        <v>-8.2192079005357667E-3</v>
      </c>
    </row>
    <row r="3443" spans="7:8">
      <c r="G3443" s="168">
        <v>3440</v>
      </c>
      <c r="H3443" s="183">
        <f t="shared" ca="1" si="95"/>
        <v>-9.4940651097282988E-3</v>
      </c>
    </row>
    <row r="3444" spans="7:8">
      <c r="G3444" s="168">
        <v>3441</v>
      </c>
      <c r="H3444" s="183">
        <f t="shared" ca="1" si="95"/>
        <v>3.0374643308120996E-3</v>
      </c>
    </row>
    <row r="3445" spans="7:8">
      <c r="G3445" s="168">
        <v>3442</v>
      </c>
      <c r="H3445" s="183">
        <f t="shared" ca="1" si="95"/>
        <v>1.3785368947903366E-2</v>
      </c>
    </row>
    <row r="3446" spans="7:8">
      <c r="G3446" s="168">
        <v>3443</v>
      </c>
      <c r="H3446" s="183">
        <f t="shared" ca="1" si="95"/>
        <v>-1.2962913424003596E-3</v>
      </c>
    </row>
    <row r="3447" spans="7:8">
      <c r="G3447" s="168">
        <v>3444</v>
      </c>
      <c r="H3447" s="183">
        <f t="shared" ca="1" si="95"/>
        <v>1.6384500533122279E-2</v>
      </c>
    </row>
    <row r="3448" spans="7:8">
      <c r="G3448" s="168">
        <v>3445</v>
      </c>
      <c r="H3448" s="183">
        <f t="shared" ca="1" si="95"/>
        <v>1.8451779772343819E-2</v>
      </c>
    </row>
    <row r="3449" spans="7:8">
      <c r="G3449" s="168">
        <v>3446</v>
      </c>
      <c r="H3449" s="183">
        <f t="shared" ca="1" si="95"/>
        <v>-3.2828991477135642E-3</v>
      </c>
    </row>
    <row r="3450" spans="7:8">
      <c r="G3450" s="168">
        <v>3447</v>
      </c>
      <c r="H3450" s="183">
        <f t="shared" ca="1" si="95"/>
        <v>1.4716665802508584E-2</v>
      </c>
    </row>
    <row r="3451" spans="7:8">
      <c r="G3451" s="168">
        <v>3448</v>
      </c>
      <c r="H3451" s="183">
        <f t="shared" ca="1" si="95"/>
        <v>5.713491238219918E-3</v>
      </c>
    </row>
    <row r="3452" spans="7:8">
      <c r="G3452" s="168">
        <v>3449</v>
      </c>
      <c r="H3452" s="183">
        <f t="shared" ca="1" si="95"/>
        <v>2.0601184645518415E-3</v>
      </c>
    </row>
    <row r="3453" spans="7:8">
      <c r="G3453" s="168">
        <v>3450</v>
      </c>
      <c r="H3453" s="183">
        <f t="shared" ca="1" si="95"/>
        <v>1.5433296193729396E-2</v>
      </c>
    </row>
    <row r="3454" spans="7:8">
      <c r="G3454" s="168">
        <v>3451</v>
      </c>
      <c r="H3454" s="183">
        <f t="shared" ca="1" si="95"/>
        <v>-5.9257580190930428E-4</v>
      </c>
    </row>
    <row r="3455" spans="7:8">
      <c r="G3455" s="168">
        <v>3452</v>
      </c>
      <c r="H3455" s="183">
        <f t="shared" ca="1" si="95"/>
        <v>3.8080342074230271E-2</v>
      </c>
    </row>
    <row r="3456" spans="7:8">
      <c r="G3456" s="168">
        <v>3453</v>
      </c>
      <c r="H3456" s="183">
        <f t="shared" ca="1" si="95"/>
        <v>1.1472092764701652E-2</v>
      </c>
    </row>
    <row r="3457" spans="7:8">
      <c r="G3457" s="168">
        <v>3454</v>
      </c>
      <c r="H3457" s="183">
        <f t="shared" ca="1" si="95"/>
        <v>-3.9770797172552878E-3</v>
      </c>
    </row>
    <row r="3458" spans="7:8">
      <c r="G3458" s="168">
        <v>3455</v>
      </c>
      <c r="H3458" s="183">
        <f t="shared" ca="1" si="95"/>
        <v>3.8480471313331118E-3</v>
      </c>
    </row>
    <row r="3459" spans="7:8">
      <c r="G3459" s="168">
        <v>3456</v>
      </c>
      <c r="H3459" s="183">
        <f t="shared" ca="1" si="95"/>
        <v>3.4261879290690494E-3</v>
      </c>
    </row>
    <row r="3460" spans="7:8">
      <c r="G3460" s="168">
        <v>3457</v>
      </c>
      <c r="H3460" s="183">
        <f t="shared" ca="1" si="95"/>
        <v>1.5206356657652152E-2</v>
      </c>
    </row>
    <row r="3461" spans="7:8">
      <c r="G3461" s="168">
        <v>3458</v>
      </c>
      <c r="H3461" s="183">
        <f t="shared" ref="H3461:H3524" ca="1" si="96">_xlfn.NORM.INV(RAND(),N$6,N$7)</f>
        <v>4.4291242583360951E-3</v>
      </c>
    </row>
    <row r="3462" spans="7:8">
      <c r="G3462" s="168">
        <v>3459</v>
      </c>
      <c r="H3462" s="183">
        <f t="shared" ca="1" si="96"/>
        <v>-6.8241171905703531E-3</v>
      </c>
    </row>
    <row r="3463" spans="7:8">
      <c r="G3463" s="168">
        <v>3460</v>
      </c>
      <c r="H3463" s="183">
        <f t="shared" ca="1" si="96"/>
        <v>-8.3739173395420002E-3</v>
      </c>
    </row>
    <row r="3464" spans="7:8">
      <c r="G3464" s="168">
        <v>3461</v>
      </c>
      <c r="H3464" s="183">
        <f t="shared" ca="1" si="96"/>
        <v>2.3653762897844766E-2</v>
      </c>
    </row>
    <row r="3465" spans="7:8">
      <c r="G3465" s="168">
        <v>3462</v>
      </c>
      <c r="H3465" s="183">
        <f t="shared" ca="1" si="96"/>
        <v>2.9541573242420294E-2</v>
      </c>
    </row>
    <row r="3466" spans="7:8">
      <c r="G3466" s="168">
        <v>3463</v>
      </c>
      <c r="H3466" s="183">
        <f t="shared" ca="1" si="96"/>
        <v>8.285175339170784E-3</v>
      </c>
    </row>
    <row r="3467" spans="7:8">
      <c r="G3467" s="168">
        <v>3464</v>
      </c>
      <c r="H3467" s="183">
        <f t="shared" ca="1" si="96"/>
        <v>7.5855708722422869E-3</v>
      </c>
    </row>
    <row r="3468" spans="7:8">
      <c r="G3468" s="168">
        <v>3465</v>
      </c>
      <c r="H3468" s="183">
        <f t="shared" ca="1" si="96"/>
        <v>1.5144614846055553E-2</v>
      </c>
    </row>
    <row r="3469" spans="7:8">
      <c r="G3469" s="168">
        <v>3466</v>
      </c>
      <c r="H3469" s="183">
        <f t="shared" ca="1" si="96"/>
        <v>-2.6580269170842198E-2</v>
      </c>
    </row>
    <row r="3470" spans="7:8">
      <c r="G3470" s="168">
        <v>3467</v>
      </c>
      <c r="H3470" s="183">
        <f t="shared" ca="1" si="96"/>
        <v>6.3556733824603993E-3</v>
      </c>
    </row>
    <row r="3471" spans="7:8">
      <c r="G3471" s="168">
        <v>3468</v>
      </c>
      <c r="H3471" s="183">
        <f t="shared" ca="1" si="96"/>
        <v>1.7977131205878408E-2</v>
      </c>
    </row>
    <row r="3472" spans="7:8">
      <c r="G3472" s="168">
        <v>3469</v>
      </c>
      <c r="H3472" s="183">
        <f t="shared" ca="1" si="96"/>
        <v>2.1346164940204866E-2</v>
      </c>
    </row>
    <row r="3473" spans="7:8">
      <c r="G3473" s="168">
        <v>3470</v>
      </c>
      <c r="H3473" s="183">
        <f t="shared" ca="1" si="96"/>
        <v>5.2247622332139074E-3</v>
      </c>
    </row>
    <row r="3474" spans="7:8">
      <c r="G3474" s="168">
        <v>3471</v>
      </c>
      <c r="H3474" s="183">
        <f t="shared" ca="1" si="96"/>
        <v>-2.5435739717617662E-2</v>
      </c>
    </row>
    <row r="3475" spans="7:8">
      <c r="G3475" s="168">
        <v>3472</v>
      </c>
      <c r="H3475" s="183">
        <f t="shared" ca="1" si="96"/>
        <v>-2.8568711332252607E-2</v>
      </c>
    </row>
    <row r="3476" spans="7:8">
      <c r="G3476" s="168">
        <v>3473</v>
      </c>
      <c r="H3476" s="183">
        <f t="shared" ca="1" si="96"/>
        <v>-1.5228640620094571E-3</v>
      </c>
    </row>
    <row r="3477" spans="7:8">
      <c r="G3477" s="168">
        <v>3474</v>
      </c>
      <c r="H3477" s="183">
        <f t="shared" ca="1" si="96"/>
        <v>1.7838851459883297E-2</v>
      </c>
    </row>
    <row r="3478" spans="7:8">
      <c r="G3478" s="168">
        <v>3475</v>
      </c>
      <c r="H3478" s="183">
        <f t="shared" ca="1" si="96"/>
        <v>-6.6184981427120431E-3</v>
      </c>
    </row>
    <row r="3479" spans="7:8">
      <c r="G3479" s="168">
        <v>3476</v>
      </c>
      <c r="H3479" s="183">
        <f t="shared" ca="1" si="96"/>
        <v>9.1932332092313079E-3</v>
      </c>
    </row>
    <row r="3480" spans="7:8">
      <c r="G3480" s="168">
        <v>3477</v>
      </c>
      <c r="H3480" s="183">
        <f t="shared" ca="1" si="96"/>
        <v>-1.2495503335174041E-3</v>
      </c>
    </row>
    <row r="3481" spans="7:8">
      <c r="G3481" s="168">
        <v>3478</v>
      </c>
      <c r="H3481" s="183">
        <f t="shared" ca="1" si="96"/>
        <v>1.0612780247577645E-2</v>
      </c>
    </row>
    <row r="3482" spans="7:8">
      <c r="G3482" s="168">
        <v>3479</v>
      </c>
      <c r="H3482" s="183">
        <f t="shared" ca="1" si="96"/>
        <v>1.248101026012605E-2</v>
      </c>
    </row>
    <row r="3483" spans="7:8">
      <c r="G3483" s="168">
        <v>3480</v>
      </c>
      <c r="H3483" s="183">
        <f t="shared" ca="1" si="96"/>
        <v>4.685550118971803E-3</v>
      </c>
    </row>
    <row r="3484" spans="7:8">
      <c r="G3484" s="168">
        <v>3481</v>
      </c>
      <c r="H3484" s="183">
        <f t="shared" ca="1" si="96"/>
        <v>2.1967160513595377E-4</v>
      </c>
    </row>
    <row r="3485" spans="7:8">
      <c r="G3485" s="168">
        <v>3482</v>
      </c>
      <c r="H3485" s="183">
        <f t="shared" ca="1" si="96"/>
        <v>7.7679758295491888E-3</v>
      </c>
    </row>
    <row r="3486" spans="7:8">
      <c r="G3486" s="168">
        <v>3483</v>
      </c>
      <c r="H3486" s="183">
        <f t="shared" ca="1" si="96"/>
        <v>6.6708597676729334E-3</v>
      </c>
    </row>
    <row r="3487" spans="7:8">
      <c r="G3487" s="168">
        <v>3484</v>
      </c>
      <c r="H3487" s="183">
        <f t="shared" ca="1" si="96"/>
        <v>-8.5176649443058153E-3</v>
      </c>
    </row>
    <row r="3488" spans="7:8">
      <c r="G3488" s="168">
        <v>3485</v>
      </c>
      <c r="H3488" s="183">
        <f t="shared" ca="1" si="96"/>
        <v>7.165929854103751E-3</v>
      </c>
    </row>
    <row r="3489" spans="7:8">
      <c r="G3489" s="168">
        <v>3486</v>
      </c>
      <c r="H3489" s="183">
        <f t="shared" ca="1" si="96"/>
        <v>1.36783340151472E-2</v>
      </c>
    </row>
    <row r="3490" spans="7:8">
      <c r="G3490" s="168">
        <v>3487</v>
      </c>
      <c r="H3490" s="183">
        <f t="shared" ca="1" si="96"/>
        <v>5.4056116798481078E-3</v>
      </c>
    </row>
    <row r="3491" spans="7:8">
      <c r="G3491" s="168">
        <v>3488</v>
      </c>
      <c r="H3491" s="183">
        <f t="shared" ca="1" si="96"/>
        <v>-1.0237139396166627E-2</v>
      </c>
    </row>
    <row r="3492" spans="7:8">
      <c r="G3492" s="168">
        <v>3489</v>
      </c>
      <c r="H3492" s="183">
        <f t="shared" ca="1" si="96"/>
        <v>1.4984028599131918E-2</v>
      </c>
    </row>
    <row r="3493" spans="7:8">
      <c r="G3493" s="168">
        <v>3490</v>
      </c>
      <c r="H3493" s="183">
        <f t="shared" ca="1" si="96"/>
        <v>-4.1709737214790212E-3</v>
      </c>
    </row>
    <row r="3494" spans="7:8">
      <c r="G3494" s="168">
        <v>3491</v>
      </c>
      <c r="H3494" s="183">
        <f t="shared" ca="1" si="96"/>
        <v>-2.8567163840686697E-3</v>
      </c>
    </row>
    <row r="3495" spans="7:8">
      <c r="G3495" s="168">
        <v>3492</v>
      </c>
      <c r="H3495" s="183">
        <f t="shared" ca="1" si="96"/>
        <v>-1.1420870042340953E-2</v>
      </c>
    </row>
    <row r="3496" spans="7:8">
      <c r="G3496" s="168">
        <v>3493</v>
      </c>
      <c r="H3496" s="183">
        <f t="shared" ca="1" si="96"/>
        <v>2.9529863600324521E-3</v>
      </c>
    </row>
    <row r="3497" spans="7:8">
      <c r="G3497" s="168">
        <v>3494</v>
      </c>
      <c r="H3497" s="183">
        <f t="shared" ca="1" si="96"/>
        <v>-5.4811475281329658E-3</v>
      </c>
    </row>
    <row r="3498" spans="7:8">
      <c r="G3498" s="168">
        <v>3495</v>
      </c>
      <c r="H3498" s="183">
        <f t="shared" ca="1" si="96"/>
        <v>-5.7030430113951076E-3</v>
      </c>
    </row>
    <row r="3499" spans="7:8">
      <c r="G3499" s="168">
        <v>3496</v>
      </c>
      <c r="H3499" s="183">
        <f t="shared" ca="1" si="96"/>
        <v>3.8906109584803658E-2</v>
      </c>
    </row>
    <row r="3500" spans="7:8">
      <c r="G3500" s="168">
        <v>3497</v>
      </c>
      <c r="H3500" s="183">
        <f t="shared" ca="1" si="96"/>
        <v>-1.8521468435037294E-2</v>
      </c>
    </row>
    <row r="3501" spans="7:8">
      <c r="G3501" s="168">
        <v>3498</v>
      </c>
      <c r="H3501" s="183">
        <f t="shared" ca="1" si="96"/>
        <v>1.7810136942624604E-2</v>
      </c>
    </row>
    <row r="3502" spans="7:8">
      <c r="G3502" s="168">
        <v>3499</v>
      </c>
      <c r="H3502" s="183">
        <f t="shared" ca="1" si="96"/>
        <v>-6.4831261822984763E-3</v>
      </c>
    </row>
    <row r="3503" spans="7:8">
      <c r="G3503" s="168">
        <v>3500</v>
      </c>
      <c r="H3503" s="183">
        <f t="shared" ca="1" si="96"/>
        <v>8.0696954225074891E-3</v>
      </c>
    </row>
    <row r="3504" spans="7:8">
      <c r="G3504" s="168">
        <v>3501</v>
      </c>
      <c r="H3504" s="183">
        <f t="shared" ca="1" si="96"/>
        <v>5.5854667407112171E-3</v>
      </c>
    </row>
    <row r="3505" spans="7:8">
      <c r="G3505" s="168">
        <v>3502</v>
      </c>
      <c r="H3505" s="183">
        <f t="shared" ca="1" si="96"/>
        <v>2.2168833317746463E-2</v>
      </c>
    </row>
    <row r="3506" spans="7:8">
      <c r="G3506" s="168">
        <v>3503</v>
      </c>
      <c r="H3506" s="183">
        <f t="shared" ca="1" si="96"/>
        <v>3.1684818384139684E-3</v>
      </c>
    </row>
    <row r="3507" spans="7:8">
      <c r="G3507" s="168">
        <v>3504</v>
      </c>
      <c r="H3507" s="183">
        <f t="shared" ca="1" si="96"/>
        <v>4.4192829290940136E-3</v>
      </c>
    </row>
    <row r="3508" spans="7:8">
      <c r="G3508" s="168">
        <v>3505</v>
      </c>
      <c r="H3508" s="183">
        <f t="shared" ca="1" si="96"/>
        <v>1.7784992833592139E-2</v>
      </c>
    </row>
    <row r="3509" spans="7:8">
      <c r="G3509" s="168">
        <v>3506</v>
      </c>
      <c r="H3509" s="183">
        <f t="shared" ca="1" si="96"/>
        <v>-6.2935596525353086E-3</v>
      </c>
    </row>
    <row r="3510" spans="7:8">
      <c r="G3510" s="168">
        <v>3507</v>
      </c>
      <c r="H3510" s="183">
        <f t="shared" ca="1" si="96"/>
        <v>-6.1408681520169076E-3</v>
      </c>
    </row>
    <row r="3511" spans="7:8">
      <c r="G3511" s="168">
        <v>3508</v>
      </c>
      <c r="H3511" s="183">
        <f t="shared" ca="1" si="96"/>
        <v>-4.5740137421713947E-3</v>
      </c>
    </row>
    <row r="3512" spans="7:8">
      <c r="G3512" s="168">
        <v>3509</v>
      </c>
      <c r="H3512" s="183">
        <f t="shared" ca="1" si="96"/>
        <v>2.2818171050419354E-3</v>
      </c>
    </row>
    <row r="3513" spans="7:8">
      <c r="G3513" s="168">
        <v>3510</v>
      </c>
      <c r="H3513" s="183">
        <f t="shared" ca="1" si="96"/>
        <v>4.5894653408983469E-3</v>
      </c>
    </row>
    <row r="3514" spans="7:8">
      <c r="G3514" s="168">
        <v>3511</v>
      </c>
      <c r="H3514" s="183">
        <f t="shared" ca="1" si="96"/>
        <v>9.4913805566263845E-3</v>
      </c>
    </row>
    <row r="3515" spans="7:8">
      <c r="G3515" s="168">
        <v>3512</v>
      </c>
      <c r="H3515" s="183">
        <f t="shared" ca="1" si="96"/>
        <v>2.0614725990510188E-3</v>
      </c>
    </row>
    <row r="3516" spans="7:8">
      <c r="G3516" s="168">
        <v>3513</v>
      </c>
      <c r="H3516" s="183">
        <f t="shared" ca="1" si="96"/>
        <v>7.3884403920503397E-3</v>
      </c>
    </row>
    <row r="3517" spans="7:8">
      <c r="G3517" s="168">
        <v>3514</v>
      </c>
      <c r="H3517" s="183">
        <f t="shared" ca="1" si="96"/>
        <v>-1.2140690393965248E-2</v>
      </c>
    </row>
    <row r="3518" spans="7:8">
      <c r="G3518" s="168">
        <v>3515</v>
      </c>
      <c r="H3518" s="183">
        <f t="shared" ca="1" si="96"/>
        <v>-1.9640912486368484E-2</v>
      </c>
    </row>
    <row r="3519" spans="7:8">
      <c r="G3519" s="168">
        <v>3516</v>
      </c>
      <c r="H3519" s="183">
        <f t="shared" ca="1" si="96"/>
        <v>7.7831322413999581E-3</v>
      </c>
    </row>
    <row r="3520" spans="7:8">
      <c r="G3520" s="168">
        <v>3517</v>
      </c>
      <c r="H3520" s="183">
        <f t="shared" ca="1" si="96"/>
        <v>7.4775182821555947E-3</v>
      </c>
    </row>
    <row r="3521" spans="7:8">
      <c r="G3521" s="168">
        <v>3518</v>
      </c>
      <c r="H3521" s="183">
        <f t="shared" ca="1" si="96"/>
        <v>-1.5607851810113871E-2</v>
      </c>
    </row>
    <row r="3522" spans="7:8">
      <c r="G3522" s="168">
        <v>3519</v>
      </c>
      <c r="H3522" s="183">
        <f t="shared" ca="1" si="96"/>
        <v>8.9012504120187345E-3</v>
      </c>
    </row>
    <row r="3523" spans="7:8">
      <c r="G3523" s="168">
        <v>3520</v>
      </c>
      <c r="H3523" s="183">
        <f t="shared" ca="1" si="96"/>
        <v>1.5242924680321655E-2</v>
      </c>
    </row>
    <row r="3524" spans="7:8">
      <c r="G3524" s="168">
        <v>3521</v>
      </c>
      <c r="H3524" s="183">
        <f t="shared" ca="1" si="96"/>
        <v>5.4179724793955702E-4</v>
      </c>
    </row>
    <row r="3525" spans="7:8">
      <c r="G3525" s="168">
        <v>3522</v>
      </c>
      <c r="H3525" s="183">
        <f t="shared" ref="H3525:H3588" ca="1" si="97">_xlfn.NORM.INV(RAND(),N$6,N$7)</f>
        <v>-4.7402394919224588E-3</v>
      </c>
    </row>
    <row r="3526" spans="7:8">
      <c r="G3526" s="168">
        <v>3523</v>
      </c>
      <c r="H3526" s="183">
        <f t="shared" ca="1" si="97"/>
        <v>1.4965940258380172E-2</v>
      </c>
    </row>
    <row r="3527" spans="7:8">
      <c r="G3527" s="168">
        <v>3524</v>
      </c>
      <c r="H3527" s="183">
        <f t="shared" ca="1" si="97"/>
        <v>-6.9695818440363112E-3</v>
      </c>
    </row>
    <row r="3528" spans="7:8">
      <c r="G3528" s="168">
        <v>3525</v>
      </c>
      <c r="H3528" s="183">
        <f t="shared" ca="1" si="97"/>
        <v>2.0517829659721359E-2</v>
      </c>
    </row>
    <row r="3529" spans="7:8">
      <c r="G3529" s="168">
        <v>3526</v>
      </c>
      <c r="H3529" s="183">
        <f t="shared" ca="1" si="97"/>
        <v>1.5352668932560813E-2</v>
      </c>
    </row>
    <row r="3530" spans="7:8">
      <c r="G3530" s="168">
        <v>3527</v>
      </c>
      <c r="H3530" s="183">
        <f t="shared" ca="1" si="97"/>
        <v>2.7710417701651561E-2</v>
      </c>
    </row>
    <row r="3531" spans="7:8">
      <c r="G3531" s="168">
        <v>3528</v>
      </c>
      <c r="H3531" s="183">
        <f t="shared" ca="1" si="97"/>
        <v>-7.6736770352729246E-3</v>
      </c>
    </row>
    <row r="3532" spans="7:8">
      <c r="G3532" s="168">
        <v>3529</v>
      </c>
      <c r="H3532" s="183">
        <f t="shared" ca="1" si="97"/>
        <v>1.335747447050617E-2</v>
      </c>
    </row>
    <row r="3533" spans="7:8">
      <c r="G3533" s="168">
        <v>3530</v>
      </c>
      <c r="H3533" s="183">
        <f t="shared" ca="1" si="97"/>
        <v>6.4062518175040956E-3</v>
      </c>
    </row>
    <row r="3534" spans="7:8">
      <c r="G3534" s="168">
        <v>3531</v>
      </c>
      <c r="H3534" s="183">
        <f t="shared" ca="1" si="97"/>
        <v>-1.1823619422302298E-2</v>
      </c>
    </row>
    <row r="3535" spans="7:8">
      <c r="G3535" s="168">
        <v>3532</v>
      </c>
      <c r="H3535" s="183">
        <f t="shared" ca="1" si="97"/>
        <v>1.2253248847785437E-2</v>
      </c>
    </row>
    <row r="3536" spans="7:8">
      <c r="G3536" s="168">
        <v>3533</v>
      </c>
      <c r="H3536" s="183">
        <f t="shared" ca="1" si="97"/>
        <v>8.9583487504777473E-3</v>
      </c>
    </row>
    <row r="3537" spans="7:8">
      <c r="G3537" s="168">
        <v>3534</v>
      </c>
      <c r="H3537" s="183">
        <f t="shared" ca="1" si="97"/>
        <v>2.828795245404513E-2</v>
      </c>
    </row>
    <row r="3538" spans="7:8">
      <c r="G3538" s="168">
        <v>3535</v>
      </c>
      <c r="H3538" s="183">
        <f t="shared" ca="1" si="97"/>
        <v>1.2174766499812237E-2</v>
      </c>
    </row>
    <row r="3539" spans="7:8">
      <c r="G3539" s="168">
        <v>3536</v>
      </c>
      <c r="H3539" s="183">
        <f t="shared" ca="1" si="97"/>
        <v>-7.9011314691260701E-3</v>
      </c>
    </row>
    <row r="3540" spans="7:8">
      <c r="G3540" s="168">
        <v>3537</v>
      </c>
      <c r="H3540" s="183">
        <f t="shared" ca="1" si="97"/>
        <v>-7.599132557405461E-3</v>
      </c>
    </row>
    <row r="3541" spans="7:8">
      <c r="G3541" s="168">
        <v>3538</v>
      </c>
      <c r="H3541" s="183">
        <f t="shared" ca="1" si="97"/>
        <v>-7.4113129292395627E-3</v>
      </c>
    </row>
    <row r="3542" spans="7:8">
      <c r="G3542" s="168">
        <v>3539</v>
      </c>
      <c r="H3542" s="183">
        <f t="shared" ca="1" si="97"/>
        <v>-9.1742810093885796E-3</v>
      </c>
    </row>
    <row r="3543" spans="7:8">
      <c r="G3543" s="168">
        <v>3540</v>
      </c>
      <c r="H3543" s="183">
        <f t="shared" ca="1" si="97"/>
        <v>2.3822702610965609E-2</v>
      </c>
    </row>
    <row r="3544" spans="7:8">
      <c r="G3544" s="168">
        <v>3541</v>
      </c>
      <c r="H3544" s="183">
        <f t="shared" ca="1" si="97"/>
        <v>1.0471261204222468E-2</v>
      </c>
    </row>
    <row r="3545" spans="7:8">
      <c r="G3545" s="168">
        <v>3542</v>
      </c>
      <c r="H3545" s="183">
        <f t="shared" ca="1" si="97"/>
        <v>1.2276464672002677E-2</v>
      </c>
    </row>
    <row r="3546" spans="7:8">
      <c r="G3546" s="168">
        <v>3543</v>
      </c>
      <c r="H3546" s="183">
        <f t="shared" ca="1" si="97"/>
        <v>2.4585778411032912E-3</v>
      </c>
    </row>
    <row r="3547" spans="7:8">
      <c r="G3547" s="168">
        <v>3544</v>
      </c>
      <c r="H3547" s="183">
        <f t="shared" ca="1" si="97"/>
        <v>2.7469110200298429E-2</v>
      </c>
    </row>
    <row r="3548" spans="7:8">
      <c r="G3548" s="168">
        <v>3545</v>
      </c>
      <c r="H3548" s="183">
        <f t="shared" ca="1" si="97"/>
        <v>1.7606850527704564E-2</v>
      </c>
    </row>
    <row r="3549" spans="7:8">
      <c r="G3549" s="168">
        <v>3546</v>
      </c>
      <c r="H3549" s="183">
        <f t="shared" ca="1" si="97"/>
        <v>-2.6628457709251437E-3</v>
      </c>
    </row>
    <row r="3550" spans="7:8">
      <c r="G3550" s="168">
        <v>3547</v>
      </c>
      <c r="H3550" s="183">
        <f t="shared" ca="1" si="97"/>
        <v>2.0916684628933509E-3</v>
      </c>
    </row>
    <row r="3551" spans="7:8">
      <c r="G3551" s="168">
        <v>3548</v>
      </c>
      <c r="H3551" s="183">
        <f t="shared" ca="1" si="97"/>
        <v>-8.1951152906178798E-3</v>
      </c>
    </row>
    <row r="3552" spans="7:8">
      <c r="G3552" s="168">
        <v>3549</v>
      </c>
      <c r="H3552" s="183">
        <f t="shared" ca="1" si="97"/>
        <v>-8.1752520673230474E-3</v>
      </c>
    </row>
    <row r="3553" spans="7:8">
      <c r="G3553" s="168">
        <v>3550</v>
      </c>
      <c r="H3553" s="183">
        <f t="shared" ca="1" si="97"/>
        <v>-4.5724748088856433E-3</v>
      </c>
    </row>
    <row r="3554" spans="7:8">
      <c r="G3554" s="168">
        <v>3551</v>
      </c>
      <c r="H3554" s="183">
        <f t="shared" ca="1" si="97"/>
        <v>1.1653152254770427E-2</v>
      </c>
    </row>
    <row r="3555" spans="7:8">
      <c r="G3555" s="168">
        <v>3552</v>
      </c>
      <c r="H3555" s="183">
        <f t="shared" ca="1" si="97"/>
        <v>6.7508527195094372E-4</v>
      </c>
    </row>
    <row r="3556" spans="7:8">
      <c r="G3556" s="168">
        <v>3553</v>
      </c>
      <c r="H3556" s="183">
        <f t="shared" ca="1" si="97"/>
        <v>7.0413443880553202E-3</v>
      </c>
    </row>
    <row r="3557" spans="7:8">
      <c r="G3557" s="168">
        <v>3554</v>
      </c>
      <c r="H3557" s="183">
        <f t="shared" ca="1" si="97"/>
        <v>2.3979238233311313E-3</v>
      </c>
    </row>
    <row r="3558" spans="7:8">
      <c r="G3558" s="168">
        <v>3555</v>
      </c>
      <c r="H3558" s="183">
        <f t="shared" ca="1" si="97"/>
        <v>1.2204875134817821E-2</v>
      </c>
    </row>
    <row r="3559" spans="7:8">
      <c r="G3559" s="168">
        <v>3556</v>
      </c>
      <c r="H3559" s="183">
        <f t="shared" ca="1" si="97"/>
        <v>1.621111863170081E-2</v>
      </c>
    </row>
    <row r="3560" spans="7:8">
      <c r="G3560" s="168">
        <v>3557</v>
      </c>
      <c r="H3560" s="183">
        <f t="shared" ca="1" si="97"/>
        <v>1.7782691471652238E-2</v>
      </c>
    </row>
    <row r="3561" spans="7:8">
      <c r="G3561" s="168">
        <v>3558</v>
      </c>
      <c r="H3561" s="183">
        <f t="shared" ca="1" si="97"/>
        <v>1.7477664437324517E-2</v>
      </c>
    </row>
    <row r="3562" spans="7:8">
      <c r="G3562" s="168">
        <v>3559</v>
      </c>
      <c r="H3562" s="183">
        <f t="shared" ca="1" si="97"/>
        <v>5.710330442679587E-3</v>
      </c>
    </row>
    <row r="3563" spans="7:8">
      <c r="G3563" s="168">
        <v>3560</v>
      </c>
      <c r="H3563" s="183">
        <f t="shared" ca="1" si="97"/>
        <v>-1.379686575048388E-3</v>
      </c>
    </row>
    <row r="3564" spans="7:8">
      <c r="G3564" s="168">
        <v>3561</v>
      </c>
      <c r="H3564" s="183">
        <f t="shared" ca="1" si="97"/>
        <v>1.5211069366254035E-2</v>
      </c>
    </row>
    <row r="3565" spans="7:8">
      <c r="G3565" s="168">
        <v>3562</v>
      </c>
      <c r="H3565" s="183">
        <f t="shared" ca="1" si="97"/>
        <v>-4.7000288119496631E-3</v>
      </c>
    </row>
    <row r="3566" spans="7:8">
      <c r="G3566" s="168">
        <v>3563</v>
      </c>
      <c r="H3566" s="183">
        <f t="shared" ca="1" si="97"/>
        <v>-1.2900988724984158E-2</v>
      </c>
    </row>
    <row r="3567" spans="7:8">
      <c r="G3567" s="168">
        <v>3564</v>
      </c>
      <c r="H3567" s="183">
        <f t="shared" ca="1" si="97"/>
        <v>2.0093525366866993E-2</v>
      </c>
    </row>
    <row r="3568" spans="7:8">
      <c r="G3568" s="168">
        <v>3565</v>
      </c>
      <c r="H3568" s="183">
        <f t="shared" ca="1" si="97"/>
        <v>7.9663577678894988E-3</v>
      </c>
    </row>
    <row r="3569" spans="7:8">
      <c r="G3569" s="168">
        <v>3566</v>
      </c>
      <c r="H3569" s="183">
        <f t="shared" ca="1" si="97"/>
        <v>7.4344989490113776E-3</v>
      </c>
    </row>
    <row r="3570" spans="7:8">
      <c r="G3570" s="168">
        <v>3567</v>
      </c>
      <c r="H3570" s="183">
        <f t="shared" ca="1" si="97"/>
        <v>4.7016946427322842E-3</v>
      </c>
    </row>
    <row r="3571" spans="7:8">
      <c r="G3571" s="168">
        <v>3568</v>
      </c>
      <c r="H3571" s="183">
        <f t="shared" ca="1" si="97"/>
        <v>2.3223379370386335E-2</v>
      </c>
    </row>
    <row r="3572" spans="7:8">
      <c r="G3572" s="168">
        <v>3569</v>
      </c>
      <c r="H3572" s="183">
        <f t="shared" ca="1" si="97"/>
        <v>2.3402426870917044E-2</v>
      </c>
    </row>
    <row r="3573" spans="7:8">
      <c r="G3573" s="168">
        <v>3570</v>
      </c>
      <c r="H3573" s="183">
        <f t="shared" ca="1" si="97"/>
        <v>5.5807698007380108E-3</v>
      </c>
    </row>
    <row r="3574" spans="7:8">
      <c r="G3574" s="168">
        <v>3571</v>
      </c>
      <c r="H3574" s="183">
        <f t="shared" ca="1" si="97"/>
        <v>-2.9348107304438664E-3</v>
      </c>
    </row>
    <row r="3575" spans="7:8">
      <c r="G3575" s="168">
        <v>3572</v>
      </c>
      <c r="H3575" s="183">
        <f t="shared" ca="1" si="97"/>
        <v>-4.7170676474732167E-3</v>
      </c>
    </row>
    <row r="3576" spans="7:8">
      <c r="G3576" s="168">
        <v>3573</v>
      </c>
      <c r="H3576" s="183">
        <f t="shared" ca="1" si="97"/>
        <v>2.6752883098489839E-2</v>
      </c>
    </row>
    <row r="3577" spans="7:8">
      <c r="G3577" s="168">
        <v>3574</v>
      </c>
      <c r="H3577" s="183">
        <f t="shared" ca="1" si="97"/>
        <v>1.3263173448227989E-2</v>
      </c>
    </row>
    <row r="3578" spans="7:8">
      <c r="G3578" s="168">
        <v>3575</v>
      </c>
      <c r="H3578" s="183">
        <f t="shared" ca="1" si="97"/>
        <v>-5.3723610914396145E-3</v>
      </c>
    </row>
    <row r="3579" spans="7:8">
      <c r="G3579" s="168">
        <v>3576</v>
      </c>
      <c r="H3579" s="183">
        <f t="shared" ca="1" si="97"/>
        <v>1.4629293606000099E-2</v>
      </c>
    </row>
    <row r="3580" spans="7:8">
      <c r="G3580" s="168">
        <v>3577</v>
      </c>
      <c r="H3580" s="183">
        <f t="shared" ca="1" si="97"/>
        <v>2.5858530676429188E-2</v>
      </c>
    </row>
    <row r="3581" spans="7:8">
      <c r="G3581" s="168">
        <v>3578</v>
      </c>
      <c r="H3581" s="183">
        <f t="shared" ca="1" si="97"/>
        <v>1.5085037822342275E-4</v>
      </c>
    </row>
    <row r="3582" spans="7:8">
      <c r="G3582" s="168">
        <v>3579</v>
      </c>
      <c r="H3582" s="183">
        <f t="shared" ca="1" si="97"/>
        <v>3.0560960977478089E-3</v>
      </c>
    </row>
    <row r="3583" spans="7:8">
      <c r="G3583" s="168">
        <v>3580</v>
      </c>
      <c r="H3583" s="183">
        <f t="shared" ca="1" si="97"/>
        <v>1.8900432975165984E-2</v>
      </c>
    </row>
    <row r="3584" spans="7:8">
      <c r="G3584" s="168">
        <v>3581</v>
      </c>
      <c r="H3584" s="183">
        <f t="shared" ca="1" si="97"/>
        <v>1.2515493094927752E-2</v>
      </c>
    </row>
    <row r="3585" spans="7:8">
      <c r="G3585" s="168">
        <v>3582</v>
      </c>
      <c r="H3585" s="183">
        <f t="shared" ca="1" si="97"/>
        <v>8.6138175419736424E-3</v>
      </c>
    </row>
    <row r="3586" spans="7:8">
      <c r="G3586" s="168">
        <v>3583</v>
      </c>
      <c r="H3586" s="183">
        <f t="shared" ca="1" si="97"/>
        <v>1.8964460073600229E-2</v>
      </c>
    </row>
    <row r="3587" spans="7:8">
      <c r="G3587" s="168">
        <v>3584</v>
      </c>
      <c r="H3587" s="183">
        <f t="shared" ca="1" si="97"/>
        <v>5.3511872893657435E-3</v>
      </c>
    </row>
    <row r="3588" spans="7:8">
      <c r="G3588" s="168">
        <v>3585</v>
      </c>
      <c r="H3588" s="183">
        <f t="shared" ca="1" si="97"/>
        <v>-7.0994886395263227E-3</v>
      </c>
    </row>
    <row r="3589" spans="7:8">
      <c r="G3589" s="168">
        <v>3586</v>
      </c>
      <c r="H3589" s="183">
        <f t="shared" ref="H3589:H3652" ca="1" si="98">_xlfn.NORM.INV(RAND(),N$6,N$7)</f>
        <v>2.0567156409504767E-2</v>
      </c>
    </row>
    <row r="3590" spans="7:8">
      <c r="G3590" s="168">
        <v>3587</v>
      </c>
      <c r="H3590" s="183">
        <f t="shared" ca="1" si="98"/>
        <v>9.8589462823348364E-3</v>
      </c>
    </row>
    <row r="3591" spans="7:8">
      <c r="G3591" s="168">
        <v>3588</v>
      </c>
      <c r="H3591" s="183">
        <f t="shared" ca="1" si="98"/>
        <v>8.6253068178183852E-3</v>
      </c>
    </row>
    <row r="3592" spans="7:8">
      <c r="G3592" s="168">
        <v>3589</v>
      </c>
      <c r="H3592" s="183">
        <f t="shared" ca="1" si="98"/>
        <v>1.0004226123606463E-2</v>
      </c>
    </row>
    <row r="3593" spans="7:8">
      <c r="G3593" s="168">
        <v>3590</v>
      </c>
      <c r="H3593" s="183">
        <f t="shared" ca="1" si="98"/>
        <v>7.1060391970781999E-3</v>
      </c>
    </row>
    <row r="3594" spans="7:8">
      <c r="G3594" s="168">
        <v>3591</v>
      </c>
      <c r="H3594" s="183">
        <f t="shared" ca="1" si="98"/>
        <v>1.5575004753045175E-2</v>
      </c>
    </row>
    <row r="3595" spans="7:8">
      <c r="G3595" s="168">
        <v>3592</v>
      </c>
      <c r="H3595" s="183">
        <f t="shared" ca="1" si="98"/>
        <v>8.1541748518132312E-3</v>
      </c>
    </row>
    <row r="3596" spans="7:8">
      <c r="G3596" s="168">
        <v>3593</v>
      </c>
      <c r="H3596" s="183">
        <f t="shared" ca="1" si="98"/>
        <v>-1.3175555528873721E-2</v>
      </c>
    </row>
    <row r="3597" spans="7:8">
      <c r="G3597" s="168">
        <v>3594</v>
      </c>
      <c r="H3597" s="183">
        <f t="shared" ca="1" si="98"/>
        <v>1.1074827177996183E-2</v>
      </c>
    </row>
    <row r="3598" spans="7:8">
      <c r="G3598" s="168">
        <v>3595</v>
      </c>
      <c r="H3598" s="183">
        <f t="shared" ca="1" si="98"/>
        <v>1.2174451482478636E-2</v>
      </c>
    </row>
    <row r="3599" spans="7:8">
      <c r="G3599" s="168">
        <v>3596</v>
      </c>
      <c r="H3599" s="183">
        <f t="shared" ca="1" si="98"/>
        <v>1.9733773366452882E-2</v>
      </c>
    </row>
    <row r="3600" spans="7:8">
      <c r="G3600" s="168">
        <v>3597</v>
      </c>
      <c r="H3600" s="183">
        <f t="shared" ca="1" si="98"/>
        <v>1.2574147264332636E-2</v>
      </c>
    </row>
    <row r="3601" spans="7:8">
      <c r="G3601" s="168">
        <v>3598</v>
      </c>
      <c r="H3601" s="183">
        <f t="shared" ca="1" si="98"/>
        <v>-6.3036831213987505E-3</v>
      </c>
    </row>
    <row r="3602" spans="7:8">
      <c r="G3602" s="168">
        <v>3599</v>
      </c>
      <c r="H3602" s="183">
        <f t="shared" ca="1" si="98"/>
        <v>1.3043650138358176E-2</v>
      </c>
    </row>
    <row r="3603" spans="7:8">
      <c r="G3603" s="168">
        <v>3600</v>
      </c>
      <c r="H3603" s="183">
        <f t="shared" ca="1" si="98"/>
        <v>-8.9734499539473912E-3</v>
      </c>
    </row>
    <row r="3604" spans="7:8">
      <c r="G3604" s="168">
        <v>3601</v>
      </c>
      <c r="H3604" s="183">
        <f t="shared" ca="1" si="98"/>
        <v>3.0730554364670551E-3</v>
      </c>
    </row>
    <row r="3605" spans="7:8">
      <c r="G3605" s="168">
        <v>3602</v>
      </c>
      <c r="H3605" s="183">
        <f t="shared" ca="1" si="98"/>
        <v>-1.6214387000271857E-3</v>
      </c>
    </row>
    <row r="3606" spans="7:8">
      <c r="G3606" s="168">
        <v>3603</v>
      </c>
      <c r="H3606" s="183">
        <f t="shared" ca="1" si="98"/>
        <v>7.8499934580054109E-3</v>
      </c>
    </row>
    <row r="3607" spans="7:8">
      <c r="G3607" s="168">
        <v>3604</v>
      </c>
      <c r="H3607" s="183">
        <f t="shared" ca="1" si="98"/>
        <v>-1.8271789385612362E-3</v>
      </c>
    </row>
    <row r="3608" spans="7:8">
      <c r="G3608" s="168">
        <v>3605</v>
      </c>
      <c r="H3608" s="183">
        <f t="shared" ca="1" si="98"/>
        <v>-5.0601445369011224E-3</v>
      </c>
    </row>
    <row r="3609" spans="7:8">
      <c r="G3609" s="168">
        <v>3606</v>
      </c>
      <c r="H3609" s="183">
        <f t="shared" ca="1" si="98"/>
        <v>9.9920583579154749E-3</v>
      </c>
    </row>
    <row r="3610" spans="7:8">
      <c r="G3610" s="168">
        <v>3607</v>
      </c>
      <c r="H3610" s="183">
        <f t="shared" ca="1" si="98"/>
        <v>2.6637329299368487E-3</v>
      </c>
    </row>
    <row r="3611" spans="7:8">
      <c r="G3611" s="168">
        <v>3608</v>
      </c>
      <c r="H3611" s="183">
        <f t="shared" ca="1" si="98"/>
        <v>8.0334580188066839E-3</v>
      </c>
    </row>
    <row r="3612" spans="7:8">
      <c r="G3612" s="168">
        <v>3609</v>
      </c>
      <c r="H3612" s="183">
        <f t="shared" ca="1" si="98"/>
        <v>7.2036806858542749E-3</v>
      </c>
    </row>
    <row r="3613" spans="7:8">
      <c r="G3613" s="168">
        <v>3610</v>
      </c>
      <c r="H3613" s="183">
        <f t="shared" ca="1" si="98"/>
        <v>-7.3540935819526093E-3</v>
      </c>
    </row>
    <row r="3614" spans="7:8">
      <c r="G3614" s="168">
        <v>3611</v>
      </c>
      <c r="H3614" s="183">
        <f t="shared" ca="1" si="98"/>
        <v>1.0627108528217842E-3</v>
      </c>
    </row>
    <row r="3615" spans="7:8">
      <c r="G3615" s="168">
        <v>3612</v>
      </c>
      <c r="H3615" s="183">
        <f t="shared" ca="1" si="98"/>
        <v>-2.2801584454023433E-2</v>
      </c>
    </row>
    <row r="3616" spans="7:8">
      <c r="G3616" s="168">
        <v>3613</v>
      </c>
      <c r="H3616" s="183">
        <f t="shared" ca="1" si="98"/>
        <v>-8.4000334320175653E-3</v>
      </c>
    </row>
    <row r="3617" spans="7:8">
      <c r="G3617" s="168">
        <v>3614</v>
      </c>
      <c r="H3617" s="183">
        <f t="shared" ca="1" si="98"/>
        <v>-2.1242112170545731E-3</v>
      </c>
    </row>
    <row r="3618" spans="7:8">
      <c r="G3618" s="168">
        <v>3615</v>
      </c>
      <c r="H3618" s="183">
        <f t="shared" ca="1" si="98"/>
        <v>-5.0011451069295757E-3</v>
      </c>
    </row>
    <row r="3619" spans="7:8">
      <c r="G3619" s="168">
        <v>3616</v>
      </c>
      <c r="H3619" s="183">
        <f t="shared" ca="1" si="98"/>
        <v>1.0554056033238442E-2</v>
      </c>
    </row>
    <row r="3620" spans="7:8">
      <c r="G3620" s="168">
        <v>3617</v>
      </c>
      <c r="H3620" s="183">
        <f t="shared" ca="1" si="98"/>
        <v>1.7441044543510548E-2</v>
      </c>
    </row>
    <row r="3621" spans="7:8">
      <c r="G3621" s="168">
        <v>3618</v>
      </c>
      <c r="H3621" s="183">
        <f t="shared" ca="1" si="98"/>
        <v>2.1337834416842606E-2</v>
      </c>
    </row>
    <row r="3622" spans="7:8">
      <c r="G3622" s="168">
        <v>3619</v>
      </c>
      <c r="H3622" s="183">
        <f t="shared" ca="1" si="98"/>
        <v>1.8731866738426955E-2</v>
      </c>
    </row>
    <row r="3623" spans="7:8">
      <c r="G3623" s="168">
        <v>3620</v>
      </c>
      <c r="H3623" s="183">
        <f t="shared" ca="1" si="98"/>
        <v>4.9402310726980817E-3</v>
      </c>
    </row>
    <row r="3624" spans="7:8">
      <c r="G3624" s="168">
        <v>3621</v>
      </c>
      <c r="H3624" s="183">
        <f t="shared" ca="1" si="98"/>
        <v>-1.8693512161315748E-2</v>
      </c>
    </row>
    <row r="3625" spans="7:8">
      <c r="G3625" s="168">
        <v>3622</v>
      </c>
      <c r="H3625" s="183">
        <f t="shared" ca="1" si="98"/>
        <v>8.7708342708477174E-3</v>
      </c>
    </row>
    <row r="3626" spans="7:8">
      <c r="G3626" s="168">
        <v>3623</v>
      </c>
      <c r="H3626" s="183">
        <f t="shared" ca="1" si="98"/>
        <v>-5.850183132516844E-3</v>
      </c>
    </row>
    <row r="3627" spans="7:8">
      <c r="G3627" s="168">
        <v>3624</v>
      </c>
      <c r="H3627" s="183">
        <f t="shared" ca="1" si="98"/>
        <v>2.0573310338330177E-2</v>
      </c>
    </row>
    <row r="3628" spans="7:8">
      <c r="G3628" s="168">
        <v>3625</v>
      </c>
      <c r="H3628" s="183">
        <f t="shared" ca="1" si="98"/>
        <v>1.7862322422603067E-2</v>
      </c>
    </row>
    <row r="3629" spans="7:8">
      <c r="G3629" s="168">
        <v>3626</v>
      </c>
      <c r="H3629" s="183">
        <f t="shared" ca="1" si="98"/>
        <v>1.5389174636844187E-2</v>
      </c>
    </row>
    <row r="3630" spans="7:8">
      <c r="G3630" s="168">
        <v>3627</v>
      </c>
      <c r="H3630" s="183">
        <f t="shared" ca="1" si="98"/>
        <v>1.0921848716337543E-2</v>
      </c>
    </row>
    <row r="3631" spans="7:8">
      <c r="G3631" s="168">
        <v>3628</v>
      </c>
      <c r="H3631" s="183">
        <f t="shared" ca="1" si="98"/>
        <v>-4.4055933706375087E-3</v>
      </c>
    </row>
    <row r="3632" spans="7:8">
      <c r="G3632" s="168">
        <v>3629</v>
      </c>
      <c r="H3632" s="183">
        <f t="shared" ca="1" si="98"/>
        <v>7.7524738911651132E-3</v>
      </c>
    </row>
    <row r="3633" spans="7:8">
      <c r="G3633" s="168">
        <v>3630</v>
      </c>
      <c r="H3633" s="183">
        <f t="shared" ca="1" si="98"/>
        <v>-8.9333826238879727E-3</v>
      </c>
    </row>
    <row r="3634" spans="7:8">
      <c r="G3634" s="168">
        <v>3631</v>
      </c>
      <c r="H3634" s="183">
        <f t="shared" ca="1" si="98"/>
        <v>3.7470218400378744E-3</v>
      </c>
    </row>
    <row r="3635" spans="7:8">
      <c r="G3635" s="168">
        <v>3632</v>
      </c>
      <c r="H3635" s="183">
        <f t="shared" ca="1" si="98"/>
        <v>7.4767729366557447E-3</v>
      </c>
    </row>
    <row r="3636" spans="7:8">
      <c r="G3636" s="168">
        <v>3633</v>
      </c>
      <c r="H3636" s="183">
        <f t="shared" ca="1" si="98"/>
        <v>-2.2126978295036074E-2</v>
      </c>
    </row>
    <row r="3637" spans="7:8">
      <c r="G3637" s="168">
        <v>3634</v>
      </c>
      <c r="H3637" s="183">
        <f t="shared" ca="1" si="98"/>
        <v>-3.2943408470841049E-3</v>
      </c>
    </row>
    <row r="3638" spans="7:8">
      <c r="G3638" s="168">
        <v>3635</v>
      </c>
      <c r="H3638" s="183">
        <f t="shared" ca="1" si="98"/>
        <v>2.1241766311836083E-2</v>
      </c>
    </row>
    <row r="3639" spans="7:8">
      <c r="G3639" s="168">
        <v>3636</v>
      </c>
      <c r="H3639" s="183">
        <f t="shared" ca="1" si="98"/>
        <v>2.379581803633516E-3</v>
      </c>
    </row>
    <row r="3640" spans="7:8">
      <c r="G3640" s="168">
        <v>3637</v>
      </c>
      <c r="H3640" s="183">
        <f t="shared" ca="1" si="98"/>
        <v>1.7701614268939184E-2</v>
      </c>
    </row>
    <row r="3641" spans="7:8">
      <c r="G3641" s="168">
        <v>3638</v>
      </c>
      <c r="H3641" s="183">
        <f t="shared" ca="1" si="98"/>
        <v>1.951557922881628E-2</v>
      </c>
    </row>
    <row r="3642" spans="7:8">
      <c r="G3642" s="168">
        <v>3639</v>
      </c>
      <c r="H3642" s="183">
        <f t="shared" ca="1" si="98"/>
        <v>6.720192885439083E-3</v>
      </c>
    </row>
    <row r="3643" spans="7:8">
      <c r="G3643" s="168">
        <v>3640</v>
      </c>
      <c r="H3643" s="183">
        <f t="shared" ca="1" si="98"/>
        <v>-1.6719696350109916E-2</v>
      </c>
    </row>
    <row r="3644" spans="7:8">
      <c r="G3644" s="168">
        <v>3641</v>
      </c>
      <c r="H3644" s="183">
        <f t="shared" ca="1" si="98"/>
        <v>8.0482534944510999E-3</v>
      </c>
    </row>
    <row r="3645" spans="7:8">
      <c r="G3645" s="168">
        <v>3642</v>
      </c>
      <c r="H3645" s="183">
        <f t="shared" ca="1" si="98"/>
        <v>7.2629006583686956E-3</v>
      </c>
    </row>
    <row r="3646" spans="7:8">
      <c r="G3646" s="168">
        <v>3643</v>
      </c>
      <c r="H3646" s="183">
        <f t="shared" ca="1" si="98"/>
        <v>-1.6601571991409006E-2</v>
      </c>
    </row>
    <row r="3647" spans="7:8">
      <c r="G3647" s="168">
        <v>3644</v>
      </c>
      <c r="H3647" s="183">
        <f t="shared" ca="1" si="98"/>
        <v>5.882765043288188E-3</v>
      </c>
    </row>
    <row r="3648" spans="7:8">
      <c r="G3648" s="168">
        <v>3645</v>
      </c>
      <c r="H3648" s="183">
        <f t="shared" ca="1" si="98"/>
        <v>6.6822942645042467E-4</v>
      </c>
    </row>
    <row r="3649" spans="7:8">
      <c r="G3649" s="168">
        <v>3646</v>
      </c>
      <c r="H3649" s="183">
        <f t="shared" ca="1" si="98"/>
        <v>1.0240933343473218E-2</v>
      </c>
    </row>
    <row r="3650" spans="7:8">
      <c r="G3650" s="168">
        <v>3647</v>
      </c>
      <c r="H3650" s="183">
        <f t="shared" ca="1" si="98"/>
        <v>1.925137971485559E-2</v>
      </c>
    </row>
    <row r="3651" spans="7:8">
      <c r="G3651" s="168">
        <v>3648</v>
      </c>
      <c r="H3651" s="183">
        <f t="shared" ca="1" si="98"/>
        <v>1.3317345716588234E-2</v>
      </c>
    </row>
    <row r="3652" spans="7:8">
      <c r="G3652" s="168">
        <v>3649</v>
      </c>
      <c r="H3652" s="183">
        <f t="shared" ca="1" si="98"/>
        <v>-9.4681080121743096E-3</v>
      </c>
    </row>
    <row r="3653" spans="7:8">
      <c r="G3653" s="168">
        <v>3650</v>
      </c>
      <c r="H3653" s="183">
        <f t="shared" ref="H3653:H3716" ca="1" si="99">_xlfn.NORM.INV(RAND(),N$6,N$7)</f>
        <v>1.4735276538214732E-4</v>
      </c>
    </row>
    <row r="3654" spans="7:8">
      <c r="G3654" s="168">
        <v>3651</v>
      </c>
      <c r="H3654" s="183">
        <f t="shared" ca="1" si="99"/>
        <v>-7.0250136473287974E-3</v>
      </c>
    </row>
    <row r="3655" spans="7:8">
      <c r="G3655" s="168">
        <v>3652</v>
      </c>
      <c r="H3655" s="183">
        <f t="shared" ca="1" si="99"/>
        <v>-2.1010170607394961E-3</v>
      </c>
    </row>
    <row r="3656" spans="7:8">
      <c r="G3656" s="168">
        <v>3653</v>
      </c>
      <c r="H3656" s="183">
        <f t="shared" ca="1" si="99"/>
        <v>1.6626722870726879E-3</v>
      </c>
    </row>
    <row r="3657" spans="7:8">
      <c r="G3657" s="168">
        <v>3654</v>
      </c>
      <c r="H3657" s="183">
        <f t="shared" ca="1" si="99"/>
        <v>-2.0012713938417415E-2</v>
      </c>
    </row>
    <row r="3658" spans="7:8">
      <c r="G3658" s="168">
        <v>3655</v>
      </c>
      <c r="H3658" s="183">
        <f t="shared" ca="1" si="99"/>
        <v>2.749574438429255E-3</v>
      </c>
    </row>
    <row r="3659" spans="7:8">
      <c r="G3659" s="168">
        <v>3656</v>
      </c>
      <c r="H3659" s="183">
        <f t="shared" ca="1" si="99"/>
        <v>5.7425401139556079E-3</v>
      </c>
    </row>
    <row r="3660" spans="7:8">
      <c r="G3660" s="168">
        <v>3657</v>
      </c>
      <c r="H3660" s="183">
        <f t="shared" ca="1" si="99"/>
        <v>-1.0089732250439052E-2</v>
      </c>
    </row>
    <row r="3661" spans="7:8">
      <c r="G3661" s="168">
        <v>3658</v>
      </c>
      <c r="H3661" s="183">
        <f t="shared" ca="1" si="99"/>
        <v>8.4497794041290923E-3</v>
      </c>
    </row>
    <row r="3662" spans="7:8">
      <c r="G3662" s="168">
        <v>3659</v>
      </c>
      <c r="H3662" s="183">
        <f t="shared" ca="1" si="99"/>
        <v>1.649206152533969E-3</v>
      </c>
    </row>
    <row r="3663" spans="7:8">
      <c r="G3663" s="168">
        <v>3660</v>
      </c>
      <c r="H3663" s="183">
        <f t="shared" ca="1" si="99"/>
        <v>2.5118177951832382E-2</v>
      </c>
    </row>
    <row r="3664" spans="7:8">
      <c r="G3664" s="168">
        <v>3661</v>
      </c>
      <c r="H3664" s="183">
        <f t="shared" ca="1" si="99"/>
        <v>1.1216086599943796E-2</v>
      </c>
    </row>
    <row r="3665" spans="7:8">
      <c r="G3665" s="168">
        <v>3662</v>
      </c>
      <c r="H3665" s="183">
        <f t="shared" ca="1" si="99"/>
        <v>-1.8708367816551431E-2</v>
      </c>
    </row>
    <row r="3666" spans="7:8">
      <c r="G3666" s="168">
        <v>3663</v>
      </c>
      <c r="H3666" s="183">
        <f t="shared" ca="1" si="99"/>
        <v>-1.6699725047407367E-3</v>
      </c>
    </row>
    <row r="3667" spans="7:8">
      <c r="G3667" s="168">
        <v>3664</v>
      </c>
      <c r="H3667" s="183">
        <f t="shared" ca="1" si="99"/>
        <v>1.5454349763817123E-2</v>
      </c>
    </row>
    <row r="3668" spans="7:8">
      <c r="G3668" s="168">
        <v>3665</v>
      </c>
      <c r="H3668" s="183">
        <f t="shared" ca="1" si="99"/>
        <v>-5.5982747097315282E-3</v>
      </c>
    </row>
    <row r="3669" spans="7:8">
      <c r="G3669" s="168">
        <v>3666</v>
      </c>
      <c r="H3669" s="183">
        <f t="shared" ca="1" si="99"/>
        <v>2.3210061476680822E-3</v>
      </c>
    </row>
    <row r="3670" spans="7:8">
      <c r="G3670" s="168">
        <v>3667</v>
      </c>
      <c r="H3670" s="183">
        <f t="shared" ca="1" si="99"/>
        <v>8.6074073356623045E-3</v>
      </c>
    </row>
    <row r="3671" spans="7:8">
      <c r="G3671" s="168">
        <v>3668</v>
      </c>
      <c r="H3671" s="183">
        <f t="shared" ca="1" si="99"/>
        <v>-1.3546942053987293E-2</v>
      </c>
    </row>
    <row r="3672" spans="7:8">
      <c r="G3672" s="168">
        <v>3669</v>
      </c>
      <c r="H3672" s="183">
        <f t="shared" ca="1" si="99"/>
        <v>-2.0892147178684919E-3</v>
      </c>
    </row>
    <row r="3673" spans="7:8">
      <c r="G3673" s="168">
        <v>3670</v>
      </c>
      <c r="H3673" s="183">
        <f t="shared" ca="1" si="99"/>
        <v>1.1053140904518564E-2</v>
      </c>
    </row>
    <row r="3674" spans="7:8">
      <c r="G3674" s="168">
        <v>3671</v>
      </c>
      <c r="H3674" s="183">
        <f t="shared" ca="1" si="99"/>
        <v>7.9364942853431177E-3</v>
      </c>
    </row>
    <row r="3675" spans="7:8">
      <c r="G3675" s="168">
        <v>3672</v>
      </c>
      <c r="H3675" s="183">
        <f t="shared" ca="1" si="99"/>
        <v>-6.9128066724163306E-3</v>
      </c>
    </row>
    <row r="3676" spans="7:8">
      <c r="G3676" s="168">
        <v>3673</v>
      </c>
      <c r="H3676" s="183">
        <f t="shared" ca="1" si="99"/>
        <v>1.1520231933312843E-2</v>
      </c>
    </row>
    <row r="3677" spans="7:8">
      <c r="G3677" s="168">
        <v>3674</v>
      </c>
      <c r="H3677" s="183">
        <f t="shared" ca="1" si="99"/>
        <v>2.3424726252654918E-2</v>
      </c>
    </row>
    <row r="3678" spans="7:8">
      <c r="G3678" s="168">
        <v>3675</v>
      </c>
      <c r="H3678" s="183">
        <f t="shared" ca="1" si="99"/>
        <v>3.4929508871750664E-3</v>
      </c>
    </row>
    <row r="3679" spans="7:8">
      <c r="G3679" s="168">
        <v>3676</v>
      </c>
      <c r="H3679" s="183">
        <f t="shared" ca="1" si="99"/>
        <v>-1.4370892463004704E-2</v>
      </c>
    </row>
    <row r="3680" spans="7:8">
      <c r="G3680" s="168">
        <v>3677</v>
      </c>
      <c r="H3680" s="183">
        <f t="shared" ca="1" si="99"/>
        <v>1.373295153604346E-2</v>
      </c>
    </row>
    <row r="3681" spans="7:8">
      <c r="G3681" s="168">
        <v>3678</v>
      </c>
      <c r="H3681" s="183">
        <f t="shared" ca="1" si="99"/>
        <v>1.8040313668560386E-2</v>
      </c>
    </row>
    <row r="3682" spans="7:8">
      <c r="G3682" s="168">
        <v>3679</v>
      </c>
      <c r="H3682" s="183">
        <f t="shared" ca="1" si="99"/>
        <v>2.7651449752483567E-2</v>
      </c>
    </row>
    <row r="3683" spans="7:8">
      <c r="G3683" s="168">
        <v>3680</v>
      </c>
      <c r="H3683" s="183">
        <f t="shared" ca="1" si="99"/>
        <v>2.1457699422329501E-2</v>
      </c>
    </row>
    <row r="3684" spans="7:8">
      <c r="G3684" s="168">
        <v>3681</v>
      </c>
      <c r="H3684" s="183">
        <f t="shared" ca="1" si="99"/>
        <v>6.5888431750825687E-4</v>
      </c>
    </row>
    <row r="3685" spans="7:8">
      <c r="G3685" s="168">
        <v>3682</v>
      </c>
      <c r="H3685" s="183">
        <f t="shared" ca="1" si="99"/>
        <v>5.9901590197253126E-3</v>
      </c>
    </row>
    <row r="3686" spans="7:8">
      <c r="G3686" s="168">
        <v>3683</v>
      </c>
      <c r="H3686" s="183">
        <f t="shared" ca="1" si="99"/>
        <v>-1.5335519212915542E-2</v>
      </c>
    </row>
    <row r="3687" spans="7:8">
      <c r="G3687" s="168">
        <v>3684</v>
      </c>
      <c r="H3687" s="183">
        <f t="shared" ca="1" si="99"/>
        <v>2.6416225540502408E-2</v>
      </c>
    </row>
    <row r="3688" spans="7:8">
      <c r="G3688" s="168">
        <v>3685</v>
      </c>
      <c r="H3688" s="183">
        <f t="shared" ca="1" si="99"/>
        <v>2.5393430214257291E-3</v>
      </c>
    </row>
    <row r="3689" spans="7:8">
      <c r="G3689" s="168">
        <v>3686</v>
      </c>
      <c r="H3689" s="183">
        <f t="shared" ca="1" si="99"/>
        <v>4.2386989353703202E-3</v>
      </c>
    </row>
    <row r="3690" spans="7:8">
      <c r="G3690" s="168">
        <v>3687</v>
      </c>
      <c r="H3690" s="183">
        <f t="shared" ca="1" si="99"/>
        <v>-5.8185106059821358E-3</v>
      </c>
    </row>
    <row r="3691" spans="7:8">
      <c r="G3691" s="168">
        <v>3688</v>
      </c>
      <c r="H3691" s="183">
        <f t="shared" ca="1" si="99"/>
        <v>6.8161624598010642E-3</v>
      </c>
    </row>
    <row r="3692" spans="7:8">
      <c r="G3692" s="168">
        <v>3689</v>
      </c>
      <c r="H3692" s="183">
        <f t="shared" ca="1" si="99"/>
        <v>2.479683562296698E-2</v>
      </c>
    </row>
    <row r="3693" spans="7:8">
      <c r="G3693" s="168">
        <v>3690</v>
      </c>
      <c r="H3693" s="183">
        <f t="shared" ca="1" si="99"/>
        <v>4.2740843452516615E-3</v>
      </c>
    </row>
    <row r="3694" spans="7:8">
      <c r="G3694" s="168">
        <v>3691</v>
      </c>
      <c r="H3694" s="183">
        <f t="shared" ca="1" si="99"/>
        <v>6.7869875986679455E-3</v>
      </c>
    </row>
    <row r="3695" spans="7:8">
      <c r="G3695" s="168">
        <v>3692</v>
      </c>
      <c r="H3695" s="183">
        <f t="shared" ca="1" si="99"/>
        <v>7.7462465662911737E-3</v>
      </c>
    </row>
    <row r="3696" spans="7:8">
      <c r="G3696" s="168">
        <v>3693</v>
      </c>
      <c r="H3696" s="183">
        <f t="shared" ca="1" si="99"/>
        <v>2.9613473002576547E-3</v>
      </c>
    </row>
    <row r="3697" spans="7:8">
      <c r="G3697" s="168">
        <v>3694</v>
      </c>
      <c r="H3697" s="183">
        <f t="shared" ca="1" si="99"/>
        <v>-3.7312743754003078E-3</v>
      </c>
    </row>
    <row r="3698" spans="7:8">
      <c r="G3698" s="168">
        <v>3695</v>
      </c>
      <c r="H3698" s="183">
        <f t="shared" ca="1" si="99"/>
        <v>2.5257816923192386E-2</v>
      </c>
    </row>
    <row r="3699" spans="7:8">
      <c r="G3699" s="168">
        <v>3696</v>
      </c>
      <c r="H3699" s="183">
        <f t="shared" ca="1" si="99"/>
        <v>-9.6679704770541823E-3</v>
      </c>
    </row>
    <row r="3700" spans="7:8">
      <c r="G3700" s="168">
        <v>3697</v>
      </c>
      <c r="H3700" s="183">
        <f t="shared" ca="1" si="99"/>
        <v>1.0855523953082938E-2</v>
      </c>
    </row>
    <row r="3701" spans="7:8">
      <c r="G3701" s="168">
        <v>3698</v>
      </c>
      <c r="H3701" s="183">
        <f t="shared" ca="1" si="99"/>
        <v>-2.4728275239089426E-3</v>
      </c>
    </row>
    <row r="3702" spans="7:8">
      <c r="G3702" s="168">
        <v>3699</v>
      </c>
      <c r="H3702" s="183">
        <f t="shared" ca="1" si="99"/>
        <v>-1.0657055595440328E-2</v>
      </c>
    </row>
    <row r="3703" spans="7:8">
      <c r="G3703" s="168">
        <v>3700</v>
      </c>
      <c r="H3703" s="183">
        <f t="shared" ca="1" si="99"/>
        <v>1.3239741966581543E-2</v>
      </c>
    </row>
    <row r="3704" spans="7:8">
      <c r="G3704" s="168">
        <v>3701</v>
      </c>
      <c r="H3704" s="183">
        <f t="shared" ca="1" si="99"/>
        <v>2.096390111433493E-2</v>
      </c>
    </row>
    <row r="3705" spans="7:8">
      <c r="G3705" s="168">
        <v>3702</v>
      </c>
      <c r="H3705" s="183">
        <f t="shared" ca="1" si="99"/>
        <v>-2.3134518344781113E-2</v>
      </c>
    </row>
    <row r="3706" spans="7:8">
      <c r="G3706" s="168">
        <v>3703</v>
      </c>
      <c r="H3706" s="183">
        <f t="shared" ca="1" si="99"/>
        <v>7.3120555163758887E-4</v>
      </c>
    </row>
    <row r="3707" spans="7:8">
      <c r="G3707" s="168">
        <v>3704</v>
      </c>
      <c r="H3707" s="183">
        <f t="shared" ca="1" si="99"/>
        <v>-4.5804528662145563E-3</v>
      </c>
    </row>
    <row r="3708" spans="7:8">
      <c r="G3708" s="168">
        <v>3705</v>
      </c>
      <c r="H3708" s="183">
        <f t="shared" ca="1" si="99"/>
        <v>4.3311129537692769E-3</v>
      </c>
    </row>
    <row r="3709" spans="7:8">
      <c r="G3709" s="168">
        <v>3706</v>
      </c>
      <c r="H3709" s="183">
        <f t="shared" ca="1" si="99"/>
        <v>6.8366503466309684E-3</v>
      </c>
    </row>
    <row r="3710" spans="7:8">
      <c r="G3710" s="168">
        <v>3707</v>
      </c>
      <c r="H3710" s="183">
        <f t="shared" ca="1" si="99"/>
        <v>2.026531149862594E-2</v>
      </c>
    </row>
    <row r="3711" spans="7:8">
      <c r="G3711" s="168">
        <v>3708</v>
      </c>
      <c r="H3711" s="183">
        <f t="shared" ca="1" si="99"/>
        <v>2.8595163860427653E-3</v>
      </c>
    </row>
    <row r="3712" spans="7:8">
      <c r="G3712" s="168">
        <v>3709</v>
      </c>
      <c r="H3712" s="183">
        <f t="shared" ca="1" si="99"/>
        <v>-6.2494728935077676E-3</v>
      </c>
    </row>
    <row r="3713" spans="7:8">
      <c r="G3713" s="168">
        <v>3710</v>
      </c>
      <c r="H3713" s="183">
        <f t="shared" ca="1" si="99"/>
        <v>1.645411244555451E-2</v>
      </c>
    </row>
    <row r="3714" spans="7:8">
      <c r="G3714" s="168">
        <v>3711</v>
      </c>
      <c r="H3714" s="183">
        <f t="shared" ca="1" si="99"/>
        <v>1.2914598755820982E-2</v>
      </c>
    </row>
    <row r="3715" spans="7:8">
      <c r="G3715" s="168">
        <v>3712</v>
      </c>
      <c r="H3715" s="183">
        <f t="shared" ca="1" si="99"/>
        <v>-1.7701642248060912E-2</v>
      </c>
    </row>
    <row r="3716" spans="7:8">
      <c r="G3716" s="168">
        <v>3713</v>
      </c>
      <c r="H3716" s="183">
        <f t="shared" ca="1" si="99"/>
        <v>4.4622872502816388E-3</v>
      </c>
    </row>
    <row r="3717" spans="7:8">
      <c r="G3717" s="168">
        <v>3714</v>
      </c>
      <c r="H3717" s="183">
        <f t="shared" ref="H3717:H3780" ca="1" si="100">_xlfn.NORM.INV(RAND(),N$6,N$7)</f>
        <v>6.8900379836259826E-3</v>
      </c>
    </row>
    <row r="3718" spans="7:8">
      <c r="G3718" s="168">
        <v>3715</v>
      </c>
      <c r="H3718" s="183">
        <f t="shared" ca="1" si="100"/>
        <v>1.1327963943548458E-2</v>
      </c>
    </row>
    <row r="3719" spans="7:8">
      <c r="G3719" s="168">
        <v>3716</v>
      </c>
      <c r="H3719" s="183">
        <f t="shared" ca="1" si="100"/>
        <v>-7.9024801284606552E-3</v>
      </c>
    </row>
    <row r="3720" spans="7:8">
      <c r="G3720" s="168">
        <v>3717</v>
      </c>
      <c r="H3720" s="183">
        <f t="shared" ca="1" si="100"/>
        <v>-7.1907866025561302E-3</v>
      </c>
    </row>
    <row r="3721" spans="7:8">
      <c r="G3721" s="168">
        <v>3718</v>
      </c>
      <c r="H3721" s="183">
        <f t="shared" ca="1" si="100"/>
        <v>-7.8994764886982753E-3</v>
      </c>
    </row>
    <row r="3722" spans="7:8">
      <c r="G3722" s="168">
        <v>3719</v>
      </c>
      <c r="H3722" s="183">
        <f t="shared" ca="1" si="100"/>
        <v>6.0171594733241535E-3</v>
      </c>
    </row>
    <row r="3723" spans="7:8">
      <c r="G3723" s="168">
        <v>3720</v>
      </c>
      <c r="H3723" s="183">
        <f t="shared" ca="1" si="100"/>
        <v>2.285640629153609E-2</v>
      </c>
    </row>
    <row r="3724" spans="7:8">
      <c r="G3724" s="168">
        <v>3721</v>
      </c>
      <c r="H3724" s="183">
        <f t="shared" ca="1" si="100"/>
        <v>-3.4216642667842028E-3</v>
      </c>
    </row>
    <row r="3725" spans="7:8">
      <c r="G3725" s="168">
        <v>3722</v>
      </c>
      <c r="H3725" s="183">
        <f t="shared" ca="1" si="100"/>
        <v>2.4059249432712877E-3</v>
      </c>
    </row>
    <row r="3726" spans="7:8">
      <c r="G3726" s="168">
        <v>3723</v>
      </c>
      <c r="H3726" s="183">
        <f t="shared" ca="1" si="100"/>
        <v>2.1867278675266492E-2</v>
      </c>
    </row>
    <row r="3727" spans="7:8">
      <c r="G3727" s="168">
        <v>3724</v>
      </c>
      <c r="H3727" s="183">
        <f t="shared" ca="1" si="100"/>
        <v>-9.8618819610118251E-3</v>
      </c>
    </row>
    <row r="3728" spans="7:8">
      <c r="G3728" s="168">
        <v>3725</v>
      </c>
      <c r="H3728" s="183">
        <f t="shared" ca="1" si="100"/>
        <v>-1.7821170758515166E-3</v>
      </c>
    </row>
    <row r="3729" spans="7:8">
      <c r="G3729" s="168">
        <v>3726</v>
      </c>
      <c r="H3729" s="183">
        <f t="shared" ca="1" si="100"/>
        <v>-5.1593684354714698E-3</v>
      </c>
    </row>
    <row r="3730" spans="7:8">
      <c r="G3730" s="168">
        <v>3727</v>
      </c>
      <c r="H3730" s="183">
        <f t="shared" ca="1" si="100"/>
        <v>-1.8102195022653752E-3</v>
      </c>
    </row>
    <row r="3731" spans="7:8">
      <c r="G3731" s="168">
        <v>3728</v>
      </c>
      <c r="H3731" s="183">
        <f t="shared" ca="1" si="100"/>
        <v>5.8581583163245295E-3</v>
      </c>
    </row>
    <row r="3732" spans="7:8">
      <c r="G3732" s="168">
        <v>3729</v>
      </c>
      <c r="H3732" s="183">
        <f t="shared" ca="1" si="100"/>
        <v>-5.5377954426174244E-3</v>
      </c>
    </row>
    <row r="3733" spans="7:8">
      <c r="G3733" s="168">
        <v>3730</v>
      </c>
      <c r="H3733" s="183">
        <f t="shared" ca="1" si="100"/>
        <v>-2.8456882094782903E-2</v>
      </c>
    </row>
    <row r="3734" spans="7:8">
      <c r="G3734" s="168">
        <v>3731</v>
      </c>
      <c r="H3734" s="183">
        <f t="shared" ca="1" si="100"/>
        <v>2.0731014688764062E-2</v>
      </c>
    </row>
    <row r="3735" spans="7:8">
      <c r="G3735" s="168">
        <v>3732</v>
      </c>
      <c r="H3735" s="183">
        <f t="shared" ca="1" si="100"/>
        <v>-6.7454931808692839E-3</v>
      </c>
    </row>
    <row r="3736" spans="7:8">
      <c r="G3736" s="168">
        <v>3733</v>
      </c>
      <c r="H3736" s="183">
        <f t="shared" ca="1" si="100"/>
        <v>-6.3216698652163094E-3</v>
      </c>
    </row>
    <row r="3737" spans="7:8">
      <c r="G3737" s="168">
        <v>3734</v>
      </c>
      <c r="H3737" s="183">
        <f t="shared" ca="1" si="100"/>
        <v>-6.793450886895233E-3</v>
      </c>
    </row>
    <row r="3738" spans="7:8">
      <c r="G3738" s="168">
        <v>3735</v>
      </c>
      <c r="H3738" s="183">
        <f t="shared" ca="1" si="100"/>
        <v>-9.9620137923186226E-3</v>
      </c>
    </row>
    <row r="3739" spans="7:8">
      <c r="G3739" s="168">
        <v>3736</v>
      </c>
      <c r="H3739" s="183">
        <f t="shared" ca="1" si="100"/>
        <v>1.6164454871430978E-2</v>
      </c>
    </row>
    <row r="3740" spans="7:8">
      <c r="G3740" s="168">
        <v>3737</v>
      </c>
      <c r="H3740" s="183">
        <f t="shared" ca="1" si="100"/>
        <v>2.5976533041695182E-2</v>
      </c>
    </row>
    <row r="3741" spans="7:8">
      <c r="G3741" s="168">
        <v>3738</v>
      </c>
      <c r="H3741" s="183">
        <f t="shared" ca="1" si="100"/>
        <v>3.6814652686384974E-3</v>
      </c>
    </row>
    <row r="3742" spans="7:8">
      <c r="G3742" s="168">
        <v>3739</v>
      </c>
      <c r="H3742" s="183">
        <f t="shared" ca="1" si="100"/>
        <v>1.1576511350330658E-2</v>
      </c>
    </row>
    <row r="3743" spans="7:8">
      <c r="G3743" s="168">
        <v>3740</v>
      </c>
      <c r="H3743" s="183">
        <f t="shared" ca="1" si="100"/>
        <v>1.335031723942311E-2</v>
      </c>
    </row>
    <row r="3744" spans="7:8">
      <c r="G3744" s="168">
        <v>3741</v>
      </c>
      <c r="H3744" s="183">
        <f t="shared" ca="1" si="100"/>
        <v>7.3401949045181014E-3</v>
      </c>
    </row>
    <row r="3745" spans="7:8">
      <c r="G3745" s="168">
        <v>3742</v>
      </c>
      <c r="H3745" s="183">
        <f t="shared" ca="1" si="100"/>
        <v>1.0768314929392085E-2</v>
      </c>
    </row>
    <row r="3746" spans="7:8">
      <c r="G3746" s="168">
        <v>3743</v>
      </c>
      <c r="H3746" s="183">
        <f t="shared" ca="1" si="100"/>
        <v>-6.5471458625921434E-3</v>
      </c>
    </row>
    <row r="3747" spans="7:8">
      <c r="G3747" s="168">
        <v>3744</v>
      </c>
      <c r="H3747" s="183">
        <f t="shared" ca="1" si="100"/>
        <v>-5.3747733545427478E-3</v>
      </c>
    </row>
    <row r="3748" spans="7:8">
      <c r="G3748" s="168">
        <v>3745</v>
      </c>
      <c r="H3748" s="183">
        <f t="shared" ca="1" si="100"/>
        <v>9.9625474778974338E-3</v>
      </c>
    </row>
    <row r="3749" spans="7:8">
      <c r="G3749" s="168">
        <v>3746</v>
      </c>
      <c r="H3749" s="183">
        <f t="shared" ca="1" si="100"/>
        <v>-1.4698826089313114E-2</v>
      </c>
    </row>
    <row r="3750" spans="7:8">
      <c r="G3750" s="168">
        <v>3747</v>
      </c>
      <c r="H3750" s="183">
        <f t="shared" ca="1" si="100"/>
        <v>-8.6839977999815451E-3</v>
      </c>
    </row>
    <row r="3751" spans="7:8">
      <c r="G3751" s="168">
        <v>3748</v>
      </c>
      <c r="H3751" s="183">
        <f t="shared" ca="1" si="100"/>
        <v>3.318176595587587E-3</v>
      </c>
    </row>
    <row r="3752" spans="7:8">
      <c r="G3752" s="168">
        <v>3749</v>
      </c>
      <c r="H3752" s="183">
        <f t="shared" ca="1" si="100"/>
        <v>1.0096393931117298E-2</v>
      </c>
    </row>
    <row r="3753" spans="7:8">
      <c r="G3753" s="168">
        <v>3750</v>
      </c>
      <c r="H3753" s="183">
        <f t="shared" ca="1" si="100"/>
        <v>4.6933263260575328E-3</v>
      </c>
    </row>
    <row r="3754" spans="7:8">
      <c r="G3754" s="168">
        <v>3751</v>
      </c>
      <c r="H3754" s="183">
        <f t="shared" ca="1" si="100"/>
        <v>1.3418465258516435E-2</v>
      </c>
    </row>
    <row r="3755" spans="7:8">
      <c r="G3755" s="168">
        <v>3752</v>
      </c>
      <c r="H3755" s="183">
        <f t="shared" ca="1" si="100"/>
        <v>-1.3470893971187059E-2</v>
      </c>
    </row>
    <row r="3756" spans="7:8">
      <c r="G3756" s="168">
        <v>3753</v>
      </c>
      <c r="H3756" s="183">
        <f t="shared" ca="1" si="100"/>
        <v>7.5657142933154634E-3</v>
      </c>
    </row>
    <row r="3757" spans="7:8">
      <c r="G3757" s="168">
        <v>3754</v>
      </c>
      <c r="H3757" s="183">
        <f t="shared" ca="1" si="100"/>
        <v>1.2205079929585669E-2</v>
      </c>
    </row>
    <row r="3758" spans="7:8">
      <c r="G3758" s="168">
        <v>3755</v>
      </c>
      <c r="H3758" s="183">
        <f t="shared" ca="1" si="100"/>
        <v>-1.1104290625869696E-2</v>
      </c>
    </row>
    <row r="3759" spans="7:8">
      <c r="G3759" s="168">
        <v>3756</v>
      </c>
      <c r="H3759" s="183">
        <f t="shared" ca="1" si="100"/>
        <v>6.534335294098222E-3</v>
      </c>
    </row>
    <row r="3760" spans="7:8">
      <c r="G3760" s="168">
        <v>3757</v>
      </c>
      <c r="H3760" s="183">
        <f t="shared" ca="1" si="100"/>
        <v>3.5655901403377171E-3</v>
      </c>
    </row>
    <row r="3761" spans="7:8">
      <c r="G3761" s="168">
        <v>3758</v>
      </c>
      <c r="H3761" s="183">
        <f t="shared" ca="1" si="100"/>
        <v>3.7472176819716811E-3</v>
      </c>
    </row>
    <row r="3762" spans="7:8">
      <c r="G3762" s="168">
        <v>3759</v>
      </c>
      <c r="H3762" s="183">
        <f t="shared" ca="1" si="100"/>
        <v>9.4109224288783083E-3</v>
      </c>
    </row>
    <row r="3763" spans="7:8">
      <c r="G3763" s="168">
        <v>3760</v>
      </c>
      <c r="H3763" s="183">
        <f t="shared" ca="1" si="100"/>
        <v>-1.8626301115940293E-2</v>
      </c>
    </row>
    <row r="3764" spans="7:8">
      <c r="G3764" s="168">
        <v>3761</v>
      </c>
      <c r="H3764" s="183">
        <f t="shared" ca="1" si="100"/>
        <v>-2.2998341455102824E-3</v>
      </c>
    </row>
    <row r="3765" spans="7:8">
      <c r="G3765" s="168">
        <v>3762</v>
      </c>
      <c r="H3765" s="183">
        <f t="shared" ca="1" si="100"/>
        <v>2.1740888879202305E-2</v>
      </c>
    </row>
    <row r="3766" spans="7:8">
      <c r="G3766" s="168">
        <v>3763</v>
      </c>
      <c r="H3766" s="183">
        <f t="shared" ca="1" si="100"/>
        <v>8.7702445872901678E-3</v>
      </c>
    </row>
    <row r="3767" spans="7:8">
      <c r="G3767" s="168">
        <v>3764</v>
      </c>
      <c r="H3767" s="183">
        <f t="shared" ca="1" si="100"/>
        <v>-2.0261802784309627E-2</v>
      </c>
    </row>
    <row r="3768" spans="7:8">
      <c r="G3768" s="168">
        <v>3765</v>
      </c>
      <c r="H3768" s="183">
        <f t="shared" ca="1" si="100"/>
        <v>2.1879218113429282E-2</v>
      </c>
    </row>
    <row r="3769" spans="7:8">
      <c r="G3769" s="168">
        <v>3766</v>
      </c>
      <c r="H3769" s="183">
        <f t="shared" ca="1" si="100"/>
        <v>3.8785412129223374E-3</v>
      </c>
    </row>
    <row r="3770" spans="7:8">
      <c r="G3770" s="168">
        <v>3767</v>
      </c>
      <c r="H3770" s="183">
        <f t="shared" ca="1" si="100"/>
        <v>4.4158245458263785E-4</v>
      </c>
    </row>
    <row r="3771" spans="7:8">
      <c r="G3771" s="168">
        <v>3768</v>
      </c>
      <c r="H3771" s="183">
        <f t="shared" ca="1" si="100"/>
        <v>-8.3238173629512566E-4</v>
      </c>
    </row>
    <row r="3772" spans="7:8">
      <c r="G3772" s="168">
        <v>3769</v>
      </c>
      <c r="H3772" s="183">
        <f t="shared" ca="1" si="100"/>
        <v>6.9065078642949369E-4</v>
      </c>
    </row>
    <row r="3773" spans="7:8">
      <c r="G3773" s="168">
        <v>3770</v>
      </c>
      <c r="H3773" s="183">
        <f t="shared" ca="1" si="100"/>
        <v>8.4460748713020006E-3</v>
      </c>
    </row>
    <row r="3774" spans="7:8">
      <c r="G3774" s="168">
        <v>3771</v>
      </c>
      <c r="H3774" s="183">
        <f t="shared" ca="1" si="100"/>
        <v>1.9129551300534873E-2</v>
      </c>
    </row>
    <row r="3775" spans="7:8">
      <c r="G3775" s="168">
        <v>3772</v>
      </c>
      <c r="H3775" s="183">
        <f t="shared" ca="1" si="100"/>
        <v>2.7190859438668644E-3</v>
      </c>
    </row>
    <row r="3776" spans="7:8">
      <c r="G3776" s="168">
        <v>3773</v>
      </c>
      <c r="H3776" s="183">
        <f t="shared" ca="1" si="100"/>
        <v>-3.4419274658330466E-3</v>
      </c>
    </row>
    <row r="3777" spans="7:8">
      <c r="G3777" s="168">
        <v>3774</v>
      </c>
      <c r="H3777" s="183">
        <f t="shared" ca="1" si="100"/>
        <v>1.3056064092365597E-2</v>
      </c>
    </row>
    <row r="3778" spans="7:8">
      <c r="G3778" s="168">
        <v>3775</v>
      </c>
      <c r="H3778" s="183">
        <f t="shared" ca="1" si="100"/>
        <v>4.5581090304047207E-3</v>
      </c>
    </row>
    <row r="3779" spans="7:8">
      <c r="G3779" s="168">
        <v>3776</v>
      </c>
      <c r="H3779" s="183">
        <f t="shared" ca="1" si="100"/>
        <v>-8.3554523738454348E-4</v>
      </c>
    </row>
    <row r="3780" spans="7:8">
      <c r="G3780" s="168">
        <v>3777</v>
      </c>
      <c r="H3780" s="183">
        <f t="shared" ca="1" si="100"/>
        <v>-3.3314184238186677E-3</v>
      </c>
    </row>
    <row r="3781" spans="7:8">
      <c r="G3781" s="168">
        <v>3778</v>
      </c>
      <c r="H3781" s="183">
        <f t="shared" ref="H3781:H3844" ca="1" si="101">_xlfn.NORM.INV(RAND(),N$6,N$7)</f>
        <v>6.023691542011541E-3</v>
      </c>
    </row>
    <row r="3782" spans="7:8">
      <c r="G3782" s="168">
        <v>3779</v>
      </c>
      <c r="H3782" s="183">
        <f t="shared" ca="1" si="101"/>
        <v>6.0944732679368632E-3</v>
      </c>
    </row>
    <row r="3783" spans="7:8">
      <c r="G3783" s="168">
        <v>3780</v>
      </c>
      <c r="H3783" s="183">
        <f t="shared" ca="1" si="101"/>
        <v>4.851699062065176E-3</v>
      </c>
    </row>
    <row r="3784" spans="7:8">
      <c r="G3784" s="168">
        <v>3781</v>
      </c>
      <c r="H3784" s="183">
        <f t="shared" ca="1" si="101"/>
        <v>8.3528291511815941E-3</v>
      </c>
    </row>
    <row r="3785" spans="7:8">
      <c r="G3785" s="168">
        <v>3782</v>
      </c>
      <c r="H3785" s="183">
        <f t="shared" ca="1" si="101"/>
        <v>1.6775803176751869E-2</v>
      </c>
    </row>
    <row r="3786" spans="7:8">
      <c r="G3786" s="168">
        <v>3783</v>
      </c>
      <c r="H3786" s="183">
        <f t="shared" ca="1" si="101"/>
        <v>1.8508764054279751E-2</v>
      </c>
    </row>
    <row r="3787" spans="7:8">
      <c r="G3787" s="168">
        <v>3784</v>
      </c>
      <c r="H3787" s="183">
        <f t="shared" ca="1" si="101"/>
        <v>1.6556455826164816E-3</v>
      </c>
    </row>
    <row r="3788" spans="7:8">
      <c r="G3788" s="168">
        <v>3785</v>
      </c>
      <c r="H3788" s="183">
        <f t="shared" ca="1" si="101"/>
        <v>4.5837418481580166E-3</v>
      </c>
    </row>
    <row r="3789" spans="7:8">
      <c r="G3789" s="168">
        <v>3786</v>
      </c>
      <c r="H3789" s="183">
        <f t="shared" ca="1" si="101"/>
        <v>2.1596579217294937E-2</v>
      </c>
    </row>
    <row r="3790" spans="7:8">
      <c r="G3790" s="168">
        <v>3787</v>
      </c>
      <c r="H3790" s="183">
        <f t="shared" ca="1" si="101"/>
        <v>9.5149617478329724E-4</v>
      </c>
    </row>
    <row r="3791" spans="7:8">
      <c r="G3791" s="168">
        <v>3788</v>
      </c>
      <c r="H3791" s="183">
        <f t="shared" ca="1" si="101"/>
        <v>6.1205850943759892E-3</v>
      </c>
    </row>
    <row r="3792" spans="7:8">
      <c r="G3792" s="168">
        <v>3789</v>
      </c>
      <c r="H3792" s="183">
        <f t="shared" ca="1" si="101"/>
        <v>-7.6123455594811129E-3</v>
      </c>
    </row>
    <row r="3793" spans="7:8">
      <c r="G3793" s="168">
        <v>3790</v>
      </c>
      <c r="H3793" s="183">
        <f t="shared" ca="1" si="101"/>
        <v>-1.5090868702403653E-2</v>
      </c>
    </row>
    <row r="3794" spans="7:8">
      <c r="G3794" s="168">
        <v>3791</v>
      </c>
      <c r="H3794" s="183">
        <f t="shared" ca="1" si="101"/>
        <v>2.0623107548642605E-2</v>
      </c>
    </row>
    <row r="3795" spans="7:8">
      <c r="G3795" s="168">
        <v>3792</v>
      </c>
      <c r="H3795" s="183">
        <f t="shared" ca="1" si="101"/>
        <v>-4.8533432501174688E-3</v>
      </c>
    </row>
    <row r="3796" spans="7:8">
      <c r="G3796" s="168">
        <v>3793</v>
      </c>
      <c r="H3796" s="183">
        <f t="shared" ca="1" si="101"/>
        <v>9.555512313476712E-3</v>
      </c>
    </row>
    <row r="3797" spans="7:8">
      <c r="G3797" s="168">
        <v>3794</v>
      </c>
      <c r="H3797" s="183">
        <f t="shared" ca="1" si="101"/>
        <v>-1.3762562991957331E-2</v>
      </c>
    </row>
    <row r="3798" spans="7:8">
      <c r="G3798" s="168">
        <v>3795</v>
      </c>
      <c r="H3798" s="183">
        <f t="shared" ca="1" si="101"/>
        <v>-1.2296138997176182E-3</v>
      </c>
    </row>
    <row r="3799" spans="7:8">
      <c r="G3799" s="168">
        <v>3796</v>
      </c>
      <c r="H3799" s="183">
        <f t="shared" ca="1" si="101"/>
        <v>2.5649133041419327E-2</v>
      </c>
    </row>
    <row r="3800" spans="7:8">
      <c r="G3800" s="168">
        <v>3797</v>
      </c>
      <c r="H3800" s="183">
        <f t="shared" ca="1" si="101"/>
        <v>-2.9310382606549919E-3</v>
      </c>
    </row>
    <row r="3801" spans="7:8">
      <c r="G3801" s="168">
        <v>3798</v>
      </c>
      <c r="H3801" s="183">
        <f t="shared" ca="1" si="101"/>
        <v>-3.7818299591041308E-4</v>
      </c>
    </row>
    <row r="3802" spans="7:8">
      <c r="G3802" s="168">
        <v>3799</v>
      </c>
      <c r="H3802" s="183">
        <f t="shared" ca="1" si="101"/>
        <v>-2.3447394640618929E-2</v>
      </c>
    </row>
    <row r="3803" spans="7:8">
      <c r="G3803" s="168">
        <v>3800</v>
      </c>
      <c r="H3803" s="183">
        <f t="shared" ca="1" si="101"/>
        <v>1.9395508476296966E-2</v>
      </c>
    </row>
    <row r="3804" spans="7:8">
      <c r="G3804" s="168">
        <v>3801</v>
      </c>
      <c r="H3804" s="183">
        <f t="shared" ca="1" si="101"/>
        <v>1.1506183434761074E-2</v>
      </c>
    </row>
    <row r="3805" spans="7:8">
      <c r="G3805" s="168">
        <v>3802</v>
      </c>
      <c r="H3805" s="183">
        <f t="shared" ca="1" si="101"/>
        <v>1.5319644770331764E-2</v>
      </c>
    </row>
    <row r="3806" spans="7:8">
      <c r="G3806" s="168">
        <v>3803</v>
      </c>
      <c r="H3806" s="183">
        <f t="shared" ca="1" si="101"/>
        <v>5.0975277293161501E-3</v>
      </c>
    </row>
    <row r="3807" spans="7:8">
      <c r="G3807" s="168">
        <v>3804</v>
      </c>
      <c r="H3807" s="183">
        <f t="shared" ca="1" si="101"/>
        <v>-1.9316546491147533E-2</v>
      </c>
    </row>
    <row r="3808" spans="7:8">
      <c r="G3808" s="168">
        <v>3805</v>
      </c>
      <c r="H3808" s="183">
        <f t="shared" ca="1" si="101"/>
        <v>-1.5670650325773907E-3</v>
      </c>
    </row>
    <row r="3809" spans="7:8">
      <c r="G3809" s="168">
        <v>3806</v>
      </c>
      <c r="H3809" s="183">
        <f t="shared" ca="1" si="101"/>
        <v>1.4456165329303158E-2</v>
      </c>
    </row>
    <row r="3810" spans="7:8">
      <c r="G3810" s="168">
        <v>3807</v>
      </c>
      <c r="H3810" s="183">
        <f t="shared" ca="1" si="101"/>
        <v>-1.2365421095254205E-2</v>
      </c>
    </row>
    <row r="3811" spans="7:8">
      <c r="G3811" s="168">
        <v>3808</v>
      </c>
      <c r="H3811" s="183">
        <f t="shared" ca="1" si="101"/>
        <v>-9.3218507176060054E-3</v>
      </c>
    </row>
    <row r="3812" spans="7:8">
      <c r="G3812" s="168">
        <v>3809</v>
      </c>
      <c r="H3812" s="183">
        <f t="shared" ca="1" si="101"/>
        <v>2.1019594469536163E-2</v>
      </c>
    </row>
    <row r="3813" spans="7:8">
      <c r="G3813" s="168">
        <v>3810</v>
      </c>
      <c r="H3813" s="183">
        <f t="shared" ca="1" si="101"/>
        <v>2.5687646842535586E-4</v>
      </c>
    </row>
    <row r="3814" spans="7:8">
      <c r="G3814" s="168">
        <v>3811</v>
      </c>
      <c r="H3814" s="183">
        <f t="shared" ca="1" si="101"/>
        <v>1.0744656274111549E-2</v>
      </c>
    </row>
    <row r="3815" spans="7:8">
      <c r="G3815" s="168">
        <v>3812</v>
      </c>
      <c r="H3815" s="183">
        <f t="shared" ca="1" si="101"/>
        <v>3.3199791743507129E-3</v>
      </c>
    </row>
    <row r="3816" spans="7:8">
      <c r="G3816" s="168">
        <v>3813</v>
      </c>
      <c r="H3816" s="183">
        <f t="shared" ca="1" si="101"/>
        <v>-2.4052875358016469E-2</v>
      </c>
    </row>
    <row r="3817" spans="7:8">
      <c r="G3817" s="168">
        <v>3814</v>
      </c>
      <c r="H3817" s="183">
        <f t="shared" ca="1" si="101"/>
        <v>7.5453309208357525E-3</v>
      </c>
    </row>
    <row r="3818" spans="7:8">
      <c r="G3818" s="168">
        <v>3815</v>
      </c>
      <c r="H3818" s="183">
        <f t="shared" ca="1" si="101"/>
        <v>-3.5912362752205159E-3</v>
      </c>
    </row>
    <row r="3819" spans="7:8">
      <c r="G3819" s="168">
        <v>3816</v>
      </c>
      <c r="H3819" s="183">
        <f t="shared" ca="1" si="101"/>
        <v>-3.7149895015962768E-4</v>
      </c>
    </row>
    <row r="3820" spans="7:8">
      <c r="G3820" s="168">
        <v>3817</v>
      </c>
      <c r="H3820" s="183">
        <f t="shared" ca="1" si="101"/>
        <v>1.2149118404395136E-2</v>
      </c>
    </row>
    <row r="3821" spans="7:8">
      <c r="G3821" s="168">
        <v>3818</v>
      </c>
      <c r="H3821" s="183">
        <f t="shared" ca="1" si="101"/>
        <v>1.2044846626050369E-2</v>
      </c>
    </row>
    <row r="3822" spans="7:8">
      <c r="G3822" s="168">
        <v>3819</v>
      </c>
      <c r="H3822" s="183">
        <f t="shared" ca="1" si="101"/>
        <v>2.8668259227013274E-2</v>
      </c>
    </row>
    <row r="3823" spans="7:8">
      <c r="G3823" s="168">
        <v>3820</v>
      </c>
      <c r="H3823" s="183">
        <f t="shared" ca="1" si="101"/>
        <v>-7.6102073751777724E-3</v>
      </c>
    </row>
    <row r="3824" spans="7:8">
      <c r="G3824" s="168">
        <v>3821</v>
      </c>
      <c r="H3824" s="183">
        <f t="shared" ca="1" si="101"/>
        <v>-8.9161878557373585E-3</v>
      </c>
    </row>
    <row r="3825" spans="7:8">
      <c r="G3825" s="168">
        <v>3822</v>
      </c>
      <c r="H3825" s="183">
        <f t="shared" ca="1" si="101"/>
        <v>6.6581313608101555E-3</v>
      </c>
    </row>
    <row r="3826" spans="7:8">
      <c r="G3826" s="168">
        <v>3823</v>
      </c>
      <c r="H3826" s="183">
        <f t="shared" ca="1" si="101"/>
        <v>9.6745109003942148E-3</v>
      </c>
    </row>
    <row r="3827" spans="7:8">
      <c r="G3827" s="168">
        <v>3824</v>
      </c>
      <c r="H3827" s="183">
        <f t="shared" ca="1" si="101"/>
        <v>1.9106315775952731E-2</v>
      </c>
    </row>
    <row r="3828" spans="7:8">
      <c r="G3828" s="168">
        <v>3825</v>
      </c>
      <c r="H3828" s="183">
        <f t="shared" ca="1" si="101"/>
        <v>6.0296250342802143E-3</v>
      </c>
    </row>
    <row r="3829" spans="7:8">
      <c r="G3829" s="168">
        <v>3826</v>
      </c>
      <c r="H3829" s="183">
        <f t="shared" ca="1" si="101"/>
        <v>-1.9449694217284104E-3</v>
      </c>
    </row>
    <row r="3830" spans="7:8">
      <c r="G3830" s="168">
        <v>3827</v>
      </c>
      <c r="H3830" s="183">
        <f t="shared" ca="1" si="101"/>
        <v>-9.0441514782765124E-3</v>
      </c>
    </row>
    <row r="3831" spans="7:8">
      <c r="G3831" s="168">
        <v>3828</v>
      </c>
      <c r="H3831" s="183">
        <f t="shared" ca="1" si="101"/>
        <v>-5.3987433875873755E-3</v>
      </c>
    </row>
    <row r="3832" spans="7:8">
      <c r="G3832" s="168">
        <v>3829</v>
      </c>
      <c r="H3832" s="183">
        <f t="shared" ca="1" si="101"/>
        <v>4.906014795928379E-5</v>
      </c>
    </row>
    <row r="3833" spans="7:8">
      <c r="G3833" s="168">
        <v>3830</v>
      </c>
      <c r="H3833" s="183">
        <f t="shared" ca="1" si="101"/>
        <v>-1.2984990907361906E-2</v>
      </c>
    </row>
    <row r="3834" spans="7:8">
      <c r="G3834" s="168">
        <v>3831</v>
      </c>
      <c r="H3834" s="183">
        <f t="shared" ca="1" si="101"/>
        <v>2.2709792329534084E-2</v>
      </c>
    </row>
    <row r="3835" spans="7:8">
      <c r="G3835" s="168">
        <v>3832</v>
      </c>
      <c r="H3835" s="183">
        <f t="shared" ca="1" si="101"/>
        <v>4.307216802083339E-3</v>
      </c>
    </row>
    <row r="3836" spans="7:8">
      <c r="G3836" s="168">
        <v>3833</v>
      </c>
      <c r="H3836" s="183">
        <f t="shared" ca="1" si="101"/>
        <v>-1.5265798571119177E-2</v>
      </c>
    </row>
    <row r="3837" spans="7:8">
      <c r="G3837" s="168">
        <v>3834</v>
      </c>
      <c r="H3837" s="183">
        <f t="shared" ca="1" si="101"/>
        <v>1.004331081005975E-2</v>
      </c>
    </row>
    <row r="3838" spans="7:8">
      <c r="G3838" s="168">
        <v>3835</v>
      </c>
      <c r="H3838" s="183">
        <f t="shared" ca="1" si="101"/>
        <v>2.6031801129967648E-2</v>
      </c>
    </row>
    <row r="3839" spans="7:8">
      <c r="G3839" s="168">
        <v>3836</v>
      </c>
      <c r="H3839" s="183">
        <f t="shared" ca="1" si="101"/>
        <v>-1.4037050761227396E-2</v>
      </c>
    </row>
    <row r="3840" spans="7:8">
      <c r="G3840" s="168">
        <v>3837</v>
      </c>
      <c r="H3840" s="183">
        <f t="shared" ca="1" si="101"/>
        <v>1.2477916897515096E-2</v>
      </c>
    </row>
    <row r="3841" spans="7:8">
      <c r="G3841" s="168">
        <v>3838</v>
      </c>
      <c r="H3841" s="183">
        <f t="shared" ca="1" si="101"/>
        <v>1.1088499985103216E-2</v>
      </c>
    </row>
    <row r="3842" spans="7:8">
      <c r="G3842" s="168">
        <v>3839</v>
      </c>
      <c r="H3842" s="183">
        <f t="shared" ca="1" si="101"/>
        <v>7.9059850751368732E-3</v>
      </c>
    </row>
    <row r="3843" spans="7:8">
      <c r="G3843" s="168">
        <v>3840</v>
      </c>
      <c r="H3843" s="183">
        <f t="shared" ca="1" si="101"/>
        <v>2.7783542869599442E-2</v>
      </c>
    </row>
    <row r="3844" spans="7:8">
      <c r="G3844" s="168">
        <v>3841</v>
      </c>
      <c r="H3844" s="183">
        <f t="shared" ca="1" si="101"/>
        <v>2.9677190115280826E-2</v>
      </c>
    </row>
    <row r="3845" spans="7:8">
      <c r="G3845" s="168">
        <v>3842</v>
      </c>
      <c r="H3845" s="183">
        <f t="shared" ref="H3845:H3908" ca="1" si="102">_xlfn.NORM.INV(RAND(),N$6,N$7)</f>
        <v>1.9045595326889143E-2</v>
      </c>
    </row>
    <row r="3846" spans="7:8">
      <c r="G3846" s="168">
        <v>3843</v>
      </c>
      <c r="H3846" s="183">
        <f t="shared" ca="1" si="102"/>
        <v>5.1383440502823169E-3</v>
      </c>
    </row>
    <row r="3847" spans="7:8">
      <c r="G3847" s="168">
        <v>3844</v>
      </c>
      <c r="H3847" s="183">
        <f t="shared" ca="1" si="102"/>
        <v>1.0032034771861223E-2</v>
      </c>
    </row>
    <row r="3848" spans="7:8">
      <c r="G3848" s="168">
        <v>3845</v>
      </c>
      <c r="H3848" s="183">
        <f t="shared" ca="1" si="102"/>
        <v>-2.1023231589887493E-2</v>
      </c>
    </row>
    <row r="3849" spans="7:8">
      <c r="G3849" s="168">
        <v>3846</v>
      </c>
      <c r="H3849" s="183">
        <f t="shared" ca="1" si="102"/>
        <v>2.7321086631676948E-2</v>
      </c>
    </row>
    <row r="3850" spans="7:8">
      <c r="G3850" s="168">
        <v>3847</v>
      </c>
      <c r="H3850" s="183">
        <f t="shared" ca="1" si="102"/>
        <v>1.9037689839905638E-2</v>
      </c>
    </row>
    <row r="3851" spans="7:8">
      <c r="G3851" s="168">
        <v>3848</v>
      </c>
      <c r="H3851" s="183">
        <f t="shared" ca="1" si="102"/>
        <v>1.3239161394909923E-2</v>
      </c>
    </row>
    <row r="3852" spans="7:8">
      <c r="G3852" s="168">
        <v>3849</v>
      </c>
      <c r="H3852" s="183">
        <f t="shared" ca="1" si="102"/>
        <v>1.0803006342209487E-2</v>
      </c>
    </row>
    <row r="3853" spans="7:8">
      <c r="G3853" s="168">
        <v>3850</v>
      </c>
      <c r="H3853" s="183">
        <f t="shared" ca="1" si="102"/>
        <v>2.3962913094649325E-2</v>
      </c>
    </row>
    <row r="3854" spans="7:8">
      <c r="G3854" s="168">
        <v>3851</v>
      </c>
      <c r="H3854" s="183">
        <f t="shared" ca="1" si="102"/>
        <v>-5.3650194407276483E-3</v>
      </c>
    </row>
    <row r="3855" spans="7:8">
      <c r="G3855" s="168">
        <v>3852</v>
      </c>
      <c r="H3855" s="183">
        <f t="shared" ca="1" si="102"/>
        <v>1.495654730907196E-2</v>
      </c>
    </row>
    <row r="3856" spans="7:8">
      <c r="G3856" s="168">
        <v>3853</v>
      </c>
      <c r="H3856" s="183">
        <f t="shared" ca="1" si="102"/>
        <v>-1.9413877902181013E-2</v>
      </c>
    </row>
    <row r="3857" spans="7:8">
      <c r="G3857" s="168">
        <v>3854</v>
      </c>
      <c r="H3857" s="183">
        <f t="shared" ca="1" si="102"/>
        <v>6.333875182190943E-3</v>
      </c>
    </row>
    <row r="3858" spans="7:8">
      <c r="G3858" s="168">
        <v>3855</v>
      </c>
      <c r="H3858" s="183">
        <f t="shared" ca="1" si="102"/>
        <v>-5.4792343094167001E-4</v>
      </c>
    </row>
    <row r="3859" spans="7:8">
      <c r="G3859" s="168">
        <v>3856</v>
      </c>
      <c r="H3859" s="183">
        <f t="shared" ca="1" si="102"/>
        <v>9.6819791867881998E-3</v>
      </c>
    </row>
    <row r="3860" spans="7:8">
      <c r="G3860" s="168">
        <v>3857</v>
      </c>
      <c r="H3860" s="183">
        <f t="shared" ca="1" si="102"/>
        <v>-1.035502883724378E-2</v>
      </c>
    </row>
    <row r="3861" spans="7:8">
      <c r="G3861" s="168">
        <v>3858</v>
      </c>
      <c r="H3861" s="183">
        <f t="shared" ca="1" si="102"/>
        <v>6.3891660035461087E-3</v>
      </c>
    </row>
    <row r="3862" spans="7:8">
      <c r="G3862" s="168">
        <v>3859</v>
      </c>
      <c r="H3862" s="183">
        <f t="shared" ca="1" si="102"/>
        <v>-3.787154163208962E-3</v>
      </c>
    </row>
    <row r="3863" spans="7:8">
      <c r="G3863" s="168">
        <v>3860</v>
      </c>
      <c r="H3863" s="183">
        <f t="shared" ca="1" si="102"/>
        <v>2.8074736368048714E-3</v>
      </c>
    </row>
    <row r="3864" spans="7:8">
      <c r="G3864" s="168">
        <v>3861</v>
      </c>
      <c r="H3864" s="183">
        <f t="shared" ca="1" si="102"/>
        <v>-5.5646958963201558E-3</v>
      </c>
    </row>
    <row r="3865" spans="7:8">
      <c r="G3865" s="168">
        <v>3862</v>
      </c>
      <c r="H3865" s="183">
        <f t="shared" ca="1" si="102"/>
        <v>-1.1848799125459074E-2</v>
      </c>
    </row>
    <row r="3866" spans="7:8">
      <c r="G3866" s="168">
        <v>3863</v>
      </c>
      <c r="H3866" s="183">
        <f t="shared" ca="1" si="102"/>
        <v>-2.4209298446107447E-3</v>
      </c>
    </row>
    <row r="3867" spans="7:8">
      <c r="G3867" s="168">
        <v>3864</v>
      </c>
      <c r="H3867" s="183">
        <f t="shared" ca="1" si="102"/>
        <v>-8.9743999071501546E-3</v>
      </c>
    </row>
    <row r="3868" spans="7:8">
      <c r="G3868" s="168">
        <v>3865</v>
      </c>
      <c r="H3868" s="183">
        <f t="shared" ca="1" si="102"/>
        <v>-1.3722443528477284E-2</v>
      </c>
    </row>
    <row r="3869" spans="7:8">
      <c r="G3869" s="168">
        <v>3866</v>
      </c>
      <c r="H3869" s="183">
        <f t="shared" ca="1" si="102"/>
        <v>-9.8262312442593328E-3</v>
      </c>
    </row>
    <row r="3870" spans="7:8">
      <c r="G3870" s="168">
        <v>3867</v>
      </c>
      <c r="H3870" s="183">
        <f t="shared" ca="1" si="102"/>
        <v>1.9584987344944691E-3</v>
      </c>
    </row>
    <row r="3871" spans="7:8">
      <c r="G3871" s="168">
        <v>3868</v>
      </c>
      <c r="H3871" s="183">
        <f t="shared" ca="1" si="102"/>
        <v>-2.6166997332378785E-4</v>
      </c>
    </row>
    <row r="3872" spans="7:8">
      <c r="G3872" s="168">
        <v>3869</v>
      </c>
      <c r="H3872" s="183">
        <f t="shared" ca="1" si="102"/>
        <v>-3.9812793396977342E-3</v>
      </c>
    </row>
    <row r="3873" spans="7:8">
      <c r="G3873" s="168">
        <v>3870</v>
      </c>
      <c r="H3873" s="183">
        <f t="shared" ca="1" si="102"/>
        <v>-4.5647538257119055E-3</v>
      </c>
    </row>
    <row r="3874" spans="7:8">
      <c r="G3874" s="168">
        <v>3871</v>
      </c>
      <c r="H3874" s="183">
        <f t="shared" ca="1" si="102"/>
        <v>2.3238644404696474E-2</v>
      </c>
    </row>
    <row r="3875" spans="7:8">
      <c r="G3875" s="168">
        <v>3872</v>
      </c>
      <c r="H3875" s="183">
        <f t="shared" ca="1" si="102"/>
        <v>2.9117860778499535E-3</v>
      </c>
    </row>
    <row r="3876" spans="7:8">
      <c r="G3876" s="168">
        <v>3873</v>
      </c>
      <c r="H3876" s="183">
        <f t="shared" ca="1" si="102"/>
        <v>6.4644162544758152E-3</v>
      </c>
    </row>
    <row r="3877" spans="7:8">
      <c r="G3877" s="168">
        <v>3874</v>
      </c>
      <c r="H3877" s="183">
        <f t="shared" ca="1" si="102"/>
        <v>6.873452385403326E-3</v>
      </c>
    </row>
    <row r="3878" spans="7:8">
      <c r="G3878" s="168">
        <v>3875</v>
      </c>
      <c r="H3878" s="183">
        <f t="shared" ca="1" si="102"/>
        <v>1.0791008246263337E-3</v>
      </c>
    </row>
    <row r="3879" spans="7:8">
      <c r="G3879" s="168">
        <v>3876</v>
      </c>
      <c r="H3879" s="183">
        <f t="shared" ca="1" si="102"/>
        <v>-9.5332093446427735E-5</v>
      </c>
    </row>
    <row r="3880" spans="7:8">
      <c r="G3880" s="168">
        <v>3877</v>
      </c>
      <c r="H3880" s="183">
        <f t="shared" ca="1" si="102"/>
        <v>7.82820783281633E-3</v>
      </c>
    </row>
    <row r="3881" spans="7:8">
      <c r="G3881" s="168">
        <v>3878</v>
      </c>
      <c r="H3881" s="183">
        <f t="shared" ca="1" si="102"/>
        <v>1.6734170441148066E-2</v>
      </c>
    </row>
    <row r="3882" spans="7:8">
      <c r="G3882" s="168">
        <v>3879</v>
      </c>
      <c r="H3882" s="183">
        <f t="shared" ca="1" si="102"/>
        <v>2.0700416224581224E-2</v>
      </c>
    </row>
    <row r="3883" spans="7:8">
      <c r="G3883" s="168">
        <v>3880</v>
      </c>
      <c r="H3883" s="183">
        <f t="shared" ca="1" si="102"/>
        <v>8.1749160003489023E-3</v>
      </c>
    </row>
    <row r="3884" spans="7:8">
      <c r="G3884" s="168">
        <v>3881</v>
      </c>
      <c r="H3884" s="183">
        <f t="shared" ca="1" si="102"/>
        <v>5.6373310426338155E-3</v>
      </c>
    </row>
    <row r="3885" spans="7:8">
      <c r="G3885" s="168">
        <v>3882</v>
      </c>
      <c r="H3885" s="183">
        <f t="shared" ca="1" si="102"/>
        <v>9.0469669834092378E-3</v>
      </c>
    </row>
    <row r="3886" spans="7:8">
      <c r="G3886" s="168">
        <v>3883</v>
      </c>
      <c r="H3886" s="183">
        <f t="shared" ca="1" si="102"/>
        <v>-8.4502506715315173E-3</v>
      </c>
    </row>
    <row r="3887" spans="7:8">
      <c r="G3887" s="168">
        <v>3884</v>
      </c>
      <c r="H3887" s="183">
        <f t="shared" ca="1" si="102"/>
        <v>1.6785621996543362E-2</v>
      </c>
    </row>
    <row r="3888" spans="7:8">
      <c r="G3888" s="168">
        <v>3885</v>
      </c>
      <c r="H3888" s="183">
        <f t="shared" ca="1" si="102"/>
        <v>9.818769106505372E-4</v>
      </c>
    </row>
    <row r="3889" spans="7:8">
      <c r="G3889" s="168">
        <v>3886</v>
      </c>
      <c r="H3889" s="183">
        <f t="shared" ca="1" si="102"/>
        <v>3.8432815765906611E-3</v>
      </c>
    </row>
    <row r="3890" spans="7:8">
      <c r="G3890" s="168">
        <v>3887</v>
      </c>
      <c r="H3890" s="183">
        <f t="shared" ca="1" si="102"/>
        <v>6.8038632797957563E-3</v>
      </c>
    </row>
    <row r="3891" spans="7:8">
      <c r="G3891" s="168">
        <v>3888</v>
      </c>
      <c r="H3891" s="183">
        <f t="shared" ca="1" si="102"/>
        <v>2.3076833834770327E-3</v>
      </c>
    </row>
    <row r="3892" spans="7:8">
      <c r="G3892" s="168">
        <v>3889</v>
      </c>
      <c r="H3892" s="183">
        <f t="shared" ca="1" si="102"/>
        <v>-4.6546334855191518E-3</v>
      </c>
    </row>
    <row r="3893" spans="7:8">
      <c r="G3893" s="168">
        <v>3890</v>
      </c>
      <c r="H3893" s="183">
        <f t="shared" ca="1" si="102"/>
        <v>-1.6897825022613782E-3</v>
      </c>
    </row>
    <row r="3894" spans="7:8">
      <c r="G3894" s="168">
        <v>3891</v>
      </c>
      <c r="H3894" s="183">
        <f t="shared" ca="1" si="102"/>
        <v>1.2948123447479032E-2</v>
      </c>
    </row>
    <row r="3895" spans="7:8">
      <c r="G3895" s="168">
        <v>3892</v>
      </c>
      <c r="H3895" s="183">
        <f t="shared" ca="1" si="102"/>
        <v>-1.3396773426867202E-3</v>
      </c>
    </row>
    <row r="3896" spans="7:8">
      <c r="G3896" s="168">
        <v>3893</v>
      </c>
      <c r="H3896" s="183">
        <f t="shared" ca="1" si="102"/>
        <v>1.5469667568760457E-3</v>
      </c>
    </row>
    <row r="3897" spans="7:8">
      <c r="G3897" s="168">
        <v>3894</v>
      </c>
      <c r="H3897" s="183">
        <f t="shared" ca="1" si="102"/>
        <v>6.6937160734442808E-3</v>
      </c>
    </row>
    <row r="3898" spans="7:8">
      <c r="G3898" s="168">
        <v>3895</v>
      </c>
      <c r="H3898" s="183">
        <f t="shared" ca="1" si="102"/>
        <v>8.2541228312849324E-3</v>
      </c>
    </row>
    <row r="3899" spans="7:8">
      <c r="G3899" s="168">
        <v>3896</v>
      </c>
      <c r="H3899" s="183">
        <f t="shared" ca="1" si="102"/>
        <v>1.972576080268882E-2</v>
      </c>
    </row>
    <row r="3900" spans="7:8">
      <c r="G3900" s="168">
        <v>3897</v>
      </c>
      <c r="H3900" s="183">
        <f t="shared" ca="1" si="102"/>
        <v>2.7944100173696602E-2</v>
      </c>
    </row>
    <row r="3901" spans="7:8">
      <c r="G3901" s="168">
        <v>3898</v>
      </c>
      <c r="H3901" s="183">
        <f t="shared" ca="1" si="102"/>
        <v>-9.9420408009952138E-3</v>
      </c>
    </row>
    <row r="3902" spans="7:8">
      <c r="G3902" s="168">
        <v>3899</v>
      </c>
      <c r="H3902" s="183">
        <f t="shared" ca="1" si="102"/>
        <v>-7.1979388016281858E-3</v>
      </c>
    </row>
    <row r="3903" spans="7:8">
      <c r="G3903" s="168">
        <v>3900</v>
      </c>
      <c r="H3903" s="183">
        <f t="shared" ca="1" si="102"/>
        <v>6.100972230147125E-3</v>
      </c>
    </row>
    <row r="3904" spans="7:8">
      <c r="G3904" s="168">
        <v>3901</v>
      </c>
      <c r="H3904" s="183">
        <f t="shared" ca="1" si="102"/>
        <v>1.4915054400184032E-2</v>
      </c>
    </row>
    <row r="3905" spans="7:8">
      <c r="G3905" s="168">
        <v>3902</v>
      </c>
      <c r="H3905" s="183">
        <f t="shared" ca="1" si="102"/>
        <v>1.2655062409412932E-2</v>
      </c>
    </row>
    <row r="3906" spans="7:8">
      <c r="G3906" s="168">
        <v>3903</v>
      </c>
      <c r="H3906" s="183">
        <f t="shared" ca="1" si="102"/>
        <v>-1.5724844912667893E-3</v>
      </c>
    </row>
    <row r="3907" spans="7:8">
      <c r="G3907" s="168">
        <v>3904</v>
      </c>
      <c r="H3907" s="183">
        <f t="shared" ca="1" si="102"/>
        <v>1.5539602942754974E-2</v>
      </c>
    </row>
    <row r="3908" spans="7:8">
      <c r="G3908" s="168">
        <v>3905</v>
      </c>
      <c r="H3908" s="183">
        <f t="shared" ca="1" si="102"/>
        <v>3.2753731032070929E-3</v>
      </c>
    </row>
    <row r="3909" spans="7:8">
      <c r="G3909" s="168">
        <v>3906</v>
      </c>
      <c r="H3909" s="183">
        <f t="shared" ref="H3909:H3972" ca="1" si="103">_xlfn.NORM.INV(RAND(),N$6,N$7)</f>
        <v>4.0542575752500323E-2</v>
      </c>
    </row>
    <row r="3910" spans="7:8">
      <c r="G3910" s="168">
        <v>3907</v>
      </c>
      <c r="H3910" s="183">
        <f t="shared" ca="1" si="103"/>
        <v>-1.1953315365569928E-2</v>
      </c>
    </row>
    <row r="3911" spans="7:8">
      <c r="G3911" s="168">
        <v>3908</v>
      </c>
      <c r="H3911" s="183">
        <f t="shared" ca="1" si="103"/>
        <v>-9.9622788288842024E-3</v>
      </c>
    </row>
    <row r="3912" spans="7:8">
      <c r="G3912" s="168">
        <v>3909</v>
      </c>
      <c r="H3912" s="183">
        <f t="shared" ca="1" si="103"/>
        <v>1.2241248792687988E-2</v>
      </c>
    </row>
    <row r="3913" spans="7:8">
      <c r="G3913" s="168">
        <v>3910</v>
      </c>
      <c r="H3913" s="183">
        <f t="shared" ca="1" si="103"/>
        <v>6.2349561045577789E-4</v>
      </c>
    </row>
    <row r="3914" spans="7:8">
      <c r="G3914" s="168">
        <v>3911</v>
      </c>
      <c r="H3914" s="183">
        <f t="shared" ca="1" si="103"/>
        <v>9.314231009388562E-3</v>
      </c>
    </row>
    <row r="3915" spans="7:8">
      <c r="G3915" s="168">
        <v>3912</v>
      </c>
      <c r="H3915" s="183">
        <f t="shared" ca="1" si="103"/>
        <v>6.663376087953617E-4</v>
      </c>
    </row>
    <row r="3916" spans="7:8">
      <c r="G3916" s="168">
        <v>3913</v>
      </c>
      <c r="H3916" s="183">
        <f t="shared" ca="1" si="103"/>
        <v>1.1064485882555951E-2</v>
      </c>
    </row>
    <row r="3917" spans="7:8">
      <c r="G3917" s="168">
        <v>3914</v>
      </c>
      <c r="H3917" s="183">
        <f t="shared" ca="1" si="103"/>
        <v>1.2509431410627843E-3</v>
      </c>
    </row>
    <row r="3918" spans="7:8">
      <c r="G3918" s="168">
        <v>3915</v>
      </c>
      <c r="H3918" s="183">
        <f t="shared" ca="1" si="103"/>
        <v>5.9181437002932286E-3</v>
      </c>
    </row>
    <row r="3919" spans="7:8">
      <c r="G3919" s="168">
        <v>3916</v>
      </c>
      <c r="H3919" s="183">
        <f t="shared" ca="1" si="103"/>
        <v>1.3750473007634396E-2</v>
      </c>
    </row>
    <row r="3920" spans="7:8">
      <c r="G3920" s="168">
        <v>3917</v>
      </c>
      <c r="H3920" s="183">
        <f t="shared" ca="1" si="103"/>
        <v>3.0489355826254969E-3</v>
      </c>
    </row>
    <row r="3921" spans="7:8">
      <c r="G3921" s="168">
        <v>3918</v>
      </c>
      <c r="H3921" s="183">
        <f t="shared" ca="1" si="103"/>
        <v>-1.1094907489541828E-3</v>
      </c>
    </row>
    <row r="3922" spans="7:8">
      <c r="G3922" s="168">
        <v>3919</v>
      </c>
      <c r="H3922" s="183">
        <f t="shared" ca="1" si="103"/>
        <v>-9.8863573564219598E-3</v>
      </c>
    </row>
    <row r="3923" spans="7:8">
      <c r="G3923" s="168">
        <v>3920</v>
      </c>
      <c r="H3923" s="183">
        <f t="shared" ca="1" si="103"/>
        <v>4.0481879193838789E-3</v>
      </c>
    </row>
    <row r="3924" spans="7:8">
      <c r="G3924" s="168">
        <v>3921</v>
      </c>
      <c r="H3924" s="183">
        <f t="shared" ca="1" si="103"/>
        <v>8.2138954276036215E-3</v>
      </c>
    </row>
    <row r="3925" spans="7:8">
      <c r="G3925" s="168">
        <v>3922</v>
      </c>
      <c r="H3925" s="183">
        <f t="shared" ca="1" si="103"/>
        <v>-7.9126116603077772E-3</v>
      </c>
    </row>
    <row r="3926" spans="7:8">
      <c r="G3926" s="168">
        <v>3923</v>
      </c>
      <c r="H3926" s="183">
        <f t="shared" ca="1" si="103"/>
        <v>-1.8546365779946181E-3</v>
      </c>
    </row>
    <row r="3927" spans="7:8">
      <c r="G3927" s="168">
        <v>3924</v>
      </c>
      <c r="H3927" s="183">
        <f t="shared" ca="1" si="103"/>
        <v>-2.7839181031694043E-3</v>
      </c>
    </row>
    <row r="3928" spans="7:8">
      <c r="G3928" s="168">
        <v>3925</v>
      </c>
      <c r="H3928" s="183">
        <f t="shared" ca="1" si="103"/>
        <v>1.5486550766388076E-2</v>
      </c>
    </row>
    <row r="3929" spans="7:8">
      <c r="G3929" s="168">
        <v>3926</v>
      </c>
      <c r="H3929" s="183">
        <f t="shared" ca="1" si="103"/>
        <v>1.2419644530340071E-2</v>
      </c>
    </row>
    <row r="3930" spans="7:8">
      <c r="G3930" s="168">
        <v>3927</v>
      </c>
      <c r="H3930" s="183">
        <f t="shared" ca="1" si="103"/>
        <v>7.5960436735940011E-3</v>
      </c>
    </row>
    <row r="3931" spans="7:8">
      <c r="G3931" s="168">
        <v>3928</v>
      </c>
      <c r="H3931" s="183">
        <f t="shared" ca="1" si="103"/>
        <v>1.7226123010815206E-2</v>
      </c>
    </row>
    <row r="3932" spans="7:8">
      <c r="G3932" s="168">
        <v>3929</v>
      </c>
      <c r="H3932" s="183">
        <f t="shared" ca="1" si="103"/>
        <v>1.5650134592595556E-2</v>
      </c>
    </row>
    <row r="3933" spans="7:8">
      <c r="G3933" s="168">
        <v>3930</v>
      </c>
      <c r="H3933" s="183">
        <f t="shared" ca="1" si="103"/>
        <v>-2.7269820205469589E-2</v>
      </c>
    </row>
    <row r="3934" spans="7:8">
      <c r="G3934" s="168">
        <v>3931</v>
      </c>
      <c r="H3934" s="183">
        <f t="shared" ca="1" si="103"/>
        <v>-1.5455968924564991E-2</v>
      </c>
    </row>
    <row r="3935" spans="7:8">
      <c r="G3935" s="168">
        <v>3932</v>
      </c>
      <c r="H3935" s="183">
        <f t="shared" ca="1" si="103"/>
        <v>4.0340711542750901E-2</v>
      </c>
    </row>
    <row r="3936" spans="7:8">
      <c r="G3936" s="168">
        <v>3933</v>
      </c>
      <c r="H3936" s="183">
        <f t="shared" ca="1" si="103"/>
        <v>1.4722278679798247E-2</v>
      </c>
    </row>
    <row r="3937" spans="7:8">
      <c r="G3937" s="168">
        <v>3934</v>
      </c>
      <c r="H3937" s="183">
        <f t="shared" ca="1" si="103"/>
        <v>1.077569753940455E-2</v>
      </c>
    </row>
    <row r="3938" spans="7:8">
      <c r="G3938" s="168">
        <v>3935</v>
      </c>
      <c r="H3938" s="183">
        <f t="shared" ca="1" si="103"/>
        <v>8.6713088877731978E-5</v>
      </c>
    </row>
    <row r="3939" spans="7:8">
      <c r="G3939" s="168">
        <v>3936</v>
      </c>
      <c r="H3939" s="183">
        <f t="shared" ca="1" si="103"/>
        <v>1.6932864626256396E-2</v>
      </c>
    </row>
    <row r="3940" spans="7:8">
      <c r="G3940" s="168">
        <v>3937</v>
      </c>
      <c r="H3940" s="183">
        <f t="shared" ca="1" si="103"/>
        <v>1.8117965952719649E-2</v>
      </c>
    </row>
    <row r="3941" spans="7:8">
      <c r="G3941" s="168">
        <v>3938</v>
      </c>
      <c r="H3941" s="183">
        <f t="shared" ca="1" si="103"/>
        <v>9.693386417958319E-3</v>
      </c>
    </row>
    <row r="3942" spans="7:8">
      <c r="G3942" s="168">
        <v>3939</v>
      </c>
      <c r="H3942" s="183">
        <f t="shared" ca="1" si="103"/>
        <v>1.1198698908733096E-2</v>
      </c>
    </row>
    <row r="3943" spans="7:8">
      <c r="G3943" s="168">
        <v>3940</v>
      </c>
      <c r="H3943" s="183">
        <f t="shared" ca="1" si="103"/>
        <v>-1.0065588932994279E-2</v>
      </c>
    </row>
    <row r="3944" spans="7:8">
      <c r="G3944" s="168">
        <v>3941</v>
      </c>
      <c r="H3944" s="183">
        <f t="shared" ca="1" si="103"/>
        <v>9.1709035221699802E-3</v>
      </c>
    </row>
    <row r="3945" spans="7:8">
      <c r="G3945" s="168">
        <v>3942</v>
      </c>
      <c r="H3945" s="183">
        <f t="shared" ca="1" si="103"/>
        <v>1.142997638641962E-2</v>
      </c>
    </row>
    <row r="3946" spans="7:8">
      <c r="G3946" s="168">
        <v>3943</v>
      </c>
      <c r="H3946" s="183">
        <f t="shared" ca="1" si="103"/>
        <v>-1.439961807108402E-2</v>
      </c>
    </row>
    <row r="3947" spans="7:8">
      <c r="G3947" s="168">
        <v>3944</v>
      </c>
      <c r="H3947" s="183">
        <f t="shared" ca="1" si="103"/>
        <v>3.4048776083579319E-3</v>
      </c>
    </row>
    <row r="3948" spans="7:8">
      <c r="G3948" s="168">
        <v>3945</v>
      </c>
      <c r="H3948" s="183">
        <f t="shared" ca="1" si="103"/>
        <v>3.5402060322901707E-3</v>
      </c>
    </row>
    <row r="3949" spans="7:8">
      <c r="G3949" s="168">
        <v>3946</v>
      </c>
      <c r="H3949" s="183">
        <f t="shared" ca="1" si="103"/>
        <v>2.1684992414662475E-2</v>
      </c>
    </row>
    <row r="3950" spans="7:8">
      <c r="G3950" s="168">
        <v>3947</v>
      </c>
      <c r="H3950" s="183">
        <f t="shared" ca="1" si="103"/>
        <v>-4.7005186853292637E-3</v>
      </c>
    </row>
    <row r="3951" spans="7:8">
      <c r="G3951" s="168">
        <v>3948</v>
      </c>
      <c r="H3951" s="183">
        <f t="shared" ca="1" si="103"/>
        <v>-6.2669491764796763E-3</v>
      </c>
    </row>
    <row r="3952" spans="7:8">
      <c r="G3952" s="168">
        <v>3949</v>
      </c>
      <c r="H3952" s="183">
        <f t="shared" ca="1" si="103"/>
        <v>-1.7078902593921442E-3</v>
      </c>
    </row>
    <row r="3953" spans="7:8">
      <c r="G3953" s="168">
        <v>3950</v>
      </c>
      <c r="H3953" s="183">
        <f t="shared" ca="1" si="103"/>
        <v>-1.1974169602122966E-2</v>
      </c>
    </row>
    <row r="3954" spans="7:8">
      <c r="G3954" s="168">
        <v>3951</v>
      </c>
      <c r="H3954" s="183">
        <f t="shared" ca="1" si="103"/>
        <v>-1.7094603013521555E-2</v>
      </c>
    </row>
    <row r="3955" spans="7:8">
      <c r="G3955" s="168">
        <v>3952</v>
      </c>
      <c r="H3955" s="183">
        <f t="shared" ca="1" si="103"/>
        <v>-2.7534962053756031E-3</v>
      </c>
    </row>
    <row r="3956" spans="7:8">
      <c r="G3956" s="168">
        <v>3953</v>
      </c>
      <c r="H3956" s="183">
        <f t="shared" ca="1" si="103"/>
        <v>2.4172833623988632E-3</v>
      </c>
    </row>
    <row r="3957" spans="7:8">
      <c r="G3957" s="168">
        <v>3954</v>
      </c>
      <c r="H3957" s="183">
        <f t="shared" ca="1" si="103"/>
        <v>-1.2160506405008539E-2</v>
      </c>
    </row>
    <row r="3958" spans="7:8">
      <c r="G3958" s="168">
        <v>3955</v>
      </c>
      <c r="H3958" s="183">
        <f t="shared" ca="1" si="103"/>
        <v>1.4094299229762759E-3</v>
      </c>
    </row>
    <row r="3959" spans="7:8">
      <c r="G3959" s="168">
        <v>3956</v>
      </c>
      <c r="H3959" s="183">
        <f t="shared" ca="1" si="103"/>
        <v>1.381289695789378E-2</v>
      </c>
    </row>
    <row r="3960" spans="7:8">
      <c r="G3960" s="168">
        <v>3957</v>
      </c>
      <c r="H3960" s="183">
        <f t="shared" ca="1" si="103"/>
        <v>1.163214202810427E-2</v>
      </c>
    </row>
    <row r="3961" spans="7:8">
      <c r="G3961" s="168">
        <v>3958</v>
      </c>
      <c r="H3961" s="183">
        <f t="shared" ca="1" si="103"/>
        <v>5.7351393692155308E-3</v>
      </c>
    </row>
    <row r="3962" spans="7:8">
      <c r="G3962" s="168">
        <v>3959</v>
      </c>
      <c r="H3962" s="183">
        <f t="shared" ca="1" si="103"/>
        <v>-3.4160319179284875E-4</v>
      </c>
    </row>
    <row r="3963" spans="7:8">
      <c r="G3963" s="168">
        <v>3960</v>
      </c>
      <c r="H3963" s="183">
        <f t="shared" ca="1" si="103"/>
        <v>8.7582038815603837E-4</v>
      </c>
    </row>
    <row r="3964" spans="7:8">
      <c r="G3964" s="168">
        <v>3961</v>
      </c>
      <c r="H3964" s="183">
        <f t="shared" ca="1" si="103"/>
        <v>8.4442942588210737E-3</v>
      </c>
    </row>
    <row r="3965" spans="7:8">
      <c r="G3965" s="168">
        <v>3962</v>
      </c>
      <c r="H3965" s="183">
        <f t="shared" ca="1" si="103"/>
        <v>1.5505885419084826E-2</v>
      </c>
    </row>
    <row r="3966" spans="7:8">
      <c r="G3966" s="168">
        <v>3963</v>
      </c>
      <c r="H3966" s="183">
        <f t="shared" ca="1" si="103"/>
        <v>-1.4523048415556773E-4</v>
      </c>
    </row>
    <row r="3967" spans="7:8">
      <c r="G3967" s="168">
        <v>3964</v>
      </c>
      <c r="H3967" s="183">
        <f t="shared" ca="1" si="103"/>
        <v>-2.006385251556881E-2</v>
      </c>
    </row>
    <row r="3968" spans="7:8">
      <c r="G3968" s="168">
        <v>3965</v>
      </c>
      <c r="H3968" s="183">
        <f t="shared" ca="1" si="103"/>
        <v>-7.3695147237736796E-3</v>
      </c>
    </row>
    <row r="3969" spans="7:8">
      <c r="G3969" s="168">
        <v>3966</v>
      </c>
      <c r="H3969" s="183">
        <f t="shared" ca="1" si="103"/>
        <v>7.0458304062776533E-3</v>
      </c>
    </row>
    <row r="3970" spans="7:8">
      <c r="G3970" s="168">
        <v>3967</v>
      </c>
      <c r="H3970" s="183">
        <f t="shared" ca="1" si="103"/>
        <v>-7.5782844101562668E-3</v>
      </c>
    </row>
    <row r="3971" spans="7:8">
      <c r="G3971" s="168">
        <v>3968</v>
      </c>
      <c r="H3971" s="183">
        <f t="shared" ca="1" si="103"/>
        <v>1.7401917298897708E-2</v>
      </c>
    </row>
    <row r="3972" spans="7:8">
      <c r="G3972" s="168">
        <v>3969</v>
      </c>
      <c r="H3972" s="183">
        <f t="shared" ca="1" si="103"/>
        <v>5.3200841825469664E-3</v>
      </c>
    </row>
    <row r="3973" spans="7:8">
      <c r="G3973" s="168">
        <v>3970</v>
      </c>
      <c r="H3973" s="183">
        <f t="shared" ref="H3973:H4036" ca="1" si="104">_xlfn.NORM.INV(RAND(),N$6,N$7)</f>
        <v>-8.5543391771708242E-3</v>
      </c>
    </row>
    <row r="3974" spans="7:8">
      <c r="G3974" s="168">
        <v>3971</v>
      </c>
      <c r="H3974" s="183">
        <f t="shared" ca="1" si="104"/>
        <v>1.5507452371101568E-2</v>
      </c>
    </row>
    <row r="3975" spans="7:8">
      <c r="G3975" s="168">
        <v>3972</v>
      </c>
      <c r="H3975" s="183">
        <f t="shared" ca="1" si="104"/>
        <v>4.4238422861739637E-3</v>
      </c>
    </row>
    <row r="3976" spans="7:8">
      <c r="G3976" s="168">
        <v>3973</v>
      </c>
      <c r="H3976" s="183">
        <f t="shared" ca="1" si="104"/>
        <v>3.5183039644521547E-2</v>
      </c>
    </row>
    <row r="3977" spans="7:8">
      <c r="G3977" s="168">
        <v>3974</v>
      </c>
      <c r="H3977" s="183">
        <f t="shared" ca="1" si="104"/>
        <v>9.7120021241493167E-3</v>
      </c>
    </row>
    <row r="3978" spans="7:8">
      <c r="G3978" s="168">
        <v>3975</v>
      </c>
      <c r="H3978" s="183">
        <f t="shared" ca="1" si="104"/>
        <v>-9.4584521875106346E-3</v>
      </c>
    </row>
    <row r="3979" spans="7:8">
      <c r="G3979" s="168">
        <v>3976</v>
      </c>
      <c r="H3979" s="183">
        <f t="shared" ca="1" si="104"/>
        <v>1.332812912823075E-2</v>
      </c>
    </row>
    <row r="3980" spans="7:8">
      <c r="G3980" s="168">
        <v>3977</v>
      </c>
      <c r="H3980" s="183">
        <f t="shared" ca="1" si="104"/>
        <v>2.8181693884018762E-2</v>
      </c>
    </row>
    <row r="3981" spans="7:8">
      <c r="G3981" s="168">
        <v>3978</v>
      </c>
      <c r="H3981" s="183">
        <f t="shared" ca="1" si="104"/>
        <v>2.2898846614438584E-2</v>
      </c>
    </row>
    <row r="3982" spans="7:8">
      <c r="G3982" s="168">
        <v>3979</v>
      </c>
      <c r="H3982" s="183">
        <f t="shared" ca="1" si="104"/>
        <v>4.1940673473796989E-3</v>
      </c>
    </row>
    <row r="3983" spans="7:8">
      <c r="G3983" s="168">
        <v>3980</v>
      </c>
      <c r="H3983" s="183">
        <f t="shared" ca="1" si="104"/>
        <v>-1.5901719631036017E-2</v>
      </c>
    </row>
    <row r="3984" spans="7:8">
      <c r="G3984" s="168">
        <v>3981</v>
      </c>
      <c r="H3984" s="183">
        <f t="shared" ca="1" si="104"/>
        <v>-8.8621242950595452E-3</v>
      </c>
    </row>
    <row r="3985" spans="7:8">
      <c r="G3985" s="168">
        <v>3982</v>
      </c>
      <c r="H3985" s="183">
        <f t="shared" ca="1" si="104"/>
        <v>-4.8959865681294989E-3</v>
      </c>
    </row>
    <row r="3986" spans="7:8">
      <c r="G3986" s="168">
        <v>3983</v>
      </c>
      <c r="H3986" s="183">
        <f t="shared" ca="1" si="104"/>
        <v>-2.4886013377923002E-3</v>
      </c>
    </row>
    <row r="3987" spans="7:8">
      <c r="G3987" s="168">
        <v>3984</v>
      </c>
      <c r="H3987" s="183">
        <f t="shared" ca="1" si="104"/>
        <v>6.9248318826901304E-3</v>
      </c>
    </row>
    <row r="3988" spans="7:8">
      <c r="G3988" s="168">
        <v>3985</v>
      </c>
      <c r="H3988" s="183">
        <f t="shared" ca="1" si="104"/>
        <v>-5.9785790906556396E-3</v>
      </c>
    </row>
    <row r="3989" spans="7:8">
      <c r="G3989" s="168">
        <v>3986</v>
      </c>
      <c r="H3989" s="183">
        <f t="shared" ca="1" si="104"/>
        <v>-7.4136493297494452E-3</v>
      </c>
    </row>
    <row r="3990" spans="7:8">
      <c r="G3990" s="168">
        <v>3987</v>
      </c>
      <c r="H3990" s="183">
        <f t="shared" ca="1" si="104"/>
        <v>1.9476775286677941E-3</v>
      </c>
    </row>
    <row r="3991" spans="7:8">
      <c r="G3991" s="168">
        <v>3988</v>
      </c>
      <c r="H3991" s="183">
        <f t="shared" ca="1" si="104"/>
        <v>-4.8364680783443163E-3</v>
      </c>
    </row>
    <row r="3992" spans="7:8">
      <c r="G3992" s="168">
        <v>3989</v>
      </c>
      <c r="H3992" s="183">
        <f t="shared" ca="1" si="104"/>
        <v>2.5837771744830727E-3</v>
      </c>
    </row>
    <row r="3993" spans="7:8">
      <c r="G3993" s="168">
        <v>3990</v>
      </c>
      <c r="H3993" s="183">
        <f t="shared" ca="1" si="104"/>
        <v>-1.5910550513572815E-2</v>
      </c>
    </row>
    <row r="3994" spans="7:8">
      <c r="G3994" s="168">
        <v>3991</v>
      </c>
      <c r="H3994" s="183">
        <f t="shared" ca="1" si="104"/>
        <v>6.8370183440364558E-3</v>
      </c>
    </row>
    <row r="3995" spans="7:8">
      <c r="G3995" s="168">
        <v>3992</v>
      </c>
      <c r="H3995" s="183">
        <f t="shared" ca="1" si="104"/>
        <v>-1.0834719897395789E-2</v>
      </c>
    </row>
    <row r="3996" spans="7:8">
      <c r="G3996" s="168">
        <v>3993</v>
      </c>
      <c r="H3996" s="183">
        <f t="shared" ca="1" si="104"/>
        <v>-1.7049832922276402E-2</v>
      </c>
    </row>
    <row r="3997" spans="7:8">
      <c r="G3997" s="168">
        <v>3994</v>
      </c>
      <c r="H3997" s="183">
        <f t="shared" ca="1" si="104"/>
        <v>-3.0834330094829622E-3</v>
      </c>
    </row>
    <row r="3998" spans="7:8">
      <c r="G3998" s="168">
        <v>3995</v>
      </c>
      <c r="H3998" s="183">
        <f t="shared" ca="1" si="104"/>
        <v>-4.508127634781413E-3</v>
      </c>
    </row>
    <row r="3999" spans="7:8">
      <c r="G3999" s="168">
        <v>3996</v>
      </c>
      <c r="H3999" s="183">
        <f t="shared" ca="1" si="104"/>
        <v>2.450162349952054E-2</v>
      </c>
    </row>
    <row r="4000" spans="7:8">
      <c r="G4000" s="168">
        <v>3997</v>
      </c>
      <c r="H4000" s="183">
        <f t="shared" ca="1" si="104"/>
        <v>1.8231874841930671E-3</v>
      </c>
    </row>
    <row r="4001" spans="7:8">
      <c r="G4001" s="168">
        <v>3998</v>
      </c>
      <c r="H4001" s="183">
        <f t="shared" ca="1" si="104"/>
        <v>1.0352301559614144E-2</v>
      </c>
    </row>
    <row r="4002" spans="7:8">
      <c r="G4002" s="168">
        <v>3999</v>
      </c>
      <c r="H4002" s="183">
        <f t="shared" ca="1" si="104"/>
        <v>1.0432652580859746E-2</v>
      </c>
    </row>
    <row r="4003" spans="7:8">
      <c r="G4003" s="168">
        <v>4000</v>
      </c>
      <c r="H4003" s="183">
        <f t="shared" ca="1" si="104"/>
        <v>3.4764155817795361E-5</v>
      </c>
    </row>
    <row r="4004" spans="7:8">
      <c r="G4004" s="168">
        <v>4001</v>
      </c>
      <c r="H4004" s="183">
        <f t="shared" ca="1" si="104"/>
        <v>-1.0590717142937883E-2</v>
      </c>
    </row>
    <row r="4005" spans="7:8">
      <c r="G4005" s="168">
        <v>4002</v>
      </c>
      <c r="H4005" s="183">
        <f t="shared" ca="1" si="104"/>
        <v>2.9652900547012858E-3</v>
      </c>
    </row>
    <row r="4006" spans="7:8">
      <c r="G4006" s="168">
        <v>4003</v>
      </c>
      <c r="H4006" s="183">
        <f t="shared" ca="1" si="104"/>
        <v>-2.5944203385032351E-4</v>
      </c>
    </row>
    <row r="4007" spans="7:8">
      <c r="G4007" s="168">
        <v>4004</v>
      </c>
      <c r="H4007" s="183">
        <f t="shared" ca="1" si="104"/>
        <v>-9.8790134585745228E-4</v>
      </c>
    </row>
    <row r="4008" spans="7:8">
      <c r="G4008" s="168">
        <v>4005</v>
      </c>
      <c r="H4008" s="183">
        <f t="shared" ca="1" si="104"/>
        <v>7.1954301663109017E-3</v>
      </c>
    </row>
    <row r="4009" spans="7:8">
      <c r="G4009" s="168">
        <v>4006</v>
      </c>
      <c r="H4009" s="183">
        <f t="shared" ca="1" si="104"/>
        <v>1.1475901323399575E-2</v>
      </c>
    </row>
    <row r="4010" spans="7:8">
      <c r="G4010" s="168">
        <v>4007</v>
      </c>
      <c r="H4010" s="183">
        <f t="shared" ca="1" si="104"/>
        <v>1.7690735033849065E-2</v>
      </c>
    </row>
    <row r="4011" spans="7:8">
      <c r="G4011" s="168">
        <v>4008</v>
      </c>
      <c r="H4011" s="183">
        <f t="shared" ca="1" si="104"/>
        <v>1.1440601796658623E-2</v>
      </c>
    </row>
    <row r="4012" spans="7:8">
      <c r="G4012" s="168">
        <v>4009</v>
      </c>
      <c r="H4012" s="183">
        <f t="shared" ca="1" si="104"/>
        <v>1.3265585804178748E-2</v>
      </c>
    </row>
    <row r="4013" spans="7:8">
      <c r="G4013" s="168">
        <v>4010</v>
      </c>
      <c r="H4013" s="183">
        <f t="shared" ca="1" si="104"/>
        <v>-2.4469838863466695E-3</v>
      </c>
    </row>
    <row r="4014" spans="7:8">
      <c r="G4014" s="168">
        <v>4011</v>
      </c>
      <c r="H4014" s="183">
        <f t="shared" ca="1" si="104"/>
        <v>-3.9039574523772932E-3</v>
      </c>
    </row>
    <row r="4015" spans="7:8">
      <c r="G4015" s="168">
        <v>4012</v>
      </c>
      <c r="H4015" s="183">
        <f t="shared" ca="1" si="104"/>
        <v>1.2469784789784232E-2</v>
      </c>
    </row>
    <row r="4016" spans="7:8">
      <c r="G4016" s="168">
        <v>4013</v>
      </c>
      <c r="H4016" s="183">
        <f t="shared" ca="1" si="104"/>
        <v>-6.4812667850854258E-3</v>
      </c>
    </row>
    <row r="4017" spans="7:8">
      <c r="G4017" s="168">
        <v>4014</v>
      </c>
      <c r="H4017" s="183">
        <f t="shared" ca="1" si="104"/>
        <v>1.4515071255190026E-2</v>
      </c>
    </row>
    <row r="4018" spans="7:8">
      <c r="G4018" s="168">
        <v>4015</v>
      </c>
      <c r="H4018" s="183">
        <f t="shared" ca="1" si="104"/>
        <v>5.9165856428067196E-3</v>
      </c>
    </row>
    <row r="4019" spans="7:8">
      <c r="G4019" s="168">
        <v>4016</v>
      </c>
      <c r="H4019" s="183">
        <f t="shared" ca="1" si="104"/>
        <v>-7.9186579308560615E-3</v>
      </c>
    </row>
    <row r="4020" spans="7:8">
      <c r="G4020" s="168">
        <v>4017</v>
      </c>
      <c r="H4020" s="183">
        <f t="shared" ca="1" si="104"/>
        <v>-6.926424650673506E-3</v>
      </c>
    </row>
    <row r="4021" spans="7:8">
      <c r="G4021" s="168">
        <v>4018</v>
      </c>
      <c r="H4021" s="183">
        <f t="shared" ca="1" si="104"/>
        <v>4.8169843341880582E-3</v>
      </c>
    </row>
    <row r="4022" spans="7:8">
      <c r="G4022" s="168">
        <v>4019</v>
      </c>
      <c r="H4022" s="183">
        <f t="shared" ca="1" si="104"/>
        <v>3.8433792116331855E-2</v>
      </c>
    </row>
    <row r="4023" spans="7:8">
      <c r="G4023" s="168">
        <v>4020</v>
      </c>
      <c r="H4023" s="183">
        <f t="shared" ca="1" si="104"/>
        <v>1.7929281770252489E-2</v>
      </c>
    </row>
    <row r="4024" spans="7:8">
      <c r="G4024" s="168">
        <v>4021</v>
      </c>
      <c r="H4024" s="183">
        <f t="shared" ca="1" si="104"/>
        <v>8.8613444915593663E-3</v>
      </c>
    </row>
    <row r="4025" spans="7:8">
      <c r="G4025" s="168">
        <v>4022</v>
      </c>
      <c r="H4025" s="183">
        <f t="shared" ca="1" si="104"/>
        <v>2.5741395924372669E-2</v>
      </c>
    </row>
    <row r="4026" spans="7:8">
      <c r="G4026" s="168">
        <v>4023</v>
      </c>
      <c r="H4026" s="183">
        <f t="shared" ca="1" si="104"/>
        <v>1.6312269998223702E-2</v>
      </c>
    </row>
    <row r="4027" spans="7:8">
      <c r="G4027" s="168">
        <v>4024</v>
      </c>
      <c r="H4027" s="183">
        <f t="shared" ca="1" si="104"/>
        <v>1.9005124450516196E-2</v>
      </c>
    </row>
    <row r="4028" spans="7:8">
      <c r="G4028" s="168">
        <v>4025</v>
      </c>
      <c r="H4028" s="183">
        <f t="shared" ca="1" si="104"/>
        <v>1.2607198244064593E-3</v>
      </c>
    </row>
    <row r="4029" spans="7:8">
      <c r="G4029" s="168">
        <v>4026</v>
      </c>
      <c r="H4029" s="183">
        <f t="shared" ca="1" si="104"/>
        <v>-6.5428190149965032E-3</v>
      </c>
    </row>
    <row r="4030" spans="7:8">
      <c r="G4030" s="168">
        <v>4027</v>
      </c>
      <c r="H4030" s="183">
        <f t="shared" ca="1" si="104"/>
        <v>7.5126557817003625E-3</v>
      </c>
    </row>
    <row r="4031" spans="7:8">
      <c r="G4031" s="168">
        <v>4028</v>
      </c>
      <c r="H4031" s="183">
        <f t="shared" ca="1" si="104"/>
        <v>-7.1447154023977473E-3</v>
      </c>
    </row>
    <row r="4032" spans="7:8">
      <c r="G4032" s="168">
        <v>4029</v>
      </c>
      <c r="H4032" s="183">
        <f t="shared" ca="1" si="104"/>
        <v>-2.8942839381525139E-2</v>
      </c>
    </row>
    <row r="4033" spans="7:8">
      <c r="G4033" s="168">
        <v>4030</v>
      </c>
      <c r="H4033" s="183">
        <f t="shared" ca="1" si="104"/>
        <v>1.0291030290985437E-2</v>
      </c>
    </row>
    <row r="4034" spans="7:8">
      <c r="G4034" s="168">
        <v>4031</v>
      </c>
      <c r="H4034" s="183">
        <f t="shared" ca="1" si="104"/>
        <v>4.6436538338107862E-4</v>
      </c>
    </row>
    <row r="4035" spans="7:8">
      <c r="G4035" s="168">
        <v>4032</v>
      </c>
      <c r="H4035" s="183">
        <f t="shared" ca="1" si="104"/>
        <v>1.1054748832677659E-2</v>
      </c>
    </row>
    <row r="4036" spans="7:8">
      <c r="G4036" s="168">
        <v>4033</v>
      </c>
      <c r="H4036" s="183">
        <f t="shared" ca="1" si="104"/>
        <v>1.6057695831276139E-2</v>
      </c>
    </row>
    <row r="4037" spans="7:8">
      <c r="G4037" s="168">
        <v>4034</v>
      </c>
      <c r="H4037" s="183">
        <f t="shared" ref="H4037:H4100" ca="1" si="105">_xlfn.NORM.INV(RAND(),N$6,N$7)</f>
        <v>1.0001500385396222E-2</v>
      </c>
    </row>
    <row r="4038" spans="7:8">
      <c r="G4038" s="168">
        <v>4035</v>
      </c>
      <c r="H4038" s="183">
        <f t="shared" ca="1" si="105"/>
        <v>7.7955980514095692E-3</v>
      </c>
    </row>
    <row r="4039" spans="7:8">
      <c r="G4039" s="168">
        <v>4036</v>
      </c>
      <c r="H4039" s="183">
        <f t="shared" ca="1" si="105"/>
        <v>-6.773723270077592E-3</v>
      </c>
    </row>
    <row r="4040" spans="7:8">
      <c r="G4040" s="168">
        <v>4037</v>
      </c>
      <c r="H4040" s="183">
        <f t="shared" ca="1" si="105"/>
        <v>2.3788610554989206E-2</v>
      </c>
    </row>
    <row r="4041" spans="7:8">
      <c r="G4041" s="168">
        <v>4038</v>
      </c>
      <c r="H4041" s="183">
        <f t="shared" ca="1" si="105"/>
        <v>-9.1757801328561026E-3</v>
      </c>
    </row>
    <row r="4042" spans="7:8">
      <c r="G4042" s="168">
        <v>4039</v>
      </c>
      <c r="H4042" s="183">
        <f t="shared" ca="1" si="105"/>
        <v>-1.5699438722539566E-2</v>
      </c>
    </row>
    <row r="4043" spans="7:8">
      <c r="G4043" s="168">
        <v>4040</v>
      </c>
      <c r="H4043" s="183">
        <f t="shared" ca="1" si="105"/>
        <v>1.7233841611974783E-2</v>
      </c>
    </row>
    <row r="4044" spans="7:8">
      <c r="G4044" s="168">
        <v>4041</v>
      </c>
      <c r="H4044" s="183">
        <f t="shared" ca="1" si="105"/>
        <v>-8.0188405906895278E-3</v>
      </c>
    </row>
    <row r="4045" spans="7:8">
      <c r="G4045" s="168">
        <v>4042</v>
      </c>
      <c r="H4045" s="183">
        <f t="shared" ca="1" si="105"/>
        <v>1.8693618914826741E-2</v>
      </c>
    </row>
    <row r="4046" spans="7:8">
      <c r="G4046" s="168">
        <v>4043</v>
      </c>
      <c r="H4046" s="183">
        <f t="shared" ca="1" si="105"/>
        <v>2.1152583860039299E-2</v>
      </c>
    </row>
    <row r="4047" spans="7:8">
      <c r="G4047" s="168">
        <v>4044</v>
      </c>
      <c r="H4047" s="183">
        <f t="shared" ca="1" si="105"/>
        <v>1.7200577534238651E-2</v>
      </c>
    </row>
    <row r="4048" spans="7:8">
      <c r="G4048" s="168">
        <v>4045</v>
      </c>
      <c r="H4048" s="183">
        <f t="shared" ca="1" si="105"/>
        <v>1.3284414867575377E-2</v>
      </c>
    </row>
    <row r="4049" spans="7:8">
      <c r="G4049" s="168">
        <v>4046</v>
      </c>
      <c r="H4049" s="183">
        <f t="shared" ca="1" si="105"/>
        <v>7.722506955695113E-3</v>
      </c>
    </row>
    <row r="4050" spans="7:8">
      <c r="G4050" s="168">
        <v>4047</v>
      </c>
      <c r="H4050" s="183">
        <f t="shared" ca="1" si="105"/>
        <v>1.4079961918836967E-2</v>
      </c>
    </row>
    <row r="4051" spans="7:8">
      <c r="G4051" s="168">
        <v>4048</v>
      </c>
      <c r="H4051" s="183">
        <f t="shared" ca="1" si="105"/>
        <v>-5.0215408296013066E-3</v>
      </c>
    </row>
    <row r="4052" spans="7:8">
      <c r="G4052" s="168">
        <v>4049</v>
      </c>
      <c r="H4052" s="183">
        <f t="shared" ca="1" si="105"/>
        <v>4.8978497268416252E-3</v>
      </c>
    </row>
    <row r="4053" spans="7:8">
      <c r="G4053" s="168">
        <v>4050</v>
      </c>
      <c r="H4053" s="183">
        <f t="shared" ca="1" si="105"/>
        <v>3.2101674031522194E-3</v>
      </c>
    </row>
    <row r="4054" spans="7:8">
      <c r="G4054" s="168">
        <v>4051</v>
      </c>
      <c r="H4054" s="183">
        <f t="shared" ca="1" si="105"/>
        <v>1.3245561012457083E-2</v>
      </c>
    </row>
    <row r="4055" spans="7:8">
      <c r="G4055" s="168">
        <v>4052</v>
      </c>
      <c r="H4055" s="183">
        <f t="shared" ca="1" si="105"/>
        <v>-9.0163344735560806E-4</v>
      </c>
    </row>
    <row r="4056" spans="7:8">
      <c r="G4056" s="168">
        <v>4053</v>
      </c>
      <c r="H4056" s="183">
        <f t="shared" ca="1" si="105"/>
        <v>1.8905909518453865E-2</v>
      </c>
    </row>
    <row r="4057" spans="7:8">
      <c r="G4057" s="168">
        <v>4054</v>
      </c>
      <c r="H4057" s="183">
        <f t="shared" ca="1" si="105"/>
        <v>1.2953234510880558E-2</v>
      </c>
    </row>
    <row r="4058" spans="7:8">
      <c r="G4058" s="168">
        <v>4055</v>
      </c>
      <c r="H4058" s="183">
        <f t="shared" ca="1" si="105"/>
        <v>-2.1890288141980865E-3</v>
      </c>
    </row>
    <row r="4059" spans="7:8">
      <c r="G4059" s="168">
        <v>4056</v>
      </c>
      <c r="H4059" s="183">
        <f t="shared" ca="1" si="105"/>
        <v>3.0993143077818579E-3</v>
      </c>
    </row>
    <row r="4060" spans="7:8">
      <c r="G4060" s="168">
        <v>4057</v>
      </c>
      <c r="H4060" s="183">
        <f t="shared" ca="1" si="105"/>
        <v>-9.5026743598844755E-3</v>
      </c>
    </row>
    <row r="4061" spans="7:8">
      <c r="G4061" s="168">
        <v>4058</v>
      </c>
      <c r="H4061" s="183">
        <f t="shared" ca="1" si="105"/>
        <v>9.3507798397407527E-3</v>
      </c>
    </row>
    <row r="4062" spans="7:8">
      <c r="G4062" s="168">
        <v>4059</v>
      </c>
      <c r="H4062" s="183">
        <f t="shared" ca="1" si="105"/>
        <v>9.9495217958274415E-3</v>
      </c>
    </row>
    <row r="4063" spans="7:8">
      <c r="G4063" s="168">
        <v>4060</v>
      </c>
      <c r="H4063" s="183">
        <f t="shared" ca="1" si="105"/>
        <v>9.5778992630030715E-3</v>
      </c>
    </row>
    <row r="4064" spans="7:8">
      <c r="G4064" s="168">
        <v>4061</v>
      </c>
      <c r="H4064" s="183">
        <f t="shared" ca="1" si="105"/>
        <v>1.7985488092606857E-2</v>
      </c>
    </row>
    <row r="4065" spans="7:8">
      <c r="G4065" s="168">
        <v>4062</v>
      </c>
      <c r="H4065" s="183">
        <f t="shared" ca="1" si="105"/>
        <v>-7.3090623980624604E-3</v>
      </c>
    </row>
    <row r="4066" spans="7:8">
      <c r="G4066" s="168">
        <v>4063</v>
      </c>
      <c r="H4066" s="183">
        <f t="shared" ca="1" si="105"/>
        <v>1.0725402431214837E-2</v>
      </c>
    </row>
    <row r="4067" spans="7:8">
      <c r="G4067" s="168">
        <v>4064</v>
      </c>
      <c r="H4067" s="183">
        <f t="shared" ca="1" si="105"/>
        <v>1.0791833951150871E-2</v>
      </c>
    </row>
    <row r="4068" spans="7:8">
      <c r="G4068" s="168">
        <v>4065</v>
      </c>
      <c r="H4068" s="183">
        <f t="shared" ca="1" si="105"/>
        <v>6.5134847273014621E-3</v>
      </c>
    </row>
    <row r="4069" spans="7:8">
      <c r="G4069" s="168">
        <v>4066</v>
      </c>
      <c r="H4069" s="183">
        <f t="shared" ca="1" si="105"/>
        <v>7.6269041284724119E-3</v>
      </c>
    </row>
    <row r="4070" spans="7:8">
      <c r="G4070" s="168">
        <v>4067</v>
      </c>
      <c r="H4070" s="183">
        <f t="shared" ca="1" si="105"/>
        <v>1.4260565051921987E-2</v>
      </c>
    </row>
    <row r="4071" spans="7:8">
      <c r="G4071" s="168">
        <v>4068</v>
      </c>
      <c r="H4071" s="183">
        <f t="shared" ca="1" si="105"/>
        <v>-3.8733685120625437E-3</v>
      </c>
    </row>
    <row r="4072" spans="7:8">
      <c r="G4072" s="168">
        <v>4069</v>
      </c>
      <c r="H4072" s="183">
        <f t="shared" ca="1" si="105"/>
        <v>2.7836456103341779E-2</v>
      </c>
    </row>
    <row r="4073" spans="7:8">
      <c r="G4073" s="168">
        <v>4070</v>
      </c>
      <c r="H4073" s="183">
        <f t="shared" ca="1" si="105"/>
        <v>-2.2193308875641587E-3</v>
      </c>
    </row>
    <row r="4074" spans="7:8">
      <c r="G4074" s="168">
        <v>4071</v>
      </c>
      <c r="H4074" s="183">
        <f t="shared" ca="1" si="105"/>
        <v>-5.5369390554143626E-3</v>
      </c>
    </row>
    <row r="4075" spans="7:8">
      <c r="G4075" s="168">
        <v>4072</v>
      </c>
      <c r="H4075" s="183">
        <f t="shared" ca="1" si="105"/>
        <v>1.4383193355139039E-2</v>
      </c>
    </row>
    <row r="4076" spans="7:8">
      <c r="G4076" s="168">
        <v>4073</v>
      </c>
      <c r="H4076" s="183">
        <f t="shared" ca="1" si="105"/>
        <v>-6.9817281365451974E-3</v>
      </c>
    </row>
    <row r="4077" spans="7:8">
      <c r="G4077" s="168">
        <v>4074</v>
      </c>
      <c r="H4077" s="183">
        <f t="shared" ca="1" si="105"/>
        <v>1.915402126226191E-2</v>
      </c>
    </row>
    <row r="4078" spans="7:8">
      <c r="G4078" s="168">
        <v>4075</v>
      </c>
      <c r="H4078" s="183">
        <f t="shared" ca="1" si="105"/>
        <v>-1.5405531161970364E-3</v>
      </c>
    </row>
    <row r="4079" spans="7:8">
      <c r="G4079" s="168">
        <v>4076</v>
      </c>
      <c r="H4079" s="183">
        <f t="shared" ca="1" si="105"/>
        <v>1.7708427565926489E-2</v>
      </c>
    </row>
    <row r="4080" spans="7:8">
      <c r="G4080" s="168">
        <v>4077</v>
      </c>
      <c r="H4080" s="183">
        <f t="shared" ca="1" si="105"/>
        <v>-7.1257089594406924E-3</v>
      </c>
    </row>
    <row r="4081" spans="7:8">
      <c r="G4081" s="168">
        <v>4078</v>
      </c>
      <c r="H4081" s="183">
        <f t="shared" ca="1" si="105"/>
        <v>1.8516748409200703E-3</v>
      </c>
    </row>
    <row r="4082" spans="7:8">
      <c r="G4082" s="168">
        <v>4079</v>
      </c>
      <c r="H4082" s="183">
        <f t="shared" ca="1" si="105"/>
        <v>-4.0321100513411182E-3</v>
      </c>
    </row>
    <row r="4083" spans="7:8">
      <c r="G4083" s="168">
        <v>4080</v>
      </c>
      <c r="H4083" s="183">
        <f t="shared" ca="1" si="105"/>
        <v>1.1675299080912871E-3</v>
      </c>
    </row>
    <row r="4084" spans="7:8">
      <c r="G4084" s="168">
        <v>4081</v>
      </c>
      <c r="H4084" s="183">
        <f t="shared" ca="1" si="105"/>
        <v>4.503783177137303E-3</v>
      </c>
    </row>
    <row r="4085" spans="7:8">
      <c r="G4085" s="168">
        <v>4082</v>
      </c>
      <c r="H4085" s="183">
        <f t="shared" ca="1" si="105"/>
        <v>1.2672196010890421E-2</v>
      </c>
    </row>
    <row r="4086" spans="7:8">
      <c r="G4086" s="168">
        <v>4083</v>
      </c>
      <c r="H4086" s="183">
        <f t="shared" ca="1" si="105"/>
        <v>1.1755367994821197E-2</v>
      </c>
    </row>
    <row r="4087" spans="7:8">
      <c r="G4087" s="168">
        <v>4084</v>
      </c>
      <c r="H4087" s="183">
        <f t="shared" ca="1" si="105"/>
        <v>-2.5776045775742253E-3</v>
      </c>
    </row>
    <row r="4088" spans="7:8">
      <c r="G4088" s="168">
        <v>4085</v>
      </c>
      <c r="H4088" s="183">
        <f t="shared" ca="1" si="105"/>
        <v>-1.075980310660022E-2</v>
      </c>
    </row>
    <row r="4089" spans="7:8">
      <c r="G4089" s="168">
        <v>4086</v>
      </c>
      <c r="H4089" s="183">
        <f t="shared" ca="1" si="105"/>
        <v>-1.6496773089715852E-2</v>
      </c>
    </row>
    <row r="4090" spans="7:8">
      <c r="G4090" s="168">
        <v>4087</v>
      </c>
      <c r="H4090" s="183">
        <f t="shared" ca="1" si="105"/>
        <v>4.9243980693951415E-3</v>
      </c>
    </row>
    <row r="4091" spans="7:8">
      <c r="G4091" s="168">
        <v>4088</v>
      </c>
      <c r="H4091" s="183">
        <f t="shared" ca="1" si="105"/>
        <v>-9.225878891070502E-3</v>
      </c>
    </row>
    <row r="4092" spans="7:8">
      <c r="G4092" s="168">
        <v>4089</v>
      </c>
      <c r="H4092" s="183">
        <f t="shared" ca="1" si="105"/>
        <v>4.2211434598477555E-3</v>
      </c>
    </row>
    <row r="4093" spans="7:8">
      <c r="G4093" s="168">
        <v>4090</v>
      </c>
      <c r="H4093" s="183">
        <f t="shared" ca="1" si="105"/>
        <v>-1.7594405437051895E-2</v>
      </c>
    </row>
    <row r="4094" spans="7:8">
      <c r="G4094" s="168">
        <v>4091</v>
      </c>
      <c r="H4094" s="183">
        <f t="shared" ca="1" si="105"/>
        <v>9.7456321960393624E-3</v>
      </c>
    </row>
    <row r="4095" spans="7:8">
      <c r="G4095" s="168">
        <v>4092</v>
      </c>
      <c r="H4095" s="183">
        <f t="shared" ca="1" si="105"/>
        <v>1.1242090159312839E-2</v>
      </c>
    </row>
    <row r="4096" spans="7:8">
      <c r="G4096" s="168">
        <v>4093</v>
      </c>
      <c r="H4096" s="183">
        <f t="shared" ca="1" si="105"/>
        <v>-1.3558851857057321E-2</v>
      </c>
    </row>
    <row r="4097" spans="7:8">
      <c r="G4097" s="168">
        <v>4094</v>
      </c>
      <c r="H4097" s="183">
        <f t="shared" ca="1" si="105"/>
        <v>1.034866445507902E-2</v>
      </c>
    </row>
    <row r="4098" spans="7:8">
      <c r="G4098" s="168">
        <v>4095</v>
      </c>
      <c r="H4098" s="183">
        <f t="shared" ca="1" si="105"/>
        <v>-2.0862262599714593E-3</v>
      </c>
    </row>
    <row r="4099" spans="7:8">
      <c r="G4099" s="168">
        <v>4096</v>
      </c>
      <c r="H4099" s="183">
        <f t="shared" ca="1" si="105"/>
        <v>1.4510773729454234E-2</v>
      </c>
    </row>
    <row r="4100" spans="7:8">
      <c r="G4100" s="168">
        <v>4097</v>
      </c>
      <c r="H4100" s="183">
        <f t="shared" ca="1" si="105"/>
        <v>7.1844014043883049E-3</v>
      </c>
    </row>
    <row r="4101" spans="7:8">
      <c r="G4101" s="168">
        <v>4098</v>
      </c>
      <c r="H4101" s="183">
        <f t="shared" ref="H4101:H4164" ca="1" si="106">_xlfn.NORM.INV(RAND(),N$6,N$7)</f>
        <v>3.6351204672174773E-3</v>
      </c>
    </row>
    <row r="4102" spans="7:8">
      <c r="G4102" s="168">
        <v>4099</v>
      </c>
      <c r="H4102" s="183">
        <f t="shared" ca="1" si="106"/>
        <v>1.8800610609005227E-2</v>
      </c>
    </row>
    <row r="4103" spans="7:8">
      <c r="G4103" s="168">
        <v>4100</v>
      </c>
      <c r="H4103" s="183">
        <f t="shared" ca="1" si="106"/>
        <v>3.1487454552734232E-3</v>
      </c>
    </row>
    <row r="4104" spans="7:8">
      <c r="G4104" s="168">
        <v>4101</v>
      </c>
      <c r="H4104" s="183">
        <f t="shared" ca="1" si="106"/>
        <v>1.0024374488948065E-2</v>
      </c>
    </row>
    <row r="4105" spans="7:8">
      <c r="G4105" s="168">
        <v>4102</v>
      </c>
      <c r="H4105" s="183">
        <f t="shared" ca="1" si="106"/>
        <v>3.7890956310728582E-4</v>
      </c>
    </row>
    <row r="4106" spans="7:8">
      <c r="G4106" s="168">
        <v>4103</v>
      </c>
      <c r="H4106" s="183">
        <f t="shared" ca="1" si="106"/>
        <v>-3.3633573930655219E-3</v>
      </c>
    </row>
    <row r="4107" spans="7:8">
      <c r="G4107" s="168">
        <v>4104</v>
      </c>
      <c r="H4107" s="183">
        <f t="shared" ca="1" si="106"/>
        <v>-2.0925109297765049E-2</v>
      </c>
    </row>
    <row r="4108" spans="7:8">
      <c r="G4108" s="168">
        <v>4105</v>
      </c>
      <c r="H4108" s="183">
        <f t="shared" ca="1" si="106"/>
        <v>-1.6693771595946854E-2</v>
      </c>
    </row>
    <row r="4109" spans="7:8">
      <c r="G4109" s="168">
        <v>4106</v>
      </c>
      <c r="H4109" s="183">
        <f t="shared" ca="1" si="106"/>
        <v>-9.6182874584839033E-3</v>
      </c>
    </row>
    <row r="4110" spans="7:8">
      <c r="G4110" s="168">
        <v>4107</v>
      </c>
      <c r="H4110" s="183">
        <f t="shared" ca="1" si="106"/>
        <v>1.0960238729097974E-2</v>
      </c>
    </row>
    <row r="4111" spans="7:8">
      <c r="G4111" s="168">
        <v>4108</v>
      </c>
      <c r="H4111" s="183">
        <f t="shared" ca="1" si="106"/>
        <v>-9.6124867861075332E-3</v>
      </c>
    </row>
    <row r="4112" spans="7:8">
      <c r="G4112" s="168">
        <v>4109</v>
      </c>
      <c r="H4112" s="183">
        <f t="shared" ca="1" si="106"/>
        <v>1.6585905943675722E-3</v>
      </c>
    </row>
    <row r="4113" spans="7:8">
      <c r="G4113" s="168">
        <v>4110</v>
      </c>
      <c r="H4113" s="183">
        <f t="shared" ca="1" si="106"/>
        <v>-1.9426884161282427E-3</v>
      </c>
    </row>
    <row r="4114" spans="7:8">
      <c r="G4114" s="168">
        <v>4111</v>
      </c>
      <c r="H4114" s="183">
        <f t="shared" ca="1" si="106"/>
        <v>1.8697592789384664E-5</v>
      </c>
    </row>
    <row r="4115" spans="7:8">
      <c r="G4115" s="168">
        <v>4112</v>
      </c>
      <c r="H4115" s="183">
        <f t="shared" ca="1" si="106"/>
        <v>6.944694786399485E-3</v>
      </c>
    </row>
    <row r="4116" spans="7:8">
      <c r="G4116" s="168">
        <v>4113</v>
      </c>
      <c r="H4116" s="183">
        <f t="shared" ca="1" si="106"/>
        <v>2.8593232357663638E-2</v>
      </c>
    </row>
    <row r="4117" spans="7:8">
      <c r="G4117" s="168">
        <v>4114</v>
      </c>
      <c r="H4117" s="183">
        <f t="shared" ca="1" si="106"/>
        <v>8.3655730135115507E-3</v>
      </c>
    </row>
    <row r="4118" spans="7:8">
      <c r="G4118" s="168">
        <v>4115</v>
      </c>
      <c r="H4118" s="183">
        <f t="shared" ca="1" si="106"/>
        <v>7.0586219069641767E-3</v>
      </c>
    </row>
    <row r="4119" spans="7:8">
      <c r="G4119" s="168">
        <v>4116</v>
      </c>
      <c r="H4119" s="183">
        <f t="shared" ca="1" si="106"/>
        <v>2.6697454141626268E-3</v>
      </c>
    </row>
    <row r="4120" spans="7:8">
      <c r="G4120" s="168">
        <v>4117</v>
      </c>
      <c r="H4120" s="183">
        <f t="shared" ca="1" si="106"/>
        <v>-3.1337997569259174E-3</v>
      </c>
    </row>
    <row r="4121" spans="7:8">
      <c r="G4121" s="168">
        <v>4118</v>
      </c>
      <c r="H4121" s="183">
        <f t="shared" ca="1" si="106"/>
        <v>3.6764113970720702E-3</v>
      </c>
    </row>
    <row r="4122" spans="7:8">
      <c r="G4122" s="168">
        <v>4119</v>
      </c>
      <c r="H4122" s="183">
        <f t="shared" ca="1" si="106"/>
        <v>-1.0252013306630354E-2</v>
      </c>
    </row>
    <row r="4123" spans="7:8">
      <c r="G4123" s="168">
        <v>4120</v>
      </c>
      <c r="H4123" s="183">
        <f t="shared" ca="1" si="106"/>
        <v>-4.8915397974055612E-3</v>
      </c>
    </row>
    <row r="4124" spans="7:8">
      <c r="G4124" s="168">
        <v>4121</v>
      </c>
      <c r="H4124" s="183">
        <f t="shared" ca="1" si="106"/>
        <v>4.700318309677683E-3</v>
      </c>
    </row>
    <row r="4125" spans="7:8">
      <c r="G4125" s="168">
        <v>4122</v>
      </c>
      <c r="H4125" s="183">
        <f t="shared" ca="1" si="106"/>
        <v>-4.849946744167939E-3</v>
      </c>
    </row>
    <row r="4126" spans="7:8">
      <c r="G4126" s="168">
        <v>4123</v>
      </c>
      <c r="H4126" s="183">
        <f t="shared" ca="1" si="106"/>
        <v>1.4410267955725333E-2</v>
      </c>
    </row>
    <row r="4127" spans="7:8">
      <c r="G4127" s="168">
        <v>4124</v>
      </c>
      <c r="H4127" s="183">
        <f t="shared" ca="1" si="106"/>
        <v>6.6001840299365405E-3</v>
      </c>
    </row>
    <row r="4128" spans="7:8">
      <c r="G4128" s="168">
        <v>4125</v>
      </c>
      <c r="H4128" s="183">
        <f t="shared" ca="1" si="106"/>
        <v>-1.0543911548733437E-2</v>
      </c>
    </row>
    <row r="4129" spans="7:8">
      <c r="G4129" s="168">
        <v>4126</v>
      </c>
      <c r="H4129" s="183">
        <f t="shared" ca="1" si="106"/>
        <v>-5.8516549620766358E-3</v>
      </c>
    </row>
    <row r="4130" spans="7:8">
      <c r="G4130" s="168">
        <v>4127</v>
      </c>
      <c r="H4130" s="183">
        <f t="shared" ca="1" si="106"/>
        <v>1.5638920926785906E-2</v>
      </c>
    </row>
    <row r="4131" spans="7:8">
      <c r="G4131" s="168">
        <v>4128</v>
      </c>
      <c r="H4131" s="183">
        <f t="shared" ca="1" si="106"/>
        <v>1.8945396175698456E-2</v>
      </c>
    </row>
    <row r="4132" spans="7:8">
      <c r="G4132" s="168">
        <v>4129</v>
      </c>
      <c r="H4132" s="183">
        <f t="shared" ca="1" si="106"/>
        <v>5.4617967022698825E-3</v>
      </c>
    </row>
    <row r="4133" spans="7:8">
      <c r="G4133" s="168">
        <v>4130</v>
      </c>
      <c r="H4133" s="183">
        <f t="shared" ca="1" si="106"/>
        <v>-1.3106103278343429E-2</v>
      </c>
    </row>
    <row r="4134" spans="7:8">
      <c r="G4134" s="168">
        <v>4131</v>
      </c>
      <c r="H4134" s="183">
        <f t="shared" ca="1" si="106"/>
        <v>3.3609434861998563E-3</v>
      </c>
    </row>
    <row r="4135" spans="7:8">
      <c r="G4135" s="168">
        <v>4132</v>
      </c>
      <c r="H4135" s="183">
        <f t="shared" ca="1" si="106"/>
        <v>2.6764167694700341E-2</v>
      </c>
    </row>
    <row r="4136" spans="7:8">
      <c r="G4136" s="168">
        <v>4133</v>
      </c>
      <c r="H4136" s="183">
        <f t="shared" ca="1" si="106"/>
        <v>-6.4207278306922131E-3</v>
      </c>
    </row>
    <row r="4137" spans="7:8">
      <c r="G4137" s="168">
        <v>4134</v>
      </c>
      <c r="H4137" s="183">
        <f t="shared" ca="1" si="106"/>
        <v>-5.957068290308812E-3</v>
      </c>
    </row>
    <row r="4138" spans="7:8">
      <c r="G4138" s="168">
        <v>4135</v>
      </c>
      <c r="H4138" s="183">
        <f t="shared" ca="1" si="106"/>
        <v>9.6712731543623486E-3</v>
      </c>
    </row>
    <row r="4139" spans="7:8">
      <c r="G4139" s="168">
        <v>4136</v>
      </c>
      <c r="H4139" s="183">
        <f t="shared" ca="1" si="106"/>
        <v>-7.9398298298742516E-3</v>
      </c>
    </row>
    <row r="4140" spans="7:8">
      <c r="G4140" s="168">
        <v>4137</v>
      </c>
      <c r="H4140" s="183">
        <f t="shared" ca="1" si="106"/>
        <v>-1.7288306825245677E-2</v>
      </c>
    </row>
    <row r="4141" spans="7:8">
      <c r="G4141" s="168">
        <v>4138</v>
      </c>
      <c r="H4141" s="183">
        <f t="shared" ca="1" si="106"/>
        <v>8.6577173533302128E-3</v>
      </c>
    </row>
    <row r="4142" spans="7:8">
      <c r="G4142" s="168">
        <v>4139</v>
      </c>
      <c r="H4142" s="183">
        <f t="shared" ca="1" si="106"/>
        <v>-5.2317163389502862E-3</v>
      </c>
    </row>
    <row r="4143" spans="7:8">
      <c r="G4143" s="168">
        <v>4140</v>
      </c>
      <c r="H4143" s="183">
        <f t="shared" ca="1" si="106"/>
        <v>1.2777340422261627E-2</v>
      </c>
    </row>
    <row r="4144" spans="7:8">
      <c r="G4144" s="168">
        <v>4141</v>
      </c>
      <c r="H4144" s="183">
        <f t="shared" ca="1" si="106"/>
        <v>1.2089146947914173E-2</v>
      </c>
    </row>
    <row r="4145" spans="7:8">
      <c r="G4145" s="168">
        <v>4142</v>
      </c>
      <c r="H4145" s="183">
        <f t="shared" ca="1" si="106"/>
        <v>3.1198557351815952E-3</v>
      </c>
    </row>
    <row r="4146" spans="7:8">
      <c r="G4146" s="168">
        <v>4143</v>
      </c>
      <c r="H4146" s="183">
        <f t="shared" ca="1" si="106"/>
        <v>-8.4963994235425395E-3</v>
      </c>
    </row>
    <row r="4147" spans="7:8">
      <c r="G4147" s="168">
        <v>4144</v>
      </c>
      <c r="H4147" s="183">
        <f t="shared" ca="1" si="106"/>
        <v>1.730817416646438E-2</v>
      </c>
    </row>
    <row r="4148" spans="7:8">
      <c r="G4148" s="168">
        <v>4145</v>
      </c>
      <c r="H4148" s="183">
        <f t="shared" ca="1" si="106"/>
        <v>1.0337315324594708E-2</v>
      </c>
    </row>
    <row r="4149" spans="7:8">
      <c r="G4149" s="168">
        <v>4146</v>
      </c>
      <c r="H4149" s="183">
        <f t="shared" ca="1" si="106"/>
        <v>-3.2937973227927303E-3</v>
      </c>
    </row>
    <row r="4150" spans="7:8">
      <c r="G4150" s="168">
        <v>4147</v>
      </c>
      <c r="H4150" s="183">
        <f t="shared" ca="1" si="106"/>
        <v>1.4351968935983814E-2</v>
      </c>
    </row>
    <row r="4151" spans="7:8">
      <c r="G4151" s="168">
        <v>4148</v>
      </c>
      <c r="H4151" s="183">
        <f t="shared" ca="1" si="106"/>
        <v>1.9406798158862822E-2</v>
      </c>
    </row>
    <row r="4152" spans="7:8">
      <c r="G4152" s="168">
        <v>4149</v>
      </c>
      <c r="H4152" s="183">
        <f t="shared" ca="1" si="106"/>
        <v>2.1905647318752764E-2</v>
      </c>
    </row>
    <row r="4153" spans="7:8">
      <c r="G4153" s="168">
        <v>4150</v>
      </c>
      <c r="H4153" s="183">
        <f t="shared" ca="1" si="106"/>
        <v>-2.8490161990669715E-3</v>
      </c>
    </row>
    <row r="4154" spans="7:8">
      <c r="G4154" s="168">
        <v>4151</v>
      </c>
      <c r="H4154" s="183">
        <f t="shared" ca="1" si="106"/>
        <v>-2.0517394538464078E-3</v>
      </c>
    </row>
    <row r="4155" spans="7:8">
      <c r="G4155" s="168">
        <v>4152</v>
      </c>
      <c r="H4155" s="183">
        <f t="shared" ca="1" si="106"/>
        <v>-1.9028557400549907E-2</v>
      </c>
    </row>
    <row r="4156" spans="7:8">
      <c r="G4156" s="168">
        <v>4153</v>
      </c>
      <c r="H4156" s="183">
        <f t="shared" ca="1" si="106"/>
        <v>3.7785072428603406E-2</v>
      </c>
    </row>
    <row r="4157" spans="7:8">
      <c r="G4157" s="168">
        <v>4154</v>
      </c>
      <c r="H4157" s="183">
        <f t="shared" ca="1" si="106"/>
        <v>-2.4156912003501865E-2</v>
      </c>
    </row>
    <row r="4158" spans="7:8">
      <c r="G4158" s="168">
        <v>4155</v>
      </c>
      <c r="H4158" s="183">
        <f t="shared" ca="1" si="106"/>
        <v>4.7386887484417377E-2</v>
      </c>
    </row>
    <row r="4159" spans="7:8">
      <c r="G4159" s="168">
        <v>4156</v>
      </c>
      <c r="H4159" s="183">
        <f t="shared" ca="1" si="106"/>
        <v>1.7203508359426269E-2</v>
      </c>
    </row>
    <row r="4160" spans="7:8">
      <c r="G4160" s="168">
        <v>4157</v>
      </c>
      <c r="H4160" s="183">
        <f t="shared" ca="1" si="106"/>
        <v>5.4781802909938618E-3</v>
      </c>
    </row>
    <row r="4161" spans="7:8">
      <c r="G4161" s="168">
        <v>4158</v>
      </c>
      <c r="H4161" s="183">
        <f t="shared" ca="1" si="106"/>
        <v>4.045115686505161E-3</v>
      </c>
    </row>
    <row r="4162" spans="7:8">
      <c r="G4162" s="168">
        <v>4159</v>
      </c>
      <c r="H4162" s="183">
        <f t="shared" ca="1" si="106"/>
        <v>-1.6241999665230541E-2</v>
      </c>
    </row>
    <row r="4163" spans="7:8">
      <c r="G4163" s="168">
        <v>4160</v>
      </c>
      <c r="H4163" s="183">
        <f t="shared" ca="1" si="106"/>
        <v>-5.1018162081916075E-3</v>
      </c>
    </row>
    <row r="4164" spans="7:8">
      <c r="G4164" s="168">
        <v>4161</v>
      </c>
      <c r="H4164" s="183">
        <f t="shared" ca="1" si="106"/>
        <v>1.0552085951643568E-3</v>
      </c>
    </row>
    <row r="4165" spans="7:8">
      <c r="G4165" s="168">
        <v>4162</v>
      </c>
      <c r="H4165" s="183">
        <f t="shared" ref="H4165:H4228" ca="1" si="107">_xlfn.NORM.INV(RAND(),N$6,N$7)</f>
        <v>-1.3561746693800787E-2</v>
      </c>
    </row>
    <row r="4166" spans="7:8">
      <c r="G4166" s="168">
        <v>4163</v>
      </c>
      <c r="H4166" s="183">
        <f t="shared" ca="1" si="107"/>
        <v>7.8359333126566712E-3</v>
      </c>
    </row>
    <row r="4167" spans="7:8">
      <c r="G4167" s="168">
        <v>4164</v>
      </c>
      <c r="H4167" s="183">
        <f t="shared" ca="1" si="107"/>
        <v>1.7430369505889384E-2</v>
      </c>
    </row>
    <row r="4168" spans="7:8">
      <c r="G4168" s="168">
        <v>4165</v>
      </c>
      <c r="H4168" s="183">
        <f t="shared" ca="1" si="107"/>
        <v>1.2200481612539636E-2</v>
      </c>
    </row>
    <row r="4169" spans="7:8">
      <c r="G4169" s="168">
        <v>4166</v>
      </c>
      <c r="H4169" s="183">
        <f t="shared" ca="1" si="107"/>
        <v>-1.2479202316037621E-2</v>
      </c>
    </row>
    <row r="4170" spans="7:8">
      <c r="G4170" s="168">
        <v>4167</v>
      </c>
      <c r="H4170" s="183">
        <f t="shared" ca="1" si="107"/>
        <v>-4.543439410609155E-3</v>
      </c>
    </row>
    <row r="4171" spans="7:8">
      <c r="G4171" s="168">
        <v>4168</v>
      </c>
      <c r="H4171" s="183">
        <f t="shared" ca="1" si="107"/>
        <v>1.5546968494823364E-2</v>
      </c>
    </row>
    <row r="4172" spans="7:8">
      <c r="G4172" s="168">
        <v>4169</v>
      </c>
      <c r="H4172" s="183">
        <f t="shared" ca="1" si="107"/>
        <v>1.9184150228971675E-2</v>
      </c>
    </row>
    <row r="4173" spans="7:8">
      <c r="G4173" s="168">
        <v>4170</v>
      </c>
      <c r="H4173" s="183">
        <f t="shared" ca="1" si="107"/>
        <v>-7.2398493434862503E-3</v>
      </c>
    </row>
    <row r="4174" spans="7:8">
      <c r="G4174" s="168">
        <v>4171</v>
      </c>
      <c r="H4174" s="183">
        <f t="shared" ca="1" si="107"/>
        <v>7.3517576288741936E-3</v>
      </c>
    </row>
    <row r="4175" spans="7:8">
      <c r="G4175" s="168">
        <v>4172</v>
      </c>
      <c r="H4175" s="183">
        <f t="shared" ca="1" si="107"/>
        <v>-1.2891153909470647E-2</v>
      </c>
    </row>
    <row r="4176" spans="7:8">
      <c r="G4176" s="168">
        <v>4173</v>
      </c>
      <c r="H4176" s="183">
        <f t="shared" ca="1" si="107"/>
        <v>2.7313325376024888E-2</v>
      </c>
    </row>
    <row r="4177" spans="7:8">
      <c r="G4177" s="168">
        <v>4174</v>
      </c>
      <c r="H4177" s="183">
        <f t="shared" ca="1" si="107"/>
        <v>1.3142277883033873E-3</v>
      </c>
    </row>
    <row r="4178" spans="7:8">
      <c r="G4178" s="168">
        <v>4175</v>
      </c>
      <c r="H4178" s="183">
        <f t="shared" ca="1" si="107"/>
        <v>1.6733007021933158E-2</v>
      </c>
    </row>
    <row r="4179" spans="7:8">
      <c r="G4179" s="168">
        <v>4176</v>
      </c>
      <c r="H4179" s="183">
        <f t="shared" ca="1" si="107"/>
        <v>-1.5852524810670697E-2</v>
      </c>
    </row>
    <row r="4180" spans="7:8">
      <c r="G4180" s="168">
        <v>4177</v>
      </c>
      <c r="H4180" s="183">
        <f t="shared" ca="1" si="107"/>
        <v>1.0791492840926814E-2</v>
      </c>
    </row>
    <row r="4181" spans="7:8">
      <c r="G4181" s="168">
        <v>4178</v>
      </c>
      <c r="H4181" s="183">
        <f t="shared" ca="1" si="107"/>
        <v>1.6129246026871442E-2</v>
      </c>
    </row>
    <row r="4182" spans="7:8">
      <c r="G4182" s="168">
        <v>4179</v>
      </c>
      <c r="H4182" s="183">
        <f t="shared" ca="1" si="107"/>
        <v>8.1065823915739896E-3</v>
      </c>
    </row>
    <row r="4183" spans="7:8">
      <c r="G4183" s="168">
        <v>4180</v>
      </c>
      <c r="H4183" s="183">
        <f t="shared" ca="1" si="107"/>
        <v>7.3733012318819152E-3</v>
      </c>
    </row>
    <row r="4184" spans="7:8">
      <c r="G4184" s="168">
        <v>4181</v>
      </c>
      <c r="H4184" s="183">
        <f t="shared" ca="1" si="107"/>
        <v>-1.3023735350620111E-2</v>
      </c>
    </row>
    <row r="4185" spans="7:8">
      <c r="G4185" s="168">
        <v>4182</v>
      </c>
      <c r="H4185" s="183">
        <f t="shared" ca="1" si="107"/>
        <v>-4.2908013821102873E-3</v>
      </c>
    </row>
    <row r="4186" spans="7:8">
      <c r="G4186" s="168">
        <v>4183</v>
      </c>
      <c r="H4186" s="183">
        <f t="shared" ca="1" si="107"/>
        <v>8.2245163295149928E-3</v>
      </c>
    </row>
    <row r="4187" spans="7:8">
      <c r="G4187" s="168">
        <v>4184</v>
      </c>
      <c r="H4187" s="183">
        <f t="shared" ca="1" si="107"/>
        <v>1.3346859693867332E-3</v>
      </c>
    </row>
    <row r="4188" spans="7:8">
      <c r="G4188" s="168">
        <v>4185</v>
      </c>
      <c r="H4188" s="183">
        <f t="shared" ca="1" si="107"/>
        <v>1.9551076881964786E-2</v>
      </c>
    </row>
    <row r="4189" spans="7:8">
      <c r="G4189" s="168">
        <v>4186</v>
      </c>
      <c r="H4189" s="183">
        <f t="shared" ca="1" si="107"/>
        <v>6.5742134946864149E-3</v>
      </c>
    </row>
    <row r="4190" spans="7:8">
      <c r="G4190" s="168">
        <v>4187</v>
      </c>
      <c r="H4190" s="183">
        <f t="shared" ca="1" si="107"/>
        <v>4.8459409477726294E-3</v>
      </c>
    </row>
    <row r="4191" spans="7:8">
      <c r="G4191" s="168">
        <v>4188</v>
      </c>
      <c r="H4191" s="183">
        <f t="shared" ca="1" si="107"/>
        <v>1.7430494735462831E-2</v>
      </c>
    </row>
    <row r="4192" spans="7:8">
      <c r="G4192" s="168">
        <v>4189</v>
      </c>
      <c r="H4192" s="183">
        <f t="shared" ca="1" si="107"/>
        <v>-1.7367839878522424E-2</v>
      </c>
    </row>
    <row r="4193" spans="7:8">
      <c r="G4193" s="168">
        <v>4190</v>
      </c>
      <c r="H4193" s="183">
        <f t="shared" ca="1" si="107"/>
        <v>7.886262209494399E-5</v>
      </c>
    </row>
    <row r="4194" spans="7:8">
      <c r="G4194" s="168">
        <v>4191</v>
      </c>
      <c r="H4194" s="183">
        <f t="shared" ca="1" si="107"/>
        <v>2.1247850136727718E-3</v>
      </c>
    </row>
    <row r="4195" spans="7:8">
      <c r="G4195" s="168">
        <v>4192</v>
      </c>
      <c r="H4195" s="183">
        <f t="shared" ca="1" si="107"/>
        <v>2.5254766348143089E-2</v>
      </c>
    </row>
    <row r="4196" spans="7:8">
      <c r="G4196" s="168">
        <v>4193</v>
      </c>
      <c r="H4196" s="183">
        <f t="shared" ca="1" si="107"/>
        <v>2.7641899631306893E-2</v>
      </c>
    </row>
    <row r="4197" spans="7:8">
      <c r="G4197" s="168">
        <v>4194</v>
      </c>
      <c r="H4197" s="183">
        <f t="shared" ca="1" si="107"/>
        <v>6.0751801717783219E-3</v>
      </c>
    </row>
    <row r="4198" spans="7:8">
      <c r="G4198" s="168">
        <v>4195</v>
      </c>
      <c r="H4198" s="183">
        <f t="shared" ca="1" si="107"/>
        <v>-3.054927389029986E-3</v>
      </c>
    </row>
    <row r="4199" spans="7:8">
      <c r="G4199" s="168">
        <v>4196</v>
      </c>
      <c r="H4199" s="183">
        <f t="shared" ca="1" si="107"/>
        <v>-9.8373566948563342E-3</v>
      </c>
    </row>
    <row r="4200" spans="7:8">
      <c r="G4200" s="168">
        <v>4197</v>
      </c>
      <c r="H4200" s="183">
        <f t="shared" ca="1" si="107"/>
        <v>-1.1262914571485538E-2</v>
      </c>
    </row>
    <row r="4201" spans="7:8">
      <c r="G4201" s="168">
        <v>4198</v>
      </c>
      <c r="H4201" s="183">
        <f t="shared" ca="1" si="107"/>
        <v>-2.5553003537625806E-2</v>
      </c>
    </row>
    <row r="4202" spans="7:8">
      <c r="G4202" s="168">
        <v>4199</v>
      </c>
      <c r="H4202" s="183">
        <f t="shared" ca="1" si="107"/>
        <v>-4.2684124271002537E-3</v>
      </c>
    </row>
    <row r="4203" spans="7:8">
      <c r="G4203" s="168">
        <v>4200</v>
      </c>
      <c r="H4203" s="183">
        <f t="shared" ca="1" si="107"/>
        <v>-1.8847407963467316E-2</v>
      </c>
    </row>
    <row r="4204" spans="7:8">
      <c r="G4204" s="168">
        <v>4201</v>
      </c>
      <c r="H4204" s="183">
        <f t="shared" ca="1" si="107"/>
        <v>-5.0364819371952639E-3</v>
      </c>
    </row>
    <row r="4205" spans="7:8">
      <c r="G4205" s="168">
        <v>4202</v>
      </c>
      <c r="H4205" s="183">
        <f t="shared" ca="1" si="107"/>
        <v>7.1907255526321295E-3</v>
      </c>
    </row>
    <row r="4206" spans="7:8">
      <c r="G4206" s="168">
        <v>4203</v>
      </c>
      <c r="H4206" s="183">
        <f t="shared" ca="1" si="107"/>
        <v>1.6903705266977306E-2</v>
      </c>
    </row>
    <row r="4207" spans="7:8">
      <c r="G4207" s="168">
        <v>4204</v>
      </c>
      <c r="H4207" s="183">
        <f t="shared" ca="1" si="107"/>
        <v>5.1321588501706695E-3</v>
      </c>
    </row>
    <row r="4208" spans="7:8">
      <c r="G4208" s="168">
        <v>4205</v>
      </c>
      <c r="H4208" s="183">
        <f t="shared" ca="1" si="107"/>
        <v>4.7717824948301643E-3</v>
      </c>
    </row>
    <row r="4209" spans="7:8">
      <c r="G4209" s="168">
        <v>4206</v>
      </c>
      <c r="H4209" s="183">
        <f t="shared" ca="1" si="107"/>
        <v>-9.0887214922584225E-3</v>
      </c>
    </row>
    <row r="4210" spans="7:8">
      <c r="G4210" s="168">
        <v>4207</v>
      </c>
      <c r="H4210" s="183">
        <f t="shared" ca="1" si="107"/>
        <v>1.0655469166492852E-2</v>
      </c>
    </row>
    <row r="4211" spans="7:8">
      <c r="G4211" s="168">
        <v>4208</v>
      </c>
      <c r="H4211" s="183">
        <f t="shared" ca="1" si="107"/>
        <v>7.6543359228909737E-3</v>
      </c>
    </row>
    <row r="4212" spans="7:8">
      <c r="G4212" s="168">
        <v>4209</v>
      </c>
      <c r="H4212" s="183">
        <f t="shared" ca="1" si="107"/>
        <v>-1.0538680954552553E-2</v>
      </c>
    </row>
    <row r="4213" spans="7:8">
      <c r="G4213" s="168">
        <v>4210</v>
      </c>
      <c r="H4213" s="183">
        <f t="shared" ca="1" si="107"/>
        <v>1.1539898043031901E-2</v>
      </c>
    </row>
    <row r="4214" spans="7:8">
      <c r="G4214" s="168">
        <v>4211</v>
      </c>
      <c r="H4214" s="183">
        <f t="shared" ca="1" si="107"/>
        <v>5.8260897921387916E-3</v>
      </c>
    </row>
    <row r="4215" spans="7:8">
      <c r="G4215" s="168">
        <v>4212</v>
      </c>
      <c r="H4215" s="183">
        <f t="shared" ca="1" si="107"/>
        <v>-6.8855023946266542E-4</v>
      </c>
    </row>
    <row r="4216" spans="7:8">
      <c r="G4216" s="168">
        <v>4213</v>
      </c>
      <c r="H4216" s="183">
        <f t="shared" ca="1" si="107"/>
        <v>1.0322194853250883E-2</v>
      </c>
    </row>
    <row r="4217" spans="7:8">
      <c r="G4217" s="168">
        <v>4214</v>
      </c>
      <c r="H4217" s="183">
        <f t="shared" ca="1" si="107"/>
        <v>-1.2646600862577854E-2</v>
      </c>
    </row>
    <row r="4218" spans="7:8">
      <c r="G4218" s="168">
        <v>4215</v>
      </c>
      <c r="H4218" s="183">
        <f t="shared" ca="1" si="107"/>
        <v>3.095260230678258E-3</v>
      </c>
    </row>
    <row r="4219" spans="7:8">
      <c r="G4219" s="168">
        <v>4216</v>
      </c>
      <c r="H4219" s="183">
        <f t="shared" ca="1" si="107"/>
        <v>-1.181262487182164E-2</v>
      </c>
    </row>
    <row r="4220" spans="7:8">
      <c r="G4220" s="168">
        <v>4217</v>
      </c>
      <c r="H4220" s="183">
        <f t="shared" ca="1" si="107"/>
        <v>-1.6937771538269595E-3</v>
      </c>
    </row>
    <row r="4221" spans="7:8">
      <c r="G4221" s="168">
        <v>4218</v>
      </c>
      <c r="H4221" s="183">
        <f t="shared" ca="1" si="107"/>
        <v>1.1859692159237628E-2</v>
      </c>
    </row>
    <row r="4222" spans="7:8">
      <c r="G4222" s="168">
        <v>4219</v>
      </c>
      <c r="H4222" s="183">
        <f t="shared" ca="1" si="107"/>
        <v>7.9939375082948884E-3</v>
      </c>
    </row>
    <row r="4223" spans="7:8">
      <c r="G4223" s="168">
        <v>4220</v>
      </c>
      <c r="H4223" s="183">
        <f t="shared" ca="1" si="107"/>
        <v>6.5014079910637301E-3</v>
      </c>
    </row>
    <row r="4224" spans="7:8">
      <c r="G4224" s="168">
        <v>4221</v>
      </c>
      <c r="H4224" s="183">
        <f t="shared" ca="1" si="107"/>
        <v>4.5727818237377028E-3</v>
      </c>
    </row>
    <row r="4225" spans="7:8">
      <c r="G4225" s="168">
        <v>4222</v>
      </c>
      <c r="H4225" s="183">
        <f t="shared" ca="1" si="107"/>
        <v>2.4910172891230719E-2</v>
      </c>
    </row>
    <row r="4226" spans="7:8">
      <c r="G4226" s="168">
        <v>4223</v>
      </c>
      <c r="H4226" s="183">
        <f t="shared" ca="1" si="107"/>
        <v>1.0118187809414337E-2</v>
      </c>
    </row>
    <row r="4227" spans="7:8">
      <c r="G4227" s="168">
        <v>4224</v>
      </c>
      <c r="H4227" s="183">
        <f t="shared" ca="1" si="107"/>
        <v>1.5598360083936003E-2</v>
      </c>
    </row>
    <row r="4228" spans="7:8">
      <c r="G4228" s="168">
        <v>4225</v>
      </c>
      <c r="H4228" s="183">
        <f t="shared" ca="1" si="107"/>
        <v>1.3830227227434832E-2</v>
      </c>
    </row>
    <row r="4229" spans="7:8">
      <c r="G4229" s="168">
        <v>4226</v>
      </c>
      <c r="H4229" s="183">
        <f t="shared" ref="H4229:H4292" ca="1" si="108">_xlfn.NORM.INV(RAND(),N$6,N$7)</f>
        <v>1.5461842881909344E-2</v>
      </c>
    </row>
    <row r="4230" spans="7:8">
      <c r="G4230" s="168">
        <v>4227</v>
      </c>
      <c r="H4230" s="183">
        <f t="shared" ca="1" si="108"/>
        <v>-4.7777888622909581E-3</v>
      </c>
    </row>
    <row r="4231" spans="7:8">
      <c r="G4231" s="168">
        <v>4228</v>
      </c>
      <c r="H4231" s="183">
        <f t="shared" ca="1" si="108"/>
        <v>1.2986286077464864E-2</v>
      </c>
    </row>
    <row r="4232" spans="7:8">
      <c r="G4232" s="168">
        <v>4229</v>
      </c>
      <c r="H4232" s="183">
        <f t="shared" ca="1" si="108"/>
        <v>-1.4021647420359031E-2</v>
      </c>
    </row>
    <row r="4233" spans="7:8">
      <c r="G4233" s="168">
        <v>4230</v>
      </c>
      <c r="H4233" s="183">
        <f t="shared" ca="1" si="108"/>
        <v>1.7620258623636594E-2</v>
      </c>
    </row>
    <row r="4234" spans="7:8">
      <c r="G4234" s="168">
        <v>4231</v>
      </c>
      <c r="H4234" s="183">
        <f t="shared" ca="1" si="108"/>
        <v>1.9918713477161579E-2</v>
      </c>
    </row>
    <row r="4235" spans="7:8">
      <c r="G4235" s="168">
        <v>4232</v>
      </c>
      <c r="H4235" s="183">
        <f t="shared" ca="1" si="108"/>
        <v>7.7309659560143651E-3</v>
      </c>
    </row>
    <row r="4236" spans="7:8">
      <c r="G4236" s="168">
        <v>4233</v>
      </c>
      <c r="H4236" s="183">
        <f t="shared" ca="1" si="108"/>
        <v>1.5548807700230642E-2</v>
      </c>
    </row>
    <row r="4237" spans="7:8">
      <c r="G4237" s="168">
        <v>4234</v>
      </c>
      <c r="H4237" s="183">
        <f t="shared" ca="1" si="108"/>
        <v>2.8072969918122029E-2</v>
      </c>
    </row>
    <row r="4238" spans="7:8">
      <c r="G4238" s="168">
        <v>4235</v>
      </c>
      <c r="H4238" s="183">
        <f t="shared" ca="1" si="108"/>
        <v>1.8075162368107162E-2</v>
      </c>
    </row>
    <row r="4239" spans="7:8">
      <c r="G4239" s="168">
        <v>4236</v>
      </c>
      <c r="H4239" s="183">
        <f t="shared" ca="1" si="108"/>
        <v>-1.0343700192515227E-2</v>
      </c>
    </row>
    <row r="4240" spans="7:8">
      <c r="G4240" s="168">
        <v>4237</v>
      </c>
      <c r="H4240" s="183">
        <f t="shared" ca="1" si="108"/>
        <v>1.8591690411456214E-2</v>
      </c>
    </row>
    <row r="4241" spans="7:8">
      <c r="G4241" s="168">
        <v>4238</v>
      </c>
      <c r="H4241" s="183">
        <f t="shared" ca="1" si="108"/>
        <v>-1.129064615692197E-2</v>
      </c>
    </row>
    <row r="4242" spans="7:8">
      <c r="G4242" s="168">
        <v>4239</v>
      </c>
      <c r="H4242" s="183">
        <f t="shared" ca="1" si="108"/>
        <v>-1.0525575395633939E-3</v>
      </c>
    </row>
    <row r="4243" spans="7:8">
      <c r="G4243" s="168">
        <v>4240</v>
      </c>
      <c r="H4243" s="183">
        <f t="shared" ca="1" si="108"/>
        <v>-1.9211499995366678E-2</v>
      </c>
    </row>
    <row r="4244" spans="7:8">
      <c r="G4244" s="168">
        <v>4241</v>
      </c>
      <c r="H4244" s="183">
        <f t="shared" ca="1" si="108"/>
        <v>8.4264159854411744E-3</v>
      </c>
    </row>
    <row r="4245" spans="7:8">
      <c r="G4245" s="168">
        <v>4242</v>
      </c>
      <c r="H4245" s="183">
        <f t="shared" ca="1" si="108"/>
        <v>-1.6915372533567046E-2</v>
      </c>
    </row>
    <row r="4246" spans="7:8">
      <c r="G4246" s="168">
        <v>4243</v>
      </c>
      <c r="H4246" s="183">
        <f t="shared" ca="1" si="108"/>
        <v>-5.0059139010820248E-3</v>
      </c>
    </row>
    <row r="4247" spans="7:8">
      <c r="G4247" s="168">
        <v>4244</v>
      </c>
      <c r="H4247" s="183">
        <f t="shared" ca="1" si="108"/>
        <v>-2.323876367596394E-2</v>
      </c>
    </row>
    <row r="4248" spans="7:8">
      <c r="G4248" s="168">
        <v>4245</v>
      </c>
      <c r="H4248" s="183">
        <f t="shared" ca="1" si="108"/>
        <v>1.82581474091221E-2</v>
      </c>
    </row>
    <row r="4249" spans="7:8">
      <c r="G4249" s="168">
        <v>4246</v>
      </c>
      <c r="H4249" s="183">
        <f t="shared" ca="1" si="108"/>
        <v>1.1939850078610962E-3</v>
      </c>
    </row>
    <row r="4250" spans="7:8">
      <c r="G4250" s="168">
        <v>4247</v>
      </c>
      <c r="H4250" s="183">
        <f t="shared" ca="1" si="108"/>
        <v>1.0646953784987898E-2</v>
      </c>
    </row>
    <row r="4251" spans="7:8">
      <c r="G4251" s="168">
        <v>4248</v>
      </c>
      <c r="H4251" s="183">
        <f t="shared" ca="1" si="108"/>
        <v>7.5633691657914183E-3</v>
      </c>
    </row>
    <row r="4252" spans="7:8">
      <c r="G4252" s="168">
        <v>4249</v>
      </c>
      <c r="H4252" s="183">
        <f t="shared" ca="1" si="108"/>
        <v>5.1981905020914683E-3</v>
      </c>
    </row>
    <row r="4253" spans="7:8">
      <c r="G4253" s="168">
        <v>4250</v>
      </c>
      <c r="H4253" s="183">
        <f t="shared" ca="1" si="108"/>
        <v>2.2696152992908183E-2</v>
      </c>
    </row>
    <row r="4254" spans="7:8">
      <c r="G4254" s="168">
        <v>4251</v>
      </c>
      <c r="H4254" s="183">
        <f t="shared" ca="1" si="108"/>
        <v>-1.1965465138637114E-2</v>
      </c>
    </row>
    <row r="4255" spans="7:8">
      <c r="G4255" s="168">
        <v>4252</v>
      </c>
      <c r="H4255" s="183">
        <f t="shared" ca="1" si="108"/>
        <v>-1.6164674996419437E-2</v>
      </c>
    </row>
    <row r="4256" spans="7:8">
      <c r="G4256" s="168">
        <v>4253</v>
      </c>
      <c r="H4256" s="183">
        <f t="shared" ca="1" si="108"/>
        <v>1.7249601109289404E-2</v>
      </c>
    </row>
    <row r="4257" spans="7:8">
      <c r="G4257" s="168">
        <v>4254</v>
      </c>
      <c r="H4257" s="183">
        <f t="shared" ca="1" si="108"/>
        <v>1.4302347333680541E-3</v>
      </c>
    </row>
    <row r="4258" spans="7:8">
      <c r="G4258" s="168">
        <v>4255</v>
      </c>
      <c r="H4258" s="183">
        <f t="shared" ca="1" si="108"/>
        <v>-1.4021714972788774E-2</v>
      </c>
    </row>
    <row r="4259" spans="7:8">
      <c r="G4259" s="168">
        <v>4256</v>
      </c>
      <c r="H4259" s="183">
        <f t="shared" ca="1" si="108"/>
        <v>2.6654172131374693E-2</v>
      </c>
    </row>
    <row r="4260" spans="7:8">
      <c r="G4260" s="168">
        <v>4257</v>
      </c>
      <c r="H4260" s="183">
        <f t="shared" ca="1" si="108"/>
        <v>1.9546004884975293E-2</v>
      </c>
    </row>
    <row r="4261" spans="7:8">
      <c r="G4261" s="168">
        <v>4258</v>
      </c>
      <c r="H4261" s="183">
        <f t="shared" ca="1" si="108"/>
        <v>3.5981504907518524E-3</v>
      </c>
    </row>
    <row r="4262" spans="7:8">
      <c r="G4262" s="168">
        <v>4259</v>
      </c>
      <c r="H4262" s="183">
        <f t="shared" ca="1" si="108"/>
        <v>7.4486750255752972E-3</v>
      </c>
    </row>
    <row r="4263" spans="7:8">
      <c r="G4263" s="168">
        <v>4260</v>
      </c>
      <c r="H4263" s="183">
        <f t="shared" ca="1" si="108"/>
        <v>-6.8206858316748392E-3</v>
      </c>
    </row>
    <row r="4264" spans="7:8">
      <c r="G4264" s="168">
        <v>4261</v>
      </c>
      <c r="H4264" s="183">
        <f t="shared" ca="1" si="108"/>
        <v>-1.0704922110779721E-3</v>
      </c>
    </row>
    <row r="4265" spans="7:8">
      <c r="G4265" s="168">
        <v>4262</v>
      </c>
      <c r="H4265" s="183">
        <f t="shared" ca="1" si="108"/>
        <v>2.4872845152086907E-2</v>
      </c>
    </row>
    <row r="4266" spans="7:8">
      <c r="G4266" s="168">
        <v>4263</v>
      </c>
      <c r="H4266" s="183">
        <f t="shared" ca="1" si="108"/>
        <v>3.1511051887404291E-3</v>
      </c>
    </row>
    <row r="4267" spans="7:8">
      <c r="G4267" s="168">
        <v>4264</v>
      </c>
      <c r="H4267" s="183">
        <f t="shared" ca="1" si="108"/>
        <v>2.5341189080870755E-2</v>
      </c>
    </row>
    <row r="4268" spans="7:8">
      <c r="G4268" s="168">
        <v>4265</v>
      </c>
      <c r="H4268" s="183">
        <f t="shared" ca="1" si="108"/>
        <v>2.2911548969006833E-2</v>
      </c>
    </row>
    <row r="4269" spans="7:8">
      <c r="G4269" s="168">
        <v>4266</v>
      </c>
      <c r="H4269" s="183">
        <f t="shared" ca="1" si="108"/>
        <v>2.7645402880916332E-3</v>
      </c>
    </row>
    <row r="4270" spans="7:8">
      <c r="G4270" s="168">
        <v>4267</v>
      </c>
      <c r="H4270" s="183">
        <f t="shared" ca="1" si="108"/>
        <v>2.3676003119050691E-3</v>
      </c>
    </row>
    <row r="4271" spans="7:8">
      <c r="G4271" s="168">
        <v>4268</v>
      </c>
      <c r="H4271" s="183">
        <f t="shared" ca="1" si="108"/>
        <v>9.3108705796669106E-3</v>
      </c>
    </row>
    <row r="4272" spans="7:8">
      <c r="G4272" s="168">
        <v>4269</v>
      </c>
      <c r="H4272" s="183">
        <f t="shared" ca="1" si="108"/>
        <v>-4.5830827434010729E-3</v>
      </c>
    </row>
    <row r="4273" spans="7:8">
      <c r="G4273" s="168">
        <v>4270</v>
      </c>
      <c r="H4273" s="183">
        <f t="shared" ca="1" si="108"/>
        <v>-9.3141269739820641E-4</v>
      </c>
    </row>
    <row r="4274" spans="7:8">
      <c r="G4274" s="168">
        <v>4271</v>
      </c>
      <c r="H4274" s="183">
        <f t="shared" ca="1" si="108"/>
        <v>1.8268714731701295E-2</v>
      </c>
    </row>
    <row r="4275" spans="7:8">
      <c r="G4275" s="168">
        <v>4272</v>
      </c>
      <c r="H4275" s="183">
        <f t="shared" ca="1" si="108"/>
        <v>-8.6420703240791784E-3</v>
      </c>
    </row>
    <row r="4276" spans="7:8">
      <c r="G4276" s="168">
        <v>4273</v>
      </c>
      <c r="H4276" s="183">
        <f t="shared" ca="1" si="108"/>
        <v>-2.209896632372263E-2</v>
      </c>
    </row>
    <row r="4277" spans="7:8">
      <c r="G4277" s="168">
        <v>4274</v>
      </c>
      <c r="H4277" s="183">
        <f t="shared" ca="1" si="108"/>
        <v>2.1404788807430311E-2</v>
      </c>
    </row>
    <row r="4278" spans="7:8">
      <c r="G4278" s="168">
        <v>4275</v>
      </c>
      <c r="H4278" s="183">
        <f t="shared" ca="1" si="108"/>
        <v>5.725725462791576E-3</v>
      </c>
    </row>
    <row r="4279" spans="7:8">
      <c r="G4279" s="168">
        <v>4276</v>
      </c>
      <c r="H4279" s="183">
        <f t="shared" ca="1" si="108"/>
        <v>2.4292693077555442E-2</v>
      </c>
    </row>
    <row r="4280" spans="7:8">
      <c r="G4280" s="168">
        <v>4277</v>
      </c>
      <c r="H4280" s="183">
        <f t="shared" ca="1" si="108"/>
        <v>2.053814904039418E-2</v>
      </c>
    </row>
    <row r="4281" spans="7:8">
      <c r="G4281" s="168">
        <v>4278</v>
      </c>
      <c r="H4281" s="183">
        <f t="shared" ca="1" si="108"/>
        <v>-1.3939526635923172E-2</v>
      </c>
    </row>
    <row r="4282" spans="7:8">
      <c r="G4282" s="168">
        <v>4279</v>
      </c>
      <c r="H4282" s="183">
        <f t="shared" ca="1" si="108"/>
        <v>1.8450659639027251E-3</v>
      </c>
    </row>
    <row r="4283" spans="7:8">
      <c r="G4283" s="168">
        <v>4280</v>
      </c>
      <c r="H4283" s="183">
        <f t="shared" ca="1" si="108"/>
        <v>1.5662096058123177E-3</v>
      </c>
    </row>
    <row r="4284" spans="7:8">
      <c r="G4284" s="168">
        <v>4281</v>
      </c>
      <c r="H4284" s="183">
        <f t="shared" ca="1" si="108"/>
        <v>-1.0137719017004037E-2</v>
      </c>
    </row>
    <row r="4285" spans="7:8">
      <c r="G4285" s="168">
        <v>4282</v>
      </c>
      <c r="H4285" s="183">
        <f t="shared" ca="1" si="108"/>
        <v>-4.1046314384968969E-3</v>
      </c>
    </row>
    <row r="4286" spans="7:8">
      <c r="G4286" s="168">
        <v>4283</v>
      </c>
      <c r="H4286" s="183">
        <f t="shared" ca="1" si="108"/>
        <v>8.589238709424585E-4</v>
      </c>
    </row>
    <row r="4287" spans="7:8">
      <c r="G4287" s="168">
        <v>4284</v>
      </c>
      <c r="H4287" s="183">
        <f t="shared" ca="1" si="108"/>
        <v>-7.3012226189664081E-3</v>
      </c>
    </row>
    <row r="4288" spans="7:8">
      <c r="G4288" s="168">
        <v>4285</v>
      </c>
      <c r="H4288" s="183">
        <f t="shared" ca="1" si="108"/>
        <v>-2.7322887898730336E-3</v>
      </c>
    </row>
    <row r="4289" spans="7:8">
      <c r="G4289" s="168">
        <v>4286</v>
      </c>
      <c r="H4289" s="183">
        <f t="shared" ca="1" si="108"/>
        <v>6.1405504625124552E-3</v>
      </c>
    </row>
    <row r="4290" spans="7:8">
      <c r="G4290" s="168">
        <v>4287</v>
      </c>
      <c r="H4290" s="183">
        <f t="shared" ca="1" si="108"/>
        <v>1.9011421393780946E-2</v>
      </c>
    </row>
    <row r="4291" spans="7:8">
      <c r="G4291" s="168">
        <v>4288</v>
      </c>
      <c r="H4291" s="183">
        <f t="shared" ca="1" si="108"/>
        <v>8.8786118692486503E-3</v>
      </c>
    </row>
    <row r="4292" spans="7:8">
      <c r="G4292" s="168">
        <v>4289</v>
      </c>
      <c r="H4292" s="183">
        <f t="shared" ca="1" si="108"/>
        <v>-1.470300645178408E-2</v>
      </c>
    </row>
    <row r="4293" spans="7:8">
      <c r="G4293" s="168">
        <v>4290</v>
      </c>
      <c r="H4293" s="183">
        <f t="shared" ref="H4293:H4356" ca="1" si="109">_xlfn.NORM.INV(RAND(),N$6,N$7)</f>
        <v>-5.3039406807880761E-3</v>
      </c>
    </row>
    <row r="4294" spans="7:8">
      <c r="G4294" s="168">
        <v>4291</v>
      </c>
      <c r="H4294" s="183">
        <f t="shared" ca="1" si="109"/>
        <v>-1.2138764016694909E-2</v>
      </c>
    </row>
    <row r="4295" spans="7:8">
      <c r="G4295" s="168">
        <v>4292</v>
      </c>
      <c r="H4295" s="183">
        <f t="shared" ca="1" si="109"/>
        <v>1.0872250375965203E-2</v>
      </c>
    </row>
    <row r="4296" spans="7:8">
      <c r="G4296" s="168">
        <v>4293</v>
      </c>
      <c r="H4296" s="183">
        <f t="shared" ca="1" si="109"/>
        <v>1.3229041696456272E-2</v>
      </c>
    </row>
    <row r="4297" spans="7:8">
      <c r="G4297" s="168">
        <v>4294</v>
      </c>
      <c r="H4297" s="183">
        <f t="shared" ca="1" si="109"/>
        <v>-1.4122538891351163E-2</v>
      </c>
    </row>
    <row r="4298" spans="7:8">
      <c r="G4298" s="168">
        <v>4295</v>
      </c>
      <c r="H4298" s="183">
        <f t="shared" ca="1" si="109"/>
        <v>1.8900031223942799E-2</v>
      </c>
    </row>
    <row r="4299" spans="7:8">
      <c r="G4299" s="168">
        <v>4296</v>
      </c>
      <c r="H4299" s="183">
        <f t="shared" ca="1" si="109"/>
        <v>1.5004712880491339E-2</v>
      </c>
    </row>
    <row r="4300" spans="7:8">
      <c r="G4300" s="168">
        <v>4297</v>
      </c>
      <c r="H4300" s="183">
        <f t="shared" ca="1" si="109"/>
        <v>1.9140145373387006E-2</v>
      </c>
    </row>
    <row r="4301" spans="7:8">
      <c r="G4301" s="168">
        <v>4298</v>
      </c>
      <c r="H4301" s="183">
        <f t="shared" ca="1" si="109"/>
        <v>1.6661110730211617E-2</v>
      </c>
    </row>
    <row r="4302" spans="7:8">
      <c r="G4302" s="168">
        <v>4299</v>
      </c>
      <c r="H4302" s="183">
        <f t="shared" ca="1" si="109"/>
        <v>-1.8864090833183179E-3</v>
      </c>
    </row>
    <row r="4303" spans="7:8">
      <c r="G4303" s="168">
        <v>4300</v>
      </c>
      <c r="H4303" s="183">
        <f t="shared" ca="1" si="109"/>
        <v>1.3945661109821671E-2</v>
      </c>
    </row>
    <row r="4304" spans="7:8">
      <c r="G4304" s="168">
        <v>4301</v>
      </c>
      <c r="H4304" s="183">
        <f t="shared" ca="1" si="109"/>
        <v>1.6483438883035061E-2</v>
      </c>
    </row>
    <row r="4305" spans="7:8">
      <c r="G4305" s="168">
        <v>4302</v>
      </c>
      <c r="H4305" s="183">
        <f t="shared" ca="1" si="109"/>
        <v>1.1579684269812887E-2</v>
      </c>
    </row>
    <row r="4306" spans="7:8">
      <c r="G4306" s="168">
        <v>4303</v>
      </c>
      <c r="H4306" s="183">
        <f t="shared" ca="1" si="109"/>
        <v>7.4002210222168718E-3</v>
      </c>
    </row>
    <row r="4307" spans="7:8">
      <c r="G4307" s="168">
        <v>4304</v>
      </c>
      <c r="H4307" s="183">
        <f t="shared" ca="1" si="109"/>
        <v>-1.2901864136647161E-2</v>
      </c>
    </row>
    <row r="4308" spans="7:8">
      <c r="G4308" s="168">
        <v>4305</v>
      </c>
      <c r="H4308" s="183">
        <f t="shared" ca="1" si="109"/>
        <v>1.2066733187766448E-2</v>
      </c>
    </row>
    <row r="4309" spans="7:8">
      <c r="G4309" s="168">
        <v>4306</v>
      </c>
      <c r="H4309" s="183">
        <f t="shared" ca="1" si="109"/>
        <v>3.1555680168112682E-3</v>
      </c>
    </row>
    <row r="4310" spans="7:8">
      <c r="G4310" s="168">
        <v>4307</v>
      </c>
      <c r="H4310" s="183">
        <f t="shared" ca="1" si="109"/>
        <v>-1.4033620666894769E-2</v>
      </c>
    </row>
    <row r="4311" spans="7:8">
      <c r="G4311" s="168">
        <v>4308</v>
      </c>
      <c r="H4311" s="183">
        <f t="shared" ca="1" si="109"/>
        <v>6.95221827517278E-3</v>
      </c>
    </row>
    <row r="4312" spans="7:8">
      <c r="G4312" s="168">
        <v>4309</v>
      </c>
      <c r="H4312" s="183">
        <f t="shared" ca="1" si="109"/>
        <v>-5.5939563592630583E-3</v>
      </c>
    </row>
    <row r="4313" spans="7:8">
      <c r="G4313" s="168">
        <v>4310</v>
      </c>
      <c r="H4313" s="183">
        <f t="shared" ca="1" si="109"/>
        <v>1.1484451051028136E-2</v>
      </c>
    </row>
    <row r="4314" spans="7:8">
      <c r="G4314" s="168">
        <v>4311</v>
      </c>
      <c r="H4314" s="183">
        <f t="shared" ca="1" si="109"/>
        <v>3.5707494985508111E-3</v>
      </c>
    </row>
    <row r="4315" spans="7:8">
      <c r="G4315" s="168">
        <v>4312</v>
      </c>
      <c r="H4315" s="183">
        <f t="shared" ca="1" si="109"/>
        <v>-1.0964079763051054E-2</v>
      </c>
    </row>
    <row r="4316" spans="7:8">
      <c r="G4316" s="168">
        <v>4313</v>
      </c>
      <c r="H4316" s="183">
        <f t="shared" ca="1" si="109"/>
        <v>1.0186928906367507E-2</v>
      </c>
    </row>
    <row r="4317" spans="7:8">
      <c r="G4317" s="168">
        <v>4314</v>
      </c>
      <c r="H4317" s="183">
        <f t="shared" ca="1" si="109"/>
        <v>3.1916527868676649E-3</v>
      </c>
    </row>
    <row r="4318" spans="7:8">
      <c r="G4318" s="168">
        <v>4315</v>
      </c>
      <c r="H4318" s="183">
        <f t="shared" ca="1" si="109"/>
        <v>7.0710950554820117E-3</v>
      </c>
    </row>
    <row r="4319" spans="7:8">
      <c r="G4319" s="168">
        <v>4316</v>
      </c>
      <c r="H4319" s="183">
        <f t="shared" ca="1" si="109"/>
        <v>5.8268741807835376E-4</v>
      </c>
    </row>
    <row r="4320" spans="7:8">
      <c r="G4320" s="168">
        <v>4317</v>
      </c>
      <c r="H4320" s="183">
        <f t="shared" ca="1" si="109"/>
        <v>-6.1262457800970978E-3</v>
      </c>
    </row>
    <row r="4321" spans="7:8">
      <c r="G4321" s="168">
        <v>4318</v>
      </c>
      <c r="H4321" s="183">
        <f t="shared" ca="1" si="109"/>
        <v>5.9486033302360089E-3</v>
      </c>
    </row>
    <row r="4322" spans="7:8">
      <c r="G4322" s="168">
        <v>4319</v>
      </c>
      <c r="H4322" s="183">
        <f t="shared" ca="1" si="109"/>
        <v>3.7258850435856229E-3</v>
      </c>
    </row>
    <row r="4323" spans="7:8">
      <c r="G4323" s="168">
        <v>4320</v>
      </c>
      <c r="H4323" s="183">
        <f t="shared" ca="1" si="109"/>
        <v>-8.8212941509457771E-3</v>
      </c>
    </row>
    <row r="4324" spans="7:8">
      <c r="G4324" s="168">
        <v>4321</v>
      </c>
      <c r="H4324" s="183">
        <f t="shared" ca="1" si="109"/>
        <v>1.1548160921310831E-3</v>
      </c>
    </row>
    <row r="4325" spans="7:8">
      <c r="G4325" s="168">
        <v>4322</v>
      </c>
      <c r="H4325" s="183">
        <f t="shared" ca="1" si="109"/>
        <v>-1.7698233735507073E-2</v>
      </c>
    </row>
    <row r="4326" spans="7:8">
      <c r="G4326" s="168">
        <v>4323</v>
      </c>
      <c r="H4326" s="183">
        <f t="shared" ca="1" si="109"/>
        <v>-2.0653221715642784E-2</v>
      </c>
    </row>
    <row r="4327" spans="7:8">
      <c r="G4327" s="168">
        <v>4324</v>
      </c>
      <c r="H4327" s="183">
        <f t="shared" ca="1" si="109"/>
        <v>8.5135771787044311E-3</v>
      </c>
    </row>
    <row r="4328" spans="7:8">
      <c r="G4328" s="168">
        <v>4325</v>
      </c>
      <c r="H4328" s="183">
        <f t="shared" ca="1" si="109"/>
        <v>4.3465897048436276E-3</v>
      </c>
    </row>
    <row r="4329" spans="7:8">
      <c r="G4329" s="168">
        <v>4326</v>
      </c>
      <c r="H4329" s="183">
        <f t="shared" ca="1" si="109"/>
        <v>2.4322948899729458E-3</v>
      </c>
    </row>
    <row r="4330" spans="7:8">
      <c r="G4330" s="168">
        <v>4327</v>
      </c>
      <c r="H4330" s="183">
        <f t="shared" ca="1" si="109"/>
        <v>1.0341632244171084E-2</v>
      </c>
    </row>
    <row r="4331" spans="7:8">
      <c r="G4331" s="168">
        <v>4328</v>
      </c>
      <c r="H4331" s="183">
        <f t="shared" ca="1" si="109"/>
        <v>1.5218712235454689E-2</v>
      </c>
    </row>
    <row r="4332" spans="7:8">
      <c r="G4332" s="168">
        <v>4329</v>
      </c>
      <c r="H4332" s="183">
        <f t="shared" ca="1" si="109"/>
        <v>9.1504874285686655E-3</v>
      </c>
    </row>
    <row r="4333" spans="7:8">
      <c r="G4333" s="168">
        <v>4330</v>
      </c>
      <c r="H4333" s="183">
        <f t="shared" ca="1" si="109"/>
        <v>8.6059260827092612E-4</v>
      </c>
    </row>
    <row r="4334" spans="7:8">
      <c r="G4334" s="168">
        <v>4331</v>
      </c>
      <c r="H4334" s="183">
        <f t="shared" ca="1" si="109"/>
        <v>1.790403099894242E-2</v>
      </c>
    </row>
    <row r="4335" spans="7:8">
      <c r="G4335" s="168">
        <v>4332</v>
      </c>
      <c r="H4335" s="183">
        <f t="shared" ca="1" si="109"/>
        <v>7.7573832123381927E-4</v>
      </c>
    </row>
    <row r="4336" spans="7:8">
      <c r="G4336" s="168">
        <v>4333</v>
      </c>
      <c r="H4336" s="183">
        <f t="shared" ca="1" si="109"/>
        <v>7.7285530539257692E-3</v>
      </c>
    </row>
    <row r="4337" spans="7:8">
      <c r="G4337" s="168">
        <v>4334</v>
      </c>
      <c r="H4337" s="183">
        <f t="shared" ca="1" si="109"/>
        <v>-5.8255055907082461E-4</v>
      </c>
    </row>
    <row r="4338" spans="7:8">
      <c r="G4338" s="168">
        <v>4335</v>
      </c>
      <c r="H4338" s="183">
        <f t="shared" ca="1" si="109"/>
        <v>4.2564274021720935E-3</v>
      </c>
    </row>
    <row r="4339" spans="7:8">
      <c r="G4339" s="168">
        <v>4336</v>
      </c>
      <c r="H4339" s="183">
        <f t="shared" ca="1" si="109"/>
        <v>-6.5647740038238429E-4</v>
      </c>
    </row>
    <row r="4340" spans="7:8">
      <c r="G4340" s="168">
        <v>4337</v>
      </c>
      <c r="H4340" s="183">
        <f t="shared" ca="1" si="109"/>
        <v>1.1531275325826963E-2</v>
      </c>
    </row>
    <row r="4341" spans="7:8">
      <c r="G4341" s="168">
        <v>4338</v>
      </c>
      <c r="H4341" s="183">
        <f t="shared" ca="1" si="109"/>
        <v>1.7046382994520416E-3</v>
      </c>
    </row>
    <row r="4342" spans="7:8">
      <c r="G4342" s="168">
        <v>4339</v>
      </c>
      <c r="H4342" s="183">
        <f t="shared" ca="1" si="109"/>
        <v>-4.7214590006519532E-4</v>
      </c>
    </row>
    <row r="4343" spans="7:8">
      <c r="G4343" s="168">
        <v>4340</v>
      </c>
      <c r="H4343" s="183">
        <f t="shared" ca="1" si="109"/>
        <v>4.6379329304177836E-3</v>
      </c>
    </row>
    <row r="4344" spans="7:8">
      <c r="G4344" s="168">
        <v>4341</v>
      </c>
      <c r="H4344" s="183">
        <f t="shared" ca="1" si="109"/>
        <v>-1.3101441478945333E-2</v>
      </c>
    </row>
    <row r="4345" spans="7:8">
      <c r="G4345" s="168">
        <v>4342</v>
      </c>
      <c r="H4345" s="183">
        <f t="shared" ca="1" si="109"/>
        <v>-2.7753038942537576E-3</v>
      </c>
    </row>
    <row r="4346" spans="7:8">
      <c r="G4346" s="168">
        <v>4343</v>
      </c>
      <c r="H4346" s="183">
        <f t="shared" ca="1" si="109"/>
        <v>-3.8617046908866626E-3</v>
      </c>
    </row>
    <row r="4347" spans="7:8">
      <c r="G4347" s="168">
        <v>4344</v>
      </c>
      <c r="H4347" s="183">
        <f t="shared" ca="1" si="109"/>
        <v>1.8363722570471277E-2</v>
      </c>
    </row>
    <row r="4348" spans="7:8">
      <c r="G4348" s="168">
        <v>4345</v>
      </c>
      <c r="H4348" s="183">
        <f t="shared" ca="1" si="109"/>
        <v>-1.7029803432778722E-2</v>
      </c>
    </row>
    <row r="4349" spans="7:8">
      <c r="G4349" s="168">
        <v>4346</v>
      </c>
      <c r="H4349" s="183">
        <f t="shared" ca="1" si="109"/>
        <v>-1.5873547398749195E-2</v>
      </c>
    </row>
    <row r="4350" spans="7:8">
      <c r="G4350" s="168">
        <v>4347</v>
      </c>
      <c r="H4350" s="183">
        <f t="shared" ca="1" si="109"/>
        <v>1.8382723028361088E-2</v>
      </c>
    </row>
    <row r="4351" spans="7:8">
      <c r="G4351" s="168">
        <v>4348</v>
      </c>
      <c r="H4351" s="183">
        <f t="shared" ca="1" si="109"/>
        <v>-4.6156968886936394E-3</v>
      </c>
    </row>
    <row r="4352" spans="7:8">
      <c r="G4352" s="168">
        <v>4349</v>
      </c>
      <c r="H4352" s="183">
        <f t="shared" ca="1" si="109"/>
        <v>-5.5334739877529104E-3</v>
      </c>
    </row>
    <row r="4353" spans="7:8">
      <c r="G4353" s="168">
        <v>4350</v>
      </c>
      <c r="H4353" s="183">
        <f t="shared" ca="1" si="109"/>
        <v>8.300349597396308E-3</v>
      </c>
    </row>
    <row r="4354" spans="7:8">
      <c r="G4354" s="168">
        <v>4351</v>
      </c>
      <c r="H4354" s="183">
        <f t="shared" ca="1" si="109"/>
        <v>5.4823331727857222E-3</v>
      </c>
    </row>
    <row r="4355" spans="7:8">
      <c r="G4355" s="168">
        <v>4352</v>
      </c>
      <c r="H4355" s="183">
        <f t="shared" ca="1" si="109"/>
        <v>-2.2715645991845989E-3</v>
      </c>
    </row>
    <row r="4356" spans="7:8">
      <c r="G4356" s="168">
        <v>4353</v>
      </c>
      <c r="H4356" s="183">
        <f t="shared" ca="1" si="109"/>
        <v>5.3055381793730393E-3</v>
      </c>
    </row>
    <row r="4357" spans="7:8">
      <c r="G4357" s="168">
        <v>4354</v>
      </c>
      <c r="H4357" s="183">
        <f t="shared" ref="H4357:H4420" ca="1" si="110">_xlfn.NORM.INV(RAND(),N$6,N$7)</f>
        <v>-7.3625620274897574E-3</v>
      </c>
    </row>
    <row r="4358" spans="7:8">
      <c r="G4358" s="168">
        <v>4355</v>
      </c>
      <c r="H4358" s="183">
        <f t="shared" ca="1" si="110"/>
        <v>-5.0534163579525103E-3</v>
      </c>
    </row>
    <row r="4359" spans="7:8">
      <c r="G4359" s="168">
        <v>4356</v>
      </c>
      <c r="H4359" s="183">
        <f t="shared" ca="1" si="110"/>
        <v>-4.6317046480046954E-4</v>
      </c>
    </row>
    <row r="4360" spans="7:8">
      <c r="G4360" s="168">
        <v>4357</v>
      </c>
      <c r="H4360" s="183">
        <f t="shared" ca="1" si="110"/>
        <v>-5.3279224367661334E-3</v>
      </c>
    </row>
    <row r="4361" spans="7:8">
      <c r="G4361" s="168">
        <v>4358</v>
      </c>
      <c r="H4361" s="183">
        <f t="shared" ca="1" si="110"/>
        <v>5.9915699135895777E-3</v>
      </c>
    </row>
    <row r="4362" spans="7:8">
      <c r="G4362" s="168">
        <v>4359</v>
      </c>
      <c r="H4362" s="183">
        <f t="shared" ca="1" si="110"/>
        <v>-2.8086659138223946E-3</v>
      </c>
    </row>
    <row r="4363" spans="7:8">
      <c r="G4363" s="168">
        <v>4360</v>
      </c>
      <c r="H4363" s="183">
        <f t="shared" ca="1" si="110"/>
        <v>8.8195009433874524E-3</v>
      </c>
    </row>
    <row r="4364" spans="7:8">
      <c r="G4364" s="168">
        <v>4361</v>
      </c>
      <c r="H4364" s="183">
        <f t="shared" ca="1" si="110"/>
        <v>-3.3603453550060045E-3</v>
      </c>
    </row>
    <row r="4365" spans="7:8">
      <c r="G4365" s="168">
        <v>4362</v>
      </c>
      <c r="H4365" s="183">
        <f t="shared" ca="1" si="110"/>
        <v>-7.7143316974768858E-3</v>
      </c>
    </row>
    <row r="4366" spans="7:8">
      <c r="G4366" s="168">
        <v>4363</v>
      </c>
      <c r="H4366" s="183">
        <f t="shared" ca="1" si="110"/>
        <v>6.5912186217331487E-3</v>
      </c>
    </row>
    <row r="4367" spans="7:8">
      <c r="G4367" s="168">
        <v>4364</v>
      </c>
      <c r="H4367" s="183">
        <f t="shared" ca="1" si="110"/>
        <v>5.3906885359924547E-3</v>
      </c>
    </row>
    <row r="4368" spans="7:8">
      <c r="G4368" s="168">
        <v>4365</v>
      </c>
      <c r="H4368" s="183">
        <f t="shared" ca="1" si="110"/>
        <v>-3.0525594496100383E-3</v>
      </c>
    </row>
    <row r="4369" spans="7:8">
      <c r="G4369" s="168">
        <v>4366</v>
      </c>
      <c r="H4369" s="183">
        <f t="shared" ca="1" si="110"/>
        <v>-2.2523716215271397E-2</v>
      </c>
    </row>
    <row r="4370" spans="7:8">
      <c r="G4370" s="168">
        <v>4367</v>
      </c>
      <c r="H4370" s="183">
        <f t="shared" ca="1" si="110"/>
        <v>9.0074720524592131E-5</v>
      </c>
    </row>
    <row r="4371" spans="7:8">
      <c r="G4371" s="168">
        <v>4368</v>
      </c>
      <c r="H4371" s="183">
        <f t="shared" ca="1" si="110"/>
        <v>3.350991741979786E-3</v>
      </c>
    </row>
    <row r="4372" spans="7:8">
      <c r="G4372" s="168">
        <v>4369</v>
      </c>
      <c r="H4372" s="183">
        <f t="shared" ca="1" si="110"/>
        <v>1.9638286864576424E-3</v>
      </c>
    </row>
    <row r="4373" spans="7:8">
      <c r="G4373" s="168">
        <v>4370</v>
      </c>
      <c r="H4373" s="183">
        <f t="shared" ca="1" si="110"/>
        <v>3.7493697801056408E-2</v>
      </c>
    </row>
    <row r="4374" spans="7:8">
      <c r="G4374" s="168">
        <v>4371</v>
      </c>
      <c r="H4374" s="183">
        <f t="shared" ca="1" si="110"/>
        <v>1.7840368285487705E-3</v>
      </c>
    </row>
    <row r="4375" spans="7:8">
      <c r="G4375" s="168">
        <v>4372</v>
      </c>
      <c r="H4375" s="183">
        <f t="shared" ca="1" si="110"/>
        <v>4.3335992777163981E-4</v>
      </c>
    </row>
    <row r="4376" spans="7:8">
      <c r="G4376" s="168">
        <v>4373</v>
      </c>
      <c r="H4376" s="183">
        <f t="shared" ca="1" si="110"/>
        <v>2.1187330305678926E-3</v>
      </c>
    </row>
    <row r="4377" spans="7:8">
      <c r="G4377" s="168">
        <v>4374</v>
      </c>
      <c r="H4377" s="183">
        <f t="shared" ca="1" si="110"/>
        <v>-9.3425755468142142E-4</v>
      </c>
    </row>
    <row r="4378" spans="7:8">
      <c r="G4378" s="168">
        <v>4375</v>
      </c>
      <c r="H4378" s="183">
        <f t="shared" ca="1" si="110"/>
        <v>-7.6769866248797896E-3</v>
      </c>
    </row>
    <row r="4379" spans="7:8">
      <c r="G4379" s="168">
        <v>4376</v>
      </c>
      <c r="H4379" s="183">
        <f t="shared" ca="1" si="110"/>
        <v>-6.3891952526605195E-4</v>
      </c>
    </row>
    <row r="4380" spans="7:8">
      <c r="G4380" s="168">
        <v>4377</v>
      </c>
      <c r="H4380" s="183">
        <f t="shared" ca="1" si="110"/>
        <v>-3.3965306312035305E-3</v>
      </c>
    </row>
    <row r="4381" spans="7:8">
      <c r="G4381" s="168">
        <v>4378</v>
      </c>
      <c r="H4381" s="183">
        <f t="shared" ca="1" si="110"/>
        <v>-8.5596518396634895E-3</v>
      </c>
    </row>
    <row r="4382" spans="7:8">
      <c r="G4382" s="168">
        <v>4379</v>
      </c>
      <c r="H4382" s="183">
        <f t="shared" ca="1" si="110"/>
        <v>-2.4671468772950039E-3</v>
      </c>
    </row>
    <row r="4383" spans="7:8">
      <c r="G4383" s="168">
        <v>4380</v>
      </c>
      <c r="H4383" s="183">
        <f t="shared" ca="1" si="110"/>
        <v>4.215612262500305E-3</v>
      </c>
    </row>
    <row r="4384" spans="7:8">
      <c r="G4384" s="168">
        <v>4381</v>
      </c>
      <c r="H4384" s="183">
        <f t="shared" ca="1" si="110"/>
        <v>2.6223824095303369E-2</v>
      </c>
    </row>
    <row r="4385" spans="7:8">
      <c r="G4385" s="168">
        <v>4382</v>
      </c>
      <c r="H4385" s="183">
        <f t="shared" ca="1" si="110"/>
        <v>9.39705771099646E-3</v>
      </c>
    </row>
    <row r="4386" spans="7:8">
      <c r="G4386" s="168">
        <v>4383</v>
      </c>
      <c r="H4386" s="183">
        <f t="shared" ca="1" si="110"/>
        <v>-1.4048373592837577E-2</v>
      </c>
    </row>
    <row r="4387" spans="7:8">
      <c r="G4387" s="168">
        <v>4384</v>
      </c>
      <c r="H4387" s="183">
        <f t="shared" ca="1" si="110"/>
        <v>2.1180141067913449E-2</v>
      </c>
    </row>
    <row r="4388" spans="7:8">
      <c r="G4388" s="168">
        <v>4385</v>
      </c>
      <c r="H4388" s="183">
        <f t="shared" ca="1" si="110"/>
        <v>1.0018691460653735E-2</v>
      </c>
    </row>
    <row r="4389" spans="7:8">
      <c r="G4389" s="168">
        <v>4386</v>
      </c>
      <c r="H4389" s="183">
        <f t="shared" ca="1" si="110"/>
        <v>4.2083384499853778E-3</v>
      </c>
    </row>
    <row r="4390" spans="7:8">
      <c r="G4390" s="168">
        <v>4387</v>
      </c>
      <c r="H4390" s="183">
        <f t="shared" ca="1" si="110"/>
        <v>-3.5321839975060269E-3</v>
      </c>
    </row>
    <row r="4391" spans="7:8">
      <c r="G4391" s="168">
        <v>4388</v>
      </c>
      <c r="H4391" s="183">
        <f t="shared" ca="1" si="110"/>
        <v>9.2492530093712146E-3</v>
      </c>
    </row>
    <row r="4392" spans="7:8">
      <c r="G4392" s="168">
        <v>4389</v>
      </c>
      <c r="H4392" s="183">
        <f t="shared" ca="1" si="110"/>
        <v>1.8332624398228126E-2</v>
      </c>
    </row>
    <row r="4393" spans="7:8">
      <c r="G4393" s="168">
        <v>4390</v>
      </c>
      <c r="H4393" s="183">
        <f t="shared" ca="1" si="110"/>
        <v>3.2044573099589127E-3</v>
      </c>
    </row>
    <row r="4394" spans="7:8">
      <c r="G4394" s="168">
        <v>4391</v>
      </c>
      <c r="H4394" s="183">
        <f t="shared" ca="1" si="110"/>
        <v>6.5971241255507341E-3</v>
      </c>
    </row>
    <row r="4395" spans="7:8">
      <c r="G4395" s="168">
        <v>4392</v>
      </c>
      <c r="H4395" s="183">
        <f t="shared" ca="1" si="110"/>
        <v>-2.012223540232834E-2</v>
      </c>
    </row>
    <row r="4396" spans="7:8">
      <c r="G4396" s="168">
        <v>4393</v>
      </c>
      <c r="H4396" s="183">
        <f t="shared" ca="1" si="110"/>
        <v>2.884539790911962E-3</v>
      </c>
    </row>
    <row r="4397" spans="7:8">
      <c r="G4397" s="168">
        <v>4394</v>
      </c>
      <c r="H4397" s="183">
        <f t="shared" ca="1" si="110"/>
        <v>7.9460422345121635E-3</v>
      </c>
    </row>
    <row r="4398" spans="7:8">
      <c r="G4398" s="168">
        <v>4395</v>
      </c>
      <c r="H4398" s="183">
        <f t="shared" ca="1" si="110"/>
        <v>-1.9542376168452192E-3</v>
      </c>
    </row>
    <row r="4399" spans="7:8">
      <c r="G4399" s="168">
        <v>4396</v>
      </c>
      <c r="H4399" s="183">
        <f t="shared" ca="1" si="110"/>
        <v>-1.3827383288622923E-2</v>
      </c>
    </row>
    <row r="4400" spans="7:8">
      <c r="G4400" s="168">
        <v>4397</v>
      </c>
      <c r="H4400" s="183">
        <f t="shared" ca="1" si="110"/>
        <v>3.471104425852608E-3</v>
      </c>
    </row>
    <row r="4401" spans="7:8">
      <c r="G4401" s="168">
        <v>4398</v>
      </c>
      <c r="H4401" s="183">
        <f t="shared" ca="1" si="110"/>
        <v>3.7310041966350108E-3</v>
      </c>
    </row>
    <row r="4402" spans="7:8">
      <c r="G4402" s="168">
        <v>4399</v>
      </c>
      <c r="H4402" s="183">
        <f t="shared" ca="1" si="110"/>
        <v>-5.2310072272562678E-3</v>
      </c>
    </row>
    <row r="4403" spans="7:8">
      <c r="G4403" s="168">
        <v>4400</v>
      </c>
      <c r="H4403" s="183">
        <f t="shared" ca="1" si="110"/>
        <v>-7.2372163374019591E-3</v>
      </c>
    </row>
    <row r="4404" spans="7:8">
      <c r="G4404" s="168">
        <v>4401</v>
      </c>
      <c r="H4404" s="183">
        <f t="shared" ca="1" si="110"/>
        <v>-6.5342927749571138E-3</v>
      </c>
    </row>
    <row r="4405" spans="7:8">
      <c r="G4405" s="168">
        <v>4402</v>
      </c>
      <c r="H4405" s="183">
        <f t="shared" ca="1" si="110"/>
        <v>2.4313879372147868E-4</v>
      </c>
    </row>
    <row r="4406" spans="7:8">
      <c r="G4406" s="168">
        <v>4403</v>
      </c>
      <c r="H4406" s="183">
        <f t="shared" ca="1" si="110"/>
        <v>-4.3280670026539366E-3</v>
      </c>
    </row>
    <row r="4407" spans="7:8">
      <c r="G4407" s="168">
        <v>4404</v>
      </c>
      <c r="H4407" s="183">
        <f t="shared" ca="1" si="110"/>
        <v>-1.3020467895868693E-2</v>
      </c>
    </row>
    <row r="4408" spans="7:8">
      <c r="G4408" s="168">
        <v>4405</v>
      </c>
      <c r="H4408" s="183">
        <f t="shared" ca="1" si="110"/>
        <v>-1.985292811467255E-3</v>
      </c>
    </row>
    <row r="4409" spans="7:8">
      <c r="G4409" s="168">
        <v>4406</v>
      </c>
      <c r="H4409" s="183">
        <f t="shared" ca="1" si="110"/>
        <v>-5.6467969966541931E-3</v>
      </c>
    </row>
    <row r="4410" spans="7:8">
      <c r="G4410" s="168">
        <v>4407</v>
      </c>
      <c r="H4410" s="183">
        <f t="shared" ca="1" si="110"/>
        <v>1.1974635304116771E-2</v>
      </c>
    </row>
    <row r="4411" spans="7:8">
      <c r="G4411" s="168">
        <v>4408</v>
      </c>
      <c r="H4411" s="183">
        <f t="shared" ca="1" si="110"/>
        <v>-8.5380893899861168E-5</v>
      </c>
    </row>
    <row r="4412" spans="7:8">
      <c r="G4412" s="168">
        <v>4409</v>
      </c>
      <c r="H4412" s="183">
        <f t="shared" ca="1" si="110"/>
        <v>3.2810050231644919E-2</v>
      </c>
    </row>
    <row r="4413" spans="7:8">
      <c r="G4413" s="168">
        <v>4410</v>
      </c>
      <c r="H4413" s="183">
        <f t="shared" ca="1" si="110"/>
        <v>-6.3565645700689897E-3</v>
      </c>
    </row>
    <row r="4414" spans="7:8">
      <c r="G4414" s="168">
        <v>4411</v>
      </c>
      <c r="H4414" s="183">
        <f t="shared" ca="1" si="110"/>
        <v>3.3591851668733498E-2</v>
      </c>
    </row>
    <row r="4415" spans="7:8">
      <c r="G4415" s="168">
        <v>4412</v>
      </c>
      <c r="H4415" s="183">
        <f t="shared" ca="1" si="110"/>
        <v>6.952187826371004E-3</v>
      </c>
    </row>
    <row r="4416" spans="7:8">
      <c r="G4416" s="168">
        <v>4413</v>
      </c>
      <c r="H4416" s="183">
        <f t="shared" ca="1" si="110"/>
        <v>-2.453031091067823E-3</v>
      </c>
    </row>
    <row r="4417" spans="7:8">
      <c r="G4417" s="168">
        <v>4414</v>
      </c>
      <c r="H4417" s="183">
        <f t="shared" ca="1" si="110"/>
        <v>1.9315086045541149E-2</v>
      </c>
    </row>
    <row r="4418" spans="7:8">
      <c r="G4418" s="168">
        <v>4415</v>
      </c>
      <c r="H4418" s="183">
        <f t="shared" ca="1" si="110"/>
        <v>-2.0817499564136843E-3</v>
      </c>
    </row>
    <row r="4419" spans="7:8">
      <c r="G4419" s="168">
        <v>4416</v>
      </c>
      <c r="H4419" s="183">
        <f t="shared" ca="1" si="110"/>
        <v>5.366634763349698E-3</v>
      </c>
    </row>
    <row r="4420" spans="7:8">
      <c r="G4420" s="168">
        <v>4417</v>
      </c>
      <c r="H4420" s="183">
        <f t="shared" ca="1" si="110"/>
        <v>7.0859076536575749E-3</v>
      </c>
    </row>
    <row r="4421" spans="7:8">
      <c r="G4421" s="168">
        <v>4418</v>
      </c>
      <c r="H4421" s="183">
        <f t="shared" ref="H4421:H4484" ca="1" si="111">_xlfn.NORM.INV(RAND(),N$6,N$7)</f>
        <v>-6.8220389991086742E-3</v>
      </c>
    </row>
    <row r="4422" spans="7:8">
      <c r="G4422" s="168">
        <v>4419</v>
      </c>
      <c r="H4422" s="183">
        <f t="shared" ca="1" si="111"/>
        <v>-4.3136527094187133E-3</v>
      </c>
    </row>
    <row r="4423" spans="7:8">
      <c r="G4423" s="168">
        <v>4420</v>
      </c>
      <c r="H4423" s="183">
        <f t="shared" ca="1" si="111"/>
        <v>2.6000790568910703E-2</v>
      </c>
    </row>
    <row r="4424" spans="7:8">
      <c r="G4424" s="168">
        <v>4421</v>
      </c>
      <c r="H4424" s="183">
        <f t="shared" ca="1" si="111"/>
        <v>2.9956918955131384E-3</v>
      </c>
    </row>
    <row r="4425" spans="7:8">
      <c r="G4425" s="168">
        <v>4422</v>
      </c>
      <c r="H4425" s="183">
        <f t="shared" ca="1" si="111"/>
        <v>-1.1430104580785728E-2</v>
      </c>
    </row>
    <row r="4426" spans="7:8">
      <c r="G4426" s="168">
        <v>4423</v>
      </c>
      <c r="H4426" s="183">
        <f t="shared" ca="1" si="111"/>
        <v>-8.2389952933034985E-3</v>
      </c>
    </row>
    <row r="4427" spans="7:8">
      <c r="G4427" s="168">
        <v>4424</v>
      </c>
      <c r="H4427" s="183">
        <f t="shared" ca="1" si="111"/>
        <v>1.0617060005240994E-2</v>
      </c>
    </row>
    <row r="4428" spans="7:8">
      <c r="G4428" s="168">
        <v>4425</v>
      </c>
      <c r="H4428" s="183">
        <f t="shared" ca="1" si="111"/>
        <v>3.9287746773805487E-3</v>
      </c>
    </row>
    <row r="4429" spans="7:8">
      <c r="G4429" s="168">
        <v>4426</v>
      </c>
      <c r="H4429" s="183">
        <f t="shared" ca="1" si="111"/>
        <v>-9.3394878825612815E-3</v>
      </c>
    </row>
    <row r="4430" spans="7:8">
      <c r="G4430" s="168">
        <v>4427</v>
      </c>
      <c r="H4430" s="183">
        <f t="shared" ca="1" si="111"/>
        <v>-1.2184146189934391E-2</v>
      </c>
    </row>
    <row r="4431" spans="7:8">
      <c r="G4431" s="168">
        <v>4428</v>
      </c>
      <c r="H4431" s="183">
        <f t="shared" ca="1" si="111"/>
        <v>2.6112312256902871E-3</v>
      </c>
    </row>
    <row r="4432" spans="7:8">
      <c r="G4432" s="168">
        <v>4429</v>
      </c>
      <c r="H4432" s="183">
        <f t="shared" ca="1" si="111"/>
        <v>2.8580252346352497E-3</v>
      </c>
    </row>
    <row r="4433" spans="7:8">
      <c r="G4433" s="168">
        <v>4430</v>
      </c>
      <c r="H4433" s="183">
        <f t="shared" ca="1" si="111"/>
        <v>4.2104354710774793E-3</v>
      </c>
    </row>
    <row r="4434" spans="7:8">
      <c r="G4434" s="168">
        <v>4431</v>
      </c>
      <c r="H4434" s="183">
        <f t="shared" ca="1" si="111"/>
        <v>3.6267757845693891E-3</v>
      </c>
    </row>
    <row r="4435" spans="7:8">
      <c r="G4435" s="168">
        <v>4432</v>
      </c>
      <c r="H4435" s="183">
        <f t="shared" ca="1" si="111"/>
        <v>-5.5995304679784539E-3</v>
      </c>
    </row>
    <row r="4436" spans="7:8">
      <c r="G4436" s="168">
        <v>4433</v>
      </c>
      <c r="H4436" s="183">
        <f t="shared" ca="1" si="111"/>
        <v>-2.4385432491473638E-3</v>
      </c>
    </row>
    <row r="4437" spans="7:8">
      <c r="G4437" s="168">
        <v>4434</v>
      </c>
      <c r="H4437" s="183">
        <f t="shared" ca="1" si="111"/>
        <v>-4.9508400556024746E-3</v>
      </c>
    </row>
    <row r="4438" spans="7:8">
      <c r="G4438" s="168">
        <v>4435</v>
      </c>
      <c r="H4438" s="183">
        <f t="shared" ca="1" si="111"/>
        <v>1.4265323180350547E-2</v>
      </c>
    </row>
    <row r="4439" spans="7:8">
      <c r="G4439" s="168">
        <v>4436</v>
      </c>
      <c r="H4439" s="183">
        <f t="shared" ca="1" si="111"/>
        <v>5.70913281750258E-3</v>
      </c>
    </row>
    <row r="4440" spans="7:8">
      <c r="G4440" s="168">
        <v>4437</v>
      </c>
      <c r="H4440" s="183">
        <f t="shared" ca="1" si="111"/>
        <v>2.2837845402690852E-3</v>
      </c>
    </row>
    <row r="4441" spans="7:8">
      <c r="G4441" s="168">
        <v>4438</v>
      </c>
      <c r="H4441" s="183">
        <f t="shared" ca="1" si="111"/>
        <v>1.1852132239481564E-2</v>
      </c>
    </row>
    <row r="4442" spans="7:8">
      <c r="G4442" s="168">
        <v>4439</v>
      </c>
      <c r="H4442" s="183">
        <f t="shared" ca="1" si="111"/>
        <v>-3.2013514531865047E-3</v>
      </c>
    </row>
    <row r="4443" spans="7:8">
      <c r="G4443" s="168">
        <v>4440</v>
      </c>
      <c r="H4443" s="183">
        <f t="shared" ca="1" si="111"/>
        <v>6.3512768529705799E-3</v>
      </c>
    </row>
    <row r="4444" spans="7:8">
      <c r="G4444" s="168">
        <v>4441</v>
      </c>
      <c r="H4444" s="183">
        <f t="shared" ca="1" si="111"/>
        <v>1.1798205243742154E-2</v>
      </c>
    </row>
    <row r="4445" spans="7:8">
      <c r="G4445" s="168">
        <v>4442</v>
      </c>
      <c r="H4445" s="183">
        <f t="shared" ca="1" si="111"/>
        <v>-1.1290916005318442E-2</v>
      </c>
    </row>
    <row r="4446" spans="7:8">
      <c r="G4446" s="168">
        <v>4443</v>
      </c>
      <c r="H4446" s="183">
        <f t="shared" ca="1" si="111"/>
        <v>4.7698538745363922E-3</v>
      </c>
    </row>
    <row r="4447" spans="7:8">
      <c r="G4447" s="168">
        <v>4444</v>
      </c>
      <c r="H4447" s="183">
        <f t="shared" ca="1" si="111"/>
        <v>-7.8673618572554747E-4</v>
      </c>
    </row>
    <row r="4448" spans="7:8">
      <c r="G4448" s="168">
        <v>4445</v>
      </c>
      <c r="H4448" s="183">
        <f t="shared" ca="1" si="111"/>
        <v>2.2218560687010499E-2</v>
      </c>
    </row>
    <row r="4449" spans="7:8">
      <c r="G4449" s="168">
        <v>4446</v>
      </c>
      <c r="H4449" s="183">
        <f t="shared" ca="1" si="111"/>
        <v>-1.847912734038149E-3</v>
      </c>
    </row>
    <row r="4450" spans="7:8">
      <c r="G4450" s="168">
        <v>4447</v>
      </c>
      <c r="H4450" s="183">
        <f t="shared" ca="1" si="111"/>
        <v>9.9256555831565979E-3</v>
      </c>
    </row>
    <row r="4451" spans="7:8">
      <c r="G4451" s="168">
        <v>4448</v>
      </c>
      <c r="H4451" s="183">
        <f t="shared" ca="1" si="111"/>
        <v>4.3566142637276898E-3</v>
      </c>
    </row>
    <row r="4452" spans="7:8">
      <c r="G4452" s="168">
        <v>4449</v>
      </c>
      <c r="H4452" s="183">
        <f t="shared" ca="1" si="111"/>
        <v>-2.9511999974703674E-3</v>
      </c>
    </row>
    <row r="4453" spans="7:8">
      <c r="G4453" s="168">
        <v>4450</v>
      </c>
      <c r="H4453" s="183">
        <f t="shared" ca="1" si="111"/>
        <v>-1.4081367748770132E-3</v>
      </c>
    </row>
    <row r="4454" spans="7:8">
      <c r="G4454" s="168">
        <v>4451</v>
      </c>
      <c r="H4454" s="183">
        <f t="shared" ca="1" si="111"/>
        <v>-3.2312706133147866E-3</v>
      </c>
    </row>
    <row r="4455" spans="7:8">
      <c r="G4455" s="168">
        <v>4452</v>
      </c>
      <c r="H4455" s="183">
        <f t="shared" ca="1" si="111"/>
        <v>-1.0808086912917512E-3</v>
      </c>
    </row>
    <row r="4456" spans="7:8">
      <c r="G4456" s="168">
        <v>4453</v>
      </c>
      <c r="H4456" s="183">
        <f t="shared" ca="1" si="111"/>
        <v>-3.3916208772709917E-3</v>
      </c>
    </row>
    <row r="4457" spans="7:8">
      <c r="G4457" s="168">
        <v>4454</v>
      </c>
      <c r="H4457" s="183">
        <f t="shared" ca="1" si="111"/>
        <v>7.1218873565575599E-3</v>
      </c>
    </row>
    <row r="4458" spans="7:8">
      <c r="G4458" s="168">
        <v>4455</v>
      </c>
      <c r="H4458" s="183">
        <f t="shared" ca="1" si="111"/>
        <v>-1.7552554692914779E-2</v>
      </c>
    </row>
    <row r="4459" spans="7:8">
      <c r="G4459" s="168">
        <v>4456</v>
      </c>
      <c r="H4459" s="183">
        <f t="shared" ca="1" si="111"/>
        <v>-7.803736380731059E-3</v>
      </c>
    </row>
    <row r="4460" spans="7:8">
      <c r="G4460" s="168">
        <v>4457</v>
      </c>
      <c r="H4460" s="183">
        <f t="shared" ca="1" si="111"/>
        <v>8.9838706028317721E-3</v>
      </c>
    </row>
    <row r="4461" spans="7:8">
      <c r="G4461" s="168">
        <v>4458</v>
      </c>
      <c r="H4461" s="183">
        <f t="shared" ca="1" si="111"/>
        <v>3.4157070658420878E-2</v>
      </c>
    </row>
    <row r="4462" spans="7:8">
      <c r="G4462" s="168">
        <v>4459</v>
      </c>
      <c r="H4462" s="183">
        <f t="shared" ca="1" si="111"/>
        <v>-1.2044277263658417E-2</v>
      </c>
    </row>
    <row r="4463" spans="7:8">
      <c r="G4463" s="168">
        <v>4460</v>
      </c>
      <c r="H4463" s="183">
        <f t="shared" ca="1" si="111"/>
        <v>-7.4033706837010769E-3</v>
      </c>
    </row>
    <row r="4464" spans="7:8">
      <c r="G4464" s="168">
        <v>4461</v>
      </c>
      <c r="H4464" s="183">
        <f t="shared" ca="1" si="111"/>
        <v>-4.2885835316489023E-3</v>
      </c>
    </row>
    <row r="4465" spans="7:8">
      <c r="G4465" s="168">
        <v>4462</v>
      </c>
      <c r="H4465" s="183">
        <f t="shared" ca="1" si="111"/>
        <v>1.6388197622012785E-2</v>
      </c>
    </row>
    <row r="4466" spans="7:8">
      <c r="G4466" s="168">
        <v>4463</v>
      </c>
      <c r="H4466" s="183">
        <f t="shared" ca="1" si="111"/>
        <v>-3.0451832383758131E-2</v>
      </c>
    </row>
    <row r="4467" spans="7:8">
      <c r="G4467" s="168">
        <v>4464</v>
      </c>
      <c r="H4467" s="183">
        <f t="shared" ca="1" si="111"/>
        <v>1.234419986730044E-2</v>
      </c>
    </row>
    <row r="4468" spans="7:8">
      <c r="G4468" s="168">
        <v>4465</v>
      </c>
      <c r="H4468" s="183">
        <f t="shared" ca="1" si="111"/>
        <v>2.0638459128901915E-2</v>
      </c>
    </row>
    <row r="4469" spans="7:8">
      <c r="G4469" s="168">
        <v>4466</v>
      </c>
      <c r="H4469" s="183">
        <f t="shared" ca="1" si="111"/>
        <v>3.3093833966878292E-4</v>
      </c>
    </row>
    <row r="4470" spans="7:8">
      <c r="G4470" s="168">
        <v>4467</v>
      </c>
      <c r="H4470" s="183">
        <f t="shared" ca="1" si="111"/>
        <v>-2.5872957887998612E-4</v>
      </c>
    </row>
    <row r="4471" spans="7:8">
      <c r="G4471" s="168">
        <v>4468</v>
      </c>
      <c r="H4471" s="183">
        <f t="shared" ca="1" si="111"/>
        <v>1.0266934169200003E-2</v>
      </c>
    </row>
    <row r="4472" spans="7:8">
      <c r="G4472" s="168">
        <v>4469</v>
      </c>
      <c r="H4472" s="183">
        <f t="shared" ca="1" si="111"/>
        <v>3.1641219217104057E-3</v>
      </c>
    </row>
    <row r="4473" spans="7:8">
      <c r="G4473" s="168">
        <v>4470</v>
      </c>
      <c r="H4473" s="183">
        <f t="shared" ca="1" si="111"/>
        <v>1.2969439444388827E-2</v>
      </c>
    </row>
    <row r="4474" spans="7:8">
      <c r="G4474" s="168">
        <v>4471</v>
      </c>
      <c r="H4474" s="183">
        <f t="shared" ca="1" si="111"/>
        <v>-4.1947616209799844E-3</v>
      </c>
    </row>
    <row r="4475" spans="7:8">
      <c r="G4475" s="168">
        <v>4472</v>
      </c>
      <c r="H4475" s="183">
        <f t="shared" ca="1" si="111"/>
        <v>-1.07191603349392E-2</v>
      </c>
    </row>
    <row r="4476" spans="7:8">
      <c r="G4476" s="168">
        <v>4473</v>
      </c>
      <c r="H4476" s="183">
        <f t="shared" ca="1" si="111"/>
        <v>-3.5246983001436822E-3</v>
      </c>
    </row>
    <row r="4477" spans="7:8">
      <c r="G4477" s="168">
        <v>4474</v>
      </c>
      <c r="H4477" s="183">
        <f t="shared" ca="1" si="111"/>
        <v>2.081426009691045E-2</v>
      </c>
    </row>
    <row r="4478" spans="7:8">
      <c r="G4478" s="168">
        <v>4475</v>
      </c>
      <c r="H4478" s="183">
        <f t="shared" ca="1" si="111"/>
        <v>2.9956497447162305E-3</v>
      </c>
    </row>
    <row r="4479" spans="7:8">
      <c r="G4479" s="168">
        <v>4476</v>
      </c>
      <c r="H4479" s="183">
        <f t="shared" ca="1" si="111"/>
        <v>-2.1123372072866377E-2</v>
      </c>
    </row>
    <row r="4480" spans="7:8">
      <c r="G4480" s="168">
        <v>4477</v>
      </c>
      <c r="H4480" s="183">
        <f t="shared" ca="1" si="111"/>
        <v>1.0817016467147687E-2</v>
      </c>
    </row>
    <row r="4481" spans="7:8">
      <c r="G4481" s="168">
        <v>4478</v>
      </c>
      <c r="H4481" s="183">
        <f t="shared" ca="1" si="111"/>
        <v>-2.3370508025608736E-2</v>
      </c>
    </row>
    <row r="4482" spans="7:8">
      <c r="G4482" s="168">
        <v>4479</v>
      </c>
      <c r="H4482" s="183">
        <f t="shared" ca="1" si="111"/>
        <v>1.1087978182744884E-2</v>
      </c>
    </row>
    <row r="4483" spans="7:8">
      <c r="G4483" s="168">
        <v>4480</v>
      </c>
      <c r="H4483" s="183">
        <f t="shared" ca="1" si="111"/>
        <v>-2.3318813108612755E-2</v>
      </c>
    </row>
    <row r="4484" spans="7:8">
      <c r="G4484" s="168">
        <v>4481</v>
      </c>
      <c r="H4484" s="183">
        <f t="shared" ca="1" si="111"/>
        <v>1.6176558657612382E-2</v>
      </c>
    </row>
    <row r="4485" spans="7:8">
      <c r="G4485" s="168">
        <v>4482</v>
      </c>
      <c r="H4485" s="183">
        <f t="shared" ref="H4485:H4548" ca="1" si="112">_xlfn.NORM.INV(RAND(),N$6,N$7)</f>
        <v>-7.4067091748788822E-3</v>
      </c>
    </row>
    <row r="4486" spans="7:8">
      <c r="G4486" s="168">
        <v>4483</v>
      </c>
      <c r="H4486" s="183">
        <f t="shared" ca="1" si="112"/>
        <v>-7.4837379949555189E-3</v>
      </c>
    </row>
    <row r="4487" spans="7:8">
      <c r="G4487" s="168">
        <v>4484</v>
      </c>
      <c r="H4487" s="183">
        <f t="shared" ca="1" si="112"/>
        <v>-2.6425068699670397E-2</v>
      </c>
    </row>
    <row r="4488" spans="7:8">
      <c r="G4488" s="168">
        <v>4485</v>
      </c>
      <c r="H4488" s="183">
        <f t="shared" ca="1" si="112"/>
        <v>2.1249938676033104E-2</v>
      </c>
    </row>
    <row r="4489" spans="7:8">
      <c r="G4489" s="168">
        <v>4486</v>
      </c>
      <c r="H4489" s="183">
        <f t="shared" ca="1" si="112"/>
        <v>1.1950430882494499E-2</v>
      </c>
    </row>
    <row r="4490" spans="7:8">
      <c r="G4490" s="168">
        <v>4487</v>
      </c>
      <c r="H4490" s="183">
        <f t="shared" ca="1" si="112"/>
        <v>-1.0435864275853662E-2</v>
      </c>
    </row>
    <row r="4491" spans="7:8">
      <c r="G4491" s="168">
        <v>4488</v>
      </c>
      <c r="H4491" s="183">
        <f t="shared" ca="1" si="112"/>
        <v>1.1905610707014423E-2</v>
      </c>
    </row>
    <row r="4492" spans="7:8">
      <c r="G4492" s="168">
        <v>4489</v>
      </c>
      <c r="H4492" s="183">
        <f t="shared" ca="1" si="112"/>
        <v>-2.9458135390947032E-3</v>
      </c>
    </row>
    <row r="4493" spans="7:8">
      <c r="G4493" s="168">
        <v>4490</v>
      </c>
      <c r="H4493" s="183">
        <f t="shared" ca="1" si="112"/>
        <v>5.4357307561988238E-3</v>
      </c>
    </row>
    <row r="4494" spans="7:8">
      <c r="G4494" s="168">
        <v>4491</v>
      </c>
      <c r="H4494" s="183">
        <f t="shared" ca="1" si="112"/>
        <v>1.5769980208509504E-2</v>
      </c>
    </row>
    <row r="4495" spans="7:8">
      <c r="G4495" s="168">
        <v>4492</v>
      </c>
      <c r="H4495" s="183">
        <f t="shared" ca="1" si="112"/>
        <v>1.9207250428151287E-2</v>
      </c>
    </row>
    <row r="4496" spans="7:8">
      <c r="G4496" s="168">
        <v>4493</v>
      </c>
      <c r="H4496" s="183">
        <f t="shared" ca="1" si="112"/>
        <v>-1.3984644944701899E-3</v>
      </c>
    </row>
    <row r="4497" spans="7:8">
      <c r="G4497" s="168">
        <v>4494</v>
      </c>
      <c r="H4497" s="183">
        <f t="shared" ca="1" si="112"/>
        <v>5.9573826842264695E-3</v>
      </c>
    </row>
    <row r="4498" spans="7:8">
      <c r="G4498" s="168">
        <v>4495</v>
      </c>
      <c r="H4498" s="183">
        <f t="shared" ca="1" si="112"/>
        <v>1.386491520954668E-3</v>
      </c>
    </row>
    <row r="4499" spans="7:8">
      <c r="G4499" s="168">
        <v>4496</v>
      </c>
      <c r="H4499" s="183">
        <f t="shared" ca="1" si="112"/>
        <v>5.1689213798551108E-3</v>
      </c>
    </row>
    <row r="4500" spans="7:8">
      <c r="G4500" s="168">
        <v>4497</v>
      </c>
      <c r="H4500" s="183">
        <f t="shared" ca="1" si="112"/>
        <v>-5.0390421079343712E-3</v>
      </c>
    </row>
    <row r="4501" spans="7:8">
      <c r="G4501" s="168">
        <v>4498</v>
      </c>
      <c r="H4501" s="183">
        <f t="shared" ca="1" si="112"/>
        <v>1.5400453812310304E-2</v>
      </c>
    </row>
    <row r="4502" spans="7:8">
      <c r="G4502" s="168">
        <v>4499</v>
      </c>
      <c r="H4502" s="183">
        <f t="shared" ca="1" si="112"/>
        <v>2.5317704586861438E-3</v>
      </c>
    </row>
    <row r="4503" spans="7:8">
      <c r="G4503" s="168">
        <v>4500</v>
      </c>
      <c r="H4503" s="183">
        <f t="shared" ca="1" si="112"/>
        <v>-2.6549267651642594E-3</v>
      </c>
    </row>
    <row r="4504" spans="7:8">
      <c r="G4504" s="168">
        <v>4501</v>
      </c>
      <c r="H4504" s="183">
        <f t="shared" ca="1" si="112"/>
        <v>-2.8083584517247202E-2</v>
      </c>
    </row>
    <row r="4505" spans="7:8">
      <c r="G4505" s="168">
        <v>4502</v>
      </c>
      <c r="H4505" s="183">
        <f t="shared" ca="1" si="112"/>
        <v>4.3674769440083472E-2</v>
      </c>
    </row>
    <row r="4506" spans="7:8">
      <c r="G4506" s="168">
        <v>4503</v>
      </c>
      <c r="H4506" s="183">
        <f t="shared" ca="1" si="112"/>
        <v>6.5767560709123225E-3</v>
      </c>
    </row>
    <row r="4507" spans="7:8">
      <c r="G4507" s="168">
        <v>4504</v>
      </c>
      <c r="H4507" s="183">
        <f t="shared" ca="1" si="112"/>
        <v>-3.3390330400860464E-3</v>
      </c>
    </row>
    <row r="4508" spans="7:8">
      <c r="G4508" s="168">
        <v>4505</v>
      </c>
      <c r="H4508" s="183">
        <f t="shared" ca="1" si="112"/>
        <v>-4.8613116023243077E-3</v>
      </c>
    </row>
    <row r="4509" spans="7:8">
      <c r="G4509" s="168">
        <v>4506</v>
      </c>
      <c r="H4509" s="183">
        <f t="shared" ca="1" si="112"/>
        <v>-8.6535853258967732E-4</v>
      </c>
    </row>
    <row r="4510" spans="7:8">
      <c r="G4510" s="168">
        <v>4507</v>
      </c>
      <c r="H4510" s="183">
        <f t="shared" ca="1" si="112"/>
        <v>4.2746288385891777E-2</v>
      </c>
    </row>
    <row r="4511" spans="7:8">
      <c r="G4511" s="168">
        <v>4508</v>
      </c>
      <c r="H4511" s="183">
        <f t="shared" ca="1" si="112"/>
        <v>-8.563904993451367E-3</v>
      </c>
    </row>
    <row r="4512" spans="7:8">
      <c r="G4512" s="168">
        <v>4509</v>
      </c>
      <c r="H4512" s="183">
        <f t="shared" ca="1" si="112"/>
        <v>2.3471001009439049E-2</v>
      </c>
    </row>
    <row r="4513" spans="7:8">
      <c r="G4513" s="168">
        <v>4510</v>
      </c>
      <c r="H4513" s="183">
        <f t="shared" ca="1" si="112"/>
        <v>2.623109429635568E-2</v>
      </c>
    </row>
    <row r="4514" spans="7:8">
      <c r="G4514" s="168">
        <v>4511</v>
      </c>
      <c r="H4514" s="183">
        <f t="shared" ca="1" si="112"/>
        <v>-5.0995378658112269E-3</v>
      </c>
    </row>
    <row r="4515" spans="7:8">
      <c r="G4515" s="168">
        <v>4512</v>
      </c>
      <c r="H4515" s="183">
        <f t="shared" ca="1" si="112"/>
        <v>-1.502195999762216E-2</v>
      </c>
    </row>
    <row r="4516" spans="7:8">
      <c r="G4516" s="168">
        <v>4513</v>
      </c>
      <c r="H4516" s="183">
        <f t="shared" ca="1" si="112"/>
        <v>1.1314225052479102E-2</v>
      </c>
    </row>
    <row r="4517" spans="7:8">
      <c r="G4517" s="168">
        <v>4514</v>
      </c>
      <c r="H4517" s="183">
        <f t="shared" ca="1" si="112"/>
        <v>3.0047444686082586E-2</v>
      </c>
    </row>
    <row r="4518" spans="7:8">
      <c r="G4518" s="168">
        <v>4515</v>
      </c>
      <c r="H4518" s="183">
        <f t="shared" ca="1" si="112"/>
        <v>3.6074661830757686E-2</v>
      </c>
    </row>
    <row r="4519" spans="7:8">
      <c r="G4519" s="168">
        <v>4516</v>
      </c>
      <c r="H4519" s="183">
        <f t="shared" ca="1" si="112"/>
        <v>2.6713099949044589E-3</v>
      </c>
    </row>
    <row r="4520" spans="7:8">
      <c r="G4520" s="168">
        <v>4517</v>
      </c>
      <c r="H4520" s="183">
        <f t="shared" ca="1" si="112"/>
        <v>1.883014100752535E-2</v>
      </c>
    </row>
    <row r="4521" spans="7:8">
      <c r="G4521" s="168">
        <v>4518</v>
      </c>
      <c r="H4521" s="183">
        <f t="shared" ca="1" si="112"/>
        <v>-3.1706785132644575E-3</v>
      </c>
    </row>
    <row r="4522" spans="7:8">
      <c r="G4522" s="168">
        <v>4519</v>
      </c>
      <c r="H4522" s="183">
        <f t="shared" ca="1" si="112"/>
        <v>1.6271780156983957E-2</v>
      </c>
    </row>
    <row r="4523" spans="7:8">
      <c r="G4523" s="168">
        <v>4520</v>
      </c>
      <c r="H4523" s="183">
        <f t="shared" ca="1" si="112"/>
        <v>1.5147469738717924E-2</v>
      </c>
    </row>
    <row r="4524" spans="7:8">
      <c r="G4524" s="168">
        <v>4521</v>
      </c>
      <c r="H4524" s="183">
        <f t="shared" ca="1" si="112"/>
        <v>1.2323941045504085E-2</v>
      </c>
    </row>
    <row r="4525" spans="7:8">
      <c r="G4525" s="168">
        <v>4522</v>
      </c>
      <c r="H4525" s="183">
        <f t="shared" ca="1" si="112"/>
        <v>-1.9912035362898515E-4</v>
      </c>
    </row>
    <row r="4526" spans="7:8">
      <c r="G4526" s="168">
        <v>4523</v>
      </c>
      <c r="H4526" s="183">
        <f t="shared" ca="1" si="112"/>
        <v>3.8712194920839473E-3</v>
      </c>
    </row>
    <row r="4527" spans="7:8">
      <c r="G4527" s="168">
        <v>4524</v>
      </c>
      <c r="H4527" s="183">
        <f t="shared" ca="1" si="112"/>
        <v>-1.1071567499132039E-2</v>
      </c>
    </row>
    <row r="4528" spans="7:8">
      <c r="G4528" s="168">
        <v>4525</v>
      </c>
      <c r="H4528" s="183">
        <f t="shared" ca="1" si="112"/>
        <v>2.2611907479031046E-3</v>
      </c>
    </row>
    <row r="4529" spans="7:8">
      <c r="G4529" s="168">
        <v>4526</v>
      </c>
      <c r="H4529" s="183">
        <f t="shared" ca="1" si="112"/>
        <v>-5.9026144038004527E-3</v>
      </c>
    </row>
    <row r="4530" spans="7:8">
      <c r="G4530" s="168">
        <v>4527</v>
      </c>
      <c r="H4530" s="183">
        <f t="shared" ca="1" si="112"/>
        <v>1.2861839662164466E-2</v>
      </c>
    </row>
    <row r="4531" spans="7:8">
      <c r="G4531" s="168">
        <v>4528</v>
      </c>
      <c r="H4531" s="183">
        <f t="shared" ca="1" si="112"/>
        <v>-2.5922284069173077E-2</v>
      </c>
    </row>
    <row r="4532" spans="7:8">
      <c r="G4532" s="168">
        <v>4529</v>
      </c>
      <c r="H4532" s="183">
        <f t="shared" ca="1" si="112"/>
        <v>6.0523889771202932E-3</v>
      </c>
    </row>
    <row r="4533" spans="7:8">
      <c r="G4533" s="168">
        <v>4530</v>
      </c>
      <c r="H4533" s="183">
        <f t="shared" ca="1" si="112"/>
        <v>2.4912063239126E-3</v>
      </c>
    </row>
    <row r="4534" spans="7:8">
      <c r="G4534" s="168">
        <v>4531</v>
      </c>
      <c r="H4534" s="183">
        <f t="shared" ca="1" si="112"/>
        <v>1.5563747682902893E-2</v>
      </c>
    </row>
    <row r="4535" spans="7:8">
      <c r="G4535" s="168">
        <v>4532</v>
      </c>
      <c r="H4535" s="183">
        <f t="shared" ca="1" si="112"/>
        <v>-5.9937149230200456E-3</v>
      </c>
    </row>
    <row r="4536" spans="7:8">
      <c r="G4536" s="168">
        <v>4533</v>
      </c>
      <c r="H4536" s="183">
        <f t="shared" ca="1" si="112"/>
        <v>1.3098843159357929E-2</v>
      </c>
    </row>
    <row r="4537" spans="7:8">
      <c r="G4537" s="168">
        <v>4534</v>
      </c>
      <c r="H4537" s="183">
        <f t="shared" ca="1" si="112"/>
        <v>-3.6652769805005031E-3</v>
      </c>
    </row>
    <row r="4538" spans="7:8">
      <c r="G4538" s="168">
        <v>4535</v>
      </c>
      <c r="H4538" s="183">
        <f t="shared" ca="1" si="112"/>
        <v>-6.0959587706656436E-3</v>
      </c>
    </row>
    <row r="4539" spans="7:8">
      <c r="G4539" s="168">
        <v>4536</v>
      </c>
      <c r="H4539" s="183">
        <f t="shared" ca="1" si="112"/>
        <v>-1.5193606451607321E-3</v>
      </c>
    </row>
    <row r="4540" spans="7:8">
      <c r="G4540" s="168">
        <v>4537</v>
      </c>
      <c r="H4540" s="183">
        <f t="shared" ca="1" si="112"/>
        <v>4.1849407197767502E-3</v>
      </c>
    </row>
    <row r="4541" spans="7:8">
      <c r="G4541" s="168">
        <v>4538</v>
      </c>
      <c r="H4541" s="183">
        <f t="shared" ca="1" si="112"/>
        <v>3.0032931188186333E-2</v>
      </c>
    </row>
    <row r="4542" spans="7:8">
      <c r="G4542" s="168">
        <v>4539</v>
      </c>
      <c r="H4542" s="183">
        <f t="shared" ca="1" si="112"/>
        <v>4.2575930878583253E-3</v>
      </c>
    </row>
    <row r="4543" spans="7:8">
      <c r="G4543" s="168">
        <v>4540</v>
      </c>
      <c r="H4543" s="183">
        <f t="shared" ca="1" si="112"/>
        <v>-5.3372914077963003E-3</v>
      </c>
    </row>
    <row r="4544" spans="7:8">
      <c r="G4544" s="168">
        <v>4541</v>
      </c>
      <c r="H4544" s="183">
        <f t="shared" ca="1" si="112"/>
        <v>7.7771475923452257E-3</v>
      </c>
    </row>
    <row r="4545" spans="7:8">
      <c r="G4545" s="168">
        <v>4542</v>
      </c>
      <c r="H4545" s="183">
        <f t="shared" ca="1" si="112"/>
        <v>-1.5331183045234179E-2</v>
      </c>
    </row>
    <row r="4546" spans="7:8">
      <c r="G4546" s="168">
        <v>4543</v>
      </c>
      <c r="H4546" s="183">
        <f t="shared" ca="1" si="112"/>
        <v>-1.1801033709840821E-2</v>
      </c>
    </row>
    <row r="4547" spans="7:8">
      <c r="G4547" s="168">
        <v>4544</v>
      </c>
      <c r="H4547" s="183">
        <f t="shared" ca="1" si="112"/>
        <v>-9.5824837948284038E-3</v>
      </c>
    </row>
    <row r="4548" spans="7:8">
      <c r="G4548" s="168">
        <v>4545</v>
      </c>
      <c r="H4548" s="183">
        <f t="shared" ca="1" si="112"/>
        <v>-8.9445152329234202E-3</v>
      </c>
    </row>
    <row r="4549" spans="7:8">
      <c r="G4549" s="168">
        <v>4546</v>
      </c>
      <c r="H4549" s="183">
        <f t="shared" ref="H4549:H4612" ca="1" si="113">_xlfn.NORM.INV(RAND(),N$6,N$7)</f>
        <v>-1.7341621249748675E-2</v>
      </c>
    </row>
    <row r="4550" spans="7:8">
      <c r="G4550" s="168">
        <v>4547</v>
      </c>
      <c r="H4550" s="183">
        <f t="shared" ca="1" si="113"/>
        <v>-1.3482015636403295E-2</v>
      </c>
    </row>
    <row r="4551" spans="7:8">
      <c r="G4551" s="168">
        <v>4548</v>
      </c>
      <c r="H4551" s="183">
        <f t="shared" ca="1" si="113"/>
        <v>1.8651613830552708E-3</v>
      </c>
    </row>
    <row r="4552" spans="7:8">
      <c r="G4552" s="168">
        <v>4549</v>
      </c>
      <c r="H4552" s="183">
        <f t="shared" ca="1" si="113"/>
        <v>1.1930888956041229E-2</v>
      </c>
    </row>
    <row r="4553" spans="7:8">
      <c r="G4553" s="168">
        <v>4550</v>
      </c>
      <c r="H4553" s="183">
        <f t="shared" ca="1" si="113"/>
        <v>-2.6501349466612964E-3</v>
      </c>
    </row>
    <row r="4554" spans="7:8">
      <c r="G4554" s="168">
        <v>4551</v>
      </c>
      <c r="H4554" s="183">
        <f t="shared" ca="1" si="113"/>
        <v>5.5790913004290475E-3</v>
      </c>
    </row>
    <row r="4555" spans="7:8">
      <c r="G4555" s="168">
        <v>4552</v>
      </c>
      <c r="H4555" s="183">
        <f t="shared" ca="1" si="113"/>
        <v>-7.5162049875494531E-3</v>
      </c>
    </row>
    <row r="4556" spans="7:8">
      <c r="G4556" s="168">
        <v>4553</v>
      </c>
      <c r="H4556" s="183">
        <f t="shared" ca="1" si="113"/>
        <v>1.7025120193727137E-3</v>
      </c>
    </row>
    <row r="4557" spans="7:8">
      <c r="G4557" s="168">
        <v>4554</v>
      </c>
      <c r="H4557" s="183">
        <f t="shared" ca="1" si="113"/>
        <v>1.6840325622762928E-2</v>
      </c>
    </row>
    <row r="4558" spans="7:8">
      <c r="G4558" s="168">
        <v>4555</v>
      </c>
      <c r="H4558" s="183">
        <f t="shared" ca="1" si="113"/>
        <v>2.6777105664434172E-3</v>
      </c>
    </row>
    <row r="4559" spans="7:8">
      <c r="G4559" s="168">
        <v>4556</v>
      </c>
      <c r="H4559" s="183">
        <f t="shared" ca="1" si="113"/>
        <v>-1.5638880358694856E-3</v>
      </c>
    </row>
    <row r="4560" spans="7:8">
      <c r="G4560" s="168">
        <v>4557</v>
      </c>
      <c r="H4560" s="183">
        <f t="shared" ca="1" si="113"/>
        <v>-9.8876245984084107E-3</v>
      </c>
    </row>
    <row r="4561" spans="7:8">
      <c r="G4561" s="168">
        <v>4558</v>
      </c>
      <c r="H4561" s="183">
        <f t="shared" ca="1" si="113"/>
        <v>1.4255811684741188E-2</v>
      </c>
    </row>
    <row r="4562" spans="7:8">
      <c r="G4562" s="168">
        <v>4559</v>
      </c>
      <c r="H4562" s="183">
        <f t="shared" ca="1" si="113"/>
        <v>-1.6692196283302266E-2</v>
      </c>
    </row>
    <row r="4563" spans="7:8">
      <c r="G4563" s="168">
        <v>4560</v>
      </c>
      <c r="H4563" s="183">
        <f t="shared" ca="1" si="113"/>
        <v>5.9033211782027577E-3</v>
      </c>
    </row>
    <row r="4564" spans="7:8">
      <c r="G4564" s="168">
        <v>4561</v>
      </c>
      <c r="H4564" s="183">
        <f t="shared" ca="1" si="113"/>
        <v>9.1216279774179523E-3</v>
      </c>
    </row>
    <row r="4565" spans="7:8">
      <c r="G4565" s="168">
        <v>4562</v>
      </c>
      <c r="H4565" s="183">
        <f t="shared" ca="1" si="113"/>
        <v>1.9936530556377799E-2</v>
      </c>
    </row>
    <row r="4566" spans="7:8">
      <c r="G4566" s="168">
        <v>4563</v>
      </c>
      <c r="H4566" s="183">
        <f t="shared" ca="1" si="113"/>
        <v>-4.0445284982574235E-4</v>
      </c>
    </row>
    <row r="4567" spans="7:8">
      <c r="G4567" s="168">
        <v>4564</v>
      </c>
      <c r="H4567" s="183">
        <f t="shared" ca="1" si="113"/>
        <v>-1.9922561504936435E-2</v>
      </c>
    </row>
    <row r="4568" spans="7:8">
      <c r="G4568" s="168">
        <v>4565</v>
      </c>
      <c r="H4568" s="183">
        <f t="shared" ca="1" si="113"/>
        <v>7.7212753485087007E-3</v>
      </c>
    </row>
    <row r="4569" spans="7:8">
      <c r="G4569" s="168">
        <v>4566</v>
      </c>
      <c r="H4569" s="183">
        <f t="shared" ca="1" si="113"/>
        <v>1.6761798643858357E-2</v>
      </c>
    </row>
    <row r="4570" spans="7:8">
      <c r="G4570" s="168">
        <v>4567</v>
      </c>
      <c r="H4570" s="183">
        <f t="shared" ca="1" si="113"/>
        <v>4.0989993542178312E-2</v>
      </c>
    </row>
    <row r="4571" spans="7:8">
      <c r="G4571" s="168">
        <v>4568</v>
      </c>
      <c r="H4571" s="183">
        <f t="shared" ca="1" si="113"/>
        <v>-3.9162236299055946E-3</v>
      </c>
    </row>
    <row r="4572" spans="7:8">
      <c r="G4572" s="168">
        <v>4569</v>
      </c>
      <c r="H4572" s="183">
        <f t="shared" ca="1" si="113"/>
        <v>3.5770444270256346E-3</v>
      </c>
    </row>
    <row r="4573" spans="7:8">
      <c r="G4573" s="168">
        <v>4570</v>
      </c>
      <c r="H4573" s="183">
        <f t="shared" ca="1" si="113"/>
        <v>1.9393934111812072E-2</v>
      </c>
    </row>
    <row r="4574" spans="7:8">
      <c r="G4574" s="168">
        <v>4571</v>
      </c>
      <c r="H4574" s="183">
        <f t="shared" ca="1" si="113"/>
        <v>-3.6339556001657143E-3</v>
      </c>
    </row>
    <row r="4575" spans="7:8">
      <c r="G4575" s="168">
        <v>4572</v>
      </c>
      <c r="H4575" s="183">
        <f t="shared" ca="1" si="113"/>
        <v>-2.965992073935309E-3</v>
      </c>
    </row>
    <row r="4576" spans="7:8">
      <c r="G4576" s="168">
        <v>4573</v>
      </c>
      <c r="H4576" s="183">
        <f t="shared" ca="1" si="113"/>
        <v>-2.9232503123781683E-2</v>
      </c>
    </row>
    <row r="4577" spans="7:8">
      <c r="G4577" s="168">
        <v>4574</v>
      </c>
      <c r="H4577" s="183">
        <f t="shared" ca="1" si="113"/>
        <v>-1.653201368070769E-2</v>
      </c>
    </row>
    <row r="4578" spans="7:8">
      <c r="G4578" s="168">
        <v>4575</v>
      </c>
      <c r="H4578" s="183">
        <f t="shared" ca="1" si="113"/>
        <v>1.6149106031708851E-2</v>
      </c>
    </row>
    <row r="4579" spans="7:8">
      <c r="G4579" s="168">
        <v>4576</v>
      </c>
      <c r="H4579" s="183">
        <f t="shared" ca="1" si="113"/>
        <v>-5.3108542766380816E-3</v>
      </c>
    </row>
    <row r="4580" spans="7:8">
      <c r="G4580" s="168">
        <v>4577</v>
      </c>
      <c r="H4580" s="183">
        <f t="shared" ca="1" si="113"/>
        <v>9.6001530379868742E-3</v>
      </c>
    </row>
    <row r="4581" spans="7:8">
      <c r="G4581" s="168">
        <v>4578</v>
      </c>
      <c r="H4581" s="183">
        <f t="shared" ca="1" si="113"/>
        <v>-8.7124407815792788E-3</v>
      </c>
    </row>
    <row r="4582" spans="7:8">
      <c r="G4582" s="168">
        <v>4579</v>
      </c>
      <c r="H4582" s="183">
        <f t="shared" ca="1" si="113"/>
        <v>1.1937787935460804E-2</v>
      </c>
    </row>
    <row r="4583" spans="7:8">
      <c r="G4583" s="168">
        <v>4580</v>
      </c>
      <c r="H4583" s="183">
        <f t="shared" ca="1" si="113"/>
        <v>-8.8319625227999479E-3</v>
      </c>
    </row>
    <row r="4584" spans="7:8">
      <c r="G4584" s="168">
        <v>4581</v>
      </c>
      <c r="H4584" s="183">
        <f t="shared" ca="1" si="113"/>
        <v>2.4459563832730201E-3</v>
      </c>
    </row>
    <row r="4585" spans="7:8">
      <c r="G4585" s="168">
        <v>4582</v>
      </c>
      <c r="H4585" s="183">
        <f t="shared" ca="1" si="113"/>
        <v>1.4511770426022627E-2</v>
      </c>
    </row>
    <row r="4586" spans="7:8">
      <c r="G4586" s="168">
        <v>4583</v>
      </c>
      <c r="H4586" s="183">
        <f t="shared" ca="1" si="113"/>
        <v>8.4187897847674414E-3</v>
      </c>
    </row>
    <row r="4587" spans="7:8">
      <c r="G4587" s="168">
        <v>4584</v>
      </c>
      <c r="H4587" s="183">
        <f t="shared" ca="1" si="113"/>
        <v>1.6848337963192538E-2</v>
      </c>
    </row>
    <row r="4588" spans="7:8">
      <c r="G4588" s="168">
        <v>4585</v>
      </c>
      <c r="H4588" s="183">
        <f t="shared" ca="1" si="113"/>
        <v>3.2375003353604888E-2</v>
      </c>
    </row>
    <row r="4589" spans="7:8">
      <c r="G4589" s="168">
        <v>4586</v>
      </c>
      <c r="H4589" s="183">
        <f t="shared" ca="1" si="113"/>
        <v>7.9149520970575871E-3</v>
      </c>
    </row>
    <row r="4590" spans="7:8">
      <c r="G4590" s="168">
        <v>4587</v>
      </c>
      <c r="H4590" s="183">
        <f t="shared" ca="1" si="113"/>
        <v>-9.0936138833482456E-3</v>
      </c>
    </row>
    <row r="4591" spans="7:8">
      <c r="G4591" s="168">
        <v>4588</v>
      </c>
      <c r="H4591" s="183">
        <f t="shared" ca="1" si="113"/>
        <v>-1.5378615074984163E-2</v>
      </c>
    </row>
    <row r="4592" spans="7:8">
      <c r="G4592" s="168">
        <v>4589</v>
      </c>
      <c r="H4592" s="183">
        <f t="shared" ca="1" si="113"/>
        <v>6.5100115294291477E-3</v>
      </c>
    </row>
    <row r="4593" spans="7:8">
      <c r="G4593" s="168">
        <v>4590</v>
      </c>
      <c r="H4593" s="183">
        <f t="shared" ca="1" si="113"/>
        <v>-7.9273251845836598E-3</v>
      </c>
    </row>
    <row r="4594" spans="7:8">
      <c r="G4594" s="168">
        <v>4591</v>
      </c>
      <c r="H4594" s="183">
        <f t="shared" ca="1" si="113"/>
        <v>-1.1728540837462095E-2</v>
      </c>
    </row>
    <row r="4595" spans="7:8">
      <c r="G4595" s="168">
        <v>4592</v>
      </c>
      <c r="H4595" s="183">
        <f t="shared" ca="1" si="113"/>
        <v>-7.559468003233539E-3</v>
      </c>
    </row>
    <row r="4596" spans="7:8">
      <c r="G4596" s="168">
        <v>4593</v>
      </c>
      <c r="H4596" s="183">
        <f t="shared" ca="1" si="113"/>
        <v>1.2280959687885284E-2</v>
      </c>
    </row>
    <row r="4597" spans="7:8">
      <c r="G4597" s="168">
        <v>4594</v>
      </c>
      <c r="H4597" s="183">
        <f t="shared" ca="1" si="113"/>
        <v>-2.0509660790020923E-2</v>
      </c>
    </row>
    <row r="4598" spans="7:8">
      <c r="G4598" s="168">
        <v>4595</v>
      </c>
      <c r="H4598" s="183">
        <f t="shared" ca="1" si="113"/>
        <v>1.0729775741963909E-2</v>
      </c>
    </row>
    <row r="4599" spans="7:8">
      <c r="G4599" s="168">
        <v>4596</v>
      </c>
      <c r="H4599" s="183">
        <f t="shared" ca="1" si="113"/>
        <v>2.2579845826851633E-2</v>
      </c>
    </row>
    <row r="4600" spans="7:8">
      <c r="G4600" s="168">
        <v>4597</v>
      </c>
      <c r="H4600" s="183">
        <f t="shared" ca="1" si="113"/>
        <v>-8.123309803506798E-3</v>
      </c>
    </row>
    <row r="4601" spans="7:8">
      <c r="G4601" s="168">
        <v>4598</v>
      </c>
      <c r="H4601" s="183">
        <f t="shared" ca="1" si="113"/>
        <v>3.5638770610146022E-3</v>
      </c>
    </row>
    <row r="4602" spans="7:8">
      <c r="G4602" s="168">
        <v>4599</v>
      </c>
      <c r="H4602" s="183">
        <f t="shared" ca="1" si="113"/>
        <v>2.5905130202486408E-2</v>
      </c>
    </row>
    <row r="4603" spans="7:8">
      <c r="G4603" s="168">
        <v>4600</v>
      </c>
      <c r="H4603" s="183">
        <f t="shared" ca="1" si="113"/>
        <v>4.9606003967076363E-3</v>
      </c>
    </row>
    <row r="4604" spans="7:8">
      <c r="G4604" s="168">
        <v>4601</v>
      </c>
      <c r="H4604" s="183">
        <f t="shared" ca="1" si="113"/>
        <v>-2.8082268804532646E-3</v>
      </c>
    </row>
    <row r="4605" spans="7:8">
      <c r="G4605" s="168">
        <v>4602</v>
      </c>
      <c r="H4605" s="183">
        <f t="shared" ca="1" si="113"/>
        <v>1.8752995542558104E-2</v>
      </c>
    </row>
    <row r="4606" spans="7:8">
      <c r="G4606" s="168">
        <v>4603</v>
      </c>
      <c r="H4606" s="183">
        <f t="shared" ca="1" si="113"/>
        <v>1.719080991371422E-2</v>
      </c>
    </row>
    <row r="4607" spans="7:8">
      <c r="G4607" s="168">
        <v>4604</v>
      </c>
      <c r="H4607" s="183">
        <f t="shared" ca="1" si="113"/>
        <v>-6.7970835568673888E-3</v>
      </c>
    </row>
    <row r="4608" spans="7:8">
      <c r="G4608" s="168">
        <v>4605</v>
      </c>
      <c r="H4608" s="183">
        <f t="shared" ca="1" si="113"/>
        <v>5.6565210703798333E-3</v>
      </c>
    </row>
    <row r="4609" spans="7:8">
      <c r="G4609" s="168">
        <v>4606</v>
      </c>
      <c r="H4609" s="183">
        <f t="shared" ca="1" si="113"/>
        <v>-6.0750209546692165E-3</v>
      </c>
    </row>
    <row r="4610" spans="7:8">
      <c r="G4610" s="168">
        <v>4607</v>
      </c>
      <c r="H4610" s="183">
        <f t="shared" ca="1" si="113"/>
        <v>6.3647477076288674E-3</v>
      </c>
    </row>
    <row r="4611" spans="7:8">
      <c r="G4611" s="168">
        <v>4608</v>
      </c>
      <c r="H4611" s="183">
        <f t="shared" ca="1" si="113"/>
        <v>1.9208140640539655E-2</v>
      </c>
    </row>
    <row r="4612" spans="7:8">
      <c r="G4612" s="168">
        <v>4609</v>
      </c>
      <c r="H4612" s="183">
        <f t="shared" ca="1" si="113"/>
        <v>1.7264181752583003E-2</v>
      </c>
    </row>
    <row r="4613" spans="7:8">
      <c r="G4613" s="168">
        <v>4610</v>
      </c>
      <c r="H4613" s="183">
        <f t="shared" ref="H4613:H4676" ca="1" si="114">_xlfn.NORM.INV(RAND(),N$6,N$7)</f>
        <v>7.408938402169149E-3</v>
      </c>
    </row>
    <row r="4614" spans="7:8">
      <c r="G4614" s="168">
        <v>4611</v>
      </c>
      <c r="H4614" s="183">
        <f t="shared" ca="1" si="114"/>
        <v>1.597061253495418E-2</v>
      </c>
    </row>
    <row r="4615" spans="7:8">
      <c r="G4615" s="168">
        <v>4612</v>
      </c>
      <c r="H4615" s="183">
        <f t="shared" ca="1" si="114"/>
        <v>3.7882072014303399E-3</v>
      </c>
    </row>
    <row r="4616" spans="7:8">
      <c r="G4616" s="168">
        <v>4613</v>
      </c>
      <c r="H4616" s="183">
        <f t="shared" ca="1" si="114"/>
        <v>4.1954494863219189E-3</v>
      </c>
    </row>
    <row r="4617" spans="7:8">
      <c r="G4617" s="168">
        <v>4614</v>
      </c>
      <c r="H4617" s="183">
        <f t="shared" ca="1" si="114"/>
        <v>-2.6784506336263048E-3</v>
      </c>
    </row>
    <row r="4618" spans="7:8">
      <c r="G4618" s="168">
        <v>4615</v>
      </c>
      <c r="H4618" s="183">
        <f t="shared" ca="1" si="114"/>
        <v>8.3267626559401509E-3</v>
      </c>
    </row>
    <row r="4619" spans="7:8">
      <c r="G4619" s="168">
        <v>4616</v>
      </c>
      <c r="H4619" s="183">
        <f t="shared" ca="1" si="114"/>
        <v>-1.830720534451837E-3</v>
      </c>
    </row>
    <row r="4620" spans="7:8">
      <c r="G4620" s="168">
        <v>4617</v>
      </c>
      <c r="H4620" s="183">
        <f t="shared" ca="1" si="114"/>
        <v>5.242229746444697E-3</v>
      </c>
    </row>
    <row r="4621" spans="7:8">
      <c r="G4621" s="168">
        <v>4618</v>
      </c>
      <c r="H4621" s="183">
        <f t="shared" ca="1" si="114"/>
        <v>1.5810888171147515E-2</v>
      </c>
    </row>
    <row r="4622" spans="7:8">
      <c r="G4622" s="168">
        <v>4619</v>
      </c>
      <c r="H4622" s="183">
        <f t="shared" ca="1" si="114"/>
        <v>1.5120873796540486E-2</v>
      </c>
    </row>
    <row r="4623" spans="7:8">
      <c r="G4623" s="168">
        <v>4620</v>
      </c>
      <c r="H4623" s="183">
        <f t="shared" ca="1" si="114"/>
        <v>-1.0340834121551349E-2</v>
      </c>
    </row>
    <row r="4624" spans="7:8">
      <c r="G4624" s="168">
        <v>4621</v>
      </c>
      <c r="H4624" s="183">
        <f t="shared" ca="1" si="114"/>
        <v>-2.3868697564880673E-3</v>
      </c>
    </row>
    <row r="4625" spans="7:8">
      <c r="G4625" s="168">
        <v>4622</v>
      </c>
      <c r="H4625" s="183">
        <f t="shared" ca="1" si="114"/>
        <v>3.1386482252935767E-3</v>
      </c>
    </row>
    <row r="4626" spans="7:8">
      <c r="G4626" s="168">
        <v>4623</v>
      </c>
      <c r="H4626" s="183">
        <f t="shared" ca="1" si="114"/>
        <v>1.8518229041589341E-3</v>
      </c>
    </row>
    <row r="4627" spans="7:8">
      <c r="G4627" s="168">
        <v>4624</v>
      </c>
      <c r="H4627" s="183">
        <f t="shared" ca="1" si="114"/>
        <v>-1.4466541609313419E-2</v>
      </c>
    </row>
    <row r="4628" spans="7:8">
      <c r="G4628" s="168">
        <v>4625</v>
      </c>
      <c r="H4628" s="183">
        <f t="shared" ca="1" si="114"/>
        <v>-9.8055077707804063E-3</v>
      </c>
    </row>
    <row r="4629" spans="7:8">
      <c r="G4629" s="168">
        <v>4626</v>
      </c>
      <c r="H4629" s="183">
        <f t="shared" ca="1" si="114"/>
        <v>1.124661050613816E-2</v>
      </c>
    </row>
    <row r="4630" spans="7:8">
      <c r="G4630" s="168">
        <v>4627</v>
      </c>
      <c r="H4630" s="183">
        <f t="shared" ca="1" si="114"/>
        <v>-5.6899033976156527E-3</v>
      </c>
    </row>
    <row r="4631" spans="7:8">
      <c r="G4631" s="168">
        <v>4628</v>
      </c>
      <c r="H4631" s="183">
        <f t="shared" ca="1" si="114"/>
        <v>8.7780088858034344E-3</v>
      </c>
    </row>
    <row r="4632" spans="7:8">
      <c r="G4632" s="168">
        <v>4629</v>
      </c>
      <c r="H4632" s="183">
        <f t="shared" ca="1" si="114"/>
        <v>2.2894480051246186E-2</v>
      </c>
    </row>
    <row r="4633" spans="7:8">
      <c r="G4633" s="168">
        <v>4630</v>
      </c>
      <c r="H4633" s="183">
        <f t="shared" ca="1" si="114"/>
        <v>2.0561817312101213E-2</v>
      </c>
    </row>
    <row r="4634" spans="7:8">
      <c r="G4634" s="168">
        <v>4631</v>
      </c>
      <c r="H4634" s="183">
        <f t="shared" ca="1" si="114"/>
        <v>1.129683164043423E-2</v>
      </c>
    </row>
    <row r="4635" spans="7:8">
      <c r="G4635" s="168">
        <v>4632</v>
      </c>
      <c r="H4635" s="183">
        <f t="shared" ca="1" si="114"/>
        <v>-8.2167261239318619E-3</v>
      </c>
    </row>
    <row r="4636" spans="7:8">
      <c r="G4636" s="168">
        <v>4633</v>
      </c>
      <c r="H4636" s="183">
        <f t="shared" ca="1" si="114"/>
        <v>1.455492808951386E-2</v>
      </c>
    </row>
    <row r="4637" spans="7:8">
      <c r="G4637" s="168">
        <v>4634</v>
      </c>
      <c r="H4637" s="183">
        <f t="shared" ca="1" si="114"/>
        <v>2.7499803503130364E-4</v>
      </c>
    </row>
    <row r="4638" spans="7:8">
      <c r="G4638" s="168">
        <v>4635</v>
      </c>
      <c r="H4638" s="183">
        <f t="shared" ca="1" si="114"/>
        <v>-5.6736144285426974E-3</v>
      </c>
    </row>
    <row r="4639" spans="7:8">
      <c r="G4639" s="168">
        <v>4636</v>
      </c>
      <c r="H4639" s="183">
        <f t="shared" ca="1" si="114"/>
        <v>-7.5463606777962473E-3</v>
      </c>
    </row>
    <row r="4640" spans="7:8">
      <c r="G4640" s="168">
        <v>4637</v>
      </c>
      <c r="H4640" s="183">
        <f t="shared" ca="1" si="114"/>
        <v>1.6911049756467608E-2</v>
      </c>
    </row>
    <row r="4641" spans="7:8">
      <c r="G4641" s="168">
        <v>4638</v>
      </c>
      <c r="H4641" s="183">
        <f t="shared" ca="1" si="114"/>
        <v>7.6507188474163237E-3</v>
      </c>
    </row>
    <row r="4642" spans="7:8">
      <c r="G4642" s="168">
        <v>4639</v>
      </c>
      <c r="H4642" s="183">
        <f t="shared" ca="1" si="114"/>
        <v>4.963797847813904E-3</v>
      </c>
    </row>
    <row r="4643" spans="7:8">
      <c r="G4643" s="168">
        <v>4640</v>
      </c>
      <c r="H4643" s="183">
        <f t="shared" ca="1" si="114"/>
        <v>-9.5488294018283189E-3</v>
      </c>
    </row>
    <row r="4644" spans="7:8">
      <c r="G4644" s="168">
        <v>4641</v>
      </c>
      <c r="H4644" s="183">
        <f t="shared" ca="1" si="114"/>
        <v>1.6170492952056654E-2</v>
      </c>
    </row>
    <row r="4645" spans="7:8">
      <c r="G4645" s="168">
        <v>4642</v>
      </c>
      <c r="H4645" s="183">
        <f t="shared" ca="1" si="114"/>
        <v>5.5706952006743422E-3</v>
      </c>
    </row>
    <row r="4646" spans="7:8">
      <c r="G4646" s="168">
        <v>4643</v>
      </c>
      <c r="H4646" s="183">
        <f t="shared" ca="1" si="114"/>
        <v>1.8260809490681717E-2</v>
      </c>
    </row>
    <row r="4647" spans="7:8">
      <c r="G4647" s="168">
        <v>4644</v>
      </c>
      <c r="H4647" s="183">
        <f t="shared" ca="1" si="114"/>
        <v>-1.546175231188561E-2</v>
      </c>
    </row>
    <row r="4648" spans="7:8">
      <c r="G4648" s="168">
        <v>4645</v>
      </c>
      <c r="H4648" s="183">
        <f t="shared" ca="1" si="114"/>
        <v>2.104915278959139E-2</v>
      </c>
    </row>
    <row r="4649" spans="7:8">
      <c r="G4649" s="168">
        <v>4646</v>
      </c>
      <c r="H4649" s="183">
        <f t="shared" ca="1" si="114"/>
        <v>-2.3986659601500766E-2</v>
      </c>
    </row>
    <row r="4650" spans="7:8">
      <c r="G4650" s="168">
        <v>4647</v>
      </c>
      <c r="H4650" s="183">
        <f t="shared" ca="1" si="114"/>
        <v>-2.2053308490422332E-2</v>
      </c>
    </row>
    <row r="4651" spans="7:8">
      <c r="G4651" s="168">
        <v>4648</v>
      </c>
      <c r="H4651" s="183">
        <f t="shared" ca="1" si="114"/>
        <v>-5.0621182658854144E-3</v>
      </c>
    </row>
    <row r="4652" spans="7:8">
      <c r="G4652" s="168">
        <v>4649</v>
      </c>
      <c r="H4652" s="183">
        <f t="shared" ca="1" si="114"/>
        <v>-7.6100975585435245E-3</v>
      </c>
    </row>
    <row r="4653" spans="7:8">
      <c r="G4653" s="168">
        <v>4650</v>
      </c>
      <c r="H4653" s="183">
        <f t="shared" ca="1" si="114"/>
        <v>9.7025217224179245E-4</v>
      </c>
    </row>
    <row r="4654" spans="7:8">
      <c r="G4654" s="168">
        <v>4651</v>
      </c>
      <c r="H4654" s="183">
        <f t="shared" ca="1" si="114"/>
        <v>4.9072088529429235E-3</v>
      </c>
    </row>
    <row r="4655" spans="7:8">
      <c r="G4655" s="168">
        <v>4652</v>
      </c>
      <c r="H4655" s="183">
        <f t="shared" ca="1" si="114"/>
        <v>1.3261207645741058E-2</v>
      </c>
    </row>
    <row r="4656" spans="7:8">
      <c r="G4656" s="168">
        <v>4653</v>
      </c>
      <c r="H4656" s="183">
        <f t="shared" ca="1" si="114"/>
        <v>8.2272159353428704E-3</v>
      </c>
    </row>
    <row r="4657" spans="7:8">
      <c r="G4657" s="168">
        <v>4654</v>
      </c>
      <c r="H4657" s="183">
        <f t="shared" ca="1" si="114"/>
        <v>-1.3639746342606691E-2</v>
      </c>
    </row>
    <row r="4658" spans="7:8">
      <c r="G4658" s="168">
        <v>4655</v>
      </c>
      <c r="H4658" s="183">
        <f t="shared" ca="1" si="114"/>
        <v>-1.2921160616956008E-2</v>
      </c>
    </row>
    <row r="4659" spans="7:8">
      <c r="G4659" s="168">
        <v>4656</v>
      </c>
      <c r="H4659" s="183">
        <f t="shared" ca="1" si="114"/>
        <v>2.8275563462604888E-3</v>
      </c>
    </row>
    <row r="4660" spans="7:8">
      <c r="G4660" s="168">
        <v>4657</v>
      </c>
      <c r="H4660" s="183">
        <f t="shared" ca="1" si="114"/>
        <v>3.1777107652179552E-3</v>
      </c>
    </row>
    <row r="4661" spans="7:8">
      <c r="G4661" s="168">
        <v>4658</v>
      </c>
      <c r="H4661" s="183">
        <f t="shared" ca="1" si="114"/>
        <v>2.4497797652074521E-2</v>
      </c>
    </row>
    <row r="4662" spans="7:8">
      <c r="G4662" s="168">
        <v>4659</v>
      </c>
      <c r="H4662" s="183">
        <f t="shared" ca="1" si="114"/>
        <v>1.3556589539985328E-2</v>
      </c>
    </row>
    <row r="4663" spans="7:8">
      <c r="G4663" s="168">
        <v>4660</v>
      </c>
      <c r="H4663" s="183">
        <f t="shared" ca="1" si="114"/>
        <v>1.8045936157099256E-2</v>
      </c>
    </row>
    <row r="4664" spans="7:8">
      <c r="G4664" s="168">
        <v>4661</v>
      </c>
      <c r="H4664" s="183">
        <f t="shared" ca="1" si="114"/>
        <v>1.8888383957337409E-2</v>
      </c>
    </row>
    <row r="4665" spans="7:8">
      <c r="G4665" s="168">
        <v>4662</v>
      </c>
      <c r="H4665" s="183">
        <f t="shared" ca="1" si="114"/>
        <v>3.1260547892165572E-3</v>
      </c>
    </row>
    <row r="4666" spans="7:8">
      <c r="G4666" s="168">
        <v>4663</v>
      </c>
      <c r="H4666" s="183">
        <f t="shared" ca="1" si="114"/>
        <v>1.1981644181960162E-2</v>
      </c>
    </row>
    <row r="4667" spans="7:8">
      <c r="G4667" s="168">
        <v>4664</v>
      </c>
      <c r="H4667" s="183">
        <f t="shared" ca="1" si="114"/>
        <v>1.5249216146985947E-2</v>
      </c>
    </row>
    <row r="4668" spans="7:8">
      <c r="G4668" s="168">
        <v>4665</v>
      </c>
      <c r="H4668" s="183">
        <f t="shared" ca="1" si="114"/>
        <v>-2.0563116222335902E-2</v>
      </c>
    </row>
    <row r="4669" spans="7:8">
      <c r="G4669" s="168">
        <v>4666</v>
      </c>
      <c r="H4669" s="183">
        <f t="shared" ca="1" si="114"/>
        <v>-9.6444870740926177E-3</v>
      </c>
    </row>
    <row r="4670" spans="7:8">
      <c r="G4670" s="168">
        <v>4667</v>
      </c>
      <c r="H4670" s="183">
        <f t="shared" ca="1" si="114"/>
        <v>-1.6100384891717404E-2</v>
      </c>
    </row>
    <row r="4671" spans="7:8">
      <c r="G4671" s="168">
        <v>4668</v>
      </c>
      <c r="H4671" s="183">
        <f t="shared" ca="1" si="114"/>
        <v>-8.9854344580993645E-3</v>
      </c>
    </row>
    <row r="4672" spans="7:8">
      <c r="G4672" s="168">
        <v>4669</v>
      </c>
      <c r="H4672" s="183">
        <f t="shared" ca="1" si="114"/>
        <v>-2.1169443583896316E-2</v>
      </c>
    </row>
    <row r="4673" spans="7:8">
      <c r="G4673" s="168">
        <v>4670</v>
      </c>
      <c r="H4673" s="183">
        <f t="shared" ca="1" si="114"/>
        <v>3.8014336563334289E-3</v>
      </c>
    </row>
    <row r="4674" spans="7:8">
      <c r="G4674" s="168">
        <v>4671</v>
      </c>
      <c r="H4674" s="183">
        <f t="shared" ca="1" si="114"/>
        <v>2.3372972579978713E-2</v>
      </c>
    </row>
    <row r="4675" spans="7:8">
      <c r="G4675" s="168">
        <v>4672</v>
      </c>
      <c r="H4675" s="183">
        <f t="shared" ca="1" si="114"/>
        <v>-1.2606292246137723E-2</v>
      </c>
    </row>
    <row r="4676" spans="7:8">
      <c r="G4676" s="168">
        <v>4673</v>
      </c>
      <c r="H4676" s="183">
        <f t="shared" ca="1" si="114"/>
        <v>3.2278348702573867E-3</v>
      </c>
    </row>
    <row r="4677" spans="7:8">
      <c r="G4677" s="168">
        <v>4674</v>
      </c>
      <c r="H4677" s="183">
        <f t="shared" ref="H4677:H4740" ca="1" si="115">_xlfn.NORM.INV(RAND(),N$6,N$7)</f>
        <v>1.2300808649375061E-2</v>
      </c>
    </row>
    <row r="4678" spans="7:8">
      <c r="G4678" s="168">
        <v>4675</v>
      </c>
      <c r="H4678" s="183">
        <f t="shared" ca="1" si="115"/>
        <v>3.4177076168818286E-2</v>
      </c>
    </row>
    <row r="4679" spans="7:8">
      <c r="G4679" s="168">
        <v>4676</v>
      </c>
      <c r="H4679" s="183">
        <f t="shared" ca="1" si="115"/>
        <v>-1.1608571876854813E-2</v>
      </c>
    </row>
    <row r="4680" spans="7:8">
      <c r="G4680" s="168">
        <v>4677</v>
      </c>
      <c r="H4680" s="183">
        <f t="shared" ca="1" si="115"/>
        <v>-2.8761645060950422E-4</v>
      </c>
    </row>
    <row r="4681" spans="7:8">
      <c r="G4681" s="168">
        <v>4678</v>
      </c>
      <c r="H4681" s="183">
        <f t="shared" ca="1" si="115"/>
        <v>5.3713047335694373E-3</v>
      </c>
    </row>
    <row r="4682" spans="7:8">
      <c r="G4682" s="168">
        <v>4679</v>
      </c>
      <c r="H4682" s="183">
        <f t="shared" ca="1" si="115"/>
        <v>1.2642212763291354E-2</v>
      </c>
    </row>
    <row r="4683" spans="7:8">
      <c r="G4683" s="168">
        <v>4680</v>
      </c>
      <c r="H4683" s="183">
        <f t="shared" ca="1" si="115"/>
        <v>-1.5785991232556171E-2</v>
      </c>
    </row>
    <row r="4684" spans="7:8">
      <c r="G4684" s="168">
        <v>4681</v>
      </c>
      <c r="H4684" s="183">
        <f t="shared" ca="1" si="115"/>
        <v>1.5160210180368991E-2</v>
      </c>
    </row>
    <row r="4685" spans="7:8">
      <c r="G4685" s="168">
        <v>4682</v>
      </c>
      <c r="H4685" s="183">
        <f t="shared" ca="1" si="115"/>
        <v>5.9580968132709571E-3</v>
      </c>
    </row>
    <row r="4686" spans="7:8">
      <c r="G4686" s="168">
        <v>4683</v>
      </c>
      <c r="H4686" s="183">
        <f t="shared" ca="1" si="115"/>
        <v>-1.0753173494174449E-2</v>
      </c>
    </row>
    <row r="4687" spans="7:8">
      <c r="G4687" s="168">
        <v>4684</v>
      </c>
      <c r="H4687" s="183">
        <f t="shared" ca="1" si="115"/>
        <v>-1.0347573562175558E-2</v>
      </c>
    </row>
    <row r="4688" spans="7:8">
      <c r="G4688" s="168">
        <v>4685</v>
      </c>
      <c r="H4688" s="183">
        <f t="shared" ca="1" si="115"/>
        <v>-1.038778015671012E-2</v>
      </c>
    </row>
    <row r="4689" spans="7:8">
      <c r="G4689" s="168">
        <v>4686</v>
      </c>
      <c r="H4689" s="183">
        <f t="shared" ca="1" si="115"/>
        <v>-1.074375406881891E-2</v>
      </c>
    </row>
    <row r="4690" spans="7:8">
      <c r="G4690" s="168">
        <v>4687</v>
      </c>
      <c r="H4690" s="183">
        <f t="shared" ca="1" si="115"/>
        <v>-3.1053436539603147E-3</v>
      </c>
    </row>
    <row r="4691" spans="7:8">
      <c r="G4691" s="168">
        <v>4688</v>
      </c>
      <c r="H4691" s="183">
        <f t="shared" ca="1" si="115"/>
        <v>5.7132177003557296E-3</v>
      </c>
    </row>
    <row r="4692" spans="7:8">
      <c r="G4692" s="168">
        <v>4689</v>
      </c>
      <c r="H4692" s="183">
        <f t="shared" ca="1" si="115"/>
        <v>1.0857781051108111E-2</v>
      </c>
    </row>
    <row r="4693" spans="7:8">
      <c r="G4693" s="168">
        <v>4690</v>
      </c>
      <c r="H4693" s="183">
        <f t="shared" ca="1" si="115"/>
        <v>-1.403365975917336E-2</v>
      </c>
    </row>
    <row r="4694" spans="7:8">
      <c r="G4694" s="168">
        <v>4691</v>
      </c>
      <c r="H4694" s="183">
        <f t="shared" ca="1" si="115"/>
        <v>9.3934161970204103E-3</v>
      </c>
    </row>
    <row r="4695" spans="7:8">
      <c r="G4695" s="168">
        <v>4692</v>
      </c>
      <c r="H4695" s="183">
        <f t="shared" ca="1" si="115"/>
        <v>3.1007219774889204E-3</v>
      </c>
    </row>
    <row r="4696" spans="7:8">
      <c r="G4696" s="168">
        <v>4693</v>
      </c>
      <c r="H4696" s="183">
        <f t="shared" ca="1" si="115"/>
        <v>4.8716375596491741E-3</v>
      </c>
    </row>
    <row r="4697" spans="7:8">
      <c r="G4697" s="168">
        <v>4694</v>
      </c>
      <c r="H4697" s="183">
        <f t="shared" ca="1" si="115"/>
        <v>5.559373316976912E-3</v>
      </c>
    </row>
    <row r="4698" spans="7:8">
      <c r="G4698" s="168">
        <v>4695</v>
      </c>
      <c r="H4698" s="183">
        <f t="shared" ca="1" si="115"/>
        <v>-3.9624594154894915E-3</v>
      </c>
    </row>
    <row r="4699" spans="7:8">
      <c r="G4699" s="168">
        <v>4696</v>
      </c>
      <c r="H4699" s="183">
        <f t="shared" ca="1" si="115"/>
        <v>3.0485161516302667E-3</v>
      </c>
    </row>
    <row r="4700" spans="7:8">
      <c r="G4700" s="168">
        <v>4697</v>
      </c>
      <c r="H4700" s="183">
        <f t="shared" ca="1" si="115"/>
        <v>-1.7467854736721314E-2</v>
      </c>
    </row>
    <row r="4701" spans="7:8">
      <c r="G4701" s="168">
        <v>4698</v>
      </c>
      <c r="H4701" s="183">
        <f t="shared" ca="1" si="115"/>
        <v>-1.6511452492481954E-2</v>
      </c>
    </row>
    <row r="4702" spans="7:8">
      <c r="G4702" s="168">
        <v>4699</v>
      </c>
      <c r="H4702" s="183">
        <f t="shared" ca="1" si="115"/>
        <v>-2.0620363129255245E-2</v>
      </c>
    </row>
    <row r="4703" spans="7:8">
      <c r="G4703" s="168">
        <v>4700</v>
      </c>
      <c r="H4703" s="183">
        <f t="shared" ca="1" si="115"/>
        <v>2.6736885927471608E-2</v>
      </c>
    </row>
    <row r="4704" spans="7:8">
      <c r="G4704" s="168">
        <v>4701</v>
      </c>
      <c r="H4704" s="183">
        <f t="shared" ca="1" si="115"/>
        <v>-6.3652639742812264E-4</v>
      </c>
    </row>
    <row r="4705" spans="7:8">
      <c r="G4705" s="168">
        <v>4702</v>
      </c>
      <c r="H4705" s="183">
        <f t="shared" ca="1" si="115"/>
        <v>-1.1384768163935017E-3</v>
      </c>
    </row>
    <row r="4706" spans="7:8">
      <c r="G4706" s="168">
        <v>4703</v>
      </c>
      <c r="H4706" s="183">
        <f t="shared" ca="1" si="115"/>
        <v>5.315067442579615E-3</v>
      </c>
    </row>
    <row r="4707" spans="7:8">
      <c r="G4707" s="168">
        <v>4704</v>
      </c>
      <c r="H4707" s="183">
        <f t="shared" ca="1" si="115"/>
        <v>-5.686699596050543E-3</v>
      </c>
    </row>
    <row r="4708" spans="7:8">
      <c r="G4708" s="168">
        <v>4705</v>
      </c>
      <c r="H4708" s="183">
        <f t="shared" ca="1" si="115"/>
        <v>1.5178954281990346E-2</v>
      </c>
    </row>
    <row r="4709" spans="7:8">
      <c r="G4709" s="168">
        <v>4706</v>
      </c>
      <c r="H4709" s="183">
        <f t="shared" ca="1" si="115"/>
        <v>9.629147018304831E-3</v>
      </c>
    </row>
    <row r="4710" spans="7:8">
      <c r="G4710" s="168">
        <v>4707</v>
      </c>
      <c r="H4710" s="183">
        <f t="shared" ca="1" si="115"/>
        <v>9.763239789259066E-3</v>
      </c>
    </row>
    <row r="4711" spans="7:8">
      <c r="G4711" s="168">
        <v>4708</v>
      </c>
      <c r="H4711" s="183">
        <f t="shared" ca="1" si="115"/>
        <v>2.1497049415913497E-3</v>
      </c>
    </row>
    <row r="4712" spans="7:8">
      <c r="G4712" s="168">
        <v>4709</v>
      </c>
      <c r="H4712" s="183">
        <f t="shared" ca="1" si="115"/>
        <v>1.5740151689781642E-2</v>
      </c>
    </row>
    <row r="4713" spans="7:8">
      <c r="G4713" s="168">
        <v>4710</v>
      </c>
      <c r="H4713" s="183">
        <f t="shared" ca="1" si="115"/>
        <v>8.2784983012983947E-3</v>
      </c>
    </row>
    <row r="4714" spans="7:8">
      <c r="G4714" s="168">
        <v>4711</v>
      </c>
      <c r="H4714" s="183">
        <f t="shared" ca="1" si="115"/>
        <v>1.3196663585609593E-2</v>
      </c>
    </row>
    <row r="4715" spans="7:8">
      <c r="G4715" s="168">
        <v>4712</v>
      </c>
      <c r="H4715" s="183">
        <f t="shared" ca="1" si="115"/>
        <v>-1.0744243878094948E-2</v>
      </c>
    </row>
    <row r="4716" spans="7:8">
      <c r="G4716" s="168">
        <v>4713</v>
      </c>
      <c r="H4716" s="183">
        <f t="shared" ca="1" si="115"/>
        <v>-1.1395824610813638E-2</v>
      </c>
    </row>
    <row r="4717" spans="7:8">
      <c r="G4717" s="168">
        <v>4714</v>
      </c>
      <c r="H4717" s="183">
        <f t="shared" ca="1" si="115"/>
        <v>9.2422179165304848E-4</v>
      </c>
    </row>
    <row r="4718" spans="7:8">
      <c r="G4718" s="168">
        <v>4715</v>
      </c>
      <c r="H4718" s="183">
        <f t="shared" ca="1" si="115"/>
        <v>1.0758922932632874E-2</v>
      </c>
    </row>
    <row r="4719" spans="7:8">
      <c r="G4719" s="168">
        <v>4716</v>
      </c>
      <c r="H4719" s="183">
        <f t="shared" ca="1" si="115"/>
        <v>2.5294527223979003E-2</v>
      </c>
    </row>
    <row r="4720" spans="7:8">
      <c r="G4720" s="168">
        <v>4717</v>
      </c>
      <c r="H4720" s="183">
        <f t="shared" ca="1" si="115"/>
        <v>8.9942027613338985E-3</v>
      </c>
    </row>
    <row r="4721" spans="7:8">
      <c r="G4721" s="168">
        <v>4718</v>
      </c>
      <c r="H4721" s="183">
        <f t="shared" ca="1" si="115"/>
        <v>6.8006499254489464E-3</v>
      </c>
    </row>
    <row r="4722" spans="7:8">
      <c r="G4722" s="168">
        <v>4719</v>
      </c>
      <c r="H4722" s="183">
        <f t="shared" ca="1" si="115"/>
        <v>1.3682821899266614E-2</v>
      </c>
    </row>
    <row r="4723" spans="7:8">
      <c r="G4723" s="168">
        <v>4720</v>
      </c>
      <c r="H4723" s="183">
        <f t="shared" ca="1" si="115"/>
        <v>-2.1212944723186218E-3</v>
      </c>
    </row>
    <row r="4724" spans="7:8">
      <c r="G4724" s="168">
        <v>4721</v>
      </c>
      <c r="H4724" s="183">
        <f t="shared" ca="1" si="115"/>
        <v>7.1805147186040398E-3</v>
      </c>
    </row>
    <row r="4725" spans="7:8">
      <c r="G4725" s="168">
        <v>4722</v>
      </c>
      <c r="H4725" s="183">
        <f t="shared" ca="1" si="115"/>
        <v>1.96008910116824E-2</v>
      </c>
    </row>
    <row r="4726" spans="7:8">
      <c r="G4726" s="168">
        <v>4723</v>
      </c>
      <c r="H4726" s="183">
        <f t="shared" ca="1" si="115"/>
        <v>-7.4958550983568522E-3</v>
      </c>
    </row>
    <row r="4727" spans="7:8">
      <c r="G4727" s="168">
        <v>4724</v>
      </c>
      <c r="H4727" s="183">
        <f t="shared" ca="1" si="115"/>
        <v>1.0358183155002771E-2</v>
      </c>
    </row>
    <row r="4728" spans="7:8">
      <c r="G4728" s="168">
        <v>4725</v>
      </c>
      <c r="H4728" s="183">
        <f t="shared" ca="1" si="115"/>
        <v>-4.918194625038807E-3</v>
      </c>
    </row>
    <row r="4729" spans="7:8">
      <c r="G4729" s="168">
        <v>4726</v>
      </c>
      <c r="H4729" s="183">
        <f t="shared" ca="1" si="115"/>
        <v>5.7265098249125231E-3</v>
      </c>
    </row>
    <row r="4730" spans="7:8">
      <c r="G4730" s="168">
        <v>4727</v>
      </c>
      <c r="H4730" s="183">
        <f t="shared" ca="1" si="115"/>
        <v>2.9515219251164022E-4</v>
      </c>
    </row>
    <row r="4731" spans="7:8">
      <c r="G4731" s="168">
        <v>4728</v>
      </c>
      <c r="H4731" s="183">
        <f t="shared" ca="1" si="115"/>
        <v>-2.4517136726453087E-3</v>
      </c>
    </row>
    <row r="4732" spans="7:8">
      <c r="G4732" s="168">
        <v>4729</v>
      </c>
      <c r="H4732" s="183">
        <f t="shared" ca="1" si="115"/>
        <v>1.0455623232505432E-2</v>
      </c>
    </row>
    <row r="4733" spans="7:8">
      <c r="G4733" s="168">
        <v>4730</v>
      </c>
      <c r="H4733" s="183">
        <f t="shared" ca="1" si="115"/>
        <v>1.0633081546721971E-3</v>
      </c>
    </row>
    <row r="4734" spans="7:8">
      <c r="G4734" s="168">
        <v>4731</v>
      </c>
      <c r="H4734" s="183">
        <f t="shared" ca="1" si="115"/>
        <v>-4.6354715834108834E-3</v>
      </c>
    </row>
    <row r="4735" spans="7:8">
      <c r="G4735" s="168">
        <v>4732</v>
      </c>
      <c r="H4735" s="183">
        <f t="shared" ca="1" si="115"/>
        <v>1.8243346169626816E-3</v>
      </c>
    </row>
    <row r="4736" spans="7:8">
      <c r="G4736" s="168">
        <v>4733</v>
      </c>
      <c r="H4736" s="183">
        <f t="shared" ca="1" si="115"/>
        <v>1.2268813435461576E-2</v>
      </c>
    </row>
    <row r="4737" spans="7:8">
      <c r="G4737" s="168">
        <v>4734</v>
      </c>
      <c r="H4737" s="183">
        <f t="shared" ca="1" si="115"/>
        <v>2.1513927733579534E-3</v>
      </c>
    </row>
    <row r="4738" spans="7:8">
      <c r="G4738" s="168">
        <v>4735</v>
      </c>
      <c r="H4738" s="183">
        <f t="shared" ca="1" si="115"/>
        <v>-3.2578030126126081E-3</v>
      </c>
    </row>
    <row r="4739" spans="7:8">
      <c r="G4739" s="168">
        <v>4736</v>
      </c>
      <c r="H4739" s="183">
        <f t="shared" ca="1" si="115"/>
        <v>-5.3296444348894063E-3</v>
      </c>
    </row>
    <row r="4740" spans="7:8">
      <c r="G4740" s="168">
        <v>4737</v>
      </c>
      <c r="H4740" s="183">
        <f t="shared" ca="1" si="115"/>
        <v>-2.3886608214868647E-2</v>
      </c>
    </row>
    <row r="4741" spans="7:8">
      <c r="G4741" s="168">
        <v>4738</v>
      </c>
      <c r="H4741" s="183">
        <f t="shared" ref="H4741:H4804" ca="1" si="116">_xlfn.NORM.INV(RAND(),N$6,N$7)</f>
        <v>5.3137652098800125E-3</v>
      </c>
    </row>
    <row r="4742" spans="7:8">
      <c r="G4742" s="168">
        <v>4739</v>
      </c>
      <c r="H4742" s="183">
        <f t="shared" ca="1" si="116"/>
        <v>3.8721538855066746E-3</v>
      </c>
    </row>
    <row r="4743" spans="7:8">
      <c r="G4743" s="168">
        <v>4740</v>
      </c>
      <c r="H4743" s="183">
        <f t="shared" ca="1" si="116"/>
        <v>-1.508577395325153E-2</v>
      </c>
    </row>
    <row r="4744" spans="7:8">
      <c r="G4744" s="168">
        <v>4741</v>
      </c>
      <c r="H4744" s="183">
        <f t="shared" ca="1" si="116"/>
        <v>1.0975672067939011E-2</v>
      </c>
    </row>
    <row r="4745" spans="7:8">
      <c r="G4745" s="168">
        <v>4742</v>
      </c>
      <c r="H4745" s="183">
        <f t="shared" ca="1" si="116"/>
        <v>4.7239285384570616E-3</v>
      </c>
    </row>
    <row r="4746" spans="7:8">
      <c r="G4746" s="168">
        <v>4743</v>
      </c>
      <c r="H4746" s="183">
        <f t="shared" ca="1" si="116"/>
        <v>-3.4116481737963677E-3</v>
      </c>
    </row>
    <row r="4747" spans="7:8">
      <c r="G4747" s="168">
        <v>4744</v>
      </c>
      <c r="H4747" s="183">
        <f t="shared" ca="1" si="116"/>
        <v>2.3188087764937453E-2</v>
      </c>
    </row>
    <row r="4748" spans="7:8">
      <c r="G4748" s="168">
        <v>4745</v>
      </c>
      <c r="H4748" s="183">
        <f t="shared" ca="1" si="116"/>
        <v>1.1202876042976716E-2</v>
      </c>
    </row>
    <row r="4749" spans="7:8">
      <c r="G4749" s="168">
        <v>4746</v>
      </c>
      <c r="H4749" s="183">
        <f t="shared" ca="1" si="116"/>
        <v>-2.3868212965572821E-3</v>
      </c>
    </row>
    <row r="4750" spans="7:8">
      <c r="G4750" s="168">
        <v>4747</v>
      </c>
      <c r="H4750" s="183">
        <f t="shared" ca="1" si="116"/>
        <v>9.2514497560911985E-3</v>
      </c>
    </row>
    <row r="4751" spans="7:8">
      <c r="G4751" s="168">
        <v>4748</v>
      </c>
      <c r="H4751" s="183">
        <f t="shared" ca="1" si="116"/>
        <v>-1.6501353054942752E-2</v>
      </c>
    </row>
    <row r="4752" spans="7:8">
      <c r="G4752" s="168">
        <v>4749</v>
      </c>
      <c r="H4752" s="183">
        <f t="shared" ca="1" si="116"/>
        <v>1.3996428068177736E-2</v>
      </c>
    </row>
    <row r="4753" spans="7:8">
      <c r="G4753" s="168">
        <v>4750</v>
      </c>
      <c r="H4753" s="183">
        <f t="shared" ca="1" si="116"/>
        <v>1.0522507590001839E-2</v>
      </c>
    </row>
    <row r="4754" spans="7:8">
      <c r="G4754" s="168">
        <v>4751</v>
      </c>
      <c r="H4754" s="183">
        <f t="shared" ca="1" si="116"/>
        <v>-1.9263497296826016E-3</v>
      </c>
    </row>
    <row r="4755" spans="7:8">
      <c r="G4755" s="168">
        <v>4752</v>
      </c>
      <c r="H4755" s="183">
        <f t="shared" ca="1" si="116"/>
        <v>1.6160291593235057E-3</v>
      </c>
    </row>
    <row r="4756" spans="7:8">
      <c r="G4756" s="168">
        <v>4753</v>
      </c>
      <c r="H4756" s="183">
        <f t="shared" ca="1" si="116"/>
        <v>2.4148821155910667E-2</v>
      </c>
    </row>
    <row r="4757" spans="7:8">
      <c r="G4757" s="168">
        <v>4754</v>
      </c>
      <c r="H4757" s="183">
        <f t="shared" ca="1" si="116"/>
        <v>4.6822249373877876E-3</v>
      </c>
    </row>
    <row r="4758" spans="7:8">
      <c r="G4758" s="168">
        <v>4755</v>
      </c>
      <c r="H4758" s="183">
        <f t="shared" ca="1" si="116"/>
        <v>1.784041883669658E-2</v>
      </c>
    </row>
    <row r="4759" spans="7:8">
      <c r="G4759" s="168">
        <v>4756</v>
      </c>
      <c r="H4759" s="183">
        <f t="shared" ca="1" si="116"/>
        <v>8.7229702600674502E-3</v>
      </c>
    </row>
    <row r="4760" spans="7:8">
      <c r="G4760" s="168">
        <v>4757</v>
      </c>
      <c r="H4760" s="183">
        <f t="shared" ca="1" si="116"/>
        <v>-4.2091580366115672E-4</v>
      </c>
    </row>
    <row r="4761" spans="7:8">
      <c r="G4761" s="168">
        <v>4758</v>
      </c>
      <c r="H4761" s="183">
        <f t="shared" ca="1" si="116"/>
        <v>-2.3585480708697582E-3</v>
      </c>
    </row>
    <row r="4762" spans="7:8">
      <c r="G4762" s="168">
        <v>4759</v>
      </c>
      <c r="H4762" s="183">
        <f t="shared" ca="1" si="116"/>
        <v>8.7689405406939022E-3</v>
      </c>
    </row>
    <row r="4763" spans="7:8">
      <c r="G4763" s="168">
        <v>4760</v>
      </c>
      <c r="H4763" s="183">
        <f t="shared" ca="1" si="116"/>
        <v>-1.1264766534642822E-2</v>
      </c>
    </row>
    <row r="4764" spans="7:8">
      <c r="G4764" s="168">
        <v>4761</v>
      </c>
      <c r="H4764" s="183">
        <f t="shared" ca="1" si="116"/>
        <v>1.6236074945680714E-2</v>
      </c>
    </row>
    <row r="4765" spans="7:8">
      <c r="G4765" s="168">
        <v>4762</v>
      </c>
      <c r="H4765" s="183">
        <f t="shared" ca="1" si="116"/>
        <v>-1.544407822458369E-3</v>
      </c>
    </row>
    <row r="4766" spans="7:8">
      <c r="G4766" s="168">
        <v>4763</v>
      </c>
      <c r="H4766" s="183">
        <f t="shared" ca="1" si="116"/>
        <v>-1.1230380909735244E-2</v>
      </c>
    </row>
    <row r="4767" spans="7:8">
      <c r="G4767" s="168">
        <v>4764</v>
      </c>
      <c r="H4767" s="183">
        <f t="shared" ca="1" si="116"/>
        <v>-8.9247678017836517E-5</v>
      </c>
    </row>
    <row r="4768" spans="7:8">
      <c r="G4768" s="168">
        <v>4765</v>
      </c>
      <c r="H4768" s="183">
        <f t="shared" ca="1" si="116"/>
        <v>-1.9172985993831486E-3</v>
      </c>
    </row>
    <row r="4769" spans="7:8">
      <c r="G4769" s="168">
        <v>4766</v>
      </c>
      <c r="H4769" s="183">
        <f t="shared" ca="1" si="116"/>
        <v>3.5939146175046456E-3</v>
      </c>
    </row>
    <row r="4770" spans="7:8">
      <c r="G4770" s="168">
        <v>4767</v>
      </c>
      <c r="H4770" s="183">
        <f t="shared" ca="1" si="116"/>
        <v>4.9624832586278832E-3</v>
      </c>
    </row>
    <row r="4771" spans="7:8">
      <c r="G4771" s="168">
        <v>4768</v>
      </c>
      <c r="H4771" s="183">
        <f t="shared" ca="1" si="116"/>
        <v>1.5593177168686141E-2</v>
      </c>
    </row>
    <row r="4772" spans="7:8">
      <c r="G4772" s="168">
        <v>4769</v>
      </c>
      <c r="H4772" s="183">
        <f t="shared" ca="1" si="116"/>
        <v>-1.6980906649464403E-2</v>
      </c>
    </row>
    <row r="4773" spans="7:8">
      <c r="G4773" s="168">
        <v>4770</v>
      </c>
      <c r="H4773" s="183">
        <f t="shared" ca="1" si="116"/>
        <v>1.2077291629410226E-2</v>
      </c>
    </row>
    <row r="4774" spans="7:8">
      <c r="G4774" s="168">
        <v>4771</v>
      </c>
      <c r="H4774" s="183">
        <f t="shared" ca="1" si="116"/>
        <v>-3.6173961019089623E-3</v>
      </c>
    </row>
    <row r="4775" spans="7:8">
      <c r="G4775" s="168">
        <v>4772</v>
      </c>
      <c r="H4775" s="183">
        <f t="shared" ca="1" si="116"/>
        <v>-3.6891453839935726E-3</v>
      </c>
    </row>
    <row r="4776" spans="7:8">
      <c r="G4776" s="168">
        <v>4773</v>
      </c>
      <c r="H4776" s="183">
        <f t="shared" ca="1" si="116"/>
        <v>2.6936737694354885E-2</v>
      </c>
    </row>
    <row r="4777" spans="7:8">
      <c r="G4777" s="168">
        <v>4774</v>
      </c>
      <c r="H4777" s="183">
        <f t="shared" ca="1" si="116"/>
        <v>1.3186755918904877E-2</v>
      </c>
    </row>
    <row r="4778" spans="7:8">
      <c r="G4778" s="168">
        <v>4775</v>
      </c>
      <c r="H4778" s="183">
        <f t="shared" ca="1" si="116"/>
        <v>4.1863799239396952E-3</v>
      </c>
    </row>
    <row r="4779" spans="7:8">
      <c r="G4779" s="168">
        <v>4776</v>
      </c>
      <c r="H4779" s="183">
        <f t="shared" ca="1" si="116"/>
        <v>1.9567078934850993E-2</v>
      </c>
    </row>
    <row r="4780" spans="7:8">
      <c r="G4780" s="168">
        <v>4777</v>
      </c>
      <c r="H4780" s="183">
        <f t="shared" ca="1" si="116"/>
        <v>1.1597939397448236E-2</v>
      </c>
    </row>
    <row r="4781" spans="7:8">
      <c r="G4781" s="168">
        <v>4778</v>
      </c>
      <c r="H4781" s="183">
        <f t="shared" ca="1" si="116"/>
        <v>4.2073544578158E-3</v>
      </c>
    </row>
    <row r="4782" spans="7:8">
      <c r="G4782" s="168">
        <v>4779</v>
      </c>
      <c r="H4782" s="183">
        <f t="shared" ca="1" si="116"/>
        <v>-1.0705821748539693E-2</v>
      </c>
    </row>
    <row r="4783" spans="7:8">
      <c r="G4783" s="168">
        <v>4780</v>
      </c>
      <c r="H4783" s="183">
        <f t="shared" ca="1" si="116"/>
        <v>-5.1834663631658015E-3</v>
      </c>
    </row>
    <row r="4784" spans="7:8">
      <c r="G4784" s="168">
        <v>4781</v>
      </c>
      <c r="H4784" s="183">
        <f t="shared" ca="1" si="116"/>
        <v>2.4864724232379399E-3</v>
      </c>
    </row>
    <row r="4785" spans="7:8">
      <c r="G4785" s="168">
        <v>4782</v>
      </c>
      <c r="H4785" s="183">
        <f t="shared" ca="1" si="116"/>
        <v>8.7329593817771674E-3</v>
      </c>
    </row>
    <row r="4786" spans="7:8">
      <c r="G4786" s="168">
        <v>4783</v>
      </c>
      <c r="H4786" s="183">
        <f t="shared" ca="1" si="116"/>
        <v>2.1366028318601949E-3</v>
      </c>
    </row>
    <row r="4787" spans="7:8">
      <c r="G4787" s="168">
        <v>4784</v>
      </c>
      <c r="H4787" s="183">
        <f t="shared" ca="1" si="116"/>
        <v>1.6010133147814926E-2</v>
      </c>
    </row>
    <row r="4788" spans="7:8">
      <c r="G4788" s="168">
        <v>4785</v>
      </c>
      <c r="H4788" s="183">
        <f t="shared" ca="1" si="116"/>
        <v>2.7223326721548785E-2</v>
      </c>
    </row>
    <row r="4789" spans="7:8">
      <c r="G4789" s="168">
        <v>4786</v>
      </c>
      <c r="H4789" s="183">
        <f t="shared" ca="1" si="116"/>
        <v>7.8178603670283169E-3</v>
      </c>
    </row>
    <row r="4790" spans="7:8">
      <c r="G4790" s="168">
        <v>4787</v>
      </c>
      <c r="H4790" s="183">
        <f t="shared" ca="1" si="116"/>
        <v>1.3874269171680814E-2</v>
      </c>
    </row>
    <row r="4791" spans="7:8">
      <c r="G4791" s="168">
        <v>4788</v>
      </c>
      <c r="H4791" s="183">
        <f t="shared" ca="1" si="116"/>
        <v>6.8933460222203851E-3</v>
      </c>
    </row>
    <row r="4792" spans="7:8">
      <c r="G4792" s="168">
        <v>4789</v>
      </c>
      <c r="H4792" s="183">
        <f t="shared" ca="1" si="116"/>
        <v>1.2383979208378883E-2</v>
      </c>
    </row>
    <row r="4793" spans="7:8">
      <c r="G4793" s="168">
        <v>4790</v>
      </c>
      <c r="H4793" s="183">
        <f t="shared" ca="1" si="116"/>
        <v>1.8846230608548353E-2</v>
      </c>
    </row>
    <row r="4794" spans="7:8">
      <c r="G4794" s="168">
        <v>4791</v>
      </c>
      <c r="H4794" s="183">
        <f t="shared" ca="1" si="116"/>
        <v>1.3713105773307633E-2</v>
      </c>
    </row>
    <row r="4795" spans="7:8">
      <c r="G4795" s="168">
        <v>4792</v>
      </c>
      <c r="H4795" s="183">
        <f t="shared" ca="1" si="116"/>
        <v>-2.2983267527502047E-2</v>
      </c>
    </row>
    <row r="4796" spans="7:8">
      <c r="G4796" s="168">
        <v>4793</v>
      </c>
      <c r="H4796" s="183">
        <f t="shared" ca="1" si="116"/>
        <v>-1.9611668458082371E-3</v>
      </c>
    </row>
    <row r="4797" spans="7:8">
      <c r="G4797" s="168">
        <v>4794</v>
      </c>
      <c r="H4797" s="183">
        <f t="shared" ca="1" si="116"/>
        <v>5.5865369976122806E-3</v>
      </c>
    </row>
    <row r="4798" spans="7:8">
      <c r="G4798" s="168">
        <v>4795</v>
      </c>
      <c r="H4798" s="183">
        <f t="shared" ca="1" si="116"/>
        <v>-9.5258085928230408E-3</v>
      </c>
    </row>
    <row r="4799" spans="7:8">
      <c r="G4799" s="168">
        <v>4796</v>
      </c>
      <c r="H4799" s="183">
        <f t="shared" ca="1" si="116"/>
        <v>-2.0385797984852447E-2</v>
      </c>
    </row>
    <row r="4800" spans="7:8">
      <c r="G4800" s="168">
        <v>4797</v>
      </c>
      <c r="H4800" s="183">
        <f t="shared" ca="1" si="116"/>
        <v>7.8439415292444054E-3</v>
      </c>
    </row>
    <row r="4801" spans="7:8">
      <c r="G4801" s="168">
        <v>4798</v>
      </c>
      <c r="H4801" s="183">
        <f t="shared" ca="1" si="116"/>
        <v>2.5733918200613274E-3</v>
      </c>
    </row>
    <row r="4802" spans="7:8">
      <c r="G4802" s="168">
        <v>4799</v>
      </c>
      <c r="H4802" s="183">
        <f t="shared" ca="1" si="116"/>
        <v>2.1098307244692849E-2</v>
      </c>
    </row>
    <row r="4803" spans="7:8">
      <c r="G4803" s="168">
        <v>4800</v>
      </c>
      <c r="H4803" s="183">
        <f t="shared" ca="1" si="116"/>
        <v>8.2356899929791564E-3</v>
      </c>
    </row>
    <row r="4804" spans="7:8">
      <c r="G4804" s="168">
        <v>4801</v>
      </c>
      <c r="H4804" s="183">
        <f t="shared" ca="1" si="116"/>
        <v>-1.558124649301975E-2</v>
      </c>
    </row>
    <row r="4805" spans="7:8">
      <c r="G4805" s="168">
        <v>4802</v>
      </c>
      <c r="H4805" s="183">
        <f t="shared" ref="H4805:H4868" ca="1" si="117">_xlfn.NORM.INV(RAND(),N$6,N$7)</f>
        <v>-1.8596965212742296E-3</v>
      </c>
    </row>
    <row r="4806" spans="7:8">
      <c r="G4806" s="168">
        <v>4803</v>
      </c>
      <c r="H4806" s="183">
        <f t="shared" ca="1" si="117"/>
        <v>9.5226057679211017E-3</v>
      </c>
    </row>
    <row r="4807" spans="7:8">
      <c r="G4807" s="168">
        <v>4804</v>
      </c>
      <c r="H4807" s="183">
        <f t="shared" ca="1" si="117"/>
        <v>-1.2690443439710892E-2</v>
      </c>
    </row>
    <row r="4808" spans="7:8">
      <c r="G4808" s="168">
        <v>4805</v>
      </c>
      <c r="H4808" s="183">
        <f t="shared" ca="1" si="117"/>
        <v>3.5251424898980711E-3</v>
      </c>
    </row>
    <row r="4809" spans="7:8">
      <c r="G4809" s="168">
        <v>4806</v>
      </c>
      <c r="H4809" s="183">
        <f t="shared" ca="1" si="117"/>
        <v>-1.6418915135676577E-2</v>
      </c>
    </row>
    <row r="4810" spans="7:8">
      <c r="G4810" s="168">
        <v>4807</v>
      </c>
      <c r="H4810" s="183">
        <f t="shared" ca="1" si="117"/>
        <v>8.2549725231618638E-3</v>
      </c>
    </row>
    <row r="4811" spans="7:8">
      <c r="G4811" s="168">
        <v>4808</v>
      </c>
      <c r="H4811" s="183">
        <f t="shared" ca="1" si="117"/>
        <v>6.4188740273678959E-3</v>
      </c>
    </row>
    <row r="4812" spans="7:8">
      <c r="G4812" s="168">
        <v>4809</v>
      </c>
      <c r="H4812" s="183">
        <f t="shared" ca="1" si="117"/>
        <v>9.2497513975447355E-3</v>
      </c>
    </row>
    <row r="4813" spans="7:8">
      <c r="G4813" s="168">
        <v>4810</v>
      </c>
      <c r="H4813" s="183">
        <f t="shared" ca="1" si="117"/>
        <v>2.2196319350201625E-3</v>
      </c>
    </row>
    <row r="4814" spans="7:8">
      <c r="G4814" s="168">
        <v>4811</v>
      </c>
      <c r="H4814" s="183">
        <f t="shared" ca="1" si="117"/>
        <v>1.513081387292994E-2</v>
      </c>
    </row>
    <row r="4815" spans="7:8">
      <c r="G4815" s="168">
        <v>4812</v>
      </c>
      <c r="H4815" s="183">
        <f t="shared" ca="1" si="117"/>
        <v>1.1726603892870278E-3</v>
      </c>
    </row>
    <row r="4816" spans="7:8">
      <c r="G4816" s="168">
        <v>4813</v>
      </c>
      <c r="H4816" s="183">
        <f t="shared" ca="1" si="117"/>
        <v>-1.4693895061105185E-2</v>
      </c>
    </row>
    <row r="4817" spans="7:8">
      <c r="G4817" s="168">
        <v>4814</v>
      </c>
      <c r="H4817" s="183">
        <f t="shared" ca="1" si="117"/>
        <v>-3.9894445213704485E-3</v>
      </c>
    </row>
    <row r="4818" spans="7:8">
      <c r="G4818" s="168">
        <v>4815</v>
      </c>
      <c r="H4818" s="183">
        <f t="shared" ca="1" si="117"/>
        <v>-7.4005676525587798E-4</v>
      </c>
    </row>
    <row r="4819" spans="7:8">
      <c r="G4819" s="168">
        <v>4816</v>
      </c>
      <c r="H4819" s="183">
        <f t="shared" ca="1" si="117"/>
        <v>8.5617108401963606E-3</v>
      </c>
    </row>
    <row r="4820" spans="7:8">
      <c r="G4820" s="168">
        <v>4817</v>
      </c>
      <c r="H4820" s="183">
        <f t="shared" ca="1" si="117"/>
        <v>1.0198211227487321E-2</v>
      </c>
    </row>
    <row r="4821" spans="7:8">
      <c r="G4821" s="168">
        <v>4818</v>
      </c>
      <c r="H4821" s="183">
        <f t="shared" ca="1" si="117"/>
        <v>2.9240126575426702E-3</v>
      </c>
    </row>
    <row r="4822" spans="7:8">
      <c r="G4822" s="168">
        <v>4819</v>
      </c>
      <c r="H4822" s="183">
        <f t="shared" ca="1" si="117"/>
        <v>4.5033496004373445E-2</v>
      </c>
    </row>
    <row r="4823" spans="7:8">
      <c r="G4823" s="168">
        <v>4820</v>
      </c>
      <c r="H4823" s="183">
        <f t="shared" ca="1" si="117"/>
        <v>-3.9465402547824166E-3</v>
      </c>
    </row>
    <row r="4824" spans="7:8">
      <c r="G4824" s="168">
        <v>4821</v>
      </c>
      <c r="H4824" s="183">
        <f t="shared" ca="1" si="117"/>
        <v>2.2412743979282768E-2</v>
      </c>
    </row>
    <row r="4825" spans="7:8">
      <c r="G4825" s="168">
        <v>4822</v>
      </c>
      <c r="H4825" s="183">
        <f t="shared" ca="1" si="117"/>
        <v>2.3860644952384213E-2</v>
      </c>
    </row>
    <row r="4826" spans="7:8">
      <c r="G4826" s="168">
        <v>4823</v>
      </c>
      <c r="H4826" s="183">
        <f t="shared" ca="1" si="117"/>
        <v>-1.3484252098589999E-2</v>
      </c>
    </row>
    <row r="4827" spans="7:8">
      <c r="G4827" s="168">
        <v>4824</v>
      </c>
      <c r="H4827" s="183">
        <f t="shared" ca="1" si="117"/>
        <v>2.568282814888883E-2</v>
      </c>
    </row>
    <row r="4828" spans="7:8">
      <c r="G4828" s="168">
        <v>4825</v>
      </c>
      <c r="H4828" s="183">
        <f t="shared" ca="1" si="117"/>
        <v>-2.9455972180227859E-3</v>
      </c>
    </row>
    <row r="4829" spans="7:8">
      <c r="G4829" s="168">
        <v>4826</v>
      </c>
      <c r="H4829" s="183">
        <f t="shared" ca="1" si="117"/>
        <v>-3.5623360651718117E-3</v>
      </c>
    </row>
    <row r="4830" spans="7:8">
      <c r="G4830" s="168">
        <v>4827</v>
      </c>
      <c r="H4830" s="183">
        <f t="shared" ca="1" si="117"/>
        <v>1.8635345185771639E-2</v>
      </c>
    </row>
    <row r="4831" spans="7:8">
      <c r="G4831" s="168">
        <v>4828</v>
      </c>
      <c r="H4831" s="183">
        <f t="shared" ca="1" si="117"/>
        <v>1.259263217990491E-2</v>
      </c>
    </row>
    <row r="4832" spans="7:8">
      <c r="G4832" s="168">
        <v>4829</v>
      </c>
      <c r="H4832" s="183">
        <f t="shared" ca="1" si="117"/>
        <v>7.4761658620540409E-3</v>
      </c>
    </row>
    <row r="4833" spans="7:8">
      <c r="G4833" s="168">
        <v>4830</v>
      </c>
      <c r="H4833" s="183">
        <f t="shared" ca="1" si="117"/>
        <v>1.2512090114470183E-2</v>
      </c>
    </row>
    <row r="4834" spans="7:8">
      <c r="G4834" s="168">
        <v>4831</v>
      </c>
      <c r="H4834" s="183">
        <f t="shared" ca="1" si="117"/>
        <v>2.0212822867797239E-2</v>
      </c>
    </row>
    <row r="4835" spans="7:8">
      <c r="G4835" s="168">
        <v>4832</v>
      </c>
      <c r="H4835" s="183">
        <f t="shared" ca="1" si="117"/>
        <v>-5.9787261111107571E-3</v>
      </c>
    </row>
    <row r="4836" spans="7:8">
      <c r="G4836" s="168">
        <v>4833</v>
      </c>
      <c r="H4836" s="183">
        <f t="shared" ca="1" si="117"/>
        <v>1.0140800273058744E-2</v>
      </c>
    </row>
    <row r="4837" spans="7:8">
      <c r="G4837" s="168">
        <v>4834</v>
      </c>
      <c r="H4837" s="183">
        <f t="shared" ca="1" si="117"/>
        <v>1.147225339140609E-2</v>
      </c>
    </row>
    <row r="4838" spans="7:8">
      <c r="G4838" s="168">
        <v>4835</v>
      </c>
      <c r="H4838" s="183">
        <f t="shared" ca="1" si="117"/>
        <v>6.4397204347669103E-4</v>
      </c>
    </row>
    <row r="4839" spans="7:8">
      <c r="G4839" s="168">
        <v>4836</v>
      </c>
      <c r="H4839" s="183">
        <f t="shared" ca="1" si="117"/>
        <v>-6.9033415781029417E-3</v>
      </c>
    </row>
    <row r="4840" spans="7:8">
      <c r="G4840" s="168">
        <v>4837</v>
      </c>
      <c r="H4840" s="183">
        <f t="shared" ca="1" si="117"/>
        <v>5.479008573756077E-3</v>
      </c>
    </row>
    <row r="4841" spans="7:8">
      <c r="G4841" s="168">
        <v>4838</v>
      </c>
      <c r="H4841" s="183">
        <f t="shared" ca="1" si="117"/>
        <v>2.083373086265617E-2</v>
      </c>
    </row>
    <row r="4842" spans="7:8">
      <c r="G4842" s="168">
        <v>4839</v>
      </c>
      <c r="H4842" s="183">
        <f t="shared" ca="1" si="117"/>
        <v>5.8935636489844028E-3</v>
      </c>
    </row>
    <row r="4843" spans="7:8">
      <c r="G4843" s="168">
        <v>4840</v>
      </c>
      <c r="H4843" s="183">
        <f t="shared" ca="1" si="117"/>
        <v>-1.0790844242395951E-2</v>
      </c>
    </row>
    <row r="4844" spans="7:8">
      <c r="G4844" s="168">
        <v>4841</v>
      </c>
      <c r="H4844" s="183">
        <f t="shared" ca="1" si="117"/>
        <v>2.3523766558158889E-2</v>
      </c>
    </row>
    <row r="4845" spans="7:8">
      <c r="G4845" s="168">
        <v>4842</v>
      </c>
      <c r="H4845" s="183">
        <f t="shared" ca="1" si="117"/>
        <v>4.8778311678901697E-3</v>
      </c>
    </row>
    <row r="4846" spans="7:8">
      <c r="G4846" s="168">
        <v>4843</v>
      </c>
      <c r="H4846" s="183">
        <f t="shared" ca="1" si="117"/>
        <v>5.4955361586123868E-3</v>
      </c>
    </row>
    <row r="4847" spans="7:8">
      <c r="G4847" s="168">
        <v>4844</v>
      </c>
      <c r="H4847" s="183">
        <f t="shared" ca="1" si="117"/>
        <v>1.3057083801846017E-2</v>
      </c>
    </row>
    <row r="4848" spans="7:8">
      <c r="G4848" s="168">
        <v>4845</v>
      </c>
      <c r="H4848" s="183">
        <f t="shared" ca="1" si="117"/>
        <v>1.0157145920260634E-2</v>
      </c>
    </row>
    <row r="4849" spans="7:8">
      <c r="G4849" s="168">
        <v>4846</v>
      </c>
      <c r="H4849" s="183">
        <f t="shared" ca="1" si="117"/>
        <v>1.0126274474607625E-2</v>
      </c>
    </row>
    <row r="4850" spans="7:8">
      <c r="G4850" s="168">
        <v>4847</v>
      </c>
      <c r="H4850" s="183">
        <f t="shared" ca="1" si="117"/>
        <v>1.4314489186938142E-2</v>
      </c>
    </row>
    <row r="4851" spans="7:8">
      <c r="G4851" s="168">
        <v>4848</v>
      </c>
      <c r="H4851" s="183">
        <f t="shared" ca="1" si="117"/>
        <v>-2.2420699354744602E-3</v>
      </c>
    </row>
    <row r="4852" spans="7:8">
      <c r="G4852" s="168">
        <v>4849</v>
      </c>
      <c r="H4852" s="183">
        <f t="shared" ca="1" si="117"/>
        <v>-5.2495122430393322E-3</v>
      </c>
    </row>
    <row r="4853" spans="7:8">
      <c r="G4853" s="168">
        <v>4850</v>
      </c>
      <c r="H4853" s="183">
        <f t="shared" ca="1" si="117"/>
        <v>-2.9389249190186865E-3</v>
      </c>
    </row>
    <row r="4854" spans="7:8">
      <c r="G4854" s="168">
        <v>4851</v>
      </c>
      <c r="H4854" s="183">
        <f t="shared" ca="1" si="117"/>
        <v>1.0260469223900108E-3</v>
      </c>
    </row>
    <row r="4855" spans="7:8">
      <c r="G4855" s="168">
        <v>4852</v>
      </c>
      <c r="H4855" s="183">
        <f t="shared" ca="1" si="117"/>
        <v>-6.021831303782638E-4</v>
      </c>
    </row>
    <row r="4856" spans="7:8">
      <c r="G4856" s="168">
        <v>4853</v>
      </c>
      <c r="H4856" s="183">
        <f t="shared" ca="1" si="117"/>
        <v>9.4901267059200045E-3</v>
      </c>
    </row>
    <row r="4857" spans="7:8">
      <c r="G4857" s="168">
        <v>4854</v>
      </c>
      <c r="H4857" s="183">
        <f t="shared" ca="1" si="117"/>
        <v>1.8431010621541635E-2</v>
      </c>
    </row>
    <row r="4858" spans="7:8">
      <c r="G4858" s="168">
        <v>4855</v>
      </c>
      <c r="H4858" s="183">
        <f t="shared" ca="1" si="117"/>
        <v>-5.9486568025815577E-3</v>
      </c>
    </row>
    <row r="4859" spans="7:8">
      <c r="G4859" s="168">
        <v>4856</v>
      </c>
      <c r="H4859" s="183">
        <f t="shared" ca="1" si="117"/>
        <v>2.3163421468335894E-2</v>
      </c>
    </row>
    <row r="4860" spans="7:8">
      <c r="G4860" s="168">
        <v>4857</v>
      </c>
      <c r="H4860" s="183">
        <f t="shared" ca="1" si="117"/>
        <v>-2.1582288211965745E-2</v>
      </c>
    </row>
    <row r="4861" spans="7:8">
      <c r="G4861" s="168">
        <v>4858</v>
      </c>
      <c r="H4861" s="183">
        <f t="shared" ca="1" si="117"/>
        <v>-2.0812117898348324E-2</v>
      </c>
    </row>
    <row r="4862" spans="7:8">
      <c r="G4862" s="168">
        <v>4859</v>
      </c>
      <c r="H4862" s="183">
        <f t="shared" ca="1" si="117"/>
        <v>8.9101211871462065E-5</v>
      </c>
    </row>
    <row r="4863" spans="7:8">
      <c r="G4863" s="168">
        <v>4860</v>
      </c>
      <c r="H4863" s="183">
        <f t="shared" ca="1" si="117"/>
        <v>1.7360813178155462E-2</v>
      </c>
    </row>
    <row r="4864" spans="7:8">
      <c r="G4864" s="168">
        <v>4861</v>
      </c>
      <c r="H4864" s="183">
        <f t="shared" ca="1" si="117"/>
        <v>-1.7321931943378624E-2</v>
      </c>
    </row>
    <row r="4865" spans="7:8">
      <c r="G4865" s="168">
        <v>4862</v>
      </c>
      <c r="H4865" s="183">
        <f t="shared" ca="1" si="117"/>
        <v>9.9566813271682493E-3</v>
      </c>
    </row>
    <row r="4866" spans="7:8">
      <c r="G4866" s="168">
        <v>4863</v>
      </c>
      <c r="H4866" s="183">
        <f t="shared" ca="1" si="117"/>
        <v>9.8109855609345951E-3</v>
      </c>
    </row>
    <row r="4867" spans="7:8">
      <c r="G4867" s="168">
        <v>4864</v>
      </c>
      <c r="H4867" s="183">
        <f t="shared" ca="1" si="117"/>
        <v>1.9734726426887679E-2</v>
      </c>
    </row>
    <row r="4868" spans="7:8">
      <c r="G4868" s="168">
        <v>4865</v>
      </c>
      <c r="H4868" s="183">
        <f t="shared" ca="1" si="117"/>
        <v>-4.1431625330917796E-4</v>
      </c>
    </row>
    <row r="4869" spans="7:8">
      <c r="G4869" s="168">
        <v>4866</v>
      </c>
      <c r="H4869" s="183">
        <f t="shared" ref="H4869:H4932" ca="1" si="118">_xlfn.NORM.INV(RAND(),N$6,N$7)</f>
        <v>-1.08247470957697E-2</v>
      </c>
    </row>
    <row r="4870" spans="7:8">
      <c r="G4870" s="168">
        <v>4867</v>
      </c>
      <c r="H4870" s="183">
        <f t="shared" ca="1" si="118"/>
        <v>5.0120733079931723E-3</v>
      </c>
    </row>
    <row r="4871" spans="7:8">
      <c r="G4871" s="168">
        <v>4868</v>
      </c>
      <c r="H4871" s="183">
        <f t="shared" ca="1" si="118"/>
        <v>7.855507447190456E-3</v>
      </c>
    </row>
    <row r="4872" spans="7:8">
      <c r="G4872" s="168">
        <v>4869</v>
      </c>
      <c r="H4872" s="183">
        <f t="shared" ca="1" si="118"/>
        <v>1.4051605532771863E-2</v>
      </c>
    </row>
    <row r="4873" spans="7:8">
      <c r="G4873" s="168">
        <v>4870</v>
      </c>
      <c r="H4873" s="183">
        <f t="shared" ca="1" si="118"/>
        <v>8.2848075815288675E-4</v>
      </c>
    </row>
    <row r="4874" spans="7:8">
      <c r="G4874" s="168">
        <v>4871</v>
      </c>
      <c r="H4874" s="183">
        <f t="shared" ca="1" si="118"/>
        <v>5.8656150388505142E-3</v>
      </c>
    </row>
    <row r="4875" spans="7:8">
      <c r="G4875" s="168">
        <v>4872</v>
      </c>
      <c r="H4875" s="183">
        <f t="shared" ca="1" si="118"/>
        <v>4.0541748424227251E-3</v>
      </c>
    </row>
    <row r="4876" spans="7:8">
      <c r="G4876" s="168">
        <v>4873</v>
      </c>
      <c r="H4876" s="183">
        <f t="shared" ca="1" si="118"/>
        <v>2.482373111670062E-2</v>
      </c>
    </row>
    <row r="4877" spans="7:8">
      <c r="G4877" s="168">
        <v>4874</v>
      </c>
      <c r="H4877" s="183">
        <f t="shared" ca="1" si="118"/>
        <v>1.4403603775703742E-2</v>
      </c>
    </row>
    <row r="4878" spans="7:8">
      <c r="G4878" s="168">
        <v>4875</v>
      </c>
      <c r="H4878" s="183">
        <f t="shared" ca="1" si="118"/>
        <v>5.7332931655006952E-3</v>
      </c>
    </row>
    <row r="4879" spans="7:8">
      <c r="G4879" s="168">
        <v>4876</v>
      </c>
      <c r="H4879" s="183">
        <f t="shared" ca="1" si="118"/>
        <v>-5.1163338335234254E-3</v>
      </c>
    </row>
    <row r="4880" spans="7:8">
      <c r="G4880" s="168">
        <v>4877</v>
      </c>
      <c r="H4880" s="183">
        <f t="shared" ca="1" si="118"/>
        <v>-7.6114171712277886E-3</v>
      </c>
    </row>
    <row r="4881" spans="7:8">
      <c r="G4881" s="168">
        <v>4878</v>
      </c>
      <c r="H4881" s="183">
        <f t="shared" ca="1" si="118"/>
        <v>8.2855155524528337E-3</v>
      </c>
    </row>
    <row r="4882" spans="7:8">
      <c r="G4882" s="168">
        <v>4879</v>
      </c>
      <c r="H4882" s="183">
        <f t="shared" ca="1" si="118"/>
        <v>1.2656215689208192E-2</v>
      </c>
    </row>
    <row r="4883" spans="7:8">
      <c r="G4883" s="168">
        <v>4880</v>
      </c>
      <c r="H4883" s="183">
        <f t="shared" ca="1" si="118"/>
        <v>9.880287847161804E-3</v>
      </c>
    </row>
    <row r="4884" spans="7:8">
      <c r="G4884" s="168">
        <v>4881</v>
      </c>
      <c r="H4884" s="183">
        <f t="shared" ca="1" si="118"/>
        <v>1.5639758984446857E-2</v>
      </c>
    </row>
    <row r="4885" spans="7:8">
      <c r="G4885" s="168">
        <v>4882</v>
      </c>
      <c r="H4885" s="183">
        <f t="shared" ca="1" si="118"/>
        <v>4.8840865170557872E-3</v>
      </c>
    </row>
    <row r="4886" spans="7:8">
      <c r="G4886" s="168">
        <v>4883</v>
      </c>
      <c r="H4886" s="183">
        <f t="shared" ca="1" si="118"/>
        <v>1.6934248272192916E-2</v>
      </c>
    </row>
    <row r="4887" spans="7:8">
      <c r="G4887" s="168">
        <v>4884</v>
      </c>
      <c r="H4887" s="183">
        <f t="shared" ca="1" si="118"/>
        <v>1.9641872945100568E-2</v>
      </c>
    </row>
    <row r="4888" spans="7:8">
      <c r="G4888" s="168">
        <v>4885</v>
      </c>
      <c r="H4888" s="183">
        <f t="shared" ca="1" si="118"/>
        <v>-1.0851039840918002E-2</v>
      </c>
    </row>
    <row r="4889" spans="7:8">
      <c r="G4889" s="168">
        <v>4886</v>
      </c>
      <c r="H4889" s="183">
        <f t="shared" ca="1" si="118"/>
        <v>2.2436301362562697E-2</v>
      </c>
    </row>
    <row r="4890" spans="7:8">
      <c r="G4890" s="168">
        <v>4887</v>
      </c>
      <c r="H4890" s="183">
        <f t="shared" ca="1" si="118"/>
        <v>5.5815910301267885E-3</v>
      </c>
    </row>
    <row r="4891" spans="7:8">
      <c r="G4891" s="168">
        <v>4888</v>
      </c>
      <c r="H4891" s="183">
        <f t="shared" ca="1" si="118"/>
        <v>1.1670548630811153E-2</v>
      </c>
    </row>
    <row r="4892" spans="7:8">
      <c r="G4892" s="168">
        <v>4889</v>
      </c>
      <c r="H4892" s="183">
        <f t="shared" ca="1" si="118"/>
        <v>2.9175846885940221E-3</v>
      </c>
    </row>
    <row r="4893" spans="7:8">
      <c r="G4893" s="168">
        <v>4890</v>
      </c>
      <c r="H4893" s="183">
        <f t="shared" ca="1" si="118"/>
        <v>9.1903963514344111E-3</v>
      </c>
    </row>
    <row r="4894" spans="7:8">
      <c r="G4894" s="168">
        <v>4891</v>
      </c>
      <c r="H4894" s="183">
        <f t="shared" ca="1" si="118"/>
        <v>1.8851461646271321E-2</v>
      </c>
    </row>
    <row r="4895" spans="7:8">
      <c r="G4895" s="168">
        <v>4892</v>
      </c>
      <c r="H4895" s="183">
        <f t="shared" ca="1" si="118"/>
        <v>-8.3736139980416964E-3</v>
      </c>
    </row>
    <row r="4896" spans="7:8">
      <c r="G4896" s="168">
        <v>4893</v>
      </c>
      <c r="H4896" s="183">
        <f t="shared" ca="1" si="118"/>
        <v>-2.7718311333953813E-4</v>
      </c>
    </row>
    <row r="4897" spans="7:8">
      <c r="G4897" s="168">
        <v>4894</v>
      </c>
      <c r="H4897" s="183">
        <f t="shared" ca="1" si="118"/>
        <v>-8.6084144216303504E-3</v>
      </c>
    </row>
    <row r="4898" spans="7:8">
      <c r="G4898" s="168">
        <v>4895</v>
      </c>
      <c r="H4898" s="183">
        <f t="shared" ca="1" si="118"/>
        <v>-5.8996015728649187E-3</v>
      </c>
    </row>
    <row r="4899" spans="7:8">
      <c r="G4899" s="168">
        <v>4896</v>
      </c>
      <c r="H4899" s="183">
        <f t="shared" ca="1" si="118"/>
        <v>-9.537950806187117E-3</v>
      </c>
    </row>
    <row r="4900" spans="7:8">
      <c r="G4900" s="168">
        <v>4897</v>
      </c>
      <c r="H4900" s="183">
        <f t="shared" ca="1" si="118"/>
        <v>1.0454103139917603E-2</v>
      </c>
    </row>
    <row r="4901" spans="7:8">
      <c r="G4901" s="168">
        <v>4898</v>
      </c>
      <c r="H4901" s="183">
        <f t="shared" ca="1" si="118"/>
        <v>3.8724606571062092E-3</v>
      </c>
    </row>
    <row r="4902" spans="7:8">
      <c r="G4902" s="168">
        <v>4899</v>
      </c>
      <c r="H4902" s="183">
        <f t="shared" ca="1" si="118"/>
        <v>-4.1415063095413922E-3</v>
      </c>
    </row>
    <row r="4903" spans="7:8">
      <c r="G4903" s="168">
        <v>4900</v>
      </c>
      <c r="H4903" s="183">
        <f t="shared" ca="1" si="118"/>
        <v>1.1550693409662884E-2</v>
      </c>
    </row>
    <row r="4904" spans="7:8">
      <c r="G4904" s="168">
        <v>4901</v>
      </c>
      <c r="H4904" s="183">
        <f t="shared" ca="1" si="118"/>
        <v>-1.8348582024980596E-2</v>
      </c>
    </row>
    <row r="4905" spans="7:8">
      <c r="G4905" s="168">
        <v>4902</v>
      </c>
      <c r="H4905" s="183">
        <f t="shared" ca="1" si="118"/>
        <v>7.4611125269767225E-3</v>
      </c>
    </row>
    <row r="4906" spans="7:8">
      <c r="G4906" s="168">
        <v>4903</v>
      </c>
      <c r="H4906" s="183">
        <f t="shared" ca="1" si="118"/>
        <v>7.8038558904502085E-4</v>
      </c>
    </row>
    <row r="4907" spans="7:8">
      <c r="G4907" s="168">
        <v>4904</v>
      </c>
      <c r="H4907" s="183">
        <f t="shared" ca="1" si="118"/>
        <v>6.4136113275917476E-4</v>
      </c>
    </row>
    <row r="4908" spans="7:8">
      <c r="G4908" s="168">
        <v>4905</v>
      </c>
      <c r="H4908" s="183">
        <f t="shared" ca="1" si="118"/>
        <v>1.9276592491388168E-3</v>
      </c>
    </row>
    <row r="4909" spans="7:8">
      <c r="G4909" s="168">
        <v>4906</v>
      </c>
      <c r="H4909" s="183">
        <f t="shared" ca="1" si="118"/>
        <v>5.4375305760788317E-3</v>
      </c>
    </row>
    <row r="4910" spans="7:8">
      <c r="G4910" s="168">
        <v>4907</v>
      </c>
      <c r="H4910" s="183">
        <f t="shared" ca="1" si="118"/>
        <v>-1.1069517214858746E-2</v>
      </c>
    </row>
    <row r="4911" spans="7:8">
      <c r="G4911" s="168">
        <v>4908</v>
      </c>
      <c r="H4911" s="183">
        <f t="shared" ca="1" si="118"/>
        <v>1.6859925341719574E-2</v>
      </c>
    </row>
    <row r="4912" spans="7:8">
      <c r="G4912" s="168">
        <v>4909</v>
      </c>
      <c r="H4912" s="183">
        <f t="shared" ca="1" si="118"/>
        <v>1.0231891826579468E-4</v>
      </c>
    </row>
    <row r="4913" spans="7:8">
      <c r="G4913" s="168">
        <v>4910</v>
      </c>
      <c r="H4913" s="183">
        <f t="shared" ca="1" si="118"/>
        <v>2.1229587067639775E-3</v>
      </c>
    </row>
    <row r="4914" spans="7:8">
      <c r="G4914" s="168">
        <v>4911</v>
      </c>
      <c r="H4914" s="183">
        <f t="shared" ca="1" si="118"/>
        <v>-2.8094128540125541E-3</v>
      </c>
    </row>
    <row r="4915" spans="7:8">
      <c r="G4915" s="168">
        <v>4912</v>
      </c>
      <c r="H4915" s="183">
        <f t="shared" ca="1" si="118"/>
        <v>-6.8447333493017277E-3</v>
      </c>
    </row>
    <row r="4916" spans="7:8">
      <c r="G4916" s="168">
        <v>4913</v>
      </c>
      <c r="H4916" s="183">
        <f t="shared" ca="1" si="118"/>
        <v>-1.4103832212542928E-2</v>
      </c>
    </row>
    <row r="4917" spans="7:8">
      <c r="G4917" s="168">
        <v>4914</v>
      </c>
      <c r="H4917" s="183">
        <f t="shared" ca="1" si="118"/>
        <v>2.7557838279654169E-2</v>
      </c>
    </row>
    <row r="4918" spans="7:8">
      <c r="G4918" s="168">
        <v>4915</v>
      </c>
      <c r="H4918" s="183">
        <f t="shared" ca="1" si="118"/>
        <v>1.1485898195412399E-2</v>
      </c>
    </row>
    <row r="4919" spans="7:8">
      <c r="G4919" s="168">
        <v>4916</v>
      </c>
      <c r="H4919" s="183">
        <f t="shared" ca="1" si="118"/>
        <v>7.0824986865947546E-3</v>
      </c>
    </row>
    <row r="4920" spans="7:8">
      <c r="G4920" s="168">
        <v>4917</v>
      </c>
      <c r="H4920" s="183">
        <f t="shared" ca="1" si="118"/>
        <v>9.1720922005453509E-3</v>
      </c>
    </row>
    <row r="4921" spans="7:8">
      <c r="G4921" s="168">
        <v>4918</v>
      </c>
      <c r="H4921" s="183">
        <f t="shared" ca="1" si="118"/>
        <v>1.4653280034579538E-2</v>
      </c>
    </row>
    <row r="4922" spans="7:8">
      <c r="G4922" s="168">
        <v>4919</v>
      </c>
      <c r="H4922" s="183">
        <f t="shared" ca="1" si="118"/>
        <v>8.7357208996774773E-3</v>
      </c>
    </row>
    <row r="4923" spans="7:8">
      <c r="G4923" s="168">
        <v>4920</v>
      </c>
      <c r="H4923" s="183">
        <f t="shared" ca="1" si="118"/>
        <v>1.2635305221199065E-2</v>
      </c>
    </row>
    <row r="4924" spans="7:8">
      <c r="G4924" s="168">
        <v>4921</v>
      </c>
      <c r="H4924" s="183">
        <f t="shared" ca="1" si="118"/>
        <v>6.0928515106642E-3</v>
      </c>
    </row>
    <row r="4925" spans="7:8">
      <c r="G4925" s="168">
        <v>4922</v>
      </c>
      <c r="H4925" s="183">
        <f t="shared" ca="1" si="118"/>
        <v>1.620335135342648E-3</v>
      </c>
    </row>
    <row r="4926" spans="7:8">
      <c r="G4926" s="168">
        <v>4923</v>
      </c>
      <c r="H4926" s="183">
        <f t="shared" ca="1" si="118"/>
        <v>-1.9636390418534613E-4</v>
      </c>
    </row>
    <row r="4927" spans="7:8">
      <c r="G4927" s="168">
        <v>4924</v>
      </c>
      <c r="H4927" s="183">
        <f t="shared" ca="1" si="118"/>
        <v>-1.8947432541375441E-2</v>
      </c>
    </row>
    <row r="4928" spans="7:8">
      <c r="G4928" s="168">
        <v>4925</v>
      </c>
      <c r="H4928" s="183">
        <f t="shared" ca="1" si="118"/>
        <v>6.7084216229351384E-3</v>
      </c>
    </row>
    <row r="4929" spans="7:8">
      <c r="G4929" s="168">
        <v>4926</v>
      </c>
      <c r="H4929" s="183">
        <f t="shared" ca="1" si="118"/>
        <v>1.790751327808603E-2</v>
      </c>
    </row>
    <row r="4930" spans="7:8">
      <c r="G4930" s="168">
        <v>4927</v>
      </c>
      <c r="H4930" s="183">
        <f t="shared" ca="1" si="118"/>
        <v>-7.373979004810652E-3</v>
      </c>
    </row>
    <row r="4931" spans="7:8">
      <c r="G4931" s="168">
        <v>4928</v>
      </c>
      <c r="H4931" s="183">
        <f t="shared" ca="1" si="118"/>
        <v>1.9153640071565527E-2</v>
      </c>
    </row>
    <row r="4932" spans="7:8">
      <c r="G4932" s="168">
        <v>4929</v>
      </c>
      <c r="H4932" s="183">
        <f t="shared" ca="1" si="118"/>
        <v>1.1073153817699785E-2</v>
      </c>
    </row>
    <row r="4933" spans="7:8">
      <c r="G4933" s="168">
        <v>4930</v>
      </c>
      <c r="H4933" s="183">
        <f t="shared" ref="H4933:H4996" ca="1" si="119">_xlfn.NORM.INV(RAND(),N$6,N$7)</f>
        <v>-1.9436355002145016E-2</v>
      </c>
    </row>
    <row r="4934" spans="7:8">
      <c r="G4934" s="168">
        <v>4931</v>
      </c>
      <c r="H4934" s="183">
        <f t="shared" ca="1" si="119"/>
        <v>-1.0534311304449392E-3</v>
      </c>
    </row>
    <row r="4935" spans="7:8">
      <c r="G4935" s="168">
        <v>4932</v>
      </c>
      <c r="H4935" s="183">
        <f t="shared" ca="1" si="119"/>
        <v>-9.2318327594962737E-3</v>
      </c>
    </row>
    <row r="4936" spans="7:8">
      <c r="G4936" s="168">
        <v>4933</v>
      </c>
      <c r="H4936" s="183">
        <f t="shared" ca="1" si="119"/>
        <v>3.3133790306654003E-3</v>
      </c>
    </row>
    <row r="4937" spans="7:8">
      <c r="G4937" s="168">
        <v>4934</v>
      </c>
      <c r="H4937" s="183">
        <f t="shared" ca="1" si="119"/>
        <v>6.6092883139596444E-3</v>
      </c>
    </row>
    <row r="4938" spans="7:8">
      <c r="G4938" s="168">
        <v>4935</v>
      </c>
      <c r="H4938" s="183">
        <f t="shared" ca="1" si="119"/>
        <v>-4.8224016766799825E-3</v>
      </c>
    </row>
    <row r="4939" spans="7:8">
      <c r="G4939" s="168">
        <v>4936</v>
      </c>
      <c r="H4939" s="183">
        <f t="shared" ca="1" si="119"/>
        <v>-1.0308427143136442E-2</v>
      </c>
    </row>
    <row r="4940" spans="7:8">
      <c r="G4940" s="168">
        <v>4937</v>
      </c>
      <c r="H4940" s="183">
        <f t="shared" ca="1" si="119"/>
        <v>8.208199061696831E-3</v>
      </c>
    </row>
    <row r="4941" spans="7:8">
      <c r="G4941" s="168">
        <v>4938</v>
      </c>
      <c r="H4941" s="183">
        <f t="shared" ca="1" si="119"/>
        <v>-3.9184375632904996E-3</v>
      </c>
    </row>
    <row r="4942" spans="7:8">
      <c r="G4942" s="168">
        <v>4939</v>
      </c>
      <c r="H4942" s="183">
        <f t="shared" ca="1" si="119"/>
        <v>5.4591770064408244E-3</v>
      </c>
    </row>
    <row r="4943" spans="7:8">
      <c r="G4943" s="168">
        <v>4940</v>
      </c>
      <c r="H4943" s="183">
        <f t="shared" ca="1" si="119"/>
        <v>1.7172162529598652E-3</v>
      </c>
    </row>
    <row r="4944" spans="7:8">
      <c r="G4944" s="168">
        <v>4941</v>
      </c>
      <c r="H4944" s="183">
        <f t="shared" ca="1" si="119"/>
        <v>7.5801970174480806E-4</v>
      </c>
    </row>
    <row r="4945" spans="7:8">
      <c r="G4945" s="168">
        <v>4942</v>
      </c>
      <c r="H4945" s="183">
        <f t="shared" ca="1" si="119"/>
        <v>-1.4878598989464163E-2</v>
      </c>
    </row>
    <row r="4946" spans="7:8">
      <c r="G4946" s="168">
        <v>4943</v>
      </c>
      <c r="H4946" s="183">
        <f t="shared" ca="1" si="119"/>
        <v>-1.2363757869424483E-2</v>
      </c>
    </row>
    <row r="4947" spans="7:8">
      <c r="G4947" s="168">
        <v>4944</v>
      </c>
      <c r="H4947" s="183">
        <f t="shared" ca="1" si="119"/>
        <v>-2.5074574458393501E-3</v>
      </c>
    </row>
    <row r="4948" spans="7:8">
      <c r="G4948" s="168">
        <v>4945</v>
      </c>
      <c r="H4948" s="183">
        <f t="shared" ca="1" si="119"/>
        <v>-3.895996465151836E-3</v>
      </c>
    </row>
    <row r="4949" spans="7:8">
      <c r="G4949" s="168">
        <v>4946</v>
      </c>
      <c r="H4949" s="183">
        <f t="shared" ca="1" si="119"/>
        <v>2.0462434475151123E-3</v>
      </c>
    </row>
    <row r="4950" spans="7:8">
      <c r="G4950" s="168">
        <v>4947</v>
      </c>
      <c r="H4950" s="183">
        <f t="shared" ca="1" si="119"/>
        <v>8.3093906746692144E-3</v>
      </c>
    </row>
    <row r="4951" spans="7:8">
      <c r="G4951" s="168">
        <v>4948</v>
      </c>
      <c r="H4951" s="183">
        <f t="shared" ca="1" si="119"/>
        <v>-2.8201356143414654E-3</v>
      </c>
    </row>
    <row r="4952" spans="7:8">
      <c r="G4952" s="168">
        <v>4949</v>
      </c>
      <c r="H4952" s="183">
        <f t="shared" ca="1" si="119"/>
        <v>4.4231956757495297E-3</v>
      </c>
    </row>
    <row r="4953" spans="7:8">
      <c r="G4953" s="168">
        <v>4950</v>
      </c>
      <c r="H4953" s="183">
        <f t="shared" ca="1" si="119"/>
        <v>-1.2909637351548771E-2</v>
      </c>
    </row>
    <row r="4954" spans="7:8">
      <c r="G4954" s="168">
        <v>4951</v>
      </c>
      <c r="H4954" s="183">
        <f t="shared" ca="1" si="119"/>
        <v>1.5839657524832018E-2</v>
      </c>
    </row>
    <row r="4955" spans="7:8">
      <c r="G4955" s="168">
        <v>4952</v>
      </c>
      <c r="H4955" s="183">
        <f t="shared" ca="1" si="119"/>
        <v>-9.8137262774653233E-3</v>
      </c>
    </row>
    <row r="4956" spans="7:8">
      <c r="G4956" s="168">
        <v>4953</v>
      </c>
      <c r="H4956" s="183">
        <f t="shared" ca="1" si="119"/>
        <v>5.5286258074796531E-3</v>
      </c>
    </row>
    <row r="4957" spans="7:8">
      <c r="G4957" s="168">
        <v>4954</v>
      </c>
      <c r="H4957" s="183">
        <f t="shared" ca="1" si="119"/>
        <v>-1.3311052956867714E-2</v>
      </c>
    </row>
    <row r="4958" spans="7:8">
      <c r="G4958" s="168">
        <v>4955</v>
      </c>
      <c r="H4958" s="183">
        <f t="shared" ca="1" si="119"/>
        <v>2.9388904558386303E-3</v>
      </c>
    </row>
    <row r="4959" spans="7:8">
      <c r="G4959" s="168">
        <v>4956</v>
      </c>
      <c r="H4959" s="183">
        <f t="shared" ca="1" si="119"/>
        <v>-9.3604318357735569E-3</v>
      </c>
    </row>
    <row r="4960" spans="7:8">
      <c r="G4960" s="168">
        <v>4957</v>
      </c>
      <c r="H4960" s="183">
        <f t="shared" ca="1" si="119"/>
        <v>4.761204361816135E-3</v>
      </c>
    </row>
    <row r="4961" spans="7:8">
      <c r="G4961" s="168">
        <v>4958</v>
      </c>
      <c r="H4961" s="183">
        <f t="shared" ca="1" si="119"/>
        <v>-1.163483833002384E-4</v>
      </c>
    </row>
    <row r="4962" spans="7:8">
      <c r="G4962" s="168">
        <v>4959</v>
      </c>
      <c r="H4962" s="183">
        <f t="shared" ca="1" si="119"/>
        <v>2.1569401421491906E-2</v>
      </c>
    </row>
    <row r="4963" spans="7:8">
      <c r="G4963" s="168">
        <v>4960</v>
      </c>
      <c r="H4963" s="183">
        <f t="shared" ca="1" si="119"/>
        <v>2.9405615268188923E-3</v>
      </c>
    </row>
    <row r="4964" spans="7:8">
      <c r="G4964" s="168">
        <v>4961</v>
      </c>
      <c r="H4964" s="183">
        <f t="shared" ca="1" si="119"/>
        <v>8.6200075658147204E-3</v>
      </c>
    </row>
    <row r="4965" spans="7:8">
      <c r="G4965" s="168">
        <v>4962</v>
      </c>
      <c r="H4965" s="183">
        <f t="shared" ca="1" si="119"/>
        <v>-1.1764370304552112E-2</v>
      </c>
    </row>
    <row r="4966" spans="7:8">
      <c r="G4966" s="168">
        <v>4963</v>
      </c>
      <c r="H4966" s="183">
        <f t="shared" ca="1" si="119"/>
        <v>8.6984992486399682E-3</v>
      </c>
    </row>
    <row r="4967" spans="7:8">
      <c r="G4967" s="168">
        <v>4964</v>
      </c>
      <c r="H4967" s="183">
        <f t="shared" ca="1" si="119"/>
        <v>8.9725970033934267E-3</v>
      </c>
    </row>
    <row r="4968" spans="7:8">
      <c r="G4968" s="168">
        <v>4965</v>
      </c>
      <c r="H4968" s="183">
        <f t="shared" ca="1" si="119"/>
        <v>-5.0813782733455824E-3</v>
      </c>
    </row>
    <row r="4969" spans="7:8">
      <c r="G4969" s="168">
        <v>4966</v>
      </c>
      <c r="H4969" s="183">
        <f t="shared" ca="1" si="119"/>
        <v>8.2941894469015683E-3</v>
      </c>
    </row>
    <row r="4970" spans="7:8">
      <c r="G4970" s="168">
        <v>4967</v>
      </c>
      <c r="H4970" s="183">
        <f t="shared" ca="1" si="119"/>
        <v>2.9783414298045777E-2</v>
      </c>
    </row>
    <row r="4971" spans="7:8">
      <c r="G4971" s="168">
        <v>4968</v>
      </c>
      <c r="H4971" s="183">
        <f t="shared" ca="1" si="119"/>
        <v>-1.1874795753444169E-2</v>
      </c>
    </row>
    <row r="4972" spans="7:8">
      <c r="G4972" s="168">
        <v>4969</v>
      </c>
      <c r="H4972" s="183">
        <f t="shared" ca="1" si="119"/>
        <v>1.48086509159162E-2</v>
      </c>
    </row>
    <row r="4973" spans="7:8">
      <c r="G4973" s="168">
        <v>4970</v>
      </c>
      <c r="H4973" s="183">
        <f t="shared" ca="1" si="119"/>
        <v>9.7407270795784682E-3</v>
      </c>
    </row>
    <row r="4974" spans="7:8">
      <c r="G4974" s="168">
        <v>4971</v>
      </c>
      <c r="H4974" s="183">
        <f t="shared" ca="1" si="119"/>
        <v>2.4690694769611721E-2</v>
      </c>
    </row>
    <row r="4975" spans="7:8">
      <c r="G4975" s="168">
        <v>4972</v>
      </c>
      <c r="H4975" s="183">
        <f t="shared" ca="1" si="119"/>
        <v>8.4642207273708664E-3</v>
      </c>
    </row>
    <row r="4976" spans="7:8">
      <c r="G4976" s="168">
        <v>4973</v>
      </c>
      <c r="H4976" s="183">
        <f t="shared" ca="1" si="119"/>
        <v>-1.1131487136338599E-2</v>
      </c>
    </row>
    <row r="4977" spans="7:8">
      <c r="G4977" s="168">
        <v>4974</v>
      </c>
      <c r="H4977" s="183">
        <f t="shared" ca="1" si="119"/>
        <v>-3.0707016632814362E-3</v>
      </c>
    </row>
    <row r="4978" spans="7:8">
      <c r="G4978" s="168">
        <v>4975</v>
      </c>
      <c r="H4978" s="183">
        <f t="shared" ca="1" si="119"/>
        <v>-1.7207084931560927E-2</v>
      </c>
    </row>
    <row r="4979" spans="7:8">
      <c r="G4979" s="168">
        <v>4976</v>
      </c>
      <c r="H4979" s="183">
        <f t="shared" ca="1" si="119"/>
        <v>-2.6453216845928169E-2</v>
      </c>
    </row>
    <row r="4980" spans="7:8">
      <c r="G4980" s="168">
        <v>4977</v>
      </c>
      <c r="H4980" s="183">
        <f t="shared" ca="1" si="119"/>
        <v>-1.2042374206949966E-2</v>
      </c>
    </row>
    <row r="4981" spans="7:8">
      <c r="G4981" s="168">
        <v>4978</v>
      </c>
      <c r="H4981" s="183">
        <f t="shared" ca="1" si="119"/>
        <v>8.8991014848641067E-3</v>
      </c>
    </row>
    <row r="4982" spans="7:8">
      <c r="G4982" s="168">
        <v>4979</v>
      </c>
      <c r="H4982" s="183">
        <f t="shared" ca="1" si="119"/>
        <v>-1.0562966978563482E-4</v>
      </c>
    </row>
    <row r="4983" spans="7:8">
      <c r="G4983" s="168">
        <v>4980</v>
      </c>
      <c r="H4983" s="183">
        <f t="shared" ca="1" si="119"/>
        <v>-1.5099498908669153E-2</v>
      </c>
    </row>
    <row r="4984" spans="7:8">
      <c r="G4984" s="168">
        <v>4981</v>
      </c>
      <c r="H4984" s="183">
        <f t="shared" ca="1" si="119"/>
        <v>7.2139085827284156E-3</v>
      </c>
    </row>
    <row r="4985" spans="7:8">
      <c r="G4985" s="168">
        <v>4982</v>
      </c>
      <c r="H4985" s="183">
        <f t="shared" ca="1" si="119"/>
        <v>8.1509030806484473E-3</v>
      </c>
    </row>
    <row r="4986" spans="7:8">
      <c r="G4986" s="168">
        <v>4983</v>
      </c>
      <c r="H4986" s="183">
        <f t="shared" ca="1" si="119"/>
        <v>7.8697932311704681E-3</v>
      </c>
    </row>
    <row r="4987" spans="7:8">
      <c r="G4987" s="168">
        <v>4984</v>
      </c>
      <c r="H4987" s="183">
        <f t="shared" ca="1" si="119"/>
        <v>1.3998351521996504E-2</v>
      </c>
    </row>
    <row r="4988" spans="7:8">
      <c r="G4988" s="168">
        <v>4985</v>
      </c>
      <c r="H4988" s="183">
        <f t="shared" ca="1" si="119"/>
        <v>2.0402547053798473E-2</v>
      </c>
    </row>
    <row r="4989" spans="7:8">
      <c r="G4989" s="168">
        <v>4986</v>
      </c>
      <c r="H4989" s="183">
        <f t="shared" ca="1" si="119"/>
        <v>8.9402857512248628E-3</v>
      </c>
    </row>
    <row r="4990" spans="7:8">
      <c r="G4990" s="168">
        <v>4987</v>
      </c>
      <c r="H4990" s="183">
        <f t="shared" ca="1" si="119"/>
        <v>1.4938529078758686E-2</v>
      </c>
    </row>
    <row r="4991" spans="7:8">
      <c r="G4991" s="168">
        <v>4988</v>
      </c>
      <c r="H4991" s="183">
        <f t="shared" ca="1" si="119"/>
        <v>2.6506902816441791E-2</v>
      </c>
    </row>
    <row r="4992" spans="7:8">
      <c r="G4992" s="168">
        <v>4989</v>
      </c>
      <c r="H4992" s="183">
        <f t="shared" ca="1" si="119"/>
        <v>4.6855748497561835E-5</v>
      </c>
    </row>
    <row r="4993" spans="7:8">
      <c r="G4993" s="168">
        <v>4990</v>
      </c>
      <c r="H4993" s="183">
        <f t="shared" ca="1" si="119"/>
        <v>-1.6213494601590984E-2</v>
      </c>
    </row>
    <row r="4994" spans="7:8">
      <c r="G4994" s="168">
        <v>4991</v>
      </c>
      <c r="H4994" s="183">
        <f t="shared" ca="1" si="119"/>
        <v>2.2432680263169913E-2</v>
      </c>
    </row>
    <row r="4995" spans="7:8">
      <c r="G4995" s="168">
        <v>4992</v>
      </c>
      <c r="H4995" s="183">
        <f t="shared" ca="1" si="119"/>
        <v>3.6716089305309676E-3</v>
      </c>
    </row>
    <row r="4996" spans="7:8">
      <c r="G4996" s="168">
        <v>4993</v>
      </c>
      <c r="H4996" s="183">
        <f t="shared" ca="1" si="119"/>
        <v>2.0987040452181541E-2</v>
      </c>
    </row>
    <row r="4997" spans="7:8">
      <c r="G4997" s="168">
        <v>4994</v>
      </c>
      <c r="H4997" s="183">
        <f t="shared" ref="H4997:H5003" ca="1" si="120">_xlfn.NORM.INV(RAND(),N$6,N$7)</f>
        <v>-1.0661622910191262E-3</v>
      </c>
    </row>
    <row r="4998" spans="7:8">
      <c r="G4998" s="168">
        <v>4995</v>
      </c>
      <c r="H4998" s="183">
        <f t="shared" ca="1" si="120"/>
        <v>1.3015437932598966E-3</v>
      </c>
    </row>
    <row r="4999" spans="7:8">
      <c r="G4999" s="168">
        <v>4996</v>
      </c>
      <c r="H4999" s="183">
        <f t="shared" ca="1" si="120"/>
        <v>1.731918453913519E-3</v>
      </c>
    </row>
    <row r="5000" spans="7:8">
      <c r="G5000" s="168">
        <v>4997</v>
      </c>
      <c r="H5000" s="183">
        <f t="shared" ca="1" si="120"/>
        <v>8.097555867217587E-3</v>
      </c>
    </row>
    <row r="5001" spans="7:8">
      <c r="G5001" s="168">
        <v>4998</v>
      </c>
      <c r="H5001" s="183">
        <f t="shared" ca="1" si="120"/>
        <v>1.2661113672941825E-2</v>
      </c>
    </row>
    <row r="5002" spans="7:8">
      <c r="G5002" s="168">
        <v>4999</v>
      </c>
      <c r="H5002" s="183">
        <f t="shared" ca="1" si="120"/>
        <v>1.1520899936206978E-2</v>
      </c>
    </row>
    <row r="5003" spans="7:8">
      <c r="G5003" s="168">
        <v>5000</v>
      </c>
      <c r="H5003" s="183">
        <f t="shared" ca="1" si="120"/>
        <v>1.6649016208555485E-2</v>
      </c>
    </row>
  </sheetData>
  <autoFilter ref="B3:E2479" xr:uid="{65E64157-E039-4800-A69F-5507B7EA57BC}">
    <sortState xmlns:xlrd2="http://schemas.microsoft.com/office/spreadsheetml/2017/richdata2" ref="B4:E2479">
      <sortCondition descending="1" ref="E3:E2479"/>
    </sortState>
  </autoFilter>
  <pageMargins left="0.7" right="0.96" top="0.28999999999999998" bottom="0.11" header="0.3" footer="0.3"/>
  <pageSetup paperSize="9" scale="77" orientation="landscape" r:id="rId1"/>
  <rowBreaks count="1" manualBreakCount="1">
    <brk id="41"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B3028-09C3-4890-AA43-104D2373D3A3}">
  <dimension ref="B1:X106"/>
  <sheetViews>
    <sheetView showGridLines="0" topLeftCell="A88" zoomScale="115" zoomScaleNormal="80" zoomScaleSheetLayoutView="88" workbookViewId="0">
      <selection activeCell="F7" sqref="F7"/>
    </sheetView>
  </sheetViews>
  <sheetFormatPr defaultRowHeight="15"/>
  <cols>
    <col min="1" max="1" width="1.85546875" customWidth="1"/>
    <col min="2" max="2" width="35.7109375" customWidth="1"/>
    <col min="3" max="9" width="12.7109375" customWidth="1"/>
  </cols>
  <sheetData>
    <row r="1" spans="2:10">
      <c r="B1" s="1"/>
      <c r="C1" s="1"/>
      <c r="D1" s="1"/>
      <c r="E1" s="1"/>
      <c r="F1" s="1"/>
      <c r="G1" s="1"/>
      <c r="H1" s="1"/>
      <c r="I1" s="1"/>
      <c r="J1" s="1"/>
    </row>
    <row r="2" spans="2:10" ht="7.5" customHeight="1"/>
    <row r="3" spans="2:10" ht="36" customHeight="1">
      <c r="B3" s="244" t="str">
        <f>'Data Sheet'!B1</f>
        <v>LARSEN &amp; TOUBRO LTD</v>
      </c>
    </row>
    <row r="4" spans="2:10">
      <c r="B4" t="str">
        <f>CONCATENATE("(",_xlfn.XLOOKUP(B3,'List Of Stocks'!B2:B5442,'List Of Stocks'!D2:D5442)," ","|"," ","BSE Code:"," ",_xlfn.XLOOKUP('Altman Z Score'!B3,'List Of Stocks'!B2:B5442,'List Of Stocks'!C2:C5442)," ",")")</f>
        <v>(LT | BSE Code: 500510 )</v>
      </c>
    </row>
    <row r="5" spans="2:10" ht="18.75">
      <c r="B5" s="245" t="str">
        <f>CONCATENATE("INR", " ",'Data Sheet'!B8)</f>
        <v>INR 3785.6</v>
      </c>
    </row>
    <row r="6" spans="2:10">
      <c r="B6" t="str">
        <f>"52 Week"  &amp;  "  "&amp;"("&amp;"High -" &amp; " INR " &amp;'Football Field Analysis'!Q10  &amp;  "  "  &amp;"LOW - "  &amp; " INR " &amp;'Football Field Analysis'!N10 &amp;")"</f>
        <v>52 Week  (High - INR 4440  LOW -  INR 3288)</v>
      </c>
    </row>
    <row r="7" spans="2:10" ht="31.5" customHeight="1" thickBot="1"/>
    <row r="8" spans="2:10" ht="30.75" customHeight="1">
      <c r="B8" s="254" t="s">
        <v>8554</v>
      </c>
      <c r="C8" s="254"/>
      <c r="D8" s="254"/>
      <c r="E8" s="254"/>
      <c r="F8" s="254"/>
      <c r="G8" s="254"/>
      <c r="H8" s="254"/>
      <c r="I8" s="254"/>
    </row>
    <row r="9" spans="2:10" ht="15.75" customHeight="1">
      <c r="B9" s="256" t="s">
        <v>8573</v>
      </c>
      <c r="C9" s="257"/>
      <c r="D9" s="257"/>
      <c r="E9" s="257"/>
      <c r="F9" s="257"/>
      <c r="G9" s="257"/>
      <c r="H9" s="257"/>
      <c r="I9" s="257"/>
    </row>
    <row r="10" spans="2:10" ht="15" customHeight="1">
      <c r="B10" s="257"/>
      <c r="C10" s="257"/>
      <c r="D10" s="257"/>
      <c r="E10" s="257"/>
      <c r="F10" s="257"/>
      <c r="G10" s="257"/>
      <c r="H10" s="257"/>
      <c r="I10" s="257"/>
    </row>
    <row r="11" spans="2:10" ht="15" customHeight="1">
      <c r="B11" s="257"/>
      <c r="C11" s="257"/>
      <c r="D11" s="257"/>
      <c r="E11" s="257"/>
      <c r="F11" s="257"/>
      <c r="G11" s="257"/>
      <c r="H11" s="257"/>
      <c r="I11" s="257"/>
    </row>
    <row r="12" spans="2:10">
      <c r="B12" s="257"/>
      <c r="C12" s="257"/>
      <c r="D12" s="257"/>
      <c r="E12" s="257"/>
      <c r="F12" s="257"/>
      <c r="G12" s="257"/>
      <c r="H12" s="257"/>
      <c r="I12" s="257"/>
    </row>
    <row r="13" spans="2:10">
      <c r="B13" s="257"/>
      <c r="C13" s="257"/>
      <c r="D13" s="257"/>
      <c r="E13" s="257"/>
      <c r="F13" s="257"/>
      <c r="G13" s="257"/>
      <c r="H13" s="257"/>
      <c r="I13" s="257"/>
    </row>
    <row r="14" spans="2:10" ht="24.75" customHeight="1">
      <c r="B14" s="257"/>
      <c r="C14" s="257"/>
      <c r="D14" s="257"/>
      <c r="E14" s="257"/>
      <c r="F14" s="257"/>
      <c r="G14" s="257"/>
      <c r="H14" s="257"/>
      <c r="I14" s="257"/>
    </row>
    <row r="15" spans="2:10" ht="6" customHeight="1">
      <c r="B15" s="257"/>
      <c r="C15" s="257"/>
      <c r="D15" s="257"/>
      <c r="E15" s="257"/>
      <c r="F15" s="257"/>
      <c r="G15" s="257"/>
      <c r="H15" s="257"/>
      <c r="I15" s="257"/>
    </row>
    <row r="16" spans="2:10" ht="21.75" customHeight="1">
      <c r="B16" s="245" t="s">
        <v>8551</v>
      </c>
    </row>
    <row r="17" spans="2:2" ht="10.5" customHeight="1">
      <c r="B17" s="191"/>
    </row>
    <row r="18" spans="2:2" ht="18.75">
      <c r="B18" s="191"/>
    </row>
    <row r="19" spans="2:2">
      <c r="B19" s="246"/>
    </row>
    <row r="20" spans="2:2">
      <c r="B20" s="247"/>
    </row>
    <row r="61" spans="2:10" ht="19.5" customHeight="1" thickBot="1"/>
    <row r="62" spans="2:10">
      <c r="B62" s="240"/>
      <c r="C62" s="240"/>
      <c r="D62" s="240"/>
      <c r="E62" s="240"/>
      <c r="F62" s="240"/>
      <c r="G62" s="240"/>
      <c r="H62" s="240"/>
      <c r="I62" s="240"/>
      <c r="J62" s="240"/>
    </row>
    <row r="63" spans="2:10" ht="0.75" customHeight="1"/>
    <row r="64" spans="2:10">
      <c r="B64" s="1"/>
      <c r="C64" s="1"/>
      <c r="D64" s="1"/>
      <c r="E64" s="1"/>
      <c r="F64" s="1"/>
      <c r="G64" s="1"/>
      <c r="H64" s="1"/>
      <c r="I64" s="1"/>
      <c r="J64" s="1"/>
    </row>
    <row r="67" spans="2:24">
      <c r="B67" s="253" t="s">
        <v>8555</v>
      </c>
      <c r="C67" s="253"/>
      <c r="D67" s="253"/>
      <c r="E67" s="253"/>
      <c r="F67" s="253"/>
      <c r="G67" s="253"/>
      <c r="H67" s="253"/>
      <c r="I67" s="253"/>
    </row>
    <row r="68" spans="2:24">
      <c r="C68" s="190">
        <f>HistoricalFS!F3</f>
        <v>43921</v>
      </c>
      <c r="D68" s="190">
        <f>HistoricalFS!G3</f>
        <v>44286</v>
      </c>
      <c r="E68" s="190">
        <f>HistoricalFS!H3</f>
        <v>44651</v>
      </c>
      <c r="F68" s="190">
        <f>HistoricalFS!I3</f>
        <v>45016</v>
      </c>
      <c r="G68" s="190">
        <f>HistoricalFS!J3</f>
        <v>45382</v>
      </c>
      <c r="H68" s="190">
        <f>HistoricalFS!K3</f>
        <v>45747</v>
      </c>
      <c r="I68" s="190">
        <f>HistoricalFS!L3</f>
        <v>46112</v>
      </c>
    </row>
    <row r="69" spans="2:24">
      <c r="B69" t="s">
        <v>8556</v>
      </c>
      <c r="C69" s="154">
        <f>'Data Sheet'!E65-'Data Sheet'!E60</f>
        <v>142884.94</v>
      </c>
      <c r="D69" s="154">
        <f>'Data Sheet'!F65-'Data Sheet'!F60</f>
        <v>126051.26999999999</v>
      </c>
      <c r="E69" s="154">
        <f>'Data Sheet'!G65-'Data Sheet'!G60</f>
        <v>124326.00000000001</v>
      </c>
      <c r="F69" s="154">
        <f>'Data Sheet'!H65-'Data Sheet'!H60</f>
        <v>119471.51</v>
      </c>
      <c r="G69" s="154">
        <f>'Data Sheet'!I65-'Data Sheet'!I60</f>
        <v>111024.81</v>
      </c>
      <c r="H69" s="154">
        <f>'Data Sheet'!J65-'Data Sheet'!J60</f>
        <v>128615.12</v>
      </c>
      <c r="I69" s="154">
        <f>'Data Sheet'!K65-'Data Sheet'!K60</f>
        <v>132231.74</v>
      </c>
    </row>
    <row r="70" spans="2:24">
      <c r="B70" t="s">
        <v>112</v>
      </c>
      <c r="C70" s="154">
        <f>'Data Sheet'!E66</f>
        <v>306687.09000000003</v>
      </c>
      <c r="D70" s="154">
        <f>'Data Sheet'!F66</f>
        <v>310095.05</v>
      </c>
      <c r="E70" s="154">
        <f>'Data Sheet'!G66</f>
        <v>319027.90999999997</v>
      </c>
      <c r="F70" s="154">
        <f>'Data Sheet'!H66</f>
        <v>329721.88</v>
      </c>
      <c r="G70" s="154">
        <f>'Data Sheet'!I66</f>
        <v>339602.34</v>
      </c>
      <c r="H70" s="154">
        <f>'Data Sheet'!J66</f>
        <v>379114.09</v>
      </c>
      <c r="I70" s="154">
        <f>'Data Sheet'!K66</f>
        <v>452382.77</v>
      </c>
    </row>
    <row r="71" spans="2:24">
      <c r="B71" s="44" t="s">
        <v>8564</v>
      </c>
      <c r="C71" s="241">
        <f>C69/C70</f>
        <v>0.46589812437165184</v>
      </c>
      <c r="D71" s="241">
        <f>D69/D70</f>
        <v>0.40649236419607471</v>
      </c>
      <c r="E71" s="241">
        <f>E69/E70</f>
        <v>0.38970258119422851</v>
      </c>
      <c r="F71" s="241">
        <f>F69/F70</f>
        <v>0.36234025476258958</v>
      </c>
      <c r="G71" s="241">
        <f t="shared" ref="G71" si="0">G69/G70</f>
        <v>0.32692592754219535</v>
      </c>
      <c r="H71" s="241">
        <f>H69/H70</f>
        <v>0.3392517540036562</v>
      </c>
      <c r="I71" s="241">
        <f>I69/I70</f>
        <v>0.29230056661972337</v>
      </c>
    </row>
    <row r="73" spans="2:24">
      <c r="B73" s="253" t="s">
        <v>8557</v>
      </c>
      <c r="C73" s="253"/>
      <c r="D73" s="253"/>
      <c r="E73" s="253"/>
      <c r="F73" s="253"/>
      <c r="G73" s="253"/>
      <c r="H73" s="253"/>
      <c r="I73" s="253"/>
    </row>
    <row r="74" spans="2:24">
      <c r="C74" s="190">
        <f t="shared" ref="C74:H74" si="1">C68</f>
        <v>43921</v>
      </c>
      <c r="D74" s="190">
        <f t="shared" si="1"/>
        <v>44286</v>
      </c>
      <c r="E74" s="190">
        <f t="shared" si="1"/>
        <v>44651</v>
      </c>
      <c r="F74" s="190">
        <f t="shared" si="1"/>
        <v>45016</v>
      </c>
      <c r="G74" s="190">
        <f t="shared" si="1"/>
        <v>45382</v>
      </c>
      <c r="H74" s="190">
        <f t="shared" si="1"/>
        <v>45747</v>
      </c>
      <c r="I74" s="190">
        <f>I68</f>
        <v>46112</v>
      </c>
    </row>
    <row r="75" spans="2:24">
      <c r="B75" t="s">
        <v>96</v>
      </c>
      <c r="C75" s="154">
        <f>HistoricalFS!F36*HistoricalFS!F38*HistoricalFS!F44</f>
        <v>5279.8299999999917</v>
      </c>
      <c r="D75" s="154">
        <f>HistoricalFS!G36*HistoricalFS!G38*HistoricalFS!G44</f>
        <v>0</v>
      </c>
      <c r="E75" s="154">
        <f>HistoricalFS!H36*HistoricalFS!H38*HistoricalFS!H44</f>
        <v>4835.9300000000276</v>
      </c>
      <c r="F75" s="154">
        <f>HistoricalFS!I36*HistoricalFS!I38*HistoricalFS!I44</f>
        <v>6360.9700000000403</v>
      </c>
      <c r="G75" s="154">
        <f>HistoricalFS!J36*HistoricalFS!J38*HistoricalFS!J44</f>
        <v>5942.4199999999801</v>
      </c>
      <c r="H75" s="154">
        <f>HistoricalFS!K36*HistoricalFS!K38*HistoricalFS!K44</f>
        <v>9813.8600000000097</v>
      </c>
      <c r="I75" s="154">
        <f>HistoricalFS!L36*HistoricalFS!L38*HistoricalFS!L44</f>
        <v>8946.1299999999574</v>
      </c>
      <c r="Q75" s="255"/>
      <c r="R75" s="255"/>
      <c r="S75" s="255"/>
      <c r="T75" s="255"/>
      <c r="U75" s="255"/>
      <c r="V75" s="255"/>
      <c r="W75" s="255"/>
      <c r="X75" s="255"/>
    </row>
    <row r="76" spans="2:24">
      <c r="B76" t="str">
        <f>B70</f>
        <v>Total Assets</v>
      </c>
      <c r="C76" s="154">
        <f>C$70</f>
        <v>306687.09000000003</v>
      </c>
      <c r="D76" s="154">
        <f t="shared" ref="D76:I76" si="2">D$70</f>
        <v>310095.05</v>
      </c>
      <c r="E76" s="154">
        <f t="shared" si="2"/>
        <v>319027.90999999997</v>
      </c>
      <c r="F76" s="154">
        <f t="shared" si="2"/>
        <v>329721.88</v>
      </c>
      <c r="G76" s="154">
        <f t="shared" si="2"/>
        <v>339602.34</v>
      </c>
      <c r="H76" s="154">
        <f t="shared" si="2"/>
        <v>379114.09</v>
      </c>
      <c r="I76" s="154">
        <f t="shared" si="2"/>
        <v>452382.77</v>
      </c>
      <c r="J76" s="154"/>
      <c r="K76" s="154"/>
      <c r="L76" s="154"/>
    </row>
    <row r="77" spans="2:24">
      <c r="B77" s="44" t="s">
        <v>8565</v>
      </c>
      <c r="C77" s="241">
        <f t="shared" ref="C77:H77" si="3">C75/C76</f>
        <v>1.7215690428964557E-2</v>
      </c>
      <c r="D77" s="241">
        <f t="shared" si="3"/>
        <v>0</v>
      </c>
      <c r="E77" s="241">
        <f t="shared" si="3"/>
        <v>1.5158328937427537E-2</v>
      </c>
      <c r="F77" s="241">
        <f t="shared" si="3"/>
        <v>1.9291925667778067E-2</v>
      </c>
      <c r="G77" s="241">
        <f t="shared" si="3"/>
        <v>1.7498171537922793E-2</v>
      </c>
      <c r="H77" s="241">
        <f t="shared" si="3"/>
        <v>2.5886297182993144E-2</v>
      </c>
      <c r="I77" s="241">
        <f>I75/I76</f>
        <v>1.9775576333289521E-2</v>
      </c>
    </row>
    <row r="79" spans="2:24">
      <c r="B79" s="253" t="s">
        <v>8558</v>
      </c>
      <c r="C79" s="253"/>
      <c r="D79" s="253"/>
      <c r="E79" s="253"/>
      <c r="F79" s="253"/>
      <c r="G79" s="253"/>
      <c r="H79" s="253"/>
      <c r="I79" s="253"/>
    </row>
    <row r="80" spans="2:24">
      <c r="C80" s="190">
        <f t="shared" ref="C80:I80" si="4">C74</f>
        <v>43921</v>
      </c>
      <c r="D80" s="190">
        <f t="shared" si="4"/>
        <v>44286</v>
      </c>
      <c r="E80" s="190">
        <f t="shared" si="4"/>
        <v>44651</v>
      </c>
      <c r="F80" s="190">
        <f t="shared" si="4"/>
        <v>45016</v>
      </c>
      <c r="G80" s="190">
        <f t="shared" si="4"/>
        <v>45382</v>
      </c>
      <c r="H80" s="190">
        <f t="shared" si="4"/>
        <v>45747</v>
      </c>
      <c r="I80" s="190">
        <f t="shared" si="4"/>
        <v>46112</v>
      </c>
    </row>
    <row r="81" spans="2:12">
      <c r="B81" t="s">
        <v>190</v>
      </c>
      <c r="C81" s="154">
        <f>HistoricalFS!F18-HistoricalFS!F24</f>
        <v>22090.829999999991</v>
      </c>
      <c r="D81" s="154">
        <f>HistoricalFS!G18-HistoricalFS!G24</f>
        <v>20556.030000000013</v>
      </c>
      <c r="E81" s="154">
        <f>HistoricalFS!H18-HistoricalFS!H24</f>
        <v>21365.940000000028</v>
      </c>
      <c r="F81" s="154">
        <f>HistoricalFS!I18-HistoricalFS!I24</f>
        <v>23663.77000000004</v>
      </c>
      <c r="G81" s="154">
        <f>HistoricalFS!J18-HistoricalFS!J24</f>
        <v>25075.789999999979</v>
      </c>
      <c r="H81" s="154">
        <f>HistoricalFS!K18-HistoricalFS!K24</f>
        <v>30305.720000000008</v>
      </c>
      <c r="I81" s="154">
        <f>HistoricalFS!L18-HistoricalFS!L24</f>
        <v>31045.949999999961</v>
      </c>
    </row>
    <row r="82" spans="2:12">
      <c r="B82" t="str">
        <f>B76</f>
        <v>Total Assets</v>
      </c>
      <c r="C82" s="154">
        <f>C76</f>
        <v>306687.09000000003</v>
      </c>
      <c r="D82" s="154">
        <f t="shared" ref="D82:I82" si="5">D76</f>
        <v>310095.05</v>
      </c>
      <c r="E82" s="154">
        <f t="shared" si="5"/>
        <v>319027.90999999997</v>
      </c>
      <c r="F82" s="154">
        <f t="shared" si="5"/>
        <v>329721.88</v>
      </c>
      <c r="G82" s="154">
        <f t="shared" si="5"/>
        <v>339602.34</v>
      </c>
      <c r="H82" s="154">
        <f t="shared" si="5"/>
        <v>379114.09</v>
      </c>
      <c r="I82" s="154">
        <f t="shared" si="5"/>
        <v>452382.77</v>
      </c>
    </row>
    <row r="83" spans="2:12">
      <c r="B83" s="44" t="s">
        <v>8566</v>
      </c>
      <c r="C83" s="241">
        <f t="shared" ref="C83:H83" si="6">C81/C82</f>
        <v>7.2030518141471128E-2</v>
      </c>
      <c r="D83" s="241">
        <f t="shared" si="6"/>
        <v>6.6289448993139405E-2</v>
      </c>
      <c r="E83" s="241">
        <f t="shared" si="6"/>
        <v>6.6972008812645978E-2</v>
      </c>
      <c r="F83" s="241">
        <f t="shared" si="6"/>
        <v>7.176887988143231E-2</v>
      </c>
      <c r="G83" s="241">
        <f t="shared" si="6"/>
        <v>7.3838684385979139E-2</v>
      </c>
      <c r="H83" s="241">
        <f t="shared" si="6"/>
        <v>7.9938258163921069E-2</v>
      </c>
      <c r="I83" s="241">
        <f>I81/I82</f>
        <v>6.8627613735156093E-2</v>
      </c>
    </row>
    <row r="84" spans="2:12">
      <c r="B84" s="2"/>
      <c r="C84" s="192"/>
      <c r="D84" s="192"/>
      <c r="E84" s="192"/>
      <c r="F84" s="192"/>
      <c r="G84" s="192"/>
      <c r="H84" s="192"/>
      <c r="I84" s="192"/>
    </row>
    <row r="85" spans="2:12">
      <c r="B85" s="253" t="s">
        <v>8559</v>
      </c>
      <c r="C85" s="253"/>
      <c r="D85" s="253"/>
      <c r="E85" s="253"/>
      <c r="F85" s="253"/>
      <c r="G85" s="253"/>
      <c r="H85" s="253"/>
      <c r="I85" s="253"/>
    </row>
    <row r="86" spans="2:12">
      <c r="C86" s="190">
        <f t="shared" ref="C86:I86" si="7">C80</f>
        <v>43921</v>
      </c>
      <c r="D86" s="190">
        <f t="shared" si="7"/>
        <v>44286</v>
      </c>
      <c r="E86" s="190">
        <f t="shared" si="7"/>
        <v>44651</v>
      </c>
      <c r="F86" s="190">
        <f t="shared" si="7"/>
        <v>45016</v>
      </c>
      <c r="G86" s="190">
        <f t="shared" si="7"/>
        <v>45382</v>
      </c>
      <c r="H86" s="190">
        <f t="shared" si="7"/>
        <v>45747</v>
      </c>
      <c r="I86" s="190">
        <f t="shared" si="7"/>
        <v>46112</v>
      </c>
    </row>
    <row r="87" spans="2:12">
      <c r="B87" t="s">
        <v>8560</v>
      </c>
      <c r="C87" s="154">
        <f>('Data Sheet'!E70*'Data Sheet'!E90)/10000000</f>
        <v>113504.6699787</v>
      </c>
      <c r="D87" s="154">
        <f>('Data Sheet'!F70*'Data Sheet'!F90)/10000000</f>
        <v>199292.35109133</v>
      </c>
      <c r="E87" s="154">
        <f>('Data Sheet'!G70*'Data Sheet'!G90)/10000000</f>
        <v>248359.97292709502</v>
      </c>
      <c r="F87" s="154">
        <f>('Data Sheet'!H70*'Data Sheet'!H90)/10000000</f>
        <v>304174.45555979997</v>
      </c>
      <c r="G87" s="154">
        <f>('Data Sheet'!I70*'Data Sheet'!I90)/10000000</f>
        <v>517411.52150541008</v>
      </c>
      <c r="H87" s="154">
        <f>('Data Sheet'!J70*'Data Sheet'!J90)/10000000</f>
        <v>480258.35978295002</v>
      </c>
      <c r="I87" s="154">
        <f>('Data Sheet'!K70*'Data Sheet'!K90)/10000000</f>
        <v>482035.27569789998</v>
      </c>
    </row>
    <row r="88" spans="2:12">
      <c r="B88" t="s">
        <v>8561</v>
      </c>
      <c r="C88" s="154">
        <f>'Data Sheet'!E59</f>
        <v>143173.67000000001</v>
      </c>
      <c r="D88" s="154">
        <f>'Data Sheet'!F59</f>
        <v>134629.07999999999</v>
      </c>
      <c r="E88" s="154">
        <f>'Data Sheet'!G59</f>
        <v>125508.08</v>
      </c>
      <c r="F88" s="154">
        <f>'Data Sheet'!H59</f>
        <v>120650.44</v>
      </c>
      <c r="G88" s="154">
        <f>'Data Sheet'!I59</f>
        <v>116322.22</v>
      </c>
      <c r="H88" s="154">
        <f>'Data Sheet'!J59</f>
        <v>132408.92000000001</v>
      </c>
      <c r="I88" s="154">
        <f>'Data Sheet'!K59</f>
        <v>125496.59</v>
      </c>
    </row>
    <row r="89" spans="2:12">
      <c r="B89" s="44" t="s">
        <v>8567</v>
      </c>
      <c r="C89" s="241">
        <f t="shared" ref="C89:H89" si="8">C87/C88</f>
        <v>0.79277614367711591</v>
      </c>
      <c r="D89" s="241">
        <f t="shared" si="8"/>
        <v>1.4803068630590808</v>
      </c>
      <c r="E89" s="241">
        <f t="shared" si="8"/>
        <v>1.9788365253224733</v>
      </c>
      <c r="F89" s="241">
        <f t="shared" si="8"/>
        <v>2.5211218090858183</v>
      </c>
      <c r="G89" s="241">
        <f t="shared" si="8"/>
        <v>4.4480884349130383</v>
      </c>
      <c r="H89" s="241">
        <f t="shared" si="8"/>
        <v>3.6270846388819571</v>
      </c>
      <c r="I89" s="241">
        <f>I87/I88</f>
        <v>3.8410228970994349</v>
      </c>
      <c r="L89" s="124"/>
    </row>
    <row r="91" spans="2:12">
      <c r="B91" s="2"/>
      <c r="C91" s="192"/>
      <c r="D91" s="192"/>
      <c r="E91" s="192"/>
      <c r="F91" s="192"/>
      <c r="G91" s="192"/>
      <c r="H91" s="192"/>
      <c r="I91" s="192"/>
    </row>
    <row r="93" spans="2:12">
      <c r="B93" s="253" t="s">
        <v>8562</v>
      </c>
      <c r="C93" s="253"/>
      <c r="D93" s="253"/>
      <c r="E93" s="253"/>
      <c r="F93" s="253"/>
      <c r="G93" s="253"/>
      <c r="H93" s="253"/>
      <c r="I93" s="253"/>
    </row>
    <row r="94" spans="2:12">
      <c r="C94" s="190">
        <f t="shared" ref="C94:H94" si="9">C86</f>
        <v>43921</v>
      </c>
      <c r="D94" s="190">
        <f t="shared" si="9"/>
        <v>44286</v>
      </c>
      <c r="E94" s="190">
        <f t="shared" si="9"/>
        <v>44651</v>
      </c>
      <c r="F94" s="190">
        <f t="shared" si="9"/>
        <v>45016</v>
      </c>
      <c r="G94" s="190">
        <f t="shared" si="9"/>
        <v>45382</v>
      </c>
      <c r="H94" s="190">
        <f t="shared" si="9"/>
        <v>45747</v>
      </c>
      <c r="I94" s="190">
        <f>I86</f>
        <v>46112</v>
      </c>
    </row>
    <row r="95" spans="2:12">
      <c r="B95" t="s">
        <v>8563</v>
      </c>
      <c r="C95" s="154">
        <f>'Data Sheet'!E17</f>
        <v>145452.35999999999</v>
      </c>
      <c r="D95" s="154">
        <f>'Data Sheet'!F17</f>
        <v>135979.03</v>
      </c>
      <c r="E95" s="154">
        <f>'Data Sheet'!G17</f>
        <v>156521.23000000001</v>
      </c>
      <c r="F95" s="154">
        <f>'Data Sheet'!H17</f>
        <v>183340.7</v>
      </c>
      <c r="G95" s="154">
        <f>'Data Sheet'!I17</f>
        <v>221112.91</v>
      </c>
      <c r="H95" s="154">
        <f>'Data Sheet'!J17</f>
        <v>255734.45</v>
      </c>
      <c r="I95" s="154">
        <f>'Data Sheet'!K17</f>
        <v>285874.36</v>
      </c>
    </row>
    <row r="96" spans="2:12">
      <c r="B96" t="s">
        <v>112</v>
      </c>
      <c r="C96" s="154">
        <f>C82</f>
        <v>306687.09000000003</v>
      </c>
      <c r="D96" s="154">
        <f t="shared" ref="D96:I96" si="10">D82</f>
        <v>310095.05</v>
      </c>
      <c r="E96" s="154">
        <f t="shared" si="10"/>
        <v>319027.90999999997</v>
      </c>
      <c r="F96" s="154">
        <f t="shared" si="10"/>
        <v>329721.88</v>
      </c>
      <c r="G96" s="154">
        <f t="shared" si="10"/>
        <v>339602.34</v>
      </c>
      <c r="H96" s="154">
        <f t="shared" si="10"/>
        <v>379114.09</v>
      </c>
      <c r="I96" s="154">
        <f t="shared" si="10"/>
        <v>452382.77</v>
      </c>
    </row>
    <row r="97" spans="2:10">
      <c r="B97" s="44" t="s">
        <v>8568</v>
      </c>
      <c r="C97" s="241">
        <f t="shared" ref="C97:I97" si="11">C95/C96</f>
        <v>0.47426958858946416</v>
      </c>
      <c r="D97" s="241">
        <f t="shared" si="11"/>
        <v>0.43850758017582031</v>
      </c>
      <c r="E97" s="241">
        <f t="shared" si="11"/>
        <v>0.49061923767108662</v>
      </c>
      <c r="F97" s="241">
        <f t="shared" si="11"/>
        <v>0.55604650804490141</v>
      </c>
      <c r="G97" s="241">
        <f t="shared" si="11"/>
        <v>0.65109359964951941</v>
      </c>
      <c r="H97" s="241">
        <f t="shared" si="11"/>
        <v>0.67455802025189826</v>
      </c>
      <c r="I97" s="241">
        <f t="shared" si="11"/>
        <v>0.63193025676022097</v>
      </c>
    </row>
    <row r="99" spans="2:10">
      <c r="B99" s="253" t="s">
        <v>8569</v>
      </c>
      <c r="C99" s="253"/>
      <c r="D99" s="253"/>
      <c r="E99" s="253"/>
      <c r="F99" s="253"/>
      <c r="G99" s="253"/>
      <c r="H99" s="253"/>
      <c r="I99" s="253"/>
    </row>
    <row r="100" spans="2:10">
      <c r="C100" s="190">
        <f t="shared" ref="C100:H100" si="12">C94</f>
        <v>43921</v>
      </c>
      <c r="D100" s="190">
        <f t="shared" si="12"/>
        <v>44286</v>
      </c>
      <c r="E100" s="190">
        <f t="shared" si="12"/>
        <v>44651</v>
      </c>
      <c r="F100" s="190">
        <f t="shared" si="12"/>
        <v>45016</v>
      </c>
      <c r="G100" s="190">
        <f t="shared" si="12"/>
        <v>45382</v>
      </c>
      <c r="H100" s="190">
        <f t="shared" si="12"/>
        <v>45747</v>
      </c>
      <c r="I100" s="190">
        <f>I94</f>
        <v>46112</v>
      </c>
    </row>
    <row r="101" spans="2:10">
      <c r="B101" s="45" t="s">
        <v>8570</v>
      </c>
      <c r="C101" s="242">
        <f>(C71*1.2)+(C77*1.4)+(C83*3.3)+(C89*0.6)+(C97*1)</f>
        <v>1.770815700509121</v>
      </c>
      <c r="D101" s="242">
        <f t="shared" ref="D101:I101" si="13">(D71*1.2)+(D77*1.4)+(D83*3.3)+(D89*0.6)+(D97*1)</f>
        <v>2.0332377167239186</v>
      </c>
      <c r="E101" s="242">
        <f t="shared" si="13"/>
        <v>2.3877935398917751</v>
      </c>
      <c r="F101" s="242">
        <f t="shared" si="13"/>
        <v>2.7673738987551157</v>
      </c>
      <c r="G101" s="242">
        <f t="shared" si="13"/>
        <v>3.9804228722747994</v>
      </c>
      <c r="H101" s="242">
        <f t="shared" si="13"/>
        <v>3.5579479763825894</v>
      </c>
      <c r="I101" s="242">
        <f t="shared" si="13"/>
        <v>3.5414616071561698</v>
      </c>
    </row>
    <row r="102" spans="2:10">
      <c r="B102" t="s">
        <v>8571</v>
      </c>
      <c r="C102" s="243" t="str">
        <f>IF(C101&lt;1.81,"Distressed",IF(C101&gt;3,"Strong","Grey Zone"))</f>
        <v>Distressed</v>
      </c>
      <c r="D102" s="243" t="str">
        <f t="shared" ref="D102:I102" si="14">IF(D101&lt;1.81,"Distressed",IF(D101&gt;3,"Strong","Grey Zone"))</f>
        <v>Grey Zone</v>
      </c>
      <c r="E102" s="243" t="str">
        <f t="shared" si="14"/>
        <v>Grey Zone</v>
      </c>
      <c r="F102" s="243" t="str">
        <f t="shared" si="14"/>
        <v>Grey Zone</v>
      </c>
      <c r="G102" s="243" t="str">
        <f t="shared" si="14"/>
        <v>Strong</v>
      </c>
      <c r="H102" s="243" t="str">
        <f t="shared" si="14"/>
        <v>Strong</v>
      </c>
      <c r="I102" s="243" t="str">
        <f t="shared" si="14"/>
        <v>Strong</v>
      </c>
    </row>
    <row r="103" spans="2:10">
      <c r="C103" s="154"/>
      <c r="D103" s="154"/>
      <c r="E103" s="154"/>
      <c r="F103" s="154"/>
      <c r="G103" s="154"/>
      <c r="H103" s="154"/>
      <c r="I103" s="154"/>
    </row>
    <row r="106" spans="2:10">
      <c r="B106" s="45"/>
      <c r="C106" s="45"/>
      <c r="D106" s="45"/>
      <c r="E106" s="45"/>
      <c r="F106" s="45"/>
      <c r="G106" s="45"/>
      <c r="H106" s="45"/>
      <c r="I106" s="45"/>
      <c r="J106" s="45"/>
    </row>
  </sheetData>
  <mergeCells count="9">
    <mergeCell ref="B93:I93"/>
    <mergeCell ref="B99:I99"/>
    <mergeCell ref="B8:I8"/>
    <mergeCell ref="B79:I79"/>
    <mergeCell ref="Q75:X75"/>
    <mergeCell ref="B85:I85"/>
    <mergeCell ref="B9:I15"/>
    <mergeCell ref="B67:I67"/>
    <mergeCell ref="B73:I73"/>
  </mergeCells>
  <pageMargins left="0.25" right="0" top="0.5" bottom="0.6" header="0" footer="0"/>
  <pageSetup scale="73" orientation="portrait" r:id="rId1"/>
  <headerFooter>
    <oddFooter>&amp;RPage &amp;P</oddFooter>
  </headerFooter>
  <rowBreaks count="1" manualBreakCount="1">
    <brk id="62" max="9" man="1"/>
  </rowBreaks>
  <ignoredErrors>
    <ignoredError sqref="C75 C81:I81"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4604B-C49D-4058-B0BC-4DBDC0225086}">
  <sheetPr>
    <tabColor rgb="FF002060"/>
    <pageSetUpPr fitToPage="1"/>
  </sheetPr>
  <dimension ref="B2:J40"/>
  <sheetViews>
    <sheetView showGridLines="0" zoomScale="98" workbookViewId="0">
      <selection activeCell="F16" sqref="F16"/>
    </sheetView>
  </sheetViews>
  <sheetFormatPr defaultRowHeight="15" outlineLevelRow="1"/>
  <cols>
    <col min="1" max="1" width="1.85546875" customWidth="1"/>
    <col min="2" max="10" width="12.7109375" customWidth="1"/>
  </cols>
  <sheetData>
    <row r="2" spans="2:10">
      <c r="B2" s="44" t="s">
        <v>221</v>
      </c>
      <c r="C2" s="44"/>
      <c r="D2" s="44"/>
      <c r="E2" s="111">
        <f>'Intrisic Growth'!I2</f>
        <v>46082</v>
      </c>
      <c r="F2" s="110">
        <f>E2+365</f>
        <v>46447</v>
      </c>
      <c r="G2" s="110">
        <f t="shared" ref="G2:J2" si="0">F2+365</f>
        <v>46812</v>
      </c>
      <c r="H2" s="110">
        <f>G2+366</f>
        <v>47178</v>
      </c>
      <c r="I2" s="110">
        <f t="shared" si="0"/>
        <v>47543</v>
      </c>
      <c r="J2" s="110">
        <f t="shared" si="0"/>
        <v>47908</v>
      </c>
    </row>
    <row r="4" spans="2:10">
      <c r="B4" s="113" t="s">
        <v>190</v>
      </c>
      <c r="C4" s="113"/>
      <c r="D4" s="113"/>
      <c r="E4" s="117">
        <f>IFERROR('Data Sheet'!K34-'Data Sheet'!K26,0)</f>
        <v>32956.340000000004</v>
      </c>
      <c r="F4" s="114">
        <f>E4*(1+$D$14)</f>
        <v>39794.780550000003</v>
      </c>
      <c r="G4" s="114">
        <f t="shared" ref="G4:J4" si="1">F4*(1+$D$14)</f>
        <v>48052.197514125008</v>
      </c>
      <c r="H4" s="114">
        <f t="shared" si="1"/>
        <v>58023.028498305946</v>
      </c>
      <c r="I4" s="114">
        <f t="shared" si="1"/>
        <v>70062.806911704436</v>
      </c>
      <c r="J4" s="114">
        <f t="shared" si="1"/>
        <v>84600.839345883112</v>
      </c>
    </row>
    <row r="5" spans="2:10">
      <c r="B5" s="113" t="s">
        <v>31</v>
      </c>
      <c r="C5" s="113"/>
      <c r="D5" s="113"/>
      <c r="E5" s="118">
        <v>0.25</v>
      </c>
      <c r="F5" s="115">
        <f>$E$5</f>
        <v>0.25</v>
      </c>
      <c r="G5" s="115">
        <f t="shared" ref="G5:J5" si="2">$E$5</f>
        <v>0.25</v>
      </c>
      <c r="H5" s="115">
        <f t="shared" si="2"/>
        <v>0.25</v>
      </c>
      <c r="I5" s="115">
        <f t="shared" si="2"/>
        <v>0.25</v>
      </c>
      <c r="J5" s="115">
        <f t="shared" si="2"/>
        <v>0.25</v>
      </c>
    </row>
    <row r="6" spans="2:10">
      <c r="B6" s="113" t="s">
        <v>222</v>
      </c>
      <c r="C6" s="113"/>
      <c r="D6" s="113"/>
      <c r="E6" s="117">
        <f>E4*(1-E5)</f>
        <v>24717.255000000005</v>
      </c>
      <c r="F6" s="114">
        <f>E6*(1+$D$14)</f>
        <v>29846.085412500008</v>
      </c>
      <c r="G6" s="114">
        <f>F6*(1+$D$14)</f>
        <v>36039.148135593758</v>
      </c>
      <c r="H6" s="114">
        <f>G6*(1+$D$14)</f>
        <v>43517.271373729462</v>
      </c>
      <c r="I6" s="114">
        <f>H6*(1+$D$14)</f>
        <v>52547.105183778323</v>
      </c>
      <c r="J6" s="114">
        <f>I6*(1+$D$14)</f>
        <v>63450.629509412327</v>
      </c>
    </row>
    <row r="7" spans="2:10">
      <c r="B7" s="113" t="s">
        <v>223</v>
      </c>
      <c r="C7" s="113"/>
      <c r="D7" s="113"/>
      <c r="E7" s="118">
        <v>0.31</v>
      </c>
      <c r="F7" s="113"/>
      <c r="G7" s="113"/>
      <c r="H7" s="113"/>
      <c r="I7" s="113"/>
      <c r="J7" s="113"/>
    </row>
    <row r="8" spans="2:10">
      <c r="B8" s="113" t="s">
        <v>224</v>
      </c>
      <c r="C8" s="113"/>
      <c r="D8" s="113"/>
      <c r="E8" s="117">
        <f>E6*(1-E7)</f>
        <v>17054.90595</v>
      </c>
      <c r="F8" s="114">
        <f>E8*(1+$D$14)</f>
        <v>20593.798934625</v>
      </c>
      <c r="G8" s="114">
        <f t="shared" ref="G8:J8" si="3">F8*(1+$D$14)</f>
        <v>24867.012213559687</v>
      </c>
      <c r="H8" s="114">
        <f t="shared" si="3"/>
        <v>30026.917247873324</v>
      </c>
      <c r="I8" s="114">
        <f t="shared" si="3"/>
        <v>36257.502576807041</v>
      </c>
      <c r="J8" s="114">
        <f t="shared" si="3"/>
        <v>43780.934361494503</v>
      </c>
    </row>
    <row r="9" spans="2:10">
      <c r="B9" s="113" t="s">
        <v>225</v>
      </c>
      <c r="C9" s="113"/>
      <c r="D9" s="113"/>
      <c r="E9" s="117"/>
      <c r="F9" s="116">
        <v>0.5</v>
      </c>
      <c r="G9" s="113">
        <f>F9+1</f>
        <v>1.5</v>
      </c>
      <c r="H9" s="113">
        <f t="shared" ref="H9:J9" si="4">G9+1</f>
        <v>2.5</v>
      </c>
      <c r="I9" s="113">
        <f t="shared" si="4"/>
        <v>3.5</v>
      </c>
      <c r="J9" s="113">
        <f t="shared" si="4"/>
        <v>4.5</v>
      </c>
    </row>
    <row r="10" spans="2:10">
      <c r="B10" s="113" t="s">
        <v>226</v>
      </c>
      <c r="C10" s="113"/>
      <c r="D10" s="113"/>
      <c r="E10" s="117"/>
      <c r="F10" s="120">
        <f>1/(1+$D$16)^F9</f>
        <v>0.94405899987354769</v>
      </c>
      <c r="G10" s="120">
        <f t="shared" ref="G10:J10" si="5">1/(1+$D$16)^G9</f>
        <v>0.84139012459229678</v>
      </c>
      <c r="H10" s="120">
        <f t="shared" si="5"/>
        <v>0.74988675692543105</v>
      </c>
      <c r="I10" s="120">
        <f t="shared" si="5"/>
        <v>0.66833461883644374</v>
      </c>
      <c r="J10" s="120">
        <f t="shared" si="5"/>
        <v>0.59565148818819802</v>
      </c>
    </row>
    <row r="11" spans="2:10" ht="6" customHeight="1">
      <c r="E11" s="119"/>
    </row>
    <row r="12" spans="2:10" ht="15.75" thickBot="1">
      <c r="B12" s="121" t="s">
        <v>227</v>
      </c>
      <c r="C12" s="121"/>
      <c r="D12" s="121"/>
      <c r="E12" s="122"/>
      <c r="F12" s="123">
        <f>F8*F10</f>
        <v>19441.761225819009</v>
      </c>
      <c r="G12" s="123">
        <f t="shared" ref="G12:J12" si="6">G8*G10</f>
        <v>20922.858504605152</v>
      </c>
      <c r="H12" s="123">
        <f t="shared" si="6"/>
        <v>22516.787595476017</v>
      </c>
      <c r="I12" s="123">
        <f t="shared" si="6"/>
        <v>24232.144164631711</v>
      </c>
      <c r="J12" s="123">
        <f t="shared" si="6"/>
        <v>26078.178706694016</v>
      </c>
    </row>
    <row r="14" spans="2:10" outlineLevel="1">
      <c r="B14" s="41" t="s">
        <v>228</v>
      </c>
      <c r="C14" s="41"/>
      <c r="D14" s="167">
        <v>0.20749999999999999</v>
      </c>
    </row>
    <row r="15" spans="2:10" outlineLevel="1">
      <c r="B15" s="41" t="s">
        <v>229</v>
      </c>
      <c r="C15" s="41"/>
      <c r="D15" s="167">
        <v>4.4999999999999998E-2</v>
      </c>
      <c r="F15" s="44" t="s">
        <v>10090</v>
      </c>
      <c r="G15" s="44"/>
      <c r="H15" s="44"/>
      <c r="I15" s="44"/>
      <c r="J15" s="44"/>
    </row>
    <row r="16" spans="2:10" outlineLevel="1">
      <c r="B16" s="41" t="s">
        <v>65</v>
      </c>
      <c r="C16" s="41"/>
      <c r="D16" s="112">
        <f>WACC!J43</f>
        <v>0.12202291455583703</v>
      </c>
      <c r="F16" s="128">
        <f>D37</f>
        <v>3203.2350751581348</v>
      </c>
      <c r="G16" s="129">
        <v>0.12</v>
      </c>
      <c r="H16" s="129">
        <v>0.122</v>
      </c>
      <c r="I16" s="129">
        <v>0.13500000000000001</v>
      </c>
      <c r="J16" s="129">
        <v>0.14000000000000001</v>
      </c>
    </row>
    <row r="17" spans="2:10">
      <c r="F17" s="129">
        <v>0.03</v>
      </c>
      <c r="G17" s="130">
        <f t="dataTable" ref="G17:J22" dt2D="1" dtr="1" r1="D21" r2="D22"/>
        <v>2774.6040922551956</v>
      </c>
      <c r="H17" s="130">
        <v>2719.2985681045352</v>
      </c>
      <c r="I17" s="130">
        <v>2411.1677906937134</v>
      </c>
      <c r="J17" s="130">
        <v>2312.0487993587635</v>
      </c>
    </row>
    <row r="18" spans="2:10">
      <c r="B18" s="44" t="s">
        <v>243</v>
      </c>
      <c r="C18" s="44"/>
      <c r="D18" s="44"/>
      <c r="F18" s="129">
        <v>0.04</v>
      </c>
      <c r="G18" s="130">
        <v>3092.6108561214937</v>
      </c>
      <c r="H18" s="130">
        <v>3022.8044933215738</v>
      </c>
      <c r="I18" s="130">
        <v>2640.7065074693869</v>
      </c>
      <c r="J18" s="130">
        <v>2520.1986811621582</v>
      </c>
    </row>
    <row r="19" spans="2:10">
      <c r="F19" s="129">
        <v>4.4999999999999998E-2</v>
      </c>
      <c r="G19" s="130">
        <v>3283.4149144412709</v>
      </c>
      <c r="H19" s="131">
        <v>3204.1197213733112</v>
      </c>
      <c r="I19" s="130">
        <v>2774.6040922551956</v>
      </c>
      <c r="J19" s="130">
        <v>2640.7065074693865</v>
      </c>
    </row>
    <row r="20" spans="2:10">
      <c r="B20" t="s">
        <v>230</v>
      </c>
      <c r="D20">
        <f>J8*(1+D14)</f>
        <v>52865.478241504614</v>
      </c>
      <c r="F20" s="129">
        <v>0.05</v>
      </c>
      <c r="G20" s="130">
        <v>3501.47669537816</v>
      </c>
      <c r="H20" s="130">
        <v>3410.6176199877891</v>
      </c>
      <c r="I20" s="130">
        <v>2924.2543340746292</v>
      </c>
      <c r="J20" s="130">
        <v>2774.6040922551956</v>
      </c>
    </row>
    <row r="21" spans="2:10">
      <c r="B21" t="s">
        <v>65</v>
      </c>
      <c r="D21" s="15">
        <f>D16</f>
        <v>0.12202291455583703</v>
      </c>
      <c r="F21" s="129">
        <v>0.06</v>
      </c>
      <c r="G21" s="130">
        <v>4046.6311477203831</v>
      </c>
      <c r="H21" s="130">
        <v>3923.53175525601</v>
      </c>
      <c r="I21" s="130">
        <v>3283.41491444127</v>
      </c>
      <c r="J21" s="130">
        <v>3092.6108561214919</v>
      </c>
    </row>
    <row r="22" spans="2:10">
      <c r="B22" t="s">
        <v>231</v>
      </c>
      <c r="D22" s="15">
        <f>D15</f>
        <v>4.4999999999999998E-2</v>
      </c>
      <c r="F22" s="129">
        <v>7.0000000000000007E-2</v>
      </c>
      <c r="G22" s="130">
        <v>4809.8473809994948</v>
      </c>
      <c r="H22" s="130">
        <v>4633.7205579350848</v>
      </c>
      <c r="I22" s="130">
        <v>3753.0864426130315</v>
      </c>
      <c r="J22" s="130">
        <v>3501.4766953781591</v>
      </c>
    </row>
    <row r="23" spans="2:10" ht="6" customHeight="1"/>
    <row r="24" spans="2:10" ht="15.75" thickBot="1">
      <c r="B24" s="121" t="s">
        <v>232</v>
      </c>
      <c r="C24" s="121"/>
      <c r="D24" s="123">
        <f>D20/(D21-D22)</f>
        <v>686360.39737473568</v>
      </c>
    </row>
    <row r="26" spans="2:10">
      <c r="B26" s="44" t="s">
        <v>244</v>
      </c>
      <c r="C26" s="44"/>
      <c r="D26" s="44"/>
    </row>
    <row r="28" spans="2:10">
      <c r="B28" t="s">
        <v>227</v>
      </c>
      <c r="D28" s="9">
        <f>SUM(F12:J12)</f>
        <v>113191.7301972259</v>
      </c>
    </row>
    <row r="29" spans="2:10">
      <c r="B29" t="s">
        <v>233</v>
      </c>
      <c r="D29" s="9">
        <f>D24*J10</f>
        <v>408831.59212970425</v>
      </c>
    </row>
    <row r="30" spans="2:10">
      <c r="B30" s="2" t="s">
        <v>234</v>
      </c>
      <c r="C30" s="2"/>
      <c r="D30" s="127">
        <f>SUM(D28:D29)</f>
        <v>522023.32232693012</v>
      </c>
    </row>
    <row r="32" spans="2:10">
      <c r="B32" t="s">
        <v>235</v>
      </c>
      <c r="D32">
        <f>'Data Sheet'!K69</f>
        <v>20847.669999999998</v>
      </c>
    </row>
    <row r="33" spans="2:4">
      <c r="B33" t="s">
        <v>236</v>
      </c>
      <c r="D33">
        <f>SUM('Raw FS'!N7:N9)</f>
        <v>102332</v>
      </c>
    </row>
    <row r="34" spans="2:4">
      <c r="B34" s="2" t="s">
        <v>237</v>
      </c>
      <c r="C34" s="2"/>
      <c r="D34" s="127">
        <f>D30+D32-D33</f>
        <v>440538.99232693017</v>
      </c>
    </row>
    <row r="35" spans="2:4">
      <c r="B35" t="s">
        <v>238</v>
      </c>
      <c r="D35" s="9">
        <f>'Data Sheet'!B6</f>
        <v>137.52939824598479</v>
      </c>
    </row>
    <row r="36" spans="2:4" ht="5.25" customHeight="1">
      <c r="D36" s="9"/>
    </row>
    <row r="37" spans="2:4" ht="15.75" thickBot="1">
      <c r="B37" s="121" t="s">
        <v>239</v>
      </c>
      <c r="C37" s="121"/>
      <c r="D37" s="123">
        <f>D34/D35</f>
        <v>3203.2350751581348</v>
      </c>
    </row>
    <row r="39" spans="2:4">
      <c r="B39" t="s">
        <v>240</v>
      </c>
      <c r="D39">
        <f>'Data Sheet'!B8</f>
        <v>3785.6</v>
      </c>
    </row>
    <row r="40" spans="2:4">
      <c r="B40" t="s">
        <v>241</v>
      </c>
      <c r="D40" s="124">
        <f>D39/D37-1</f>
        <v>0.18180524100720752</v>
      </c>
    </row>
  </sheetData>
  <pageMargins left="0.7" right="0.7" top="0.75" bottom="0.75" header="0.3" footer="0.3"/>
  <pageSetup scale="77" orientation="portrait" r:id="rId1"/>
  <ignoredErrors>
    <ignoredError sqref="F5:J5 H2"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B5B7B-C668-4751-B269-60A6246385E1}">
  <sheetPr>
    <pageSetUpPr fitToPage="1"/>
  </sheetPr>
  <dimension ref="A2:J43"/>
  <sheetViews>
    <sheetView showGridLines="0" zoomScaleNormal="100" workbookViewId="0">
      <selection activeCell="G36" sqref="G15:G36"/>
    </sheetView>
  </sheetViews>
  <sheetFormatPr defaultRowHeight="15"/>
  <cols>
    <col min="1" max="1" width="1.85546875" customWidth="1"/>
    <col min="2" max="2" width="19.85546875" customWidth="1"/>
    <col min="3" max="3" width="10.28515625" bestFit="1" customWidth="1"/>
    <col min="4" max="4" width="10.7109375" bestFit="1" customWidth="1"/>
    <col min="5" max="5" width="11.42578125" bestFit="1" customWidth="1"/>
    <col min="6" max="6" width="10.85546875" customWidth="1"/>
    <col min="7" max="9" width="9.28515625" customWidth="1"/>
    <col min="10" max="10" width="10.28515625" bestFit="1" customWidth="1"/>
    <col min="14" max="14" width="16.5703125" bestFit="1" customWidth="1"/>
    <col min="15" max="15" width="9.85546875" bestFit="1" customWidth="1"/>
    <col min="16" max="16" width="6.5703125" bestFit="1" customWidth="1"/>
  </cols>
  <sheetData>
    <row r="2" spans="2:10" ht="18.75">
      <c r="B2" s="5" t="s">
        <v>0</v>
      </c>
      <c r="C2" s="6"/>
      <c r="D2" s="6"/>
      <c r="E2" s="6"/>
      <c r="F2" s="7"/>
      <c r="G2" s="7"/>
      <c r="H2" s="7"/>
      <c r="I2" s="7"/>
      <c r="J2" s="7"/>
    </row>
    <row r="3" spans="2:10">
      <c r="F3" s="15"/>
    </row>
    <row r="4" spans="2:10">
      <c r="B4" s="32" t="s">
        <v>1</v>
      </c>
    </row>
    <row r="6" spans="2:10">
      <c r="B6" s="2" t="s">
        <v>2</v>
      </c>
    </row>
    <row r="7" spans="2:10" ht="13.5" customHeight="1">
      <c r="B7" s="3"/>
      <c r="C7" s="3"/>
      <c r="D7" s="3"/>
      <c r="E7" s="3"/>
      <c r="F7" s="10"/>
      <c r="G7" s="10" t="s">
        <v>8</v>
      </c>
      <c r="H7" s="10" t="s">
        <v>8</v>
      </c>
      <c r="I7" s="10" t="s">
        <v>10</v>
      </c>
      <c r="J7" s="10" t="s">
        <v>13</v>
      </c>
    </row>
    <row r="8" spans="2:10" ht="18.75" customHeight="1">
      <c r="B8" s="4" t="s">
        <v>3</v>
      </c>
      <c r="C8" s="4" t="s">
        <v>4</v>
      </c>
      <c r="D8" s="11" t="s">
        <v>5</v>
      </c>
      <c r="E8" s="11" t="s">
        <v>6</v>
      </c>
      <c r="F8" s="11" t="s">
        <v>11</v>
      </c>
      <c r="G8" s="11" t="s">
        <v>9</v>
      </c>
      <c r="H8" s="11" t="s">
        <v>16</v>
      </c>
      <c r="I8" s="11" t="s">
        <v>12</v>
      </c>
      <c r="J8" s="11" t="s">
        <v>14</v>
      </c>
    </row>
    <row r="9" spans="2:10">
      <c r="B9" s="8"/>
      <c r="C9" s="8"/>
      <c r="D9" s="8"/>
      <c r="E9" s="8"/>
      <c r="F9" s="8"/>
      <c r="G9" s="8"/>
      <c r="H9" s="8"/>
      <c r="I9" s="8"/>
      <c r="J9" s="8"/>
    </row>
    <row r="10" spans="2:10">
      <c r="B10" t="str">
        <f>'Beta - Comps'!C4</f>
        <v>Larsen &amp; Tourbo</v>
      </c>
      <c r="C10" t="s">
        <v>15</v>
      </c>
      <c r="D10" s="130">
        <f>'Relative Data'!G3</f>
        <v>102332</v>
      </c>
      <c r="E10" s="130">
        <f>'Beta - Comps'!E4</f>
        <v>520631.29</v>
      </c>
      <c r="F10" s="14">
        <v>0.25</v>
      </c>
      <c r="G10" s="22">
        <f>D10/E10</f>
        <v>0.19655368773551818</v>
      </c>
      <c r="H10" s="22">
        <f>D10/(D10+E10)</f>
        <v>0.16426650116092714</v>
      </c>
      <c r="I10" s="166">
        <f>'Beta - Regression'!J13</f>
        <v>1.1623457100160692</v>
      </c>
      <c r="J10" s="23">
        <f>I10/(1+(1-F10)*G10)</f>
        <v>1.0130122412167835</v>
      </c>
    </row>
    <row r="11" spans="2:10">
      <c r="B11" t="str">
        <f>'Beta - Comps'!C5</f>
        <v>Rail Vikas</v>
      </c>
      <c r="C11" t="s">
        <v>15</v>
      </c>
      <c r="D11" s="130">
        <f>'Relative Data'!G4</f>
        <v>4818.49</v>
      </c>
      <c r="E11" s="130">
        <f>'Beta - Comps'!E5</f>
        <v>47163.14</v>
      </c>
      <c r="F11" s="161">
        <f>$F$10</f>
        <v>0.25</v>
      </c>
      <c r="G11" s="22">
        <f t="shared" ref="G11:G14" si="0">D11/E11</f>
        <v>0.10216643760360315</v>
      </c>
      <c r="H11" s="22">
        <f t="shared" ref="H11:H14" si="1">D11/(D11+E11)</f>
        <v>9.2696015880994881E-2</v>
      </c>
      <c r="I11" s="12">
        <v>1.94</v>
      </c>
      <c r="J11" s="23">
        <f t="shared" ref="J11:J14" si="2">I11/(1+(1-F11)*G11)</f>
        <v>1.8019276067026988</v>
      </c>
    </row>
    <row r="12" spans="2:10">
      <c r="B12" t="str">
        <f>'Beta - Comps'!C6</f>
        <v>NBCC</v>
      </c>
      <c r="C12" t="s">
        <v>15</v>
      </c>
      <c r="D12" s="130">
        <f>'Relative Data'!G5</f>
        <v>0.26</v>
      </c>
      <c r="E12" s="130">
        <f>'Beta - Comps'!E6</f>
        <v>25717.5</v>
      </c>
      <c r="F12" s="161">
        <f t="shared" ref="F12:F14" si="3">$F$10</f>
        <v>0.25</v>
      </c>
      <c r="G12" s="22">
        <f t="shared" si="0"/>
        <v>1.0109847380188588E-5</v>
      </c>
      <c r="H12" s="22">
        <f t="shared" si="1"/>
        <v>1.0109745172207845E-5</v>
      </c>
      <c r="I12" s="12">
        <v>1.94</v>
      </c>
      <c r="J12" s="23">
        <f t="shared" si="2"/>
        <v>1.9399852902835963</v>
      </c>
    </row>
    <row r="13" spans="2:10">
      <c r="B13" t="str">
        <f>'Beta - Comps'!C7</f>
        <v>IRB Infra.Devl.</v>
      </c>
      <c r="C13" t="s">
        <v>15</v>
      </c>
      <c r="D13" s="130">
        <f>'Relative Data'!G6</f>
        <v>20027.060000000001</v>
      </c>
      <c r="E13" s="130">
        <f>'Beta - Comps'!E7</f>
        <v>23757.42</v>
      </c>
      <c r="F13" s="161">
        <f t="shared" si="3"/>
        <v>0.25</v>
      </c>
      <c r="G13" s="22">
        <f t="shared" si="0"/>
        <v>0.8429812664843237</v>
      </c>
      <c r="H13" s="22">
        <f t="shared" si="1"/>
        <v>0.45740088725502742</v>
      </c>
      <c r="I13" s="12">
        <v>1.0900000000000001</v>
      </c>
      <c r="J13" s="23">
        <f t="shared" si="2"/>
        <v>0.66779560889546996</v>
      </c>
    </row>
    <row r="14" spans="2:10">
      <c r="B14" t="str">
        <f>'Beta - Comps'!C8</f>
        <v>Cemindia Project</v>
      </c>
      <c r="C14" t="s">
        <v>15</v>
      </c>
      <c r="D14" s="130">
        <f>'Relative Data'!G7</f>
        <v>1001.23</v>
      </c>
      <c r="E14" s="130">
        <f>'Beta - Comps'!E8</f>
        <v>23519.42</v>
      </c>
      <c r="F14" s="161">
        <f t="shared" si="3"/>
        <v>0.25</v>
      </c>
      <c r="G14" s="22">
        <f t="shared" si="0"/>
        <v>4.2570352500189208E-2</v>
      </c>
      <c r="H14" s="22">
        <f t="shared" si="1"/>
        <v>4.0832114972482382E-2</v>
      </c>
      <c r="I14" s="12">
        <v>1.46</v>
      </c>
      <c r="J14" s="23">
        <f t="shared" si="2"/>
        <v>1.4148277141123986</v>
      </c>
    </row>
    <row r="15" spans="2:10">
      <c r="F15" s="15"/>
    </row>
    <row r="16" spans="2:10">
      <c r="E16" s="16" t="s">
        <v>7</v>
      </c>
      <c r="F16" s="17">
        <f>AVERAGE(F10:F14)</f>
        <v>0.25</v>
      </c>
      <c r="G16" s="17">
        <f t="shared" ref="G16:J16" si="4">AVERAGE(G10:G14)</f>
        <v>0.23685637083420291</v>
      </c>
      <c r="H16" s="17">
        <f t="shared" si="4"/>
        <v>0.15104112580292081</v>
      </c>
      <c r="I16" s="18">
        <f t="shared" si="4"/>
        <v>1.5184691420032137</v>
      </c>
      <c r="J16" s="18">
        <f t="shared" si="4"/>
        <v>1.3675096922421894</v>
      </c>
    </row>
    <row r="17" spans="2:10">
      <c r="E17" s="19" t="s">
        <v>17</v>
      </c>
      <c r="F17" s="20">
        <f>MEDIAN(F10:F14)</f>
        <v>0.25</v>
      </c>
      <c r="G17" s="20">
        <f t="shared" ref="G17:J17" si="5">MEDIAN(G10:G14)</f>
        <v>0.10216643760360315</v>
      </c>
      <c r="H17" s="20">
        <f t="shared" si="5"/>
        <v>9.2696015880994881E-2</v>
      </c>
      <c r="I17" s="21">
        <f t="shared" si="5"/>
        <v>1.46</v>
      </c>
      <c r="J17" s="21">
        <f t="shared" si="5"/>
        <v>1.4148277141123986</v>
      </c>
    </row>
    <row r="18" spans="2:10">
      <c r="G18" s="9"/>
    </row>
    <row r="19" spans="2:10">
      <c r="G19" s="9"/>
    </row>
    <row r="20" spans="2:10">
      <c r="B20" s="19" t="s">
        <v>29</v>
      </c>
      <c r="C20" s="24"/>
      <c r="D20" s="24"/>
      <c r="E20" s="24"/>
      <c r="G20" s="19" t="s">
        <v>23</v>
      </c>
      <c r="H20" s="24"/>
      <c r="I20" s="24"/>
      <c r="J20" s="24"/>
    </row>
    <row r="21" spans="2:10">
      <c r="B21" s="9"/>
      <c r="G21" s="9"/>
    </row>
    <row r="22" spans="2:10">
      <c r="B22" t="s">
        <v>30</v>
      </c>
      <c r="E22" s="43">
        <v>7.5999999999999998E-2</v>
      </c>
      <c r="G22" t="s">
        <v>24</v>
      </c>
      <c r="J22" s="49">
        <v>6.8500000000000005E-2</v>
      </c>
    </row>
    <row r="23" spans="2:10">
      <c r="B23" t="s">
        <v>31</v>
      </c>
      <c r="E23" s="15">
        <f>F17</f>
        <v>0.25</v>
      </c>
      <c r="G23" t="s">
        <v>25</v>
      </c>
      <c r="J23" s="46">
        <f>Rm!G11-WACC!J22</f>
        <v>5.599999999999998E-2</v>
      </c>
    </row>
    <row r="24" spans="2:10" ht="15.75" customHeight="1">
      <c r="B24" s="26" t="s">
        <v>32</v>
      </c>
      <c r="C24" s="26"/>
      <c r="D24" s="26"/>
      <c r="E24" s="29">
        <f>E22*(1-E23)</f>
        <v>5.6999999999999995E-2</v>
      </c>
      <c r="G24" t="s">
        <v>28</v>
      </c>
      <c r="J24" s="50">
        <f>'Beta - Regression'!J13</f>
        <v>1.1623457100160692</v>
      </c>
    </row>
    <row r="25" spans="2:10">
      <c r="G25" s="26" t="s">
        <v>23</v>
      </c>
      <c r="H25" s="26"/>
      <c r="I25" s="26"/>
      <c r="J25" s="51">
        <f>J22+(J23*J24)</f>
        <v>0.13359135976089986</v>
      </c>
    </row>
    <row r="28" spans="2:10">
      <c r="B28" s="19" t="s">
        <v>18</v>
      </c>
      <c r="C28" s="24"/>
      <c r="D28" s="24"/>
      <c r="E28" s="24"/>
      <c r="G28" s="19" t="s">
        <v>33</v>
      </c>
      <c r="H28" s="24"/>
      <c r="I28" s="24"/>
      <c r="J28" s="24"/>
    </row>
    <row r="29" spans="2:10">
      <c r="G29" s="2"/>
    </row>
    <row r="30" spans="2:10">
      <c r="D30" s="25" t="s">
        <v>21</v>
      </c>
      <c r="E30" s="25" t="s">
        <v>22</v>
      </c>
      <c r="G30" s="9" t="s">
        <v>34</v>
      </c>
      <c r="J30" s="9">
        <f>J17</f>
        <v>1.4148277141123986</v>
      </c>
    </row>
    <row r="31" spans="2:10">
      <c r="B31" t="s">
        <v>5</v>
      </c>
      <c r="C31" s="162">
        <f>D10</f>
        <v>102332</v>
      </c>
      <c r="D31" s="13">
        <f>C31/$C$33</f>
        <v>0.16426650116092714</v>
      </c>
      <c r="E31" s="163">
        <f>H16</f>
        <v>0.15104112580292081</v>
      </c>
      <c r="G31" t="s">
        <v>35</v>
      </c>
      <c r="J31" s="30">
        <f>E35</f>
        <v>0.17791335999140259</v>
      </c>
    </row>
    <row r="32" spans="2:10">
      <c r="B32" t="s">
        <v>19</v>
      </c>
      <c r="C32" s="162">
        <f>E10</f>
        <v>520631.29</v>
      </c>
      <c r="D32" s="13">
        <f>C32/$C$33</f>
        <v>0.83573349883907277</v>
      </c>
      <c r="E32" s="15">
        <f>E33-E31</f>
        <v>0.84895887419707916</v>
      </c>
      <c r="G32" t="s">
        <v>31</v>
      </c>
      <c r="J32" s="15">
        <f>E23</f>
        <v>0.25</v>
      </c>
    </row>
    <row r="33" spans="1:10">
      <c r="B33" t="s">
        <v>20</v>
      </c>
      <c r="C33" s="26">
        <f>SUM(C31:C32)</f>
        <v>622963.29</v>
      </c>
      <c r="D33" s="27">
        <f>C33/$C$33</f>
        <v>1</v>
      </c>
      <c r="E33" s="28">
        <f>D33</f>
        <v>1</v>
      </c>
      <c r="G33" s="26" t="s">
        <v>26</v>
      </c>
      <c r="H33" s="26"/>
      <c r="I33" s="26"/>
      <c r="J33" s="31">
        <f>J30*(1+(1-J31)*J32)</f>
        <v>1.7056054545338253</v>
      </c>
    </row>
    <row r="35" spans="1:10">
      <c r="B35" s="26" t="s">
        <v>27</v>
      </c>
      <c r="C35" s="26"/>
      <c r="D35" s="51">
        <f>D31/D32</f>
        <v>0.19655368773551815</v>
      </c>
      <c r="E35" s="51">
        <f>E31/E32</f>
        <v>0.17791335999140259</v>
      </c>
      <c r="G35" s="19" t="s">
        <v>0</v>
      </c>
      <c r="H35" s="24"/>
      <c r="I35" s="24"/>
      <c r="J35" s="24"/>
    </row>
    <row r="36" spans="1:10">
      <c r="G36" s="9"/>
    </row>
    <row r="37" spans="1:10">
      <c r="B37" s="33" t="s">
        <v>36</v>
      </c>
      <c r="G37" t="s">
        <v>23</v>
      </c>
      <c r="J37" s="52">
        <f>J25</f>
        <v>0.13359135976089986</v>
      </c>
    </row>
    <row r="38" spans="1:10">
      <c r="B38" s="33" t="s">
        <v>37</v>
      </c>
      <c r="G38" t="s">
        <v>63</v>
      </c>
      <c r="J38" s="15">
        <f>E32</f>
        <v>0.84895887419707916</v>
      </c>
    </row>
    <row r="39" spans="1:10">
      <c r="A39" t="s">
        <v>38</v>
      </c>
      <c r="B39" s="33" t="s">
        <v>39</v>
      </c>
      <c r="J39" s="52"/>
    </row>
    <row r="40" spans="1:10">
      <c r="B40" s="33" t="s">
        <v>291</v>
      </c>
      <c r="G40" t="s">
        <v>29</v>
      </c>
      <c r="J40" s="15">
        <f>E24</f>
        <v>5.6999999999999995E-2</v>
      </c>
    </row>
    <row r="41" spans="1:10">
      <c r="B41" s="33" t="s">
        <v>292</v>
      </c>
      <c r="G41" t="s">
        <v>64</v>
      </c>
      <c r="J41" s="15">
        <f>E31</f>
        <v>0.15104112580292081</v>
      </c>
    </row>
    <row r="43" spans="1:10">
      <c r="G43" s="108" t="s">
        <v>65</v>
      </c>
      <c r="H43" s="108"/>
      <c r="I43" s="108"/>
      <c r="J43" s="109">
        <f>(J37*J38)+(J40*J41)</f>
        <v>0.12202291455583703</v>
      </c>
    </row>
  </sheetData>
  <pageMargins left="0.7" right="0.7" top="0.75" bottom="0.75" header="0.3" footer="0.3"/>
  <pageSetup scale="88" orientation="portrait" r:id="rId1"/>
  <customProperties>
    <customPr name="Gu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DE036-95A2-49CD-911E-0470A328F88B}">
  <sheetPr>
    <pageSetUpPr fitToPage="1"/>
  </sheetPr>
  <dimension ref="A2:K66"/>
  <sheetViews>
    <sheetView showGridLines="0" zoomScale="99" workbookViewId="0">
      <pane ySplit="1" topLeftCell="A2" activePane="bottomLeft" state="frozen"/>
      <selection pane="bottomLeft" activeCell="K59" sqref="K59"/>
    </sheetView>
  </sheetViews>
  <sheetFormatPr defaultRowHeight="15"/>
  <cols>
    <col min="1" max="1" width="1.85546875" customWidth="1"/>
    <col min="2" max="7" width="12.7109375" customWidth="1"/>
    <col min="8" max="8" width="14.28515625" bestFit="1" customWidth="1"/>
    <col min="9" max="9" width="12.7109375" customWidth="1"/>
    <col min="11" max="11" width="21" bestFit="1" customWidth="1"/>
  </cols>
  <sheetData>
    <row r="2" spans="1:9" s="105" customFormat="1" ht="24.95" customHeight="1">
      <c r="A2" s="105" t="s">
        <v>68</v>
      </c>
      <c r="B2" s="103" t="s">
        <v>182</v>
      </c>
      <c r="C2" s="106"/>
      <c r="D2" s="106"/>
      <c r="E2" s="104">
        <f>'Raw FS'!J$2</f>
        <v>44621</v>
      </c>
      <c r="F2" s="104">
        <f>'Raw FS'!K$2</f>
        <v>44986</v>
      </c>
      <c r="G2" s="104">
        <f>'Raw FS'!L$2</f>
        <v>45352</v>
      </c>
      <c r="H2" s="104">
        <f>'Raw FS'!M$2</f>
        <v>45717</v>
      </c>
      <c r="I2" s="104">
        <f>'Raw FS'!N$2</f>
        <v>46082</v>
      </c>
    </row>
    <row r="4" spans="1:9">
      <c r="B4" s="2" t="s">
        <v>183</v>
      </c>
    </row>
    <row r="5" spans="1:9">
      <c r="B5" s="86" t="str">
        <f>'Raw FS'!B39</f>
        <v>Inventories</v>
      </c>
      <c r="C5" s="86"/>
      <c r="D5" s="86"/>
      <c r="E5" s="87">
        <f>'Raw FS'!J39</f>
        <v>5943</v>
      </c>
      <c r="F5" s="87">
        <f>'Raw FS'!K39</f>
        <v>6829</v>
      </c>
      <c r="G5" s="87">
        <f>'Raw FS'!L39</f>
        <v>6620</v>
      </c>
      <c r="H5" s="87">
        <f>'Raw FS'!M39</f>
        <v>7671</v>
      </c>
      <c r="I5" s="87">
        <f>'Raw FS'!N39</f>
        <v>9531</v>
      </c>
    </row>
    <row r="6" spans="1:9">
      <c r="B6" s="86" t="str">
        <f>'Raw FS'!B40</f>
        <v>Trade receivables +</v>
      </c>
      <c r="C6" s="86"/>
      <c r="D6" s="86"/>
      <c r="E6" s="87">
        <f>'Raw FS'!J40</f>
        <v>46139</v>
      </c>
      <c r="F6" s="87">
        <f>'Raw FS'!K40</f>
        <v>44732</v>
      </c>
      <c r="G6" s="87">
        <f>'Raw FS'!L40</f>
        <v>48771</v>
      </c>
      <c r="H6" s="87">
        <f>'Raw FS'!M40</f>
        <v>53714</v>
      </c>
      <c r="I6" s="87">
        <f>'Raw FS'!N40</f>
        <v>60461</v>
      </c>
    </row>
    <row r="7" spans="1:9">
      <c r="B7" s="86" t="str">
        <f>'Raw FS'!B42</f>
        <v>Loans n Advances</v>
      </c>
      <c r="C7" s="86"/>
      <c r="D7" s="86"/>
      <c r="E7" s="87">
        <f>'Raw FS'!J42</f>
        <v>41799</v>
      </c>
      <c r="F7" s="87">
        <f>'Raw FS'!K42</f>
        <v>40356</v>
      </c>
      <c r="G7" s="87">
        <f>'Raw FS'!L42</f>
        <v>34700</v>
      </c>
      <c r="H7" s="87">
        <f>'Raw FS'!M42</f>
        <v>34244</v>
      </c>
      <c r="I7" s="87">
        <f>'Raw FS'!N42</f>
        <v>40747</v>
      </c>
    </row>
    <row r="8" spans="1:9">
      <c r="B8" t="str">
        <f>'Raw FS'!B43</f>
        <v>Other asset items</v>
      </c>
      <c r="E8" s="88">
        <f>'Raw FS'!J43</f>
        <v>122604</v>
      </c>
      <c r="F8" s="88">
        <f>'Raw FS'!K43</f>
        <v>124781</v>
      </c>
      <c r="G8" s="88">
        <f>'Raw FS'!L43</f>
        <v>142496</v>
      </c>
      <c r="H8" s="88">
        <f>'Raw FS'!M43</f>
        <v>159071</v>
      </c>
      <c r="I8" s="88">
        <f>'Raw FS'!N43</f>
        <v>218241</v>
      </c>
    </row>
    <row r="9" spans="1:9">
      <c r="B9" s="90" t="s">
        <v>111</v>
      </c>
      <c r="C9" s="3"/>
      <c r="D9" s="3"/>
      <c r="E9" s="97">
        <f>SUM(E5:E8)</f>
        <v>216485</v>
      </c>
      <c r="F9" s="97">
        <f t="shared" ref="F9:I9" si="0">SUM(F5:F8)</f>
        <v>216698</v>
      </c>
      <c r="G9" s="97">
        <f t="shared" si="0"/>
        <v>232587</v>
      </c>
      <c r="H9" s="97">
        <f t="shared" si="0"/>
        <v>254700</v>
      </c>
      <c r="I9" s="97">
        <f t="shared" si="0"/>
        <v>328980</v>
      </c>
    </row>
    <row r="10" spans="1:9">
      <c r="E10" s="88"/>
      <c r="F10" s="88"/>
      <c r="G10" s="88"/>
      <c r="H10" s="88"/>
      <c r="I10" s="88"/>
    </row>
    <row r="11" spans="1:9">
      <c r="B11" s="2" t="s">
        <v>184</v>
      </c>
      <c r="E11" s="88"/>
      <c r="F11" s="88"/>
      <c r="G11" s="88"/>
      <c r="H11" s="88"/>
      <c r="I11" s="88"/>
    </row>
    <row r="12" spans="1:9">
      <c r="B12" s="86" t="str">
        <f>'Raw FS'!B14</f>
        <v>Trade Payables</v>
      </c>
      <c r="C12" s="86"/>
      <c r="D12" s="86"/>
      <c r="E12" s="87">
        <f>'Raw FS'!J14</f>
        <v>51366</v>
      </c>
      <c r="F12" s="87">
        <f>'Raw FS'!K14</f>
        <v>49784</v>
      </c>
      <c r="G12" s="87">
        <f>'Raw FS'!L14</f>
        <v>53293</v>
      </c>
      <c r="H12" s="87">
        <f>'Raw FS'!M14</f>
        <v>52459</v>
      </c>
      <c r="I12" s="87">
        <f>'Raw FS'!N14</f>
        <v>69456</v>
      </c>
    </row>
    <row r="13" spans="1:9">
      <c r="B13" s="86" t="str">
        <f>'Raw FS'!B15</f>
        <v>Advance from Customers</v>
      </c>
      <c r="C13" s="86"/>
      <c r="D13" s="86"/>
      <c r="E13" s="87">
        <f>'Raw FS'!J15</f>
        <v>17963</v>
      </c>
      <c r="F13" s="87">
        <f>'Raw FS'!K15</f>
        <v>20425</v>
      </c>
      <c r="G13" s="87">
        <f>'Raw FS'!L15</f>
        <v>26875</v>
      </c>
      <c r="H13" s="87">
        <f>'Raw FS'!M15</f>
        <v>29087</v>
      </c>
      <c r="I13" s="87">
        <f>'Raw FS'!N15</f>
        <v>39586</v>
      </c>
    </row>
    <row r="14" spans="1:9">
      <c r="B14" s="86" t="str">
        <f>'Raw FS'!B16</f>
        <v>Other liability items</v>
      </c>
      <c r="C14" s="86"/>
      <c r="D14" s="86"/>
      <c r="E14" s="87">
        <f>'Raw FS'!J16</f>
        <v>28817</v>
      </c>
      <c r="F14" s="87">
        <f>'Raw FS'!K16</f>
        <v>35297</v>
      </c>
      <c r="G14" s="87">
        <f>'Raw FS'!L16</f>
        <v>40562</v>
      </c>
      <c r="H14" s="87">
        <f>'Raw FS'!M16</f>
        <v>49755</v>
      </c>
      <c r="I14" s="87">
        <f>'Raw FS'!N16</f>
        <v>89312</v>
      </c>
    </row>
    <row r="15" spans="1:9">
      <c r="B15" s="90" t="s">
        <v>185</v>
      </c>
      <c r="C15" s="3"/>
      <c r="D15" s="3"/>
      <c r="E15" s="97">
        <f>SUM(E12:E14)</f>
        <v>98146</v>
      </c>
      <c r="F15" s="97">
        <f>SUM(F12:F14)</f>
        <v>105506</v>
      </c>
      <c r="G15" s="97">
        <f>SUM(G12:G14)</f>
        <v>120730</v>
      </c>
      <c r="H15" s="97">
        <f>SUM(H12:H14)</f>
        <v>131301</v>
      </c>
      <c r="I15" s="97">
        <f>SUM(I12:I14)</f>
        <v>198354</v>
      </c>
    </row>
    <row r="16" spans="1:9">
      <c r="E16" s="88"/>
      <c r="F16" s="88"/>
      <c r="G16" s="88"/>
      <c r="H16" s="88"/>
      <c r="I16" s="88"/>
    </row>
    <row r="17" spans="1:9" ht="15.75" thickBot="1">
      <c r="A17" t="s">
        <v>68</v>
      </c>
      <c r="B17" s="93" t="s">
        <v>186</v>
      </c>
      <c r="C17" s="93"/>
      <c r="D17" s="93"/>
      <c r="E17" s="98">
        <f>E9-E15</f>
        <v>118339</v>
      </c>
      <c r="F17" s="98">
        <f t="shared" ref="F17:I17" si="1">F9-F15</f>
        <v>111192</v>
      </c>
      <c r="G17" s="98">
        <f t="shared" si="1"/>
        <v>111857</v>
      </c>
      <c r="H17" s="98">
        <f t="shared" si="1"/>
        <v>123399</v>
      </c>
      <c r="I17" s="98">
        <f t="shared" si="1"/>
        <v>130626</v>
      </c>
    </row>
    <row r="18" spans="1:9">
      <c r="E18" s="88"/>
      <c r="F18" s="88"/>
      <c r="G18" s="88"/>
      <c r="H18" s="88"/>
      <c r="I18" s="88"/>
    </row>
    <row r="19" spans="1:9">
      <c r="B19" s="2" t="s">
        <v>187</v>
      </c>
      <c r="E19" s="88"/>
      <c r="F19" s="88"/>
      <c r="G19" s="88"/>
      <c r="H19" s="88"/>
      <c r="I19" s="88"/>
    </row>
    <row r="20" spans="1:9">
      <c r="B20" s="86" t="str">
        <f>'Raw FS'!B20</f>
        <v>Land</v>
      </c>
      <c r="C20" s="86"/>
      <c r="D20" s="86"/>
      <c r="E20" s="87">
        <f>'Raw FS'!J20</f>
        <v>1347</v>
      </c>
      <c r="F20" s="87">
        <f>'Raw FS'!K20</f>
        <v>1436</v>
      </c>
      <c r="G20" s="87">
        <f>'Raw FS'!L20</f>
        <v>1000</v>
      </c>
      <c r="H20" s="87">
        <f>'Raw FS'!M20</f>
        <v>1703</v>
      </c>
      <c r="I20" s="87">
        <f>'Raw FS'!N20</f>
        <v>1803</v>
      </c>
    </row>
    <row r="21" spans="1:9">
      <c r="B21" s="86" t="str">
        <f>'Raw FS'!B21</f>
        <v>Building</v>
      </c>
      <c r="C21" s="86"/>
      <c r="D21" s="86"/>
      <c r="E21" s="87">
        <f>'Raw FS'!J21</f>
        <v>6745</v>
      </c>
      <c r="F21" s="87">
        <f>'Raw FS'!K21</f>
        <v>6998</v>
      </c>
      <c r="G21" s="87">
        <f>'Raw FS'!L21</f>
        <v>6680</v>
      </c>
      <c r="H21" s="87">
        <f>'Raw FS'!M21</f>
        <v>9951</v>
      </c>
      <c r="I21" s="87">
        <f>'Raw FS'!N21</f>
        <v>11326</v>
      </c>
    </row>
    <row r="22" spans="1:9">
      <c r="B22" s="86" t="str">
        <f>'Raw FS'!B22</f>
        <v>Plant Machinery</v>
      </c>
      <c r="C22" s="86"/>
      <c r="D22" s="86"/>
      <c r="E22" s="87">
        <f>'Raw FS'!J22</f>
        <v>9298</v>
      </c>
      <c r="F22" s="87">
        <f>'Raw FS'!K22</f>
        <v>10859</v>
      </c>
      <c r="G22" s="87">
        <f>'Raw FS'!L22</f>
        <v>12570</v>
      </c>
      <c r="H22" s="87">
        <f>'Raw FS'!M22</f>
        <v>14870</v>
      </c>
      <c r="I22" s="87">
        <f>'Raw FS'!N22</f>
        <v>15800</v>
      </c>
    </row>
    <row r="23" spans="1:9">
      <c r="B23" s="86" t="str">
        <f>'Raw FS'!B23</f>
        <v>Ships Vessels</v>
      </c>
      <c r="C23" s="86"/>
      <c r="D23" s="86"/>
      <c r="E23" s="87">
        <f>'Raw FS'!J23</f>
        <v>947</v>
      </c>
      <c r="F23" s="87">
        <f>'Raw FS'!K23</f>
        <v>969</v>
      </c>
      <c r="G23" s="87">
        <f>'Raw FS'!L23</f>
        <v>1007</v>
      </c>
      <c r="H23" s="87">
        <f>'Raw FS'!M23</f>
        <v>1025</v>
      </c>
      <c r="I23" s="87">
        <f>'Raw FS'!N23</f>
        <v>1696</v>
      </c>
    </row>
    <row r="24" spans="1:9">
      <c r="B24" s="86" t="str">
        <f>'Raw FS'!B24</f>
        <v>Equipments</v>
      </c>
      <c r="C24" s="86"/>
      <c r="D24" s="86"/>
      <c r="E24" s="87">
        <f>'Raw FS'!J24</f>
        <v>630</v>
      </c>
      <c r="F24" s="87">
        <f>'Raw FS'!K24</f>
        <v>716</v>
      </c>
      <c r="G24" s="87">
        <f>'Raw FS'!L24</f>
        <v>762</v>
      </c>
      <c r="H24" s="87">
        <f>'Raw FS'!M24</f>
        <v>871</v>
      </c>
      <c r="I24" s="87">
        <f>'Raw FS'!N24</f>
        <v>1060</v>
      </c>
    </row>
    <row r="25" spans="1:9">
      <c r="B25" s="86" t="str">
        <f>'Raw FS'!B25</f>
        <v>Computers</v>
      </c>
      <c r="C25" s="86"/>
      <c r="D25" s="86"/>
      <c r="E25" s="87">
        <f>'Raw FS'!J25</f>
        <v>2067</v>
      </c>
      <c r="F25" s="87">
        <f>'Raw FS'!K25</f>
        <v>2448</v>
      </c>
      <c r="G25" s="87">
        <f>'Raw FS'!L25</f>
        <v>2572</v>
      </c>
      <c r="H25" s="87">
        <f>'Raw FS'!M25</f>
        <v>2803</v>
      </c>
      <c r="I25" s="87">
        <f>'Raw FS'!N25</f>
        <v>3152</v>
      </c>
    </row>
    <row r="26" spans="1:9">
      <c r="B26" s="86" t="str">
        <f>'Raw FS'!B26</f>
        <v>Furniture n fittings</v>
      </c>
      <c r="C26" s="86"/>
      <c r="D26" s="86"/>
      <c r="E26" s="87">
        <f>'Raw FS'!J26</f>
        <v>499</v>
      </c>
      <c r="F26" s="87">
        <f>'Raw FS'!K26</f>
        <v>508</v>
      </c>
      <c r="G26" s="87">
        <f>'Raw FS'!L26</f>
        <v>633</v>
      </c>
      <c r="H26" s="87">
        <f>'Raw FS'!M26</f>
        <v>672</v>
      </c>
      <c r="I26" s="87">
        <f>'Raw FS'!N26</f>
        <v>754</v>
      </c>
    </row>
    <row r="27" spans="1:9">
      <c r="B27" s="86" t="str">
        <f>'Raw FS'!B27</f>
        <v>Railway sidings</v>
      </c>
      <c r="C27" s="86"/>
      <c r="D27" s="86"/>
      <c r="E27" s="87">
        <f>'Raw FS'!J27</f>
        <v>0</v>
      </c>
      <c r="F27" s="87">
        <f>'Raw FS'!K27</f>
        <v>0</v>
      </c>
      <c r="G27" s="87">
        <f>'Raw FS'!L27</f>
        <v>0</v>
      </c>
      <c r="H27" s="87">
        <f>'Raw FS'!M27</f>
        <v>0</v>
      </c>
      <c r="I27" s="87">
        <f>'Raw FS'!N27</f>
        <v>0</v>
      </c>
    </row>
    <row r="28" spans="1:9">
      <c r="B28" s="86" t="str">
        <f>'Raw FS'!B28</f>
        <v>Vehicles</v>
      </c>
      <c r="C28" s="86"/>
      <c r="D28" s="86"/>
      <c r="E28" s="87">
        <f>'Raw FS'!J28</f>
        <v>650</v>
      </c>
      <c r="F28" s="87">
        <f>'Raw FS'!K28</f>
        <v>652</v>
      </c>
      <c r="G28" s="87">
        <f>'Raw FS'!L28</f>
        <v>657</v>
      </c>
      <c r="H28" s="87">
        <f>'Raw FS'!M28</f>
        <v>768</v>
      </c>
      <c r="I28" s="87">
        <f>'Raw FS'!N28</f>
        <v>1380</v>
      </c>
    </row>
    <row r="29" spans="1:9">
      <c r="B29" s="86" t="str">
        <f>'Raw FS'!B29</f>
        <v>Intangible Assets</v>
      </c>
      <c r="C29" s="86"/>
      <c r="D29" s="86"/>
      <c r="E29" s="87">
        <f>'Raw FS'!J29</f>
        <v>24950</v>
      </c>
      <c r="F29" s="87">
        <f>'Raw FS'!K29</f>
        <v>25099</v>
      </c>
      <c r="G29" s="87">
        <f>'Raw FS'!L29</f>
        <v>24837</v>
      </c>
      <c r="H29" s="87">
        <f>'Raw FS'!M29</f>
        <v>25860</v>
      </c>
      <c r="I29" s="87">
        <f>'Raw FS'!N29</f>
        <v>9432</v>
      </c>
    </row>
    <row r="30" spans="1:9">
      <c r="B30" s="86" t="str">
        <f>'Raw FS'!B30</f>
        <v>Other fixed assets</v>
      </c>
      <c r="C30" s="86"/>
      <c r="D30" s="86"/>
      <c r="E30" s="87">
        <f>'Raw FS'!J30</f>
        <v>9361</v>
      </c>
      <c r="F30" s="87">
        <f>'Raw FS'!K30</f>
        <v>9071</v>
      </c>
      <c r="G30" s="87">
        <f>'Raw FS'!L30</f>
        <v>10408</v>
      </c>
      <c r="H30" s="87">
        <f>'Raw FS'!M30</f>
        <v>7867</v>
      </c>
      <c r="I30" s="87">
        <f>'Raw FS'!N30</f>
        <v>7487</v>
      </c>
    </row>
    <row r="31" spans="1:9" ht="5.25" customHeight="1">
      <c r="B31" s="86"/>
      <c r="C31" s="86"/>
      <c r="D31" s="86"/>
      <c r="E31" s="87"/>
      <c r="F31" s="87"/>
      <c r="G31" s="87"/>
      <c r="H31" s="87"/>
      <c r="I31" s="87"/>
    </row>
    <row r="32" spans="1:9">
      <c r="B32" s="90" t="s">
        <v>173</v>
      </c>
      <c r="C32" s="3"/>
      <c r="D32" s="3"/>
      <c r="E32" s="97">
        <f>SUM(E20:E31)</f>
        <v>56494</v>
      </c>
      <c r="F32" s="97">
        <f>SUM(F20:F31)</f>
        <v>58756</v>
      </c>
      <c r="G32" s="97">
        <f t="shared" ref="G32:I32" si="2">SUM(G20:G31)</f>
        <v>61126</v>
      </c>
      <c r="H32" s="97">
        <f t="shared" si="2"/>
        <v>66390</v>
      </c>
      <c r="I32" s="97">
        <f t="shared" si="2"/>
        <v>53890</v>
      </c>
    </row>
    <row r="33" spans="1:11">
      <c r="B33" t="str">
        <f>'Raw FS'!B32</f>
        <v>Accumulated Depreciation</v>
      </c>
      <c r="E33" s="88">
        <f>-('Raw FS'!J32)</f>
        <v>-13550</v>
      </c>
      <c r="F33" s="88">
        <f>-('Raw FS'!K32)</f>
        <v>-16115</v>
      </c>
      <c r="G33" s="88">
        <f>-('Raw FS'!L32)</f>
        <v>-18161</v>
      </c>
      <c r="H33" s="88">
        <f>-('Raw FS'!M32)</f>
        <v>-22334</v>
      </c>
      <c r="I33" s="88">
        <f>-('Raw FS'!N32)</f>
        <v>-23023</v>
      </c>
      <c r="J33" s="88"/>
    </row>
    <row r="34" spans="1:11" ht="15.75" thickBot="1">
      <c r="A34" t="s">
        <v>68</v>
      </c>
      <c r="B34" s="93" t="s">
        <v>188</v>
      </c>
      <c r="C34" s="93"/>
      <c r="D34" s="93"/>
      <c r="E34" s="98">
        <f>SUM(E32:E33)</f>
        <v>42944</v>
      </c>
      <c r="F34" s="98">
        <f t="shared" ref="F34:I34" si="3">SUM(F32:F33)</f>
        <v>42641</v>
      </c>
      <c r="G34" s="98">
        <f t="shared" si="3"/>
        <v>42965</v>
      </c>
      <c r="H34" s="98">
        <f t="shared" si="3"/>
        <v>44056</v>
      </c>
      <c r="I34" s="98">
        <f t="shared" si="3"/>
        <v>30867</v>
      </c>
    </row>
    <row r="35" spans="1:11">
      <c r="E35" s="88"/>
      <c r="F35" s="88"/>
      <c r="G35" s="88"/>
      <c r="H35" s="88"/>
      <c r="I35" s="88"/>
    </row>
    <row r="36" spans="1:11">
      <c r="A36" t="s">
        <v>68</v>
      </c>
      <c r="B36" s="2" t="s">
        <v>189</v>
      </c>
      <c r="C36" s="2"/>
      <c r="D36" s="2"/>
      <c r="E36" s="89">
        <f>E34+E17</f>
        <v>161283</v>
      </c>
      <c r="F36" s="89">
        <f t="shared" ref="F36:I36" si="4">F34+F17</f>
        <v>153833</v>
      </c>
      <c r="G36" s="89">
        <f t="shared" si="4"/>
        <v>154822</v>
      </c>
      <c r="H36" s="89">
        <f t="shared" si="4"/>
        <v>167455</v>
      </c>
      <c r="I36" s="89">
        <f t="shared" si="4"/>
        <v>161493</v>
      </c>
    </row>
    <row r="37" spans="1:11">
      <c r="B37" s="2" t="s">
        <v>190</v>
      </c>
      <c r="C37" s="2"/>
      <c r="D37" s="2"/>
      <c r="E37" s="89">
        <f>(HistoricalFS!H27+HistoricalFS!H21)</f>
        <v>21365.940000000028</v>
      </c>
      <c r="F37" s="89">
        <f>(HistoricalFS!I27+HistoricalFS!I21)</f>
        <v>23663.77000000004</v>
      </c>
      <c r="G37" s="89">
        <f>(HistoricalFS!J27+HistoricalFS!J21)</f>
        <v>25075.789999999979</v>
      </c>
      <c r="H37" s="89">
        <f>(HistoricalFS!K27+HistoricalFS!K21)</f>
        <v>30305.720000000008</v>
      </c>
      <c r="I37" s="89">
        <f>(HistoricalFS!L27+HistoricalFS!L21)</f>
        <v>31045.949999999961</v>
      </c>
    </row>
    <row r="39" spans="1:11" ht="15.75" thickBot="1">
      <c r="A39" t="s">
        <v>68</v>
      </c>
      <c r="B39" s="93" t="s">
        <v>181</v>
      </c>
      <c r="C39" s="94"/>
      <c r="D39" s="94"/>
      <c r="E39" s="95">
        <f>E37/E36</f>
        <v>0.13247484235784321</v>
      </c>
      <c r="F39" s="95">
        <f>F37/F36</f>
        <v>0.15382765726469638</v>
      </c>
      <c r="G39" s="95">
        <f t="shared" ref="G39:I39" si="5">G37/G36</f>
        <v>0.16196528917078953</v>
      </c>
      <c r="H39" s="95">
        <f t="shared" si="5"/>
        <v>0.18097829267564425</v>
      </c>
      <c r="I39" s="95">
        <f t="shared" si="5"/>
        <v>0.19224331704779749</v>
      </c>
    </row>
    <row r="42" spans="1:11">
      <c r="A42" t="s">
        <v>68</v>
      </c>
      <c r="B42" s="44" t="s">
        <v>191</v>
      </c>
      <c r="C42" s="45"/>
      <c r="D42" s="45"/>
      <c r="E42" s="84">
        <f>'Raw FS'!J$2</f>
        <v>44621</v>
      </c>
      <c r="F42" s="84">
        <f>'Raw FS'!K$2</f>
        <v>44986</v>
      </c>
      <c r="G42" s="84">
        <f>'Raw FS'!L$2</f>
        <v>45352</v>
      </c>
      <c r="H42" s="84">
        <f>'Raw FS'!M$2</f>
        <v>45717</v>
      </c>
      <c r="I42" s="84">
        <f>'Raw FS'!N$2</f>
        <v>46082</v>
      </c>
    </row>
    <row r="44" spans="1:11">
      <c r="B44" s="86" t="s">
        <v>192</v>
      </c>
      <c r="C44" s="86"/>
      <c r="D44" s="86"/>
      <c r="E44" s="87">
        <f>-SUM(CFS!I12:I13)</f>
        <v>3040</v>
      </c>
      <c r="F44" s="87">
        <f>-SUM(CFS!J12:J13)</f>
        <v>3794</v>
      </c>
      <c r="G44" s="87">
        <f>-SUM(CFS!K12:K13)</f>
        <v>4211</v>
      </c>
      <c r="H44" s="87">
        <f>-SUM(CFS!L12:L13)</f>
        <v>3541</v>
      </c>
      <c r="I44" s="87">
        <f>-SUM(CFS!M12:M13)</f>
        <v>4468</v>
      </c>
    </row>
    <row r="45" spans="1:11">
      <c r="B45" s="86" t="s">
        <v>212</v>
      </c>
      <c r="C45" s="86"/>
      <c r="D45" s="86"/>
      <c r="E45" s="87"/>
      <c r="F45" s="87">
        <f>F17-E17</f>
        <v>-7147</v>
      </c>
      <c r="G45" s="87">
        <f t="shared" ref="G45:I45" si="6">G17-F17</f>
        <v>665</v>
      </c>
      <c r="H45" s="87">
        <f t="shared" si="6"/>
        <v>11542</v>
      </c>
      <c r="I45" s="87">
        <f t="shared" si="6"/>
        <v>7227</v>
      </c>
    </row>
    <row r="46" spans="1:11">
      <c r="B46" s="86"/>
      <c r="C46" s="86"/>
      <c r="D46" s="86"/>
      <c r="E46" s="87"/>
      <c r="F46" s="87"/>
      <c r="G46" s="87"/>
      <c r="H46" s="87"/>
      <c r="I46" s="87"/>
    </row>
    <row r="47" spans="1:11">
      <c r="B47" s="86" t="s">
        <v>190</v>
      </c>
      <c r="C47" s="86"/>
      <c r="D47" s="86"/>
      <c r="E47" s="87">
        <f>E37</f>
        <v>21365.940000000028</v>
      </c>
      <c r="F47" s="87">
        <f t="shared" ref="F47:I47" si="7">F37</f>
        <v>23663.77000000004</v>
      </c>
      <c r="G47" s="87">
        <f t="shared" si="7"/>
        <v>25075.789999999979</v>
      </c>
      <c r="H47" s="87">
        <f t="shared" si="7"/>
        <v>30305.720000000008</v>
      </c>
      <c r="I47" s="87">
        <f t="shared" si="7"/>
        <v>31045.949999999961</v>
      </c>
      <c r="K47" s="130"/>
    </row>
    <row r="48" spans="1:11">
      <c r="B48" s="86" t="s">
        <v>213</v>
      </c>
      <c r="C48" s="86"/>
      <c r="D48" s="86"/>
      <c r="E48" s="99">
        <f>'Data Sheet'!G32</f>
        <v>0.29002612630450425</v>
      </c>
      <c r="F48" s="99">
        <f>'Data Sheet'!H32</f>
        <v>0.26209317535827575</v>
      </c>
      <c r="G48" s="99">
        <f>'Data Sheet'!I32</f>
        <v>0.24113483819114875</v>
      </c>
      <c r="H48" s="99">
        <f>'Data Sheet'!J32</f>
        <v>0.24986014973626719</v>
      </c>
      <c r="I48" s="99">
        <f>'Data Sheet'!K32</f>
        <v>0.2624137611108181</v>
      </c>
    </row>
    <row r="49" spans="1:11">
      <c r="B49" s="86" t="s">
        <v>215</v>
      </c>
      <c r="C49" s="86"/>
      <c r="D49" s="86"/>
      <c r="E49" s="100">
        <f>E47*(1-E48)</f>
        <v>15169.259186945559</v>
      </c>
      <c r="F49" s="100">
        <f t="shared" ref="F49:I49" si="8">F47*(1-F48)</f>
        <v>17461.657379752123</v>
      </c>
      <c r="G49" s="100">
        <f t="shared" si="8"/>
        <v>19029.143435834758</v>
      </c>
      <c r="H49" s="100">
        <f t="shared" si="8"/>
        <v>22733.528262934622</v>
      </c>
      <c r="I49" s="100">
        <f t="shared" si="8"/>
        <v>22899.065493241567</v>
      </c>
    </row>
    <row r="50" spans="1:11">
      <c r="B50" s="86"/>
      <c r="C50" s="86"/>
      <c r="D50" s="86"/>
      <c r="E50" s="87"/>
      <c r="F50" s="87"/>
      <c r="G50" s="87"/>
      <c r="H50" s="87"/>
      <c r="I50" s="87"/>
      <c r="J50" s="88"/>
    </row>
    <row r="51" spans="1:11">
      <c r="B51" s="86" t="s">
        <v>214</v>
      </c>
      <c r="C51" s="86"/>
      <c r="D51" s="86"/>
      <c r="E51" s="87"/>
      <c r="F51" s="87">
        <f>SUM(F44:F45)</f>
        <v>-3353</v>
      </c>
      <c r="G51" s="87">
        <f t="shared" ref="G51:I51" si="9">SUM(G44:G45)</f>
        <v>4876</v>
      </c>
      <c r="H51" s="87">
        <f t="shared" si="9"/>
        <v>15083</v>
      </c>
      <c r="I51" s="87">
        <f t="shared" si="9"/>
        <v>11695</v>
      </c>
    </row>
    <row r="52" spans="1:11" ht="3.75" customHeight="1">
      <c r="F52" s="83"/>
      <c r="G52" s="83"/>
      <c r="H52" s="83"/>
      <c r="I52" s="83"/>
    </row>
    <row r="53" spans="1:11" ht="15.75" thickBot="1">
      <c r="B53" s="93" t="s">
        <v>216</v>
      </c>
      <c r="C53" s="93"/>
      <c r="D53" s="93"/>
      <c r="E53" s="93"/>
      <c r="F53" s="95">
        <f>F51/F49</f>
        <v>-0.19202071871413603</v>
      </c>
      <c r="G53" s="95">
        <f t="shared" ref="G53:I53" si="10">G51/G49</f>
        <v>0.25623854360242793</v>
      </c>
      <c r="H53" s="95">
        <f t="shared" si="10"/>
        <v>0.6634693843186561</v>
      </c>
      <c r="I53" s="95">
        <f t="shared" si="10"/>
        <v>0.51071953147833316</v>
      </c>
    </row>
    <row r="54" spans="1:11">
      <c r="F54" s="13"/>
      <c r="G54" s="13"/>
      <c r="H54" s="13"/>
      <c r="I54" s="13"/>
    </row>
    <row r="55" spans="1:11">
      <c r="H55" s="53" t="s">
        <v>217</v>
      </c>
      <c r="I55" s="54">
        <f>AVERAGE(F53:I53)</f>
        <v>0.30960168517132025</v>
      </c>
    </row>
    <row r="56" spans="1:11">
      <c r="H56" s="53" t="s">
        <v>218</v>
      </c>
      <c r="I56" s="54">
        <f>MEDIAN(F53:I53)</f>
        <v>0.38347903754038054</v>
      </c>
    </row>
    <row r="58" spans="1:11">
      <c r="A58" t="s">
        <v>68</v>
      </c>
      <c r="B58" s="44" t="s">
        <v>219</v>
      </c>
      <c r="C58" s="45"/>
      <c r="D58" s="45"/>
      <c r="E58" s="84">
        <f>'Raw FS'!J$2</f>
        <v>44621</v>
      </c>
      <c r="F58" s="84">
        <f>'Raw FS'!K$2</f>
        <v>44986</v>
      </c>
      <c r="G58" s="84">
        <f>'Raw FS'!L$2</f>
        <v>45352</v>
      </c>
      <c r="H58" s="84">
        <f>'Raw FS'!M$2</f>
        <v>45717</v>
      </c>
      <c r="I58" s="84">
        <f>'Raw FS'!N$2</f>
        <v>46082</v>
      </c>
    </row>
    <row r="60" spans="1:11">
      <c r="B60" s="86" t="s">
        <v>216</v>
      </c>
      <c r="C60" s="86"/>
      <c r="D60" s="86"/>
      <c r="E60" s="86"/>
      <c r="F60" s="101">
        <f>F53</f>
        <v>-0.19202071871413603</v>
      </c>
      <c r="G60" s="101">
        <f t="shared" ref="G60:I60" si="11">G53</f>
        <v>0.25623854360242793</v>
      </c>
      <c r="H60" s="101">
        <f t="shared" si="11"/>
        <v>0.6634693843186561</v>
      </c>
      <c r="I60" s="101">
        <f t="shared" si="11"/>
        <v>0.51071953147833316</v>
      </c>
    </row>
    <row r="61" spans="1:11">
      <c r="B61" s="86" t="s">
        <v>181</v>
      </c>
      <c r="C61" s="86"/>
      <c r="D61" s="86"/>
      <c r="E61" s="86"/>
      <c r="F61" s="101">
        <f>F39</f>
        <v>0.15382765726469638</v>
      </c>
      <c r="G61" s="101">
        <f t="shared" ref="G61:I61" si="12">G39</f>
        <v>0.16196528917078953</v>
      </c>
      <c r="H61" s="101">
        <f t="shared" si="12"/>
        <v>0.18097829267564425</v>
      </c>
      <c r="I61" s="101">
        <f t="shared" si="12"/>
        <v>0.19224331704779749</v>
      </c>
    </row>
    <row r="62" spans="1:11" ht="4.5" customHeight="1"/>
    <row r="63" spans="1:11" ht="15.75" thickBot="1">
      <c r="B63" s="93" t="s">
        <v>220</v>
      </c>
      <c r="C63" s="93"/>
      <c r="D63" s="93"/>
      <c r="E63" s="93"/>
      <c r="F63" s="102">
        <f>F60*F61</f>
        <v>-2.953809730607879E-2</v>
      </c>
      <c r="G63" s="102">
        <f t="shared" ref="G63:I63" si="13">G60*G61</f>
        <v>4.1501749811269202E-2</v>
      </c>
      <c r="H63" s="102">
        <f>H60*H61</f>
        <v>0.12007355641655124</v>
      </c>
      <c r="I63" s="102">
        <f t="shared" si="13"/>
        <v>9.8182416812491791E-2</v>
      </c>
      <c r="K63" s="96"/>
    </row>
    <row r="65" spans="8:9">
      <c r="H65" s="53" t="s">
        <v>217</v>
      </c>
      <c r="I65" s="54">
        <f>AVERAGE(F63:I63)</f>
        <v>5.7554906433558359E-2</v>
      </c>
    </row>
    <row r="66" spans="8:9">
      <c r="H66" s="53" t="s">
        <v>218</v>
      </c>
      <c r="I66" s="54">
        <f>MEDIAN(F63:I63)</f>
        <v>6.9842083311880493E-2</v>
      </c>
    </row>
  </sheetData>
  <pageMargins left="0.25" right="0.25" top="0.28999999999999998" bottom="0.13" header="0.3" footer="0.3"/>
  <pageSetup scale="84" orientation="portrait" r:id="rId1"/>
  <ignoredErrors>
    <ignoredError sqref="E44:I44"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91D04-130C-4EB5-94D1-E96A482944C5}">
  <dimension ref="B2:T112"/>
  <sheetViews>
    <sheetView showGridLines="0" zoomScale="89" workbookViewId="0">
      <selection activeCell="L15" sqref="L15"/>
    </sheetView>
  </sheetViews>
  <sheetFormatPr defaultRowHeight="15"/>
  <cols>
    <col min="1" max="1" width="1.85546875" customWidth="1"/>
    <col min="2" max="2" width="31.7109375" bestFit="1" customWidth="1"/>
    <col min="3" max="3" width="12.28515625" bestFit="1" customWidth="1"/>
    <col min="4" max="4" width="11.28515625" customWidth="1"/>
    <col min="6" max="6" width="13.5703125" bestFit="1" customWidth="1"/>
    <col min="9" max="9" width="18.140625" customWidth="1"/>
    <col min="10" max="10" width="12" bestFit="1" customWidth="1"/>
    <col min="12" max="12" width="18" bestFit="1" customWidth="1"/>
    <col min="13" max="13" width="14.140625" bestFit="1" customWidth="1"/>
    <col min="14" max="14" width="14.5703125" bestFit="1" customWidth="1"/>
    <col min="15" max="15" width="14.140625" bestFit="1" customWidth="1"/>
    <col min="16" max="17" width="13.42578125" bestFit="1" customWidth="1"/>
    <col min="18" max="18" width="14.140625" bestFit="1" customWidth="1"/>
    <col min="19" max="19" width="13.42578125" bestFit="1" customWidth="1"/>
    <col min="20" max="20" width="14.140625" bestFit="1" customWidth="1"/>
  </cols>
  <sheetData>
    <row r="2" spans="2:13">
      <c r="E2" s="164" t="s">
        <v>288</v>
      </c>
    </row>
    <row r="3" spans="2:13">
      <c r="B3" s="2" t="s">
        <v>290</v>
      </c>
    </row>
    <row r="5" spans="2:13">
      <c r="B5" s="258" t="str">
        <f>'Data Sheet'!B1 &amp;" - " &amp; "Weekly Returns"</f>
        <v>LARSEN &amp; TOUBRO LTD - Weekly Returns</v>
      </c>
      <c r="C5" s="258"/>
      <c r="D5" s="258"/>
      <c r="F5" s="258" t="s">
        <v>48</v>
      </c>
      <c r="G5" s="258"/>
      <c r="I5" s="258" t="s">
        <v>52</v>
      </c>
      <c r="J5" s="258"/>
      <c r="L5" t="s">
        <v>49</v>
      </c>
      <c r="M5" s="9">
        <f>SLOPE(D8:D66,G8:G66)</f>
        <v>1.2164609466880922</v>
      </c>
    </row>
    <row r="6" spans="2:13">
      <c r="B6" s="39" t="s">
        <v>40</v>
      </c>
      <c r="C6" s="40" t="s">
        <v>46</v>
      </c>
      <c r="D6" s="40" t="s">
        <v>47</v>
      </c>
      <c r="F6" s="40" t="s">
        <v>46</v>
      </c>
      <c r="G6" s="40" t="s">
        <v>47</v>
      </c>
      <c r="L6" t="s">
        <v>50</v>
      </c>
      <c r="M6" s="9">
        <f>_xlfn.COVARIANCE.S(D7:D66,G7:G66)/VAR(G7:G66)</f>
        <v>1.2164609466880925</v>
      </c>
    </row>
    <row r="7" spans="2:13">
      <c r="B7" s="36">
        <v>46029</v>
      </c>
      <c r="C7" s="125">
        <v>3937.7</v>
      </c>
      <c r="F7" s="34">
        <v>23979.599999999999</v>
      </c>
      <c r="I7" s="35" t="s">
        <v>53</v>
      </c>
      <c r="J7" s="9">
        <f>M5</f>
        <v>1.2164609466880922</v>
      </c>
    </row>
    <row r="8" spans="2:13">
      <c r="B8" s="36">
        <v>46028</v>
      </c>
      <c r="C8" s="125">
        <v>4143.3999999999996</v>
      </c>
      <c r="D8" s="13">
        <f>C8/C7-1</f>
        <v>5.2238616451227848E-2</v>
      </c>
      <c r="F8" s="34">
        <v>23865.75</v>
      </c>
      <c r="G8" s="13">
        <f>F8/F7-1</f>
        <v>-4.7477856177750022E-3</v>
      </c>
      <c r="I8" t="s">
        <v>54</v>
      </c>
      <c r="J8" s="13">
        <v>0.75</v>
      </c>
      <c r="M8" s="9"/>
    </row>
    <row r="9" spans="2:13">
      <c r="B9" s="36">
        <v>46027</v>
      </c>
      <c r="C9" s="125">
        <v>4076.5</v>
      </c>
      <c r="D9" s="13">
        <f t="shared" ref="D9:D66" si="0">C9/C8-1</f>
        <v>-1.6146160158324041E-2</v>
      </c>
      <c r="F9" s="34">
        <v>23547.75</v>
      </c>
      <c r="G9" s="13">
        <f t="shared" ref="G9:G66" si="1">F9/F8-1</f>
        <v>-1.3324534112692854E-2</v>
      </c>
      <c r="J9" s="9"/>
    </row>
    <row r="10" spans="2:13">
      <c r="B10" s="36">
        <v>46026</v>
      </c>
      <c r="C10" s="125">
        <v>4014</v>
      </c>
      <c r="D10" s="13">
        <f t="shared" si="0"/>
        <v>-1.5331779712989047E-2</v>
      </c>
      <c r="F10" s="34">
        <v>23997.55</v>
      </c>
      <c r="G10" s="13">
        <f t="shared" si="1"/>
        <v>1.9101612680616942E-2</v>
      </c>
      <c r="I10" t="s">
        <v>56</v>
      </c>
      <c r="J10" s="9">
        <v>1</v>
      </c>
    </row>
    <row r="11" spans="2:13">
      <c r="B11" s="36">
        <v>46025</v>
      </c>
      <c r="C11" s="125">
        <v>3504.1</v>
      </c>
      <c r="D11" s="13">
        <f t="shared" si="0"/>
        <v>-0.12703039362232194</v>
      </c>
      <c r="F11" s="34">
        <v>22331.4</v>
      </c>
      <c r="G11" s="13">
        <f t="shared" si="1"/>
        <v>-6.9430004312940219E-2</v>
      </c>
      <c r="I11" t="s">
        <v>55</v>
      </c>
      <c r="J11" s="13">
        <v>0.25</v>
      </c>
    </row>
    <row r="12" spans="2:13">
      <c r="B12" s="36">
        <v>46024</v>
      </c>
      <c r="C12" s="125">
        <v>4278.3</v>
      </c>
      <c r="D12" s="13">
        <f t="shared" si="0"/>
        <v>0.22094118318541156</v>
      </c>
      <c r="F12" s="34">
        <v>25178.65</v>
      </c>
      <c r="G12" s="13">
        <f t="shared" si="1"/>
        <v>0.12749984327001451</v>
      </c>
    </row>
    <row r="13" spans="2:13">
      <c r="B13" s="36">
        <v>46023</v>
      </c>
      <c r="C13" s="125">
        <v>3932.3</v>
      </c>
      <c r="D13" s="13">
        <f t="shared" si="0"/>
        <v>-8.0873244045532089E-2</v>
      </c>
      <c r="F13" s="34">
        <v>25320.65</v>
      </c>
      <c r="G13" s="13">
        <f t="shared" si="1"/>
        <v>5.6396987129969656E-3</v>
      </c>
      <c r="I13" s="41" t="s">
        <v>57</v>
      </c>
      <c r="J13" s="42">
        <f>(J7*J8)+(J10*J11)</f>
        <v>1.1623457100160692</v>
      </c>
    </row>
    <row r="14" spans="2:13">
      <c r="B14" s="36">
        <v>45669</v>
      </c>
      <c r="C14" s="125">
        <v>4083.5</v>
      </c>
      <c r="D14" s="13">
        <f t="shared" si="0"/>
        <v>3.8450779442056771E-2</v>
      </c>
      <c r="F14" s="34">
        <v>26129.599999999999</v>
      </c>
      <c r="G14" s="13">
        <f t="shared" si="1"/>
        <v>3.1948231976667074E-2</v>
      </c>
    </row>
    <row r="15" spans="2:13">
      <c r="B15" s="36">
        <v>45668</v>
      </c>
      <c r="C15" s="125">
        <v>4069.6</v>
      </c>
      <c r="D15" s="13">
        <f t="shared" si="0"/>
        <v>-3.4039426962164665E-3</v>
      </c>
      <c r="F15" s="34">
        <v>26202.95</v>
      </c>
      <c r="G15" s="13">
        <f t="shared" si="1"/>
        <v>2.8071612271141078E-3</v>
      </c>
      <c r="K15" s="249"/>
      <c r="L15" s="249"/>
    </row>
    <row r="16" spans="2:13">
      <c r="B16" s="36">
        <v>45667</v>
      </c>
      <c r="C16" s="125">
        <v>4030.9</v>
      </c>
      <c r="D16" s="13">
        <f t="shared" si="0"/>
        <v>-9.5095341065460914E-3</v>
      </c>
      <c r="F16" s="34">
        <v>25722.1</v>
      </c>
      <c r="G16" s="13">
        <f t="shared" si="1"/>
        <v>-1.835098719800643E-2</v>
      </c>
    </row>
    <row r="17" spans="2:20">
      <c r="B17" s="36">
        <v>45666</v>
      </c>
      <c r="C17" s="125">
        <v>3659</v>
      </c>
      <c r="D17" s="13">
        <f t="shared" si="0"/>
        <v>-9.2262273933860994E-2</v>
      </c>
      <c r="F17" s="34">
        <v>24611.1</v>
      </c>
      <c r="G17" s="13">
        <f t="shared" si="1"/>
        <v>-4.3192429856038217E-2</v>
      </c>
    </row>
    <row r="18" spans="2:20">
      <c r="B18" s="36">
        <v>45665</v>
      </c>
      <c r="C18" s="125">
        <v>3601</v>
      </c>
      <c r="D18" s="13">
        <f t="shared" si="0"/>
        <v>-1.5851325498770108E-2</v>
      </c>
      <c r="F18" s="34">
        <v>24426.85</v>
      </c>
      <c r="G18" s="13">
        <f t="shared" si="1"/>
        <v>-7.4864593618326758E-3</v>
      </c>
      <c r="K18" s="249"/>
      <c r="L18" s="249"/>
      <c r="M18" s="249"/>
    </row>
    <row r="19" spans="2:20">
      <c r="B19" s="36">
        <v>45664</v>
      </c>
      <c r="C19" s="125">
        <v>3636.5</v>
      </c>
      <c r="D19" s="13">
        <f t="shared" si="0"/>
        <v>9.8583726742571542E-3</v>
      </c>
      <c r="F19" s="34">
        <v>24768.35</v>
      </c>
      <c r="G19" s="13">
        <f t="shared" si="1"/>
        <v>1.3980517340549392E-2</v>
      </c>
    </row>
    <row r="20" spans="2:20">
      <c r="B20" s="36">
        <v>45663</v>
      </c>
      <c r="C20" s="125">
        <v>3669.8</v>
      </c>
      <c r="D20" s="13">
        <f t="shared" si="0"/>
        <v>9.1571566066273036E-3</v>
      </c>
      <c r="F20" s="34">
        <v>25517.05</v>
      </c>
      <c r="G20" s="13">
        <f t="shared" si="1"/>
        <v>3.0228093514505394E-2</v>
      </c>
      <c r="I20" s="15"/>
    </row>
    <row r="21" spans="2:20">
      <c r="B21" s="36">
        <v>45662</v>
      </c>
      <c r="C21" s="125">
        <v>3675.1</v>
      </c>
      <c r="D21" s="13">
        <f t="shared" si="0"/>
        <v>1.4442203934819098E-3</v>
      </c>
      <c r="F21" s="34">
        <v>24750.7</v>
      </c>
      <c r="G21" s="13">
        <f t="shared" si="1"/>
        <v>-3.0032860381587922E-2</v>
      </c>
    </row>
    <row r="22" spans="2:20">
      <c r="B22" s="36">
        <v>45661</v>
      </c>
      <c r="C22" s="125">
        <v>3341</v>
      </c>
      <c r="D22" s="13">
        <f t="shared" si="0"/>
        <v>-9.0909090909090939E-2</v>
      </c>
      <c r="F22" s="34">
        <v>24334.2</v>
      </c>
      <c r="G22" s="13">
        <f t="shared" si="1"/>
        <v>-1.682780689031016E-2</v>
      </c>
    </row>
    <row r="23" spans="2:20">
      <c r="B23" s="36">
        <v>45660</v>
      </c>
      <c r="C23" s="125">
        <v>3492.3</v>
      </c>
      <c r="D23" s="13">
        <f t="shared" si="0"/>
        <v>4.5285842562107215E-2</v>
      </c>
      <c r="F23" s="34">
        <v>23519.35</v>
      </c>
      <c r="G23" s="13">
        <f t="shared" si="1"/>
        <v>-3.3485793656664375E-2</v>
      </c>
    </row>
    <row r="24" spans="2:20">
      <c r="B24" s="36">
        <v>45659</v>
      </c>
      <c r="C24" s="125">
        <v>3163.85</v>
      </c>
      <c r="D24" s="13">
        <f t="shared" si="0"/>
        <v>-9.4049766629441978E-2</v>
      </c>
      <c r="F24" s="34">
        <v>22124.7</v>
      </c>
      <c r="G24" s="13">
        <f t="shared" si="1"/>
        <v>-5.9297982299680863E-2</v>
      </c>
    </row>
    <row r="25" spans="2:20">
      <c r="B25" s="36">
        <v>45658</v>
      </c>
      <c r="C25" s="125">
        <v>3567.4</v>
      </c>
      <c r="D25" s="13">
        <f t="shared" si="0"/>
        <v>0.12755029473584401</v>
      </c>
      <c r="F25" s="34">
        <v>23508.400000000001</v>
      </c>
      <c r="G25" s="13">
        <f t="shared" si="1"/>
        <v>6.2540961007380824E-2</v>
      </c>
    </row>
    <row r="26" spans="2:20">
      <c r="B26" s="36">
        <v>45303</v>
      </c>
      <c r="C26" s="125">
        <v>3607.65</v>
      </c>
      <c r="D26" s="13">
        <f t="shared" si="0"/>
        <v>1.1282726915961216E-2</v>
      </c>
      <c r="F26" s="34">
        <v>23644.799999999999</v>
      </c>
      <c r="G26" s="13">
        <f t="shared" si="1"/>
        <v>5.8021813479436357E-3</v>
      </c>
      <c r="K26" s="250"/>
      <c r="L26" s="250"/>
      <c r="M26" s="250"/>
      <c r="N26" s="250"/>
      <c r="O26" s="250"/>
      <c r="P26" s="250"/>
      <c r="Q26" s="250"/>
    </row>
    <row r="27" spans="2:20">
      <c r="B27" s="36">
        <v>45302</v>
      </c>
      <c r="C27" s="125">
        <v>3724.8</v>
      </c>
      <c r="D27" s="13">
        <f t="shared" si="0"/>
        <v>3.2472662259365626E-2</v>
      </c>
      <c r="F27" s="34">
        <v>24131.1</v>
      </c>
      <c r="G27" s="13">
        <f t="shared" si="1"/>
        <v>2.0566889971579405E-2</v>
      </c>
    </row>
    <row r="28" spans="2:20">
      <c r="B28" s="36">
        <v>45301</v>
      </c>
      <c r="C28" s="125">
        <v>3622.3</v>
      </c>
      <c r="D28" s="13">
        <f t="shared" si="0"/>
        <v>-2.751825601374569E-2</v>
      </c>
      <c r="F28" s="34">
        <v>24205.35</v>
      </c>
      <c r="G28" s="13">
        <f t="shared" si="1"/>
        <v>3.0769422032148608E-3</v>
      </c>
    </row>
    <row r="29" spans="2:20">
      <c r="B29" s="36">
        <v>45300</v>
      </c>
      <c r="C29" s="125">
        <v>3675.55</v>
      </c>
      <c r="D29" s="13">
        <f t="shared" si="0"/>
        <v>1.4700604588244959E-2</v>
      </c>
      <c r="F29" s="34">
        <v>25810.85</v>
      </c>
      <c r="G29" s="13">
        <f t="shared" si="1"/>
        <v>6.6328311716211452E-2</v>
      </c>
    </row>
    <row r="30" spans="2:20">
      <c r="B30" s="36">
        <v>45299</v>
      </c>
      <c r="C30" s="125">
        <v>3704.65</v>
      </c>
      <c r="D30" s="13">
        <f t="shared" si="0"/>
        <v>7.9171824624886256E-3</v>
      </c>
      <c r="F30" s="34">
        <v>25235.9</v>
      </c>
      <c r="G30" s="13">
        <f t="shared" si="1"/>
        <v>-2.2275515916755806E-2</v>
      </c>
    </row>
    <row r="31" spans="2:20">
      <c r="B31" s="36">
        <v>45298</v>
      </c>
      <c r="C31" s="125">
        <v>3815</v>
      </c>
      <c r="D31" s="13">
        <f t="shared" si="0"/>
        <v>2.9786889449745502E-2</v>
      </c>
      <c r="F31" s="34">
        <v>24951.15</v>
      </c>
      <c r="G31" s="13">
        <f t="shared" si="1"/>
        <v>-1.1283528623904804E-2</v>
      </c>
      <c r="K31" s="250"/>
      <c r="L31" s="250"/>
      <c r="M31" s="250"/>
      <c r="N31" s="250"/>
      <c r="O31" s="250"/>
      <c r="P31" s="250"/>
      <c r="Q31" s="250"/>
      <c r="R31" s="250"/>
      <c r="S31" s="250"/>
      <c r="T31" s="250"/>
    </row>
    <row r="32" spans="2:20">
      <c r="B32" s="36">
        <v>45297</v>
      </c>
      <c r="C32" s="125">
        <v>3548.45</v>
      </c>
      <c r="D32" s="13">
        <f t="shared" si="0"/>
        <v>-6.9868938401048575E-2</v>
      </c>
      <c r="F32" s="34">
        <v>24010.6</v>
      </c>
      <c r="G32" s="13">
        <f t="shared" si="1"/>
        <v>-3.7695657314392395E-2</v>
      </c>
    </row>
    <row r="33" spans="2:7">
      <c r="B33" s="36">
        <v>45296</v>
      </c>
      <c r="C33" s="125">
        <v>3669.3</v>
      </c>
      <c r="D33" s="13">
        <f t="shared" si="0"/>
        <v>3.4057123532810207E-2</v>
      </c>
      <c r="F33" s="34">
        <v>22530.7</v>
      </c>
      <c r="G33" s="13">
        <f t="shared" si="1"/>
        <v>-6.1635277752326023E-2</v>
      </c>
    </row>
    <row r="34" spans="2:7">
      <c r="B34" s="36">
        <v>45295</v>
      </c>
      <c r="C34" s="125">
        <v>3594.3</v>
      </c>
      <c r="D34" s="13">
        <f t="shared" si="0"/>
        <v>-2.0439865914479549E-2</v>
      </c>
      <c r="F34" s="34">
        <v>22604.85</v>
      </c>
      <c r="G34" s="13">
        <f t="shared" si="1"/>
        <v>3.2910650800905827E-3</v>
      </c>
    </row>
    <row r="35" spans="2:7">
      <c r="B35" s="36">
        <v>45294</v>
      </c>
      <c r="C35" s="125">
        <v>3763.9</v>
      </c>
      <c r="D35" s="13">
        <f t="shared" si="0"/>
        <v>4.7185821995938015E-2</v>
      </c>
      <c r="F35" s="34">
        <v>22326.9</v>
      </c>
      <c r="G35" s="13">
        <f t="shared" si="1"/>
        <v>-1.2296033815751839E-2</v>
      </c>
    </row>
    <row r="36" spans="2:7">
      <c r="B36" s="36">
        <v>45293</v>
      </c>
      <c r="C36" s="125">
        <v>3477.55</v>
      </c>
      <c r="D36" s="13">
        <f t="shared" si="0"/>
        <v>-7.6078004197773552E-2</v>
      </c>
      <c r="F36" s="34">
        <v>21982.799999999999</v>
      </c>
      <c r="G36" s="13">
        <f t="shared" si="1"/>
        <v>-1.5411902234524377E-2</v>
      </c>
    </row>
    <row r="37" spans="2:7">
      <c r="B37" s="36">
        <v>45292</v>
      </c>
      <c r="C37" s="125">
        <v>3479.75</v>
      </c>
      <c r="D37" s="13">
        <f t="shared" si="0"/>
        <v>6.3262929361185272E-4</v>
      </c>
      <c r="F37" s="34">
        <v>21725.7</v>
      </c>
      <c r="G37" s="13">
        <f t="shared" si="1"/>
        <v>-1.1695507396691895E-2</v>
      </c>
    </row>
    <row r="38" spans="2:7">
      <c r="B38" s="36">
        <v>44938</v>
      </c>
      <c r="C38" s="125">
        <v>3526</v>
      </c>
      <c r="D38" s="13">
        <f t="shared" si="0"/>
        <v>1.3291184711545334E-2</v>
      </c>
      <c r="F38" s="34">
        <v>21731.4</v>
      </c>
      <c r="G38" s="13">
        <f t="shared" si="1"/>
        <v>2.6236208729746302E-4</v>
      </c>
    </row>
    <row r="39" spans="2:7">
      <c r="B39" s="36">
        <v>44937</v>
      </c>
      <c r="C39" s="125">
        <v>3109.2</v>
      </c>
      <c r="D39" s="13">
        <f t="shared" si="0"/>
        <v>-0.11820760068065805</v>
      </c>
      <c r="F39" s="34">
        <v>20133.150000000001</v>
      </c>
      <c r="G39" s="13">
        <f t="shared" si="1"/>
        <v>-7.3545652834147823E-2</v>
      </c>
    </row>
    <row r="40" spans="2:7">
      <c r="B40" s="36">
        <v>44936</v>
      </c>
      <c r="C40" s="125">
        <v>2929.05</v>
      </c>
      <c r="D40" s="13">
        <f t="shared" si="0"/>
        <v>-5.7940949440370426E-2</v>
      </c>
      <c r="F40" s="34">
        <v>19079.599999999999</v>
      </c>
      <c r="G40" s="13">
        <f t="shared" si="1"/>
        <v>-5.2329118890983461E-2</v>
      </c>
    </row>
    <row r="41" spans="2:7">
      <c r="B41" s="36">
        <v>44935</v>
      </c>
      <c r="C41" s="125">
        <v>3023.55</v>
      </c>
      <c r="D41" s="13">
        <f t="shared" si="0"/>
        <v>3.2263020433246359E-2</v>
      </c>
      <c r="F41" s="34">
        <v>19638.3</v>
      </c>
      <c r="G41" s="13">
        <f t="shared" si="1"/>
        <v>2.9282584540556433E-2</v>
      </c>
    </row>
    <row r="42" spans="2:7">
      <c r="B42" s="36">
        <v>44934</v>
      </c>
      <c r="C42" s="125">
        <v>2702.7</v>
      </c>
      <c r="D42" s="13">
        <f t="shared" si="0"/>
        <v>-0.10611698169370454</v>
      </c>
      <c r="F42" s="34">
        <v>19253.8</v>
      </c>
      <c r="G42" s="13">
        <f t="shared" si="1"/>
        <v>-1.9579087802915729E-2</v>
      </c>
    </row>
    <row r="43" spans="2:7">
      <c r="B43" s="36">
        <v>44933</v>
      </c>
      <c r="C43" s="125">
        <v>2675.32</v>
      </c>
      <c r="D43" s="13">
        <f t="shared" si="0"/>
        <v>-1.0130610130610007E-2</v>
      </c>
      <c r="F43" s="34">
        <v>19753.8</v>
      </c>
      <c r="G43" s="13">
        <f t="shared" si="1"/>
        <v>2.5968899645784305E-2</v>
      </c>
    </row>
    <row r="44" spans="2:7">
      <c r="B44" s="36">
        <v>44932</v>
      </c>
      <c r="C44" s="125">
        <v>2469.98</v>
      </c>
      <c r="D44" s="13">
        <f t="shared" si="0"/>
        <v>-7.6753435103090517E-2</v>
      </c>
      <c r="F44" s="34">
        <v>19189.05</v>
      </c>
      <c r="G44" s="13">
        <f t="shared" si="1"/>
        <v>-2.8589435956626108E-2</v>
      </c>
    </row>
    <row r="45" spans="2:7">
      <c r="B45" s="36">
        <v>44931</v>
      </c>
      <c r="C45" s="125">
        <v>2200.69</v>
      </c>
      <c r="D45" s="13">
        <f t="shared" si="0"/>
        <v>-0.10902517429290925</v>
      </c>
      <c r="F45" s="34">
        <v>18534.400000000001</v>
      </c>
      <c r="G45" s="13">
        <f t="shared" si="1"/>
        <v>-3.4115810840036231E-2</v>
      </c>
    </row>
    <row r="46" spans="2:7">
      <c r="B46" s="36">
        <v>44930</v>
      </c>
      <c r="C46" s="125">
        <v>2359.08</v>
      </c>
      <c r="D46" s="13">
        <f t="shared" si="0"/>
        <v>7.1972881232704289E-2</v>
      </c>
      <c r="F46" s="34">
        <v>18065</v>
      </c>
      <c r="G46" s="13">
        <f t="shared" si="1"/>
        <v>-2.5325880524861955E-2</v>
      </c>
    </row>
    <row r="47" spans="2:7">
      <c r="B47" s="36">
        <v>44929</v>
      </c>
      <c r="C47" s="125">
        <v>2159.33</v>
      </c>
      <c r="D47" s="13">
        <f t="shared" si="0"/>
        <v>-8.4672838564186059E-2</v>
      </c>
      <c r="F47" s="34">
        <v>17359.75</v>
      </c>
      <c r="G47" s="13">
        <f t="shared" si="1"/>
        <v>-3.9039579296983096E-2</v>
      </c>
    </row>
    <row r="48" spans="2:7">
      <c r="B48" s="36">
        <v>44928</v>
      </c>
      <c r="C48" s="125">
        <v>2104.4</v>
      </c>
      <c r="D48" s="13">
        <f t="shared" si="0"/>
        <v>-2.5438446184696151E-2</v>
      </c>
      <c r="F48" s="34">
        <v>17303.95</v>
      </c>
      <c r="G48" s="13">
        <f t="shared" si="1"/>
        <v>-3.2143320036290834E-3</v>
      </c>
    </row>
    <row r="49" spans="2:7">
      <c r="B49" s="36">
        <v>44927</v>
      </c>
      <c r="C49" s="125">
        <v>2119.62</v>
      </c>
      <c r="D49" s="13">
        <f t="shared" si="0"/>
        <v>7.2324653107773695E-3</v>
      </c>
      <c r="F49" s="34">
        <v>17662.150000000001</v>
      </c>
      <c r="G49" s="13">
        <f t="shared" si="1"/>
        <v>2.0700475902900806E-2</v>
      </c>
    </row>
    <row r="50" spans="2:7">
      <c r="B50" s="36">
        <v>44573</v>
      </c>
      <c r="C50" s="125">
        <v>2081.11</v>
      </c>
      <c r="D50" s="13">
        <f t="shared" si="0"/>
        <v>-1.8168350930827137E-2</v>
      </c>
      <c r="F50" s="34">
        <v>18105.3</v>
      </c>
      <c r="G50" s="13">
        <f t="shared" si="1"/>
        <v>2.5090376879371767E-2</v>
      </c>
    </row>
    <row r="51" spans="2:7">
      <c r="B51" s="36">
        <v>44572</v>
      </c>
      <c r="C51" s="125">
        <v>2070.1799999999998</v>
      </c>
      <c r="D51" s="13">
        <f t="shared" si="0"/>
        <v>-5.2520049396717061E-3</v>
      </c>
      <c r="F51" s="34">
        <v>18758.349999999999</v>
      </c>
      <c r="G51" s="13">
        <f t="shared" si="1"/>
        <v>3.6069548695685683E-2</v>
      </c>
    </row>
    <row r="52" spans="2:7">
      <c r="B52" s="36">
        <v>44571</v>
      </c>
      <c r="C52" s="125">
        <v>2018.55</v>
      </c>
      <c r="D52" s="13">
        <f t="shared" si="0"/>
        <v>-2.4939860302002681E-2</v>
      </c>
      <c r="F52" s="34">
        <v>18012.2</v>
      </c>
      <c r="G52" s="13">
        <f t="shared" si="1"/>
        <v>-3.9776952663746923E-2</v>
      </c>
    </row>
    <row r="53" spans="2:7">
      <c r="B53" s="36">
        <v>44570</v>
      </c>
      <c r="C53" s="125">
        <v>1843.54</v>
      </c>
      <c r="D53" s="13">
        <f t="shared" si="0"/>
        <v>-8.6700849619776532E-2</v>
      </c>
      <c r="F53" s="34">
        <v>17094.349999999999</v>
      </c>
      <c r="G53" s="13">
        <f t="shared" si="1"/>
        <v>-5.0957129056972583E-2</v>
      </c>
    </row>
    <row r="54" spans="2:7">
      <c r="B54" s="36">
        <v>44569</v>
      </c>
      <c r="C54" s="125">
        <v>1918.17</v>
      </c>
      <c r="D54" s="13">
        <f t="shared" si="0"/>
        <v>4.0481898955270879E-2</v>
      </c>
      <c r="F54" s="34">
        <v>17759.3</v>
      </c>
      <c r="G54" s="13">
        <f t="shared" si="1"/>
        <v>3.8898817445530254E-2</v>
      </c>
    </row>
    <row r="55" spans="2:7">
      <c r="B55" s="36">
        <v>44568</v>
      </c>
      <c r="C55" s="125">
        <v>1803.98</v>
      </c>
      <c r="D55" s="13">
        <f t="shared" si="0"/>
        <v>-5.9530698530370074E-2</v>
      </c>
      <c r="F55" s="34">
        <v>17158.25</v>
      </c>
      <c r="G55" s="13">
        <f t="shared" si="1"/>
        <v>-3.3844239356280892E-2</v>
      </c>
    </row>
    <row r="56" spans="2:7">
      <c r="B56" s="36">
        <v>44567</v>
      </c>
      <c r="C56" s="125">
        <v>1554.74</v>
      </c>
      <c r="D56" s="13">
        <f t="shared" si="0"/>
        <v>-0.13816117695318131</v>
      </c>
      <c r="F56" s="34">
        <v>15780.25</v>
      </c>
      <c r="G56" s="13">
        <f t="shared" si="1"/>
        <v>-8.0311220549881268E-2</v>
      </c>
    </row>
    <row r="57" spans="2:7">
      <c r="B57" s="36">
        <v>44566</v>
      </c>
      <c r="C57" s="125">
        <v>1650.78</v>
      </c>
      <c r="D57" s="13">
        <f t="shared" si="0"/>
        <v>6.177238637971616E-2</v>
      </c>
      <c r="F57" s="34">
        <v>16584.55</v>
      </c>
      <c r="G57" s="13">
        <f t="shared" si="1"/>
        <v>5.0968774258962846E-2</v>
      </c>
    </row>
    <row r="58" spans="2:7">
      <c r="B58" s="36">
        <v>44565</v>
      </c>
      <c r="C58" s="125">
        <v>1690.54</v>
      </c>
      <c r="D58" s="13">
        <f t="shared" si="0"/>
        <v>2.4085583784635212E-2</v>
      </c>
      <c r="F58" s="34">
        <v>17102.55</v>
      </c>
      <c r="G58" s="13">
        <f t="shared" si="1"/>
        <v>3.1233889372940471E-2</v>
      </c>
    </row>
    <row r="59" spans="2:7">
      <c r="B59" s="36">
        <v>44564</v>
      </c>
      <c r="C59" s="125">
        <v>1763.67</v>
      </c>
      <c r="D59" s="13">
        <f t="shared" si="0"/>
        <v>4.3258367148958365E-2</v>
      </c>
      <c r="F59" s="34">
        <v>17464.75</v>
      </c>
      <c r="G59" s="13">
        <f t="shared" si="1"/>
        <v>2.1178128407752128E-2</v>
      </c>
    </row>
    <row r="60" spans="2:7">
      <c r="B60" s="36">
        <v>44563</v>
      </c>
      <c r="C60" s="125">
        <v>1812.66</v>
      </c>
      <c r="D60" s="13">
        <f t="shared" si="0"/>
        <v>2.7777305278198217E-2</v>
      </c>
      <c r="F60" s="34">
        <v>16793.900000000001</v>
      </c>
      <c r="G60" s="13">
        <f t="shared" si="1"/>
        <v>-3.841165776778932E-2</v>
      </c>
    </row>
    <row r="61" spans="2:7">
      <c r="B61" s="36">
        <v>44562</v>
      </c>
      <c r="C61" s="125">
        <v>1904.9</v>
      </c>
      <c r="D61" s="13">
        <f t="shared" si="0"/>
        <v>5.0886542429357862E-2</v>
      </c>
      <c r="F61" s="34">
        <v>17339.849999999999</v>
      </c>
      <c r="G61" s="13">
        <f t="shared" si="1"/>
        <v>3.2508827610024937E-2</v>
      </c>
    </row>
    <row r="62" spans="2:7">
      <c r="B62" s="36">
        <v>44208</v>
      </c>
      <c r="C62" s="125">
        <v>1891.63</v>
      </c>
      <c r="D62" s="13">
        <f t="shared" si="0"/>
        <v>-6.9662449472412957E-3</v>
      </c>
      <c r="F62" s="34">
        <v>17354.05</v>
      </c>
      <c r="G62" s="13">
        <f t="shared" si="1"/>
        <v>8.189228857227171E-4</v>
      </c>
    </row>
    <row r="63" spans="2:7">
      <c r="B63" s="36">
        <v>44207</v>
      </c>
      <c r="C63" s="125">
        <v>1760.78</v>
      </c>
      <c r="D63" s="13">
        <f t="shared" si="0"/>
        <v>-6.9173146968487531E-2</v>
      </c>
      <c r="F63" s="34">
        <v>16983.2</v>
      </c>
      <c r="G63" s="13">
        <f t="shared" si="1"/>
        <v>-2.1369651464643646E-2</v>
      </c>
    </row>
    <row r="64" spans="2:7">
      <c r="B64" s="36">
        <v>44206</v>
      </c>
      <c r="C64" s="125">
        <v>1762.68</v>
      </c>
      <c r="D64" s="13">
        <f t="shared" si="0"/>
        <v>1.0790672315679206E-3</v>
      </c>
      <c r="F64" s="34">
        <v>17671.650000000001</v>
      </c>
      <c r="G64" s="13">
        <f t="shared" si="1"/>
        <v>4.0537119035281899E-2</v>
      </c>
    </row>
    <row r="65" spans="2:7">
      <c r="B65" s="36">
        <v>44205</v>
      </c>
      <c r="C65" s="125">
        <v>1699.12</v>
      </c>
      <c r="D65" s="13">
        <f t="shared" si="0"/>
        <v>-3.6058728753943003E-2</v>
      </c>
      <c r="F65" s="34">
        <v>17618.150000000001</v>
      </c>
      <c r="G65" s="13">
        <f t="shared" si="1"/>
        <v>-3.0274479179929203E-3</v>
      </c>
    </row>
    <row r="66" spans="2:7">
      <c r="B66" s="36">
        <v>44204</v>
      </c>
      <c r="C66" s="125">
        <v>1668.44</v>
      </c>
      <c r="D66" s="13">
        <f t="shared" si="0"/>
        <v>-1.8056405668816722E-2</v>
      </c>
      <c r="F66" s="34">
        <v>17132.2</v>
      </c>
      <c r="G66" s="13">
        <f t="shared" si="1"/>
        <v>-2.7582351154917029E-2</v>
      </c>
    </row>
    <row r="67" spans="2:7">
      <c r="B67" s="36"/>
      <c r="C67" s="125"/>
      <c r="D67" s="13"/>
      <c r="F67" s="34"/>
      <c r="G67" s="13"/>
    </row>
    <row r="68" spans="2:7">
      <c r="B68" s="36"/>
      <c r="C68" s="125"/>
      <c r="D68" s="13"/>
      <c r="F68" s="34"/>
      <c r="G68" s="13"/>
    </row>
    <row r="69" spans="2:7">
      <c r="B69" s="36"/>
      <c r="C69" s="125"/>
      <c r="D69" s="13"/>
      <c r="F69" s="34"/>
      <c r="G69" s="13"/>
    </row>
    <row r="70" spans="2:7">
      <c r="B70" s="36"/>
      <c r="C70" s="125"/>
      <c r="D70" s="13"/>
      <c r="F70" s="34"/>
      <c r="G70" s="13"/>
    </row>
    <row r="71" spans="2:7">
      <c r="B71" s="36"/>
      <c r="C71" s="125"/>
      <c r="D71" s="13"/>
      <c r="F71" s="34"/>
      <c r="G71" s="13"/>
    </row>
    <row r="72" spans="2:7">
      <c r="B72" s="36"/>
      <c r="C72" s="125"/>
      <c r="D72" s="13"/>
      <c r="F72" s="34"/>
      <c r="G72" s="13"/>
    </row>
    <row r="73" spans="2:7">
      <c r="B73" s="36"/>
      <c r="C73" s="125"/>
      <c r="D73" s="13"/>
      <c r="F73" s="34"/>
      <c r="G73" s="13"/>
    </row>
    <row r="74" spans="2:7">
      <c r="B74" s="36"/>
      <c r="C74" s="125"/>
      <c r="D74" s="13"/>
      <c r="F74" s="34"/>
      <c r="G74" s="13"/>
    </row>
    <row r="75" spans="2:7">
      <c r="B75" s="36"/>
      <c r="C75" s="125"/>
      <c r="D75" s="13"/>
      <c r="F75" s="34"/>
      <c r="G75" s="13"/>
    </row>
    <row r="76" spans="2:7">
      <c r="B76" s="36"/>
      <c r="C76" s="125"/>
      <c r="D76" s="13"/>
      <c r="F76" s="34"/>
      <c r="G76" s="13"/>
    </row>
    <row r="77" spans="2:7">
      <c r="B77" s="36"/>
      <c r="C77" s="125"/>
      <c r="D77" s="13"/>
      <c r="F77" s="34"/>
      <c r="G77" s="13"/>
    </row>
    <row r="78" spans="2:7">
      <c r="B78" s="36"/>
      <c r="C78" s="125"/>
      <c r="D78" s="13"/>
      <c r="F78" s="34"/>
      <c r="G78" s="13"/>
    </row>
    <row r="79" spans="2:7">
      <c r="B79" s="36"/>
      <c r="C79" s="125"/>
      <c r="D79" s="13"/>
      <c r="F79" s="34"/>
      <c r="G79" s="13"/>
    </row>
    <row r="80" spans="2:7">
      <c r="B80" s="36"/>
      <c r="C80" s="125"/>
      <c r="D80" s="13"/>
      <c r="F80" s="34"/>
      <c r="G80" s="13"/>
    </row>
    <row r="81" spans="2:7">
      <c r="B81" s="36"/>
      <c r="C81" s="125"/>
      <c r="D81" s="13"/>
      <c r="F81" s="34"/>
      <c r="G81" s="13"/>
    </row>
    <row r="82" spans="2:7">
      <c r="B82" s="36"/>
      <c r="C82" s="125"/>
      <c r="D82" s="13"/>
      <c r="F82" s="34"/>
      <c r="G82" s="13"/>
    </row>
    <row r="83" spans="2:7">
      <c r="B83" s="36"/>
      <c r="C83" s="125"/>
      <c r="D83" s="13"/>
      <c r="F83" s="34"/>
      <c r="G83" s="13"/>
    </row>
    <row r="84" spans="2:7">
      <c r="B84" s="36"/>
      <c r="C84" s="125"/>
      <c r="D84" s="13"/>
      <c r="F84" s="34"/>
      <c r="G84" s="13"/>
    </row>
    <row r="85" spans="2:7">
      <c r="B85" s="36"/>
      <c r="C85" s="125"/>
      <c r="D85" s="13"/>
      <c r="F85" s="34"/>
      <c r="G85" s="13"/>
    </row>
    <row r="86" spans="2:7">
      <c r="B86" s="36"/>
      <c r="C86" s="125"/>
      <c r="D86" s="13"/>
      <c r="F86" s="34"/>
      <c r="G86" s="13"/>
    </row>
    <row r="87" spans="2:7">
      <c r="B87" s="36"/>
      <c r="C87" s="125"/>
      <c r="D87" s="13"/>
      <c r="F87" s="34"/>
      <c r="G87" s="13"/>
    </row>
    <row r="88" spans="2:7">
      <c r="B88" s="36"/>
      <c r="C88" s="125"/>
      <c r="D88" s="13"/>
      <c r="F88" s="34"/>
      <c r="G88" s="13"/>
    </row>
    <row r="89" spans="2:7">
      <c r="B89" s="36"/>
      <c r="C89" s="125"/>
      <c r="D89" s="13"/>
      <c r="F89" s="34"/>
      <c r="G89" s="13"/>
    </row>
    <row r="90" spans="2:7">
      <c r="B90" s="36"/>
      <c r="C90" s="125"/>
      <c r="D90" s="13"/>
      <c r="F90" s="34"/>
      <c r="G90" s="13"/>
    </row>
    <row r="91" spans="2:7">
      <c r="B91" s="36"/>
      <c r="C91" s="125"/>
      <c r="D91" s="13"/>
      <c r="F91" s="34"/>
      <c r="G91" s="13"/>
    </row>
    <row r="92" spans="2:7">
      <c r="B92" s="36"/>
      <c r="C92" s="125"/>
      <c r="D92" s="13"/>
      <c r="F92" s="34"/>
      <c r="G92" s="13"/>
    </row>
    <row r="93" spans="2:7">
      <c r="B93" s="36"/>
      <c r="C93" s="125"/>
      <c r="D93" s="13"/>
      <c r="F93" s="34"/>
      <c r="G93" s="13"/>
    </row>
    <row r="94" spans="2:7">
      <c r="B94" s="36"/>
      <c r="C94" s="125"/>
      <c r="D94" s="13"/>
      <c r="F94" s="34"/>
      <c r="G94" s="13"/>
    </row>
    <row r="95" spans="2:7">
      <c r="B95" s="36"/>
      <c r="C95" s="125"/>
      <c r="D95" s="13"/>
      <c r="F95" s="34"/>
      <c r="G95" s="13"/>
    </row>
    <row r="96" spans="2:7">
      <c r="B96" s="36"/>
      <c r="C96" s="125"/>
      <c r="D96" s="13"/>
      <c r="F96" s="34"/>
      <c r="G96" s="13"/>
    </row>
    <row r="97" spans="2:7">
      <c r="B97" s="36"/>
      <c r="C97" s="125"/>
      <c r="D97" s="13"/>
      <c r="F97" s="34"/>
      <c r="G97" s="13"/>
    </row>
    <row r="98" spans="2:7">
      <c r="B98" s="36"/>
      <c r="C98" s="125"/>
      <c r="D98" s="13"/>
      <c r="F98" s="34"/>
      <c r="G98" s="13"/>
    </row>
    <row r="99" spans="2:7">
      <c r="B99" s="36"/>
      <c r="C99" s="125"/>
      <c r="D99" s="13"/>
      <c r="F99" s="34"/>
      <c r="G99" s="13"/>
    </row>
    <row r="100" spans="2:7">
      <c r="B100" s="36"/>
      <c r="C100" s="125"/>
      <c r="D100" s="13"/>
      <c r="F100" s="34"/>
      <c r="G100" s="13"/>
    </row>
    <row r="101" spans="2:7">
      <c r="B101" s="36"/>
      <c r="C101" s="125"/>
      <c r="D101" s="13"/>
      <c r="F101" s="34"/>
      <c r="G101" s="13"/>
    </row>
    <row r="102" spans="2:7">
      <c r="B102" s="36"/>
      <c r="C102" s="125"/>
      <c r="D102" s="13"/>
      <c r="F102" s="34"/>
      <c r="G102" s="13"/>
    </row>
    <row r="103" spans="2:7">
      <c r="B103" s="36"/>
      <c r="C103" s="125"/>
      <c r="D103" s="13"/>
      <c r="F103" s="34"/>
      <c r="G103" s="13"/>
    </row>
    <row r="104" spans="2:7">
      <c r="B104" s="36"/>
      <c r="C104" s="125"/>
      <c r="D104" s="13"/>
      <c r="F104" s="34"/>
      <c r="G104" s="13"/>
    </row>
    <row r="105" spans="2:7">
      <c r="B105" s="36"/>
      <c r="C105" s="125"/>
      <c r="D105" s="13"/>
      <c r="F105" s="34"/>
      <c r="G105" s="13"/>
    </row>
    <row r="106" spans="2:7">
      <c r="B106" s="36"/>
      <c r="C106" s="125"/>
      <c r="D106" s="13"/>
      <c r="F106" s="34"/>
      <c r="G106" s="13"/>
    </row>
    <row r="107" spans="2:7">
      <c r="B107" s="36"/>
      <c r="C107" s="125"/>
      <c r="D107" s="13"/>
      <c r="F107" s="34"/>
      <c r="G107" s="13"/>
    </row>
    <row r="108" spans="2:7">
      <c r="B108" s="36"/>
      <c r="C108" s="125"/>
      <c r="D108" s="13"/>
      <c r="F108" s="34"/>
      <c r="G108" s="13"/>
    </row>
    <row r="109" spans="2:7">
      <c r="B109" s="36"/>
      <c r="C109" s="125"/>
      <c r="D109" s="13"/>
      <c r="F109" s="34"/>
      <c r="G109" s="13"/>
    </row>
    <row r="110" spans="2:7">
      <c r="B110" s="36"/>
      <c r="C110" s="125"/>
      <c r="D110" s="13"/>
      <c r="F110" s="34"/>
      <c r="G110" s="13"/>
    </row>
    <row r="111" spans="2:7">
      <c r="B111" s="36"/>
      <c r="C111" s="125"/>
      <c r="D111" s="13"/>
      <c r="F111" s="34"/>
      <c r="G111" s="13"/>
    </row>
    <row r="112" spans="2:7">
      <c r="D112" s="13"/>
      <c r="F112" s="125"/>
      <c r="G112" s="13"/>
    </row>
  </sheetData>
  <mergeCells count="3">
    <mergeCell ref="B5:D5"/>
    <mergeCell ref="F5:G5"/>
    <mergeCell ref="I5:J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3DF92-F64F-4C51-9F0C-FD22BDCDA681}">
  <dimension ref="B3:Q32"/>
  <sheetViews>
    <sheetView showGridLines="0" zoomScale="82" zoomScaleNormal="100" workbookViewId="0">
      <selection activeCell="B10" sqref="B10"/>
    </sheetView>
  </sheetViews>
  <sheetFormatPr defaultRowHeight="15"/>
  <cols>
    <col min="1" max="1" width="1.85546875" customWidth="1"/>
    <col min="2" max="2" width="38.28515625" bestFit="1" customWidth="1"/>
    <col min="5" max="5" width="12.7109375" customWidth="1"/>
    <col min="6" max="6" width="12.140625" bestFit="1" customWidth="1"/>
    <col min="8" max="8" width="10.7109375" bestFit="1" customWidth="1"/>
    <col min="11" max="11" width="9.7109375" bestFit="1" customWidth="1"/>
  </cols>
  <sheetData>
    <row r="3" spans="2:17">
      <c r="B3" s="134" t="s">
        <v>252</v>
      </c>
    </row>
    <row r="4" spans="2:17">
      <c r="B4" s="135" t="s">
        <v>253</v>
      </c>
      <c r="C4" s="136"/>
      <c r="E4" s="136"/>
      <c r="F4" s="136"/>
      <c r="G4" s="136"/>
      <c r="H4" s="136"/>
      <c r="I4" s="136"/>
      <c r="J4" s="136"/>
      <c r="K4" s="136"/>
    </row>
    <row r="6" spans="2:17">
      <c r="B6" s="137"/>
      <c r="C6" s="137"/>
      <c r="D6" s="259" t="s">
        <v>254</v>
      </c>
      <c r="E6" s="259"/>
      <c r="F6" s="259"/>
      <c r="G6" s="259"/>
      <c r="H6" s="259"/>
      <c r="I6" s="137"/>
      <c r="J6" s="137"/>
      <c r="K6" s="259" t="s">
        <v>255</v>
      </c>
      <c r="L6" s="259"/>
      <c r="M6" s="259"/>
      <c r="N6" s="137"/>
      <c r="O6" s="259" t="s">
        <v>256</v>
      </c>
      <c r="P6" s="259"/>
      <c r="Q6" s="259"/>
    </row>
    <row r="7" spans="2:17" ht="30">
      <c r="B7" s="137" t="s">
        <v>257</v>
      </c>
      <c r="C7" s="137" t="s">
        <v>258</v>
      </c>
      <c r="D7" s="138" t="s">
        <v>259</v>
      </c>
      <c r="E7" s="138" t="s">
        <v>260</v>
      </c>
      <c r="F7" s="137" t="s">
        <v>261</v>
      </c>
      <c r="G7" s="137" t="s">
        <v>262</v>
      </c>
      <c r="H7" s="138" t="s">
        <v>263</v>
      </c>
      <c r="I7" s="137"/>
      <c r="J7" s="137"/>
      <c r="K7" s="137" t="s">
        <v>264</v>
      </c>
      <c r="L7" s="137" t="s">
        <v>79</v>
      </c>
      <c r="M7" s="137" t="s">
        <v>265</v>
      </c>
      <c r="N7" s="137"/>
      <c r="O7" s="137" t="s">
        <v>266</v>
      </c>
      <c r="P7" s="137" t="s">
        <v>267</v>
      </c>
      <c r="Q7" s="137" t="s">
        <v>268</v>
      </c>
    </row>
    <row r="8" spans="2:17">
      <c r="B8" s="139"/>
      <c r="C8" s="139"/>
      <c r="D8" s="140"/>
      <c r="E8" s="140"/>
      <c r="F8" s="139"/>
      <c r="G8" s="139"/>
      <c r="H8" s="140"/>
      <c r="I8" s="139"/>
      <c r="J8" s="139"/>
      <c r="K8" s="139"/>
      <c r="L8" s="139"/>
      <c r="M8" s="139"/>
      <c r="N8" s="139"/>
      <c r="O8" s="139"/>
      <c r="P8" s="139"/>
      <c r="Q8" s="139"/>
    </row>
    <row r="9" spans="2:17">
      <c r="B9" s="141" t="str">
        <f>'Beta - Comps'!C4</f>
        <v>Larsen &amp; Tourbo</v>
      </c>
      <c r="C9" s="141"/>
      <c r="D9" s="142">
        <f>'Relative Data'!D3</f>
        <v>3785.6</v>
      </c>
      <c r="E9" s="143">
        <f>'Relative Data'!E3</f>
        <v>137.52939824598479</v>
      </c>
      <c r="F9" s="142">
        <f>E9*D9</f>
        <v>520631.29000000004</v>
      </c>
      <c r="G9" s="142">
        <f>'Relative Data'!I3</f>
        <v>81484.33</v>
      </c>
      <c r="H9" s="142">
        <f>G9+F9</f>
        <v>602115.62</v>
      </c>
      <c r="I9" s="142"/>
      <c r="J9" s="142"/>
      <c r="K9" s="142">
        <f>'Data Sheet'!K17</f>
        <v>285874.36</v>
      </c>
      <c r="L9" s="142">
        <f>'Relative Data'!L3</f>
        <v>37321.090000000004</v>
      </c>
      <c r="M9" s="142">
        <f>'Relative Data'!M3</f>
        <v>16083.99</v>
      </c>
      <c r="N9" s="144"/>
      <c r="O9" s="145">
        <f>'Relative Data'!J3/'Relative Data'!K3</f>
        <v>2.1062246365851069</v>
      </c>
      <c r="P9" s="145">
        <f>'Relative Data'!$J3/'Relative valuation'!L9</f>
        <v>16.133387851212277</v>
      </c>
      <c r="Q9" s="145">
        <f>'Relative Data'!O3</f>
        <v>32.369535793046374</v>
      </c>
    </row>
    <row r="10" spans="2:17">
      <c r="B10" s="86" t="str">
        <f>'Beta - Comps'!C5</f>
        <v>Rail Vikas</v>
      </c>
      <c r="C10" s="86"/>
      <c r="D10" s="146">
        <f>'Beta - Comps'!D5</f>
        <v>226.2</v>
      </c>
      <c r="E10" s="147">
        <f>'Relative Data'!E4</f>
        <v>208.50194518125554</v>
      </c>
      <c r="F10" s="146">
        <f>E10*D10</f>
        <v>47163.14</v>
      </c>
      <c r="G10" s="213">
        <f>'Relative Data'!I4</f>
        <v>3850.24</v>
      </c>
      <c r="H10" s="146">
        <f t="shared" ref="H10:H13" si="0">G10+F10</f>
        <v>51013.38</v>
      </c>
      <c r="I10" s="146"/>
      <c r="J10" s="146"/>
      <c r="K10" s="146">
        <f>'Relative Data'!K4</f>
        <v>20412.12</v>
      </c>
      <c r="L10" s="146">
        <f>'Relative Data'!L4</f>
        <v>1636.6179018286812</v>
      </c>
      <c r="M10" s="146">
        <f>'Relative Data'!M4</f>
        <v>875.01187384044533</v>
      </c>
      <c r="N10" s="86"/>
      <c r="O10" s="146">
        <f>'Relative Data'!$J4/'Relative valuation'!K10</f>
        <v>2.4991710807108718</v>
      </c>
      <c r="P10" s="146">
        <f>'Relative Data'!$J4/'Relative valuation'!L10</f>
        <v>31.17</v>
      </c>
      <c r="Q10" s="146">
        <f>'Relative Data'!O4</f>
        <v>53.9</v>
      </c>
    </row>
    <row r="11" spans="2:17">
      <c r="B11" s="86" t="str">
        <f>'Beta - Comps'!C6</f>
        <v>NBCC</v>
      </c>
      <c r="C11" s="86"/>
      <c r="D11" s="146">
        <f>'Beta - Comps'!D6</f>
        <v>95.25</v>
      </c>
      <c r="E11" s="147">
        <f>'Relative Data'!E5</f>
        <v>270</v>
      </c>
      <c r="F11" s="146">
        <f t="shared" ref="F11:F13" si="1">E11*D11</f>
        <v>25717.5</v>
      </c>
      <c r="G11" s="213">
        <f>'Relative Data'!I5</f>
        <v>-6515.3599999999988</v>
      </c>
      <c r="H11" s="146">
        <f t="shared" si="0"/>
        <v>19202.14</v>
      </c>
      <c r="I11" s="146"/>
      <c r="J11" s="146"/>
      <c r="K11" s="146">
        <f>'Relative Data'!K5</f>
        <v>12888.61</v>
      </c>
      <c r="L11" s="146">
        <f>'Relative Data'!L5</f>
        <v>924.06833493743977</v>
      </c>
      <c r="M11" s="146">
        <f>'Relative Data'!M5</f>
        <v>661.96911196911196</v>
      </c>
      <c r="N11" s="86"/>
      <c r="O11" s="146">
        <f>'Relative Data'!$J5/'Relative valuation'!K11</f>
        <v>1.4898534442426297</v>
      </c>
      <c r="P11" s="146">
        <f>'Relative Data'!$J5/'Relative valuation'!L11</f>
        <v>20.78</v>
      </c>
      <c r="Q11" s="146">
        <f>'Relative Data'!O5</f>
        <v>38.85</v>
      </c>
    </row>
    <row r="12" spans="2:17">
      <c r="B12" s="86" t="str">
        <f>'Beta - Comps'!C7</f>
        <v>IRB Infra.Devl.</v>
      </c>
      <c r="C12" s="86"/>
      <c r="D12" s="146">
        <f>'Beta - Comps'!D7</f>
        <v>19.670000000000002</v>
      </c>
      <c r="E12" s="147">
        <f>'Relative Data'!E6</f>
        <v>1207.7996949669546</v>
      </c>
      <c r="F12" s="146">
        <f t="shared" si="1"/>
        <v>23757.42</v>
      </c>
      <c r="G12" s="213">
        <f>'Relative Data'!I6</f>
        <v>18116.100000000002</v>
      </c>
      <c r="H12" s="146">
        <f t="shared" si="0"/>
        <v>41873.520000000004</v>
      </c>
      <c r="I12" s="146"/>
      <c r="J12" s="146"/>
      <c r="K12" s="146">
        <f>'Relative Data'!K6</f>
        <v>7648.15</v>
      </c>
      <c r="L12" s="146">
        <f>'Relative Data'!L6</f>
        <v>2476.2578356002364</v>
      </c>
      <c r="M12" s="146">
        <f>'Relative Data'!M6</f>
        <v>879.25314581791258</v>
      </c>
      <c r="N12" s="86"/>
      <c r="O12" s="146">
        <f>'Relative Data'!$J6/'Relative valuation'!K12</f>
        <v>5.4749867615044163</v>
      </c>
      <c r="P12" s="146">
        <f>'Relative Data'!$J6/'Relative valuation'!L12</f>
        <v>16.91</v>
      </c>
      <c r="Q12" s="146">
        <f>'Relative Data'!O6</f>
        <v>27.02</v>
      </c>
    </row>
    <row r="13" spans="2:17">
      <c r="B13" s="86" t="str">
        <f>'Beta - Comps'!C8</f>
        <v>Cemindia Project</v>
      </c>
      <c r="C13" s="86"/>
      <c r="D13" s="146">
        <f>'Beta - Comps'!D8</f>
        <v>1369.1</v>
      </c>
      <c r="E13" s="147">
        <f>'Relative Data'!E7</f>
        <v>17.178745161054707</v>
      </c>
      <c r="F13" s="146">
        <f t="shared" si="1"/>
        <v>23519.42</v>
      </c>
      <c r="G13" s="213">
        <f>'Relative Data'!I7</f>
        <v>52.380000000001473</v>
      </c>
      <c r="H13" s="146">
        <f t="shared" si="0"/>
        <v>23571.8</v>
      </c>
      <c r="I13" s="146"/>
      <c r="J13" s="146"/>
      <c r="K13" s="146">
        <f>'Relative Data'!K7</f>
        <v>10060.58</v>
      </c>
      <c r="L13" s="146">
        <f>'Relative Data'!L7</f>
        <v>1393.9562389118864</v>
      </c>
      <c r="M13" s="146">
        <f>'Relative Data'!M7</f>
        <v>588.42682011508634</v>
      </c>
      <c r="N13" s="86"/>
      <c r="O13" s="146">
        <f>'Relative Data'!$J7/'Relative valuation'!K13</f>
        <v>2.3429861896630215</v>
      </c>
      <c r="P13" s="146">
        <f>'Relative Data'!$J7/'Relative valuation'!L13</f>
        <v>16.91</v>
      </c>
      <c r="Q13" s="146">
        <f>'Relative Data'!O7</f>
        <v>39.97</v>
      </c>
    </row>
    <row r="15" spans="2:17">
      <c r="B15" s="141" t="s">
        <v>251</v>
      </c>
      <c r="C15" s="141"/>
      <c r="D15" s="141"/>
      <c r="E15" s="141"/>
      <c r="F15" s="141"/>
      <c r="G15" s="141"/>
      <c r="H15" s="141"/>
      <c r="I15" s="141"/>
      <c r="J15" s="141"/>
      <c r="K15" s="141"/>
      <c r="L15" s="141"/>
      <c r="M15" s="141"/>
      <c r="N15" s="141"/>
      <c r="O15" s="145">
        <f>MAX(O9:O13)</f>
        <v>5.4749867615044163</v>
      </c>
      <c r="P15" s="145">
        <f>MAX(P9:P13)</f>
        <v>31.17</v>
      </c>
      <c r="Q15" s="145">
        <f>MAX(Q9:Q13)</f>
        <v>53.9</v>
      </c>
    </row>
    <row r="16" spans="2:17">
      <c r="B16" s="141" t="s">
        <v>269</v>
      </c>
      <c r="C16" s="141"/>
      <c r="D16" s="141"/>
      <c r="E16" s="141"/>
      <c r="F16" s="141"/>
      <c r="G16" s="141"/>
      <c r="H16" s="141"/>
      <c r="I16" s="141"/>
      <c r="J16" s="141"/>
      <c r="K16" s="141"/>
      <c r="L16" s="141"/>
      <c r="M16" s="141"/>
      <c r="N16" s="141"/>
      <c r="O16" s="145">
        <f>QUARTILE(O9:O13,3)</f>
        <v>2.4991710807108718</v>
      </c>
      <c r="P16" s="145">
        <f>QUARTILE(P9:P13,3)</f>
        <v>20.78</v>
      </c>
      <c r="Q16" s="145">
        <f>QUARTILE(Q9:Q13,3)</f>
        <v>39.97</v>
      </c>
    </row>
    <row r="17" spans="2:17">
      <c r="B17" s="148" t="s">
        <v>7</v>
      </c>
      <c r="C17" s="148"/>
      <c r="D17" s="148"/>
      <c r="E17" s="148"/>
      <c r="F17" s="148"/>
      <c r="G17" s="148"/>
      <c r="H17" s="148"/>
      <c r="I17" s="148"/>
      <c r="J17" s="148"/>
      <c r="K17" s="148"/>
      <c r="L17" s="148"/>
      <c r="M17" s="148"/>
      <c r="N17" s="148"/>
      <c r="O17" s="149">
        <f>AVERAGE(O9:O13)</f>
        <v>2.7826444225412095</v>
      </c>
      <c r="P17" s="149">
        <f>AVERAGE(P9:P13)</f>
        <v>20.380677570242455</v>
      </c>
      <c r="Q17" s="149">
        <f>AVERAGE(Q9:Q13)</f>
        <v>38.421907158609272</v>
      </c>
    </row>
    <row r="18" spans="2:17">
      <c r="B18" s="148" t="s">
        <v>17</v>
      </c>
      <c r="C18" s="148"/>
      <c r="D18" s="148"/>
      <c r="E18" s="148"/>
      <c r="F18" s="148"/>
      <c r="G18" s="148"/>
      <c r="H18" s="148"/>
      <c r="I18" s="148"/>
      <c r="J18" s="148"/>
      <c r="K18" s="148"/>
      <c r="L18" s="148"/>
      <c r="M18" s="148"/>
      <c r="N18" s="148"/>
      <c r="O18" s="149">
        <f>MEDIAN(O9:O13)</f>
        <v>2.3429861896630215</v>
      </c>
      <c r="P18" s="149">
        <f>MEDIAN(P9:P13)</f>
        <v>16.91</v>
      </c>
      <c r="Q18" s="149">
        <f>MEDIAN(Q9:Q13)</f>
        <v>38.85</v>
      </c>
    </row>
    <row r="19" spans="2:17">
      <c r="B19" s="141" t="s">
        <v>270</v>
      </c>
      <c r="C19" s="141"/>
      <c r="D19" s="141"/>
      <c r="E19" s="141"/>
      <c r="F19" s="141"/>
      <c r="G19" s="141"/>
      <c r="H19" s="141"/>
      <c r="I19" s="141"/>
      <c r="J19" s="141"/>
      <c r="K19" s="141"/>
      <c r="L19" s="141"/>
      <c r="M19" s="141"/>
      <c r="N19" s="141"/>
      <c r="O19" s="150">
        <f>QUARTILE(O9:O13,1)</f>
        <v>2.1062246365851069</v>
      </c>
      <c r="P19" s="150">
        <f>QUARTILE(P9:P13,1)</f>
        <v>16.91</v>
      </c>
      <c r="Q19" s="150">
        <f>QUARTILE(Q9:Q13,1)</f>
        <v>32.369535793046374</v>
      </c>
    </row>
    <row r="20" spans="2:17">
      <c r="B20" s="141" t="s">
        <v>250</v>
      </c>
      <c r="C20" s="141"/>
      <c r="D20" s="141"/>
      <c r="E20" s="141"/>
      <c r="F20" s="141"/>
      <c r="G20" s="141"/>
      <c r="H20" s="141"/>
      <c r="I20" s="141"/>
      <c r="J20" s="141"/>
      <c r="K20" s="141"/>
      <c r="L20" s="141"/>
      <c r="M20" s="141"/>
      <c r="N20" s="141"/>
      <c r="O20" s="145">
        <f>MIN(O9:O13)</f>
        <v>1.4898534442426297</v>
      </c>
      <c r="P20" s="145">
        <f>MIN(P9:P13)</f>
        <v>16.133387851212277</v>
      </c>
      <c r="Q20" s="145">
        <f>MIN(Q9:Q13)</f>
        <v>27.02</v>
      </c>
    </row>
    <row r="22" spans="2:17">
      <c r="B22" s="151" t="s">
        <v>253</v>
      </c>
      <c r="C22" s="152"/>
      <c r="D22" s="152"/>
      <c r="E22" s="152"/>
      <c r="F22" s="152"/>
      <c r="G22" s="152"/>
      <c r="H22" s="152"/>
      <c r="I22" s="152"/>
      <c r="J22" s="152"/>
      <c r="K22" s="152"/>
      <c r="L22" s="137"/>
      <c r="M22" s="137"/>
      <c r="N22" s="137"/>
      <c r="O22" s="137" t="s">
        <v>266</v>
      </c>
      <c r="P22" s="137" t="s">
        <v>267</v>
      </c>
      <c r="Q22" s="137" t="s">
        <v>268</v>
      </c>
    </row>
    <row r="24" spans="2:17">
      <c r="B24" s="86" t="s">
        <v>271</v>
      </c>
      <c r="C24" s="86"/>
      <c r="D24" s="86"/>
      <c r="E24" s="86"/>
      <c r="F24" s="86"/>
      <c r="G24" s="86"/>
      <c r="H24" s="86"/>
      <c r="I24" s="86"/>
      <c r="J24" s="86"/>
      <c r="K24" s="86"/>
      <c r="L24" s="86"/>
      <c r="M24" s="86"/>
      <c r="N24" s="86"/>
      <c r="O24" s="153">
        <f>O18*K9</f>
        <v>669799.67745875486</v>
      </c>
      <c r="P24" s="153">
        <f>P18*L9</f>
        <v>631099.63190000004</v>
      </c>
      <c r="Q24" s="153">
        <f>Q26+Q25</f>
        <v>706347.34149999998</v>
      </c>
    </row>
    <row r="25" spans="2:17">
      <c r="B25" s="86" t="s">
        <v>262</v>
      </c>
      <c r="C25" s="86"/>
      <c r="D25" s="86"/>
      <c r="E25" s="86"/>
      <c r="F25" s="86"/>
      <c r="G25" s="86"/>
      <c r="H25" s="86"/>
      <c r="I25" s="86"/>
      <c r="J25" s="86"/>
      <c r="K25" s="86"/>
      <c r="L25" s="86"/>
      <c r="M25" s="86"/>
      <c r="N25" s="86"/>
      <c r="O25" s="153">
        <f>$G$9</f>
        <v>81484.33</v>
      </c>
      <c r="P25" s="153">
        <f t="shared" ref="P25:Q25" si="2">$G$9</f>
        <v>81484.33</v>
      </c>
      <c r="Q25" s="153">
        <f t="shared" si="2"/>
        <v>81484.33</v>
      </c>
    </row>
    <row r="26" spans="2:17">
      <c r="B26" s="86" t="s">
        <v>294</v>
      </c>
      <c r="C26" s="86"/>
      <c r="D26" s="86"/>
      <c r="E26" s="86"/>
      <c r="F26" s="86"/>
      <c r="G26" s="86"/>
      <c r="H26" s="86"/>
      <c r="I26" s="86"/>
      <c r="J26" s="86"/>
      <c r="K26" s="86"/>
      <c r="L26" s="86"/>
      <c r="M26" s="86"/>
      <c r="N26" s="86"/>
      <c r="O26" s="153">
        <f>O24-O25</f>
        <v>588315.3474587549</v>
      </c>
      <c r="P26" s="153">
        <f t="shared" ref="P26" si="3">P24-P25</f>
        <v>549615.30190000008</v>
      </c>
      <c r="Q26" s="153">
        <f>Q18*M9</f>
        <v>624863.01150000002</v>
      </c>
    </row>
    <row r="27" spans="2:17">
      <c r="B27" s="86" t="s">
        <v>260</v>
      </c>
      <c r="C27" s="86"/>
      <c r="D27" s="86"/>
      <c r="E27" s="86"/>
      <c r="F27" s="86"/>
      <c r="G27" s="86"/>
      <c r="H27" s="86"/>
      <c r="I27" s="86"/>
      <c r="J27" s="86"/>
      <c r="K27" s="86"/>
      <c r="L27" s="86"/>
      <c r="M27" s="86"/>
      <c r="N27" s="86"/>
      <c r="O27" s="147">
        <f>$E$9</f>
        <v>137.52939824598479</v>
      </c>
      <c r="P27" s="147">
        <f t="shared" ref="P27:Q27" si="4">$E$9</f>
        <v>137.52939824598479</v>
      </c>
      <c r="Q27" s="147">
        <f t="shared" si="4"/>
        <v>137.52939824598479</v>
      </c>
    </row>
    <row r="28" spans="2:17">
      <c r="O28" s="154"/>
      <c r="P28" s="154"/>
      <c r="Q28" s="154"/>
    </row>
    <row r="29" spans="2:17">
      <c r="B29" s="155" t="s">
        <v>272</v>
      </c>
      <c r="C29" s="156"/>
      <c r="D29" s="156"/>
      <c r="E29" s="156"/>
      <c r="F29" s="156"/>
      <c r="G29" s="156"/>
      <c r="H29" s="156"/>
      <c r="I29" s="156"/>
      <c r="J29" s="156"/>
      <c r="K29" s="156"/>
      <c r="L29" s="156"/>
      <c r="M29" s="156"/>
      <c r="N29" s="156"/>
      <c r="O29" s="157">
        <f>O26/O27</f>
        <v>4277.7424678794514</v>
      </c>
      <c r="P29" s="157">
        <f>P26/P27</f>
        <v>3996.3477548048259</v>
      </c>
      <c r="Q29" s="157">
        <f>Q26/Q27</f>
        <v>4543.4868433174652</v>
      </c>
    </row>
    <row r="30" spans="2:17">
      <c r="B30" s="158"/>
      <c r="O30" s="159"/>
      <c r="P30" s="159"/>
      <c r="Q30" s="159"/>
    </row>
    <row r="31" spans="2:17">
      <c r="B31" s="160" t="s">
        <v>273</v>
      </c>
    </row>
    <row r="32" spans="2:17">
      <c r="O32" t="str">
        <f>IF(O29&gt;$D$8,"Undervalued","Overvalued")</f>
        <v>Undervalued</v>
      </c>
      <c r="P32" t="str">
        <f t="shared" ref="P32:Q32" si="5">IF(P29&gt;$D$8,"Undervalued","Overvalued")</f>
        <v>Undervalued</v>
      </c>
      <c r="Q32" t="str">
        <f t="shared" si="5"/>
        <v>Undervalued</v>
      </c>
    </row>
  </sheetData>
  <mergeCells count="3">
    <mergeCell ref="D6:H6"/>
    <mergeCell ref="K6:M6"/>
    <mergeCell ref="O6:Q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7DD1D-EA6A-4D88-9BB4-8F4EE9A886E0}">
  <dimension ref="B3:O22"/>
  <sheetViews>
    <sheetView showGridLines="0" workbookViewId="0">
      <selection activeCell="G22" sqref="G22"/>
    </sheetView>
  </sheetViews>
  <sheetFormatPr defaultRowHeight="15"/>
  <cols>
    <col min="1" max="1" width="1.85546875" customWidth="1"/>
    <col min="2" max="2" width="12.7109375" style="35" customWidth="1"/>
    <col min="3" max="4" width="12.7109375" customWidth="1"/>
    <col min="5" max="5" width="17.7109375" bestFit="1" customWidth="1"/>
    <col min="6" max="15" width="12.7109375" customWidth="1"/>
    <col min="18" max="18" width="16.140625" bestFit="1" customWidth="1"/>
    <col min="19" max="19" width="8.28515625" bestFit="1" customWidth="1"/>
    <col min="20" max="20" width="14.42578125" bestFit="1" customWidth="1"/>
  </cols>
  <sheetData>
    <row r="3" spans="2:15">
      <c r="B3" s="133" t="s">
        <v>41</v>
      </c>
      <c r="C3" s="45" t="s">
        <v>3</v>
      </c>
      <c r="D3" s="45" t="s">
        <v>42</v>
      </c>
      <c r="E3" s="45" t="s">
        <v>44</v>
      </c>
      <c r="F3" s="45" t="s">
        <v>43</v>
      </c>
      <c r="G3" s="45" t="s">
        <v>45</v>
      </c>
    </row>
    <row r="4" spans="2:15">
      <c r="B4" s="35">
        <v>1</v>
      </c>
      <c r="C4" t="str">
        <f>'Relative Data'!C3</f>
        <v>Larsen &amp; Tourbo</v>
      </c>
      <c r="D4">
        <f>'Relative Data'!D3</f>
        <v>3785.6</v>
      </c>
      <c r="E4">
        <f>'Relative Data'!F3</f>
        <v>520631.29</v>
      </c>
      <c r="F4">
        <f>'Relative Data'!G3</f>
        <v>102332</v>
      </c>
      <c r="G4" s="15">
        <f>'Beta - Comps'!F4/'Beta - Comps'!E4</f>
        <v>0.19655368773551818</v>
      </c>
    </row>
    <row r="5" spans="2:15">
      <c r="B5" s="35">
        <v>2</v>
      </c>
      <c r="C5" t="str">
        <f>'Relative Data'!C4</f>
        <v>Rail Vikas</v>
      </c>
      <c r="D5">
        <f>'Relative Data'!D4</f>
        <v>226.2</v>
      </c>
      <c r="E5">
        <f>'Relative Data'!F4</f>
        <v>47163.14</v>
      </c>
      <c r="F5">
        <f>'Relative Data'!G4</f>
        <v>4818.49</v>
      </c>
      <c r="G5" s="15">
        <f>'Beta - Comps'!F5/'Beta - Comps'!E5</f>
        <v>0.10216643760360315</v>
      </c>
    </row>
    <row r="6" spans="2:15">
      <c r="B6" s="35">
        <v>3</v>
      </c>
      <c r="C6" t="str">
        <f>'Relative Data'!C5</f>
        <v>NBCC</v>
      </c>
      <c r="D6">
        <f>'Relative Data'!D5</f>
        <v>95.25</v>
      </c>
      <c r="E6">
        <f>'Relative Data'!F5</f>
        <v>25717.5</v>
      </c>
      <c r="F6">
        <f>'Relative Data'!G5</f>
        <v>0.26</v>
      </c>
      <c r="G6" s="15">
        <f>'Beta - Comps'!F6/'Beta - Comps'!E6</f>
        <v>1.0109847380188588E-5</v>
      </c>
    </row>
    <row r="7" spans="2:15">
      <c r="B7" s="35">
        <v>4</v>
      </c>
      <c r="C7" t="str">
        <f>'Relative Data'!C6</f>
        <v>IRB Infra.Devl.</v>
      </c>
      <c r="D7">
        <f>'Relative Data'!D6</f>
        <v>19.670000000000002</v>
      </c>
      <c r="E7">
        <f>'Relative Data'!F6</f>
        <v>23757.42</v>
      </c>
      <c r="F7">
        <f>'Relative Data'!G6</f>
        <v>20027.060000000001</v>
      </c>
      <c r="G7" s="15">
        <f>'Beta - Comps'!F7/'Beta - Comps'!E7</f>
        <v>0.8429812664843237</v>
      </c>
    </row>
    <row r="8" spans="2:15">
      <c r="B8" s="35">
        <v>5</v>
      </c>
      <c r="C8" t="str">
        <f>'Relative Data'!C7</f>
        <v>Cemindia Project</v>
      </c>
      <c r="D8">
        <f>'Relative Data'!D7</f>
        <v>1369.1</v>
      </c>
      <c r="E8">
        <f>'Relative Data'!F7</f>
        <v>23519.42</v>
      </c>
      <c r="F8">
        <f>'Relative Data'!G7</f>
        <v>1001.23</v>
      </c>
      <c r="G8" s="15">
        <f>'Beta - Comps'!F8/'Beta - Comps'!E8</f>
        <v>4.2570352500189208E-2</v>
      </c>
    </row>
    <row r="14" spans="2:15">
      <c r="D14" s="216"/>
      <c r="E14" s="217"/>
      <c r="F14" s="218"/>
      <c r="G14" s="218"/>
      <c r="H14" s="218"/>
      <c r="I14" s="218"/>
      <c r="J14" s="218"/>
      <c r="K14" s="218"/>
      <c r="L14" s="218"/>
      <c r="M14" s="218"/>
      <c r="N14" s="218"/>
      <c r="O14" s="218"/>
    </row>
    <row r="15" spans="2:15">
      <c r="D15" s="219"/>
      <c r="E15" s="220"/>
      <c r="F15" s="221"/>
      <c r="G15" s="221"/>
      <c r="H15" s="221"/>
      <c r="I15" s="221"/>
      <c r="J15" s="221"/>
      <c r="K15" s="221"/>
      <c r="L15" s="221"/>
      <c r="M15" s="221"/>
      <c r="N15" s="221"/>
      <c r="O15" s="221"/>
    </row>
    <row r="16" spans="2:15">
      <c r="D16" s="222"/>
      <c r="E16" s="220"/>
      <c r="F16" s="200"/>
      <c r="G16" s="200"/>
      <c r="H16" s="200"/>
      <c r="I16" s="200"/>
      <c r="J16" s="200"/>
      <c r="K16" s="200"/>
      <c r="L16" s="200"/>
      <c r="M16" s="200"/>
      <c r="N16" s="200"/>
      <c r="O16" s="200"/>
    </row>
    <row r="17" spans="4:15">
      <c r="D17" s="222"/>
      <c r="E17" s="220"/>
      <c r="F17" s="200"/>
      <c r="G17" s="200"/>
      <c r="H17" s="200"/>
      <c r="I17" s="200"/>
      <c r="J17" s="200"/>
      <c r="K17" s="200"/>
      <c r="L17" s="200"/>
      <c r="M17" s="200"/>
      <c r="N17" s="200"/>
      <c r="O17" s="200"/>
    </row>
    <row r="18" spans="4:15">
      <c r="D18" s="222"/>
      <c r="E18" s="220"/>
      <c r="F18" s="200"/>
      <c r="G18" s="200"/>
      <c r="H18" s="200"/>
      <c r="I18" s="200"/>
      <c r="J18" s="200"/>
      <c r="K18" s="200"/>
      <c r="L18" s="200"/>
      <c r="M18" s="200"/>
      <c r="N18" s="200"/>
      <c r="O18" s="200"/>
    </row>
    <row r="19" spans="4:15">
      <c r="D19" s="222"/>
      <c r="E19" s="220"/>
      <c r="F19" s="200"/>
      <c r="G19" s="200"/>
      <c r="H19" s="200"/>
      <c r="I19" s="200"/>
      <c r="J19" s="200"/>
      <c r="K19" s="200"/>
      <c r="L19" s="200"/>
      <c r="M19" s="200"/>
      <c r="N19" s="200"/>
      <c r="O19" s="200"/>
    </row>
    <row r="20" spans="4:15">
      <c r="D20" s="222"/>
      <c r="E20" s="220"/>
      <c r="F20" s="200"/>
      <c r="G20" s="200"/>
      <c r="H20" s="200"/>
      <c r="I20" s="200"/>
      <c r="J20" s="200"/>
      <c r="K20" s="200"/>
      <c r="L20" s="200"/>
      <c r="M20" s="200"/>
      <c r="N20" s="200"/>
      <c r="O20" s="200"/>
    </row>
    <row r="21" spans="4:15">
      <c r="D21" s="222"/>
      <c r="E21" s="220"/>
      <c r="F21" s="200"/>
      <c r="G21" s="200"/>
      <c r="H21" s="200"/>
      <c r="I21" s="200"/>
      <c r="J21" s="200"/>
      <c r="K21" s="200"/>
      <c r="L21" s="200"/>
      <c r="M21" s="200"/>
      <c r="N21" s="200"/>
      <c r="O21" s="200"/>
    </row>
    <row r="22" spans="4:15">
      <c r="D22" s="223"/>
      <c r="E22" s="224"/>
      <c r="F22" s="221"/>
      <c r="G22" s="221"/>
      <c r="H22" s="221"/>
      <c r="I22" s="221"/>
      <c r="J22" s="221"/>
      <c r="K22" s="221"/>
      <c r="L22" s="221"/>
      <c r="M22" s="221"/>
      <c r="N22" s="221"/>
      <c r="O22" s="22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24559-1980-4DE8-B7BA-36E443FC802F}">
  <dimension ref="B1:K23"/>
  <sheetViews>
    <sheetView showGridLines="0" zoomScale="88" workbookViewId="0">
      <selection activeCell="M16" sqref="M16"/>
    </sheetView>
  </sheetViews>
  <sheetFormatPr defaultRowHeight="15"/>
  <cols>
    <col min="1" max="1" width="1.85546875" customWidth="1"/>
    <col min="8" max="8" width="8.42578125" bestFit="1" customWidth="1"/>
  </cols>
  <sheetData>
    <row r="1" spans="2:11">
      <c r="B1" s="1"/>
      <c r="C1" s="1"/>
      <c r="D1" s="1"/>
      <c r="E1" s="1"/>
      <c r="F1" s="1"/>
      <c r="G1" s="1"/>
      <c r="H1" s="1"/>
      <c r="I1" s="1"/>
      <c r="J1" s="1"/>
      <c r="K1" s="1"/>
    </row>
    <row r="2" spans="2:11">
      <c r="B2" s="1"/>
      <c r="C2" s="1"/>
      <c r="D2" s="1"/>
      <c r="E2" s="1"/>
      <c r="F2" s="1"/>
      <c r="G2" s="1"/>
      <c r="H2" s="1"/>
      <c r="I2" s="1"/>
      <c r="J2" s="1"/>
      <c r="K2" s="1"/>
    </row>
    <row r="3" spans="2:11">
      <c r="B3" s="1"/>
      <c r="C3" s="1"/>
      <c r="D3" s="1"/>
      <c r="E3" s="1"/>
      <c r="F3" s="1"/>
      <c r="G3" s="1"/>
      <c r="H3" s="1"/>
      <c r="I3" s="1"/>
      <c r="J3" s="1"/>
      <c r="K3" s="1"/>
    </row>
    <row r="4" spans="2:11">
      <c r="B4" s="1"/>
      <c r="C4" s="1"/>
      <c r="D4" s="1"/>
      <c r="E4" s="1"/>
      <c r="F4" s="1"/>
      <c r="G4" s="1"/>
      <c r="H4" s="1"/>
      <c r="I4" s="1"/>
      <c r="J4" s="1"/>
      <c r="K4" s="1"/>
    </row>
    <row r="6" spans="2:11">
      <c r="B6" s="44" t="s">
        <v>274</v>
      </c>
      <c r="C6" s="45"/>
      <c r="D6" s="45"/>
      <c r="E6" s="45"/>
      <c r="F6" s="45"/>
      <c r="G6" s="45"/>
    </row>
    <row r="8" spans="2:11">
      <c r="B8" s="37" t="s">
        <v>58</v>
      </c>
      <c r="C8" s="38" t="s">
        <v>59</v>
      </c>
    </row>
    <row r="9" spans="2:11">
      <c r="B9" s="35">
        <v>2011</v>
      </c>
      <c r="C9" s="126">
        <v>-0.2462</v>
      </c>
      <c r="E9" t="s">
        <v>60</v>
      </c>
      <c r="G9" s="15">
        <f>AVERAGE(C9:C23)</f>
        <v>0.11059999999999999</v>
      </c>
      <c r="H9" s="15"/>
    </row>
    <row r="10" spans="2:11">
      <c r="B10" s="35">
        <v>2012</v>
      </c>
      <c r="C10" s="126">
        <v>0.27699999999999997</v>
      </c>
      <c r="E10" t="s">
        <v>61</v>
      </c>
      <c r="G10" s="49">
        <v>1.3899999999999999E-2</v>
      </c>
    </row>
    <row r="11" spans="2:11">
      <c r="B11" s="35">
        <v>2013</v>
      </c>
      <c r="C11" s="126">
        <v>6.7599999999999993E-2</v>
      </c>
      <c r="E11" s="47" t="s">
        <v>62</v>
      </c>
      <c r="F11" s="47"/>
      <c r="G11" s="48">
        <f>SUM(G10,G9)</f>
        <v>0.12449999999999999</v>
      </c>
      <c r="H11" s="15"/>
    </row>
    <row r="12" spans="2:11">
      <c r="B12" s="35">
        <v>2014</v>
      </c>
      <c r="C12" s="126">
        <v>0.31390000000000001</v>
      </c>
      <c r="G12" s="15"/>
    </row>
    <row r="13" spans="2:11">
      <c r="B13" s="35">
        <v>2015</v>
      </c>
      <c r="C13" s="126">
        <v>-4.0599999999999997E-2</v>
      </c>
    </row>
    <row r="14" spans="2:11">
      <c r="B14" s="35">
        <v>2016</v>
      </c>
      <c r="C14" s="126">
        <v>3.0099999999999998E-2</v>
      </c>
    </row>
    <row r="15" spans="2:11">
      <c r="B15" s="35">
        <v>2017</v>
      </c>
      <c r="C15" s="126">
        <v>0.28649999999999998</v>
      </c>
    </row>
    <row r="16" spans="2:11">
      <c r="B16" s="35">
        <v>2018</v>
      </c>
      <c r="C16" s="126">
        <v>3.15E-2</v>
      </c>
    </row>
    <row r="17" spans="2:8">
      <c r="B17" s="35">
        <v>2019</v>
      </c>
      <c r="C17" s="126">
        <v>0.1202</v>
      </c>
      <c r="H17" s="15"/>
    </row>
    <row r="18" spans="2:8">
      <c r="B18" s="35">
        <v>2020</v>
      </c>
      <c r="C18" s="126">
        <v>0.14169999999999999</v>
      </c>
    </row>
    <row r="19" spans="2:8">
      <c r="B19" s="35">
        <v>2021</v>
      </c>
      <c r="C19" s="126">
        <v>0.2412</v>
      </c>
      <c r="E19" s="15"/>
    </row>
    <row r="20" spans="2:8">
      <c r="B20" s="35">
        <v>2022</v>
      </c>
      <c r="C20" s="126">
        <v>4.3200000000000002E-2</v>
      </c>
    </row>
    <row r="21" spans="2:8">
      <c r="B21" s="35">
        <v>2023</v>
      </c>
      <c r="C21" s="126">
        <v>0.20030000000000001</v>
      </c>
    </row>
    <row r="22" spans="2:8">
      <c r="B22" s="35">
        <v>2024</v>
      </c>
      <c r="C22" s="126">
        <v>8.7599999999999997E-2</v>
      </c>
    </row>
    <row r="23" spans="2:8">
      <c r="B23" s="35">
        <v>2025</v>
      </c>
      <c r="C23" s="126">
        <v>0.105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047D2-7BA7-4288-BEE9-3FBA56CACE5F}">
  <dimension ref="B1:L130"/>
  <sheetViews>
    <sheetView showGridLines="0" zoomScale="75" zoomScaleNormal="80" zoomScaleSheetLayoutView="88" workbookViewId="0">
      <selection activeCell="P63" sqref="P63"/>
    </sheetView>
  </sheetViews>
  <sheetFormatPr defaultRowHeight="15"/>
  <cols>
    <col min="1" max="1" width="1.85546875" customWidth="1"/>
    <col min="2" max="2" width="35.7109375" customWidth="1"/>
    <col min="3" max="9" width="12.7109375" customWidth="1"/>
  </cols>
  <sheetData>
    <row r="1" spans="2:10">
      <c r="B1" s="205"/>
      <c r="C1" s="205"/>
      <c r="D1" s="205"/>
      <c r="E1" s="205"/>
      <c r="F1" s="205"/>
      <c r="G1" s="205"/>
      <c r="H1" s="205"/>
      <c r="I1" s="205"/>
      <c r="J1" s="205"/>
    </row>
    <row r="2" spans="2:10" ht="7.5" customHeight="1"/>
    <row r="3" spans="2:10" ht="36" customHeight="1">
      <c r="B3" s="206" t="str">
        <f>'Data Sheet'!B1</f>
        <v>LARSEN &amp; TOUBRO LTD</v>
      </c>
    </row>
    <row r="4" spans="2:10">
      <c r="B4" t="str">
        <f>CONCATENATE("(",_xlfn.XLOOKUP(B3,'List Of Stocks'!B2:B5442,'List Of Stocks'!D2:D5442), " | ","BSE Code: ",_xlfn.XLOOKUP(Analysis!B3,'List Of Stocks'!B2:B5442,'List Of Stocks'!C2:C5442,,0)," ) ")</f>
        <v xml:space="preserve">(LT | BSE Code: 500510 ) </v>
      </c>
    </row>
    <row r="5" spans="2:10" ht="18.75">
      <c r="B5" s="207" t="str">
        <f>CONCATENATE("INR", " ",'Data Sheet'!B8)</f>
        <v>INR 3785.6</v>
      </c>
    </row>
    <row r="6" spans="2:10">
      <c r="B6" t="str">
        <f>"52 Week"  &amp;  "  "&amp;"("&amp;"High -" &amp; " INR " &amp;'Football Field Analysis'!Q10  &amp;  "  "  &amp;"LOW - "  &amp; " INR " &amp;'Football Field Analysis'!N10 &amp;")"</f>
        <v>52 Week  (High - INR 4440  LOW -  INR 3288)</v>
      </c>
    </row>
    <row r="7" spans="2:10" ht="31.5" customHeight="1" thickBot="1"/>
    <row r="8" spans="2:10" ht="30.75" customHeight="1">
      <c r="B8" s="209" t="s">
        <v>8539</v>
      </c>
      <c r="C8" s="210"/>
      <c r="D8" s="210"/>
      <c r="E8" s="210"/>
      <c r="F8" s="210"/>
      <c r="G8" s="210"/>
      <c r="H8" s="210"/>
      <c r="I8" s="210"/>
    </row>
    <row r="9" spans="2:10" ht="15.75" customHeight="1">
      <c r="B9" s="256" t="s">
        <v>8573</v>
      </c>
      <c r="C9" s="257"/>
      <c r="D9" s="257"/>
      <c r="E9" s="257"/>
      <c r="F9" s="257"/>
      <c r="G9" s="257"/>
      <c r="H9" s="257"/>
      <c r="I9" s="257"/>
    </row>
    <row r="10" spans="2:10" ht="15" customHeight="1">
      <c r="B10" s="257"/>
      <c r="C10" s="257"/>
      <c r="D10" s="257"/>
      <c r="E10" s="257"/>
      <c r="F10" s="257"/>
      <c r="G10" s="257"/>
      <c r="H10" s="257"/>
      <c r="I10" s="257"/>
    </row>
    <row r="11" spans="2:10" ht="15" customHeight="1">
      <c r="B11" s="257"/>
      <c r="C11" s="257"/>
      <c r="D11" s="257"/>
      <c r="E11" s="257"/>
      <c r="F11" s="257"/>
      <c r="G11" s="257"/>
      <c r="H11" s="257"/>
      <c r="I11" s="257"/>
    </row>
    <row r="12" spans="2:10">
      <c r="B12" s="257"/>
      <c r="C12" s="257"/>
      <c r="D12" s="257"/>
      <c r="E12" s="257"/>
      <c r="F12" s="257"/>
      <c r="G12" s="257"/>
      <c r="H12" s="257"/>
      <c r="I12" s="257"/>
    </row>
    <row r="13" spans="2:10">
      <c r="B13" s="257"/>
      <c r="C13" s="257"/>
      <c r="D13" s="257"/>
      <c r="E13" s="257"/>
      <c r="F13" s="257"/>
      <c r="G13" s="257"/>
      <c r="H13" s="257"/>
      <c r="I13" s="257"/>
    </row>
    <row r="14" spans="2:10">
      <c r="B14" s="257"/>
      <c r="C14" s="257"/>
      <c r="D14" s="257"/>
      <c r="E14" s="257"/>
      <c r="F14" s="257"/>
      <c r="G14" s="257"/>
      <c r="H14" s="257"/>
      <c r="I14" s="257"/>
    </row>
    <row r="15" spans="2:10" ht="24.75" customHeight="1">
      <c r="B15" s="257"/>
      <c r="C15" s="257"/>
      <c r="D15" s="257"/>
      <c r="E15" s="257"/>
      <c r="F15" s="257"/>
      <c r="G15" s="257"/>
      <c r="H15" s="257"/>
      <c r="I15" s="257"/>
    </row>
    <row r="16" spans="2:10" ht="6" customHeight="1">
      <c r="B16" s="257"/>
      <c r="C16" s="257"/>
      <c r="D16" s="257"/>
      <c r="E16" s="257"/>
      <c r="F16" s="257"/>
      <c r="G16" s="257"/>
      <c r="H16" s="257"/>
      <c r="I16" s="257"/>
    </row>
    <row r="17" spans="2:2" ht="21.75" customHeight="1">
      <c r="B17" s="207" t="s">
        <v>8551</v>
      </c>
    </row>
    <row r="18" spans="2:2" ht="10.5" customHeight="1">
      <c r="B18" s="191"/>
    </row>
    <row r="19" spans="2:2" ht="18.75">
      <c r="B19" s="191"/>
    </row>
    <row r="20" spans="2:2">
      <c r="B20" s="2"/>
    </row>
    <row r="62" spans="2:10" ht="19.5" customHeight="1"/>
    <row r="63" spans="2:10">
      <c r="B63" s="205"/>
      <c r="C63" s="205"/>
      <c r="D63" s="205"/>
      <c r="E63" s="205"/>
      <c r="F63" s="205"/>
      <c r="G63" s="205"/>
      <c r="H63" s="205"/>
      <c r="I63" s="205"/>
      <c r="J63" s="205"/>
    </row>
    <row r="64" spans="2:10" ht="0.75" customHeight="1"/>
    <row r="65" spans="2:12">
      <c r="B65" s="205"/>
      <c r="C65" s="205"/>
      <c r="D65" s="205"/>
      <c r="E65" s="205"/>
      <c r="F65" s="205"/>
      <c r="G65" s="205"/>
      <c r="H65" s="205"/>
      <c r="I65" s="205"/>
      <c r="J65" s="205"/>
    </row>
    <row r="68" spans="2:12">
      <c r="B68" s="260" t="s">
        <v>8541</v>
      </c>
      <c r="C68" s="260"/>
      <c r="D68" s="260"/>
      <c r="E68" s="260"/>
      <c r="F68" s="260"/>
      <c r="G68" s="260"/>
      <c r="H68" s="260"/>
      <c r="I68" s="260"/>
    </row>
    <row r="69" spans="2:12">
      <c r="C69" s="190">
        <f>HistoricalFS!F3</f>
        <v>43921</v>
      </c>
      <c r="D69" s="190">
        <f>HistoricalFS!G3</f>
        <v>44286</v>
      </c>
      <c r="E69" s="190">
        <f>HistoricalFS!H3</f>
        <v>44651</v>
      </c>
      <c r="F69" s="190">
        <f>HistoricalFS!I3</f>
        <v>45016</v>
      </c>
      <c r="G69" s="190">
        <f>HistoricalFS!J3</f>
        <v>45382</v>
      </c>
      <c r="H69" s="190">
        <f>HistoricalFS!K3</f>
        <v>45747</v>
      </c>
      <c r="I69" s="190">
        <f>HistoricalFS!L3</f>
        <v>46112</v>
      </c>
    </row>
    <row r="70" spans="2:12">
      <c r="B70" t="s">
        <v>89</v>
      </c>
      <c r="C70" s="154">
        <f>IFERROR('Data Sheet'!E30,0)</f>
        <v>9549.0300000000007</v>
      </c>
      <c r="D70" s="154">
        <f>IFERROR('Data Sheet'!F30,0)</f>
        <v>11582.93</v>
      </c>
      <c r="E70" s="154">
        <f>IFERROR('Data Sheet'!G30,0)</f>
        <v>8669.33</v>
      </c>
      <c r="F70" s="154">
        <f>IFERROR('Data Sheet'!H30,0)</f>
        <v>10470.719999999999</v>
      </c>
      <c r="G70" s="154">
        <f>IFERROR('Data Sheet'!I30,0)</f>
        <v>13059.11</v>
      </c>
      <c r="H70" s="154">
        <f>IFERROR('Data Sheet'!J30,0)</f>
        <v>15037.11</v>
      </c>
      <c r="I70" s="154">
        <f>IFERROR('Data Sheet'!K30,0)</f>
        <v>16083.99</v>
      </c>
    </row>
    <row r="71" spans="2:12">
      <c r="B71" t="s">
        <v>8542</v>
      </c>
      <c r="C71" s="154">
        <f>IFERROR((('Data Sheet'!E57+'Data Sheet'!E58)+('Data Sheet'!D58+'Data Sheet'!D57))/2,0)</f>
        <v>64549.01</v>
      </c>
      <c r="D71" s="154">
        <f>IFERROR((('Data Sheet'!F57+'Data Sheet'!F58)+('Data Sheet'!E58+'Data Sheet'!E57))/2,0)</f>
        <v>71295.875</v>
      </c>
      <c r="E71" s="154">
        <f>IFERROR((('Data Sheet'!G57+'Data Sheet'!G58)+('Data Sheet'!F58+'Data Sheet'!F57))/2,0)</f>
        <v>79138.095000000001</v>
      </c>
      <c r="F71" s="154">
        <f>IFERROR((('Data Sheet'!H57+'Data Sheet'!H58)+('Data Sheet'!G58+'Data Sheet'!G57))/2,0)</f>
        <v>85866.804999999993</v>
      </c>
      <c r="G71" s="154">
        <f>IFERROR((('Data Sheet'!I57+'Data Sheet'!I58)+('Data Sheet'!H58+'Data Sheet'!H57))/2,0)</f>
        <v>87842.595000000001</v>
      </c>
      <c r="H71" s="154">
        <f>IFERROR((('Data Sheet'!J57+'Data Sheet'!J58)+('Data Sheet'!I58+'Data Sheet'!I57))/2,0)</f>
        <v>92007.419999999984</v>
      </c>
      <c r="I71" s="154">
        <f>IFERROR((('Data Sheet'!K57+'Data Sheet'!K58)+('Data Sheet'!J58+'Data Sheet'!J57))/2,0)</f>
        <v>103472.7</v>
      </c>
    </row>
    <row r="72" spans="2:12">
      <c r="B72" s="208" t="s">
        <v>8540</v>
      </c>
      <c r="C72" s="211">
        <f t="shared" ref="C72:H72" si="0">C70/C71</f>
        <v>0.14793456940702887</v>
      </c>
      <c r="D72" s="211">
        <f t="shared" si="0"/>
        <v>0.16246283533233866</v>
      </c>
      <c r="E72" s="211">
        <f t="shared" si="0"/>
        <v>0.10954686235497582</v>
      </c>
      <c r="F72" s="211">
        <f t="shared" si="0"/>
        <v>0.12194141845617756</v>
      </c>
      <c r="G72" s="211">
        <f t="shared" si="0"/>
        <v>0.14866489315348666</v>
      </c>
      <c r="H72" s="211">
        <f t="shared" si="0"/>
        <v>0.16343366654558952</v>
      </c>
      <c r="I72" s="211">
        <f>I70/I71</f>
        <v>0.15544187017445182</v>
      </c>
    </row>
    <row r="74" spans="2:12">
      <c r="B74" s="260" t="s">
        <v>8552</v>
      </c>
      <c r="C74" s="260"/>
      <c r="D74" s="260"/>
      <c r="E74" s="260"/>
      <c r="F74" s="260"/>
      <c r="G74" s="260"/>
      <c r="H74" s="260"/>
      <c r="I74" s="260"/>
    </row>
    <row r="75" spans="2:12">
      <c r="C75" s="190">
        <f t="shared" ref="C75:H75" si="1">C69</f>
        <v>43921</v>
      </c>
      <c r="D75" s="190">
        <f t="shared" si="1"/>
        <v>44286</v>
      </c>
      <c r="E75" s="190">
        <f t="shared" si="1"/>
        <v>44651</v>
      </c>
      <c r="F75" s="190">
        <f t="shared" si="1"/>
        <v>45016</v>
      </c>
      <c r="G75" s="190">
        <f t="shared" si="1"/>
        <v>45382</v>
      </c>
      <c r="H75" s="190">
        <f t="shared" si="1"/>
        <v>45747</v>
      </c>
      <c r="I75" s="190">
        <f>I69</f>
        <v>46112</v>
      </c>
    </row>
    <row r="76" spans="2:12">
      <c r="B76" t="str">
        <f>B70</f>
        <v>Net Profit</v>
      </c>
      <c r="C76" s="154">
        <f t="shared" ref="C76:I76" si="2">C70</f>
        <v>9549.0300000000007</v>
      </c>
      <c r="D76" s="154">
        <f t="shared" si="2"/>
        <v>11582.93</v>
      </c>
      <c r="E76" s="154">
        <f t="shared" si="2"/>
        <v>8669.33</v>
      </c>
      <c r="F76" s="154">
        <f t="shared" si="2"/>
        <v>10470.719999999999</v>
      </c>
      <c r="G76" s="154">
        <f t="shared" si="2"/>
        <v>13059.11</v>
      </c>
      <c r="H76" s="154">
        <f t="shared" si="2"/>
        <v>15037.11</v>
      </c>
      <c r="I76" s="154">
        <f t="shared" si="2"/>
        <v>16083.99</v>
      </c>
    </row>
    <row r="77" spans="2:12">
      <c r="B77" t="s">
        <v>264</v>
      </c>
      <c r="C77" s="154">
        <f>IFERROR('Data Sheet'!E17,0)</f>
        <v>145452.35999999999</v>
      </c>
      <c r="D77" s="154">
        <f>IFERROR('Data Sheet'!F17,0)</f>
        <v>135979.03</v>
      </c>
      <c r="E77" s="154">
        <f>IFERROR('Data Sheet'!G17,0)</f>
        <v>156521.23000000001</v>
      </c>
      <c r="F77" s="154">
        <f>IFERROR('Data Sheet'!H17,0)</f>
        <v>183340.7</v>
      </c>
      <c r="G77" s="154">
        <f>IFERROR('Data Sheet'!I17,0)</f>
        <v>221112.91</v>
      </c>
      <c r="H77" s="154">
        <f>IFERROR('Data Sheet'!J17,0)</f>
        <v>255734.45</v>
      </c>
      <c r="I77" s="154">
        <f>IFERROR('Data Sheet'!K17,0)</f>
        <v>285874.36</v>
      </c>
      <c r="J77" s="154"/>
      <c r="K77" s="154"/>
      <c r="L77" s="154"/>
    </row>
    <row r="78" spans="2:12">
      <c r="B78" s="208" t="s">
        <v>8543</v>
      </c>
      <c r="C78" s="211">
        <f t="shared" ref="C78:H78" si="3">C76/C77</f>
        <v>6.5650567649778946E-2</v>
      </c>
      <c r="D78" s="211">
        <f t="shared" si="3"/>
        <v>8.5181737213451222E-2</v>
      </c>
      <c r="E78" s="211">
        <f t="shared" si="3"/>
        <v>5.5387566274555849E-2</v>
      </c>
      <c r="F78" s="211">
        <f t="shared" si="3"/>
        <v>5.7110723369115525E-2</v>
      </c>
      <c r="G78" s="211">
        <f t="shared" si="3"/>
        <v>5.9060821007692409E-2</v>
      </c>
      <c r="H78" s="211">
        <f t="shared" si="3"/>
        <v>5.8799704146234505E-2</v>
      </c>
      <c r="I78" s="211">
        <f>I76/I77</f>
        <v>5.6262443403458783E-2</v>
      </c>
    </row>
    <row r="80" spans="2:12">
      <c r="C80" s="190">
        <f t="shared" ref="C80:H80" si="4">C75</f>
        <v>43921</v>
      </c>
      <c r="D80" s="190">
        <f t="shared" si="4"/>
        <v>44286</v>
      </c>
      <c r="E80" s="190">
        <f t="shared" si="4"/>
        <v>44651</v>
      </c>
      <c r="F80" s="190">
        <f t="shared" si="4"/>
        <v>45016</v>
      </c>
      <c r="G80" s="190">
        <f t="shared" si="4"/>
        <v>45382</v>
      </c>
      <c r="H80" s="190">
        <f t="shared" si="4"/>
        <v>45747</v>
      </c>
      <c r="I80" s="190">
        <f>I75</f>
        <v>46112</v>
      </c>
    </row>
    <row r="81" spans="2:9">
      <c r="B81" t="s">
        <v>264</v>
      </c>
      <c r="C81" s="154">
        <f>C77</f>
        <v>145452.35999999999</v>
      </c>
      <c r="D81" s="154">
        <f t="shared" ref="D81:I81" si="5">D77</f>
        <v>135979.03</v>
      </c>
      <c r="E81" s="154">
        <f t="shared" si="5"/>
        <v>156521.23000000001</v>
      </c>
      <c r="F81" s="154">
        <f t="shared" si="5"/>
        <v>183340.7</v>
      </c>
      <c r="G81" s="154">
        <f t="shared" si="5"/>
        <v>221112.91</v>
      </c>
      <c r="H81" s="154">
        <f t="shared" si="5"/>
        <v>255734.45</v>
      </c>
      <c r="I81" s="154">
        <f t="shared" si="5"/>
        <v>285874.36</v>
      </c>
    </row>
    <row r="82" spans="2:9">
      <c r="B82" t="s">
        <v>8544</v>
      </c>
      <c r="C82" s="154">
        <f>IFERROR(('Data Sheet'!E66+'Data Sheet'!D66)/2,0)</f>
        <v>292361.66000000003</v>
      </c>
      <c r="D82" s="154">
        <f>IFERROR(('Data Sheet'!F66+'Data Sheet'!E66)/2,0)</f>
        <v>308391.07</v>
      </c>
      <c r="E82" s="154">
        <f>IFERROR(('Data Sheet'!G66+'Data Sheet'!F66)/2,0)</f>
        <v>314561.48</v>
      </c>
      <c r="F82" s="154">
        <f>IFERROR(('Data Sheet'!H66+'Data Sheet'!G66)/2,0)</f>
        <v>324374.89500000002</v>
      </c>
      <c r="G82" s="154">
        <f>IFERROR(('Data Sheet'!I66+'Data Sheet'!H66)/2,0)</f>
        <v>334662.11</v>
      </c>
      <c r="H82" s="154">
        <f>IFERROR(('Data Sheet'!J66+'Data Sheet'!I66)/2,0)</f>
        <v>359358.21500000003</v>
      </c>
      <c r="I82" s="154">
        <f>IFERROR(('Data Sheet'!K66+'Data Sheet'!J66)/2,0)</f>
        <v>415748.43000000005</v>
      </c>
    </row>
    <row r="83" spans="2:9">
      <c r="B83" s="208" t="s">
        <v>8545</v>
      </c>
      <c r="C83" s="212">
        <f t="shared" ref="C83:H83" si="6">C81/C82</f>
        <v>0.49750832581809795</v>
      </c>
      <c r="D83" s="212">
        <f t="shared" si="6"/>
        <v>0.44093050424579411</v>
      </c>
      <c r="E83" s="212">
        <f t="shared" si="6"/>
        <v>0.49758549584647177</v>
      </c>
      <c r="F83" s="212">
        <f t="shared" si="6"/>
        <v>0.56521236022288346</v>
      </c>
      <c r="G83" s="212">
        <f t="shared" si="6"/>
        <v>0.66070494206828501</v>
      </c>
      <c r="H83" s="212">
        <f t="shared" si="6"/>
        <v>0.71164214236760936</v>
      </c>
      <c r="I83" s="212">
        <f>I81/I82</f>
        <v>0.68761380530047933</v>
      </c>
    </row>
    <row r="85" spans="2:9">
      <c r="C85" s="190">
        <f t="shared" ref="C85:I85" si="7">C80</f>
        <v>43921</v>
      </c>
      <c r="D85" s="190">
        <f t="shared" si="7"/>
        <v>44286</v>
      </c>
      <c r="E85" s="190">
        <f t="shared" si="7"/>
        <v>44651</v>
      </c>
      <c r="F85" s="190">
        <f t="shared" si="7"/>
        <v>45016</v>
      </c>
      <c r="G85" s="190">
        <f t="shared" si="7"/>
        <v>45382</v>
      </c>
      <c r="H85" s="190">
        <f t="shared" si="7"/>
        <v>45747</v>
      </c>
      <c r="I85" s="190">
        <f t="shared" si="7"/>
        <v>46112</v>
      </c>
    </row>
    <row r="86" spans="2:9">
      <c r="B86" t="s">
        <v>8544</v>
      </c>
      <c r="C86" s="154">
        <f>IFERROR(('Data Sheet'!E66+'Data Sheet'!D66)/2,0)</f>
        <v>292361.66000000003</v>
      </c>
      <c r="D86" s="154">
        <f>IFERROR(('Data Sheet'!F66+'Data Sheet'!E66)/2,0)</f>
        <v>308391.07</v>
      </c>
      <c r="E86" s="154">
        <f>IFERROR(('Data Sheet'!G66+'Data Sheet'!F66)/2,0)</f>
        <v>314561.48</v>
      </c>
      <c r="F86" s="154">
        <f>IFERROR(('Data Sheet'!H66+'Data Sheet'!G66)/2,0)</f>
        <v>324374.89500000002</v>
      </c>
      <c r="G86" s="154">
        <f>IFERROR(('Data Sheet'!I66+'Data Sheet'!H66)/2,0)</f>
        <v>334662.11</v>
      </c>
      <c r="H86" s="154">
        <f>IFERROR(('Data Sheet'!J66+'Data Sheet'!I66)/2,0)</f>
        <v>359358.21500000003</v>
      </c>
      <c r="I86" s="154">
        <f>IFERROR(('Data Sheet'!K66+'Data Sheet'!J66)/2,0)</f>
        <v>415748.43000000005</v>
      </c>
    </row>
    <row r="87" spans="2:9">
      <c r="B87" t="s">
        <v>8542</v>
      </c>
      <c r="C87" s="154">
        <f>IFERROR((('Data Sheet'!E57+'Data Sheet'!E58)+('Data Sheet'!D58+'Data Sheet'!D57))/2,0)</f>
        <v>64549.01</v>
      </c>
      <c r="D87" s="154">
        <f>IFERROR((('Data Sheet'!F57+'Data Sheet'!F58)+('Data Sheet'!E58+'Data Sheet'!E57))/2,0)</f>
        <v>71295.875</v>
      </c>
      <c r="E87" s="154">
        <f>IFERROR((('Data Sheet'!G57+'Data Sheet'!G58)+('Data Sheet'!F58+'Data Sheet'!F57))/2,0)</f>
        <v>79138.095000000001</v>
      </c>
      <c r="F87" s="154">
        <f>IFERROR((('Data Sheet'!H57+'Data Sheet'!H58)+('Data Sheet'!G58+'Data Sheet'!G57))/2,0)</f>
        <v>85866.804999999993</v>
      </c>
      <c r="G87" s="154">
        <f>IFERROR((('Data Sheet'!I57+'Data Sheet'!I58)+('Data Sheet'!H58+'Data Sheet'!H57))/2,0)</f>
        <v>87842.595000000001</v>
      </c>
      <c r="H87" s="154">
        <f>IFERROR((('Data Sheet'!J57+'Data Sheet'!J58)+('Data Sheet'!I58+'Data Sheet'!I57))/2,0)</f>
        <v>92007.419999999984</v>
      </c>
      <c r="I87" s="154">
        <f>IFERROR((('Data Sheet'!K57+'Data Sheet'!K58)+('Data Sheet'!J58+'Data Sheet'!J57))/2,0)</f>
        <v>103472.7</v>
      </c>
    </row>
    <row r="88" spans="2:9">
      <c r="B88" s="208" t="s">
        <v>8546</v>
      </c>
      <c r="C88" s="212">
        <f t="shared" ref="C88" si="8">C86/C87</f>
        <v>4.5292973509585979</v>
      </c>
      <c r="D88" s="212">
        <f t="shared" ref="D88" si="9">D86/D87</f>
        <v>4.3255106974982773</v>
      </c>
      <c r="E88" s="212">
        <f t="shared" ref="E88" si="10">E86/E87</f>
        <v>3.9748427100753432</v>
      </c>
      <c r="F88" s="212">
        <f t="shared" ref="F88" si="11">F86/F87</f>
        <v>3.7776518527736074</v>
      </c>
      <c r="G88" s="212">
        <f t="shared" ref="G88" si="12">G86/G87</f>
        <v>3.8097930736221985</v>
      </c>
      <c r="H88" s="212">
        <f t="shared" ref="H88" si="13">H86/H87</f>
        <v>3.9057525469141519</v>
      </c>
      <c r="I88" s="212">
        <f>I86/I87</f>
        <v>4.0179528513318008</v>
      </c>
    </row>
    <row r="90" spans="2:9">
      <c r="B90" s="208" t="s">
        <v>8547</v>
      </c>
      <c r="C90" s="211">
        <f>C88*C83*C78</f>
        <v>0.1479345694070289</v>
      </c>
      <c r="D90" s="211">
        <f t="shared" ref="D90:H90" si="14">D88*D83*D78</f>
        <v>0.16246283533233863</v>
      </c>
      <c r="E90" s="211">
        <f t="shared" si="14"/>
        <v>0.10954686235497581</v>
      </c>
      <c r="F90" s="211">
        <f t="shared" si="14"/>
        <v>0.12194141845617758</v>
      </c>
      <c r="G90" s="211">
        <f t="shared" si="14"/>
        <v>0.14866489315348666</v>
      </c>
      <c r="H90" s="211">
        <f t="shared" si="14"/>
        <v>0.16343366654558952</v>
      </c>
      <c r="I90" s="211">
        <f>I88*I83*I78</f>
        <v>0.1554418701744518</v>
      </c>
    </row>
    <row r="92" spans="2:9">
      <c r="B92" s="208" t="s">
        <v>8548</v>
      </c>
      <c r="C92" s="208"/>
      <c r="D92" s="208"/>
      <c r="E92" s="208"/>
      <c r="F92" s="208"/>
      <c r="G92" s="208"/>
      <c r="H92" s="208"/>
      <c r="I92" s="208"/>
    </row>
    <row r="93" spans="2:9">
      <c r="C93" s="190">
        <f t="shared" ref="C93:H93" si="15">C85</f>
        <v>43921</v>
      </c>
      <c r="D93" s="190">
        <f t="shared" si="15"/>
        <v>44286</v>
      </c>
      <c r="E93" s="190">
        <f t="shared" si="15"/>
        <v>44651</v>
      </c>
      <c r="F93" s="190">
        <f t="shared" si="15"/>
        <v>45016</v>
      </c>
      <c r="G93" s="190">
        <f t="shared" si="15"/>
        <v>45382</v>
      </c>
      <c r="H93" s="190">
        <f t="shared" si="15"/>
        <v>45747</v>
      </c>
      <c r="I93" s="190">
        <f>I85</f>
        <v>46112</v>
      </c>
    </row>
    <row r="94" spans="2:9">
      <c r="B94" t="s">
        <v>89</v>
      </c>
      <c r="C94" s="154">
        <f>C76</f>
        <v>9549.0300000000007</v>
      </c>
      <c r="D94" s="154">
        <f t="shared" ref="D94:I94" si="16">D76</f>
        <v>11582.93</v>
      </c>
      <c r="E94" s="154">
        <f t="shared" si="16"/>
        <v>8669.33</v>
      </c>
      <c r="F94" s="154">
        <f t="shared" si="16"/>
        <v>10470.719999999999</v>
      </c>
      <c r="G94" s="154">
        <f t="shared" si="16"/>
        <v>13059.11</v>
      </c>
      <c r="H94" s="154">
        <f t="shared" si="16"/>
        <v>15037.11</v>
      </c>
      <c r="I94" s="154">
        <f t="shared" si="16"/>
        <v>16083.99</v>
      </c>
    </row>
    <row r="95" spans="2:9">
      <c r="B95" t="str">
        <f>B86</f>
        <v>Average Total Assets</v>
      </c>
      <c r="C95" s="154">
        <f t="shared" ref="C95:I95" si="17">C86</f>
        <v>292361.66000000003</v>
      </c>
      <c r="D95" s="154">
        <f t="shared" si="17"/>
        <v>308391.07</v>
      </c>
      <c r="E95" s="154">
        <f t="shared" si="17"/>
        <v>314561.48</v>
      </c>
      <c r="F95" s="154">
        <f t="shared" si="17"/>
        <v>324374.89500000002</v>
      </c>
      <c r="G95" s="154">
        <f t="shared" si="17"/>
        <v>334662.11</v>
      </c>
      <c r="H95" s="154">
        <f t="shared" si="17"/>
        <v>359358.21500000003</v>
      </c>
      <c r="I95" s="154">
        <f t="shared" si="17"/>
        <v>415748.43000000005</v>
      </c>
    </row>
    <row r="96" spans="2:9">
      <c r="B96" s="208" t="s">
        <v>8549</v>
      </c>
      <c r="C96" s="211">
        <f t="shared" ref="C96:I96" si="18">C94/C95</f>
        <v>3.2661704000449307E-2</v>
      </c>
      <c r="D96" s="211">
        <f t="shared" si="18"/>
        <v>3.7559226342059777E-2</v>
      </c>
      <c r="E96" s="211">
        <f t="shared" si="18"/>
        <v>2.7560049628454191E-2</v>
      </c>
      <c r="F96" s="211">
        <f t="shared" si="18"/>
        <v>3.2279686749493976E-2</v>
      </c>
      <c r="G96" s="211">
        <f t="shared" si="18"/>
        <v>3.9021776322392759E-2</v>
      </c>
      <c r="H96" s="211">
        <f t="shared" si="18"/>
        <v>4.184434742920793E-2</v>
      </c>
      <c r="I96" s="211">
        <f t="shared" si="18"/>
        <v>3.8686832804155143E-2</v>
      </c>
    </row>
    <row r="98" spans="2:9">
      <c r="B98" s="260" t="s">
        <v>8553</v>
      </c>
      <c r="C98" s="260"/>
      <c r="D98" s="260"/>
      <c r="E98" s="260"/>
      <c r="F98" s="260"/>
      <c r="G98" s="260"/>
      <c r="H98" s="260"/>
      <c r="I98" s="260"/>
    </row>
    <row r="99" spans="2:9">
      <c r="C99" s="190">
        <f t="shared" ref="C99:H99" si="19">C93</f>
        <v>43921</v>
      </c>
      <c r="D99" s="190">
        <f t="shared" si="19"/>
        <v>44286</v>
      </c>
      <c r="E99" s="190">
        <f t="shared" si="19"/>
        <v>44651</v>
      </c>
      <c r="F99" s="190">
        <f t="shared" si="19"/>
        <v>45016</v>
      </c>
      <c r="G99" s="190">
        <f t="shared" si="19"/>
        <v>45382</v>
      </c>
      <c r="H99" s="190">
        <f t="shared" si="19"/>
        <v>45747</v>
      </c>
      <c r="I99" s="190">
        <f>I93</f>
        <v>46112</v>
      </c>
    </row>
    <row r="100" spans="2:9">
      <c r="B100" t="s">
        <v>89</v>
      </c>
      <c r="C100" s="154">
        <f>C94</f>
        <v>9549.0300000000007</v>
      </c>
      <c r="D100" s="154">
        <f t="shared" ref="D100:I100" si="20">D94</f>
        <v>11582.93</v>
      </c>
      <c r="E100" s="154">
        <f t="shared" si="20"/>
        <v>8669.33</v>
      </c>
      <c r="F100" s="154">
        <f t="shared" si="20"/>
        <v>10470.719999999999</v>
      </c>
      <c r="G100" s="154">
        <f t="shared" si="20"/>
        <v>13059.11</v>
      </c>
      <c r="H100" s="154">
        <f t="shared" si="20"/>
        <v>15037.11</v>
      </c>
      <c r="I100" s="154">
        <f t="shared" si="20"/>
        <v>16083.99</v>
      </c>
    </row>
    <row r="101" spans="2:9">
      <c r="B101" t="s">
        <v>264</v>
      </c>
      <c r="C101" s="154">
        <f>C81</f>
        <v>145452.35999999999</v>
      </c>
      <c r="D101" s="154">
        <f t="shared" ref="D101:I101" si="21">D81</f>
        <v>135979.03</v>
      </c>
      <c r="E101" s="154">
        <f t="shared" si="21"/>
        <v>156521.23000000001</v>
      </c>
      <c r="F101" s="154">
        <f t="shared" si="21"/>
        <v>183340.7</v>
      </c>
      <c r="G101" s="154">
        <f t="shared" si="21"/>
        <v>221112.91</v>
      </c>
      <c r="H101" s="154">
        <f t="shared" si="21"/>
        <v>255734.45</v>
      </c>
      <c r="I101" s="154">
        <f t="shared" si="21"/>
        <v>285874.36</v>
      </c>
    </row>
    <row r="102" spans="2:9">
      <c r="B102" s="208" t="s">
        <v>8543</v>
      </c>
      <c r="C102" s="211">
        <f>C100/C101</f>
        <v>6.5650567649778946E-2</v>
      </c>
      <c r="D102" s="211">
        <f t="shared" ref="D102:H102" si="22">D100/D101</f>
        <v>8.5181737213451222E-2</v>
      </c>
      <c r="E102" s="211">
        <f t="shared" si="22"/>
        <v>5.5387566274555849E-2</v>
      </c>
      <c r="F102" s="211">
        <f t="shared" si="22"/>
        <v>5.7110723369115525E-2</v>
      </c>
      <c r="G102" s="211">
        <f t="shared" si="22"/>
        <v>5.9060821007692409E-2</v>
      </c>
      <c r="H102" s="211">
        <f t="shared" si="22"/>
        <v>5.8799704146234505E-2</v>
      </c>
      <c r="I102" s="211">
        <f>I100/I101</f>
        <v>5.6262443403458783E-2</v>
      </c>
    </row>
    <row r="104" spans="2:9">
      <c r="C104" s="190">
        <f t="shared" ref="C104:H104" si="23">C99</f>
        <v>43921</v>
      </c>
      <c r="D104" s="190">
        <f t="shared" si="23"/>
        <v>44286</v>
      </c>
      <c r="E104" s="190">
        <f t="shared" si="23"/>
        <v>44651</v>
      </c>
      <c r="F104" s="190">
        <f t="shared" si="23"/>
        <v>45016</v>
      </c>
      <c r="G104" s="190">
        <f t="shared" si="23"/>
        <v>45382</v>
      </c>
      <c r="H104" s="190">
        <f t="shared" si="23"/>
        <v>45747</v>
      </c>
      <c r="I104" s="190">
        <f>I99</f>
        <v>46112</v>
      </c>
    </row>
    <row r="105" spans="2:9">
      <c r="B105" t="s">
        <v>264</v>
      </c>
      <c r="C105" s="154">
        <f>C101</f>
        <v>145452.35999999999</v>
      </c>
      <c r="D105" s="154">
        <f t="shared" ref="D105:I105" si="24">D101</f>
        <v>135979.03</v>
      </c>
      <c r="E105" s="154">
        <f t="shared" si="24"/>
        <v>156521.23000000001</v>
      </c>
      <c r="F105" s="154">
        <f t="shared" si="24"/>
        <v>183340.7</v>
      </c>
      <c r="G105" s="154">
        <f t="shared" si="24"/>
        <v>221112.91</v>
      </c>
      <c r="H105" s="154">
        <f t="shared" si="24"/>
        <v>255734.45</v>
      </c>
      <c r="I105" s="154">
        <f t="shared" si="24"/>
        <v>285874.36</v>
      </c>
    </row>
    <row r="106" spans="2:9">
      <c r="B106" t="s">
        <v>8544</v>
      </c>
      <c r="C106" s="154">
        <f>C86</f>
        <v>292361.66000000003</v>
      </c>
      <c r="D106" s="154">
        <f t="shared" ref="D106:I106" si="25">D86</f>
        <v>308391.07</v>
      </c>
      <c r="E106" s="154">
        <f t="shared" si="25"/>
        <v>314561.48</v>
      </c>
      <c r="F106" s="154">
        <f t="shared" si="25"/>
        <v>324374.89500000002</v>
      </c>
      <c r="G106" s="154">
        <f t="shared" si="25"/>
        <v>334662.11</v>
      </c>
      <c r="H106" s="154">
        <f t="shared" si="25"/>
        <v>359358.21500000003</v>
      </c>
      <c r="I106" s="154">
        <f t="shared" si="25"/>
        <v>415748.43000000005</v>
      </c>
    </row>
    <row r="107" spans="2:9">
      <c r="B107" s="208" t="s">
        <v>8545</v>
      </c>
      <c r="C107" s="212">
        <f t="shared" ref="C107:H107" si="26">C105/C106</f>
        <v>0.49750832581809795</v>
      </c>
      <c r="D107" s="212">
        <f t="shared" si="26"/>
        <v>0.44093050424579411</v>
      </c>
      <c r="E107" s="212">
        <f t="shared" si="26"/>
        <v>0.49758549584647177</v>
      </c>
      <c r="F107" s="212">
        <f t="shared" si="26"/>
        <v>0.56521236022288346</v>
      </c>
      <c r="G107" s="212">
        <f t="shared" si="26"/>
        <v>0.66070494206828501</v>
      </c>
      <c r="H107" s="212">
        <f t="shared" si="26"/>
        <v>0.71164214236760936</v>
      </c>
      <c r="I107" s="212">
        <f>I105/I106</f>
        <v>0.68761380530047933</v>
      </c>
    </row>
    <row r="109" spans="2:9">
      <c r="B109" s="208" t="s">
        <v>8550</v>
      </c>
      <c r="C109" s="211">
        <f>C107*C102</f>
        <v>3.2661704000449307E-2</v>
      </c>
      <c r="D109" s="211">
        <f t="shared" ref="D109:I109" si="27">D107*D102</f>
        <v>3.7559226342059771E-2</v>
      </c>
      <c r="E109" s="211">
        <f t="shared" si="27"/>
        <v>2.7560049628454191E-2</v>
      </c>
      <c r="F109" s="211">
        <f t="shared" si="27"/>
        <v>3.2279686749493976E-2</v>
      </c>
      <c r="G109" s="211">
        <f t="shared" si="27"/>
        <v>3.9021776322392766E-2</v>
      </c>
      <c r="H109" s="211">
        <f t="shared" si="27"/>
        <v>4.1844347429207923E-2</v>
      </c>
      <c r="I109" s="211">
        <f t="shared" si="27"/>
        <v>3.8686832804155143E-2</v>
      </c>
    </row>
    <row r="130" spans="2:10">
      <c r="B130" s="1"/>
      <c r="C130" s="1"/>
      <c r="D130" s="1"/>
      <c r="E130" s="1"/>
      <c r="F130" s="1"/>
      <c r="G130" s="1"/>
      <c r="H130" s="1"/>
      <c r="I130" s="1"/>
      <c r="J130" s="1"/>
    </row>
  </sheetData>
  <mergeCells count="4">
    <mergeCell ref="B68:I68"/>
    <mergeCell ref="B74:I74"/>
    <mergeCell ref="B9:I16"/>
    <mergeCell ref="B98:I98"/>
  </mergeCells>
  <pageMargins left="0.25" right="0" top="0.5" bottom="0.6" header="0" footer="0"/>
  <pageSetup scale="73" orientation="portrait" r:id="rId1"/>
  <headerFooter>
    <oddFooter>&amp;RPage &amp;P</oddFooter>
  </headerFooter>
  <rowBreaks count="1" manualBreakCount="1">
    <brk id="63" max="9" man="1"/>
  </rowBreaks>
  <ignoredErrors>
    <ignoredError sqref="C77:I77" formula="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5D2E-251C-4D87-A92D-05E59C632417}">
  <sheetPr>
    <pageSetUpPr fitToPage="1"/>
  </sheetPr>
  <dimension ref="A2:P76"/>
  <sheetViews>
    <sheetView showGridLines="0" zoomScale="84" zoomScaleNormal="90" workbookViewId="0">
      <pane ySplit="3" topLeftCell="A4" activePane="bottomLeft" state="frozen"/>
      <selection activeCell="C4" sqref="C4"/>
      <selection pane="bottomLeft" activeCell="C21" sqref="C21"/>
    </sheetView>
  </sheetViews>
  <sheetFormatPr defaultRowHeight="15" outlineLevelRow="1"/>
  <cols>
    <col min="1" max="1" width="1.85546875" customWidth="1"/>
    <col min="2" max="2" width="28.42578125" bestFit="1" customWidth="1"/>
    <col min="3" max="13" width="13" customWidth="1"/>
  </cols>
  <sheetData>
    <row r="2" spans="1:16">
      <c r="B2" s="258" t="str">
        <f>"Historical Financial Statement - "&amp;'Data Sheet'!B1</f>
        <v>Historical Financial Statement - LARSEN &amp; TOUBRO LTD</v>
      </c>
      <c r="C2" s="258"/>
      <c r="D2" s="258"/>
      <c r="E2" s="258"/>
      <c r="F2" s="258"/>
      <c r="G2" s="258"/>
      <c r="H2" s="258"/>
      <c r="I2" s="258"/>
      <c r="J2" s="258"/>
      <c r="K2" s="258"/>
      <c r="L2" s="258"/>
      <c r="M2" s="258"/>
    </row>
    <row r="3" spans="1:16">
      <c r="B3" s="55" t="s">
        <v>66</v>
      </c>
      <c r="C3" s="56">
        <f>'Data Sheet'!B16</f>
        <v>42825</v>
      </c>
      <c r="D3" s="56">
        <f>'Data Sheet'!C16</f>
        <v>43190</v>
      </c>
      <c r="E3" s="56">
        <f>'Data Sheet'!D16</f>
        <v>43555</v>
      </c>
      <c r="F3" s="56">
        <f>'Data Sheet'!E16</f>
        <v>43921</v>
      </c>
      <c r="G3" s="56">
        <f>'Data Sheet'!F16</f>
        <v>44286</v>
      </c>
      <c r="H3" s="56">
        <f>'Data Sheet'!G16</f>
        <v>44651</v>
      </c>
      <c r="I3" s="56">
        <f>'Data Sheet'!H16</f>
        <v>45016</v>
      </c>
      <c r="J3" s="56">
        <f>'Data Sheet'!I16</f>
        <v>45382</v>
      </c>
      <c r="K3" s="56">
        <f>'Data Sheet'!J16</f>
        <v>45747</v>
      </c>
      <c r="L3" s="56">
        <f>'Data Sheet'!K16</f>
        <v>46112</v>
      </c>
      <c r="M3" s="57" t="s">
        <v>67</v>
      </c>
    </row>
    <row r="4" spans="1:16">
      <c r="B4" s="58"/>
      <c r="C4" s="59"/>
      <c r="D4" s="59"/>
      <c r="E4" s="59"/>
      <c r="F4" s="59"/>
      <c r="G4" s="59"/>
      <c r="H4" s="59"/>
      <c r="I4" s="59"/>
      <c r="J4" s="59"/>
      <c r="K4" s="59"/>
      <c r="L4" s="59"/>
      <c r="M4" s="60"/>
    </row>
    <row r="5" spans="1:16">
      <c r="A5" t="s">
        <v>68</v>
      </c>
      <c r="B5" s="61" t="s">
        <v>69</v>
      </c>
      <c r="C5" s="7"/>
      <c r="D5" s="7"/>
      <c r="E5" s="7"/>
      <c r="F5" s="7"/>
      <c r="G5" s="7"/>
      <c r="H5" s="7"/>
      <c r="I5" s="7"/>
      <c r="J5" s="7"/>
      <c r="K5" s="7"/>
      <c r="L5" s="7"/>
      <c r="M5" s="7"/>
    </row>
    <row r="6" spans="1:16" outlineLevel="1">
      <c r="B6" t="s">
        <v>70</v>
      </c>
      <c r="C6" s="62">
        <f>IFERROR('Data Sheet'!B17,0)</f>
        <v>109311.81</v>
      </c>
      <c r="D6" s="62">
        <f>IFERROR('Data Sheet'!C17,0)</f>
        <v>119683.16</v>
      </c>
      <c r="E6" s="62">
        <f>IFERROR('Data Sheet'!D17,0)</f>
        <v>135220.29</v>
      </c>
      <c r="F6" s="62">
        <f>IFERROR('Data Sheet'!E17,0)</f>
        <v>145452.35999999999</v>
      </c>
      <c r="G6" s="62">
        <f>IFERROR('Data Sheet'!F17,0)</f>
        <v>135979.03</v>
      </c>
      <c r="H6" s="62">
        <f>IFERROR('Data Sheet'!G17,0)</f>
        <v>156521.23000000001</v>
      </c>
      <c r="I6" s="62">
        <f>IFERROR('Data Sheet'!H17,0)</f>
        <v>183340.7</v>
      </c>
      <c r="J6" s="62">
        <f>IFERROR('Data Sheet'!I17,0)</f>
        <v>221112.91</v>
      </c>
      <c r="K6" s="62">
        <f>IFERROR('Data Sheet'!J17,0)</f>
        <v>255734.45</v>
      </c>
      <c r="L6" s="62">
        <f>IFERROR('Data Sheet'!K17,0)</f>
        <v>285874.36</v>
      </c>
      <c r="M6" s="62">
        <f>IFERROR(SUM('Data Sheet'!H42:K42),0)</f>
        <v>285874.31000000006</v>
      </c>
      <c r="O6" s="74"/>
      <c r="P6" s="75"/>
    </row>
    <row r="7" spans="1:16" outlineLevel="1">
      <c r="B7" s="63" t="s">
        <v>71</v>
      </c>
      <c r="C7" s="64" t="s">
        <v>72</v>
      </c>
      <c r="D7" s="65">
        <f>D6/C6-1</f>
        <v>9.4878586311945678E-2</v>
      </c>
      <c r="E7" s="65">
        <f t="shared" ref="E7:M7" si="0">E6/D6-1</f>
        <v>0.12981884836596902</v>
      </c>
      <c r="F7" s="65">
        <f t="shared" si="0"/>
        <v>7.5669635082131315E-2</v>
      </c>
      <c r="G7" s="65">
        <f t="shared" si="0"/>
        <v>-6.5130122330087969E-2</v>
      </c>
      <c r="H7" s="65">
        <f t="shared" si="0"/>
        <v>0.15106888172389521</v>
      </c>
      <c r="I7" s="65">
        <f t="shared" si="0"/>
        <v>0.17134717124315979</v>
      </c>
      <c r="J7" s="65">
        <f t="shared" si="0"/>
        <v>0.20602195802677747</v>
      </c>
      <c r="K7" s="65">
        <f t="shared" si="0"/>
        <v>0.15657855527295994</v>
      </c>
      <c r="L7" s="65">
        <f t="shared" si="0"/>
        <v>0.11785627630536277</v>
      </c>
      <c r="M7" s="65">
        <f t="shared" si="0"/>
        <v>-1.7490200920899923E-7</v>
      </c>
      <c r="O7" s="74"/>
      <c r="P7" s="79"/>
    </row>
    <row r="8" spans="1:16" outlineLevel="1">
      <c r="O8" s="74"/>
      <c r="P8" s="79"/>
    </row>
    <row r="9" spans="1:16" outlineLevel="1">
      <c r="B9" t="s">
        <v>73</v>
      </c>
      <c r="C9" s="62">
        <f>IFERROR(SUM('Data Sheet'!B18,'Data Sheet'!B20:B22)-1*'Data Sheet'!B19,0)</f>
        <v>84990.290000000008</v>
      </c>
      <c r="D9" s="62">
        <f>IFERROR(SUM('Data Sheet'!C18,'Data Sheet'!C20:C22)-1*'Data Sheet'!C19,0)</f>
        <v>91701.74</v>
      </c>
      <c r="E9" s="62">
        <f>IFERROR(SUM('Data Sheet'!D18,'Data Sheet'!D20:D22)-1*'Data Sheet'!D19,0)</f>
        <v>104612.44000000002</v>
      </c>
      <c r="F9" s="62">
        <f>IFERROR(SUM('Data Sheet'!E18,'Data Sheet'!E20:E22)-1*'Data Sheet'!E19,0)</f>
        <v>111501.59</v>
      </c>
      <c r="G9" s="62">
        <f>IFERROR(SUM('Data Sheet'!F18,'Data Sheet'!F20:F22)-1*'Data Sheet'!F19,0)</f>
        <v>103742.90999999999</v>
      </c>
      <c r="H9" s="62">
        <f>IFERROR(SUM('Data Sheet'!G18,'Data Sheet'!G20:G22)-1*'Data Sheet'!G19,0)</f>
        <v>123562.16999999998</v>
      </c>
      <c r="I9" s="62">
        <f>IFERROR(SUM('Data Sheet'!H18,'Data Sheet'!H20:H22)-1*'Data Sheet'!H19,0)</f>
        <v>147655.93999999997</v>
      </c>
      <c r="J9" s="62">
        <f>IFERROR(SUM('Data Sheet'!I18,'Data Sheet'!I20:I22)-1*'Data Sheet'!I19,0)</f>
        <v>181664.96000000002</v>
      </c>
      <c r="K9" s="62">
        <f>IFERROR(SUM('Data Sheet'!J18,'Data Sheet'!J20:J22)-1*'Data Sheet'!J19,0)</f>
        <v>211311.56</v>
      </c>
      <c r="L9" s="62">
        <f>IFERROR(SUM('Data Sheet'!K18,'Data Sheet'!K20:K22)-1*'Data Sheet'!K19,0)</f>
        <v>237751.87000000002</v>
      </c>
      <c r="M9" s="62">
        <f>IFERROR(SUM('Data Sheet'!H43:K43),0)</f>
        <v>249727.83000000002</v>
      </c>
      <c r="O9" s="74"/>
      <c r="P9" s="75"/>
    </row>
    <row r="10" spans="1:16" outlineLevel="1">
      <c r="B10" s="63" t="s">
        <v>74</v>
      </c>
      <c r="C10" s="65">
        <f>C9/C6</f>
        <v>0.77750327251922746</v>
      </c>
      <c r="D10" s="65">
        <f t="shared" ref="D10:M10" si="1">D9/D6</f>
        <v>0.76620420115912713</v>
      </c>
      <c r="E10" s="65">
        <f t="shared" si="1"/>
        <v>0.77364454698329677</v>
      </c>
      <c r="F10" s="65">
        <f t="shared" si="1"/>
        <v>0.76658494918886166</v>
      </c>
      <c r="G10" s="65">
        <f t="shared" si="1"/>
        <v>0.76293315226619862</v>
      </c>
      <c r="H10" s="65">
        <f t="shared" si="1"/>
        <v>0.78942754283236838</v>
      </c>
      <c r="I10" s="65">
        <f t="shared" si="1"/>
        <v>0.80536367538686149</v>
      </c>
      <c r="J10" s="65">
        <f t="shared" si="1"/>
        <v>0.82159363738643765</v>
      </c>
      <c r="K10" s="65">
        <f t="shared" si="1"/>
        <v>0.82629289874711831</v>
      </c>
      <c r="L10" s="65">
        <f t="shared" si="1"/>
        <v>0.83166559603316659</v>
      </c>
      <c r="M10" s="65">
        <f t="shared" si="1"/>
        <v>0.8735581381901717</v>
      </c>
      <c r="O10" s="74"/>
      <c r="P10" s="75"/>
    </row>
    <row r="11" spans="1:16" outlineLevel="1">
      <c r="O11" s="74"/>
      <c r="P11" s="75"/>
    </row>
    <row r="12" spans="1:16" outlineLevel="1">
      <c r="B12" s="66" t="s">
        <v>75</v>
      </c>
      <c r="C12" s="67">
        <f>C6-C9</f>
        <v>24321.51999999999</v>
      </c>
      <c r="D12" s="67">
        <f t="shared" ref="D12:M12" si="2">D6-D9</f>
        <v>27981.42</v>
      </c>
      <c r="E12" s="67">
        <f t="shared" si="2"/>
        <v>30607.849999999991</v>
      </c>
      <c r="F12" s="67">
        <f t="shared" si="2"/>
        <v>33950.76999999999</v>
      </c>
      <c r="G12" s="67">
        <f t="shared" si="2"/>
        <v>32236.12000000001</v>
      </c>
      <c r="H12" s="67">
        <f t="shared" si="2"/>
        <v>32959.060000000027</v>
      </c>
      <c r="I12" s="67">
        <f t="shared" si="2"/>
        <v>35684.760000000038</v>
      </c>
      <c r="J12" s="67">
        <f t="shared" si="2"/>
        <v>39447.949999999983</v>
      </c>
      <c r="K12" s="67">
        <f t="shared" si="2"/>
        <v>44422.890000000014</v>
      </c>
      <c r="L12" s="67">
        <f t="shared" si="2"/>
        <v>48122.489999999962</v>
      </c>
      <c r="M12" s="67">
        <f t="shared" si="2"/>
        <v>36146.48000000004</v>
      </c>
      <c r="O12" s="74"/>
      <c r="P12" s="75"/>
    </row>
    <row r="13" spans="1:16" outlineLevel="1">
      <c r="B13" s="63" t="s">
        <v>76</v>
      </c>
      <c r="C13" s="65">
        <f>C12/C6</f>
        <v>0.22249672748077257</v>
      </c>
      <c r="D13" s="65">
        <f t="shared" ref="D13:M13" si="3">D12/D6</f>
        <v>0.23379579884087284</v>
      </c>
      <c r="E13" s="65">
        <f t="shared" si="3"/>
        <v>0.22635545301670326</v>
      </c>
      <c r="F13" s="65">
        <f t="shared" si="3"/>
        <v>0.23341505081113839</v>
      </c>
      <c r="G13" s="65">
        <f t="shared" si="3"/>
        <v>0.23706684773380138</v>
      </c>
      <c r="H13" s="65">
        <f t="shared" si="3"/>
        <v>0.21057245716763168</v>
      </c>
      <c r="I13" s="65">
        <f t="shared" si="3"/>
        <v>0.19463632461313846</v>
      </c>
      <c r="J13" s="65">
        <f t="shared" si="3"/>
        <v>0.17840636261356238</v>
      </c>
      <c r="K13" s="65">
        <f t="shared" si="3"/>
        <v>0.17370710125288169</v>
      </c>
      <c r="L13" s="65">
        <f t="shared" si="3"/>
        <v>0.16833440396683341</v>
      </c>
      <c r="M13" s="65">
        <f t="shared" si="3"/>
        <v>0.12644186180982836</v>
      </c>
      <c r="O13" s="74"/>
      <c r="P13" s="75"/>
    </row>
    <row r="14" spans="1:16" outlineLevel="1">
      <c r="O14" s="74"/>
      <c r="P14" s="75"/>
    </row>
    <row r="15" spans="1:16" outlineLevel="1">
      <c r="B15" t="s">
        <v>77</v>
      </c>
      <c r="C15" s="68">
        <f>IFERROR(SUM('Data Sheet'!B23:B24),0)</f>
        <v>7701.11</v>
      </c>
      <c r="D15" s="68">
        <f>IFERROR(SUM('Data Sheet'!C23:C24),0)</f>
        <v>7870.08</v>
      </c>
      <c r="E15" s="68">
        <f>IFERROR(SUM('Data Sheet'!D23:D24),0)</f>
        <v>7742.0300000000007</v>
      </c>
      <c r="F15" s="68">
        <f>IFERROR(SUM('Data Sheet'!E23:E24),0)</f>
        <v>9397.67</v>
      </c>
      <c r="G15" s="68">
        <f>IFERROR(SUM('Data Sheet'!F23:F24),0)</f>
        <v>8775.8799999999992</v>
      </c>
      <c r="H15" s="68">
        <f>IFERROR(SUM('Data Sheet'!G23:G24),0)</f>
        <v>8645.17</v>
      </c>
      <c r="I15" s="68">
        <f>IFERROR(SUM('Data Sheet'!H23:H24),0)</f>
        <v>8518.74</v>
      </c>
      <c r="J15" s="68">
        <f>IFERROR(SUM('Data Sheet'!I23:I24),0)</f>
        <v>10689.83</v>
      </c>
      <c r="K15" s="68">
        <f>IFERROR(SUM('Data Sheet'!J23:J24),0)</f>
        <v>9995.9900000000016</v>
      </c>
      <c r="L15" s="68">
        <f>IFERROR(SUM('Data Sheet'!K23:K24),0)</f>
        <v>12711.79</v>
      </c>
      <c r="M15" s="68"/>
      <c r="O15" s="74"/>
      <c r="P15" s="75"/>
    </row>
    <row r="16" spans="1:16" outlineLevel="1">
      <c r="B16" s="63" t="s">
        <v>78</v>
      </c>
      <c r="C16" s="65">
        <f>C15/C6</f>
        <v>7.0450850644591834E-2</v>
      </c>
      <c r="D16" s="65">
        <f t="shared" ref="D16:M16" si="4">D15/D6</f>
        <v>6.5757622041396638E-2</v>
      </c>
      <c r="E16" s="65">
        <f t="shared" si="4"/>
        <v>5.7254943026671515E-2</v>
      </c>
      <c r="F16" s="65">
        <f t="shared" si="4"/>
        <v>6.4609952014529029E-2</v>
      </c>
      <c r="G16" s="65">
        <f t="shared" si="4"/>
        <v>6.4538480676027757E-2</v>
      </c>
      <c r="H16" s="65">
        <f t="shared" si="4"/>
        <v>5.5233210216914339E-2</v>
      </c>
      <c r="I16" s="65">
        <f t="shared" si="4"/>
        <v>4.646398753795529E-2</v>
      </c>
      <c r="J16" s="65">
        <f t="shared" si="4"/>
        <v>4.8345571500099202E-2</v>
      </c>
      <c r="K16" s="65">
        <f t="shared" si="4"/>
        <v>3.9087381461512131E-2</v>
      </c>
      <c r="L16" s="65">
        <f t="shared" si="4"/>
        <v>4.4466352281470792E-2</v>
      </c>
      <c r="M16" s="65">
        <f t="shared" si="4"/>
        <v>0</v>
      </c>
      <c r="O16" s="74"/>
      <c r="P16" s="79"/>
    </row>
    <row r="17" spans="2:16" outlineLevel="1">
      <c r="O17" s="74"/>
      <c r="P17" s="75"/>
    </row>
    <row r="18" spans="2:16" outlineLevel="1">
      <c r="B18" s="66" t="s">
        <v>79</v>
      </c>
      <c r="C18" s="67">
        <f t="shared" ref="C18:L18" si="5">C12-C15</f>
        <v>16620.409999999989</v>
      </c>
      <c r="D18" s="67">
        <f t="shared" si="5"/>
        <v>20111.339999999997</v>
      </c>
      <c r="E18" s="67">
        <f t="shared" si="5"/>
        <v>22865.819999999992</v>
      </c>
      <c r="F18" s="67">
        <f t="shared" si="5"/>
        <v>24553.099999999991</v>
      </c>
      <c r="G18" s="67">
        <f t="shared" si="5"/>
        <v>23460.240000000013</v>
      </c>
      <c r="H18" s="67">
        <f t="shared" si="5"/>
        <v>24313.890000000029</v>
      </c>
      <c r="I18" s="67">
        <f t="shared" si="5"/>
        <v>27166.02000000004</v>
      </c>
      <c r="J18" s="67">
        <f t="shared" si="5"/>
        <v>28758.119999999981</v>
      </c>
      <c r="K18" s="67">
        <f t="shared" si="5"/>
        <v>34426.900000000009</v>
      </c>
      <c r="L18" s="67">
        <f t="shared" si="5"/>
        <v>35410.699999999961</v>
      </c>
      <c r="M18" s="67">
        <f>IFERROR(SUM('Data Sheet'!H51:K51),0)</f>
        <v>37109.300000000003</v>
      </c>
      <c r="O18" s="74"/>
      <c r="P18" s="75"/>
    </row>
    <row r="19" spans="2:16" outlineLevel="1">
      <c r="B19" s="63" t="s">
        <v>80</v>
      </c>
      <c r="C19" s="65">
        <f>C18/C6</f>
        <v>0.15204587683618073</v>
      </c>
      <c r="D19" s="65">
        <f t="shared" ref="D19:M19" si="6">D18/D6</f>
        <v>0.16803817679947619</v>
      </c>
      <c r="E19" s="65">
        <f t="shared" si="6"/>
        <v>0.16910050999003176</v>
      </c>
      <c r="F19" s="65">
        <f t="shared" si="6"/>
        <v>0.16880509879660938</v>
      </c>
      <c r="G19" s="65">
        <f t="shared" si="6"/>
        <v>0.17252836705777364</v>
      </c>
      <c r="H19" s="65">
        <f t="shared" si="6"/>
        <v>0.15533924695071732</v>
      </c>
      <c r="I19" s="65">
        <f t="shared" si="6"/>
        <v>0.14817233707518318</v>
      </c>
      <c r="J19" s="65">
        <f t="shared" si="6"/>
        <v>0.13006079111346316</v>
      </c>
      <c r="K19" s="65">
        <f t="shared" si="6"/>
        <v>0.13461971979136955</v>
      </c>
      <c r="L19" s="65">
        <f t="shared" si="6"/>
        <v>0.12386805168536262</v>
      </c>
      <c r="M19" s="65">
        <f t="shared" si="6"/>
        <v>0.1298098454527096</v>
      </c>
      <c r="O19" s="74"/>
      <c r="P19" s="75"/>
    </row>
    <row r="20" spans="2:16" outlineLevel="1">
      <c r="O20" s="74"/>
      <c r="P20" s="75"/>
    </row>
    <row r="21" spans="2:16" outlineLevel="1">
      <c r="B21" t="s">
        <v>81</v>
      </c>
      <c r="C21" s="68">
        <f>IFERROR('Data Sheet'!B27,0)</f>
        <v>6828.66</v>
      </c>
      <c r="D21" s="68">
        <f>IFERROR('Data Sheet'!C27,0)</f>
        <v>7713.63</v>
      </c>
      <c r="E21" s="68">
        <f>IFERROR('Data Sheet'!D27,0)</f>
        <v>9338.73</v>
      </c>
      <c r="F21" s="68">
        <f>IFERROR('Data Sheet'!E27,0)</f>
        <v>11020.78</v>
      </c>
      <c r="G21" s="68">
        <f>IFERROR('Data Sheet'!F27,0)</f>
        <v>11749.58</v>
      </c>
      <c r="H21" s="68">
        <f>IFERROR('Data Sheet'!G27,0)</f>
        <v>9234.98</v>
      </c>
      <c r="I21" s="68">
        <f>IFERROR('Data Sheet'!H27,0)</f>
        <v>9445.44</v>
      </c>
      <c r="J21" s="68">
        <f>IFERROR('Data Sheet'!I27,0)</f>
        <v>9512.17</v>
      </c>
      <c r="K21" s="68">
        <f>IFERROR('Data Sheet'!J27,0)</f>
        <v>9924.7800000000007</v>
      </c>
      <c r="L21" s="68">
        <f>IFERROR('Data Sheet'!K27,0)</f>
        <v>10055.94</v>
      </c>
      <c r="M21" s="68">
        <f>IFERROR(SUM('Data Sheet'!H46:K46),0)</f>
        <v>9844.1600000000017</v>
      </c>
      <c r="O21" s="74"/>
      <c r="P21" s="80"/>
    </row>
    <row r="22" spans="2:16" outlineLevel="1">
      <c r="B22" s="63" t="s">
        <v>82</v>
      </c>
      <c r="C22" s="65">
        <f>C21/C6</f>
        <v>6.2469553838693181E-2</v>
      </c>
      <c r="D22" s="65">
        <f t="shared" ref="D22:M22" si="7">D21/D6</f>
        <v>6.4450420593841276E-2</v>
      </c>
      <c r="E22" s="65">
        <f t="shared" si="7"/>
        <v>6.9063082175019733E-2</v>
      </c>
      <c r="F22" s="65">
        <f t="shared" si="7"/>
        <v>7.576900092923898E-2</v>
      </c>
      <c r="G22" s="65">
        <f t="shared" si="7"/>
        <v>8.6407293830526657E-2</v>
      </c>
      <c r="H22" s="65">
        <f t="shared" si="7"/>
        <v>5.9001453029726376E-2</v>
      </c>
      <c r="I22" s="65">
        <f t="shared" si="7"/>
        <v>5.1518511710711257E-2</v>
      </c>
      <c r="J22" s="65">
        <f t="shared" si="7"/>
        <v>4.3019514328674881E-2</v>
      </c>
      <c r="K22" s="65">
        <f t="shared" si="7"/>
        <v>3.8808928558510598E-2</v>
      </c>
      <c r="L22" s="65">
        <f t="shared" si="7"/>
        <v>3.517608224815965E-2</v>
      </c>
      <c r="M22" s="65">
        <f t="shared" si="7"/>
        <v>3.4435273319942596E-2</v>
      </c>
      <c r="O22" s="74"/>
      <c r="P22" s="74"/>
    </row>
    <row r="23" spans="2:16" outlineLevel="1">
      <c r="O23" s="74"/>
      <c r="P23" s="74"/>
    </row>
    <row r="24" spans="2:16" outlineLevel="1">
      <c r="B24" t="s">
        <v>83</v>
      </c>
      <c r="C24" s="68">
        <f>IFERROR('Data Sheet'!B26,0)</f>
        <v>2369.9299999999998</v>
      </c>
      <c r="D24" s="68">
        <f>IFERROR('Data Sheet'!C26,0)</f>
        <v>2223.48</v>
      </c>
      <c r="E24" s="68">
        <f>IFERROR('Data Sheet'!D26,0)</f>
        <v>1923.03</v>
      </c>
      <c r="F24" s="68">
        <f>IFERROR('Data Sheet'!E26,0)</f>
        <v>2462.27</v>
      </c>
      <c r="G24" s="68">
        <f>IFERROR('Data Sheet'!F26,0)</f>
        <v>2904.21</v>
      </c>
      <c r="H24" s="68">
        <f>IFERROR('Data Sheet'!G26,0)</f>
        <v>2947.95</v>
      </c>
      <c r="I24" s="68">
        <f>IFERROR('Data Sheet'!H26,0)</f>
        <v>3502.25</v>
      </c>
      <c r="J24" s="68">
        <f>IFERROR('Data Sheet'!I26,0)</f>
        <v>3682.33</v>
      </c>
      <c r="K24" s="68">
        <f>IFERROR('Data Sheet'!J26,0)</f>
        <v>4121.18</v>
      </c>
      <c r="L24" s="68">
        <f>IFERROR('Data Sheet'!K26,0)</f>
        <v>4364.75</v>
      </c>
      <c r="M24" s="68">
        <f>IFERROR(SUM('Data Sheet'!H45:K45),0)</f>
        <v>4364.7599999999993</v>
      </c>
      <c r="N24" s="132"/>
    </row>
    <row r="25" spans="2:16" outlineLevel="1">
      <c r="B25" s="63" t="s">
        <v>84</v>
      </c>
      <c r="C25" s="65">
        <f>C24/C6</f>
        <v>2.1680457033874015E-2</v>
      </c>
      <c r="D25" s="65">
        <f t="shared" ref="D25:M25" si="8">D24/D6</f>
        <v>1.8578052250625737E-2</v>
      </c>
      <c r="E25" s="65">
        <f t="shared" si="8"/>
        <v>1.4221460403612505E-2</v>
      </c>
      <c r="F25" s="65">
        <f t="shared" si="8"/>
        <v>1.6928360598617995E-2</v>
      </c>
      <c r="G25" s="65">
        <f t="shared" si="8"/>
        <v>2.1357778475107524E-2</v>
      </c>
      <c r="H25" s="65">
        <f t="shared" si="8"/>
        <v>1.8834186263422537E-2</v>
      </c>
      <c r="I25" s="65">
        <f t="shared" si="8"/>
        <v>1.9102414248445651E-2</v>
      </c>
      <c r="J25" s="65">
        <f t="shared" si="8"/>
        <v>1.6653618280361829E-2</v>
      </c>
      <c r="K25" s="65">
        <f t="shared" si="8"/>
        <v>1.6115075618478466E-2</v>
      </c>
      <c r="L25" s="65">
        <f t="shared" si="8"/>
        <v>1.5268070910591633E-2</v>
      </c>
      <c r="M25" s="65">
        <f t="shared" si="8"/>
        <v>1.5268108561416374E-2</v>
      </c>
    </row>
    <row r="26" spans="2:16" outlineLevel="1"/>
    <row r="27" spans="2:16" outlineLevel="1">
      <c r="B27" s="66" t="s">
        <v>85</v>
      </c>
      <c r="C27" s="67">
        <f>IFERROR(C18-SUM(C24,C21),0)</f>
        <v>7421.8199999999888</v>
      </c>
      <c r="D27" s="67">
        <f t="shared" ref="D27:M27" si="9">IFERROR(D18-SUM(D24,D21),0)</f>
        <v>10174.229999999996</v>
      </c>
      <c r="E27" s="67">
        <f t="shared" si="9"/>
        <v>11604.059999999992</v>
      </c>
      <c r="F27" s="67">
        <f t="shared" si="9"/>
        <v>11070.04999999999</v>
      </c>
      <c r="G27" s="67">
        <f t="shared" si="9"/>
        <v>8806.4500000000116</v>
      </c>
      <c r="H27" s="67">
        <f t="shared" si="9"/>
        <v>12130.960000000028</v>
      </c>
      <c r="I27" s="69">
        <f t="shared" si="9"/>
        <v>14218.33000000004</v>
      </c>
      <c r="J27" s="69">
        <f t="shared" si="9"/>
        <v>15563.619999999981</v>
      </c>
      <c r="K27" s="69">
        <f t="shared" si="9"/>
        <v>20380.94000000001</v>
      </c>
      <c r="L27" s="69">
        <f t="shared" si="9"/>
        <v>20990.009999999958</v>
      </c>
      <c r="M27" s="69">
        <f t="shared" si="9"/>
        <v>22900.38</v>
      </c>
    </row>
    <row r="28" spans="2:16" outlineLevel="1">
      <c r="B28" s="63" t="s">
        <v>86</v>
      </c>
      <c r="C28" s="65">
        <f>C27/C6</f>
        <v>6.7895865963613522E-2</v>
      </c>
      <c r="D28" s="65">
        <f t="shared" ref="D28:M28" si="10">D27/D6</f>
        <v>8.5009703955009175E-2</v>
      </c>
      <c r="E28" s="65">
        <f t="shared" si="10"/>
        <v>8.5815967411399519E-2</v>
      </c>
      <c r="F28" s="65">
        <f t="shared" si="10"/>
        <v>7.6107737268752404E-2</v>
      </c>
      <c r="G28" s="65">
        <f t="shared" si="10"/>
        <v>6.4763294752139447E-2</v>
      </c>
      <c r="H28" s="65">
        <f t="shared" si="10"/>
        <v>7.7503607657568419E-2</v>
      </c>
      <c r="I28" s="65">
        <f t="shared" si="10"/>
        <v>7.7551411116026273E-2</v>
      </c>
      <c r="J28" s="65">
        <f t="shared" si="10"/>
        <v>7.0387658504426451E-2</v>
      </c>
      <c r="K28" s="65">
        <f t="shared" si="10"/>
        <v>7.9695715614380491E-2</v>
      </c>
      <c r="L28" s="65">
        <f t="shared" si="10"/>
        <v>7.3423898526611339E-2</v>
      </c>
      <c r="M28" s="65">
        <f t="shared" si="10"/>
        <v>8.0106463571350622E-2</v>
      </c>
    </row>
    <row r="29" spans="2:16" outlineLevel="1">
      <c r="H29" s="68"/>
      <c r="I29" s="68"/>
    </row>
    <row r="30" spans="2:16" outlineLevel="1">
      <c r="B30" t="s">
        <v>87</v>
      </c>
      <c r="C30" s="62">
        <f>IFERROR('Data Sheet'!B29,0)</f>
        <v>2006.59</v>
      </c>
      <c r="D30" s="62">
        <f>IFERROR('Data Sheet'!C29,0)</f>
        <v>3198.87</v>
      </c>
      <c r="E30" s="62">
        <f>IFERROR('Data Sheet'!D29,0)</f>
        <v>4067.09</v>
      </c>
      <c r="F30" s="62">
        <f>IFERROR('Data Sheet'!E29,0)</f>
        <v>3263.2</v>
      </c>
      <c r="G30" s="62">
        <f>IFERROR('Data Sheet'!F29,0)</f>
        <v>4010.82</v>
      </c>
      <c r="H30" s="62">
        <f>IFERROR('Data Sheet'!G29,0)</f>
        <v>4203.92</v>
      </c>
      <c r="I30" s="62">
        <f>IFERROR('Data Sheet'!H29,0)</f>
        <v>4484.16</v>
      </c>
      <c r="J30" s="62">
        <f>IFERROR('Data Sheet'!I29,0)</f>
        <v>4947.3900000000003</v>
      </c>
      <c r="K30" s="62">
        <f>IFERROR('Data Sheet'!J29,0)</f>
        <v>5891.4</v>
      </c>
      <c r="L30" s="62">
        <f>IFERROR('Data Sheet'!K29,0)</f>
        <v>6816.41</v>
      </c>
      <c r="M30" s="62">
        <f>IFERROR(SUM('Data Sheet'!H48:K48),0)</f>
        <v>6816.39</v>
      </c>
    </row>
    <row r="31" spans="2:16" outlineLevel="1">
      <c r="B31" s="63" t="s">
        <v>88</v>
      </c>
      <c r="C31" s="65">
        <f>C30/C27</f>
        <v>0.27036360353659922</v>
      </c>
      <c r="D31" s="65">
        <f t="shared" ref="D31:M31" si="11">D30/D27</f>
        <v>0.31440905110263884</v>
      </c>
      <c r="E31" s="65">
        <f t="shared" si="11"/>
        <v>0.35048853590898382</v>
      </c>
      <c r="F31" s="65">
        <f t="shared" si="11"/>
        <v>0.29477734969580105</v>
      </c>
      <c r="G31" s="65">
        <f t="shared" si="11"/>
        <v>0.45544118231523428</v>
      </c>
      <c r="H31" s="65">
        <f t="shared" si="11"/>
        <v>0.3465447087452263</v>
      </c>
      <c r="I31" s="65">
        <f t="shared" si="11"/>
        <v>0.31537881031035203</v>
      </c>
      <c r="J31" s="65">
        <f t="shared" si="11"/>
        <v>0.31788170104384494</v>
      </c>
      <c r="K31" s="65">
        <f t="shared" si="11"/>
        <v>0.28906419429133284</v>
      </c>
      <c r="L31" s="65">
        <f t="shared" si="11"/>
        <v>0.32474543842523246</v>
      </c>
      <c r="M31" s="65">
        <f t="shared" si="11"/>
        <v>0.29765401272817305</v>
      </c>
    </row>
    <row r="32" spans="2:16" outlineLevel="1"/>
    <row r="33" spans="1:13" outlineLevel="1">
      <c r="B33" s="66" t="s">
        <v>89</v>
      </c>
      <c r="C33" s="69">
        <f>IFERROR(C27-C30,0)</f>
        <v>5415.2299999999886</v>
      </c>
      <c r="D33" s="69">
        <f t="shared" ref="D33:M33" si="12">IFERROR(D27-D30,0)</f>
        <v>6975.359999999996</v>
      </c>
      <c r="E33" s="69">
        <f t="shared" si="12"/>
        <v>7536.9699999999921</v>
      </c>
      <c r="F33" s="69">
        <f t="shared" si="12"/>
        <v>7806.8499999999904</v>
      </c>
      <c r="G33" s="69">
        <f t="shared" si="12"/>
        <v>4795.6300000000119</v>
      </c>
      <c r="H33" s="69">
        <f t="shared" si="12"/>
        <v>7927.0400000000282</v>
      </c>
      <c r="I33" s="69">
        <f t="shared" si="12"/>
        <v>9734.1700000000401</v>
      </c>
      <c r="J33" s="69">
        <f t="shared" si="12"/>
        <v>10616.229999999981</v>
      </c>
      <c r="K33" s="69">
        <f t="shared" si="12"/>
        <v>14489.54000000001</v>
      </c>
      <c r="L33" s="69">
        <f t="shared" si="12"/>
        <v>14173.599999999959</v>
      </c>
      <c r="M33" s="69">
        <f t="shared" si="12"/>
        <v>16083.990000000002</v>
      </c>
    </row>
    <row r="34" spans="1:13" outlineLevel="1">
      <c r="B34" s="63" t="s">
        <v>90</v>
      </c>
      <c r="C34" s="65">
        <f>C33/C6</f>
        <v>4.9539294976453034E-2</v>
      </c>
      <c r="D34" s="65">
        <f t="shared" ref="D34:M34" si="13">D33/D6</f>
        <v>5.8281883599998495E-2</v>
      </c>
      <c r="E34" s="65">
        <f t="shared" si="13"/>
        <v>5.5738454635765031E-2</v>
      </c>
      <c r="F34" s="65">
        <f t="shared" si="13"/>
        <v>5.3672900185325223E-2</v>
      </c>
      <c r="G34" s="65">
        <f t="shared" si="13"/>
        <v>3.526742321959505E-2</v>
      </c>
      <c r="H34" s="65">
        <f t="shared" si="13"/>
        <v>5.0645142515172083E-2</v>
      </c>
      <c r="I34" s="65">
        <f t="shared" si="13"/>
        <v>5.3093339340364899E-2</v>
      </c>
      <c r="J34" s="65">
        <f t="shared" si="13"/>
        <v>4.8012709886546115E-2</v>
      </c>
      <c r="K34" s="65">
        <f t="shared" si="13"/>
        <v>5.6658537791838409E-2</v>
      </c>
      <c r="L34" s="65">
        <f t="shared" si="13"/>
        <v>4.9579822408697162E-2</v>
      </c>
      <c r="M34" s="65">
        <f t="shared" si="13"/>
        <v>5.6262453243874896E-2</v>
      </c>
    </row>
    <row r="35" spans="1:13" outlineLevel="1"/>
    <row r="36" spans="1:13" outlineLevel="1">
      <c r="B36" t="s">
        <v>91</v>
      </c>
      <c r="C36">
        <f>IFERROR('Data Sheet'!B93,0)</f>
        <v>139.94</v>
      </c>
      <c r="D36">
        <f>IFERROR('Data Sheet'!C93,0)</f>
        <v>140.13999999999999</v>
      </c>
      <c r="E36">
        <f>IFERROR('Data Sheet'!D93,0)</f>
        <v>140.27000000000001</v>
      </c>
      <c r="F36">
        <f>IFERROR('Data Sheet'!E93,0)</f>
        <v>140.38999999999999</v>
      </c>
      <c r="G36">
        <f>IFERROR('Data Sheet'!F93,0)</f>
        <v>140.46</v>
      </c>
      <c r="H36">
        <f>IFERROR('Data Sheet'!G93,0)</f>
        <v>140.5</v>
      </c>
      <c r="I36">
        <f>IFERROR('Data Sheet'!H93,0)</f>
        <v>140.55000000000001</v>
      </c>
      <c r="J36">
        <f>IFERROR('Data Sheet'!I93,0)</f>
        <v>137.47</v>
      </c>
      <c r="K36">
        <f>IFERROR('Data Sheet'!J93,0)</f>
        <v>137.52000000000001</v>
      </c>
      <c r="L36">
        <f>IFERROR('Data Sheet'!K93,0)</f>
        <v>137.56</v>
      </c>
      <c r="M36">
        <f>L36</f>
        <v>137.56</v>
      </c>
    </row>
    <row r="37" spans="1:13" outlineLevel="1">
      <c r="C37" s="68"/>
      <c r="D37" s="68"/>
      <c r="E37" s="68"/>
      <c r="F37" s="68"/>
      <c r="G37" s="68"/>
      <c r="H37" s="68"/>
      <c r="I37" s="68"/>
      <c r="J37" s="68"/>
      <c r="K37" s="68"/>
      <c r="L37" s="68"/>
      <c r="M37" s="68"/>
    </row>
    <row r="38" spans="1:13" outlineLevel="1">
      <c r="B38" t="s">
        <v>92</v>
      </c>
      <c r="C38" s="68">
        <f>IFERROR(C33/C36,0)</f>
        <v>38.696798627983341</v>
      </c>
      <c r="D38" s="68">
        <f t="shared" ref="D38:M38" si="14">IFERROR(D33/D36,0)</f>
        <v>49.774225774225748</v>
      </c>
      <c r="E38" s="68">
        <f t="shared" si="14"/>
        <v>53.7318742425322</v>
      </c>
      <c r="F38" s="68">
        <f t="shared" si="14"/>
        <v>55.608305434859972</v>
      </c>
      <c r="G38" s="68">
        <f t="shared" si="14"/>
        <v>34.142318097679137</v>
      </c>
      <c r="H38" s="68">
        <f t="shared" si="14"/>
        <v>56.420213523131871</v>
      </c>
      <c r="I38" s="68">
        <f t="shared" si="14"/>
        <v>69.257701885450302</v>
      </c>
      <c r="J38" s="68">
        <f t="shared" si="14"/>
        <v>77.225794718847609</v>
      </c>
      <c r="K38" s="68">
        <f t="shared" si="14"/>
        <v>105.36314717859227</v>
      </c>
      <c r="L38" s="68">
        <f t="shared" si="14"/>
        <v>103.03576621110757</v>
      </c>
      <c r="M38" s="68">
        <f t="shared" si="14"/>
        <v>116.92345158476303</v>
      </c>
    </row>
    <row r="39" spans="1:13" outlineLevel="1">
      <c r="B39" s="63" t="s">
        <v>93</v>
      </c>
      <c r="C39" s="65"/>
      <c r="D39" s="65">
        <f>IFERROR(D38/C38-1,0)</f>
        <v>0.28626210795204732</v>
      </c>
      <c r="E39" s="65">
        <f t="shared" ref="E39:M39" si="15">IFERROR(E38/D38-1,0)</f>
        <v>7.9512004591657748E-2</v>
      </c>
      <c r="F39" s="65">
        <f t="shared" si="15"/>
        <v>3.4922124321553172E-2</v>
      </c>
      <c r="G39" s="65">
        <f t="shared" si="15"/>
        <v>-0.38602124573506869</v>
      </c>
      <c r="H39" s="65">
        <f t="shared" si="15"/>
        <v>0.65250096263871127</v>
      </c>
      <c r="I39" s="65">
        <f t="shared" si="15"/>
        <v>0.22753349483612206</v>
      </c>
      <c r="J39" s="65">
        <f t="shared" si="15"/>
        <v>0.11504991670928155</v>
      </c>
      <c r="K39" s="65">
        <f t="shared" si="15"/>
        <v>0.36435173716480396</v>
      </c>
      <c r="L39" s="65">
        <f t="shared" si="15"/>
        <v>-2.2089136759931405E-2</v>
      </c>
      <c r="M39" s="65">
        <f t="shared" si="15"/>
        <v>0.13478509341310962</v>
      </c>
    </row>
    <row r="40" spans="1:13" outlineLevel="1"/>
    <row r="41" spans="1:13" outlineLevel="1">
      <c r="B41" t="s">
        <v>94</v>
      </c>
      <c r="C41" s="70">
        <f>IFERROR('Data Sheet'!B31/HistoricalFS!C36,0)</f>
        <v>9.3335000714591985</v>
      </c>
      <c r="D41" s="70">
        <f>IFERROR('Data Sheet'!C31/HistoricalFS!D36,0)</f>
        <v>15.999429142286285</v>
      </c>
      <c r="E41" s="62">
        <f>IFERROR('Data Sheet'!D31/HistoricalFS!E36,0)</f>
        <v>18.000641619733369</v>
      </c>
      <c r="F41" s="62">
        <f>IFERROR('Data Sheet'!E31/HistoricalFS!F36,0)</f>
        <v>18</v>
      </c>
      <c r="G41" s="62">
        <f>IFERROR('Data Sheet'!F31/HistoricalFS!G36,0)</f>
        <v>35.998718496369072</v>
      </c>
      <c r="H41" s="62">
        <f>IFERROR('Data Sheet'!G31/HistoricalFS!H36,0)</f>
        <v>22.000782918149469</v>
      </c>
      <c r="I41" s="62">
        <f>IFERROR('Data Sheet'!H31/HistoricalFS!I36,0)</f>
        <v>23.999999999999996</v>
      </c>
      <c r="J41" s="62">
        <f>IFERROR('Data Sheet'!I31/HistoricalFS!J36,0)</f>
        <v>33.998763366552708</v>
      </c>
      <c r="K41" s="62">
        <f>IFERROR('Data Sheet'!J31/HistoricalFS!K36,0)</f>
        <v>34</v>
      </c>
      <c r="L41" s="62">
        <f>IFERROR('Data Sheet'!K31/HistoricalFS!L36,0)</f>
        <v>38.001381215469614</v>
      </c>
      <c r="M41" s="62">
        <f>IFERROR('Data Sheet'!L31/HistoricalFS!M36,0)</f>
        <v>0</v>
      </c>
    </row>
    <row r="42" spans="1:13" outlineLevel="1">
      <c r="B42" s="63" t="s">
        <v>95</v>
      </c>
      <c r="C42" s="65">
        <f>IFERROR(C41/C38,0)</f>
        <v>0.24119566481940802</v>
      </c>
      <c r="D42" s="65">
        <f t="shared" ref="D42:M42" si="16">IFERROR(D41/D38,0)</f>
        <v>0.32144004037067636</v>
      </c>
      <c r="E42" s="65">
        <f t="shared" si="16"/>
        <v>0.33500863078929627</v>
      </c>
      <c r="F42" s="65">
        <f t="shared" si="16"/>
        <v>0.32369265452775481</v>
      </c>
      <c r="G42" s="65">
        <f t="shared" si="16"/>
        <v>1.0543724182224208</v>
      </c>
      <c r="H42" s="65">
        <f t="shared" si="16"/>
        <v>0.38994504884546938</v>
      </c>
      <c r="I42" s="65">
        <f t="shared" si="16"/>
        <v>0.34653185633700517</v>
      </c>
      <c r="J42" s="65">
        <f t="shared" si="16"/>
        <v>0.44025138867564184</v>
      </c>
      <c r="K42" s="65">
        <f t="shared" si="16"/>
        <v>0.32269347405093585</v>
      </c>
      <c r="L42" s="65">
        <f t="shared" si="16"/>
        <v>0.36881737878873511</v>
      </c>
      <c r="M42" s="65">
        <f t="shared" si="16"/>
        <v>0</v>
      </c>
    </row>
    <row r="43" spans="1:13" outlineLevel="1"/>
    <row r="44" spans="1:13" outlineLevel="1">
      <c r="B44" t="s">
        <v>96</v>
      </c>
      <c r="C44" s="13">
        <f>IFERROR(IF(C38&gt;C41,1-C42,0),0)</f>
        <v>0.75880433518059198</v>
      </c>
      <c r="D44" s="13">
        <f t="shared" ref="D44:M44" si="17">IFERROR(IF(D38&gt;D41,1-D42,0),0)</f>
        <v>0.67855995962932369</v>
      </c>
      <c r="E44" s="13">
        <f t="shared" si="17"/>
        <v>0.66499136921070368</v>
      </c>
      <c r="F44" s="13">
        <f t="shared" si="17"/>
        <v>0.67630734547224525</v>
      </c>
      <c r="G44" s="13">
        <f t="shared" si="17"/>
        <v>0</v>
      </c>
      <c r="H44" s="13">
        <f t="shared" si="17"/>
        <v>0.61005495115453057</v>
      </c>
      <c r="I44" s="13">
        <f t="shared" si="17"/>
        <v>0.65346814366299477</v>
      </c>
      <c r="J44" s="13">
        <f t="shared" si="17"/>
        <v>0.55974861132435816</v>
      </c>
      <c r="K44" s="13">
        <f t="shared" si="17"/>
        <v>0.67730652594906415</v>
      </c>
      <c r="L44" s="13">
        <f t="shared" si="17"/>
        <v>0.63118262121126489</v>
      </c>
      <c r="M44" s="13">
        <f t="shared" si="17"/>
        <v>1</v>
      </c>
    </row>
    <row r="46" spans="1:13">
      <c r="A46" t="s">
        <v>68</v>
      </c>
      <c r="B46" s="61" t="s">
        <v>97</v>
      </c>
      <c r="C46" s="7"/>
      <c r="D46" s="7"/>
      <c r="E46" s="7"/>
      <c r="F46" s="7"/>
      <c r="G46" s="7"/>
      <c r="H46" s="7"/>
      <c r="I46" s="7"/>
      <c r="J46" s="7"/>
      <c r="K46" s="7"/>
      <c r="L46" s="7"/>
      <c r="M46" s="7"/>
    </row>
    <row r="47" spans="1:13" outlineLevel="1">
      <c r="B47" t="s">
        <v>98</v>
      </c>
      <c r="C47" s="62">
        <f>IFERROR('Data Sheet'!B57,0)</f>
        <v>186.59</v>
      </c>
      <c r="D47" s="62">
        <f>IFERROR('Data Sheet'!C57,0)</f>
        <v>280.27</v>
      </c>
      <c r="E47" s="62">
        <f>IFERROR('Data Sheet'!D57,0)</f>
        <v>280.55</v>
      </c>
      <c r="F47" s="62">
        <f>IFERROR('Data Sheet'!E57,0)</f>
        <v>280.77999999999997</v>
      </c>
      <c r="G47" s="62">
        <f>IFERROR('Data Sheet'!F57,0)</f>
        <v>280.91000000000003</v>
      </c>
      <c r="H47" s="62">
        <f>IFERROR('Data Sheet'!G57,0)</f>
        <v>281.01</v>
      </c>
      <c r="I47" s="62">
        <f>IFERROR('Data Sheet'!H57,0)</f>
        <v>281.10000000000002</v>
      </c>
      <c r="J47" s="62">
        <f>IFERROR('Data Sheet'!I57,0)</f>
        <v>274.93</v>
      </c>
      <c r="K47" s="62">
        <f>IFERROR('Data Sheet'!J57,0)</f>
        <v>275.04000000000002</v>
      </c>
      <c r="L47" s="62">
        <f>IFERROR('Data Sheet'!K57,0)</f>
        <v>275.13</v>
      </c>
    </row>
    <row r="48" spans="1:13" outlineLevel="1">
      <c r="B48" t="s">
        <v>99</v>
      </c>
      <c r="C48" s="62">
        <f>IFERROR('Data Sheet'!B58,0)</f>
        <v>50029.93</v>
      </c>
      <c r="D48" s="62">
        <f>IFERROR('Data Sheet'!C58,0)</f>
        <v>54623.23</v>
      </c>
      <c r="E48" s="62">
        <f>IFERROR('Data Sheet'!D58,0)</f>
        <v>62094.25</v>
      </c>
      <c r="F48" s="62">
        <f>IFERROR('Data Sheet'!E58,0)</f>
        <v>66442.44</v>
      </c>
      <c r="G48" s="62">
        <f>IFERROR('Data Sheet'!F58,0)</f>
        <v>75587.62</v>
      </c>
      <c r="H48" s="62">
        <f>IFERROR('Data Sheet'!G58,0)</f>
        <v>82126.649999999994</v>
      </c>
      <c r="I48" s="62">
        <f>IFERROR('Data Sheet'!H58,0)</f>
        <v>89044.85</v>
      </c>
      <c r="J48" s="62">
        <f>IFERROR('Data Sheet'!I58,0)</f>
        <v>86084.31</v>
      </c>
      <c r="K48" s="62">
        <f>IFERROR('Data Sheet'!J58,0)</f>
        <v>97380.56</v>
      </c>
      <c r="L48" s="62">
        <f>IFERROR('Data Sheet'!K58,0)</f>
        <v>109014.67</v>
      </c>
    </row>
    <row r="49" spans="2:13" outlineLevel="1">
      <c r="B49" t="s">
        <v>100</v>
      </c>
      <c r="C49" s="62">
        <f>IFERROR('Data Sheet'!B59,0)</f>
        <v>93953.95</v>
      </c>
      <c r="D49" s="62">
        <f>IFERROR('Data Sheet'!C59,0)</f>
        <v>107524.08</v>
      </c>
      <c r="E49" s="62">
        <f>IFERROR('Data Sheet'!D59,0)</f>
        <v>125555.17</v>
      </c>
      <c r="F49" s="62">
        <f>IFERROR('Data Sheet'!E59,0)</f>
        <v>143173.67000000001</v>
      </c>
      <c r="G49" s="62">
        <f>IFERROR('Data Sheet'!F59,0)</f>
        <v>134629.07999999999</v>
      </c>
      <c r="H49" s="62">
        <f>IFERROR('Data Sheet'!G59,0)</f>
        <v>125508.08</v>
      </c>
      <c r="I49" s="62">
        <f>IFERROR('Data Sheet'!H59,0)</f>
        <v>120650.44</v>
      </c>
      <c r="J49" s="62">
        <f>IFERROR('Data Sheet'!I59,0)</f>
        <v>116322.22</v>
      </c>
      <c r="K49" s="62">
        <f>IFERROR('Data Sheet'!J59,0)</f>
        <v>132408.92000000001</v>
      </c>
      <c r="L49" s="62">
        <f>IFERROR('Data Sheet'!K59,0)</f>
        <v>125496.59</v>
      </c>
    </row>
    <row r="50" spans="2:13" outlineLevel="1">
      <c r="B50" t="s">
        <v>101</v>
      </c>
      <c r="C50" s="62">
        <f>IFERROR('Data Sheet'!B60,0)</f>
        <v>67400.179999999993</v>
      </c>
      <c r="D50" s="62">
        <f>IFERROR('Data Sheet'!C60,0)</f>
        <v>80811.95</v>
      </c>
      <c r="E50" s="62">
        <f>IFERROR('Data Sheet'!D60,0)</f>
        <v>90106.26</v>
      </c>
      <c r="F50" s="62">
        <f>IFERROR('Data Sheet'!E60,0)</f>
        <v>96790.2</v>
      </c>
      <c r="G50" s="62">
        <f>IFERROR('Data Sheet'!F60,0)</f>
        <v>99597.440000000002</v>
      </c>
      <c r="H50" s="62">
        <f>IFERROR('Data Sheet'!G60,0)</f>
        <v>111112.17</v>
      </c>
      <c r="I50" s="62">
        <f>IFERROR('Data Sheet'!H60,0)</f>
        <v>119745.49</v>
      </c>
      <c r="J50" s="62">
        <f>IFERROR('Data Sheet'!I60,0)</f>
        <v>136920.88</v>
      </c>
      <c r="K50" s="62">
        <f>IFERROR('Data Sheet'!J60,0)</f>
        <v>149049.57</v>
      </c>
      <c r="L50" s="62">
        <f>IFERROR('Data Sheet'!K60,0)</f>
        <v>217596.38</v>
      </c>
    </row>
    <row r="51" spans="2:13" outlineLevel="1">
      <c r="B51" s="66" t="s">
        <v>102</v>
      </c>
      <c r="C51" s="69">
        <f>IFERROR('Data Sheet'!B61,0)</f>
        <v>211570.65</v>
      </c>
      <c r="D51" s="69">
        <f>IFERROR('Data Sheet'!C61,0)</f>
        <v>243239.53</v>
      </c>
      <c r="E51" s="69">
        <f>IFERROR('Data Sheet'!D61,0)</f>
        <v>278036.23</v>
      </c>
      <c r="F51" s="69">
        <f>IFERROR('Data Sheet'!E61,0)</f>
        <v>306687.09000000003</v>
      </c>
      <c r="G51" s="69">
        <f>IFERROR('Data Sheet'!F61,0)</f>
        <v>310095.05</v>
      </c>
      <c r="H51" s="69">
        <f>IFERROR('Data Sheet'!G61,0)</f>
        <v>319027.90999999997</v>
      </c>
      <c r="I51" s="69">
        <f>IFERROR('Data Sheet'!H61,0)</f>
        <v>329721.88</v>
      </c>
      <c r="J51" s="69">
        <f>IFERROR('Data Sheet'!I61,0)</f>
        <v>339602.34</v>
      </c>
      <c r="K51" s="69">
        <f>IFERROR('Data Sheet'!J61,0)</f>
        <v>379114.09</v>
      </c>
      <c r="L51" s="69">
        <f>IFERROR('Data Sheet'!K61,0)</f>
        <v>452382.77</v>
      </c>
      <c r="M51" s="2"/>
    </row>
    <row r="52" spans="2:13" outlineLevel="1"/>
    <row r="53" spans="2:13" outlineLevel="1">
      <c r="B53" t="s">
        <v>103</v>
      </c>
      <c r="C53" s="62">
        <f>IFERROR('Data Sheet'!B62,0)</f>
        <v>16677.11</v>
      </c>
      <c r="D53" s="62">
        <f>IFERROR('Data Sheet'!C62,0)</f>
        <v>18580.189999999999</v>
      </c>
      <c r="E53" s="62">
        <f>IFERROR('Data Sheet'!D62,0)</f>
        <v>21193.94</v>
      </c>
      <c r="F53" s="62">
        <f>IFERROR('Data Sheet'!E62,0)</f>
        <v>43653.38</v>
      </c>
      <c r="G53" s="62">
        <f>IFERROR('Data Sheet'!F62,0)</f>
        <v>44319.32</v>
      </c>
      <c r="H53" s="62">
        <f>IFERROR('Data Sheet'!G62,0)</f>
        <v>42945.01</v>
      </c>
      <c r="I53" s="62">
        <f>IFERROR('Data Sheet'!H62,0)</f>
        <v>42641</v>
      </c>
      <c r="J53" s="62">
        <f>IFERROR('Data Sheet'!I62,0)</f>
        <v>42963.82</v>
      </c>
      <c r="K53" s="62">
        <f>IFERROR('Data Sheet'!J62,0)</f>
        <v>44055.45</v>
      </c>
      <c r="L53" s="62">
        <f>IFERROR('Data Sheet'!K62,0)</f>
        <v>30866.91</v>
      </c>
    </row>
    <row r="54" spans="2:13" outlineLevel="1">
      <c r="B54" t="s">
        <v>104</v>
      </c>
      <c r="C54" s="62">
        <f>IFERROR('Data Sheet'!B63,0)</f>
        <v>13297.94</v>
      </c>
      <c r="D54" s="62">
        <f>IFERROR('Data Sheet'!C63,0)</f>
        <v>13443.43</v>
      </c>
      <c r="E54" s="62">
        <f>IFERROR('Data Sheet'!D63,0)</f>
        <v>13919.49</v>
      </c>
      <c r="F54" s="62">
        <f>IFERROR('Data Sheet'!E63,0)</f>
        <v>3311.09</v>
      </c>
      <c r="G54" s="62">
        <f>IFERROR('Data Sheet'!F63,0)</f>
        <v>500.39</v>
      </c>
      <c r="H54" s="62">
        <f>IFERROR('Data Sheet'!G63,0)</f>
        <v>1249.55</v>
      </c>
      <c r="I54" s="62">
        <f>IFERROR('Data Sheet'!H63,0)</f>
        <v>3065.57</v>
      </c>
      <c r="J54" s="62">
        <f>IFERROR('Data Sheet'!I63,0)</f>
        <v>3045.01</v>
      </c>
      <c r="K54" s="62">
        <f>IFERROR('Data Sheet'!J63,0)</f>
        <v>2588.6799999999998</v>
      </c>
      <c r="L54" s="62">
        <f>IFERROR('Data Sheet'!K63,0)</f>
        <v>3310.95</v>
      </c>
    </row>
    <row r="55" spans="2:13" outlineLevel="1">
      <c r="B55" t="s">
        <v>105</v>
      </c>
      <c r="C55" s="62">
        <f>IFERROR('Data Sheet'!B64,0)</f>
        <v>19753.02</v>
      </c>
      <c r="D55" s="62">
        <f>IFERROR('Data Sheet'!C64,0)</f>
        <v>15311.31</v>
      </c>
      <c r="E55" s="62">
        <f>IFERROR('Data Sheet'!D64,0)</f>
        <v>20907.099999999999</v>
      </c>
      <c r="F55" s="62">
        <f>IFERROR('Data Sheet'!E64,0)</f>
        <v>20047.48</v>
      </c>
      <c r="G55" s="62">
        <f>IFERROR('Data Sheet'!F64,0)</f>
        <v>39626.629999999997</v>
      </c>
      <c r="H55" s="62">
        <f>IFERROR('Data Sheet'!G64,0)</f>
        <v>39395.18</v>
      </c>
      <c r="I55" s="62">
        <f>IFERROR('Data Sheet'!H64,0)</f>
        <v>44798.31</v>
      </c>
      <c r="J55" s="62">
        <f>IFERROR('Data Sheet'!I64,0)</f>
        <v>45647.82</v>
      </c>
      <c r="K55" s="62">
        <f>IFERROR('Data Sheet'!J64,0)</f>
        <v>54805.27</v>
      </c>
      <c r="L55" s="62">
        <f>IFERROR('Data Sheet'!K64,0)</f>
        <v>68376.789999999994</v>
      </c>
    </row>
    <row r="56" spans="2:13" outlineLevel="1">
      <c r="B56" t="s">
        <v>106</v>
      </c>
      <c r="C56" s="62">
        <f>IFERROR('Data Sheet'!B65-SUM('Data Sheet'!B67:B69),0)</f>
        <v>123707.90999999999</v>
      </c>
      <c r="D56" s="62">
        <f>IFERROR('Data Sheet'!C65-SUM('Data Sheet'!C67:C69),0)</f>
        <v>149907.09</v>
      </c>
      <c r="E56" s="62">
        <f>IFERROR('Data Sheet'!D65-SUM('Data Sheet'!D67:D69),0)</f>
        <v>167029.66</v>
      </c>
      <c r="F56" s="62">
        <f>IFERROR('Data Sheet'!E65-SUM('Data Sheet'!E67:E69),0)</f>
        <v>178079.19</v>
      </c>
      <c r="G56" s="62">
        <f>IFERROR('Data Sheet'!F65-SUM('Data Sheet'!F67:F69),0)</f>
        <v>161356.88999999998</v>
      </c>
      <c r="H56" s="62">
        <f>IFERROR('Data Sheet'!G65-SUM('Data Sheet'!G67:G69),0)</f>
        <v>164402.36000000002</v>
      </c>
      <c r="I56" s="62">
        <f>IFERROR('Data Sheet'!H65-SUM('Data Sheet'!H67:H69),0)</f>
        <v>165137.09</v>
      </c>
      <c r="J56" s="62">
        <f>IFERROR('Data Sheet'!I65-SUM('Data Sheet'!I67:I69),0)</f>
        <v>177196.16</v>
      </c>
      <c r="K56" s="62">
        <f>IFERROR('Data Sheet'!J65-SUM('Data Sheet'!J67:J69),0)</f>
        <v>193315.12</v>
      </c>
      <c r="L56" s="62">
        <f>IFERROR('Data Sheet'!K65-SUM('Data Sheet'!K67:K69),0)</f>
        <v>258988.26</v>
      </c>
    </row>
    <row r="57" spans="2:13" outlineLevel="1">
      <c r="B57" s="66" t="s">
        <v>107</v>
      </c>
      <c r="C57" s="69">
        <f>SUM(C53:C56)</f>
        <v>173435.97999999998</v>
      </c>
      <c r="D57" s="69">
        <f t="shared" ref="D57:L57" si="18">SUM(D53:D56)</f>
        <v>197242.02</v>
      </c>
      <c r="E57" s="69">
        <f t="shared" si="18"/>
        <v>223050.19</v>
      </c>
      <c r="F57" s="69">
        <f t="shared" si="18"/>
        <v>245091.14</v>
      </c>
      <c r="G57" s="69">
        <f t="shared" si="18"/>
        <v>245803.22999999998</v>
      </c>
      <c r="H57" s="69">
        <f t="shared" si="18"/>
        <v>247992.10000000003</v>
      </c>
      <c r="I57" s="69">
        <f t="shared" si="18"/>
        <v>255641.97</v>
      </c>
      <c r="J57" s="69">
        <f t="shared" si="18"/>
        <v>268852.81</v>
      </c>
      <c r="K57" s="69">
        <f t="shared" si="18"/>
        <v>294764.52</v>
      </c>
      <c r="L57" s="69">
        <f t="shared" si="18"/>
        <v>361542.91000000003</v>
      </c>
    </row>
    <row r="58" spans="2:13" outlineLevel="1">
      <c r="B58" s="2"/>
    </row>
    <row r="59" spans="2:13" outlineLevel="1">
      <c r="B59" t="s">
        <v>108</v>
      </c>
      <c r="C59" s="62">
        <f>IFERROR('Data Sheet'!B67,0)</f>
        <v>28688.97</v>
      </c>
      <c r="D59" s="62">
        <f>IFERROR('Data Sheet'!C67,0)</f>
        <v>33116.980000000003</v>
      </c>
      <c r="E59" s="62">
        <f>IFERROR('Data Sheet'!D67,0)</f>
        <v>36845.870000000003</v>
      </c>
      <c r="F59" s="62">
        <f>IFERROR('Data Sheet'!E67,0)</f>
        <v>40731.519999999997</v>
      </c>
      <c r="G59" s="62">
        <f>IFERROR('Data Sheet'!F67,0)</f>
        <v>42229.78</v>
      </c>
      <c r="H59" s="62">
        <f>IFERROR('Data Sheet'!G67,0)</f>
        <v>46139.32</v>
      </c>
      <c r="I59" s="62">
        <f>IFERROR('Data Sheet'!H67,0)</f>
        <v>44731.53</v>
      </c>
      <c r="J59" s="62">
        <f>IFERROR('Data Sheet'!I67,0)</f>
        <v>48770.95</v>
      </c>
      <c r="K59" s="62">
        <f>IFERROR('Data Sheet'!J67,0)</f>
        <v>53713.68</v>
      </c>
      <c r="L59" s="62">
        <f>IFERROR('Data Sheet'!K67,0)</f>
        <v>60461.26</v>
      </c>
    </row>
    <row r="60" spans="2:13" outlineLevel="1">
      <c r="B60" t="s">
        <v>109</v>
      </c>
      <c r="C60" s="62">
        <f>IFERROR('Data Sheet'!B68,0)</f>
        <v>4139.74</v>
      </c>
      <c r="D60" s="62">
        <f>IFERROR('Data Sheet'!C68,0)</f>
        <v>4847.8</v>
      </c>
      <c r="E60" s="62">
        <f>IFERROR('Data Sheet'!D68,0)</f>
        <v>6413.93</v>
      </c>
      <c r="F60" s="62">
        <f>IFERROR('Data Sheet'!E68,0)</f>
        <v>5746.65</v>
      </c>
      <c r="G60" s="62">
        <f>IFERROR('Data Sheet'!F68,0)</f>
        <v>5820.54</v>
      </c>
      <c r="H60" s="62">
        <f>IFERROR('Data Sheet'!G68,0)</f>
        <v>5943.32</v>
      </c>
      <c r="I60" s="62">
        <f>IFERROR('Data Sheet'!H68,0)</f>
        <v>6828.78</v>
      </c>
      <c r="J60" s="62">
        <f>IFERROR('Data Sheet'!I68,0)</f>
        <v>6620.19</v>
      </c>
      <c r="K60" s="62">
        <f>IFERROR('Data Sheet'!J68,0)</f>
        <v>7670.55</v>
      </c>
      <c r="L60" s="62">
        <f>IFERROR('Data Sheet'!K68,0)</f>
        <v>9530.93</v>
      </c>
    </row>
    <row r="61" spans="2:13" outlineLevel="1">
      <c r="B61" t="s">
        <v>110</v>
      </c>
      <c r="C61" s="62">
        <f>IFERROR('Data Sheet'!B69,0)</f>
        <v>5305.96</v>
      </c>
      <c r="D61" s="62">
        <f>IFERROR('Data Sheet'!C69,0)</f>
        <v>8032.73</v>
      </c>
      <c r="E61" s="62">
        <f>IFERROR('Data Sheet'!D69,0)</f>
        <v>11726.24</v>
      </c>
      <c r="F61" s="62">
        <f>IFERROR('Data Sheet'!E69,0)</f>
        <v>15117.78</v>
      </c>
      <c r="G61" s="62">
        <f>IFERROR('Data Sheet'!F69,0)</f>
        <v>16241.5</v>
      </c>
      <c r="H61" s="62">
        <f>IFERROR('Data Sheet'!G69,0)</f>
        <v>18953.169999999998</v>
      </c>
      <c r="I61" s="62">
        <f>IFERROR('Data Sheet'!H69,0)</f>
        <v>22519.599999999999</v>
      </c>
      <c r="J61" s="62">
        <f>IFERROR('Data Sheet'!I69,0)</f>
        <v>15358.39</v>
      </c>
      <c r="K61" s="62">
        <f>IFERROR('Data Sheet'!J69,0)</f>
        <v>22965.34</v>
      </c>
      <c r="L61" s="62">
        <f>IFERROR('Data Sheet'!K69,0)</f>
        <v>20847.669999999998</v>
      </c>
    </row>
    <row r="62" spans="2:13" outlineLevel="1">
      <c r="B62" s="66" t="s">
        <v>111</v>
      </c>
      <c r="C62" s="69">
        <f>IFERROR(SUM(C59:C61),0)</f>
        <v>38134.67</v>
      </c>
      <c r="D62" s="69">
        <f t="shared" ref="D62:L62" si="19">IFERROR(SUM(D59:D61),0)</f>
        <v>45997.510000000009</v>
      </c>
      <c r="E62" s="69">
        <f t="shared" si="19"/>
        <v>54986.04</v>
      </c>
      <c r="F62" s="69">
        <f t="shared" si="19"/>
        <v>61595.95</v>
      </c>
      <c r="G62" s="69">
        <f t="shared" si="19"/>
        <v>64291.82</v>
      </c>
      <c r="H62" s="69">
        <f t="shared" si="19"/>
        <v>71035.81</v>
      </c>
      <c r="I62" s="69">
        <f t="shared" si="19"/>
        <v>74079.91</v>
      </c>
      <c r="J62" s="69">
        <f t="shared" si="19"/>
        <v>70749.53</v>
      </c>
      <c r="K62" s="69">
        <f t="shared" si="19"/>
        <v>84349.57</v>
      </c>
      <c r="L62" s="69">
        <f t="shared" si="19"/>
        <v>90839.86</v>
      </c>
    </row>
    <row r="63" spans="2:13" outlineLevel="1"/>
    <row r="64" spans="2:13" outlineLevel="1">
      <c r="B64" s="66" t="s">
        <v>112</v>
      </c>
      <c r="C64" s="69">
        <f>IFERROR(C62+C57,0)</f>
        <v>211570.64999999997</v>
      </c>
      <c r="D64" s="69">
        <f t="shared" ref="D64:L64" si="20">IFERROR(D62+D57,0)</f>
        <v>243239.53</v>
      </c>
      <c r="E64" s="69">
        <f t="shared" si="20"/>
        <v>278036.23</v>
      </c>
      <c r="F64" s="69">
        <f t="shared" si="20"/>
        <v>306687.09000000003</v>
      </c>
      <c r="G64" s="69">
        <f t="shared" si="20"/>
        <v>310095.05</v>
      </c>
      <c r="H64" s="69">
        <f t="shared" si="20"/>
        <v>319027.91000000003</v>
      </c>
      <c r="I64" s="69">
        <f t="shared" si="20"/>
        <v>329721.88</v>
      </c>
      <c r="J64" s="69">
        <f t="shared" si="20"/>
        <v>339602.33999999997</v>
      </c>
      <c r="K64" s="69">
        <f t="shared" si="20"/>
        <v>379114.09</v>
      </c>
      <c r="L64" s="69">
        <f t="shared" si="20"/>
        <v>452382.77</v>
      </c>
    </row>
    <row r="65" spans="1:13" outlineLevel="1"/>
    <row r="66" spans="1:13">
      <c r="B66" s="71" t="s">
        <v>113</v>
      </c>
      <c r="C66" s="71" t="b">
        <f>C64=C51</f>
        <v>1</v>
      </c>
      <c r="D66" s="71" t="b">
        <f t="shared" ref="D66:L66" si="21">D64=D51</f>
        <v>1</v>
      </c>
      <c r="E66" s="71" t="b">
        <f t="shared" si="21"/>
        <v>1</v>
      </c>
      <c r="F66" s="71" t="b">
        <f t="shared" si="21"/>
        <v>1</v>
      </c>
      <c r="G66" s="71" t="b">
        <f t="shared" si="21"/>
        <v>1</v>
      </c>
      <c r="H66" s="71" t="b">
        <f t="shared" si="21"/>
        <v>1</v>
      </c>
      <c r="I66" s="71" t="b">
        <f t="shared" si="21"/>
        <v>1</v>
      </c>
      <c r="J66" s="71" t="b">
        <f t="shared" si="21"/>
        <v>1</v>
      </c>
      <c r="K66" s="71" t="b">
        <f t="shared" si="21"/>
        <v>1</v>
      </c>
      <c r="L66" s="71" t="b">
        <f t="shared" si="21"/>
        <v>1</v>
      </c>
    </row>
    <row r="68" spans="1:13">
      <c r="A68" t="s">
        <v>68</v>
      </c>
      <c r="B68" s="61" t="s">
        <v>114</v>
      </c>
      <c r="C68" s="7"/>
      <c r="D68" s="7"/>
      <c r="E68" s="7"/>
      <c r="F68" s="7"/>
      <c r="G68" s="7"/>
      <c r="H68" s="7"/>
      <c r="I68" s="7"/>
      <c r="J68" s="7"/>
      <c r="K68" s="7"/>
      <c r="L68" s="7"/>
      <c r="M68" s="7"/>
    </row>
    <row r="69" spans="1:13" outlineLevel="1">
      <c r="B69" s="2"/>
    </row>
    <row r="70" spans="1:13" outlineLevel="1">
      <c r="B70" t="s">
        <v>115</v>
      </c>
      <c r="C70" s="62">
        <f>'Data Sheet'!B82</f>
        <v>6655.26</v>
      </c>
      <c r="D70" s="62">
        <f>'Data Sheet'!C82</f>
        <v>-10031.02</v>
      </c>
      <c r="E70" s="62">
        <f>'Data Sheet'!D82</f>
        <v>-4755.83</v>
      </c>
      <c r="F70" s="62">
        <f>'Data Sheet'!E82</f>
        <v>6693.88</v>
      </c>
      <c r="G70" s="62">
        <f>'Data Sheet'!F82</f>
        <v>23073.82</v>
      </c>
      <c r="H70" s="62">
        <f>'Data Sheet'!G82</f>
        <v>19163.580000000002</v>
      </c>
      <c r="I70" s="62">
        <f>'Data Sheet'!H82</f>
        <v>22776.959999999999</v>
      </c>
      <c r="J70" s="62">
        <f>'Data Sheet'!I82</f>
        <v>18266.28</v>
      </c>
      <c r="K70" s="62">
        <f>'Data Sheet'!J82</f>
        <v>9151.35</v>
      </c>
      <c r="L70" s="62">
        <f>'Data Sheet'!K82</f>
        <v>16740.97</v>
      </c>
    </row>
    <row r="71" spans="1:13" outlineLevel="1"/>
    <row r="72" spans="1:13" outlineLevel="1">
      <c r="B72" t="s">
        <v>116</v>
      </c>
      <c r="C72" s="62">
        <f>'Data Sheet'!B83</f>
        <v>-9795.94</v>
      </c>
      <c r="D72" s="62">
        <f>'Data Sheet'!C83</f>
        <v>3914.5</v>
      </c>
      <c r="E72" s="62">
        <f>'Data Sheet'!D83</f>
        <v>-11022.8</v>
      </c>
      <c r="F72" s="62">
        <f>'Data Sheet'!E83</f>
        <v>-8407.7099999999991</v>
      </c>
      <c r="G72" s="62">
        <f>'Data Sheet'!F83</f>
        <v>-5750.49</v>
      </c>
      <c r="H72" s="62">
        <f>'Data Sheet'!G83</f>
        <v>-3585.38</v>
      </c>
      <c r="I72" s="62">
        <f>'Data Sheet'!H83</f>
        <v>-8048.02</v>
      </c>
      <c r="J72" s="62">
        <f>'Data Sheet'!I83</f>
        <v>2178.89</v>
      </c>
      <c r="K72" s="62">
        <f>'Data Sheet'!J83</f>
        <v>-15479.47</v>
      </c>
      <c r="L72" s="62">
        <f>'Data Sheet'!K83</f>
        <v>-11380.3</v>
      </c>
    </row>
    <row r="73" spans="1:13" outlineLevel="1"/>
    <row r="74" spans="1:13" outlineLevel="1">
      <c r="B74" t="s">
        <v>117</v>
      </c>
      <c r="C74" s="62">
        <f>'Data Sheet'!B84</f>
        <v>2895.93</v>
      </c>
      <c r="D74" s="62">
        <f>'Data Sheet'!C84</f>
        <v>9370.4599999999991</v>
      </c>
      <c r="E74" s="62">
        <f>'Data Sheet'!D84</f>
        <v>15440.17</v>
      </c>
      <c r="F74" s="62">
        <f>'Data Sheet'!E84</f>
        <v>6371.55</v>
      </c>
      <c r="G74" s="62">
        <f>'Data Sheet'!F84</f>
        <v>-15274.38</v>
      </c>
      <c r="H74" s="62">
        <f>'Data Sheet'!G84</f>
        <v>-15181.48</v>
      </c>
      <c r="I74" s="62">
        <f>'Data Sheet'!H84</f>
        <v>-11572.49</v>
      </c>
      <c r="J74" s="62">
        <f>'Data Sheet'!I84</f>
        <v>-25413.360000000001</v>
      </c>
      <c r="K74" s="62">
        <f>'Data Sheet'!J84</f>
        <v>6556.62</v>
      </c>
      <c r="L74" s="62">
        <f>'Data Sheet'!K84</f>
        <v>-2156.4299999999998</v>
      </c>
    </row>
    <row r="75" spans="1:13" outlineLevel="1"/>
    <row r="76" spans="1:13">
      <c r="B76" s="2" t="s">
        <v>118</v>
      </c>
      <c r="C76" s="72">
        <f t="shared" ref="C76:L76" si="22">IFERROR(C70+C72+C74,0)</f>
        <v>-244.75000000000045</v>
      </c>
      <c r="D76" s="72">
        <f t="shared" si="22"/>
        <v>3253.9399999999987</v>
      </c>
      <c r="E76" s="72">
        <f t="shared" si="22"/>
        <v>-338.45999999999913</v>
      </c>
      <c r="F76" s="72">
        <f t="shared" si="22"/>
        <v>4657.7200000000012</v>
      </c>
      <c r="G76" s="72">
        <f t="shared" si="22"/>
        <v>2048.9500000000025</v>
      </c>
      <c r="H76" s="72">
        <f t="shared" si="22"/>
        <v>396.72000000000116</v>
      </c>
      <c r="I76" s="72">
        <f t="shared" si="22"/>
        <v>3156.4499999999989</v>
      </c>
      <c r="J76" s="72">
        <f t="shared" si="22"/>
        <v>-4968.1900000000023</v>
      </c>
      <c r="K76" s="72">
        <f t="shared" si="22"/>
        <v>228.50000000000091</v>
      </c>
      <c r="L76" s="72">
        <f t="shared" si="22"/>
        <v>3204.2400000000021</v>
      </c>
    </row>
  </sheetData>
  <mergeCells count="1">
    <mergeCell ref="B2:M2"/>
  </mergeCells>
  <pageMargins left="0.7" right="0.7" top="0.75" bottom="0.75" header="0.3" footer="0.3"/>
  <pageSetup scale="52" fitToHeight="0" orientation="portrait" r:id="rId1"/>
  <ignoredErrors>
    <ignoredError sqref="C15:L15 M21 M6 M24 M30"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355B1-9469-4E1B-8CE5-647380F64976}">
  <dimension ref="B2:O112"/>
  <sheetViews>
    <sheetView showGridLines="0" topLeftCell="A2" zoomScale="84" workbookViewId="0">
      <pane ySplit="1" topLeftCell="A3" activePane="bottomLeft" state="frozen"/>
      <selection activeCell="A2" sqref="A2"/>
      <selection pane="bottomLeft" activeCell="L51" sqref="L51"/>
    </sheetView>
  </sheetViews>
  <sheetFormatPr defaultRowHeight="15" outlineLevelRow="1"/>
  <cols>
    <col min="1" max="1" width="1.85546875" customWidth="1"/>
    <col min="2" max="2" width="35.42578125" bestFit="1" customWidth="1"/>
    <col min="3" max="14" width="12.7109375" customWidth="1"/>
  </cols>
  <sheetData>
    <row r="2" spans="2:15" ht="24.95" customHeight="1">
      <c r="B2" s="103" t="s">
        <v>180</v>
      </c>
      <c r="C2" s="104">
        <f>IFERROR('Data Sheet 2'!C2,0)</f>
        <v>42064</v>
      </c>
      <c r="D2" s="104">
        <f>IFERROR('Data Sheet 2'!D2,0)</f>
        <v>42430</v>
      </c>
      <c r="E2" s="104">
        <f>IFERROR('Data Sheet 2'!E2,0)</f>
        <v>42795</v>
      </c>
      <c r="F2" s="104">
        <f>IFERROR('Data Sheet 2'!F2,0)</f>
        <v>43160</v>
      </c>
      <c r="G2" s="104">
        <f>IFERROR('Data Sheet 2'!G2,0)</f>
        <v>43525</v>
      </c>
      <c r="H2" s="104">
        <f>IFERROR('Data Sheet 2'!H2,0)</f>
        <v>43891</v>
      </c>
      <c r="I2" s="104">
        <f>IFERROR('Data Sheet 2'!I2,0)</f>
        <v>44256</v>
      </c>
      <c r="J2" s="104">
        <f>IFERROR('Data Sheet 2'!J2,0)</f>
        <v>44621</v>
      </c>
      <c r="K2" s="104">
        <f>IFERROR('Data Sheet 2'!K2,0)</f>
        <v>44986</v>
      </c>
      <c r="L2" s="104">
        <f>IFERROR('Data Sheet 2'!L2,0)</f>
        <v>45352</v>
      </c>
      <c r="M2" s="104">
        <f>IFERROR('Data Sheet 2'!M2,0)</f>
        <v>45717</v>
      </c>
      <c r="N2" s="104">
        <f>IFERROR('Data Sheet 2'!N2,0)</f>
        <v>46082</v>
      </c>
    </row>
    <row r="3" spans="2:15">
      <c r="B3" s="58"/>
      <c r="C3" s="59"/>
      <c r="D3" s="59"/>
      <c r="E3" s="59"/>
      <c r="F3" s="59"/>
      <c r="G3" s="59"/>
      <c r="H3" s="59"/>
      <c r="I3" s="59"/>
      <c r="J3" s="59"/>
      <c r="K3" s="59"/>
      <c r="L3" s="59"/>
      <c r="M3" s="59"/>
      <c r="N3" s="59"/>
    </row>
    <row r="4" spans="2:15" outlineLevel="1">
      <c r="B4" s="2" t="str">
        <f>IFERROR('Data Sheet 2'!B3,0)</f>
        <v>Equity Capital</v>
      </c>
      <c r="C4" s="87">
        <f>IFERROR('Data Sheet 2'!C3,0)</f>
        <v>186</v>
      </c>
      <c r="D4" s="87">
        <f>IFERROR('Data Sheet 2'!D3,0)</f>
        <v>186</v>
      </c>
      <c r="E4" s="87">
        <f>IFERROR('Data Sheet 2'!E3,0)</f>
        <v>187</v>
      </c>
      <c r="F4" s="87">
        <f>IFERROR('Data Sheet 2'!F3,0)</f>
        <v>280</v>
      </c>
      <c r="G4" s="87">
        <f>IFERROR('Data Sheet 2'!G3,0)</f>
        <v>281</v>
      </c>
      <c r="H4" s="87">
        <f>IFERROR('Data Sheet 2'!H3,0)</f>
        <v>281</v>
      </c>
      <c r="I4" s="87">
        <f>IFERROR('Data Sheet 2'!I3,0)</f>
        <v>281</v>
      </c>
      <c r="J4" s="87">
        <f>IFERROR('Data Sheet 2'!J3,0)</f>
        <v>281</v>
      </c>
      <c r="K4" s="87">
        <f>IFERROR('Data Sheet 2'!K3,0)</f>
        <v>281</v>
      </c>
      <c r="L4" s="87">
        <f>IFERROR('Data Sheet 2'!L3,0)</f>
        <v>275</v>
      </c>
      <c r="M4" s="87">
        <f>IFERROR('Data Sheet 2'!M3,0)</f>
        <v>275</v>
      </c>
      <c r="N4" s="87">
        <f>IFERROR('Data Sheet 2'!N3,0)</f>
        <v>275</v>
      </c>
    </row>
    <row r="5" spans="2:15" outlineLevel="1">
      <c r="B5" s="2" t="str">
        <f>IFERROR('Data Sheet 2'!B4,0)</f>
        <v>Reserves</v>
      </c>
      <c r="C5" s="87">
        <f>IFERROR('Data Sheet 2'!C4,0)</f>
        <v>40723</v>
      </c>
      <c r="D5" s="87">
        <f>IFERROR('Data Sheet 2'!D4,0)</f>
        <v>43994</v>
      </c>
      <c r="E5" s="87">
        <f>IFERROR('Data Sheet 2'!E4,0)</f>
        <v>50030</v>
      </c>
      <c r="F5" s="87">
        <f>IFERROR('Data Sheet 2'!F4,0)</f>
        <v>54623</v>
      </c>
      <c r="G5" s="87">
        <f>IFERROR('Data Sheet 2'!G4,0)</f>
        <v>62094</v>
      </c>
      <c r="H5" s="87">
        <f>IFERROR('Data Sheet 2'!H4,0)</f>
        <v>66442</v>
      </c>
      <c r="I5" s="87">
        <f>IFERROR('Data Sheet 2'!I4,0)</f>
        <v>75588</v>
      </c>
      <c r="J5" s="87">
        <f>IFERROR('Data Sheet 2'!J4,0)</f>
        <v>82127</v>
      </c>
      <c r="K5" s="87">
        <f>IFERROR('Data Sheet 2'!K4,0)</f>
        <v>89045</v>
      </c>
      <c r="L5" s="87">
        <f>IFERROR('Data Sheet 2'!L4,0)</f>
        <v>86084</v>
      </c>
      <c r="M5" s="87">
        <f>IFERROR('Data Sheet 2'!M4,0)</f>
        <v>97381</v>
      </c>
      <c r="N5" s="87">
        <f>IFERROR('Data Sheet 2'!N4,0)</f>
        <v>109015</v>
      </c>
      <c r="O5" s="88"/>
    </row>
    <row r="6" spans="2:15" outlineLevel="1">
      <c r="B6" s="2" t="str">
        <f>IFERROR('Data Sheet 2'!B5,0)</f>
        <v>Borrowings -</v>
      </c>
      <c r="C6" s="87"/>
      <c r="D6" s="87"/>
      <c r="E6" s="87"/>
      <c r="F6" s="87"/>
      <c r="G6" s="87"/>
      <c r="H6" s="87"/>
      <c r="I6" s="87"/>
      <c r="J6" s="87"/>
      <c r="K6" s="87"/>
      <c r="L6" s="87"/>
      <c r="M6" s="87"/>
      <c r="N6" s="87"/>
    </row>
    <row r="7" spans="2:15" outlineLevel="1">
      <c r="B7" t="str">
        <f>IFERROR('Data Sheet 2'!B6,0)</f>
        <v>Long term Borrowings</v>
      </c>
      <c r="C7" s="87">
        <f>IFERROR('Data Sheet 2'!C6,0)</f>
        <v>68469</v>
      </c>
      <c r="D7" s="87">
        <f>IFERROR('Data Sheet 2'!D6,0)</f>
        <v>61224</v>
      </c>
      <c r="E7" s="87">
        <f>IFERROR('Data Sheet 2'!E6,0)</f>
        <v>67341</v>
      </c>
      <c r="F7" s="87">
        <f>IFERROR('Data Sheet 2'!F6,0)</f>
        <v>72915</v>
      </c>
      <c r="G7" s="87">
        <f>IFERROR('Data Sheet 2'!G6,0)</f>
        <v>74121</v>
      </c>
      <c r="H7" s="87">
        <f>IFERROR('Data Sheet 2'!H6,0)</f>
        <v>82331</v>
      </c>
      <c r="I7" s="87">
        <f>IFERROR('Data Sheet 2'!I6,0)</f>
        <v>82120</v>
      </c>
      <c r="J7" s="87">
        <f>IFERROR('Data Sheet 2'!J6,0)</f>
        <v>61618</v>
      </c>
      <c r="K7" s="87">
        <f>IFERROR('Data Sheet 2'!K6,0)</f>
        <v>61218</v>
      </c>
      <c r="L7" s="87">
        <f>IFERROR('Data Sheet 2'!L6,0)</f>
        <v>56507</v>
      </c>
      <c r="M7" s="87">
        <f>IFERROR('Data Sheet 2'!M6,0)</f>
        <v>57503</v>
      </c>
      <c r="N7" s="87">
        <f>IFERROR('Data Sheet 2'!N6,0)</f>
        <v>63739</v>
      </c>
    </row>
    <row r="8" spans="2:15" outlineLevel="1">
      <c r="B8" t="str">
        <f>IFERROR('Data Sheet 2'!B7,0)</f>
        <v>Short term Borrowings</v>
      </c>
      <c r="C8" s="87">
        <f>IFERROR('Data Sheet 2'!C7,0)</f>
        <v>16729</v>
      </c>
      <c r="D8" s="87">
        <f>IFERROR('Data Sheet 2'!D7,0)</f>
        <v>14897</v>
      </c>
      <c r="E8" s="87">
        <f>IFERROR('Data Sheet 2'!E7,0)</f>
        <v>16534</v>
      </c>
      <c r="F8" s="87">
        <f>IFERROR('Data Sheet 2'!F7,0)</f>
        <v>19332</v>
      </c>
      <c r="G8" s="87">
        <f>IFERROR('Data Sheet 2'!G7,0)</f>
        <v>29224</v>
      </c>
      <c r="H8" s="87">
        <f>IFERROR('Data Sheet 2'!H7,0)</f>
        <v>35021</v>
      </c>
      <c r="I8" s="87">
        <f>IFERROR('Data Sheet 2'!I7,0)</f>
        <v>27766</v>
      </c>
      <c r="J8" s="87">
        <f>IFERROR('Data Sheet 2'!J7,0)</f>
        <v>30477</v>
      </c>
      <c r="K8" s="87">
        <f>IFERROR('Data Sheet 2'!K7,0)</f>
        <v>30896</v>
      </c>
      <c r="L8" s="87">
        <f>IFERROR('Data Sheet 2'!L7,0)</f>
        <v>27834</v>
      </c>
      <c r="M8" s="87">
        <f>IFERROR('Data Sheet 2'!M7,0)</f>
        <v>35861</v>
      </c>
      <c r="N8" s="87">
        <f>IFERROR('Data Sheet 2'!N7,0)</f>
        <v>34779</v>
      </c>
    </row>
    <row r="9" spans="2:15" outlineLevel="1">
      <c r="B9" t="str">
        <f>IFERROR('Data Sheet 2'!B8,0)</f>
        <v>Lease Liabilities</v>
      </c>
      <c r="C9" s="87">
        <f>IFERROR('Data Sheet 2'!C8,0)</f>
        <v>0</v>
      </c>
      <c r="D9" s="87">
        <f>IFERROR('Data Sheet 2'!D8,0)</f>
        <v>0</v>
      </c>
      <c r="E9" s="87">
        <f>IFERROR('Data Sheet 2'!E8,0)</f>
        <v>0</v>
      </c>
      <c r="F9" s="87">
        <f>IFERROR('Data Sheet 2'!F8,0)</f>
        <v>0</v>
      </c>
      <c r="G9" s="87">
        <f>IFERROR('Data Sheet 2'!G8,0)</f>
        <v>0</v>
      </c>
      <c r="H9" s="87">
        <f>IFERROR('Data Sheet 2'!H8,0)</f>
        <v>2167</v>
      </c>
      <c r="I9" s="87">
        <f>IFERROR('Data Sheet 2'!I8,0)</f>
        <v>2024</v>
      </c>
      <c r="J9" s="87">
        <f>IFERROR('Data Sheet 2'!J8,0)</f>
        <v>2040</v>
      </c>
      <c r="K9" s="87">
        <f>IFERROR('Data Sheet 2'!K8,0)</f>
        <v>2137</v>
      </c>
      <c r="L9" s="87">
        <f>IFERROR('Data Sheet 2'!L8,0)</f>
        <v>2282</v>
      </c>
      <c r="M9" s="87">
        <f>IFERROR('Data Sheet 2'!M8,0)</f>
        <v>2850</v>
      </c>
      <c r="N9" s="87">
        <f>IFERROR('Data Sheet 2'!N8,0)</f>
        <v>3814</v>
      </c>
    </row>
    <row r="10" spans="2:15" outlineLevel="1">
      <c r="B10" t="str">
        <f>IFERROR('Data Sheet 2'!B9,0)</f>
        <v>Preference Capital</v>
      </c>
      <c r="C10" s="87">
        <f>IFERROR('Data Sheet 2'!C9,0)</f>
        <v>0</v>
      </c>
      <c r="D10" s="87">
        <f>IFERROR('Data Sheet 2'!D9,0)</f>
        <v>1313</v>
      </c>
      <c r="E10" s="87">
        <f>IFERROR('Data Sheet 2'!E9,0)</f>
        <v>1147</v>
      </c>
      <c r="F10" s="87">
        <f>IFERROR('Data Sheet 2'!F9,0)</f>
        <v>905</v>
      </c>
      <c r="G10" s="87">
        <f>IFERROR('Data Sheet 2'!G9,0)</f>
        <v>976</v>
      </c>
      <c r="H10" s="87">
        <f>IFERROR('Data Sheet 2'!H9,0)</f>
        <v>1404</v>
      </c>
      <c r="I10" s="87">
        <f>IFERROR('Data Sheet 2'!I9,0)</f>
        <v>1124</v>
      </c>
      <c r="J10" s="87">
        <f>IFERROR('Data Sheet 2'!J9,0)</f>
        <v>216</v>
      </c>
      <c r="K10" s="87">
        <f>IFERROR('Data Sheet 2'!K9,0)</f>
        <v>0</v>
      </c>
      <c r="L10" s="87">
        <f>IFERROR('Data Sheet 2'!L9,0)</f>
        <v>0</v>
      </c>
      <c r="M10" s="87">
        <f>IFERROR('Data Sheet 2'!M9,0)</f>
        <v>0</v>
      </c>
      <c r="N10" s="87">
        <f>IFERROR('Data Sheet 2'!N9,0)</f>
        <v>0</v>
      </c>
    </row>
    <row r="11" spans="2:15" outlineLevel="1">
      <c r="B11" t="str">
        <f>IFERROR('Data Sheet 2'!B10,0)</f>
        <v>Other Borrowings</v>
      </c>
      <c r="C11" s="87">
        <f>IFERROR('Data Sheet 2'!C10,0)</f>
        <v>8431</v>
      </c>
      <c r="D11" s="87">
        <f>IFERROR('Data Sheet 2'!D10,0)</f>
        <v>10702</v>
      </c>
      <c r="E11" s="87">
        <f>IFERROR('Data Sheet 2'!E10,0)</f>
        <v>8932</v>
      </c>
      <c r="F11" s="87">
        <f>IFERROR('Data Sheet 2'!F10,0)</f>
        <v>14372</v>
      </c>
      <c r="G11" s="87">
        <f>IFERROR('Data Sheet 2'!G10,0)</f>
        <v>21234</v>
      </c>
      <c r="H11" s="87">
        <f>IFERROR('Data Sheet 2'!H10,0)</f>
        <v>22251</v>
      </c>
      <c r="I11" s="87">
        <f>IFERROR('Data Sheet 2'!I10,0)</f>
        <v>21596</v>
      </c>
      <c r="J11" s="87">
        <f>IFERROR('Data Sheet 2'!J10,0)</f>
        <v>31157</v>
      </c>
      <c r="K11" s="87">
        <f>IFERROR('Data Sheet 2'!K10,0)</f>
        <v>26399</v>
      </c>
      <c r="L11" s="87">
        <f>IFERROR('Data Sheet 2'!L10,0)</f>
        <v>29699</v>
      </c>
      <c r="M11" s="87">
        <f>IFERROR('Data Sheet 2'!M10,0)</f>
        <v>36195</v>
      </c>
      <c r="N11" s="87">
        <f>IFERROR('Data Sheet 2'!N10,0)</f>
        <v>23166</v>
      </c>
    </row>
    <row r="12" spans="2:15" outlineLevel="1">
      <c r="B12" s="2" t="str">
        <f>IFERROR('Data Sheet 2'!B11,0)</f>
        <v>Other Liabilities -</v>
      </c>
      <c r="C12" s="87"/>
      <c r="D12" s="87"/>
      <c r="E12" s="87"/>
      <c r="F12" s="87"/>
      <c r="G12" s="87"/>
      <c r="H12" s="87"/>
      <c r="I12" s="87"/>
      <c r="J12" s="87"/>
      <c r="K12" s="87"/>
      <c r="L12" s="87"/>
      <c r="M12" s="87"/>
      <c r="N12" s="87"/>
    </row>
    <row r="13" spans="2:15" outlineLevel="1">
      <c r="B13" t="str">
        <f>IFERROR('Data Sheet 2'!B12,0)</f>
        <v>Non controlling int</v>
      </c>
      <c r="C13" s="87">
        <f>IFERROR('Data Sheet 2'!C12,0)</f>
        <v>4999</v>
      </c>
      <c r="D13" s="87">
        <f>IFERROR('Data Sheet 2'!D12,0)</f>
        <v>2893</v>
      </c>
      <c r="E13" s="87">
        <f>IFERROR('Data Sheet 2'!E12,0)</f>
        <v>3564</v>
      </c>
      <c r="F13" s="87">
        <f>IFERROR('Data Sheet 2'!F12,0)</f>
        <v>5201</v>
      </c>
      <c r="G13" s="87">
        <f>IFERROR('Data Sheet 2'!G12,0)</f>
        <v>6826</v>
      </c>
      <c r="H13" s="87">
        <f>IFERROR('Data Sheet 2'!H12,0)</f>
        <v>9521</v>
      </c>
      <c r="I13" s="87">
        <f>IFERROR('Data Sheet 2'!I12,0)</f>
        <v>12052</v>
      </c>
      <c r="J13" s="87">
        <f>IFERROR('Data Sheet 2'!J12,0)</f>
        <v>12966</v>
      </c>
      <c r="K13" s="87">
        <f>IFERROR('Data Sheet 2'!K12,0)</f>
        <v>14241</v>
      </c>
      <c r="L13" s="87">
        <f>IFERROR('Data Sheet 2'!L12,0)</f>
        <v>16190</v>
      </c>
      <c r="M13" s="87">
        <f>IFERROR('Data Sheet 2'!M12,0)</f>
        <v>17748</v>
      </c>
      <c r="N13" s="87">
        <f>IFERROR('Data Sheet 2'!N12,0)</f>
        <v>19241</v>
      </c>
    </row>
    <row r="14" spans="2:15" outlineLevel="1">
      <c r="B14" t="str">
        <f>IFERROR('Data Sheet 2'!B13,0)</f>
        <v>Trade Payables</v>
      </c>
      <c r="C14" s="87">
        <f>IFERROR('Data Sheet 2'!C13,0)</f>
        <v>24650</v>
      </c>
      <c r="D14" s="87">
        <f>IFERROR('Data Sheet 2'!D13,0)</f>
        <v>27004</v>
      </c>
      <c r="E14" s="87">
        <f>IFERROR('Data Sheet 2'!E13,0)</f>
        <v>30295</v>
      </c>
      <c r="F14" s="87">
        <f>IFERROR('Data Sheet 2'!F13,0)</f>
        <v>37797</v>
      </c>
      <c r="G14" s="87">
        <f>IFERROR('Data Sheet 2'!G13,0)</f>
        <v>42995</v>
      </c>
      <c r="H14" s="87">
        <f>IFERROR('Data Sheet 2'!H13,0)</f>
        <v>43644</v>
      </c>
      <c r="I14" s="87">
        <f>IFERROR('Data Sheet 2'!I13,0)</f>
        <v>45745</v>
      </c>
      <c r="J14" s="87">
        <f>IFERROR('Data Sheet 2'!J13,0)</f>
        <v>51366</v>
      </c>
      <c r="K14" s="87">
        <f>IFERROR('Data Sheet 2'!K13,0)</f>
        <v>49784</v>
      </c>
      <c r="L14" s="87">
        <f>IFERROR('Data Sheet 2'!L13,0)</f>
        <v>53293</v>
      </c>
      <c r="M14" s="87">
        <f>IFERROR('Data Sheet 2'!M13,0)</f>
        <v>52459</v>
      </c>
      <c r="N14" s="87">
        <f>IFERROR('Data Sheet 2'!N13,0)</f>
        <v>69456</v>
      </c>
    </row>
    <row r="15" spans="2:15" outlineLevel="1">
      <c r="B15" t="str">
        <f>IFERROR('Data Sheet 2'!B14,0)</f>
        <v>Advance from Customers</v>
      </c>
      <c r="C15" s="87">
        <f>IFERROR('Data Sheet 2'!C14,0)</f>
        <v>18502</v>
      </c>
      <c r="D15" s="87">
        <f>IFERROR('Data Sheet 2'!D14,0)</f>
        <v>21376</v>
      </c>
      <c r="E15" s="87">
        <f>IFERROR('Data Sheet 2'!E14,0)</f>
        <v>13956</v>
      </c>
      <c r="F15" s="87">
        <f>IFERROR('Data Sheet 2'!F14,0)</f>
        <v>14860</v>
      </c>
      <c r="G15" s="87">
        <f>IFERROR('Data Sheet 2'!G14,0)</f>
        <v>17271</v>
      </c>
      <c r="H15" s="87">
        <f>IFERROR('Data Sheet 2'!H14,0)</f>
        <v>16353</v>
      </c>
      <c r="I15" s="87">
        <f>IFERROR('Data Sheet 2'!I14,0)</f>
        <v>15876</v>
      </c>
      <c r="J15" s="87">
        <f>IFERROR('Data Sheet 2'!J14,0)</f>
        <v>17963</v>
      </c>
      <c r="K15" s="87">
        <f>IFERROR('Data Sheet 2'!K14,0)</f>
        <v>20425</v>
      </c>
      <c r="L15" s="87">
        <f>IFERROR('Data Sheet 2'!L14,0)</f>
        <v>26875</v>
      </c>
      <c r="M15" s="87">
        <f>IFERROR('Data Sheet 2'!M14,0)</f>
        <v>29087</v>
      </c>
      <c r="N15" s="87">
        <f>IFERROR('Data Sheet 2'!N14,0)</f>
        <v>39586</v>
      </c>
    </row>
    <row r="16" spans="2:15" outlineLevel="1">
      <c r="B16" t="str">
        <f>IFERROR('Data Sheet 2'!B15,0)</f>
        <v>Other liability items</v>
      </c>
      <c r="C16" s="214">
        <f>IFERROR('Data Sheet 2'!C15,0)</f>
        <v>10816</v>
      </c>
      <c r="D16" s="214">
        <f>IFERROR('Data Sheet 2'!D15,0)</f>
        <v>10500</v>
      </c>
      <c r="E16" s="214">
        <f>IFERROR('Data Sheet 2'!E15,0)</f>
        <v>19585</v>
      </c>
      <c r="F16" s="214">
        <f>IFERROR('Data Sheet 2'!F15,0)</f>
        <v>22954</v>
      </c>
      <c r="G16" s="214">
        <f>IFERROR('Data Sheet 2'!G15,0)</f>
        <v>23014</v>
      </c>
      <c r="H16" s="214">
        <f>IFERROR('Data Sheet 2'!H15,0)</f>
        <v>27272</v>
      </c>
      <c r="I16" s="214">
        <f>IFERROR('Data Sheet 2'!I15,0)</f>
        <v>25924</v>
      </c>
      <c r="J16" s="214">
        <f>IFERROR('Data Sheet 2'!J15,0)</f>
        <v>28817</v>
      </c>
      <c r="K16" s="214">
        <f>IFERROR('Data Sheet 2'!K15,0)</f>
        <v>35297</v>
      </c>
      <c r="L16" s="214">
        <f>IFERROR('Data Sheet 2'!L15,0)</f>
        <v>40562</v>
      </c>
      <c r="M16" s="214">
        <f>IFERROR('Data Sheet 2'!M15,0)</f>
        <v>49755</v>
      </c>
      <c r="N16" s="214">
        <f>IFERROR('Data Sheet 2'!N15,0)</f>
        <v>89312</v>
      </c>
    </row>
    <row r="17" spans="2:14" outlineLevel="1">
      <c r="B17" s="85" t="str">
        <f>IFERROR('Data Sheet 2'!B16,0)</f>
        <v>Total Liabilities</v>
      </c>
      <c r="C17" s="92">
        <f>SUM(C4:C16)</f>
        <v>193505</v>
      </c>
      <c r="D17" s="92">
        <f t="shared" ref="D17:N17" si="0">SUM(D4:D16)</f>
        <v>194089</v>
      </c>
      <c r="E17" s="92">
        <f t="shared" si="0"/>
        <v>211571</v>
      </c>
      <c r="F17" s="92">
        <f t="shared" si="0"/>
        <v>243239</v>
      </c>
      <c r="G17" s="92">
        <f t="shared" si="0"/>
        <v>278036</v>
      </c>
      <c r="H17" s="92">
        <f t="shared" si="0"/>
        <v>306687</v>
      </c>
      <c r="I17" s="92">
        <f t="shared" si="0"/>
        <v>310096</v>
      </c>
      <c r="J17" s="92">
        <f t="shared" si="0"/>
        <v>319028</v>
      </c>
      <c r="K17" s="92">
        <f t="shared" si="0"/>
        <v>329723</v>
      </c>
      <c r="L17" s="92">
        <f t="shared" si="0"/>
        <v>339601</v>
      </c>
      <c r="M17" s="92">
        <f t="shared" si="0"/>
        <v>379114</v>
      </c>
      <c r="N17" s="92">
        <f t="shared" si="0"/>
        <v>452383</v>
      </c>
    </row>
    <row r="18" spans="2:14">
      <c r="C18" s="83"/>
      <c r="D18" s="83"/>
      <c r="E18" s="83"/>
      <c r="F18" s="83"/>
      <c r="G18" s="83"/>
      <c r="H18" s="83"/>
      <c r="I18" s="83"/>
      <c r="J18" s="83"/>
      <c r="K18" s="83"/>
      <c r="L18" s="83"/>
      <c r="M18" s="83"/>
      <c r="N18" s="83"/>
    </row>
    <row r="19" spans="2:14" outlineLevel="1">
      <c r="B19" s="2" t="str">
        <f>IFERROR('Data Sheet 2'!B17,0)</f>
        <v>Fixed Assets -</v>
      </c>
      <c r="C19" s="83"/>
      <c r="D19" s="83"/>
      <c r="E19" s="83"/>
      <c r="F19" s="83"/>
      <c r="G19" s="83"/>
      <c r="H19" s="83"/>
      <c r="I19" s="83"/>
      <c r="J19" s="83"/>
      <c r="K19" s="83"/>
      <c r="L19" s="83"/>
      <c r="M19" s="83"/>
      <c r="N19" s="83"/>
    </row>
    <row r="20" spans="2:14" outlineLevel="1">
      <c r="B20" t="str">
        <f>IFERROR('Data Sheet 2'!B18,0)</f>
        <v>Land</v>
      </c>
      <c r="C20" s="87">
        <f>IFERROR('Data Sheet 2'!C18,0)</f>
        <v>1822</v>
      </c>
      <c r="D20" s="87">
        <f>IFERROR('Data Sheet 2'!D18,0)</f>
        <v>1071</v>
      </c>
      <c r="E20" s="87">
        <f>IFERROR('Data Sheet 2'!E18,0)</f>
        <v>1038</v>
      </c>
      <c r="F20" s="87">
        <f>IFERROR('Data Sheet 2'!F18,0)</f>
        <v>1025</v>
      </c>
      <c r="G20" s="87">
        <f>IFERROR('Data Sheet 2'!G18,0)</f>
        <v>1362</v>
      </c>
      <c r="H20" s="87">
        <f>IFERROR('Data Sheet 2'!H18,0)</f>
        <v>1571</v>
      </c>
      <c r="I20" s="87">
        <f>IFERROR('Data Sheet 2'!I18,0)</f>
        <v>1548</v>
      </c>
      <c r="J20" s="87">
        <f>IFERROR('Data Sheet 2'!J18,0)</f>
        <v>1347</v>
      </c>
      <c r="K20" s="87">
        <f>IFERROR('Data Sheet 2'!K18,0)</f>
        <v>1436</v>
      </c>
      <c r="L20" s="87">
        <f>IFERROR('Data Sheet 2'!L18,0)</f>
        <v>1000</v>
      </c>
      <c r="M20" s="87">
        <f>IFERROR('Data Sheet 2'!M18,0)</f>
        <v>1703</v>
      </c>
      <c r="N20" s="87">
        <f>IFERROR('Data Sheet 2'!N18,0)</f>
        <v>1803</v>
      </c>
    </row>
    <row r="21" spans="2:14" outlineLevel="1">
      <c r="B21" t="str">
        <f>IFERROR('Data Sheet 2'!B19,0)</f>
        <v>Building</v>
      </c>
      <c r="C21" s="87">
        <f>IFERROR('Data Sheet 2'!C19,0)</f>
        <v>5942</v>
      </c>
      <c r="D21" s="87">
        <f>IFERROR('Data Sheet 2'!D19,0)</f>
        <v>3705</v>
      </c>
      <c r="E21" s="87">
        <f>IFERROR('Data Sheet 2'!E19,0)</f>
        <v>3832</v>
      </c>
      <c r="F21" s="87">
        <f>IFERROR('Data Sheet 2'!F19,0)</f>
        <v>11166</v>
      </c>
      <c r="G21" s="87">
        <f>IFERROR('Data Sheet 2'!G19,0)</f>
        <v>12014</v>
      </c>
      <c r="H21" s="87">
        <f>IFERROR('Data Sheet 2'!H19,0)</f>
        <v>6261</v>
      </c>
      <c r="I21" s="87">
        <f>IFERROR('Data Sheet 2'!I19,0)</f>
        <v>6678</v>
      </c>
      <c r="J21" s="87">
        <f>IFERROR('Data Sheet 2'!J19,0)</f>
        <v>6745</v>
      </c>
      <c r="K21" s="87">
        <f>IFERROR('Data Sheet 2'!K19,0)</f>
        <v>6998</v>
      </c>
      <c r="L21" s="87">
        <f>IFERROR('Data Sheet 2'!L19,0)</f>
        <v>6680</v>
      </c>
      <c r="M21" s="87">
        <f>IFERROR('Data Sheet 2'!M19,0)</f>
        <v>9951</v>
      </c>
      <c r="N21" s="87">
        <f>IFERROR('Data Sheet 2'!N19,0)</f>
        <v>11326</v>
      </c>
    </row>
    <row r="22" spans="2:14" outlineLevel="1">
      <c r="B22" t="str">
        <f>IFERROR('Data Sheet 2'!B20,0)</f>
        <v>Plant Machinery</v>
      </c>
      <c r="C22" s="87">
        <f>IFERROR('Data Sheet 2'!C20,0)</f>
        <v>15771</v>
      </c>
      <c r="D22" s="87">
        <f>IFERROR('Data Sheet 2'!D20,0)</f>
        <v>6376</v>
      </c>
      <c r="E22" s="87">
        <f>IFERROR('Data Sheet 2'!E20,0)</f>
        <v>6796</v>
      </c>
      <c r="F22" s="87">
        <f>IFERROR('Data Sheet 2'!F20,0)</f>
        <v>637</v>
      </c>
      <c r="G22" s="87">
        <f>IFERROR('Data Sheet 2'!G20,0)</f>
        <v>0</v>
      </c>
      <c r="H22" s="87">
        <f>IFERROR('Data Sheet 2'!H20,0)</f>
        <v>7899</v>
      </c>
      <c r="I22" s="87">
        <f>IFERROR('Data Sheet 2'!I20,0)</f>
        <v>10077</v>
      </c>
      <c r="J22" s="87">
        <f>IFERROR('Data Sheet 2'!J20,0)</f>
        <v>9298</v>
      </c>
      <c r="K22" s="87">
        <f>IFERROR('Data Sheet 2'!K20,0)</f>
        <v>10859</v>
      </c>
      <c r="L22" s="87">
        <f>IFERROR('Data Sheet 2'!L20,0)</f>
        <v>12570</v>
      </c>
      <c r="M22" s="87">
        <f>IFERROR('Data Sheet 2'!M20,0)</f>
        <v>14870</v>
      </c>
      <c r="N22" s="87">
        <f>IFERROR('Data Sheet 2'!N20,0)</f>
        <v>15800</v>
      </c>
    </row>
    <row r="23" spans="2:14" outlineLevel="1">
      <c r="B23" t="str">
        <f>IFERROR('Data Sheet 2'!B21,0)</f>
        <v>Ships Vessels</v>
      </c>
      <c r="C23" s="87">
        <f>IFERROR('Data Sheet 2'!C21,0)</f>
        <v>787</v>
      </c>
      <c r="D23" s="87">
        <f>IFERROR('Data Sheet 2'!D21,0)</f>
        <v>38</v>
      </c>
      <c r="E23" s="87">
        <f>IFERROR('Data Sheet 2'!E21,0)</f>
        <v>37</v>
      </c>
      <c r="F23" s="87">
        <f>IFERROR('Data Sheet 2'!F21,0)</f>
        <v>37</v>
      </c>
      <c r="G23" s="87">
        <f>IFERROR('Data Sheet 2'!G21,0)</f>
        <v>130</v>
      </c>
      <c r="H23" s="87">
        <f>IFERROR('Data Sheet 2'!H21,0)</f>
        <v>882</v>
      </c>
      <c r="I23" s="87">
        <f>IFERROR('Data Sheet 2'!I21,0)</f>
        <v>947</v>
      </c>
      <c r="J23" s="87">
        <f>IFERROR('Data Sheet 2'!J21,0)</f>
        <v>947</v>
      </c>
      <c r="K23" s="87">
        <f>IFERROR('Data Sheet 2'!K21,0)</f>
        <v>969</v>
      </c>
      <c r="L23" s="87">
        <f>IFERROR('Data Sheet 2'!L21,0)</f>
        <v>1007</v>
      </c>
      <c r="M23" s="87">
        <f>IFERROR('Data Sheet 2'!M21,0)</f>
        <v>1025</v>
      </c>
      <c r="N23" s="87">
        <f>IFERROR('Data Sheet 2'!N21,0)</f>
        <v>1696</v>
      </c>
    </row>
    <row r="24" spans="2:14" outlineLevel="1">
      <c r="B24" t="str">
        <f>IFERROR('Data Sheet 2'!B22,0)</f>
        <v>Equipments</v>
      </c>
      <c r="C24" s="87">
        <f>IFERROR('Data Sheet 2'!C22,0)</f>
        <v>512</v>
      </c>
      <c r="D24" s="87">
        <f>IFERROR('Data Sheet 2'!D22,0)</f>
        <v>222</v>
      </c>
      <c r="E24" s="87">
        <f>IFERROR('Data Sheet 2'!E22,0)</f>
        <v>264</v>
      </c>
      <c r="F24" s="87">
        <f>IFERROR('Data Sheet 2'!F22,0)</f>
        <v>321</v>
      </c>
      <c r="G24" s="87">
        <f>IFERROR('Data Sheet 2'!G22,0)</f>
        <v>376</v>
      </c>
      <c r="H24" s="87">
        <f>IFERROR('Data Sheet 2'!H22,0)</f>
        <v>543</v>
      </c>
      <c r="I24" s="87">
        <f>IFERROR('Data Sheet 2'!I22,0)</f>
        <v>590</v>
      </c>
      <c r="J24" s="87">
        <f>IFERROR('Data Sheet 2'!J22,0)</f>
        <v>630</v>
      </c>
      <c r="K24" s="87">
        <f>IFERROR('Data Sheet 2'!K22,0)</f>
        <v>716</v>
      </c>
      <c r="L24" s="87">
        <f>IFERROR('Data Sheet 2'!L22,0)</f>
        <v>762</v>
      </c>
      <c r="M24" s="87">
        <f>IFERROR('Data Sheet 2'!M22,0)</f>
        <v>871</v>
      </c>
      <c r="N24" s="87">
        <f>IFERROR('Data Sheet 2'!N22,0)</f>
        <v>1060</v>
      </c>
    </row>
    <row r="25" spans="2:14" outlineLevel="1">
      <c r="B25" t="str">
        <f>IFERROR('Data Sheet 2'!B23,0)</f>
        <v>Computers</v>
      </c>
      <c r="C25" s="87">
        <f>IFERROR('Data Sheet 2'!C23,0)</f>
        <v>1111</v>
      </c>
      <c r="D25" s="87">
        <f>IFERROR('Data Sheet 2'!D23,0)</f>
        <v>457</v>
      </c>
      <c r="E25" s="87">
        <f>IFERROR('Data Sheet 2'!E23,0)</f>
        <v>540</v>
      </c>
      <c r="F25" s="87">
        <f>IFERROR('Data Sheet 2'!F23,0)</f>
        <v>0</v>
      </c>
      <c r="G25" s="87">
        <f>IFERROR('Data Sheet 2'!G23,0)</f>
        <v>849</v>
      </c>
      <c r="H25" s="87">
        <f>IFERROR('Data Sheet 2'!H23,0)</f>
        <v>1425</v>
      </c>
      <c r="I25" s="87">
        <f>IFERROR('Data Sheet 2'!I23,0)</f>
        <v>1615</v>
      </c>
      <c r="J25" s="87">
        <f>IFERROR('Data Sheet 2'!J23,0)</f>
        <v>2067</v>
      </c>
      <c r="K25" s="87">
        <f>IFERROR('Data Sheet 2'!K23,0)</f>
        <v>2448</v>
      </c>
      <c r="L25" s="87">
        <f>IFERROR('Data Sheet 2'!L23,0)</f>
        <v>2572</v>
      </c>
      <c r="M25" s="87">
        <f>IFERROR('Data Sheet 2'!M23,0)</f>
        <v>2803</v>
      </c>
      <c r="N25" s="87">
        <f>IFERROR('Data Sheet 2'!N23,0)</f>
        <v>3152</v>
      </c>
    </row>
    <row r="26" spans="2:14" outlineLevel="1">
      <c r="B26" t="str">
        <f>IFERROR('Data Sheet 2'!B24,0)</f>
        <v>Furniture n fittings</v>
      </c>
      <c r="C26" s="87">
        <f>IFERROR('Data Sheet 2'!C24,0)</f>
        <v>650</v>
      </c>
      <c r="D26" s="87">
        <f>IFERROR('Data Sheet 2'!D24,0)</f>
        <v>293</v>
      </c>
      <c r="E26" s="87">
        <f>IFERROR('Data Sheet 2'!E24,0)</f>
        <v>317</v>
      </c>
      <c r="F26" s="87">
        <f>IFERROR('Data Sheet 2'!F24,0)</f>
        <v>393</v>
      </c>
      <c r="G26" s="87">
        <f>IFERROR('Data Sheet 2'!G24,0)</f>
        <v>413</v>
      </c>
      <c r="H26" s="87">
        <f>IFERROR('Data Sheet 2'!H24,0)</f>
        <v>475</v>
      </c>
      <c r="I26" s="87">
        <f>IFERROR('Data Sheet 2'!I24,0)</f>
        <v>485</v>
      </c>
      <c r="J26" s="87">
        <f>IFERROR('Data Sheet 2'!J24,0)</f>
        <v>499</v>
      </c>
      <c r="K26" s="87">
        <f>IFERROR('Data Sheet 2'!K24,0)</f>
        <v>508</v>
      </c>
      <c r="L26" s="87">
        <f>IFERROR('Data Sheet 2'!L24,0)</f>
        <v>633</v>
      </c>
      <c r="M26" s="87">
        <f>IFERROR('Data Sheet 2'!M24,0)</f>
        <v>672</v>
      </c>
      <c r="N26" s="87">
        <f>IFERROR('Data Sheet 2'!N24,0)</f>
        <v>754</v>
      </c>
    </row>
    <row r="27" spans="2:14" outlineLevel="1">
      <c r="B27" t="str">
        <f>IFERROR('Data Sheet 2'!B25,0)</f>
        <v>Railway sidings</v>
      </c>
      <c r="C27" s="87">
        <f>IFERROR('Data Sheet 2'!C25,0)</f>
        <v>0</v>
      </c>
      <c r="D27" s="87">
        <f>IFERROR('Data Sheet 2'!D25,0)</f>
        <v>0</v>
      </c>
      <c r="E27" s="87">
        <f>IFERROR('Data Sheet 2'!E25,0)</f>
        <v>0</v>
      </c>
      <c r="F27" s="87">
        <f>IFERROR('Data Sheet 2'!F25,0)</f>
        <v>0</v>
      </c>
      <c r="G27" s="87">
        <f>IFERROR('Data Sheet 2'!G25,0)</f>
        <v>0</v>
      </c>
      <c r="H27" s="87">
        <f>IFERROR('Data Sheet 2'!H25,0)</f>
        <v>0</v>
      </c>
      <c r="I27" s="87">
        <f>IFERROR('Data Sheet 2'!I25,0)</f>
        <v>0</v>
      </c>
      <c r="J27" s="87">
        <f>IFERROR('Data Sheet 2'!J25,0)</f>
        <v>0</v>
      </c>
      <c r="K27" s="87">
        <f>IFERROR('Data Sheet 2'!K25,0)</f>
        <v>0</v>
      </c>
      <c r="L27" s="87">
        <f>IFERROR('Data Sheet 2'!L25,0)</f>
        <v>0</v>
      </c>
      <c r="M27" s="87">
        <f>IFERROR('Data Sheet 2'!M25,0)</f>
        <v>0</v>
      </c>
      <c r="N27" s="87">
        <f>IFERROR('Data Sheet 2'!N25,0)</f>
        <v>0</v>
      </c>
    </row>
    <row r="28" spans="2:14" outlineLevel="1">
      <c r="B28" t="str">
        <f>IFERROR('Data Sheet 2'!B26,0)</f>
        <v>Vehicles</v>
      </c>
      <c r="C28" s="87">
        <f>IFERROR('Data Sheet 2'!C26,0)</f>
        <v>851</v>
      </c>
      <c r="D28" s="87">
        <f>IFERROR('Data Sheet 2'!D26,0)</f>
        <v>487</v>
      </c>
      <c r="E28" s="87">
        <f>IFERROR('Data Sheet 2'!E26,0)</f>
        <v>450</v>
      </c>
      <c r="F28" s="87">
        <f>IFERROR('Data Sheet 2'!F26,0)</f>
        <v>658</v>
      </c>
      <c r="G28" s="87">
        <f>IFERROR('Data Sheet 2'!G26,0)</f>
        <v>682</v>
      </c>
      <c r="H28" s="87">
        <f>IFERROR('Data Sheet 2'!H26,0)</f>
        <v>681</v>
      </c>
      <c r="I28" s="87">
        <f>IFERROR('Data Sheet 2'!I26,0)</f>
        <v>658</v>
      </c>
      <c r="J28" s="87">
        <f>IFERROR('Data Sheet 2'!J26,0)</f>
        <v>650</v>
      </c>
      <c r="K28" s="87">
        <f>IFERROR('Data Sheet 2'!K26,0)</f>
        <v>652</v>
      </c>
      <c r="L28" s="87">
        <f>IFERROR('Data Sheet 2'!L26,0)</f>
        <v>657</v>
      </c>
      <c r="M28" s="87">
        <f>IFERROR('Data Sheet 2'!M26,0)</f>
        <v>768</v>
      </c>
      <c r="N28" s="87">
        <f>IFERROR('Data Sheet 2'!N26,0)</f>
        <v>1380</v>
      </c>
    </row>
    <row r="29" spans="2:14" outlineLevel="1">
      <c r="B29" t="str">
        <f>IFERROR('Data Sheet 2'!B27,0)</f>
        <v>Intangible Assets</v>
      </c>
      <c r="C29" s="87">
        <f>IFERROR('Data Sheet 2'!C27,0)</f>
        <v>2478</v>
      </c>
      <c r="D29" s="87">
        <f>IFERROR('Data Sheet 2'!D27,0)</f>
        <v>1658</v>
      </c>
      <c r="E29" s="87">
        <f>IFERROR('Data Sheet 2'!E27,0)</f>
        <v>1512</v>
      </c>
      <c r="F29" s="87">
        <f>IFERROR('Data Sheet 2'!F27,0)</f>
        <v>1736</v>
      </c>
      <c r="G29" s="87">
        <f>IFERROR('Data Sheet 2'!G27,0)</f>
        <v>5729</v>
      </c>
      <c r="H29" s="87">
        <f>IFERROR('Data Sheet 2'!H27,0)</f>
        <v>24817</v>
      </c>
      <c r="I29" s="87">
        <f>IFERROR('Data Sheet 2'!I27,0)</f>
        <v>25195</v>
      </c>
      <c r="J29" s="87">
        <f>IFERROR('Data Sheet 2'!J27,0)</f>
        <v>24950</v>
      </c>
      <c r="K29" s="87">
        <f>IFERROR('Data Sheet 2'!K27,0)</f>
        <v>25099</v>
      </c>
      <c r="L29" s="87">
        <f>IFERROR('Data Sheet 2'!L27,0)</f>
        <v>24837</v>
      </c>
      <c r="M29" s="87">
        <f>IFERROR('Data Sheet 2'!M27,0)</f>
        <v>25860</v>
      </c>
      <c r="N29" s="87">
        <f>IFERROR('Data Sheet 2'!N27,0)</f>
        <v>9432</v>
      </c>
    </row>
    <row r="30" spans="2:14" outlineLevel="1">
      <c r="B30" t="str">
        <f>IFERROR('Data Sheet 2'!B28,0)</f>
        <v>Other fixed assets</v>
      </c>
      <c r="C30" s="87">
        <f>IFERROR('Data Sheet 2'!C28,0)</f>
        <v>15861</v>
      </c>
      <c r="D30" s="87">
        <f>IFERROR('Data Sheet 2'!D28,0)</f>
        <v>2216</v>
      </c>
      <c r="E30" s="87">
        <f>IFERROR('Data Sheet 2'!E28,0)</f>
        <v>5921</v>
      </c>
      <c r="F30" s="87">
        <f>IFERROR('Data Sheet 2'!F28,0)</f>
        <v>8448</v>
      </c>
      <c r="G30" s="87">
        <f>IFERROR('Data Sheet 2'!G28,0)</f>
        <v>7091</v>
      </c>
      <c r="H30" s="87">
        <f>IFERROR('Data Sheet 2'!H28,0)</f>
        <v>8568</v>
      </c>
      <c r="I30" s="87">
        <f>IFERROR('Data Sheet 2'!I28,0)</f>
        <v>8784</v>
      </c>
      <c r="J30" s="87">
        <f>IFERROR('Data Sheet 2'!J28,0)</f>
        <v>9361</v>
      </c>
      <c r="K30" s="87">
        <f>IFERROR('Data Sheet 2'!K28,0)</f>
        <v>9071</v>
      </c>
      <c r="L30" s="87">
        <f>IFERROR('Data Sheet 2'!L28,0)</f>
        <v>10408</v>
      </c>
      <c r="M30" s="87">
        <f>IFERROR('Data Sheet 2'!M28,0)</f>
        <v>7867</v>
      </c>
      <c r="N30" s="87">
        <f>IFERROR('Data Sheet 2'!N28,0)</f>
        <v>7487</v>
      </c>
    </row>
    <row r="31" spans="2:14" outlineLevel="1">
      <c r="B31" s="2" t="str">
        <f>IFERROR('Data Sheet 2'!B29,0)</f>
        <v>Gross Block</v>
      </c>
      <c r="C31" s="215">
        <f>IFERROR('Data Sheet 2'!C29,0)</f>
        <v>45783</v>
      </c>
      <c r="D31" s="215">
        <f>IFERROR('Data Sheet 2'!D29,0)</f>
        <v>16522</v>
      </c>
      <c r="E31" s="215">
        <f>IFERROR('Data Sheet 2'!E29,0)</f>
        <v>20706</v>
      </c>
      <c r="F31" s="215">
        <f>IFERROR('Data Sheet 2'!F29,0)</f>
        <v>24422</v>
      </c>
      <c r="G31" s="215">
        <f>IFERROR('Data Sheet 2'!G29,0)</f>
        <v>28644</v>
      </c>
      <c r="H31" s="215">
        <f>IFERROR('Data Sheet 2'!H29,0)</f>
        <v>53121</v>
      </c>
      <c r="I31" s="215">
        <f>IFERROR('Data Sheet 2'!I29,0)</f>
        <v>56577</v>
      </c>
      <c r="J31" s="215">
        <f>IFERROR('Data Sheet 2'!J29,0)</f>
        <v>56495</v>
      </c>
      <c r="K31" s="215">
        <f>IFERROR('Data Sheet 2'!K29,0)</f>
        <v>58756</v>
      </c>
      <c r="L31" s="215">
        <f>IFERROR('Data Sheet 2'!L29,0)</f>
        <v>61124</v>
      </c>
      <c r="M31" s="215">
        <f>IFERROR('Data Sheet 2'!M29,0)</f>
        <v>66389</v>
      </c>
      <c r="N31" s="215">
        <f>IFERROR('Data Sheet 2'!N29,0)</f>
        <v>53890</v>
      </c>
    </row>
    <row r="32" spans="2:14" outlineLevel="1">
      <c r="B32" s="2" t="str">
        <f>IFERROR('Data Sheet 2'!B30,0)</f>
        <v>Accumulated Depreciation</v>
      </c>
      <c r="C32" s="87">
        <f>IFERROR('Data Sheet 2'!C30,0)</f>
        <v>10806</v>
      </c>
      <c r="D32" s="87">
        <f>IFERROR('Data Sheet 2'!D30,0)</f>
        <v>2347</v>
      </c>
      <c r="E32" s="87">
        <f>IFERROR('Data Sheet 2'!E30,0)</f>
        <v>4029</v>
      </c>
      <c r="F32" s="87">
        <f>IFERROR('Data Sheet 2'!F30,0)</f>
        <v>5842</v>
      </c>
      <c r="G32" s="87">
        <f>IFERROR('Data Sheet 2'!G30,0)</f>
        <v>7450</v>
      </c>
      <c r="H32" s="87">
        <f>IFERROR('Data Sheet 2'!H30,0)</f>
        <v>9468</v>
      </c>
      <c r="I32" s="87">
        <f>IFERROR('Data Sheet 2'!I30,0)</f>
        <v>12258</v>
      </c>
      <c r="J32" s="87">
        <f>IFERROR('Data Sheet 2'!J30,0)</f>
        <v>13550</v>
      </c>
      <c r="K32" s="87">
        <f>IFERROR('Data Sheet 2'!K30,0)</f>
        <v>16115</v>
      </c>
      <c r="L32" s="87">
        <f>IFERROR('Data Sheet 2'!L30,0)</f>
        <v>18161</v>
      </c>
      <c r="M32" s="87">
        <f>IFERROR('Data Sheet 2'!M30,0)</f>
        <v>22334</v>
      </c>
      <c r="N32" s="87">
        <f>IFERROR('Data Sheet 2'!N30,0)</f>
        <v>23023</v>
      </c>
    </row>
    <row r="33" spans="2:15" outlineLevel="1">
      <c r="B33" s="90" t="s">
        <v>145</v>
      </c>
      <c r="C33" s="91">
        <f>C31-C32</f>
        <v>34977</v>
      </c>
      <c r="D33" s="91">
        <f t="shared" ref="D33:N33" si="1">D31-D32</f>
        <v>14175</v>
      </c>
      <c r="E33" s="91">
        <f t="shared" si="1"/>
        <v>16677</v>
      </c>
      <c r="F33" s="91">
        <f t="shared" si="1"/>
        <v>18580</v>
      </c>
      <c r="G33" s="91">
        <f t="shared" si="1"/>
        <v>21194</v>
      </c>
      <c r="H33" s="91">
        <f t="shared" si="1"/>
        <v>43653</v>
      </c>
      <c r="I33" s="91">
        <f t="shared" si="1"/>
        <v>44319</v>
      </c>
      <c r="J33" s="91">
        <f t="shared" si="1"/>
        <v>42945</v>
      </c>
      <c r="K33" s="91">
        <f t="shared" si="1"/>
        <v>42641</v>
      </c>
      <c r="L33" s="91">
        <f t="shared" si="1"/>
        <v>42963</v>
      </c>
      <c r="M33" s="91">
        <f t="shared" si="1"/>
        <v>44055</v>
      </c>
      <c r="N33" s="91">
        <f t="shared" si="1"/>
        <v>30867</v>
      </c>
    </row>
    <row r="34" spans="2:15" outlineLevel="1">
      <c r="B34" s="2"/>
      <c r="C34" s="88"/>
      <c r="D34" s="88"/>
      <c r="E34" s="88"/>
      <c r="F34" s="88"/>
      <c r="G34" s="88"/>
      <c r="H34" s="88"/>
      <c r="I34" s="88"/>
      <c r="J34" s="88"/>
      <c r="K34" s="88"/>
      <c r="L34" s="88"/>
      <c r="M34" s="88"/>
      <c r="N34" s="88"/>
    </row>
    <row r="35" spans="2:15" outlineLevel="1">
      <c r="B35" s="2" t="str">
        <f>IFERROR('Data Sheet 2'!B31,0)</f>
        <v>CWIP</v>
      </c>
      <c r="C35" s="215">
        <f>IFERROR('Data Sheet 2'!C31,0)</f>
        <v>14993</v>
      </c>
      <c r="D35" s="215">
        <f>IFERROR('Data Sheet 2'!D31,0)</f>
        <v>10974</v>
      </c>
      <c r="E35" s="215">
        <f>IFERROR('Data Sheet 2'!E31,0)</f>
        <v>13298</v>
      </c>
      <c r="F35" s="215">
        <f>IFERROR('Data Sheet 2'!F31,0)</f>
        <v>13443</v>
      </c>
      <c r="G35" s="215">
        <f>IFERROR('Data Sheet 2'!G31,0)</f>
        <v>13919</v>
      </c>
      <c r="H35" s="215">
        <f>IFERROR('Data Sheet 2'!H31,0)</f>
        <v>3311</v>
      </c>
      <c r="I35" s="215">
        <f>IFERROR('Data Sheet 2'!I31,0)</f>
        <v>500</v>
      </c>
      <c r="J35" s="215">
        <f>IFERROR('Data Sheet 2'!J31,0)</f>
        <v>1250</v>
      </c>
      <c r="K35" s="215">
        <f>IFERROR('Data Sheet 2'!K31,0)</f>
        <v>3066</v>
      </c>
      <c r="L35" s="215">
        <f>IFERROR('Data Sheet 2'!L31,0)</f>
        <v>3045</v>
      </c>
      <c r="M35" s="215">
        <f>IFERROR('Data Sheet 2'!M31,0)</f>
        <v>2589</v>
      </c>
      <c r="N35" s="215">
        <f>IFERROR('Data Sheet 2'!N31,0)</f>
        <v>3311</v>
      </c>
      <c r="O35" s="2"/>
    </row>
    <row r="36" spans="2:15" outlineLevel="1">
      <c r="B36" s="2" t="str">
        <f>IFERROR('Data Sheet 2'!B32,0)</f>
        <v>Investments</v>
      </c>
      <c r="C36" s="215">
        <f>IFERROR('Data Sheet 2'!C32,0)</f>
        <v>9612</v>
      </c>
      <c r="D36" s="215">
        <f>IFERROR('Data Sheet 2'!D32,0)</f>
        <v>15465</v>
      </c>
      <c r="E36" s="215">
        <f>IFERROR('Data Sheet 2'!E32,0)</f>
        <v>19753</v>
      </c>
      <c r="F36" s="215">
        <f>IFERROR('Data Sheet 2'!F32,0)</f>
        <v>15311</v>
      </c>
      <c r="G36" s="215">
        <f>IFERROR('Data Sheet 2'!G32,0)</f>
        <v>20907</v>
      </c>
      <c r="H36" s="215">
        <f>IFERROR('Data Sheet 2'!H32,0)</f>
        <v>20047</v>
      </c>
      <c r="I36" s="215">
        <f>IFERROR('Data Sheet 2'!I32,0)</f>
        <v>39627</v>
      </c>
      <c r="J36" s="215">
        <f>IFERROR('Data Sheet 2'!J32,0)</f>
        <v>39395</v>
      </c>
      <c r="K36" s="215">
        <f>IFERROR('Data Sheet 2'!K32,0)</f>
        <v>44798</v>
      </c>
      <c r="L36" s="215">
        <f>IFERROR('Data Sheet 2'!L32,0)</f>
        <v>45648</v>
      </c>
      <c r="M36" s="215">
        <f>IFERROR('Data Sheet 2'!M32,0)</f>
        <v>54805</v>
      </c>
      <c r="N36" s="215">
        <f>IFERROR('Data Sheet 2'!N32,0)</f>
        <v>68377</v>
      </c>
      <c r="O36" s="2"/>
    </row>
    <row r="37" spans="2:15" outlineLevel="1">
      <c r="B37" s="2"/>
      <c r="C37" s="88"/>
      <c r="D37" s="88"/>
      <c r="E37" s="88"/>
      <c r="F37" s="88"/>
      <c r="G37" s="88"/>
      <c r="H37" s="88"/>
      <c r="I37" s="88"/>
      <c r="J37" s="88"/>
      <c r="K37" s="88"/>
      <c r="L37" s="88"/>
      <c r="M37" s="88"/>
      <c r="N37" s="88"/>
    </row>
    <row r="38" spans="2:15" outlineLevel="1">
      <c r="B38" s="2" t="str">
        <f>IFERROR('Data Sheet 2'!B33,0)</f>
        <v>Other Assets -</v>
      </c>
      <c r="C38" s="88"/>
      <c r="D38" s="88"/>
      <c r="E38" s="88"/>
      <c r="F38" s="88"/>
      <c r="G38" s="88"/>
      <c r="H38" s="88"/>
      <c r="I38" s="88"/>
      <c r="J38" s="88"/>
      <c r="K38" s="88"/>
      <c r="L38" s="88"/>
      <c r="M38" s="88"/>
      <c r="N38" s="88"/>
    </row>
    <row r="39" spans="2:15" outlineLevel="1">
      <c r="B39" t="str">
        <f>IFERROR('Data Sheet 2'!B34,0)</f>
        <v>Inventories</v>
      </c>
      <c r="C39" s="87">
        <f>IFERROR('Data Sheet 2'!C34,0)</f>
        <v>6508</v>
      </c>
      <c r="D39" s="87">
        <f>IFERROR('Data Sheet 2'!D34,0)</f>
        <v>4854</v>
      </c>
      <c r="E39" s="87">
        <f>IFERROR('Data Sheet 2'!E34,0)</f>
        <v>4140</v>
      </c>
      <c r="F39" s="87">
        <f>IFERROR('Data Sheet 2'!F34,0)</f>
        <v>4848</v>
      </c>
      <c r="G39" s="87">
        <f>IFERROR('Data Sheet 2'!G34,0)</f>
        <v>6414</v>
      </c>
      <c r="H39" s="87">
        <f>IFERROR('Data Sheet 2'!H34,0)</f>
        <v>5747</v>
      </c>
      <c r="I39" s="87">
        <f>IFERROR('Data Sheet 2'!I34,0)</f>
        <v>5821</v>
      </c>
      <c r="J39" s="87">
        <f>IFERROR('Data Sheet 2'!J34,0)</f>
        <v>5943</v>
      </c>
      <c r="K39" s="87">
        <f>IFERROR('Data Sheet 2'!K34,0)</f>
        <v>6829</v>
      </c>
      <c r="L39" s="87">
        <f>IFERROR('Data Sheet 2'!L34,0)</f>
        <v>6620</v>
      </c>
      <c r="M39" s="87">
        <f>IFERROR('Data Sheet 2'!M34,0)</f>
        <v>7671</v>
      </c>
      <c r="N39" s="87">
        <f>IFERROR('Data Sheet 2'!N34,0)</f>
        <v>9531</v>
      </c>
    </row>
    <row r="40" spans="2:15" outlineLevel="1">
      <c r="B40" t="str">
        <f>IFERROR('Data Sheet 2'!B35,0)</f>
        <v>Trade receivables +</v>
      </c>
      <c r="C40" s="87">
        <f>IFERROR('Data Sheet 2'!C35,0)</f>
        <v>30089</v>
      </c>
      <c r="D40" s="87">
        <f>IFERROR('Data Sheet 2'!D35,0)</f>
        <v>26025</v>
      </c>
      <c r="E40" s="87">
        <f>IFERROR('Data Sheet 2'!E35,0)</f>
        <v>28689</v>
      </c>
      <c r="F40" s="87">
        <f>IFERROR('Data Sheet 2'!F35,0)</f>
        <v>33117</v>
      </c>
      <c r="G40" s="87">
        <f>IFERROR('Data Sheet 2'!G35,0)</f>
        <v>36846</v>
      </c>
      <c r="H40" s="87">
        <f>IFERROR('Data Sheet 2'!H35,0)</f>
        <v>40732</v>
      </c>
      <c r="I40" s="87">
        <f>IFERROR('Data Sheet 2'!I35,0)</f>
        <v>42230</v>
      </c>
      <c r="J40" s="87">
        <f>IFERROR('Data Sheet 2'!J35,0)</f>
        <v>46139</v>
      </c>
      <c r="K40" s="87">
        <f>IFERROR('Data Sheet 2'!K35,0)</f>
        <v>44732</v>
      </c>
      <c r="L40" s="87">
        <f>IFERROR('Data Sheet 2'!L35,0)</f>
        <v>48771</v>
      </c>
      <c r="M40" s="87">
        <f>IFERROR('Data Sheet 2'!M35,0)</f>
        <v>53714</v>
      </c>
      <c r="N40" s="87">
        <f>IFERROR('Data Sheet 2'!N35,0)</f>
        <v>60461</v>
      </c>
    </row>
    <row r="41" spans="2:15" outlineLevel="1">
      <c r="B41" t="str">
        <f>IFERROR('Data Sheet 2'!B36,0)</f>
        <v>Cash Equivalents</v>
      </c>
      <c r="C41" s="87">
        <f>IFERROR('Data Sheet 2'!C36,0)</f>
        <v>5756</v>
      </c>
      <c r="D41" s="87">
        <f>IFERROR('Data Sheet 2'!D36,0)</f>
        <v>5390</v>
      </c>
      <c r="E41" s="87">
        <f>IFERROR('Data Sheet 2'!E36,0)</f>
        <v>5306</v>
      </c>
      <c r="F41" s="87">
        <f>IFERROR('Data Sheet 2'!F36,0)</f>
        <v>8033</v>
      </c>
      <c r="G41" s="87">
        <f>IFERROR('Data Sheet 2'!G36,0)</f>
        <v>11726</v>
      </c>
      <c r="H41" s="87">
        <f>IFERROR('Data Sheet 2'!H36,0)</f>
        <v>15118</v>
      </c>
      <c r="I41" s="87">
        <f>IFERROR('Data Sheet 2'!I36,0)</f>
        <v>16242</v>
      </c>
      <c r="J41" s="87">
        <f>IFERROR('Data Sheet 2'!J36,0)</f>
        <v>18953</v>
      </c>
      <c r="K41" s="87">
        <f>IFERROR('Data Sheet 2'!K36,0)</f>
        <v>22520</v>
      </c>
      <c r="L41" s="87">
        <f>IFERROR('Data Sheet 2'!L36,0)</f>
        <v>15358</v>
      </c>
      <c r="M41" s="87">
        <f>IFERROR('Data Sheet 2'!M36,0)</f>
        <v>22965</v>
      </c>
      <c r="N41" s="87">
        <f>IFERROR('Data Sheet 2'!N36,0)</f>
        <v>20848</v>
      </c>
    </row>
    <row r="42" spans="2:15" outlineLevel="1">
      <c r="B42" t="str">
        <f>IFERROR('Data Sheet 2'!B37,0)</f>
        <v>Loans n Advances</v>
      </c>
      <c r="C42" s="87">
        <f>IFERROR('Data Sheet 2'!C37,0)</f>
        <v>11219</v>
      </c>
      <c r="D42" s="87">
        <f>IFERROR('Data Sheet 2'!D37,0)</f>
        <v>18526</v>
      </c>
      <c r="E42" s="87">
        <f>IFERROR('Data Sheet 2'!E37,0)</f>
        <v>24733</v>
      </c>
      <c r="F42" s="87">
        <f>IFERROR('Data Sheet 2'!F37,0)</f>
        <v>31865</v>
      </c>
      <c r="G42" s="87">
        <f>IFERROR('Data Sheet 2'!G37,0)</f>
        <v>41938</v>
      </c>
      <c r="H42" s="87">
        <f>IFERROR('Data Sheet 2'!H37,0)</f>
        <v>40958</v>
      </c>
      <c r="I42" s="87">
        <f>IFERROR('Data Sheet 2'!I37,0)</f>
        <v>40786</v>
      </c>
      <c r="J42" s="87">
        <f>IFERROR('Data Sheet 2'!J37,0)</f>
        <v>41799</v>
      </c>
      <c r="K42" s="87">
        <f>IFERROR('Data Sheet 2'!K37,0)</f>
        <v>40356</v>
      </c>
      <c r="L42" s="87">
        <f>IFERROR('Data Sheet 2'!L37,0)</f>
        <v>34700</v>
      </c>
      <c r="M42" s="87">
        <f>IFERROR('Data Sheet 2'!M37,0)</f>
        <v>34244</v>
      </c>
      <c r="N42" s="87">
        <f>IFERROR('Data Sheet 2'!N37,0)</f>
        <v>40747</v>
      </c>
    </row>
    <row r="43" spans="2:15" outlineLevel="1">
      <c r="B43" t="str">
        <f>IFERROR('Data Sheet 2'!B38,0)</f>
        <v>Other asset items</v>
      </c>
      <c r="C43" s="87">
        <f>IFERROR('Data Sheet 2'!C38,0)</f>
        <v>80351</v>
      </c>
      <c r="D43" s="87">
        <f>IFERROR('Data Sheet 2'!D38,0)</f>
        <v>98680</v>
      </c>
      <c r="E43" s="87">
        <f>IFERROR('Data Sheet 2'!E38,0)</f>
        <v>98975</v>
      </c>
      <c r="F43" s="87">
        <f>IFERROR('Data Sheet 2'!F38,0)</f>
        <v>118042</v>
      </c>
      <c r="G43" s="87">
        <f>IFERROR('Data Sheet 2'!G38,0)</f>
        <v>125092</v>
      </c>
      <c r="H43" s="87">
        <f>IFERROR('Data Sheet 2'!H38,0)</f>
        <v>137121</v>
      </c>
      <c r="I43" s="87">
        <f>IFERROR('Data Sheet 2'!I38,0)</f>
        <v>120571</v>
      </c>
      <c r="J43" s="87">
        <f>IFERROR('Data Sheet 2'!J38,0)</f>
        <v>122604</v>
      </c>
      <c r="K43" s="87">
        <f>IFERROR('Data Sheet 2'!K38,0)</f>
        <v>124781</v>
      </c>
      <c r="L43" s="87">
        <f>IFERROR('Data Sheet 2'!L38,0)</f>
        <v>142496</v>
      </c>
      <c r="M43" s="87">
        <f>IFERROR('Data Sheet 2'!M38,0)</f>
        <v>159071</v>
      </c>
      <c r="N43" s="87">
        <f>IFERROR('Data Sheet 2'!N38,0)</f>
        <v>218241</v>
      </c>
    </row>
    <row r="44" spans="2:15">
      <c r="B44" s="2" t="str">
        <f>IFERROR('Data Sheet 2'!B39,0)</f>
        <v>Total Assets</v>
      </c>
      <c r="C44" s="92">
        <f>SUM(C33:C43)</f>
        <v>193505</v>
      </c>
      <c r="D44" s="92">
        <f t="shared" ref="D44:N44" si="2">SUM(D33:D43)</f>
        <v>194089</v>
      </c>
      <c r="E44" s="92">
        <f t="shared" si="2"/>
        <v>211571</v>
      </c>
      <c r="F44" s="92">
        <f t="shared" si="2"/>
        <v>243239</v>
      </c>
      <c r="G44" s="92">
        <f t="shared" si="2"/>
        <v>278036</v>
      </c>
      <c r="H44" s="92">
        <f t="shared" si="2"/>
        <v>306687</v>
      </c>
      <c r="I44" s="92">
        <f t="shared" si="2"/>
        <v>310096</v>
      </c>
      <c r="J44" s="92">
        <f t="shared" si="2"/>
        <v>319028</v>
      </c>
      <c r="K44" s="92">
        <f t="shared" si="2"/>
        <v>329723</v>
      </c>
      <c r="L44" s="92">
        <f t="shared" si="2"/>
        <v>339601</v>
      </c>
      <c r="M44" s="92">
        <f t="shared" si="2"/>
        <v>379114</v>
      </c>
      <c r="N44" s="92">
        <f t="shared" si="2"/>
        <v>452383</v>
      </c>
    </row>
    <row r="46" spans="2:15">
      <c r="B46" t="s">
        <v>113</v>
      </c>
      <c r="C46" t="b">
        <f>C44=C17</f>
        <v>1</v>
      </c>
      <c r="D46" t="b">
        <f t="shared" ref="D46:N46" si="3">D44=D17</f>
        <v>1</v>
      </c>
      <c r="E46" t="b">
        <f t="shared" si="3"/>
        <v>1</v>
      </c>
      <c r="F46" t="b">
        <f t="shared" si="3"/>
        <v>1</v>
      </c>
      <c r="G46" t="b">
        <f t="shared" si="3"/>
        <v>1</v>
      </c>
      <c r="H46" t="b">
        <f t="shared" si="3"/>
        <v>1</v>
      </c>
      <c r="I46" t="b">
        <f t="shared" si="3"/>
        <v>1</v>
      </c>
      <c r="J46" t="b">
        <f t="shared" si="3"/>
        <v>1</v>
      </c>
      <c r="K46" t="b">
        <f t="shared" si="3"/>
        <v>1</v>
      </c>
      <c r="L46" t="b">
        <f t="shared" si="3"/>
        <v>1</v>
      </c>
      <c r="M46" t="b">
        <f t="shared" si="3"/>
        <v>1</v>
      </c>
      <c r="N46" t="b">
        <f t="shared" si="3"/>
        <v>1</v>
      </c>
    </row>
    <row r="47" spans="2:15">
      <c r="B47" s="75"/>
      <c r="C47" s="75"/>
      <c r="D47" s="75"/>
      <c r="E47" s="75"/>
      <c r="F47" s="75"/>
      <c r="G47" s="75"/>
      <c r="H47" s="75"/>
      <c r="I47" s="75"/>
      <c r="J47" s="75"/>
      <c r="K47" s="75"/>
    </row>
    <row r="48" spans="2:15">
      <c r="B48" s="230"/>
      <c r="C48" s="230"/>
      <c r="D48" s="230"/>
      <c r="E48" s="230"/>
      <c r="F48" s="230"/>
      <c r="G48" s="230"/>
      <c r="H48" s="230"/>
      <c r="I48" s="230"/>
      <c r="J48" s="230"/>
      <c r="K48" s="230"/>
      <c r="L48" s="230"/>
      <c r="M48" s="230"/>
      <c r="N48" s="231"/>
    </row>
    <row r="49" spans="2:14">
      <c r="B49" s="232"/>
      <c r="C49" s="233"/>
      <c r="D49" s="233"/>
      <c r="E49" s="233"/>
      <c r="F49" s="233"/>
      <c r="G49" s="233"/>
      <c r="H49" s="233"/>
      <c r="I49" s="233"/>
      <c r="J49" s="233"/>
      <c r="K49" s="233"/>
      <c r="L49" s="233"/>
      <c r="M49" s="233"/>
      <c r="N49" s="233"/>
    </row>
    <row r="50" spans="2:14">
      <c r="B50" s="234"/>
      <c r="D50" s="233"/>
      <c r="E50" s="233"/>
      <c r="F50" s="233"/>
      <c r="G50" s="233"/>
      <c r="H50" s="233"/>
      <c r="I50" s="233"/>
      <c r="J50" s="233"/>
      <c r="K50" s="233"/>
      <c r="L50" s="233"/>
      <c r="M50" s="233"/>
      <c r="N50" s="233"/>
    </row>
    <row r="51" spans="2:14">
      <c r="B51" s="235"/>
      <c r="C51" s="236"/>
      <c r="D51" s="236"/>
      <c r="E51" s="236"/>
      <c r="F51" s="236"/>
      <c r="G51" s="236"/>
      <c r="H51" s="236"/>
      <c r="I51" s="236"/>
      <c r="J51" s="236"/>
      <c r="K51" s="237"/>
      <c r="L51" s="236"/>
      <c r="M51" s="236"/>
      <c r="N51" s="237"/>
    </row>
    <row r="52" spans="2:14">
      <c r="B52" s="235"/>
      <c r="C52" s="236"/>
      <c r="D52" s="236"/>
      <c r="E52" s="236"/>
      <c r="F52" s="236"/>
      <c r="G52" s="236"/>
      <c r="H52" s="236"/>
      <c r="I52" s="236"/>
      <c r="J52" s="236"/>
      <c r="K52" s="237"/>
      <c r="L52" s="236"/>
      <c r="M52" s="236"/>
      <c r="N52" s="237"/>
    </row>
    <row r="53" spans="2:14">
      <c r="B53" s="235"/>
      <c r="C53" s="236"/>
      <c r="D53" s="236"/>
      <c r="E53" s="236"/>
      <c r="F53" s="236"/>
      <c r="G53" s="236"/>
      <c r="H53" s="236"/>
      <c r="I53" s="236"/>
      <c r="J53" s="237"/>
      <c r="K53" s="236"/>
      <c r="L53" s="236"/>
      <c r="M53" s="237"/>
      <c r="N53" s="236"/>
    </row>
    <row r="54" spans="2:14">
      <c r="B54" s="235"/>
      <c r="C54" s="236"/>
      <c r="D54" s="236"/>
      <c r="E54" s="236"/>
      <c r="F54" s="236"/>
      <c r="G54" s="236"/>
      <c r="H54" s="236"/>
      <c r="I54" s="236"/>
      <c r="J54" s="236"/>
      <c r="K54" s="236"/>
      <c r="L54" s="236"/>
      <c r="M54" s="236"/>
      <c r="N54" s="236"/>
    </row>
    <row r="55" spans="2:14">
      <c r="B55" s="234"/>
      <c r="C55" s="238"/>
      <c r="D55" s="238"/>
      <c r="E55" s="238"/>
      <c r="F55" s="238"/>
      <c r="G55" s="238"/>
      <c r="H55" s="238"/>
      <c r="I55" s="238"/>
      <c r="J55" s="238"/>
      <c r="K55" s="233"/>
      <c r="L55" s="238"/>
      <c r="M55" s="238"/>
      <c r="N55" s="233"/>
    </row>
    <row r="56" spans="2:14">
      <c r="B56" s="235"/>
      <c r="C56" s="236"/>
      <c r="D56" s="236"/>
      <c r="E56" s="236"/>
      <c r="F56" s="236"/>
      <c r="G56" s="237"/>
      <c r="H56" s="236"/>
      <c r="I56" s="237"/>
      <c r="J56" s="237"/>
      <c r="K56" s="237"/>
      <c r="L56" s="237"/>
      <c r="M56" s="237"/>
      <c r="N56" s="237"/>
    </row>
    <row r="57" spans="2:14">
      <c r="B57" s="235"/>
      <c r="C57" s="236"/>
      <c r="D57" s="236"/>
      <c r="E57" s="236"/>
      <c r="F57" s="236"/>
      <c r="G57" s="236"/>
      <c r="H57" s="236"/>
      <c r="I57" s="236"/>
      <c r="J57" s="236"/>
      <c r="K57" s="236"/>
      <c r="L57" s="236"/>
      <c r="M57" s="236"/>
      <c r="N57" s="236"/>
    </row>
    <row r="58" spans="2:14">
      <c r="B58" s="239"/>
      <c r="C58" s="238"/>
      <c r="D58" s="238"/>
      <c r="E58" s="238"/>
      <c r="F58" s="238"/>
      <c r="G58" s="238"/>
      <c r="H58" s="238"/>
      <c r="I58" s="238"/>
      <c r="J58" s="233"/>
      <c r="K58" s="238"/>
      <c r="L58" s="238"/>
      <c r="M58" s="238"/>
      <c r="N58" s="238"/>
    </row>
    <row r="59" spans="2:14">
      <c r="B59" s="235"/>
      <c r="C59" s="236"/>
      <c r="D59" s="236"/>
      <c r="E59" s="236"/>
      <c r="F59" s="236"/>
      <c r="G59" s="236"/>
      <c r="H59" s="236"/>
      <c r="I59" s="236"/>
      <c r="J59" s="237"/>
      <c r="K59" s="237"/>
      <c r="L59" s="236"/>
      <c r="M59" s="236"/>
      <c r="N59" s="236"/>
    </row>
    <row r="60" spans="2:14">
      <c r="B60" s="235"/>
      <c r="C60" s="236"/>
      <c r="D60" s="236"/>
      <c r="E60" s="236"/>
      <c r="F60" s="236"/>
      <c r="G60" s="236"/>
      <c r="H60" s="236"/>
      <c r="I60" s="236"/>
      <c r="J60" s="236"/>
      <c r="K60" s="236"/>
      <c r="L60" s="236"/>
      <c r="M60" s="236"/>
      <c r="N60" s="236"/>
    </row>
    <row r="61" spans="2:14">
      <c r="B61" s="235"/>
      <c r="C61" s="236"/>
      <c r="D61" s="236"/>
      <c r="E61" s="236"/>
      <c r="F61" s="236"/>
      <c r="G61" s="236"/>
      <c r="H61" s="236"/>
      <c r="I61" s="236"/>
      <c r="J61" s="236"/>
      <c r="K61" s="236"/>
      <c r="L61" s="236"/>
      <c r="M61" s="236"/>
      <c r="N61" s="236"/>
    </row>
    <row r="62" spans="2:14">
      <c r="B62" s="235"/>
      <c r="C62" s="236"/>
      <c r="D62" s="236"/>
      <c r="E62" s="236"/>
      <c r="F62" s="236"/>
      <c r="G62" s="236"/>
      <c r="H62" s="236"/>
      <c r="I62" s="236"/>
      <c r="J62" s="236"/>
      <c r="K62" s="236"/>
      <c r="L62" s="236"/>
      <c r="M62" s="236"/>
      <c r="N62" s="236"/>
    </row>
    <row r="63" spans="2:14">
      <c r="B63" s="235"/>
      <c r="C63" s="236"/>
      <c r="D63" s="236"/>
      <c r="E63" s="236"/>
      <c r="F63" s="236"/>
      <c r="G63" s="236"/>
      <c r="H63" s="236"/>
      <c r="I63" s="236"/>
      <c r="J63" s="236"/>
      <c r="K63" s="236"/>
      <c r="L63" s="236"/>
      <c r="M63" s="236"/>
      <c r="N63" s="236"/>
    </row>
    <row r="64" spans="2:14">
      <c r="B64" s="235"/>
      <c r="C64" s="236"/>
      <c r="D64" s="236"/>
      <c r="E64" s="236"/>
      <c r="F64" s="236"/>
      <c r="G64" s="236"/>
      <c r="H64" s="236"/>
      <c r="I64" s="236"/>
      <c r="J64" s="236"/>
      <c r="K64" s="236"/>
      <c r="L64" s="236"/>
      <c r="M64" s="236"/>
      <c r="N64" s="236"/>
    </row>
    <row r="68" spans="7:14">
      <c r="G68" s="83"/>
      <c r="H68" s="83"/>
      <c r="I68" s="83"/>
      <c r="K68" s="83"/>
      <c r="L68" s="83"/>
      <c r="M68" s="83"/>
      <c r="N68" s="83"/>
    </row>
    <row r="72" spans="7:14">
      <c r="G72" s="83"/>
      <c r="H72" s="83"/>
      <c r="I72" s="83"/>
      <c r="K72" s="83"/>
      <c r="L72" s="83"/>
      <c r="M72" s="83"/>
      <c r="N72" s="83"/>
    </row>
    <row r="75" spans="7:14">
      <c r="J75" s="83"/>
      <c r="K75" s="83"/>
    </row>
    <row r="79" spans="7:14">
      <c r="G79" s="83"/>
      <c r="L79" s="83"/>
      <c r="M79" s="83"/>
    </row>
    <row r="80" spans="7:14">
      <c r="G80" s="83"/>
      <c r="H80" s="83"/>
      <c r="L80" s="83"/>
      <c r="M80" s="83"/>
      <c r="N80" s="83"/>
    </row>
    <row r="82" spans="2:14">
      <c r="B82" s="193"/>
      <c r="C82" s="194"/>
      <c r="D82" s="194"/>
      <c r="E82" s="194"/>
      <c r="F82" s="194"/>
      <c r="G82" s="194"/>
      <c r="H82" s="194"/>
      <c r="I82" s="194"/>
      <c r="J82" s="194"/>
      <c r="K82" s="194"/>
      <c r="L82" s="194"/>
      <c r="M82" s="194"/>
      <c r="N82" s="194"/>
    </row>
    <row r="83" spans="2:14">
      <c r="B83" s="195"/>
      <c r="C83" s="196"/>
      <c r="D83" s="196"/>
      <c r="E83" s="196"/>
      <c r="F83" s="196"/>
      <c r="G83" s="196"/>
      <c r="H83" s="196"/>
      <c r="I83" s="196"/>
      <c r="J83" s="196"/>
      <c r="K83" s="196"/>
      <c r="L83" s="196"/>
      <c r="M83" s="196"/>
      <c r="N83" s="196"/>
    </row>
    <row r="84" spans="2:14">
      <c r="B84" s="197"/>
      <c r="C84" s="196"/>
      <c r="D84" s="196"/>
      <c r="E84" s="196"/>
      <c r="F84" s="196"/>
      <c r="G84" s="196"/>
      <c r="H84" s="196"/>
      <c r="I84" s="196"/>
      <c r="J84" s="196"/>
      <c r="K84" s="196"/>
      <c r="L84" s="196"/>
      <c r="M84" s="196"/>
      <c r="N84" s="196"/>
    </row>
    <row r="85" spans="2:14">
      <c r="B85" s="198"/>
      <c r="C85" s="199"/>
      <c r="D85" s="199"/>
      <c r="E85" s="199"/>
      <c r="F85" s="199"/>
      <c r="G85" s="199"/>
      <c r="H85" s="199"/>
      <c r="I85" s="199"/>
      <c r="J85" s="199"/>
      <c r="K85" s="199"/>
      <c r="L85" s="199"/>
      <c r="M85" s="199"/>
      <c r="N85" s="199"/>
    </row>
    <row r="86" spans="2:14">
      <c r="B86" s="198"/>
      <c r="C86" s="200"/>
      <c r="D86" s="200"/>
      <c r="E86" s="199"/>
      <c r="F86" s="200"/>
      <c r="G86" s="200"/>
      <c r="H86" s="200"/>
      <c r="I86" s="200"/>
      <c r="J86" s="200"/>
      <c r="K86" s="200"/>
      <c r="L86" s="200"/>
      <c r="M86" s="200"/>
      <c r="N86" s="199"/>
    </row>
    <row r="87" spans="2:14">
      <c r="B87" s="198"/>
      <c r="C87" s="199"/>
      <c r="D87" s="199"/>
      <c r="E87" s="199"/>
      <c r="F87" s="199"/>
      <c r="G87" s="199"/>
      <c r="H87" s="199"/>
      <c r="I87" s="199"/>
      <c r="J87" s="199"/>
      <c r="K87" s="199"/>
      <c r="L87" s="199"/>
      <c r="M87" s="199"/>
      <c r="N87" s="199"/>
    </row>
    <row r="88" spans="2:14">
      <c r="B88" s="198"/>
      <c r="C88" s="199"/>
      <c r="D88" s="199"/>
      <c r="E88" s="199"/>
      <c r="F88" s="199"/>
      <c r="G88" s="199"/>
      <c r="H88" s="200"/>
      <c r="I88" s="199"/>
      <c r="J88" s="199"/>
      <c r="K88" s="199"/>
      <c r="L88" s="199"/>
      <c r="M88" s="199"/>
      <c r="N88" s="199"/>
    </row>
    <row r="89" spans="2:14">
      <c r="B89" s="197"/>
      <c r="C89" s="196"/>
      <c r="D89" s="196"/>
      <c r="E89" s="196"/>
      <c r="F89" s="196"/>
      <c r="G89" s="196"/>
      <c r="H89" s="196"/>
      <c r="I89" s="196"/>
      <c r="J89" s="196"/>
      <c r="K89" s="196"/>
      <c r="L89" s="196"/>
      <c r="M89" s="196"/>
      <c r="N89" s="196"/>
    </row>
    <row r="90" spans="2:14">
      <c r="B90" s="198"/>
      <c r="C90" s="199"/>
      <c r="D90" s="199"/>
      <c r="E90" s="199"/>
      <c r="F90" s="199"/>
      <c r="G90" s="199"/>
      <c r="H90" s="199"/>
      <c r="I90" s="199"/>
      <c r="J90" s="199"/>
      <c r="K90" s="199"/>
      <c r="L90" s="199"/>
      <c r="M90" s="199"/>
      <c r="N90" s="199"/>
    </row>
    <row r="91" spans="2:14">
      <c r="B91" s="195"/>
      <c r="C91" s="196"/>
      <c r="D91" s="196"/>
      <c r="E91" s="196"/>
      <c r="F91" s="196"/>
      <c r="G91" s="196"/>
      <c r="H91" s="196"/>
      <c r="I91" s="196"/>
      <c r="J91" s="196"/>
      <c r="K91" s="196"/>
      <c r="L91" s="196"/>
      <c r="M91" s="196"/>
      <c r="N91" s="196"/>
    </row>
    <row r="92" spans="2:14">
      <c r="B92" s="198"/>
      <c r="C92" s="199"/>
      <c r="D92" s="199"/>
      <c r="E92" s="199"/>
      <c r="F92" s="199"/>
      <c r="G92" s="199"/>
      <c r="H92" s="199"/>
      <c r="I92" s="199"/>
      <c r="J92" s="199"/>
      <c r="K92" s="199"/>
      <c r="L92" s="199"/>
      <c r="M92" s="199"/>
      <c r="N92" s="199"/>
    </row>
    <row r="93" spans="2:14">
      <c r="B93" s="198"/>
      <c r="C93" s="200"/>
      <c r="D93" s="200"/>
      <c r="E93" s="200"/>
      <c r="F93" s="200"/>
      <c r="G93" s="200"/>
      <c r="H93" s="200"/>
      <c r="I93" s="200"/>
      <c r="J93" s="200"/>
      <c r="K93" s="200"/>
      <c r="L93" s="200"/>
      <c r="M93" s="200"/>
      <c r="N93" s="200"/>
    </row>
    <row r="94" spans="2:14">
      <c r="B94" s="198"/>
      <c r="C94" s="200"/>
      <c r="D94" s="200"/>
      <c r="E94" s="199"/>
      <c r="F94" s="199"/>
      <c r="G94" s="199"/>
      <c r="H94" s="199"/>
      <c r="I94" s="199"/>
      <c r="J94" s="199"/>
      <c r="K94" s="199"/>
      <c r="L94" s="199"/>
      <c r="M94" s="199"/>
      <c r="N94" s="199"/>
    </row>
    <row r="95" spans="2:14">
      <c r="B95" s="198"/>
      <c r="C95" s="200"/>
      <c r="D95" s="200"/>
      <c r="E95" s="200"/>
      <c r="F95" s="199"/>
      <c r="G95" s="200"/>
      <c r="H95" s="199"/>
      <c r="I95" s="200"/>
      <c r="J95" s="199"/>
      <c r="K95" s="200"/>
      <c r="L95" s="199"/>
      <c r="M95" s="199"/>
      <c r="N95" s="199"/>
    </row>
    <row r="96" spans="2:14">
      <c r="B96" s="198"/>
      <c r="C96" s="200"/>
      <c r="D96" s="200"/>
      <c r="E96" s="200"/>
      <c r="F96" s="200"/>
      <c r="G96" s="200"/>
      <c r="H96" s="200"/>
      <c r="I96" s="199"/>
      <c r="J96" s="200"/>
      <c r="K96" s="199"/>
      <c r="L96" s="199"/>
      <c r="M96" s="199"/>
      <c r="N96" s="199"/>
    </row>
    <row r="97" spans="2:14">
      <c r="B97" s="198"/>
      <c r="C97" s="200"/>
      <c r="D97" s="200"/>
      <c r="E97" s="200"/>
      <c r="F97" s="199"/>
      <c r="G97" s="200"/>
      <c r="H97" s="200"/>
      <c r="I97" s="200"/>
      <c r="J97" s="200"/>
      <c r="K97" s="200"/>
      <c r="L97" s="200"/>
      <c r="M97" s="200"/>
      <c r="N97" s="200"/>
    </row>
    <row r="98" spans="2:14">
      <c r="B98" s="198"/>
      <c r="C98" s="200"/>
      <c r="D98" s="200"/>
      <c r="E98" s="199"/>
      <c r="F98" s="200"/>
      <c r="G98" s="200"/>
      <c r="H98" s="200"/>
      <c r="I98" s="200"/>
      <c r="J98" s="200"/>
      <c r="K98" s="200"/>
      <c r="L98" s="200"/>
      <c r="M98" s="200"/>
      <c r="N98" s="200"/>
    </row>
    <row r="99" spans="2:14">
      <c r="B99" s="198"/>
      <c r="C99" s="199"/>
      <c r="D99" s="200"/>
      <c r="E99" s="199"/>
      <c r="F99" s="199"/>
      <c r="G99" s="200"/>
      <c r="H99" s="200"/>
      <c r="I99" s="200"/>
      <c r="J99" s="199"/>
      <c r="K99" s="199"/>
      <c r="L99" s="200"/>
      <c r="M99" s="199"/>
      <c r="N99" s="200"/>
    </row>
    <row r="100" spans="2:14">
      <c r="B100" s="198"/>
      <c r="C100" s="200"/>
      <c r="D100" s="200"/>
      <c r="E100" s="200"/>
      <c r="F100" s="200"/>
      <c r="G100" s="200"/>
      <c r="H100" s="199"/>
      <c r="I100" s="200"/>
      <c r="J100" s="200"/>
      <c r="K100" s="200"/>
      <c r="L100" s="200"/>
      <c r="M100" s="199"/>
      <c r="N100" s="200"/>
    </row>
    <row r="101" spans="2:14">
      <c r="B101" s="198"/>
      <c r="C101" s="200"/>
      <c r="D101" s="199"/>
      <c r="E101" s="200"/>
      <c r="F101" s="200"/>
      <c r="G101" s="199"/>
      <c r="H101" s="199"/>
      <c r="I101" s="199"/>
      <c r="J101" s="199"/>
      <c r="K101" s="200"/>
      <c r="L101" s="199"/>
      <c r="M101" s="199"/>
      <c r="N101" s="199"/>
    </row>
    <row r="102" spans="2:14">
      <c r="B102" s="195"/>
      <c r="C102" s="196"/>
      <c r="D102" s="196"/>
      <c r="E102" s="196"/>
      <c r="F102" s="196"/>
      <c r="G102" s="196"/>
      <c r="H102" s="196"/>
      <c r="I102" s="196"/>
      <c r="J102" s="196"/>
      <c r="K102" s="196"/>
      <c r="L102" s="196"/>
      <c r="M102" s="196"/>
      <c r="N102" s="196"/>
    </row>
    <row r="103" spans="2:14">
      <c r="B103" s="198"/>
      <c r="C103" s="200"/>
      <c r="D103" s="200"/>
      <c r="E103" s="200"/>
      <c r="F103" s="200"/>
      <c r="G103" s="200"/>
      <c r="H103" s="200"/>
      <c r="I103" s="200"/>
      <c r="J103" s="200"/>
      <c r="K103" s="200"/>
      <c r="L103" s="200"/>
      <c r="M103" s="200"/>
      <c r="N103" s="200"/>
    </row>
    <row r="104" spans="2:14">
      <c r="B104" s="198"/>
      <c r="C104" s="199"/>
      <c r="D104" s="199"/>
      <c r="E104" s="199"/>
      <c r="F104" s="199"/>
      <c r="G104" s="199"/>
      <c r="H104" s="199"/>
      <c r="I104" s="199"/>
      <c r="J104" s="199"/>
      <c r="K104" s="199"/>
      <c r="L104" s="199"/>
      <c r="M104" s="199"/>
      <c r="N104" s="199"/>
    </row>
    <row r="105" spans="2:14">
      <c r="B105" s="198"/>
      <c r="C105" s="199"/>
      <c r="D105" s="199"/>
      <c r="E105" s="199"/>
      <c r="F105" s="199"/>
      <c r="G105" s="199"/>
      <c r="H105" s="199"/>
      <c r="I105" s="199"/>
      <c r="J105" s="199"/>
      <c r="K105" s="199"/>
      <c r="L105" s="199"/>
      <c r="M105" s="199"/>
      <c r="N105" s="199"/>
    </row>
    <row r="106" spans="2:14">
      <c r="B106" s="198"/>
      <c r="C106" s="199"/>
      <c r="D106" s="199"/>
      <c r="E106" s="199"/>
      <c r="F106" s="199"/>
      <c r="G106" s="199"/>
      <c r="H106" s="199"/>
      <c r="I106" s="199"/>
      <c r="J106" s="199"/>
      <c r="K106" s="199"/>
      <c r="L106" s="199"/>
      <c r="M106" s="199"/>
      <c r="N106" s="199"/>
    </row>
    <row r="107" spans="2:14">
      <c r="B107" s="198"/>
      <c r="C107" s="199"/>
      <c r="D107" s="199"/>
      <c r="E107" s="199"/>
      <c r="F107" s="199"/>
      <c r="G107" s="199"/>
      <c r="H107" s="199"/>
      <c r="I107" s="199"/>
      <c r="J107" s="199"/>
      <c r="K107" s="199"/>
      <c r="L107" s="199"/>
      <c r="M107" s="199"/>
      <c r="N107" s="199"/>
    </row>
    <row r="108" spans="2:14">
      <c r="B108" s="198"/>
      <c r="C108" s="200"/>
      <c r="D108" s="200"/>
      <c r="E108" s="200"/>
      <c r="F108" s="200"/>
      <c r="G108" s="200"/>
      <c r="H108" s="200"/>
      <c r="I108" s="200"/>
      <c r="J108" s="200"/>
      <c r="K108" s="200"/>
      <c r="L108" s="200"/>
      <c r="M108" s="200"/>
      <c r="N108" s="200"/>
    </row>
    <row r="109" spans="2:14">
      <c r="B109" s="198"/>
      <c r="C109" s="199"/>
      <c r="D109" s="200"/>
      <c r="E109" s="199"/>
      <c r="F109" s="199"/>
      <c r="G109" s="199"/>
      <c r="H109" s="200"/>
      <c r="I109" s="200"/>
      <c r="J109" s="199"/>
      <c r="K109" s="200"/>
      <c r="L109" s="199"/>
      <c r="M109" s="199"/>
      <c r="N109" s="200"/>
    </row>
    <row r="110" spans="2:14">
      <c r="B110" s="195"/>
      <c r="C110" s="196"/>
      <c r="D110" s="201"/>
      <c r="E110" s="201"/>
      <c r="F110" s="196"/>
      <c r="G110" s="201"/>
      <c r="H110" s="196"/>
      <c r="I110" s="196"/>
      <c r="J110" s="201"/>
      <c r="K110" s="196"/>
      <c r="L110" s="196"/>
      <c r="M110" s="201"/>
      <c r="N110" s="196"/>
    </row>
    <row r="111" spans="2:14">
      <c r="B111" s="202"/>
      <c r="C111" s="203"/>
      <c r="D111" s="203"/>
      <c r="E111" s="203"/>
      <c r="F111" s="203"/>
      <c r="G111" s="203"/>
      <c r="H111" s="203"/>
      <c r="I111" s="203"/>
      <c r="J111" s="203"/>
      <c r="K111" s="203"/>
      <c r="L111" s="203"/>
      <c r="M111" s="203"/>
      <c r="N111" s="203"/>
    </row>
    <row r="112" spans="2:14">
      <c r="B112" s="202"/>
      <c r="C112" s="204"/>
      <c r="D112" s="204"/>
      <c r="E112" s="204"/>
      <c r="F112" s="204"/>
      <c r="G112" s="204"/>
      <c r="H112" s="204"/>
      <c r="I112" s="204"/>
      <c r="J112" s="204"/>
      <c r="K112" s="204"/>
      <c r="L112" s="204"/>
      <c r="M112" s="204"/>
      <c r="N112" s="204"/>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9284B-6E43-4C29-92AC-CEA7C520B163}">
  <dimension ref="A1:L93"/>
  <sheetViews>
    <sheetView tabSelected="1" zoomScale="93" workbookViewId="0">
      <pane xSplit="1" ySplit="1" topLeftCell="B2" activePane="bottomRight" state="frozen"/>
      <selection activeCell="C4" sqref="C4"/>
      <selection pane="topRight" activeCell="C4" sqref="C4"/>
      <selection pane="bottomLeft" activeCell="C4" sqref="C4"/>
      <selection pane="bottomRight" activeCell="B1" sqref="B1"/>
    </sheetView>
  </sheetViews>
  <sheetFormatPr defaultColWidth="10.42578125" defaultRowHeight="12.75"/>
  <cols>
    <col min="1" max="1" width="26.7109375" style="74" bestFit="1" customWidth="1"/>
    <col min="2" max="11" width="11.42578125" style="74" bestFit="1" customWidth="1"/>
    <col min="12" max="12" width="20.28515625" style="74" bestFit="1" customWidth="1"/>
    <col min="13" max="16384" width="10.42578125" style="74"/>
  </cols>
  <sheetData>
    <row r="1" spans="1:11" s="73" customFormat="1">
      <c r="A1" s="73" t="s">
        <v>119</v>
      </c>
      <c r="B1" s="73" t="s">
        <v>120</v>
      </c>
      <c r="E1" s="251" t="str">
        <f>IF(B2&lt;&gt;B3, "A NEW VERSION OF THE WORKSHEET IS AVAILABLE", "")</f>
        <v/>
      </c>
      <c r="F1" s="251"/>
      <c r="G1" s="251"/>
      <c r="H1" s="251"/>
      <c r="I1" s="251"/>
      <c r="J1" s="251"/>
      <c r="K1" s="251"/>
    </row>
    <row r="2" spans="1:11">
      <c r="A2" s="73" t="s">
        <v>121</v>
      </c>
      <c r="B2" s="74">
        <v>2.1</v>
      </c>
      <c r="E2" s="252" t="s">
        <v>122</v>
      </c>
      <c r="F2" s="252"/>
      <c r="G2" s="252"/>
      <c r="H2" s="252"/>
      <c r="I2" s="252"/>
      <c r="J2" s="252"/>
      <c r="K2" s="252"/>
    </row>
    <row r="3" spans="1:11">
      <c r="A3" s="73" t="s">
        <v>123</v>
      </c>
      <c r="B3" s="74">
        <v>2.1</v>
      </c>
    </row>
    <row r="4" spans="1:11">
      <c r="A4" s="73"/>
    </row>
    <row r="5" spans="1:11">
      <c r="A5" s="73" t="s">
        <v>124</v>
      </c>
    </row>
    <row r="6" spans="1:11">
      <c r="A6" s="74" t="s">
        <v>125</v>
      </c>
      <c r="B6" s="74">
        <f>IF(B9&gt;0, B9/B8, 0)</f>
        <v>137.52939824598479</v>
      </c>
    </row>
    <row r="7" spans="1:11">
      <c r="A7" s="74" t="s">
        <v>126</v>
      </c>
      <c r="B7" s="75">
        <v>2</v>
      </c>
    </row>
    <row r="8" spans="1:11">
      <c r="A8" s="74" t="s">
        <v>127</v>
      </c>
      <c r="B8" s="75">
        <v>3785.6</v>
      </c>
    </row>
    <row r="9" spans="1:11">
      <c r="A9" s="74" t="s">
        <v>19</v>
      </c>
      <c r="B9" s="75">
        <v>520631.29</v>
      </c>
    </row>
    <row r="15" spans="1:11">
      <c r="A15" s="73" t="s">
        <v>128</v>
      </c>
      <c r="B15" s="74">
        <f>B26+B34</f>
        <v>19616.34</v>
      </c>
      <c r="K15" s="74">
        <f>K17-K18-K20-K21-K22-K23-K19</f>
        <v>38354.899999999972</v>
      </c>
    </row>
    <row r="16" spans="1:11" s="78" customFormat="1">
      <c r="A16" s="76" t="s">
        <v>129</v>
      </c>
      <c r="B16" s="77">
        <v>42825</v>
      </c>
      <c r="C16" s="77">
        <v>43190</v>
      </c>
      <c r="D16" s="77">
        <v>43555</v>
      </c>
      <c r="E16" s="77">
        <v>43921</v>
      </c>
      <c r="F16" s="77">
        <v>44286</v>
      </c>
      <c r="G16" s="77">
        <v>44651</v>
      </c>
      <c r="H16" s="77">
        <v>45016</v>
      </c>
      <c r="I16" s="77">
        <v>45382</v>
      </c>
      <c r="J16" s="77">
        <v>45747</v>
      </c>
      <c r="K16" s="77">
        <v>46112</v>
      </c>
    </row>
    <row r="17" spans="1:11">
      <c r="A17" s="74" t="s">
        <v>70</v>
      </c>
      <c r="B17" s="75">
        <v>109311.81</v>
      </c>
      <c r="C17" s="75">
        <v>119683.16</v>
      </c>
      <c r="D17" s="75">
        <v>135220.29</v>
      </c>
      <c r="E17" s="75">
        <v>145452.35999999999</v>
      </c>
      <c r="F17" s="75">
        <v>135979.03</v>
      </c>
      <c r="G17" s="75">
        <v>156521.23000000001</v>
      </c>
      <c r="H17" s="75">
        <v>183340.7</v>
      </c>
      <c r="I17" s="75">
        <v>221112.91</v>
      </c>
      <c r="J17" s="75">
        <v>255734.45</v>
      </c>
      <c r="K17" s="75">
        <v>285874.36</v>
      </c>
    </row>
    <row r="18" spans="1:11" ht="15">
      <c r="A18" s="74" t="s">
        <v>130</v>
      </c>
      <c r="B18" s="79">
        <v>36648.54</v>
      </c>
      <c r="C18" s="79">
        <v>40876.239999999998</v>
      </c>
      <c r="D18" s="79">
        <v>46889.87</v>
      </c>
      <c r="E18" s="79">
        <v>46705.87</v>
      </c>
      <c r="F18" s="79">
        <v>41333.86</v>
      </c>
      <c r="G18" s="79">
        <v>51676.55</v>
      </c>
      <c r="H18" s="79">
        <v>63285.32</v>
      </c>
      <c r="I18" s="79">
        <v>75319.990000000005</v>
      </c>
      <c r="J18" s="79">
        <v>92583.6</v>
      </c>
      <c r="K18" s="79">
        <v>97682.71</v>
      </c>
    </row>
    <row r="19" spans="1:11" ht="15">
      <c r="A19" s="74" t="s">
        <v>131</v>
      </c>
      <c r="B19" s="79">
        <v>-84</v>
      </c>
      <c r="C19" s="79">
        <v>1315.23</v>
      </c>
      <c r="D19" s="79">
        <v>731.11</v>
      </c>
      <c r="E19" s="79">
        <v>-647.70000000000005</v>
      </c>
      <c r="F19" s="79">
        <v>-343.37</v>
      </c>
      <c r="G19" s="79">
        <v>2076.6</v>
      </c>
      <c r="H19" s="79">
        <v>3156.64</v>
      </c>
      <c r="I19" s="79">
        <v>-1021.07</v>
      </c>
      <c r="J19" s="79">
        <v>410.79</v>
      </c>
      <c r="K19" s="79">
        <v>1963.12</v>
      </c>
    </row>
    <row r="20" spans="1:11">
      <c r="A20" s="74" t="s">
        <v>132</v>
      </c>
      <c r="B20" s="75">
        <v>1423.19</v>
      </c>
      <c r="C20" s="75">
        <v>1399.62</v>
      </c>
      <c r="D20" s="75">
        <v>2205.6</v>
      </c>
      <c r="E20" s="75">
        <v>2079.84</v>
      </c>
      <c r="F20" s="75">
        <v>1581.33</v>
      </c>
      <c r="G20" s="75">
        <v>2267.2600000000002</v>
      </c>
      <c r="H20" s="75">
        <v>2655.76</v>
      </c>
      <c r="I20" s="75">
        <v>2745.19</v>
      </c>
      <c r="J20" s="75">
        <v>2299.81</v>
      </c>
      <c r="K20" s="75">
        <v>2276.5300000000002</v>
      </c>
    </row>
    <row r="21" spans="1:11">
      <c r="A21" s="74" t="s">
        <v>133</v>
      </c>
      <c r="B21" s="75">
        <v>32976.99</v>
      </c>
      <c r="C21" s="75">
        <v>35464.04</v>
      </c>
      <c r="D21" s="75">
        <v>38772.730000000003</v>
      </c>
      <c r="E21" s="75">
        <v>38942.54</v>
      </c>
      <c r="F21" s="75">
        <v>35725.839999999997</v>
      </c>
      <c r="G21" s="75">
        <v>41993.25</v>
      </c>
      <c r="H21" s="75">
        <v>47648.63</v>
      </c>
      <c r="I21" s="75">
        <v>61400.51</v>
      </c>
      <c r="J21" s="75">
        <v>70064.42</v>
      </c>
      <c r="K21" s="75">
        <v>87563.9</v>
      </c>
    </row>
    <row r="22" spans="1:11">
      <c r="A22" s="74" t="s">
        <v>134</v>
      </c>
      <c r="B22" s="75">
        <v>13857.57</v>
      </c>
      <c r="C22" s="75">
        <v>15277.07</v>
      </c>
      <c r="D22" s="75">
        <v>17475.349999999999</v>
      </c>
      <c r="E22" s="75">
        <v>23125.64</v>
      </c>
      <c r="F22" s="75">
        <v>24758.51</v>
      </c>
      <c r="G22" s="75">
        <v>29701.71</v>
      </c>
      <c r="H22" s="75">
        <v>37222.870000000003</v>
      </c>
      <c r="I22" s="75">
        <v>41178.199999999997</v>
      </c>
      <c r="J22" s="75">
        <v>46774.52</v>
      </c>
      <c r="K22" s="75">
        <v>52191.85</v>
      </c>
    </row>
    <row r="23" spans="1:11">
      <c r="A23" s="74" t="s">
        <v>135</v>
      </c>
      <c r="B23" s="75">
        <v>4273.1899999999996</v>
      </c>
      <c r="C23" s="75">
        <v>4576.99</v>
      </c>
      <c r="D23" s="75">
        <v>5074.72</v>
      </c>
      <c r="E23" s="75">
        <v>5255.1</v>
      </c>
      <c r="F23" s="75">
        <v>3039.18</v>
      </c>
      <c r="G23" s="75">
        <v>3575.28</v>
      </c>
      <c r="H23" s="75">
        <v>4650.22</v>
      </c>
      <c r="I23" s="75">
        <v>4908.12</v>
      </c>
      <c r="J23" s="75">
        <v>5598.1</v>
      </c>
      <c r="K23" s="75">
        <v>5841.35</v>
      </c>
    </row>
    <row r="24" spans="1:11">
      <c r="A24" s="74" t="s">
        <v>136</v>
      </c>
      <c r="B24" s="75">
        <v>3427.92</v>
      </c>
      <c r="C24" s="75">
        <v>3293.09</v>
      </c>
      <c r="D24" s="75">
        <v>2667.31</v>
      </c>
      <c r="E24" s="75">
        <v>4142.57</v>
      </c>
      <c r="F24" s="75">
        <v>5736.7</v>
      </c>
      <c r="G24" s="75">
        <v>5069.8900000000003</v>
      </c>
      <c r="H24" s="75">
        <v>3868.52</v>
      </c>
      <c r="I24" s="75">
        <v>5781.71</v>
      </c>
      <c r="J24" s="75">
        <v>4397.8900000000003</v>
      </c>
      <c r="K24" s="75">
        <v>6870.44</v>
      </c>
    </row>
    <row r="25" spans="1:11">
      <c r="A25" s="74" t="s">
        <v>137</v>
      </c>
      <c r="B25" s="75">
        <v>1465.54</v>
      </c>
      <c r="C25" s="75">
        <v>1464.93</v>
      </c>
      <c r="D25" s="75">
        <v>2700.61</v>
      </c>
      <c r="E25" s="75">
        <v>3015.47</v>
      </c>
      <c r="F25" s="75">
        <v>8111.25</v>
      </c>
      <c r="G25" s="75">
        <v>2364.0100000000002</v>
      </c>
      <c r="H25" s="75">
        <v>2890.7</v>
      </c>
      <c r="I25" s="75">
        <v>4953.49</v>
      </c>
      <c r="J25" s="75">
        <v>3197.85</v>
      </c>
      <c r="K25" s="75">
        <v>4985.8</v>
      </c>
    </row>
    <row r="26" spans="1:11">
      <c r="A26" s="74" t="s">
        <v>83</v>
      </c>
      <c r="B26" s="75">
        <v>2369.9299999999998</v>
      </c>
      <c r="C26" s="75">
        <v>2223.48</v>
      </c>
      <c r="D26" s="75">
        <v>1923.03</v>
      </c>
      <c r="E26" s="75">
        <v>2462.27</v>
      </c>
      <c r="F26" s="75">
        <v>2904.21</v>
      </c>
      <c r="G26" s="75">
        <v>2947.95</v>
      </c>
      <c r="H26" s="75">
        <v>3502.25</v>
      </c>
      <c r="I26" s="75">
        <v>3682.33</v>
      </c>
      <c r="J26" s="75">
        <v>4121.18</v>
      </c>
      <c r="K26" s="75">
        <v>4364.75</v>
      </c>
    </row>
    <row r="27" spans="1:11" ht="15">
      <c r="A27" s="74" t="s">
        <v>81</v>
      </c>
      <c r="B27" s="75">
        <v>6828.66</v>
      </c>
      <c r="C27" s="75">
        <v>7713.63</v>
      </c>
      <c r="D27" s="75">
        <v>9338.73</v>
      </c>
      <c r="E27" s="75">
        <v>11020.78</v>
      </c>
      <c r="F27" s="75">
        <v>11749.58</v>
      </c>
      <c r="G27" s="75">
        <v>9234.98</v>
      </c>
      <c r="H27" s="75">
        <v>9445.44</v>
      </c>
      <c r="I27" s="75">
        <v>9512.17</v>
      </c>
      <c r="J27" s="79">
        <v>9924.7800000000007</v>
      </c>
      <c r="K27" s="79">
        <v>10055.94</v>
      </c>
    </row>
    <row r="28" spans="1:11">
      <c r="A28" s="74" t="s">
        <v>138</v>
      </c>
      <c r="B28" s="75">
        <v>8887.36</v>
      </c>
      <c r="C28" s="75">
        <v>11639.16</v>
      </c>
      <c r="D28" s="75">
        <v>14304.67</v>
      </c>
      <c r="E28" s="75">
        <v>14085.52</v>
      </c>
      <c r="F28" s="75">
        <v>16917.7</v>
      </c>
      <c r="G28" s="75">
        <v>14494.97</v>
      </c>
      <c r="H28" s="75">
        <v>17109.03</v>
      </c>
      <c r="I28" s="75">
        <v>20517.11</v>
      </c>
      <c r="J28" s="75">
        <v>23578.79</v>
      </c>
      <c r="K28" s="75">
        <v>25975.81</v>
      </c>
    </row>
    <row r="29" spans="1:11">
      <c r="A29" s="74" t="s">
        <v>87</v>
      </c>
      <c r="B29" s="75">
        <v>2006.59</v>
      </c>
      <c r="C29" s="75">
        <v>3198.87</v>
      </c>
      <c r="D29" s="75">
        <v>4067.09</v>
      </c>
      <c r="E29" s="75">
        <v>3263.2</v>
      </c>
      <c r="F29" s="75">
        <v>4010.82</v>
      </c>
      <c r="G29" s="75">
        <v>4203.92</v>
      </c>
      <c r="H29" s="75">
        <v>4484.16</v>
      </c>
      <c r="I29" s="75">
        <v>4947.3900000000003</v>
      </c>
      <c r="J29" s="75">
        <v>5891.4</v>
      </c>
      <c r="K29" s="75">
        <v>6816.41</v>
      </c>
    </row>
    <row r="30" spans="1:11">
      <c r="A30" s="74" t="s">
        <v>139</v>
      </c>
      <c r="B30" s="75">
        <v>6041.23</v>
      </c>
      <c r="C30" s="75">
        <v>7369.86</v>
      </c>
      <c r="D30" s="75">
        <v>8905.1299999999992</v>
      </c>
      <c r="E30" s="75">
        <v>9549.0300000000007</v>
      </c>
      <c r="F30" s="75">
        <v>11582.93</v>
      </c>
      <c r="G30" s="75">
        <v>8669.33</v>
      </c>
      <c r="H30" s="75">
        <v>10470.719999999999</v>
      </c>
      <c r="I30" s="75">
        <v>13059.11</v>
      </c>
      <c r="J30" s="75">
        <v>15037.11</v>
      </c>
      <c r="K30" s="75">
        <v>16083.99</v>
      </c>
    </row>
    <row r="31" spans="1:11">
      <c r="A31" s="74" t="s">
        <v>140</v>
      </c>
      <c r="B31" s="75">
        <v>1306.1300000000001</v>
      </c>
      <c r="C31" s="75">
        <v>2242.16</v>
      </c>
      <c r="D31" s="75">
        <v>2524.9499999999998</v>
      </c>
      <c r="E31" s="75">
        <v>2527.02</v>
      </c>
      <c r="F31" s="75">
        <v>5056.38</v>
      </c>
      <c r="G31" s="75">
        <v>3091.11</v>
      </c>
      <c r="H31" s="75">
        <v>3373.2</v>
      </c>
      <c r="I31" s="75">
        <v>4673.8100000000004</v>
      </c>
      <c r="J31" s="75">
        <v>4675.68</v>
      </c>
      <c r="K31" s="75">
        <v>5227.47</v>
      </c>
    </row>
    <row r="32" spans="1:11">
      <c r="A32" s="74" t="s">
        <v>88</v>
      </c>
      <c r="B32" s="80">
        <f>B29/B28</f>
        <v>0.22578020919598168</v>
      </c>
      <c r="C32" s="80">
        <f t="shared" ref="C32:K32" si="0">C29/C28</f>
        <v>0.27483684389595125</v>
      </c>
      <c r="D32" s="80">
        <f t="shared" si="0"/>
        <v>0.28431903706971223</v>
      </c>
      <c r="E32" s="80">
        <f t="shared" si="0"/>
        <v>0.23167053825488867</v>
      </c>
      <c r="F32" s="80">
        <f t="shared" si="0"/>
        <v>0.23707832625002218</v>
      </c>
      <c r="G32" s="80">
        <f t="shared" si="0"/>
        <v>0.29002612630450425</v>
      </c>
      <c r="H32" s="80">
        <f t="shared" si="0"/>
        <v>0.26209317535827575</v>
      </c>
      <c r="I32" s="80">
        <f t="shared" si="0"/>
        <v>0.24113483819114875</v>
      </c>
      <c r="J32" s="80">
        <f t="shared" si="0"/>
        <v>0.24986014973626719</v>
      </c>
      <c r="K32" s="80">
        <f t="shared" si="0"/>
        <v>0.2624137611108181</v>
      </c>
    </row>
    <row r="34" spans="1:11">
      <c r="A34" s="74" t="s">
        <v>79</v>
      </c>
      <c r="B34" s="74">
        <f>+B30+B29+B27+B26</f>
        <v>17246.41</v>
      </c>
      <c r="C34" s="74">
        <f t="shared" ref="C34:K34" si="1">+C30+C29+C27+C26</f>
        <v>20505.84</v>
      </c>
      <c r="D34" s="74">
        <f t="shared" si="1"/>
        <v>24233.979999999996</v>
      </c>
      <c r="E34" s="74">
        <f t="shared" si="1"/>
        <v>26295.280000000002</v>
      </c>
      <c r="F34" s="74">
        <f t="shared" si="1"/>
        <v>30247.54</v>
      </c>
      <c r="G34" s="74">
        <f t="shared" si="1"/>
        <v>25056.18</v>
      </c>
      <c r="H34" s="74">
        <f>+H30+H29+H27+H26</f>
        <v>27902.57</v>
      </c>
      <c r="I34" s="74">
        <f t="shared" si="1"/>
        <v>31201</v>
      </c>
      <c r="J34" s="74">
        <f>+J30+J29+J27+J26</f>
        <v>34974.47</v>
      </c>
      <c r="K34" s="74">
        <f t="shared" si="1"/>
        <v>37321.090000000004</v>
      </c>
    </row>
    <row r="40" spans="1:11">
      <c r="A40" s="73" t="s">
        <v>141</v>
      </c>
    </row>
    <row r="41" spans="1:11" s="78" customFormat="1">
      <c r="A41" s="76" t="s">
        <v>129</v>
      </c>
      <c r="B41" s="77">
        <v>45291</v>
      </c>
      <c r="C41" s="77">
        <v>45382</v>
      </c>
      <c r="D41" s="77">
        <v>45473</v>
      </c>
      <c r="E41" s="77">
        <v>45565</v>
      </c>
      <c r="F41" s="77">
        <v>45657</v>
      </c>
      <c r="G41" s="77">
        <v>45747</v>
      </c>
      <c r="H41" s="77">
        <v>45838</v>
      </c>
      <c r="I41" s="77">
        <v>45930</v>
      </c>
      <c r="J41" s="77">
        <v>46022</v>
      </c>
      <c r="K41" s="77">
        <v>46112</v>
      </c>
    </row>
    <row r="42" spans="1:11">
      <c r="A42" s="74" t="s">
        <v>70</v>
      </c>
      <c r="B42" s="75">
        <v>55127.82</v>
      </c>
      <c r="C42" s="75">
        <v>67078.679999999993</v>
      </c>
      <c r="D42" s="75">
        <v>55119.82</v>
      </c>
      <c r="E42" s="75">
        <v>61554.58</v>
      </c>
      <c r="F42" s="75">
        <v>64667.78</v>
      </c>
      <c r="G42" s="75">
        <v>74392.28</v>
      </c>
      <c r="H42" s="75">
        <v>63678.92</v>
      </c>
      <c r="I42" s="75">
        <v>67983.53</v>
      </c>
      <c r="J42" s="75">
        <v>71449.7</v>
      </c>
      <c r="K42" s="75">
        <v>82762.16</v>
      </c>
    </row>
    <row r="43" spans="1:11">
      <c r="A43" s="74" t="s">
        <v>142</v>
      </c>
      <c r="B43" s="75">
        <v>47929.17</v>
      </c>
      <c r="C43" s="75">
        <v>58425.64</v>
      </c>
      <c r="D43" s="75">
        <v>48074</v>
      </c>
      <c r="E43" s="75">
        <v>53637.53</v>
      </c>
      <c r="F43" s="75">
        <v>56769.62</v>
      </c>
      <c r="G43" s="75">
        <v>64516.34</v>
      </c>
      <c r="H43" s="75">
        <v>55654.91</v>
      </c>
      <c r="I43" s="75">
        <v>59470.29</v>
      </c>
      <c r="J43" s="75">
        <v>62259.49</v>
      </c>
      <c r="K43" s="75">
        <v>72343.14</v>
      </c>
    </row>
    <row r="44" spans="1:11">
      <c r="A44" s="74" t="s">
        <v>137</v>
      </c>
      <c r="B44" s="75">
        <v>837.75</v>
      </c>
      <c r="C44" s="75">
        <v>1135.3499999999999</v>
      </c>
      <c r="D44" s="75">
        <v>920.64</v>
      </c>
      <c r="E44" s="75">
        <v>1101.27</v>
      </c>
      <c r="F44" s="75">
        <v>967.87</v>
      </c>
      <c r="G44" s="75">
        <v>1609.83</v>
      </c>
      <c r="H44" s="75">
        <v>1356.78</v>
      </c>
      <c r="I44" s="75">
        <v>1384.28</v>
      </c>
      <c r="J44" s="75">
        <v>-350.05</v>
      </c>
      <c r="K44" s="75">
        <v>1647.24</v>
      </c>
    </row>
    <row r="45" spans="1:11">
      <c r="A45" s="74" t="s">
        <v>83</v>
      </c>
      <c r="B45" s="75">
        <v>920.75</v>
      </c>
      <c r="C45" s="75">
        <v>1021.2</v>
      </c>
      <c r="D45" s="75">
        <v>997.92</v>
      </c>
      <c r="E45" s="75">
        <v>1023.84</v>
      </c>
      <c r="F45" s="75">
        <v>1047</v>
      </c>
      <c r="G45" s="75">
        <v>1052.42</v>
      </c>
      <c r="H45" s="75">
        <v>1033.3</v>
      </c>
      <c r="I45" s="75">
        <v>1091.77</v>
      </c>
      <c r="J45" s="75">
        <v>1071.74</v>
      </c>
      <c r="K45" s="75">
        <v>1167.95</v>
      </c>
    </row>
    <row r="46" spans="1:11" ht="15">
      <c r="A46" s="74" t="s">
        <v>81</v>
      </c>
      <c r="B46" s="79">
        <v>2343.8200000000002</v>
      </c>
      <c r="C46" s="79">
        <v>2345.35</v>
      </c>
      <c r="D46" s="79">
        <v>2291.89</v>
      </c>
      <c r="E46" s="79">
        <v>2439.39</v>
      </c>
      <c r="F46" s="79">
        <v>2486</v>
      </c>
      <c r="G46" s="79">
        <v>2419.33</v>
      </c>
      <c r="H46" s="79">
        <v>2487.96</v>
      </c>
      <c r="I46" s="79">
        <v>2469.64</v>
      </c>
      <c r="J46" s="79">
        <v>2398.5300000000002</v>
      </c>
      <c r="K46" s="79">
        <v>2488.0300000000002</v>
      </c>
    </row>
    <row r="47" spans="1:11">
      <c r="A47" s="74" t="s">
        <v>138</v>
      </c>
      <c r="B47" s="75">
        <v>4771.83</v>
      </c>
      <c r="C47" s="75">
        <v>6421.84</v>
      </c>
      <c r="D47" s="75">
        <v>4676.6499999999996</v>
      </c>
      <c r="E47" s="75">
        <v>5555.09</v>
      </c>
      <c r="F47" s="75">
        <v>5333.03</v>
      </c>
      <c r="G47" s="75">
        <v>8014.02</v>
      </c>
      <c r="H47" s="75">
        <v>5859.53</v>
      </c>
      <c r="I47" s="75">
        <v>6336.11</v>
      </c>
      <c r="J47" s="75">
        <v>5369.89</v>
      </c>
      <c r="K47" s="75">
        <v>8410.2800000000007</v>
      </c>
    </row>
    <row r="48" spans="1:11">
      <c r="A48" s="74" t="s">
        <v>87</v>
      </c>
      <c r="B48" s="75">
        <v>1177.32</v>
      </c>
      <c r="C48" s="75">
        <v>1418.3</v>
      </c>
      <c r="D48" s="75">
        <v>1236.54</v>
      </c>
      <c r="E48" s="75">
        <v>1442.28</v>
      </c>
      <c r="F48" s="75">
        <v>1332</v>
      </c>
      <c r="G48" s="75">
        <v>1880.58</v>
      </c>
      <c r="H48" s="75">
        <v>1533.96</v>
      </c>
      <c r="I48" s="75">
        <v>1649.02</v>
      </c>
      <c r="J48" s="75">
        <v>1540.66</v>
      </c>
      <c r="K48" s="75">
        <v>2092.75</v>
      </c>
    </row>
    <row r="49" spans="1:11">
      <c r="A49" s="74" t="s">
        <v>139</v>
      </c>
      <c r="B49" s="75">
        <v>2947.36</v>
      </c>
      <c r="C49" s="75">
        <v>4396.12</v>
      </c>
      <c r="D49" s="75">
        <v>2785.72</v>
      </c>
      <c r="E49" s="75">
        <v>3395.29</v>
      </c>
      <c r="F49" s="75">
        <v>3358.84</v>
      </c>
      <c r="G49" s="75">
        <v>5497.26</v>
      </c>
      <c r="H49" s="75">
        <v>3617.19</v>
      </c>
      <c r="I49" s="75">
        <v>3926.09</v>
      </c>
      <c r="J49" s="75">
        <v>3215.11</v>
      </c>
      <c r="K49" s="75">
        <v>5325.6</v>
      </c>
    </row>
    <row r="50" spans="1:11">
      <c r="A50" s="74" t="s">
        <v>143</v>
      </c>
      <c r="B50" s="75">
        <v>7198.65</v>
      </c>
      <c r="C50" s="75">
        <v>8653.0400000000009</v>
      </c>
      <c r="D50" s="75">
        <v>7045.82</v>
      </c>
      <c r="E50" s="75">
        <v>7917.05</v>
      </c>
      <c r="F50" s="75">
        <v>7898.16</v>
      </c>
      <c r="G50" s="75">
        <v>9875.94</v>
      </c>
      <c r="H50" s="75">
        <v>8024.01</v>
      </c>
      <c r="I50" s="75">
        <v>8513.24</v>
      </c>
      <c r="J50" s="75">
        <v>9190.2099999999991</v>
      </c>
      <c r="K50" s="75">
        <v>10419.02</v>
      </c>
    </row>
    <row r="51" spans="1:11">
      <c r="A51" s="74" t="s">
        <v>79</v>
      </c>
      <c r="B51" s="74">
        <f>B49+B48+B46+B45</f>
        <v>7389.25</v>
      </c>
      <c r="C51" s="74">
        <f t="shared" ref="C51:K51" si="2">C49+C48+C46+C45</f>
        <v>9180.9700000000012</v>
      </c>
      <c r="D51" s="74">
        <f t="shared" si="2"/>
        <v>7312.07</v>
      </c>
      <c r="E51" s="74">
        <f t="shared" si="2"/>
        <v>8300.7999999999993</v>
      </c>
      <c r="F51" s="74">
        <f t="shared" si="2"/>
        <v>8223.84</v>
      </c>
      <c r="G51" s="74">
        <f t="shared" si="2"/>
        <v>10849.59</v>
      </c>
      <c r="H51" s="74">
        <f t="shared" si="2"/>
        <v>8672.41</v>
      </c>
      <c r="I51" s="74">
        <f t="shared" si="2"/>
        <v>9136.52</v>
      </c>
      <c r="J51" s="74">
        <f t="shared" si="2"/>
        <v>8226.0400000000009</v>
      </c>
      <c r="K51" s="74">
        <f t="shared" si="2"/>
        <v>11074.330000000002</v>
      </c>
    </row>
    <row r="55" spans="1:11">
      <c r="A55" s="73" t="s">
        <v>144</v>
      </c>
    </row>
    <row r="56" spans="1:11" s="78" customFormat="1">
      <c r="A56" s="76" t="s">
        <v>129</v>
      </c>
      <c r="B56" s="77">
        <v>42825</v>
      </c>
      <c r="C56" s="77">
        <v>43190</v>
      </c>
      <c r="D56" s="77">
        <v>43555</v>
      </c>
      <c r="E56" s="77">
        <v>43921</v>
      </c>
      <c r="F56" s="77">
        <v>44286</v>
      </c>
      <c r="G56" s="77">
        <v>44651</v>
      </c>
      <c r="H56" s="77">
        <v>45016</v>
      </c>
      <c r="I56" s="77">
        <v>45382</v>
      </c>
      <c r="J56" s="77">
        <v>45747</v>
      </c>
      <c r="K56" s="77">
        <v>46112</v>
      </c>
    </row>
    <row r="57" spans="1:11">
      <c r="A57" s="74" t="s">
        <v>98</v>
      </c>
      <c r="B57" s="75">
        <v>186.59</v>
      </c>
      <c r="C57" s="75">
        <v>280.27</v>
      </c>
      <c r="D57" s="75">
        <v>280.55</v>
      </c>
      <c r="E57" s="75">
        <v>280.77999999999997</v>
      </c>
      <c r="F57" s="75">
        <v>280.91000000000003</v>
      </c>
      <c r="G57" s="75">
        <v>281.01</v>
      </c>
      <c r="H57" s="75">
        <v>281.10000000000002</v>
      </c>
      <c r="I57" s="75">
        <v>274.93</v>
      </c>
      <c r="J57" s="75">
        <v>275.04000000000002</v>
      </c>
      <c r="K57" s="75">
        <v>275.13</v>
      </c>
    </row>
    <row r="58" spans="1:11">
      <c r="A58" s="74" t="s">
        <v>99</v>
      </c>
      <c r="B58" s="75">
        <v>50029.93</v>
      </c>
      <c r="C58" s="75">
        <v>54623.23</v>
      </c>
      <c r="D58" s="75">
        <v>62094.25</v>
      </c>
      <c r="E58" s="75">
        <v>66442.44</v>
      </c>
      <c r="F58" s="75">
        <v>75587.62</v>
      </c>
      <c r="G58" s="75">
        <v>82126.649999999994</v>
      </c>
      <c r="H58" s="75">
        <v>89044.85</v>
      </c>
      <c r="I58" s="75">
        <v>86084.31</v>
      </c>
      <c r="J58" s="75">
        <v>97380.56</v>
      </c>
      <c r="K58" s="75">
        <v>109014.67</v>
      </c>
    </row>
    <row r="59" spans="1:11" ht="15">
      <c r="A59" s="74" t="s">
        <v>100</v>
      </c>
      <c r="B59" s="79">
        <v>93953.95</v>
      </c>
      <c r="C59" s="79">
        <v>107524.08</v>
      </c>
      <c r="D59" s="79">
        <v>125555.17</v>
      </c>
      <c r="E59" s="79">
        <v>143173.67000000001</v>
      </c>
      <c r="F59" s="79">
        <v>134629.07999999999</v>
      </c>
      <c r="G59" s="79">
        <v>125508.08</v>
      </c>
      <c r="H59" s="79">
        <v>120650.44</v>
      </c>
      <c r="I59" s="79">
        <v>116322.22</v>
      </c>
      <c r="J59" s="79">
        <v>132408.92000000001</v>
      </c>
      <c r="K59" s="79">
        <v>125496.59</v>
      </c>
    </row>
    <row r="60" spans="1:11">
      <c r="A60" s="74" t="s">
        <v>101</v>
      </c>
      <c r="B60" s="75">
        <v>67400.179999999993</v>
      </c>
      <c r="C60" s="75">
        <v>80811.95</v>
      </c>
      <c r="D60" s="75">
        <v>90106.26</v>
      </c>
      <c r="E60" s="75">
        <v>96790.2</v>
      </c>
      <c r="F60" s="75">
        <v>99597.440000000002</v>
      </c>
      <c r="G60" s="75">
        <v>111112.17</v>
      </c>
      <c r="H60" s="75">
        <v>119745.49</v>
      </c>
      <c r="I60" s="75">
        <v>136920.88</v>
      </c>
      <c r="J60" s="75">
        <v>149049.57</v>
      </c>
      <c r="K60" s="75">
        <v>217596.38</v>
      </c>
    </row>
    <row r="61" spans="1:11" s="73" customFormat="1">
      <c r="A61" s="73" t="s">
        <v>51</v>
      </c>
      <c r="B61" s="75">
        <v>211570.65</v>
      </c>
      <c r="C61" s="75">
        <v>243239.53</v>
      </c>
      <c r="D61" s="75">
        <v>278036.23</v>
      </c>
      <c r="E61" s="75">
        <v>306687.09000000003</v>
      </c>
      <c r="F61" s="75">
        <v>310095.05</v>
      </c>
      <c r="G61" s="75">
        <v>319027.90999999997</v>
      </c>
      <c r="H61" s="75">
        <v>329721.88</v>
      </c>
      <c r="I61" s="75">
        <v>339602.34</v>
      </c>
      <c r="J61" s="75">
        <v>379114.09</v>
      </c>
      <c r="K61" s="75">
        <v>452382.77</v>
      </c>
    </row>
    <row r="62" spans="1:11">
      <c r="A62" s="74" t="s">
        <v>145</v>
      </c>
      <c r="B62" s="75">
        <v>16677.11</v>
      </c>
      <c r="C62" s="75">
        <v>18580.189999999999</v>
      </c>
      <c r="D62" s="75">
        <v>21193.94</v>
      </c>
      <c r="E62" s="75">
        <v>43653.38</v>
      </c>
      <c r="F62" s="75">
        <v>44319.32</v>
      </c>
      <c r="G62" s="75">
        <v>42945.01</v>
      </c>
      <c r="H62" s="75">
        <v>42641</v>
      </c>
      <c r="I62" s="75">
        <v>42963.82</v>
      </c>
      <c r="J62" s="75">
        <v>44055.45</v>
      </c>
      <c r="K62" s="75">
        <v>30866.91</v>
      </c>
    </row>
    <row r="63" spans="1:11">
      <c r="A63" s="74" t="s">
        <v>104</v>
      </c>
      <c r="B63" s="75">
        <v>13297.94</v>
      </c>
      <c r="C63" s="75">
        <v>13443.43</v>
      </c>
      <c r="D63" s="75">
        <v>13919.49</v>
      </c>
      <c r="E63" s="75">
        <v>3311.09</v>
      </c>
      <c r="F63" s="75">
        <v>500.39</v>
      </c>
      <c r="G63" s="75">
        <v>1249.55</v>
      </c>
      <c r="H63" s="75">
        <v>3065.57</v>
      </c>
      <c r="I63" s="75">
        <v>3045.01</v>
      </c>
      <c r="J63" s="75">
        <v>2588.6799999999998</v>
      </c>
      <c r="K63" s="75">
        <v>3310.95</v>
      </c>
    </row>
    <row r="64" spans="1:11" ht="15">
      <c r="A64" s="74" t="s">
        <v>105</v>
      </c>
      <c r="B64" s="75">
        <v>19753.02</v>
      </c>
      <c r="C64" s="79">
        <v>15311.31</v>
      </c>
      <c r="D64" s="75">
        <v>20907.099999999999</v>
      </c>
      <c r="E64" s="75">
        <v>20047.48</v>
      </c>
      <c r="F64" s="75">
        <v>39626.629999999997</v>
      </c>
      <c r="G64" s="75">
        <v>39395.18</v>
      </c>
      <c r="H64" s="75">
        <v>44798.31</v>
      </c>
      <c r="I64" s="75">
        <v>45647.82</v>
      </c>
      <c r="J64" s="75">
        <v>54805.27</v>
      </c>
      <c r="K64" s="75">
        <v>68376.789999999994</v>
      </c>
    </row>
    <row r="65" spans="1:11">
      <c r="A65" s="74" t="s">
        <v>106</v>
      </c>
      <c r="B65" s="75">
        <v>161842.57999999999</v>
      </c>
      <c r="C65" s="75">
        <v>195904.6</v>
      </c>
      <c r="D65" s="75">
        <v>222015.7</v>
      </c>
      <c r="E65" s="75">
        <v>239675.14</v>
      </c>
      <c r="F65" s="75">
        <v>225648.71</v>
      </c>
      <c r="G65" s="75">
        <v>235438.17</v>
      </c>
      <c r="H65" s="75">
        <v>239217</v>
      </c>
      <c r="I65" s="75">
        <v>247945.69</v>
      </c>
      <c r="J65" s="75">
        <v>277664.69</v>
      </c>
      <c r="K65" s="75">
        <v>349828.12</v>
      </c>
    </row>
    <row r="66" spans="1:11" s="73" customFormat="1">
      <c r="A66" s="73" t="s">
        <v>51</v>
      </c>
      <c r="B66" s="75">
        <v>211570.65</v>
      </c>
      <c r="C66" s="75">
        <v>243239.53</v>
      </c>
      <c r="D66" s="75">
        <v>278036.23</v>
      </c>
      <c r="E66" s="75">
        <v>306687.09000000003</v>
      </c>
      <c r="F66" s="75">
        <v>310095.05</v>
      </c>
      <c r="G66" s="75">
        <v>319027.90999999997</v>
      </c>
      <c r="H66" s="75">
        <v>329721.88</v>
      </c>
      <c r="I66" s="75">
        <v>339602.34</v>
      </c>
      <c r="J66" s="75">
        <v>379114.09</v>
      </c>
      <c r="K66" s="75">
        <v>452382.77</v>
      </c>
    </row>
    <row r="67" spans="1:11">
      <c r="A67" s="74" t="s">
        <v>108</v>
      </c>
      <c r="B67" s="75">
        <v>28688.97</v>
      </c>
      <c r="C67" s="75">
        <v>33116.980000000003</v>
      </c>
      <c r="D67" s="75">
        <v>36845.870000000003</v>
      </c>
      <c r="E67" s="75">
        <v>40731.519999999997</v>
      </c>
      <c r="F67" s="75">
        <v>42229.78</v>
      </c>
      <c r="G67" s="75">
        <v>46139.32</v>
      </c>
      <c r="H67" s="75">
        <v>44731.53</v>
      </c>
      <c r="I67" s="75">
        <v>48770.95</v>
      </c>
      <c r="J67" s="75">
        <v>53713.68</v>
      </c>
      <c r="K67" s="75">
        <v>60461.26</v>
      </c>
    </row>
    <row r="68" spans="1:11" ht="15">
      <c r="A68" s="74" t="s">
        <v>109</v>
      </c>
      <c r="B68" s="79">
        <v>4139.74</v>
      </c>
      <c r="C68" s="79">
        <v>4847.8</v>
      </c>
      <c r="D68" s="79">
        <v>6413.93</v>
      </c>
      <c r="E68" s="79">
        <v>5746.65</v>
      </c>
      <c r="F68" s="79">
        <v>5820.54</v>
      </c>
      <c r="G68" s="79">
        <v>5943.32</v>
      </c>
      <c r="H68" s="79">
        <v>6828.78</v>
      </c>
      <c r="I68" s="79">
        <v>6620.19</v>
      </c>
      <c r="J68" s="79">
        <v>7670.55</v>
      </c>
      <c r="K68" s="79">
        <v>9530.93</v>
      </c>
    </row>
    <row r="69" spans="1:11">
      <c r="A69" s="74" t="s">
        <v>110</v>
      </c>
      <c r="B69" s="75">
        <v>5305.96</v>
      </c>
      <c r="C69" s="75">
        <v>8032.73</v>
      </c>
      <c r="D69" s="75">
        <v>11726.24</v>
      </c>
      <c r="E69" s="75">
        <v>15117.78</v>
      </c>
      <c r="F69" s="75">
        <v>16241.5</v>
      </c>
      <c r="G69" s="75">
        <v>18953.169999999998</v>
      </c>
      <c r="H69" s="75">
        <v>22519.599999999999</v>
      </c>
      <c r="I69" s="75">
        <v>15358.39</v>
      </c>
      <c r="J69" s="75">
        <v>22965.34</v>
      </c>
      <c r="K69" s="75">
        <v>20847.669999999998</v>
      </c>
    </row>
    <row r="70" spans="1:11">
      <c r="A70" s="74" t="s">
        <v>146</v>
      </c>
      <c r="B70" s="75">
        <v>932965803</v>
      </c>
      <c r="C70" s="75">
        <v>1401369456</v>
      </c>
      <c r="D70" s="75">
        <v>1402729385</v>
      </c>
      <c r="E70" s="75">
        <v>1403892022</v>
      </c>
      <c r="F70" s="75">
        <v>1404555297</v>
      </c>
      <c r="G70" s="75">
        <v>1405029123</v>
      </c>
      <c r="H70" s="75">
        <v>1405482190</v>
      </c>
      <c r="I70" s="75">
        <v>1374668619</v>
      </c>
      <c r="J70" s="75">
        <v>1375192165</v>
      </c>
      <c r="K70" s="75">
        <v>1375632190</v>
      </c>
    </row>
    <row r="71" spans="1:11" ht="16.5">
      <c r="A71" s="74" t="s">
        <v>147</v>
      </c>
      <c r="B71" s="81"/>
      <c r="C71" s="81">
        <v>466764755</v>
      </c>
      <c r="G71" s="81"/>
      <c r="H71" s="81"/>
    </row>
    <row r="72" spans="1:11">
      <c r="A72" s="74" t="s">
        <v>148</v>
      </c>
      <c r="B72" s="75">
        <v>2</v>
      </c>
      <c r="C72" s="75">
        <v>2</v>
      </c>
      <c r="D72" s="75">
        <v>2</v>
      </c>
      <c r="E72" s="75">
        <v>2</v>
      </c>
      <c r="F72" s="75">
        <v>2</v>
      </c>
      <c r="G72" s="75">
        <v>2</v>
      </c>
      <c r="H72" s="75">
        <v>2</v>
      </c>
      <c r="I72" s="75">
        <v>2</v>
      </c>
      <c r="J72" s="75">
        <v>2</v>
      </c>
      <c r="K72" s="75">
        <v>2</v>
      </c>
    </row>
    <row r="73" spans="1:11">
      <c r="H73" s="74">
        <f>H62-G62+H45</f>
        <v>729.28999999999792</v>
      </c>
      <c r="I73" s="74">
        <f t="shared" ref="I73:K73" si="3">I62-H62+I45</f>
        <v>1414.5899999999997</v>
      </c>
      <c r="J73" s="74">
        <f t="shared" si="3"/>
        <v>2163.3699999999972</v>
      </c>
      <c r="K73" s="74">
        <f t="shared" si="3"/>
        <v>-12020.589999999997</v>
      </c>
    </row>
    <row r="80" spans="1:11">
      <c r="A80" s="73" t="s">
        <v>149</v>
      </c>
    </row>
    <row r="81" spans="1:12" s="78" customFormat="1">
      <c r="A81" s="76" t="s">
        <v>129</v>
      </c>
      <c r="B81" s="77">
        <v>42825</v>
      </c>
      <c r="C81" s="77">
        <v>43190</v>
      </c>
      <c r="D81" s="77">
        <v>43555</v>
      </c>
      <c r="E81" s="77">
        <v>43921</v>
      </c>
      <c r="F81" s="77">
        <v>44286</v>
      </c>
      <c r="G81" s="77">
        <v>44651</v>
      </c>
      <c r="H81" s="77">
        <v>45016</v>
      </c>
      <c r="I81" s="77">
        <v>45382</v>
      </c>
      <c r="J81" s="77">
        <v>45747</v>
      </c>
      <c r="K81" s="77">
        <v>46112</v>
      </c>
      <c r="L81" s="77"/>
    </row>
    <row r="82" spans="1:12" s="73" customFormat="1">
      <c r="A82" s="74" t="s">
        <v>150</v>
      </c>
      <c r="B82" s="75">
        <v>6655.26</v>
      </c>
      <c r="C82" s="75">
        <v>-10031.02</v>
      </c>
      <c r="D82" s="75">
        <v>-4755.83</v>
      </c>
      <c r="E82" s="75">
        <v>6693.88</v>
      </c>
      <c r="F82" s="75">
        <v>23073.82</v>
      </c>
      <c r="G82" s="75">
        <v>19163.580000000002</v>
      </c>
      <c r="H82" s="75">
        <v>22776.959999999999</v>
      </c>
      <c r="I82" s="75">
        <v>18266.28</v>
      </c>
      <c r="J82" s="75">
        <v>9151.35</v>
      </c>
      <c r="K82" s="75">
        <v>16740.97</v>
      </c>
    </row>
    <row r="83" spans="1:12">
      <c r="A83" s="74" t="s">
        <v>151</v>
      </c>
      <c r="B83" s="75">
        <v>-9795.94</v>
      </c>
      <c r="C83" s="75">
        <v>3914.5</v>
      </c>
      <c r="D83" s="75">
        <v>-11022.8</v>
      </c>
      <c r="E83" s="75">
        <v>-8407.7099999999991</v>
      </c>
      <c r="F83" s="75">
        <v>-5750.49</v>
      </c>
      <c r="G83" s="75">
        <v>-3585.38</v>
      </c>
      <c r="H83" s="75">
        <v>-8048.02</v>
      </c>
      <c r="I83" s="75">
        <v>2178.89</v>
      </c>
      <c r="J83" s="75">
        <v>-15479.47</v>
      </c>
      <c r="K83" s="75">
        <v>-11380.3</v>
      </c>
    </row>
    <row r="84" spans="1:12">
      <c r="A84" s="74" t="s">
        <v>152</v>
      </c>
      <c r="B84" s="75">
        <v>2895.93</v>
      </c>
      <c r="C84" s="75">
        <v>9370.4599999999991</v>
      </c>
      <c r="D84" s="75">
        <v>15440.17</v>
      </c>
      <c r="E84" s="75">
        <v>6371.55</v>
      </c>
      <c r="F84" s="75">
        <v>-15274.38</v>
      </c>
      <c r="G84" s="75">
        <v>-15181.48</v>
      </c>
      <c r="H84" s="75">
        <v>-11572.49</v>
      </c>
      <c r="I84" s="75">
        <v>-25413.360000000001</v>
      </c>
      <c r="J84" s="75">
        <v>6556.62</v>
      </c>
      <c r="K84" s="75">
        <v>-2156.4299999999998</v>
      </c>
    </row>
    <row r="85" spans="1:12" s="73" customFormat="1">
      <c r="A85" s="74" t="s">
        <v>118</v>
      </c>
      <c r="B85" s="75">
        <v>-244.75</v>
      </c>
      <c r="C85" s="75">
        <v>3253.94</v>
      </c>
      <c r="D85" s="75">
        <v>-338.46</v>
      </c>
      <c r="E85" s="75">
        <v>4657.72</v>
      </c>
      <c r="F85" s="75">
        <v>2048.9499999999998</v>
      </c>
      <c r="G85" s="75">
        <v>396.72</v>
      </c>
      <c r="H85" s="75">
        <v>3156.45</v>
      </c>
      <c r="I85" s="75">
        <v>-4968.1899999999996</v>
      </c>
      <c r="J85" s="75">
        <v>228.5</v>
      </c>
      <c r="K85" s="75">
        <v>3204.24</v>
      </c>
    </row>
    <row r="90" spans="1:12" s="73" customFormat="1">
      <c r="A90" s="73" t="s">
        <v>153</v>
      </c>
      <c r="B90" s="75">
        <v>1049.93</v>
      </c>
      <c r="C90" s="75">
        <v>1310.9</v>
      </c>
      <c r="D90" s="75">
        <v>1385.3</v>
      </c>
      <c r="E90" s="75">
        <v>808.5</v>
      </c>
      <c r="F90" s="75">
        <v>1418.9</v>
      </c>
      <c r="G90" s="75">
        <v>1767.65</v>
      </c>
      <c r="H90" s="75">
        <v>2164.1999999999998</v>
      </c>
      <c r="I90" s="75">
        <v>3763.9</v>
      </c>
      <c r="J90" s="75">
        <v>3492.3</v>
      </c>
      <c r="K90" s="75">
        <v>3504.1</v>
      </c>
    </row>
    <row r="92" spans="1:12" s="73" customFormat="1">
      <c r="A92" s="73" t="s">
        <v>154</v>
      </c>
    </row>
    <row r="93" spans="1:12">
      <c r="A93" s="74" t="s">
        <v>155</v>
      </c>
      <c r="B93" s="82">
        <v>139.94</v>
      </c>
      <c r="C93" s="82">
        <v>140.13999999999999</v>
      </c>
      <c r="D93" s="82">
        <v>140.27000000000001</v>
      </c>
      <c r="E93" s="82">
        <v>140.38999999999999</v>
      </c>
      <c r="F93" s="82">
        <v>140.46</v>
      </c>
      <c r="G93" s="82">
        <v>140.5</v>
      </c>
      <c r="H93" s="82">
        <v>140.55000000000001</v>
      </c>
      <c r="I93" s="82">
        <v>137.47</v>
      </c>
      <c r="J93" s="82">
        <v>137.52000000000001</v>
      </c>
      <c r="K93" s="82">
        <v>137.56</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C03866C7-AB34-441B-ACAE-C23DCFBCDD3D}"/>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783C7-3922-469F-86EF-71D0294B75E9}">
  <dimension ref="A2:M32"/>
  <sheetViews>
    <sheetView zoomScale="85" zoomScaleNormal="85" workbookViewId="0">
      <selection activeCell="K21" sqref="K21"/>
    </sheetView>
  </sheetViews>
  <sheetFormatPr defaultRowHeight="15"/>
  <cols>
    <col min="1" max="1" width="30.7109375" bestFit="1" customWidth="1"/>
    <col min="2" max="2" width="14.28515625" customWidth="1"/>
    <col min="3" max="14" width="12.7109375" customWidth="1"/>
  </cols>
  <sheetData>
    <row r="2" spans="1:13">
      <c r="B2" s="107">
        <v>42064</v>
      </c>
      <c r="C2" s="107">
        <v>42430</v>
      </c>
      <c r="D2" s="107">
        <v>42795</v>
      </c>
      <c r="E2" s="107">
        <v>43160</v>
      </c>
      <c r="F2" s="107">
        <v>43525</v>
      </c>
      <c r="G2" s="107">
        <v>43891</v>
      </c>
      <c r="H2" s="107">
        <v>44256</v>
      </c>
      <c r="I2" s="107">
        <v>44621</v>
      </c>
      <c r="J2" s="107">
        <v>44986</v>
      </c>
      <c r="K2" s="107">
        <v>45352</v>
      </c>
      <c r="L2" s="107">
        <v>45717</v>
      </c>
      <c r="M2" s="107">
        <v>46082</v>
      </c>
    </row>
    <row r="3" spans="1:13">
      <c r="A3" t="s">
        <v>8588</v>
      </c>
      <c r="B3" s="83">
        <v>-1365</v>
      </c>
      <c r="C3" s="83">
        <v>-3240</v>
      </c>
      <c r="D3" s="83">
        <v>6655</v>
      </c>
      <c r="E3" s="83">
        <v>-10031</v>
      </c>
      <c r="F3" s="83">
        <v>-4756</v>
      </c>
      <c r="G3" s="83">
        <v>6694</v>
      </c>
      <c r="H3" s="83">
        <v>23074</v>
      </c>
      <c r="I3" s="83">
        <v>19164</v>
      </c>
      <c r="J3" s="83">
        <v>22777</v>
      </c>
      <c r="K3" s="83">
        <v>18266</v>
      </c>
      <c r="L3" s="83">
        <v>9151</v>
      </c>
      <c r="M3" s="83">
        <v>16741</v>
      </c>
    </row>
    <row r="4" spans="1:13">
      <c r="A4" t="s">
        <v>193</v>
      </c>
      <c r="B4" s="83">
        <v>10198</v>
      </c>
      <c r="C4" s="83">
        <v>10485</v>
      </c>
      <c r="D4" s="83">
        <v>11255</v>
      </c>
      <c r="E4" s="83">
        <v>13248</v>
      </c>
      <c r="F4" s="83">
        <v>16073</v>
      </c>
      <c r="G4" s="83">
        <v>18524</v>
      </c>
      <c r="H4" s="83">
        <v>16347</v>
      </c>
      <c r="I4" s="83">
        <v>18946</v>
      </c>
      <c r="J4" s="83">
        <v>22525</v>
      </c>
      <c r="K4" s="83">
        <v>24931</v>
      </c>
      <c r="L4" s="83">
        <v>29981</v>
      </c>
      <c r="M4" s="83">
        <v>33230</v>
      </c>
    </row>
    <row r="5" spans="1:13">
      <c r="A5" t="s">
        <v>108</v>
      </c>
      <c r="B5" s="83">
        <v>-9737</v>
      </c>
      <c r="C5" s="83">
        <v>-9450</v>
      </c>
      <c r="D5" s="83">
        <v>-2471</v>
      </c>
      <c r="E5" s="83">
        <v>-14501</v>
      </c>
      <c r="F5" s="83">
        <v>-9241</v>
      </c>
      <c r="G5" s="83">
        <v>-11278</v>
      </c>
      <c r="H5" s="83">
        <v>3012</v>
      </c>
      <c r="I5" s="83">
        <v>-9852</v>
      </c>
      <c r="J5" s="83">
        <v>-4495</v>
      </c>
      <c r="K5" s="83">
        <v>-10643</v>
      </c>
      <c r="L5" s="83">
        <v>-10316</v>
      </c>
      <c r="M5" s="83">
        <v>-28151</v>
      </c>
    </row>
    <row r="6" spans="1:13">
      <c r="A6" t="s">
        <v>109</v>
      </c>
      <c r="B6">
        <v>-983</v>
      </c>
      <c r="C6">
        <v>217</v>
      </c>
      <c r="D6" s="83">
        <v>1510</v>
      </c>
      <c r="E6">
        <v>-642</v>
      </c>
      <c r="F6">
        <v>331</v>
      </c>
      <c r="G6">
        <v>353</v>
      </c>
      <c r="H6">
        <v>349</v>
      </c>
      <c r="I6">
        <v>-74</v>
      </c>
      <c r="J6">
        <v>-476</v>
      </c>
      <c r="K6">
        <v>245</v>
      </c>
      <c r="L6">
        <v>-540</v>
      </c>
      <c r="M6" s="83">
        <v>-2201</v>
      </c>
    </row>
    <row r="7" spans="1:13">
      <c r="A7" t="s">
        <v>194</v>
      </c>
      <c r="B7" s="83">
        <v>9120</v>
      </c>
      <c r="C7" s="83">
        <v>9308</v>
      </c>
      <c r="D7" s="83">
        <v>5307</v>
      </c>
      <c r="E7" s="83">
        <v>11727</v>
      </c>
      <c r="F7" s="83">
        <v>6819</v>
      </c>
      <c r="G7" s="83">
        <v>3134</v>
      </c>
      <c r="H7" s="83">
        <v>2220</v>
      </c>
      <c r="I7" s="83">
        <v>9678</v>
      </c>
      <c r="J7" s="83">
        <v>5413</v>
      </c>
      <c r="K7" s="83">
        <v>14601</v>
      </c>
      <c r="L7" s="83">
        <v>9835</v>
      </c>
      <c r="M7" s="83">
        <v>45128</v>
      </c>
    </row>
    <row r="8" spans="1:13">
      <c r="A8" t="s">
        <v>8572</v>
      </c>
      <c r="B8" s="83">
        <v>-6984</v>
      </c>
      <c r="C8" s="83">
        <v>-10585</v>
      </c>
      <c r="D8" s="83">
        <v>-5744</v>
      </c>
      <c r="E8" s="83">
        <v>-16459</v>
      </c>
      <c r="F8" s="83">
        <v>-13855</v>
      </c>
      <c r="G8">
        <v>7</v>
      </c>
      <c r="H8" s="83">
        <v>4618</v>
      </c>
      <c r="I8" s="83">
        <v>5005</v>
      </c>
      <c r="J8" s="83">
        <v>4937</v>
      </c>
      <c r="K8" s="83">
        <v>-5588</v>
      </c>
      <c r="L8" s="83">
        <v>-14208</v>
      </c>
      <c r="M8" s="83">
        <v>-25233</v>
      </c>
    </row>
    <row r="9" spans="1:13">
      <c r="A9" t="s">
        <v>195</v>
      </c>
      <c r="B9" s="83">
        <v>-8584</v>
      </c>
      <c r="C9" s="83">
        <v>-10510</v>
      </c>
      <c r="D9" s="83">
        <v>-1398</v>
      </c>
      <c r="E9" s="83">
        <v>-19876</v>
      </c>
      <c r="F9" s="83">
        <v>-15946</v>
      </c>
      <c r="G9" s="83">
        <v>-7784</v>
      </c>
      <c r="H9" s="83">
        <v>10198</v>
      </c>
      <c r="I9" s="83">
        <v>4757</v>
      </c>
      <c r="J9" s="83">
        <v>5379</v>
      </c>
      <c r="K9" s="83">
        <v>-1385</v>
      </c>
      <c r="L9" s="83">
        <v>-15229</v>
      </c>
      <c r="M9" s="83">
        <v>-10458</v>
      </c>
    </row>
    <row r="10" spans="1:13">
      <c r="A10" t="s">
        <v>196</v>
      </c>
      <c r="B10" s="83">
        <v>-2979</v>
      </c>
      <c r="C10" s="83">
        <v>-3215</v>
      </c>
      <c r="D10" s="83">
        <v>-3202</v>
      </c>
      <c r="E10" s="83">
        <v>-3403</v>
      </c>
      <c r="F10" s="83">
        <v>-4883</v>
      </c>
      <c r="G10" s="83">
        <v>-4046</v>
      </c>
      <c r="H10" s="83">
        <v>-3471</v>
      </c>
      <c r="I10" s="83">
        <v>-4539</v>
      </c>
      <c r="J10" s="83">
        <v>-5127</v>
      </c>
      <c r="K10" s="83">
        <v>-5280</v>
      </c>
      <c r="L10" s="83">
        <v>-5601</v>
      </c>
      <c r="M10" s="83">
        <v>-6031</v>
      </c>
    </row>
    <row r="11" spans="1:13">
      <c r="A11" t="s">
        <v>8589</v>
      </c>
      <c r="B11" s="83">
        <v>-4778</v>
      </c>
      <c r="C11" s="83">
        <v>-4627</v>
      </c>
      <c r="D11" s="83">
        <v>-9796</v>
      </c>
      <c r="E11" s="83">
        <v>3914</v>
      </c>
      <c r="F11" s="83">
        <v>-11023</v>
      </c>
      <c r="G11" s="83">
        <v>-8408</v>
      </c>
      <c r="H11" s="83">
        <v>-5750</v>
      </c>
      <c r="I11" s="83">
        <v>-3585</v>
      </c>
      <c r="J11" s="83">
        <v>-8048</v>
      </c>
      <c r="K11" s="83">
        <v>2179</v>
      </c>
      <c r="L11" s="83">
        <v>-15479</v>
      </c>
      <c r="M11" s="83">
        <v>-11380</v>
      </c>
    </row>
    <row r="12" spans="1:13">
      <c r="A12" t="s">
        <v>197</v>
      </c>
      <c r="B12" s="83">
        <v>-6252</v>
      </c>
      <c r="C12" s="83">
        <v>-4322</v>
      </c>
      <c r="D12" s="83">
        <v>-2977</v>
      </c>
      <c r="E12" s="83">
        <v>-2877</v>
      </c>
      <c r="F12" s="83">
        <v>-4307</v>
      </c>
      <c r="G12" s="83">
        <v>-3437</v>
      </c>
      <c r="H12" s="83">
        <v>-1808</v>
      </c>
      <c r="I12" s="83">
        <v>-3111</v>
      </c>
      <c r="J12" s="83">
        <v>-4144</v>
      </c>
      <c r="K12" s="83">
        <v>-4517</v>
      </c>
      <c r="L12" s="83">
        <v>-4419</v>
      </c>
      <c r="M12" s="83">
        <v>-4809</v>
      </c>
    </row>
    <row r="13" spans="1:13">
      <c r="A13" t="s">
        <v>198</v>
      </c>
      <c r="B13">
        <v>158</v>
      </c>
      <c r="C13">
        <v>198</v>
      </c>
      <c r="D13">
        <v>156</v>
      </c>
      <c r="E13">
        <v>862</v>
      </c>
      <c r="F13">
        <v>808</v>
      </c>
      <c r="G13">
        <v>137</v>
      </c>
      <c r="H13">
        <v>885</v>
      </c>
      <c r="I13">
        <v>71</v>
      </c>
      <c r="J13">
        <v>350</v>
      </c>
      <c r="K13">
        <v>306</v>
      </c>
      <c r="L13">
        <v>878</v>
      </c>
      <c r="M13">
        <v>341</v>
      </c>
    </row>
    <row r="14" spans="1:13">
      <c r="A14" t="s">
        <v>199</v>
      </c>
      <c r="B14">
        <v>-830</v>
      </c>
      <c r="C14">
        <v>-746</v>
      </c>
      <c r="D14" s="83">
        <v>-7882</v>
      </c>
      <c r="E14" s="83">
        <v>-1291</v>
      </c>
      <c r="F14" s="83">
        <v>-4917</v>
      </c>
      <c r="G14" s="83">
        <v>-1857</v>
      </c>
      <c r="H14" s="83">
        <v>-18715</v>
      </c>
      <c r="I14" s="83">
        <v>-2156</v>
      </c>
      <c r="J14" s="83">
        <v>-9120</v>
      </c>
      <c r="K14" s="83">
        <v>-4889</v>
      </c>
      <c r="L14" s="83">
        <v>-8235</v>
      </c>
      <c r="M14" s="83">
        <v>-12946</v>
      </c>
    </row>
    <row r="15" spans="1:13">
      <c r="A15" t="s">
        <v>200</v>
      </c>
      <c r="B15">
        <v>-136</v>
      </c>
      <c r="C15">
        <v>333</v>
      </c>
      <c r="D15">
        <v>67</v>
      </c>
      <c r="E15" s="83">
        <v>2980</v>
      </c>
      <c r="F15">
        <v>653</v>
      </c>
      <c r="G15" s="83">
        <v>4311</v>
      </c>
      <c r="H15">
        <v>240</v>
      </c>
      <c r="I15" s="83">
        <v>2463</v>
      </c>
      <c r="J15">
        <v>827</v>
      </c>
      <c r="K15" s="83">
        <v>4931</v>
      </c>
      <c r="L15" s="83">
        <v>1726</v>
      </c>
      <c r="M15" s="83">
        <v>1190</v>
      </c>
    </row>
    <row r="16" spans="1:13">
      <c r="A16" t="s">
        <v>201</v>
      </c>
      <c r="B16">
        <v>387</v>
      </c>
      <c r="C16">
        <v>402</v>
      </c>
      <c r="D16">
        <v>409</v>
      </c>
      <c r="E16">
        <v>529</v>
      </c>
      <c r="F16">
        <v>727</v>
      </c>
      <c r="G16">
        <v>838</v>
      </c>
      <c r="H16" s="83">
        <v>1273</v>
      </c>
      <c r="I16">
        <v>969</v>
      </c>
      <c r="J16" s="83">
        <v>1609</v>
      </c>
      <c r="K16" s="83">
        <v>2408</v>
      </c>
      <c r="L16" s="83">
        <v>2084</v>
      </c>
      <c r="M16" s="83">
        <v>2701</v>
      </c>
    </row>
    <row r="17" spans="1:13">
      <c r="A17" t="s">
        <v>202</v>
      </c>
      <c r="B17">
        <v>84</v>
      </c>
      <c r="C17">
        <v>213</v>
      </c>
      <c r="D17">
        <v>749</v>
      </c>
      <c r="E17" s="83">
        <v>2749</v>
      </c>
      <c r="F17">
        <v>256</v>
      </c>
      <c r="G17">
        <v>114</v>
      </c>
      <c r="H17">
        <v>203</v>
      </c>
      <c r="I17">
        <v>161</v>
      </c>
      <c r="J17">
        <v>157</v>
      </c>
      <c r="K17">
        <v>226</v>
      </c>
      <c r="L17">
        <v>144</v>
      </c>
      <c r="M17">
        <v>327</v>
      </c>
    </row>
    <row r="18" spans="1:13">
      <c r="A18" t="s">
        <v>8590</v>
      </c>
      <c r="B18">
        <v>0</v>
      </c>
      <c r="C18">
        <v>0</v>
      </c>
      <c r="D18" s="83">
        <v>-2010</v>
      </c>
      <c r="E18">
        <v>0</v>
      </c>
      <c r="F18">
        <v>0</v>
      </c>
      <c r="G18">
        <v>0</v>
      </c>
      <c r="H18">
        <v>0</v>
      </c>
      <c r="I18">
        <v>0</v>
      </c>
      <c r="J18">
        <v>0</v>
      </c>
      <c r="K18">
        <v>0</v>
      </c>
      <c r="L18">
        <v>0</v>
      </c>
      <c r="M18">
        <v>0</v>
      </c>
    </row>
    <row r="19" spans="1:13">
      <c r="A19" t="s">
        <v>203</v>
      </c>
      <c r="B19" s="83">
        <v>1350</v>
      </c>
      <c r="C19">
        <v>432</v>
      </c>
      <c r="D19" s="83">
        <v>2169</v>
      </c>
      <c r="E19" s="83">
        <v>1099</v>
      </c>
      <c r="F19">
        <v>100</v>
      </c>
      <c r="G19">
        <v>254</v>
      </c>
      <c r="H19">
        <v>303</v>
      </c>
      <c r="I19" s="83">
        <v>1016</v>
      </c>
      <c r="J19" s="83">
        <v>2894</v>
      </c>
      <c r="K19">
        <v>215</v>
      </c>
      <c r="L19" s="83">
        <v>1095</v>
      </c>
      <c r="M19">
        <v>124</v>
      </c>
    </row>
    <row r="20" spans="1:13">
      <c r="A20" t="s">
        <v>204</v>
      </c>
      <c r="B20">
        <v>-118</v>
      </c>
      <c r="C20">
        <v>-66</v>
      </c>
      <c r="D20">
        <v>-27</v>
      </c>
      <c r="E20">
        <v>-229</v>
      </c>
      <c r="F20">
        <v>-310</v>
      </c>
      <c r="G20" s="83">
        <v>-9944</v>
      </c>
      <c r="H20">
        <v>-122</v>
      </c>
      <c r="I20">
        <v>-88</v>
      </c>
      <c r="J20">
        <v>-146</v>
      </c>
      <c r="K20">
        <v>-18</v>
      </c>
      <c r="L20" s="83">
        <v>-2146</v>
      </c>
      <c r="M20">
        <v>-525</v>
      </c>
    </row>
    <row r="21" spans="1:13">
      <c r="A21" t="s">
        <v>205</v>
      </c>
      <c r="B21">
        <v>580</v>
      </c>
      <c r="C21" s="83">
        <v>-1072</v>
      </c>
      <c r="D21">
        <v>-450</v>
      </c>
      <c r="E21">
        <v>93</v>
      </c>
      <c r="F21" s="83">
        <v>-4033</v>
      </c>
      <c r="G21" s="83">
        <v>1177</v>
      </c>
      <c r="H21" s="83">
        <v>11989</v>
      </c>
      <c r="I21" s="83">
        <v>-2910</v>
      </c>
      <c r="J21">
        <v>-476</v>
      </c>
      <c r="K21" s="83">
        <v>3517</v>
      </c>
      <c r="L21" s="83">
        <v>-6607</v>
      </c>
      <c r="M21" s="83">
        <v>2217</v>
      </c>
    </row>
    <row r="22" spans="1:13">
      <c r="A22" t="s">
        <v>8591</v>
      </c>
      <c r="B22" s="83">
        <v>7903</v>
      </c>
      <c r="C22" s="83">
        <v>7253</v>
      </c>
      <c r="D22" s="83">
        <v>2896</v>
      </c>
      <c r="E22" s="83">
        <v>9370</v>
      </c>
      <c r="F22" s="83">
        <v>15440</v>
      </c>
      <c r="G22" s="83">
        <v>6372</v>
      </c>
      <c r="H22" s="83">
        <v>-15274</v>
      </c>
      <c r="I22" s="83">
        <v>-15181</v>
      </c>
      <c r="J22" s="83">
        <v>-11572</v>
      </c>
      <c r="K22" s="83">
        <v>-25413</v>
      </c>
      <c r="L22" s="83">
        <v>6557</v>
      </c>
      <c r="M22" s="83">
        <v>-2156</v>
      </c>
    </row>
    <row r="23" spans="1:13">
      <c r="A23" t="s">
        <v>8592</v>
      </c>
      <c r="B23">
        <v>99</v>
      </c>
      <c r="C23">
        <v>70</v>
      </c>
      <c r="D23">
        <v>53</v>
      </c>
      <c r="E23">
        <v>50</v>
      </c>
      <c r="F23">
        <v>11</v>
      </c>
      <c r="G23">
        <v>18</v>
      </c>
      <c r="H23">
        <v>16</v>
      </c>
      <c r="I23">
        <v>11</v>
      </c>
      <c r="J23">
        <v>10</v>
      </c>
      <c r="K23">
        <v>10</v>
      </c>
      <c r="L23">
        <v>9</v>
      </c>
      <c r="M23">
        <v>8</v>
      </c>
    </row>
    <row r="24" spans="1:13">
      <c r="A24" t="s">
        <v>206</v>
      </c>
      <c r="B24" s="83">
        <v>32298</v>
      </c>
      <c r="C24" s="83">
        <v>30225</v>
      </c>
      <c r="D24" s="83">
        <v>30523</v>
      </c>
      <c r="E24" s="83">
        <v>46903</v>
      </c>
      <c r="F24" s="83">
        <v>32256</v>
      </c>
      <c r="G24" s="83">
        <v>47811</v>
      </c>
      <c r="H24" s="83">
        <v>36325</v>
      </c>
      <c r="I24" s="83">
        <v>27537</v>
      </c>
      <c r="J24" s="83">
        <v>28386</v>
      </c>
      <c r="K24" s="83">
        <v>23175</v>
      </c>
      <c r="L24" s="83">
        <v>46547</v>
      </c>
      <c r="M24" s="83">
        <v>43731</v>
      </c>
    </row>
    <row r="25" spans="1:13">
      <c r="A25" t="s">
        <v>207</v>
      </c>
      <c r="B25" s="83">
        <v>-20836</v>
      </c>
      <c r="C25" s="83">
        <v>-19753</v>
      </c>
      <c r="D25" s="83">
        <v>-27286</v>
      </c>
      <c r="E25" s="83">
        <v>-36964</v>
      </c>
      <c r="F25" s="83">
        <v>-14081</v>
      </c>
      <c r="G25" s="83">
        <v>-33685</v>
      </c>
      <c r="H25" s="83">
        <v>-44991</v>
      </c>
      <c r="I25" s="83">
        <v>-35806</v>
      </c>
      <c r="J25" s="83">
        <v>-32795</v>
      </c>
      <c r="K25" s="83">
        <v>-27228</v>
      </c>
      <c r="L25" s="83">
        <v>-30782</v>
      </c>
      <c r="M25" s="83">
        <v>-36403</v>
      </c>
    </row>
    <row r="26" spans="1:13">
      <c r="A26" t="s">
        <v>208</v>
      </c>
      <c r="B26" s="83">
        <v>-3926</v>
      </c>
      <c r="C26" s="83">
        <v>-2462</v>
      </c>
      <c r="D26" s="83">
        <v>-2174</v>
      </c>
      <c r="E26" s="83">
        <v>-2471</v>
      </c>
      <c r="F26" s="83">
        <v>-2983</v>
      </c>
      <c r="G26" s="83">
        <v>-2902</v>
      </c>
      <c r="H26" s="83">
        <v>-3388</v>
      </c>
      <c r="I26" s="83">
        <v>-2968</v>
      </c>
      <c r="J26" s="83">
        <v>-3047</v>
      </c>
      <c r="K26" s="83">
        <v>-3605</v>
      </c>
      <c r="L26" s="83">
        <v>-3609</v>
      </c>
      <c r="M26" s="83">
        <v>-3182</v>
      </c>
    </row>
    <row r="27" spans="1:13">
      <c r="A27" t="s">
        <v>209</v>
      </c>
      <c r="B27" s="83">
        <v>-1323</v>
      </c>
      <c r="C27" s="83">
        <v>-1512</v>
      </c>
      <c r="D27" s="83">
        <v>-1702</v>
      </c>
      <c r="E27" s="83">
        <v>-1961</v>
      </c>
      <c r="F27" s="83">
        <v>-2243</v>
      </c>
      <c r="G27" s="83">
        <v>-3930</v>
      </c>
      <c r="H27" s="83">
        <v>-3651</v>
      </c>
      <c r="I27" s="83">
        <v>-2528</v>
      </c>
      <c r="J27" s="83">
        <v>-3091</v>
      </c>
      <c r="K27" s="83">
        <v>-4217</v>
      </c>
      <c r="L27" s="83">
        <v>-3850</v>
      </c>
      <c r="M27" s="83">
        <v>-4676</v>
      </c>
    </row>
    <row r="28" spans="1:13">
      <c r="A28" t="s">
        <v>210</v>
      </c>
      <c r="B28">
        <v>0</v>
      </c>
      <c r="C28">
        <v>0</v>
      </c>
      <c r="D28">
        <v>0</v>
      </c>
      <c r="E28">
        <v>0</v>
      </c>
      <c r="F28">
        <v>0</v>
      </c>
      <c r="G28">
        <v>-258</v>
      </c>
      <c r="H28">
        <v>-382</v>
      </c>
      <c r="I28">
        <v>-407</v>
      </c>
      <c r="J28">
        <v>-423</v>
      </c>
      <c r="K28">
        <v>-460</v>
      </c>
      <c r="L28">
        <v>-562</v>
      </c>
      <c r="M28">
        <v>-718</v>
      </c>
    </row>
    <row r="29" spans="1:13">
      <c r="A29" t="s">
        <v>211</v>
      </c>
      <c r="B29" s="83">
        <v>1591</v>
      </c>
      <c r="C29">
        <v>685</v>
      </c>
      <c r="D29" s="83">
        <v>3482</v>
      </c>
      <c r="E29" s="83">
        <v>3813</v>
      </c>
      <c r="F29" s="83">
        <v>2481</v>
      </c>
      <c r="G29">
        <v>-682</v>
      </c>
      <c r="H29">
        <v>796</v>
      </c>
      <c r="I29" s="83">
        <v>-1020</v>
      </c>
      <c r="J29">
        <v>-613</v>
      </c>
      <c r="K29" s="83">
        <v>-13088</v>
      </c>
      <c r="L29" s="83">
        <v>-1196</v>
      </c>
      <c r="M29">
        <v>-915</v>
      </c>
    </row>
    <row r="30" spans="1:13">
      <c r="A30" t="s">
        <v>118</v>
      </c>
      <c r="B30" s="83">
        <v>1759</v>
      </c>
      <c r="C30">
        <v>-613</v>
      </c>
      <c r="D30">
        <v>-245</v>
      </c>
      <c r="E30" s="83">
        <v>3254</v>
      </c>
      <c r="F30">
        <v>-338</v>
      </c>
      <c r="G30" s="83">
        <v>4658</v>
      </c>
      <c r="H30" s="83">
        <v>2049</v>
      </c>
      <c r="I30">
        <v>397</v>
      </c>
      <c r="J30" s="83">
        <v>3156</v>
      </c>
      <c r="K30" s="83">
        <v>-4968</v>
      </c>
      <c r="L30">
        <v>228</v>
      </c>
      <c r="M30" s="83">
        <v>3204</v>
      </c>
    </row>
    <row r="31" spans="1:13">
      <c r="A31" t="s">
        <v>8593</v>
      </c>
      <c r="B31" s="83">
        <v>-7460</v>
      </c>
      <c r="C31" s="83">
        <v>-7363</v>
      </c>
      <c r="D31" s="83">
        <v>3834</v>
      </c>
      <c r="E31" s="83">
        <v>-12046</v>
      </c>
      <c r="F31" s="83">
        <v>-8255</v>
      </c>
      <c r="G31" s="83">
        <v>3394</v>
      </c>
      <c r="H31" s="83">
        <v>22151</v>
      </c>
      <c r="I31" s="83">
        <v>16124</v>
      </c>
      <c r="J31" s="83">
        <v>18984</v>
      </c>
      <c r="K31" s="83">
        <v>14056</v>
      </c>
      <c r="L31" s="83">
        <v>5611</v>
      </c>
      <c r="M31" s="83">
        <v>12272</v>
      </c>
    </row>
    <row r="32" spans="1:13">
      <c r="A32" t="s">
        <v>8594</v>
      </c>
      <c r="B32" s="229">
        <v>0.1</v>
      </c>
      <c r="C32" s="229">
        <v>0</v>
      </c>
      <c r="D32" s="229">
        <v>0.59</v>
      </c>
      <c r="E32" s="229">
        <v>-0.33</v>
      </c>
      <c r="F32" s="229">
        <v>0.01</v>
      </c>
      <c r="G32" s="229">
        <v>0.44</v>
      </c>
      <c r="H32" s="229">
        <v>1.1299999999999999</v>
      </c>
      <c r="I32" s="229">
        <v>0.97</v>
      </c>
      <c r="J32" s="229">
        <v>1.03</v>
      </c>
      <c r="K32" s="229">
        <v>0.82</v>
      </c>
      <c r="L32" s="229">
        <v>0.43</v>
      </c>
      <c r="M32" s="229">
        <v>0.64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F9C66-16E4-4D0D-A409-337C47FA5FE8}">
  <dimension ref="B1:AC40"/>
  <sheetViews>
    <sheetView workbookViewId="0">
      <selection activeCell="T14" sqref="T14"/>
    </sheetView>
  </sheetViews>
  <sheetFormatPr defaultRowHeight="15"/>
  <cols>
    <col min="1" max="2" width="24.85546875" bestFit="1" customWidth="1"/>
    <col min="3" max="3" width="8.42578125" bestFit="1" customWidth="1"/>
    <col min="17" max="17" width="26" bestFit="1" customWidth="1"/>
    <col min="18" max="29" width="11.7109375" bestFit="1" customWidth="1"/>
  </cols>
  <sheetData>
    <row r="1" spans="2:29">
      <c r="E1" s="252" t="s">
        <v>242</v>
      </c>
      <c r="F1" s="252"/>
      <c r="G1" s="252"/>
      <c r="H1" s="252"/>
      <c r="I1" s="252"/>
      <c r="J1" s="252"/>
      <c r="K1" s="252"/>
    </row>
    <row r="2" spans="2:29">
      <c r="C2" s="107">
        <v>42064</v>
      </c>
      <c r="D2" s="107">
        <v>42430</v>
      </c>
      <c r="E2" s="107">
        <v>42795</v>
      </c>
      <c r="F2" s="107">
        <v>43160</v>
      </c>
      <c r="G2" s="107">
        <v>43525</v>
      </c>
      <c r="H2" s="107">
        <v>43891</v>
      </c>
      <c r="I2" s="107">
        <v>44256</v>
      </c>
      <c r="J2" s="107">
        <v>44621</v>
      </c>
      <c r="K2" s="107">
        <v>44986</v>
      </c>
      <c r="L2" s="107">
        <v>45352</v>
      </c>
      <c r="M2" s="107">
        <v>45717</v>
      </c>
      <c r="N2" s="107">
        <v>46082</v>
      </c>
      <c r="O2" s="107"/>
    </row>
    <row r="3" spans="2:29">
      <c r="B3" t="s">
        <v>156</v>
      </c>
      <c r="C3">
        <v>186</v>
      </c>
      <c r="D3">
        <v>186</v>
      </c>
      <c r="E3">
        <v>187</v>
      </c>
      <c r="F3">
        <v>280</v>
      </c>
      <c r="G3">
        <v>281</v>
      </c>
      <c r="H3">
        <v>281</v>
      </c>
      <c r="I3">
        <v>281</v>
      </c>
      <c r="J3">
        <v>281</v>
      </c>
      <c r="K3">
        <v>281</v>
      </c>
      <c r="L3">
        <v>275</v>
      </c>
      <c r="M3">
        <v>275</v>
      </c>
      <c r="N3">
        <v>275</v>
      </c>
      <c r="R3" s="225"/>
      <c r="S3" s="225"/>
      <c r="T3" s="225"/>
      <c r="U3" s="225"/>
      <c r="V3" s="225"/>
      <c r="W3" s="225"/>
      <c r="X3" s="225"/>
      <c r="Y3" s="225"/>
      <c r="Z3" s="225"/>
      <c r="AA3" s="225"/>
      <c r="AB3" s="225"/>
      <c r="AC3" s="225"/>
    </row>
    <row r="4" spans="2:29">
      <c r="B4" t="s">
        <v>99</v>
      </c>
      <c r="C4" s="83">
        <v>40723</v>
      </c>
      <c r="D4" s="83">
        <v>43994</v>
      </c>
      <c r="E4" s="83">
        <v>50030</v>
      </c>
      <c r="F4" s="83">
        <v>54623</v>
      </c>
      <c r="G4" s="83">
        <v>62094</v>
      </c>
      <c r="H4" s="83">
        <v>66442</v>
      </c>
      <c r="I4" s="83">
        <v>75588</v>
      </c>
      <c r="J4" s="83">
        <v>82127</v>
      </c>
      <c r="K4" s="83">
        <v>89045</v>
      </c>
      <c r="L4" s="83">
        <v>86084</v>
      </c>
      <c r="M4" s="83">
        <v>97381</v>
      </c>
      <c r="N4" s="83">
        <v>109015</v>
      </c>
      <c r="O4" s="83"/>
      <c r="Q4" s="222"/>
      <c r="R4" s="200"/>
      <c r="S4" s="200"/>
      <c r="T4" s="200"/>
      <c r="U4" s="200"/>
      <c r="V4" s="200"/>
      <c r="W4" s="200"/>
      <c r="X4" s="200"/>
      <c r="Y4" s="200"/>
      <c r="Z4" s="200"/>
      <c r="AA4" s="200"/>
      <c r="AB4" s="200"/>
      <c r="AC4" s="200"/>
    </row>
    <row r="5" spans="2:29">
      <c r="B5" t="s">
        <v>8583</v>
      </c>
      <c r="C5">
        <v>93630</v>
      </c>
      <c r="D5">
        <v>88135</v>
      </c>
      <c r="E5">
        <v>93954</v>
      </c>
      <c r="F5">
        <v>107524</v>
      </c>
      <c r="G5">
        <v>125555</v>
      </c>
      <c r="H5" s="83">
        <v>143174</v>
      </c>
      <c r="I5" s="83">
        <v>134629</v>
      </c>
      <c r="J5" s="83">
        <v>125508</v>
      </c>
      <c r="K5" s="83">
        <v>120650</v>
      </c>
      <c r="L5" s="83">
        <v>116322</v>
      </c>
      <c r="M5" s="83">
        <v>132409</v>
      </c>
      <c r="N5" s="83">
        <v>125497</v>
      </c>
      <c r="O5" s="83"/>
      <c r="Q5" s="222"/>
      <c r="R5" s="199"/>
      <c r="S5" s="199"/>
      <c r="T5" s="199"/>
      <c r="U5" s="199"/>
      <c r="V5" s="199"/>
      <c r="W5" s="199"/>
      <c r="X5" s="199"/>
      <c r="Y5" s="199"/>
      <c r="Z5" s="199"/>
      <c r="AA5" s="199"/>
      <c r="AB5" s="199"/>
      <c r="AC5" s="199"/>
    </row>
    <row r="6" spans="2:29">
      <c r="B6" t="s">
        <v>157</v>
      </c>
      <c r="C6">
        <v>68469</v>
      </c>
      <c r="D6">
        <v>61224</v>
      </c>
      <c r="E6">
        <v>67341</v>
      </c>
      <c r="F6">
        <v>72915</v>
      </c>
      <c r="G6">
        <v>74121</v>
      </c>
      <c r="H6">
        <v>82331</v>
      </c>
      <c r="I6">
        <v>82120</v>
      </c>
      <c r="J6">
        <v>61618</v>
      </c>
      <c r="K6">
        <v>61218</v>
      </c>
      <c r="L6">
        <v>56507</v>
      </c>
      <c r="M6">
        <v>57503</v>
      </c>
      <c r="N6">
        <v>63739</v>
      </c>
      <c r="Q6" s="226"/>
      <c r="R6" s="227"/>
      <c r="S6" s="227"/>
      <c r="T6" s="227"/>
      <c r="U6" s="227"/>
      <c r="V6" s="227"/>
      <c r="W6" s="227"/>
      <c r="X6" s="227"/>
      <c r="Y6" s="227"/>
      <c r="Z6" s="227"/>
      <c r="AA6" s="227"/>
      <c r="AB6" s="227"/>
      <c r="AC6" s="227"/>
    </row>
    <row r="7" spans="2:29">
      <c r="B7" t="s">
        <v>158</v>
      </c>
      <c r="C7">
        <v>16729</v>
      </c>
      <c r="D7">
        <v>14897</v>
      </c>
      <c r="E7">
        <v>16534</v>
      </c>
      <c r="F7">
        <v>19332</v>
      </c>
      <c r="G7">
        <v>29224</v>
      </c>
      <c r="H7">
        <v>35021</v>
      </c>
      <c r="I7">
        <v>27766</v>
      </c>
      <c r="J7">
        <v>30477</v>
      </c>
      <c r="K7">
        <v>30896</v>
      </c>
      <c r="L7">
        <v>27834</v>
      </c>
      <c r="M7" s="83">
        <v>35861</v>
      </c>
      <c r="N7">
        <v>34779</v>
      </c>
      <c r="O7" s="83"/>
      <c r="Q7" s="198"/>
      <c r="R7" s="199"/>
      <c r="S7" s="199"/>
      <c r="T7" s="199"/>
      <c r="U7" s="199"/>
      <c r="V7" s="199"/>
      <c r="W7" s="199"/>
      <c r="X7" s="199"/>
      <c r="Y7" s="199"/>
      <c r="Z7" s="199"/>
      <c r="AA7" s="199"/>
      <c r="AB7" s="199"/>
      <c r="AC7" s="199"/>
    </row>
    <row r="8" spans="2:29">
      <c r="B8" t="s">
        <v>159</v>
      </c>
      <c r="C8">
        <v>0</v>
      </c>
      <c r="D8">
        <v>0</v>
      </c>
      <c r="E8">
        <v>0</v>
      </c>
      <c r="F8">
        <v>0</v>
      </c>
      <c r="G8">
        <v>0</v>
      </c>
      <c r="H8">
        <v>2167</v>
      </c>
      <c r="I8">
        <v>2024</v>
      </c>
      <c r="J8">
        <v>2040</v>
      </c>
      <c r="K8">
        <v>2137</v>
      </c>
      <c r="L8">
        <v>2282</v>
      </c>
      <c r="M8" s="83">
        <v>2850</v>
      </c>
      <c r="N8" s="83">
        <v>3814</v>
      </c>
      <c r="O8" s="83"/>
      <c r="Q8" s="198"/>
      <c r="R8" s="199"/>
      <c r="S8" s="199"/>
      <c r="T8" s="199"/>
      <c r="U8" s="199"/>
      <c r="V8" s="199"/>
      <c r="W8" s="199"/>
      <c r="X8" s="199"/>
      <c r="Y8" s="199"/>
      <c r="Z8" s="199"/>
      <c r="AA8" s="199"/>
      <c r="AB8" s="199"/>
      <c r="AC8" s="199"/>
    </row>
    <row r="9" spans="2:29">
      <c r="B9" t="s">
        <v>8579</v>
      </c>
      <c r="C9">
        <v>0</v>
      </c>
      <c r="D9">
        <v>1313</v>
      </c>
      <c r="E9">
        <v>1147</v>
      </c>
      <c r="F9">
        <v>905</v>
      </c>
      <c r="G9">
        <v>976</v>
      </c>
      <c r="H9">
        <v>1404</v>
      </c>
      <c r="I9">
        <v>1124</v>
      </c>
      <c r="J9">
        <v>216</v>
      </c>
      <c r="K9">
        <v>0</v>
      </c>
      <c r="L9">
        <v>0</v>
      </c>
      <c r="M9">
        <v>0</v>
      </c>
      <c r="N9">
        <v>0</v>
      </c>
      <c r="Q9" s="198"/>
      <c r="R9" s="200"/>
      <c r="S9" s="200"/>
      <c r="T9" s="200"/>
      <c r="U9" s="200"/>
      <c r="V9" s="200"/>
      <c r="W9" s="199"/>
      <c r="X9" s="199"/>
      <c r="Y9" s="199"/>
      <c r="Z9" s="199"/>
      <c r="AA9" s="199"/>
      <c r="AB9" s="199"/>
      <c r="AC9" s="199"/>
    </row>
    <row r="10" spans="2:29">
      <c r="B10" t="s">
        <v>160</v>
      </c>
      <c r="C10" s="83">
        <v>8431</v>
      </c>
      <c r="D10" s="83">
        <v>10702</v>
      </c>
      <c r="E10" s="83">
        <v>8932</v>
      </c>
      <c r="F10" s="83">
        <v>14372</v>
      </c>
      <c r="G10" s="83">
        <v>21234</v>
      </c>
      <c r="H10" s="83">
        <v>22251</v>
      </c>
      <c r="I10" s="83">
        <v>21596</v>
      </c>
      <c r="J10" s="83">
        <v>31157</v>
      </c>
      <c r="K10" s="83">
        <v>26399</v>
      </c>
      <c r="L10" s="83">
        <v>29699</v>
      </c>
      <c r="M10" s="83">
        <v>36195</v>
      </c>
      <c r="N10" s="83">
        <v>23166</v>
      </c>
      <c r="O10" s="83"/>
      <c r="Q10" s="198"/>
      <c r="R10" s="200"/>
      <c r="S10" s="199"/>
      <c r="T10" s="199"/>
      <c r="U10" s="200"/>
      <c r="V10" s="200"/>
      <c r="W10" s="199"/>
      <c r="X10" s="199"/>
      <c r="Y10" s="200"/>
      <c r="Z10" s="200"/>
      <c r="AA10" s="200"/>
      <c r="AB10" s="200"/>
      <c r="AC10" s="200"/>
    </row>
    <row r="11" spans="2:29">
      <c r="B11" t="s">
        <v>8584</v>
      </c>
      <c r="C11">
        <v>58727</v>
      </c>
      <c r="D11">
        <v>61775</v>
      </c>
      <c r="E11">
        <v>67400</v>
      </c>
      <c r="F11">
        <v>80812</v>
      </c>
      <c r="G11">
        <v>90106</v>
      </c>
      <c r="H11">
        <v>96790</v>
      </c>
      <c r="I11">
        <v>99597</v>
      </c>
      <c r="J11">
        <v>111112</v>
      </c>
      <c r="K11">
        <v>119745</v>
      </c>
      <c r="L11">
        <v>136921</v>
      </c>
      <c r="M11">
        <v>149050</v>
      </c>
      <c r="N11">
        <v>217596</v>
      </c>
      <c r="Q11" s="198"/>
      <c r="R11" s="199"/>
      <c r="S11" s="199"/>
      <c r="T11" s="199"/>
      <c r="U11" s="199"/>
      <c r="V11" s="199"/>
      <c r="W11" s="199"/>
      <c r="X11" s="199"/>
      <c r="Y11" s="199"/>
      <c r="Z11" s="199"/>
      <c r="AA11" s="199"/>
      <c r="AB11" s="199"/>
      <c r="AC11" s="199"/>
    </row>
    <row r="12" spans="2:29">
      <c r="B12" t="s">
        <v>161</v>
      </c>
      <c r="C12" s="83">
        <v>4999</v>
      </c>
      <c r="D12" s="83">
        <v>2893</v>
      </c>
      <c r="E12" s="83">
        <v>3564</v>
      </c>
      <c r="F12" s="83">
        <v>5201</v>
      </c>
      <c r="G12" s="83">
        <v>6826</v>
      </c>
      <c r="H12" s="83">
        <v>9521</v>
      </c>
      <c r="I12" s="83">
        <v>12052</v>
      </c>
      <c r="J12" s="83">
        <v>12966</v>
      </c>
      <c r="K12" s="83">
        <v>14241</v>
      </c>
      <c r="L12" s="83">
        <v>16190</v>
      </c>
      <c r="M12" s="83">
        <v>17748</v>
      </c>
      <c r="N12" s="83">
        <v>19241</v>
      </c>
      <c r="O12" s="83"/>
      <c r="Q12" s="226"/>
      <c r="R12" s="227"/>
      <c r="S12" s="227"/>
      <c r="T12" s="227"/>
      <c r="U12" s="227"/>
      <c r="V12" s="227"/>
      <c r="W12" s="227"/>
      <c r="X12" s="227"/>
      <c r="Y12" s="227"/>
      <c r="Z12" s="227"/>
      <c r="AA12" s="227"/>
      <c r="AB12" s="227"/>
      <c r="AC12" s="227"/>
    </row>
    <row r="13" spans="2:29">
      <c r="B13" t="s">
        <v>162</v>
      </c>
      <c r="C13">
        <v>24650</v>
      </c>
      <c r="D13">
        <v>27004</v>
      </c>
      <c r="E13">
        <v>30295</v>
      </c>
      <c r="F13">
        <v>37797</v>
      </c>
      <c r="G13">
        <v>42995</v>
      </c>
      <c r="H13">
        <v>43644</v>
      </c>
      <c r="I13">
        <v>45745</v>
      </c>
      <c r="J13">
        <v>51366</v>
      </c>
      <c r="K13">
        <v>49784</v>
      </c>
      <c r="L13">
        <v>53293</v>
      </c>
      <c r="M13">
        <v>52459</v>
      </c>
      <c r="N13">
        <v>69456</v>
      </c>
      <c r="Q13" s="198"/>
      <c r="R13" s="199"/>
      <c r="S13" s="199"/>
      <c r="T13" s="199"/>
      <c r="U13" s="199"/>
      <c r="V13" s="199"/>
      <c r="W13" s="199"/>
      <c r="X13" s="199"/>
      <c r="Y13" s="199"/>
      <c r="Z13" s="199"/>
      <c r="AA13" s="199"/>
      <c r="AB13" s="199"/>
      <c r="AC13" s="199"/>
    </row>
    <row r="14" spans="2:29">
      <c r="B14" t="s">
        <v>163</v>
      </c>
      <c r="C14" s="83">
        <v>18502</v>
      </c>
      <c r="D14" s="83">
        <v>21376</v>
      </c>
      <c r="E14" s="83">
        <v>13956</v>
      </c>
      <c r="F14" s="83">
        <v>14860</v>
      </c>
      <c r="G14" s="83">
        <v>17271</v>
      </c>
      <c r="H14" s="83">
        <v>16353</v>
      </c>
      <c r="I14" s="83">
        <v>15876</v>
      </c>
      <c r="J14" s="83">
        <v>17963</v>
      </c>
      <c r="K14" s="83">
        <v>20425</v>
      </c>
      <c r="L14" s="83">
        <v>26875</v>
      </c>
      <c r="M14" s="83">
        <v>29087</v>
      </c>
      <c r="N14" s="83">
        <v>39586</v>
      </c>
      <c r="O14" s="83"/>
      <c r="Q14" s="198"/>
      <c r="R14" s="199"/>
      <c r="S14" s="199"/>
      <c r="T14" s="199"/>
      <c r="U14" s="199"/>
      <c r="V14" s="199"/>
      <c r="W14" s="199"/>
      <c r="X14" s="199"/>
      <c r="Y14" s="199"/>
      <c r="Z14" s="199"/>
      <c r="AA14" s="199"/>
      <c r="AB14" s="199"/>
      <c r="AC14" s="199"/>
    </row>
    <row r="15" spans="2:29">
      <c r="B15" t="s">
        <v>164</v>
      </c>
      <c r="C15" s="83">
        <v>10816</v>
      </c>
      <c r="D15" s="83">
        <v>10500</v>
      </c>
      <c r="E15" s="83">
        <v>19585</v>
      </c>
      <c r="F15" s="83">
        <v>22954</v>
      </c>
      <c r="G15" s="83">
        <v>23014</v>
      </c>
      <c r="H15" s="83">
        <v>27272</v>
      </c>
      <c r="I15" s="83">
        <v>25924</v>
      </c>
      <c r="J15" s="83">
        <v>28817</v>
      </c>
      <c r="K15" s="83">
        <v>35297</v>
      </c>
      <c r="L15" s="83">
        <v>40562</v>
      </c>
      <c r="M15" s="83">
        <v>49755</v>
      </c>
      <c r="N15" s="83">
        <v>89312</v>
      </c>
      <c r="O15" s="83"/>
      <c r="Q15" s="198"/>
      <c r="R15" s="199"/>
      <c r="S15" s="199"/>
      <c r="T15" s="199"/>
      <c r="U15" s="199"/>
      <c r="V15" s="199"/>
      <c r="W15" s="199"/>
      <c r="X15" s="199"/>
      <c r="Y15" s="199"/>
      <c r="Z15" s="199"/>
      <c r="AA15" s="199"/>
      <c r="AB15" s="199"/>
      <c r="AC15" s="199"/>
    </row>
    <row r="16" spans="2:29">
      <c r="B16" t="s">
        <v>102</v>
      </c>
      <c r="C16" s="83">
        <v>193266</v>
      </c>
      <c r="D16" s="83">
        <v>194091</v>
      </c>
      <c r="E16" s="83">
        <v>211571</v>
      </c>
      <c r="F16" s="83">
        <v>243240</v>
      </c>
      <c r="G16" s="83">
        <v>278036</v>
      </c>
      <c r="H16" s="83">
        <v>306687</v>
      </c>
      <c r="I16" s="83">
        <v>310095</v>
      </c>
      <c r="J16" s="83">
        <v>319028</v>
      </c>
      <c r="K16" s="83">
        <v>329722</v>
      </c>
      <c r="L16" s="83">
        <v>339602</v>
      </c>
      <c r="M16" s="83">
        <v>379114</v>
      </c>
      <c r="N16" s="83">
        <v>452383</v>
      </c>
      <c r="O16" s="83"/>
      <c r="Q16" s="198"/>
      <c r="R16" s="199"/>
      <c r="S16" s="199"/>
      <c r="T16" s="199"/>
      <c r="U16" s="199"/>
      <c r="V16" s="199"/>
      <c r="W16" s="199"/>
      <c r="X16" s="199"/>
      <c r="Y16" s="199"/>
      <c r="Z16" s="199"/>
      <c r="AA16" s="199"/>
      <c r="AB16" s="199"/>
      <c r="AC16" s="199"/>
    </row>
    <row r="17" spans="2:29">
      <c r="B17" t="s">
        <v>8585</v>
      </c>
      <c r="C17">
        <v>34738</v>
      </c>
      <c r="D17">
        <v>14176</v>
      </c>
      <c r="E17">
        <v>16677</v>
      </c>
      <c r="F17">
        <v>18580</v>
      </c>
      <c r="G17">
        <v>21194</v>
      </c>
      <c r="H17">
        <v>43653</v>
      </c>
      <c r="I17">
        <v>44319</v>
      </c>
      <c r="J17">
        <v>42945</v>
      </c>
      <c r="K17">
        <v>42641</v>
      </c>
      <c r="L17">
        <v>42964</v>
      </c>
      <c r="M17" s="83">
        <v>44055</v>
      </c>
      <c r="N17" s="83">
        <v>30867</v>
      </c>
      <c r="Q17" s="226"/>
      <c r="R17" s="227"/>
      <c r="S17" s="227"/>
      <c r="T17" s="227"/>
      <c r="U17" s="227"/>
      <c r="V17" s="227"/>
      <c r="W17" s="227"/>
      <c r="X17" s="227"/>
      <c r="Y17" s="227"/>
      <c r="Z17" s="227"/>
      <c r="AA17" s="227"/>
      <c r="AB17" s="227"/>
      <c r="AC17" s="227"/>
    </row>
    <row r="18" spans="2:29">
      <c r="B18" t="s">
        <v>165</v>
      </c>
      <c r="C18">
        <v>1822</v>
      </c>
      <c r="D18">
        <v>1071</v>
      </c>
      <c r="E18">
        <v>1038</v>
      </c>
      <c r="F18">
        <v>1025</v>
      </c>
      <c r="G18">
        <v>1362</v>
      </c>
      <c r="H18" s="83">
        <v>1571</v>
      </c>
      <c r="I18" s="83">
        <v>1548</v>
      </c>
      <c r="J18" s="83">
        <v>1347</v>
      </c>
      <c r="K18" s="83">
        <v>1436</v>
      </c>
      <c r="L18" s="83">
        <v>1000</v>
      </c>
      <c r="M18" s="83">
        <v>1703</v>
      </c>
      <c r="N18" s="83">
        <v>1803</v>
      </c>
      <c r="Q18" s="226"/>
      <c r="R18" s="227"/>
      <c r="S18" s="227"/>
      <c r="T18" s="227"/>
      <c r="U18" s="227"/>
      <c r="V18" s="227"/>
      <c r="W18" s="227"/>
      <c r="X18" s="227"/>
      <c r="Y18" s="227"/>
      <c r="Z18" s="227"/>
      <c r="AA18" s="227"/>
      <c r="AB18" s="227"/>
      <c r="AC18" s="227"/>
    </row>
    <row r="19" spans="2:29">
      <c r="B19" t="s">
        <v>166</v>
      </c>
      <c r="C19" s="83">
        <v>5942</v>
      </c>
      <c r="D19" s="83">
        <v>3705</v>
      </c>
      <c r="E19" s="83">
        <v>3832</v>
      </c>
      <c r="F19" s="83">
        <v>11166</v>
      </c>
      <c r="G19" s="83">
        <v>12014</v>
      </c>
      <c r="H19" s="83">
        <v>6261</v>
      </c>
      <c r="I19" s="83">
        <v>6678</v>
      </c>
      <c r="J19" s="83">
        <v>6745</v>
      </c>
      <c r="K19" s="83">
        <v>6998</v>
      </c>
      <c r="L19" s="83">
        <v>6680</v>
      </c>
      <c r="M19" s="83">
        <v>9951</v>
      </c>
      <c r="N19" s="83">
        <v>11326</v>
      </c>
      <c r="Q19" s="198"/>
      <c r="R19" s="199"/>
      <c r="S19" s="199"/>
      <c r="T19" s="199"/>
      <c r="U19" s="199"/>
      <c r="V19" s="199"/>
      <c r="W19" s="199"/>
      <c r="X19" s="199"/>
      <c r="Y19" s="199"/>
      <c r="Z19" s="199"/>
      <c r="AA19" s="199"/>
      <c r="AB19" s="199"/>
      <c r="AC19" s="199"/>
    </row>
    <row r="20" spans="2:29">
      <c r="B20" t="s">
        <v>167</v>
      </c>
      <c r="C20">
        <v>15771</v>
      </c>
      <c r="D20">
        <v>6376</v>
      </c>
      <c r="E20">
        <v>6796</v>
      </c>
      <c r="F20">
        <v>637</v>
      </c>
      <c r="G20">
        <v>0</v>
      </c>
      <c r="H20">
        <v>7899</v>
      </c>
      <c r="I20">
        <v>10077</v>
      </c>
      <c r="J20">
        <v>9298</v>
      </c>
      <c r="K20">
        <v>10859</v>
      </c>
      <c r="L20">
        <v>12570</v>
      </c>
      <c r="M20">
        <v>14870</v>
      </c>
      <c r="N20">
        <v>15800</v>
      </c>
      <c r="Q20" s="198"/>
      <c r="R20" s="199"/>
      <c r="S20" s="199"/>
      <c r="T20" s="199"/>
      <c r="U20" s="199"/>
      <c r="V20" s="199"/>
      <c r="W20" s="199"/>
      <c r="X20" s="199"/>
      <c r="Y20" s="199"/>
      <c r="Z20" s="199"/>
      <c r="AA20" s="199"/>
      <c r="AB20" s="199"/>
      <c r="AC20" s="199"/>
    </row>
    <row r="21" spans="2:29">
      <c r="B21" t="s">
        <v>8580</v>
      </c>
      <c r="C21">
        <v>787</v>
      </c>
      <c r="D21">
        <v>38</v>
      </c>
      <c r="E21">
        <v>37</v>
      </c>
      <c r="F21">
        <v>37</v>
      </c>
      <c r="G21">
        <v>130</v>
      </c>
      <c r="H21">
        <v>882</v>
      </c>
      <c r="I21">
        <v>947</v>
      </c>
      <c r="J21">
        <v>947</v>
      </c>
      <c r="K21">
        <v>969</v>
      </c>
      <c r="L21">
        <v>1007</v>
      </c>
      <c r="M21">
        <v>1025</v>
      </c>
      <c r="N21">
        <v>1696</v>
      </c>
      <c r="Q21" s="198"/>
      <c r="R21" s="199"/>
      <c r="S21" s="199"/>
      <c r="T21" s="199"/>
      <c r="U21" s="200"/>
      <c r="V21" s="200"/>
      <c r="W21" s="199"/>
      <c r="X21" s="199"/>
      <c r="Y21" s="199"/>
      <c r="Z21" s="199"/>
      <c r="AA21" s="199"/>
      <c r="AB21" s="199"/>
      <c r="AC21" s="199"/>
    </row>
    <row r="22" spans="2:29">
      <c r="B22" t="s">
        <v>168</v>
      </c>
      <c r="C22">
        <v>512</v>
      </c>
      <c r="D22">
        <v>222</v>
      </c>
      <c r="E22">
        <v>264</v>
      </c>
      <c r="F22">
        <v>321</v>
      </c>
      <c r="G22">
        <v>376</v>
      </c>
      <c r="H22">
        <v>543</v>
      </c>
      <c r="I22">
        <v>590</v>
      </c>
      <c r="J22">
        <v>630</v>
      </c>
      <c r="K22">
        <v>716</v>
      </c>
      <c r="L22">
        <v>762</v>
      </c>
      <c r="M22">
        <v>871</v>
      </c>
      <c r="N22">
        <v>1060</v>
      </c>
      <c r="Q22" s="198"/>
      <c r="R22" s="200"/>
      <c r="S22" s="200"/>
      <c r="T22" s="200"/>
      <c r="U22" s="200"/>
      <c r="V22" s="200"/>
      <c r="W22" s="200"/>
      <c r="X22" s="200"/>
      <c r="Y22" s="200"/>
      <c r="Z22" s="200"/>
      <c r="AA22" s="199"/>
      <c r="AB22" s="199"/>
      <c r="AC22" s="199"/>
    </row>
    <row r="23" spans="2:29">
      <c r="B23" t="s">
        <v>8581</v>
      </c>
      <c r="C23">
        <v>1111</v>
      </c>
      <c r="D23">
        <v>457</v>
      </c>
      <c r="E23">
        <v>540</v>
      </c>
      <c r="F23">
        <v>0</v>
      </c>
      <c r="G23">
        <v>849</v>
      </c>
      <c r="H23">
        <v>1425</v>
      </c>
      <c r="I23">
        <v>1615</v>
      </c>
      <c r="J23">
        <v>2067</v>
      </c>
      <c r="K23">
        <v>2448</v>
      </c>
      <c r="L23">
        <v>2572</v>
      </c>
      <c r="M23">
        <v>2803</v>
      </c>
      <c r="N23">
        <v>3152</v>
      </c>
      <c r="Q23" s="198"/>
      <c r="R23" s="200"/>
      <c r="S23" s="200"/>
      <c r="T23" s="200"/>
      <c r="U23" s="200"/>
      <c r="V23" s="200"/>
      <c r="W23" s="200"/>
      <c r="X23" s="200"/>
      <c r="Y23" s="200"/>
      <c r="Z23" s="200"/>
      <c r="AA23" s="200"/>
      <c r="AB23" s="200"/>
      <c r="AC23" s="199"/>
    </row>
    <row r="24" spans="2:29">
      <c r="B24" t="s">
        <v>169</v>
      </c>
      <c r="C24">
        <v>650</v>
      </c>
      <c r="D24">
        <v>293</v>
      </c>
      <c r="E24">
        <v>317</v>
      </c>
      <c r="F24">
        <v>393</v>
      </c>
      <c r="G24">
        <v>413</v>
      </c>
      <c r="H24">
        <v>475</v>
      </c>
      <c r="I24">
        <v>485</v>
      </c>
      <c r="J24">
        <v>499</v>
      </c>
      <c r="K24">
        <v>508</v>
      </c>
      <c r="L24">
        <v>633</v>
      </c>
      <c r="M24">
        <v>672</v>
      </c>
      <c r="N24">
        <v>754</v>
      </c>
      <c r="Q24" s="198"/>
      <c r="R24" s="199"/>
      <c r="S24" s="200"/>
      <c r="T24" s="200"/>
      <c r="U24" s="200"/>
      <c r="V24" s="200"/>
      <c r="W24" s="199"/>
      <c r="X24" s="199"/>
      <c r="Y24" s="199"/>
      <c r="Z24" s="199"/>
      <c r="AA24" s="199"/>
      <c r="AB24" s="199"/>
      <c r="AC24" s="199"/>
    </row>
    <row r="25" spans="2:29">
      <c r="B25" t="s">
        <v>8582</v>
      </c>
      <c r="C25" s="83">
        <v>0</v>
      </c>
      <c r="D25" s="83">
        <v>0</v>
      </c>
      <c r="E25" s="83">
        <v>0</v>
      </c>
      <c r="F25" s="83">
        <v>0</v>
      </c>
      <c r="G25" s="83">
        <v>0</v>
      </c>
      <c r="H25" s="83">
        <v>0</v>
      </c>
      <c r="I25" s="83">
        <v>0</v>
      </c>
      <c r="J25" s="83">
        <v>0</v>
      </c>
      <c r="K25" s="83">
        <v>0</v>
      </c>
      <c r="L25" s="83">
        <v>0</v>
      </c>
      <c r="M25" s="83">
        <v>0</v>
      </c>
      <c r="N25" s="83">
        <v>0</v>
      </c>
      <c r="Q25" s="198"/>
      <c r="R25" s="200"/>
      <c r="S25" s="200"/>
      <c r="T25" s="200"/>
      <c r="U25" s="200"/>
      <c r="V25" s="200"/>
      <c r="W25" s="200"/>
      <c r="X25" s="200"/>
      <c r="Y25" s="200"/>
      <c r="Z25" s="200"/>
      <c r="AA25" s="200"/>
      <c r="AB25" s="200"/>
      <c r="AC25" s="200"/>
    </row>
    <row r="26" spans="2:29">
      <c r="B26" t="s">
        <v>170</v>
      </c>
      <c r="C26" s="83">
        <v>851</v>
      </c>
      <c r="D26" s="83">
        <v>487</v>
      </c>
      <c r="E26">
        <v>450</v>
      </c>
      <c r="F26">
        <v>658</v>
      </c>
      <c r="G26">
        <v>682</v>
      </c>
      <c r="H26" s="83">
        <v>681</v>
      </c>
      <c r="I26" s="83">
        <v>658</v>
      </c>
      <c r="J26" s="83">
        <v>650</v>
      </c>
      <c r="K26" s="83">
        <v>652</v>
      </c>
      <c r="L26" s="83">
        <v>657</v>
      </c>
      <c r="M26" s="83">
        <v>768</v>
      </c>
      <c r="N26" s="83">
        <v>1380</v>
      </c>
      <c r="Q26" s="198"/>
      <c r="R26" s="200"/>
      <c r="S26" s="200"/>
      <c r="T26" s="200"/>
      <c r="U26" s="200"/>
      <c r="V26" s="200"/>
      <c r="W26" s="200"/>
      <c r="X26" s="200"/>
      <c r="Y26" s="200"/>
      <c r="Z26" s="200"/>
      <c r="AA26" s="200"/>
      <c r="AB26" s="200"/>
      <c r="AC26" s="200"/>
    </row>
    <row r="27" spans="2:29">
      <c r="B27" t="s">
        <v>171</v>
      </c>
      <c r="C27">
        <v>2478</v>
      </c>
      <c r="D27">
        <v>1658</v>
      </c>
      <c r="E27">
        <v>1512</v>
      </c>
      <c r="F27">
        <v>1736</v>
      </c>
      <c r="G27" s="83">
        <v>5729</v>
      </c>
      <c r="H27">
        <v>24817</v>
      </c>
      <c r="I27">
        <v>25195</v>
      </c>
      <c r="J27">
        <v>24950</v>
      </c>
      <c r="K27">
        <v>25099</v>
      </c>
      <c r="L27" s="83">
        <v>24837</v>
      </c>
      <c r="M27" s="83">
        <v>25860</v>
      </c>
      <c r="N27" s="83">
        <v>9432</v>
      </c>
      <c r="O27" s="83"/>
      <c r="Q27" s="198"/>
      <c r="R27" s="200"/>
      <c r="S27" s="200"/>
      <c r="T27" s="200"/>
      <c r="U27" s="200"/>
      <c r="V27" s="200"/>
      <c r="W27" s="200"/>
      <c r="X27" s="200"/>
      <c r="Y27" s="200"/>
      <c r="Z27" s="200"/>
      <c r="AA27" s="200"/>
      <c r="AB27" s="200"/>
      <c r="AC27" s="199"/>
    </row>
    <row r="28" spans="2:29">
      <c r="B28" t="s">
        <v>172</v>
      </c>
      <c r="C28" s="83">
        <v>15861</v>
      </c>
      <c r="D28" s="83">
        <v>2216</v>
      </c>
      <c r="E28" s="83">
        <v>5921</v>
      </c>
      <c r="F28" s="83">
        <v>8448</v>
      </c>
      <c r="G28" s="83">
        <v>7091</v>
      </c>
      <c r="H28" s="83">
        <v>8568</v>
      </c>
      <c r="I28" s="83">
        <v>8784</v>
      </c>
      <c r="J28" s="83">
        <v>9361</v>
      </c>
      <c r="K28" s="83">
        <v>9071</v>
      </c>
      <c r="L28" s="83">
        <v>10408</v>
      </c>
      <c r="M28" s="83">
        <v>7867</v>
      </c>
      <c r="N28" s="83">
        <v>7487</v>
      </c>
      <c r="O28" s="83"/>
      <c r="Q28" s="198"/>
      <c r="R28" s="199"/>
      <c r="S28" s="199"/>
      <c r="T28" s="199"/>
      <c r="U28" s="199"/>
      <c r="V28" s="199"/>
      <c r="W28" s="199"/>
      <c r="X28" s="199"/>
      <c r="Y28" s="199"/>
      <c r="Z28" s="199"/>
      <c r="AA28" s="199"/>
      <c r="AB28" s="199"/>
      <c r="AC28" s="199"/>
    </row>
    <row r="29" spans="2:29">
      <c r="B29" t="s">
        <v>173</v>
      </c>
      <c r="C29" s="83">
        <v>45783</v>
      </c>
      <c r="D29" s="83">
        <v>16522</v>
      </c>
      <c r="E29" s="83">
        <v>20706</v>
      </c>
      <c r="F29" s="83">
        <v>24422</v>
      </c>
      <c r="G29" s="83">
        <v>28644</v>
      </c>
      <c r="H29" s="83">
        <v>53121</v>
      </c>
      <c r="I29" s="83">
        <v>56577</v>
      </c>
      <c r="J29" s="83">
        <v>56495</v>
      </c>
      <c r="K29" s="83">
        <v>58756</v>
      </c>
      <c r="L29" s="83">
        <v>61124</v>
      </c>
      <c r="M29" s="83">
        <v>66389</v>
      </c>
      <c r="N29" s="83">
        <v>53890</v>
      </c>
      <c r="O29" s="83"/>
      <c r="Q29" s="198"/>
      <c r="R29" s="199"/>
      <c r="S29" s="199"/>
      <c r="T29" s="199"/>
      <c r="U29" s="199"/>
      <c r="V29" s="199"/>
      <c r="W29" s="199"/>
      <c r="X29" s="199"/>
      <c r="Y29" s="199"/>
      <c r="Z29" s="199"/>
      <c r="AA29" s="199"/>
      <c r="AB29" s="199"/>
      <c r="AC29" s="199"/>
    </row>
    <row r="30" spans="2:29">
      <c r="B30" t="s">
        <v>174</v>
      </c>
      <c r="C30" s="83">
        <v>10806</v>
      </c>
      <c r="D30" s="83">
        <v>2347</v>
      </c>
      <c r="E30" s="83">
        <v>4029</v>
      </c>
      <c r="F30" s="83">
        <v>5842</v>
      </c>
      <c r="G30" s="83">
        <v>7450</v>
      </c>
      <c r="H30" s="83">
        <v>9468</v>
      </c>
      <c r="I30" s="83">
        <v>12258</v>
      </c>
      <c r="J30" s="83">
        <v>13550</v>
      </c>
      <c r="K30" s="83">
        <v>16115</v>
      </c>
      <c r="L30" s="83">
        <v>18161</v>
      </c>
      <c r="M30" s="83">
        <v>22334</v>
      </c>
      <c r="N30" s="83">
        <v>23023</v>
      </c>
      <c r="O30" s="83"/>
      <c r="Q30" s="228"/>
      <c r="R30" s="227"/>
      <c r="S30" s="227"/>
      <c r="T30" s="227"/>
      <c r="U30" s="227"/>
      <c r="V30" s="227"/>
      <c r="W30" s="227"/>
      <c r="X30" s="227"/>
      <c r="Y30" s="227"/>
      <c r="Z30" s="227"/>
      <c r="AA30" s="227"/>
      <c r="AB30" s="227"/>
      <c r="AC30" s="227"/>
    </row>
    <row r="31" spans="2:29">
      <c r="B31" t="s">
        <v>175</v>
      </c>
      <c r="C31" s="83">
        <v>14993</v>
      </c>
      <c r="D31" s="83">
        <v>10974</v>
      </c>
      <c r="E31" s="83">
        <v>13298</v>
      </c>
      <c r="F31" s="83">
        <v>13443</v>
      </c>
      <c r="G31" s="83">
        <v>13919</v>
      </c>
      <c r="H31" s="83">
        <v>3311</v>
      </c>
      <c r="I31" s="83">
        <v>500</v>
      </c>
      <c r="J31" s="83">
        <v>1250</v>
      </c>
      <c r="K31" s="83">
        <v>3066</v>
      </c>
      <c r="L31" s="83">
        <v>3045</v>
      </c>
      <c r="M31" s="83">
        <v>2589</v>
      </c>
      <c r="N31" s="83">
        <v>3311</v>
      </c>
      <c r="O31" s="83"/>
      <c r="Q31" s="198"/>
      <c r="R31" s="199"/>
      <c r="S31" s="199"/>
      <c r="T31" s="199"/>
      <c r="U31" s="199"/>
      <c r="V31" s="199"/>
      <c r="W31" s="199"/>
      <c r="X31" s="199"/>
      <c r="Y31" s="199"/>
      <c r="Z31" s="199"/>
      <c r="AA31" s="199"/>
      <c r="AB31" s="199"/>
      <c r="AC31" s="199"/>
    </row>
    <row r="32" spans="2:29">
      <c r="B32" t="s">
        <v>105</v>
      </c>
      <c r="C32">
        <v>9612</v>
      </c>
      <c r="D32">
        <v>15465</v>
      </c>
      <c r="E32">
        <v>19753</v>
      </c>
      <c r="F32">
        <v>15311</v>
      </c>
      <c r="G32">
        <v>20907</v>
      </c>
      <c r="H32">
        <v>20047</v>
      </c>
      <c r="I32">
        <v>39627</v>
      </c>
      <c r="J32">
        <v>39395</v>
      </c>
      <c r="K32">
        <v>44798</v>
      </c>
      <c r="L32">
        <v>45648</v>
      </c>
      <c r="M32" s="83">
        <v>54805</v>
      </c>
      <c r="N32">
        <v>68377</v>
      </c>
      <c r="O32" s="83"/>
      <c r="Q32" s="222"/>
      <c r="R32" s="199"/>
      <c r="S32" s="199"/>
      <c r="T32" s="199"/>
      <c r="U32" s="199"/>
      <c r="V32" s="199"/>
      <c r="W32" s="199"/>
      <c r="X32" s="200"/>
      <c r="Y32" s="199"/>
      <c r="Z32" s="199"/>
      <c r="AA32" s="199"/>
      <c r="AB32" s="199"/>
      <c r="AC32" s="199"/>
    </row>
    <row r="33" spans="2:29">
      <c r="B33" t="s">
        <v>8586</v>
      </c>
      <c r="C33">
        <v>133923</v>
      </c>
      <c r="D33">
        <v>153475</v>
      </c>
      <c r="E33">
        <v>161843</v>
      </c>
      <c r="F33">
        <v>195905</v>
      </c>
      <c r="G33">
        <v>222016</v>
      </c>
      <c r="H33">
        <v>239675</v>
      </c>
      <c r="I33">
        <v>225649</v>
      </c>
      <c r="J33">
        <v>235438</v>
      </c>
      <c r="K33">
        <v>239217</v>
      </c>
      <c r="L33">
        <v>247946</v>
      </c>
      <c r="M33">
        <v>277665</v>
      </c>
      <c r="N33">
        <v>349828</v>
      </c>
      <c r="O33" s="83"/>
      <c r="Q33" s="222"/>
      <c r="R33" s="199"/>
      <c r="S33" s="199"/>
      <c r="T33" s="199"/>
      <c r="U33" s="199"/>
      <c r="V33" s="199"/>
      <c r="W33" s="199"/>
      <c r="X33" s="199"/>
      <c r="Y33" s="199"/>
      <c r="Z33" s="199"/>
      <c r="AA33" s="199"/>
      <c r="AB33" s="199"/>
      <c r="AC33" s="199"/>
    </row>
    <row r="34" spans="2:29">
      <c r="B34" t="s">
        <v>176</v>
      </c>
      <c r="C34">
        <v>6508</v>
      </c>
      <c r="D34">
        <v>4854</v>
      </c>
      <c r="E34">
        <v>4140</v>
      </c>
      <c r="F34" s="83">
        <v>4848</v>
      </c>
      <c r="G34" s="83">
        <v>6414</v>
      </c>
      <c r="H34" s="83">
        <v>5747</v>
      </c>
      <c r="I34" s="83">
        <v>5821</v>
      </c>
      <c r="J34" s="83">
        <v>5943</v>
      </c>
      <c r="K34" s="83">
        <v>6829</v>
      </c>
      <c r="L34" s="83">
        <v>6620</v>
      </c>
      <c r="M34" s="83">
        <v>7671</v>
      </c>
      <c r="N34" s="83">
        <v>9531</v>
      </c>
      <c r="O34" s="83"/>
      <c r="Q34" s="226"/>
      <c r="R34" s="227"/>
      <c r="S34" s="227"/>
      <c r="T34" s="227"/>
      <c r="U34" s="227"/>
      <c r="V34" s="227"/>
      <c r="W34" s="227"/>
      <c r="X34" s="227"/>
      <c r="Y34" s="227"/>
      <c r="Z34" s="227"/>
      <c r="AA34" s="227"/>
      <c r="AB34" s="227"/>
      <c r="AC34" s="227"/>
    </row>
    <row r="35" spans="2:29">
      <c r="B35" t="s">
        <v>8587</v>
      </c>
      <c r="C35" s="83">
        <v>30089</v>
      </c>
      <c r="D35" s="83">
        <v>26025</v>
      </c>
      <c r="E35" s="83">
        <v>28689</v>
      </c>
      <c r="F35" s="83">
        <v>33117</v>
      </c>
      <c r="G35" s="83">
        <v>36846</v>
      </c>
      <c r="H35" s="83">
        <v>40732</v>
      </c>
      <c r="I35" s="83">
        <v>42230</v>
      </c>
      <c r="J35" s="83">
        <v>46139</v>
      </c>
      <c r="K35" s="83">
        <v>44732</v>
      </c>
      <c r="L35" s="83">
        <v>48771</v>
      </c>
      <c r="M35" s="83">
        <v>53714</v>
      </c>
      <c r="N35" s="83">
        <v>60461</v>
      </c>
      <c r="O35" s="83"/>
      <c r="Q35" s="198"/>
      <c r="R35" s="199"/>
      <c r="S35" s="199"/>
      <c r="T35" s="199"/>
      <c r="U35" s="199"/>
      <c r="V35" s="199"/>
      <c r="W35" s="199"/>
      <c r="X35" s="199"/>
      <c r="Y35" s="199"/>
      <c r="Z35" s="199"/>
      <c r="AA35" s="199"/>
      <c r="AB35" s="199"/>
      <c r="AC35" s="199"/>
    </row>
    <row r="36" spans="2:29">
      <c r="B36" t="s">
        <v>177</v>
      </c>
      <c r="C36">
        <v>5756</v>
      </c>
      <c r="D36">
        <v>5390</v>
      </c>
      <c r="E36">
        <v>5306</v>
      </c>
      <c r="F36">
        <v>8033</v>
      </c>
      <c r="G36">
        <v>11726</v>
      </c>
      <c r="H36">
        <v>15118</v>
      </c>
      <c r="I36">
        <v>16242</v>
      </c>
      <c r="J36">
        <v>18953</v>
      </c>
      <c r="K36">
        <v>22520</v>
      </c>
      <c r="L36">
        <v>15358</v>
      </c>
      <c r="M36">
        <v>22965</v>
      </c>
      <c r="N36">
        <v>20848</v>
      </c>
      <c r="Q36" s="198"/>
      <c r="R36" s="199"/>
      <c r="S36" s="199"/>
      <c r="T36" s="199"/>
      <c r="U36" s="199"/>
      <c r="V36" s="199"/>
      <c r="W36" s="199"/>
      <c r="X36" s="199"/>
      <c r="Y36" s="199"/>
      <c r="Z36" s="199"/>
      <c r="AA36" s="199"/>
      <c r="AB36" s="199"/>
      <c r="AC36" s="199"/>
    </row>
    <row r="37" spans="2:29">
      <c r="B37" t="s">
        <v>178</v>
      </c>
      <c r="C37">
        <v>11219</v>
      </c>
      <c r="D37">
        <v>18526</v>
      </c>
      <c r="E37">
        <v>24733</v>
      </c>
      <c r="F37">
        <v>31865</v>
      </c>
      <c r="G37">
        <v>41938</v>
      </c>
      <c r="H37">
        <v>40958</v>
      </c>
      <c r="I37">
        <v>40786</v>
      </c>
      <c r="J37">
        <v>41799</v>
      </c>
      <c r="K37">
        <v>40356</v>
      </c>
      <c r="L37">
        <v>34700</v>
      </c>
      <c r="M37">
        <v>34244</v>
      </c>
      <c r="N37">
        <v>40747</v>
      </c>
      <c r="Q37" s="198"/>
      <c r="R37" s="199"/>
      <c r="S37" s="199"/>
      <c r="T37" s="199"/>
      <c r="U37" s="199"/>
      <c r="V37" s="199"/>
      <c r="W37" s="199"/>
      <c r="X37" s="199"/>
      <c r="Y37" s="199"/>
      <c r="Z37" s="199"/>
      <c r="AA37" s="199"/>
      <c r="AB37" s="199"/>
      <c r="AC37" s="199"/>
    </row>
    <row r="38" spans="2:29">
      <c r="B38" t="s">
        <v>179</v>
      </c>
      <c r="C38">
        <v>80351</v>
      </c>
      <c r="D38">
        <v>98680</v>
      </c>
      <c r="E38">
        <v>98975</v>
      </c>
      <c r="F38">
        <v>118042</v>
      </c>
      <c r="G38">
        <v>125092</v>
      </c>
      <c r="H38">
        <v>137121</v>
      </c>
      <c r="I38">
        <v>120571</v>
      </c>
      <c r="J38">
        <v>122604</v>
      </c>
      <c r="K38">
        <v>124781</v>
      </c>
      <c r="L38">
        <v>142496</v>
      </c>
      <c r="M38">
        <v>159071</v>
      </c>
      <c r="N38">
        <v>218241</v>
      </c>
      <c r="Q38" s="198"/>
      <c r="R38" s="199"/>
      <c r="S38" s="199"/>
      <c r="T38" s="199"/>
      <c r="U38" s="199"/>
      <c r="V38" s="199"/>
      <c r="W38" s="199"/>
      <c r="X38" s="199"/>
      <c r="Y38" s="199"/>
      <c r="Z38" s="199"/>
      <c r="AA38" s="199"/>
      <c r="AB38" s="199"/>
      <c r="AC38" s="199"/>
    </row>
    <row r="39" spans="2:29">
      <c r="B39" t="s">
        <v>112</v>
      </c>
      <c r="C39">
        <v>193266</v>
      </c>
      <c r="D39">
        <v>194091</v>
      </c>
      <c r="E39">
        <v>211571</v>
      </c>
      <c r="F39">
        <v>243240</v>
      </c>
      <c r="G39">
        <v>278036</v>
      </c>
      <c r="H39">
        <v>306687</v>
      </c>
      <c r="I39">
        <v>310095</v>
      </c>
      <c r="J39">
        <v>319028</v>
      </c>
      <c r="K39">
        <v>329722</v>
      </c>
      <c r="L39">
        <v>339602</v>
      </c>
      <c r="M39">
        <v>379114</v>
      </c>
      <c r="N39">
        <v>452383</v>
      </c>
      <c r="Q39" s="198"/>
      <c r="R39" s="199"/>
      <c r="S39" s="199"/>
      <c r="T39" s="199"/>
      <c r="U39" s="199"/>
      <c r="V39" s="199"/>
      <c r="W39" s="199"/>
      <c r="X39" s="199"/>
      <c r="Y39" s="199"/>
      <c r="Z39" s="199"/>
      <c r="AA39" s="199"/>
      <c r="AB39" s="199"/>
      <c r="AC39" s="199"/>
    </row>
    <row r="40" spans="2:29">
      <c r="Q40" s="226"/>
      <c r="R40" s="227"/>
      <c r="S40" s="227"/>
      <c r="T40" s="227"/>
      <c r="U40" s="227"/>
      <c r="V40" s="227"/>
      <c r="W40" s="227"/>
      <c r="X40" s="227"/>
      <c r="Y40" s="227"/>
      <c r="Z40" s="227"/>
      <c r="AA40" s="227"/>
      <c r="AB40" s="227"/>
      <c r="AC40" s="227"/>
    </row>
  </sheetData>
  <mergeCells count="1">
    <mergeCell ref="E1:K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374AD-B60D-4E46-909A-C7D152002B92}">
  <dimension ref="B1:S21"/>
  <sheetViews>
    <sheetView zoomScale="106" workbookViewId="0">
      <selection activeCell="C4" sqref="C4"/>
    </sheetView>
  </sheetViews>
  <sheetFormatPr defaultRowHeight="15"/>
  <cols>
    <col min="2" max="2" width="12.7109375" customWidth="1"/>
    <col min="3" max="3" width="17.7109375" bestFit="1" customWidth="1"/>
    <col min="4" max="14" width="12.7109375" customWidth="1"/>
  </cols>
  <sheetData>
    <row r="1" spans="2:19">
      <c r="E1" t="s">
        <v>287</v>
      </c>
      <c r="H1" t="s">
        <v>286</v>
      </c>
      <c r="L1" t="s">
        <v>285</v>
      </c>
      <c r="M1" t="s">
        <v>284</v>
      </c>
    </row>
    <row r="2" spans="2:19">
      <c r="B2" t="s">
        <v>41</v>
      </c>
      <c r="C2" t="s">
        <v>3</v>
      </c>
      <c r="D2" t="s">
        <v>42</v>
      </c>
      <c r="E2" t="s">
        <v>281</v>
      </c>
      <c r="F2" t="s">
        <v>275</v>
      </c>
      <c r="G2" t="s">
        <v>43</v>
      </c>
      <c r="H2" t="s">
        <v>282</v>
      </c>
      <c r="I2" t="s">
        <v>262</v>
      </c>
      <c r="J2" t="s">
        <v>278</v>
      </c>
      <c r="K2" t="s">
        <v>276</v>
      </c>
      <c r="L2" t="s">
        <v>79</v>
      </c>
      <c r="M2" t="s">
        <v>283</v>
      </c>
      <c r="O2" t="s">
        <v>268</v>
      </c>
      <c r="P2" t="s">
        <v>45</v>
      </c>
      <c r="Q2" t="s">
        <v>277</v>
      </c>
      <c r="R2" t="s">
        <v>279</v>
      </c>
      <c r="S2" t="s">
        <v>280</v>
      </c>
    </row>
    <row r="3" spans="2:19">
      <c r="B3">
        <v>1</v>
      </c>
      <c r="C3" t="s">
        <v>8578</v>
      </c>
      <c r="D3">
        <f>'Data Sheet'!B8</f>
        <v>3785.6</v>
      </c>
      <c r="E3" s="9">
        <f>'Data Sheet'!B6</f>
        <v>137.52939824598479</v>
      </c>
      <c r="F3">
        <f>'Data Sheet'!B9</f>
        <v>520631.29</v>
      </c>
      <c r="G3">
        <f>SUM('Raw FS'!N7:N9)</f>
        <v>102332</v>
      </c>
      <c r="H3">
        <f>'Data Sheet'!K69</f>
        <v>20847.669999999998</v>
      </c>
      <c r="I3">
        <f>G3-H3</f>
        <v>81484.33</v>
      </c>
      <c r="J3">
        <f>F3+I3</f>
        <v>602115.62</v>
      </c>
      <c r="K3">
        <f>HistoricalFS!L6</f>
        <v>285874.36</v>
      </c>
      <c r="L3">
        <f>'Data Sheet'!K34</f>
        <v>37321.090000000004</v>
      </c>
      <c r="M3">
        <f>'Data Sheet'!K30</f>
        <v>16083.99</v>
      </c>
      <c r="O3">
        <f>F3/M3</f>
        <v>32.369535793046374</v>
      </c>
      <c r="P3" s="15">
        <f>'Beta - Comps'!G4</f>
        <v>0.19655368773551818</v>
      </c>
      <c r="Q3">
        <f>(('Data Sheet'!K34-'Data Sheet'!K26)/'Data Sheet'!K17)*100</f>
        <v>11.528260176953262</v>
      </c>
      <c r="R3">
        <f>J3/L3</f>
        <v>16.133387851212277</v>
      </c>
      <c r="S3">
        <v>38.25</v>
      </c>
    </row>
    <row r="4" spans="2:19">
      <c r="B4">
        <v>2</v>
      </c>
      <c r="C4" t="s">
        <v>8574</v>
      </c>
      <c r="D4">
        <v>226.2</v>
      </c>
      <c r="E4" s="9">
        <f>F4/D4</f>
        <v>208.50194518125554</v>
      </c>
      <c r="F4">
        <v>47163.14</v>
      </c>
      <c r="G4">
        <v>4818.49</v>
      </c>
      <c r="H4">
        <f t="shared" ref="H4:H8" si="0">F4+G4-J4</f>
        <v>968.25</v>
      </c>
      <c r="I4">
        <f t="shared" ref="I4:I8" si="1">G4-H4</f>
        <v>3850.24</v>
      </c>
      <c r="J4">
        <v>51013.38</v>
      </c>
      <c r="K4">
        <v>20412.12</v>
      </c>
      <c r="L4">
        <f t="shared" ref="L4:L5" si="2">J4/R4</f>
        <v>1636.6179018286812</v>
      </c>
      <c r="M4">
        <f t="shared" ref="M4:M8" si="3">F4/O4</f>
        <v>875.01187384044533</v>
      </c>
      <c r="O4">
        <v>53.9</v>
      </c>
      <c r="P4">
        <v>0.49</v>
      </c>
      <c r="Q4">
        <v>3.76</v>
      </c>
      <c r="R4">
        <v>31.17</v>
      </c>
      <c r="S4">
        <v>16.91</v>
      </c>
    </row>
    <row r="5" spans="2:19">
      <c r="B5">
        <v>3</v>
      </c>
      <c r="C5" t="s">
        <v>4429</v>
      </c>
      <c r="D5">
        <v>95.25</v>
      </c>
      <c r="E5" s="9">
        <f>F5/D5</f>
        <v>270</v>
      </c>
      <c r="F5">
        <v>25717.5</v>
      </c>
      <c r="G5">
        <v>0.26</v>
      </c>
      <c r="H5">
        <f t="shared" si="0"/>
        <v>6515.619999999999</v>
      </c>
      <c r="I5">
        <f t="shared" si="1"/>
        <v>-6515.3599999999988</v>
      </c>
      <c r="J5">
        <v>19202.14</v>
      </c>
      <c r="K5">
        <v>12888.61</v>
      </c>
      <c r="L5">
        <f t="shared" si="2"/>
        <v>924.06833493743977</v>
      </c>
      <c r="M5">
        <f t="shared" si="3"/>
        <v>661.96911196911196</v>
      </c>
      <c r="O5">
        <v>38.85</v>
      </c>
      <c r="P5">
        <v>0</v>
      </c>
      <c r="Q5">
        <v>4.79</v>
      </c>
      <c r="R5">
        <v>20.78</v>
      </c>
      <c r="S5">
        <v>16.91</v>
      </c>
    </row>
    <row r="6" spans="2:19">
      <c r="B6">
        <v>4</v>
      </c>
      <c r="C6" t="s">
        <v>8575</v>
      </c>
      <c r="D6">
        <v>19.670000000000002</v>
      </c>
      <c r="E6" s="9">
        <f t="shared" ref="E6:E8" si="4">F6/D6</f>
        <v>1207.7996949669546</v>
      </c>
      <c r="F6">
        <v>23757.42</v>
      </c>
      <c r="G6">
        <v>20027.060000000001</v>
      </c>
      <c r="H6">
        <f t="shared" si="0"/>
        <v>1910.9599999999991</v>
      </c>
      <c r="I6">
        <f t="shared" si="1"/>
        <v>18116.100000000002</v>
      </c>
      <c r="J6">
        <v>41873.519999999997</v>
      </c>
      <c r="K6">
        <v>7648.15</v>
      </c>
      <c r="L6">
        <f>J6/S6</f>
        <v>2476.2578356002364</v>
      </c>
      <c r="M6">
        <f t="shared" si="3"/>
        <v>879.25314581791258</v>
      </c>
      <c r="O6">
        <v>27.02</v>
      </c>
      <c r="P6">
        <v>0.96</v>
      </c>
      <c r="Q6">
        <v>52.06</v>
      </c>
      <c r="R6">
        <v>10</v>
      </c>
      <c r="S6">
        <v>16.91</v>
      </c>
    </row>
    <row r="7" spans="2:19">
      <c r="B7">
        <v>5</v>
      </c>
      <c r="C7" t="s">
        <v>8576</v>
      </c>
      <c r="D7">
        <v>1369.1</v>
      </c>
      <c r="E7" s="9">
        <f t="shared" si="4"/>
        <v>17.178745161054707</v>
      </c>
      <c r="F7">
        <v>23519.42</v>
      </c>
      <c r="G7">
        <v>1001.23</v>
      </c>
      <c r="H7">
        <f t="shared" si="0"/>
        <v>948.84999999999854</v>
      </c>
      <c r="I7">
        <f t="shared" si="1"/>
        <v>52.380000000001473</v>
      </c>
      <c r="J7">
        <v>23571.8</v>
      </c>
      <c r="K7">
        <v>10060.58</v>
      </c>
      <c r="L7">
        <f>J7/S7</f>
        <v>1393.9562389118864</v>
      </c>
      <c r="M7">
        <f t="shared" si="3"/>
        <v>588.42682011508634</v>
      </c>
      <c r="O7">
        <v>39.97</v>
      </c>
      <c r="P7">
        <v>0.42</v>
      </c>
      <c r="Q7">
        <v>10.1</v>
      </c>
      <c r="R7">
        <v>19.88</v>
      </c>
      <c r="S7">
        <v>16.91</v>
      </c>
    </row>
    <row r="8" spans="2:19">
      <c r="B8">
        <v>6</v>
      </c>
      <c r="C8" t="s">
        <v>8577</v>
      </c>
      <c r="D8">
        <v>1284.55</v>
      </c>
      <c r="E8" s="9">
        <f t="shared" si="4"/>
        <v>17.077248842006931</v>
      </c>
      <c r="F8">
        <v>21936.58</v>
      </c>
      <c r="G8">
        <v>3542.62</v>
      </c>
      <c r="H8">
        <f t="shared" si="0"/>
        <v>1842.1900000000023</v>
      </c>
      <c r="I8">
        <f t="shared" si="1"/>
        <v>1700.4299999999976</v>
      </c>
      <c r="J8">
        <v>23637.01</v>
      </c>
      <c r="K8">
        <v>27143.06</v>
      </c>
      <c r="L8">
        <f>J8/S8</f>
        <v>1397.8125369603783</v>
      </c>
      <c r="M8">
        <f t="shared" si="3"/>
        <v>977.565953654189</v>
      </c>
      <c r="O8">
        <v>22.44</v>
      </c>
      <c r="P8">
        <v>0.46</v>
      </c>
      <c r="Q8">
        <v>8.9600000000000009</v>
      </c>
      <c r="R8">
        <v>9.35</v>
      </c>
      <c r="S8">
        <v>16.91</v>
      </c>
    </row>
    <row r="13" spans="2:19">
      <c r="B13" s="216"/>
      <c r="C13" s="217"/>
      <c r="D13" s="218"/>
      <c r="E13" s="218"/>
      <c r="F13" s="218"/>
      <c r="G13" s="218"/>
      <c r="H13" s="218"/>
      <c r="I13" s="218"/>
      <c r="J13" s="218"/>
      <c r="K13" s="218"/>
      <c r="L13" s="218"/>
      <c r="M13" s="218"/>
      <c r="N13" s="218"/>
      <c r="O13" s="218"/>
    </row>
    <row r="14" spans="2:19">
      <c r="B14" s="219"/>
      <c r="C14" s="220"/>
      <c r="D14" s="221"/>
      <c r="E14" s="221"/>
      <c r="F14" s="221"/>
      <c r="G14" s="221"/>
      <c r="H14" s="221"/>
      <c r="I14" s="221"/>
      <c r="J14" s="221"/>
      <c r="K14" s="221"/>
      <c r="L14" s="221"/>
      <c r="M14" s="221"/>
      <c r="N14" s="221"/>
      <c r="O14" s="221"/>
    </row>
    <row r="15" spans="2:19">
      <c r="B15" s="222"/>
      <c r="C15" s="220"/>
      <c r="D15" s="200"/>
      <c r="E15" s="200"/>
      <c r="F15" s="200"/>
      <c r="G15" s="200"/>
      <c r="H15" s="200"/>
      <c r="I15" s="200"/>
      <c r="J15" s="200"/>
      <c r="K15" s="200"/>
      <c r="L15" s="200"/>
      <c r="M15" s="200"/>
      <c r="N15" s="200"/>
      <c r="O15" s="200"/>
    </row>
    <row r="16" spans="2:19">
      <c r="B16" s="222"/>
      <c r="C16" s="220"/>
      <c r="D16" s="200"/>
      <c r="E16" s="200"/>
      <c r="F16" s="200"/>
      <c r="G16" s="200"/>
      <c r="H16" s="200"/>
      <c r="I16" s="200"/>
      <c r="J16" s="200"/>
      <c r="K16" s="200"/>
      <c r="L16" s="200"/>
      <c r="M16" s="200"/>
      <c r="N16" s="200"/>
      <c r="O16" s="200"/>
    </row>
    <row r="17" spans="2:15">
      <c r="B17" s="222"/>
      <c r="C17" s="220"/>
      <c r="D17" s="200"/>
      <c r="E17" s="200"/>
      <c r="F17" s="200"/>
      <c r="G17" s="200"/>
      <c r="H17" s="200"/>
      <c r="I17" s="200"/>
      <c r="J17" s="200"/>
      <c r="K17" s="200"/>
      <c r="L17" s="200"/>
      <c r="M17" s="200"/>
      <c r="N17" s="200"/>
      <c r="O17" s="200"/>
    </row>
    <row r="18" spans="2:15">
      <c r="B18" s="222"/>
      <c r="C18" s="220"/>
      <c r="D18" s="200"/>
      <c r="E18" s="200"/>
      <c r="F18" s="200"/>
      <c r="G18" s="200"/>
      <c r="H18" s="200"/>
      <c r="I18" s="200"/>
      <c r="J18" s="200"/>
      <c r="K18" s="200"/>
      <c r="L18" s="200"/>
      <c r="M18" s="200"/>
      <c r="N18" s="200"/>
      <c r="O18" s="200"/>
    </row>
    <row r="19" spans="2:15">
      <c r="B19" s="222"/>
      <c r="C19" s="220"/>
      <c r="D19" s="200"/>
      <c r="E19" s="200"/>
      <c r="F19" s="200"/>
      <c r="G19" s="200"/>
      <c r="H19" s="200"/>
      <c r="I19" s="200"/>
      <c r="J19" s="200"/>
      <c r="K19" s="200"/>
      <c r="L19" s="200"/>
      <c r="M19" s="200"/>
      <c r="N19" s="200"/>
      <c r="O19" s="200"/>
    </row>
    <row r="20" spans="2:15">
      <c r="B20" s="222"/>
      <c r="C20" s="220"/>
      <c r="D20" s="200"/>
      <c r="E20" s="200"/>
      <c r="F20" s="200"/>
      <c r="G20" s="200"/>
      <c r="H20" s="200"/>
      <c r="I20" s="200"/>
      <c r="J20" s="200"/>
      <c r="K20" s="200"/>
      <c r="L20" s="200"/>
      <c r="M20" s="200"/>
      <c r="N20" s="200"/>
      <c r="O20" s="200"/>
    </row>
    <row r="21" spans="2:15">
      <c r="B21" s="223"/>
      <c r="C21" s="224"/>
      <c r="D21" s="221"/>
      <c r="E21" s="221"/>
      <c r="F21" s="221"/>
      <c r="G21" s="221"/>
      <c r="H21" s="221"/>
      <c r="I21" s="221"/>
      <c r="J21" s="221"/>
      <c r="K21" s="221"/>
      <c r="L21" s="221"/>
      <c r="M21" s="221"/>
      <c r="N21" s="221"/>
      <c r="O21" s="22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9937A-9DB8-4676-A529-2FFA84231BB9}">
  <dimension ref="A1"/>
  <sheetViews>
    <sheetView workbookViewId="0"/>
  </sheetViews>
  <sheetFormatPr defaultRowHeight="1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4FAD-9014-4CE1-B80B-40822D7266D7}">
  <dimension ref="B2:E5442"/>
  <sheetViews>
    <sheetView topLeftCell="A5418" zoomScale="96" zoomScaleNormal="96" workbookViewId="0">
      <selection activeCell="B389" sqref="B389"/>
    </sheetView>
  </sheetViews>
  <sheetFormatPr defaultRowHeight="15"/>
  <cols>
    <col min="2" max="2" width="58.5703125" customWidth="1"/>
    <col min="3" max="3" width="10" bestFit="1" customWidth="1"/>
    <col min="4" max="4" width="15.5703125" bestFit="1" customWidth="1"/>
    <col min="5" max="5" width="69.7109375" bestFit="1" customWidth="1"/>
  </cols>
  <sheetData>
    <row r="2" spans="2:5">
      <c r="B2" t="s">
        <v>313</v>
      </c>
      <c r="C2" t="s">
        <v>314</v>
      </c>
      <c r="D2" t="s">
        <v>315</v>
      </c>
      <c r="E2" t="s">
        <v>316</v>
      </c>
    </row>
    <row r="3" spans="2:5">
      <c r="B3" t="s">
        <v>317</v>
      </c>
      <c r="C3">
        <v>533022</v>
      </c>
      <c r="D3" t="s">
        <v>318</v>
      </c>
      <c r="E3" t="s">
        <v>319</v>
      </c>
    </row>
    <row r="4" spans="2:5">
      <c r="B4" t="s">
        <v>320</v>
      </c>
      <c r="C4">
        <v>526921</v>
      </c>
      <c r="D4" t="s">
        <v>321</v>
      </c>
      <c r="E4" t="s">
        <v>322</v>
      </c>
    </row>
    <row r="5" spans="2:5">
      <c r="B5" t="s">
        <v>323</v>
      </c>
      <c r="C5">
        <v>532628</v>
      </c>
      <c r="D5" t="s">
        <v>324</v>
      </c>
      <c r="E5" t="s">
        <v>325</v>
      </c>
    </row>
    <row r="6" spans="2:5">
      <c r="B6" t="s">
        <v>326</v>
      </c>
      <c r="C6">
        <v>523395</v>
      </c>
      <c r="D6" t="s">
        <v>327</v>
      </c>
      <c r="E6" t="s">
        <v>328</v>
      </c>
    </row>
    <row r="7" spans="2:5">
      <c r="B7" t="s">
        <v>329</v>
      </c>
      <c r="C7">
        <v>523395</v>
      </c>
      <c r="D7" t="s">
        <v>330</v>
      </c>
      <c r="E7" t="s">
        <v>328</v>
      </c>
    </row>
    <row r="8" spans="2:5">
      <c r="B8" t="s">
        <v>331</v>
      </c>
      <c r="C8">
        <v>516092</v>
      </c>
      <c r="D8" t="s">
        <v>332</v>
      </c>
      <c r="E8" t="s">
        <v>333</v>
      </c>
    </row>
    <row r="9" spans="2:5">
      <c r="B9" t="s">
        <v>334</v>
      </c>
      <c r="C9">
        <v>540776</v>
      </c>
      <c r="D9" t="s">
        <v>335</v>
      </c>
      <c r="E9" t="s">
        <v>322</v>
      </c>
    </row>
    <row r="10" spans="2:5">
      <c r="B10" t="s">
        <v>336</v>
      </c>
      <c r="C10">
        <v>526881</v>
      </c>
      <c r="D10" t="s">
        <v>337</v>
      </c>
      <c r="E10" t="s">
        <v>325</v>
      </c>
    </row>
    <row r="11" spans="2:5">
      <c r="B11" t="s">
        <v>338</v>
      </c>
      <c r="C11">
        <v>540615</v>
      </c>
      <c r="D11" t="s">
        <v>339</v>
      </c>
      <c r="E11" t="s">
        <v>340</v>
      </c>
    </row>
    <row r="12" spans="2:5">
      <c r="B12" t="s">
        <v>341</v>
      </c>
      <c r="C12">
        <v>540874</v>
      </c>
      <c r="D12" t="s">
        <v>339</v>
      </c>
      <c r="E12" t="s">
        <v>342</v>
      </c>
    </row>
    <row r="13" spans="2:5">
      <c r="B13" t="s">
        <v>343</v>
      </c>
      <c r="C13">
        <v>512161</v>
      </c>
      <c r="D13" t="s">
        <v>344</v>
      </c>
      <c r="E13" t="s">
        <v>345</v>
      </c>
    </row>
    <row r="14" spans="2:5">
      <c r="B14" t="s">
        <v>346</v>
      </c>
      <c r="C14">
        <v>540697</v>
      </c>
      <c r="D14" t="s">
        <v>339</v>
      </c>
      <c r="E14" t="s">
        <v>347</v>
      </c>
    </row>
    <row r="15" spans="2:5">
      <c r="B15" t="s">
        <v>348</v>
      </c>
      <c r="C15" t="s">
        <v>339</v>
      </c>
      <c r="D15" t="s">
        <v>349</v>
      </c>
      <c r="E15" t="s">
        <v>350</v>
      </c>
    </row>
    <row r="16" spans="2:5">
      <c r="B16" t="s">
        <v>351</v>
      </c>
      <c r="C16">
        <v>539620</v>
      </c>
      <c r="D16" t="s">
        <v>339</v>
      </c>
      <c r="E16" t="s">
        <v>352</v>
      </c>
    </row>
    <row r="17" spans="2:5">
      <c r="B17" t="s">
        <v>353</v>
      </c>
      <c r="C17">
        <v>539300</v>
      </c>
      <c r="D17" t="s">
        <v>339</v>
      </c>
      <c r="E17" t="s">
        <v>354</v>
      </c>
    </row>
    <row r="18" spans="2:5">
      <c r="B18" t="s">
        <v>355</v>
      </c>
      <c r="C18">
        <v>530499</v>
      </c>
      <c r="D18" t="s">
        <v>339</v>
      </c>
      <c r="E18" t="s">
        <v>356</v>
      </c>
    </row>
    <row r="19" spans="2:5">
      <c r="B19" t="s">
        <v>357</v>
      </c>
      <c r="C19">
        <v>538351</v>
      </c>
      <c r="D19" t="s">
        <v>358</v>
      </c>
      <c r="E19" t="s">
        <v>359</v>
      </c>
    </row>
    <row r="20" spans="2:5">
      <c r="B20" t="s">
        <v>360</v>
      </c>
      <c r="C20">
        <v>542012</v>
      </c>
      <c r="D20" t="s">
        <v>339</v>
      </c>
      <c r="E20" t="s">
        <v>361</v>
      </c>
    </row>
    <row r="21" spans="2:5">
      <c r="B21" t="s">
        <v>362</v>
      </c>
      <c r="C21">
        <v>533292</v>
      </c>
      <c r="D21" t="s">
        <v>363</v>
      </c>
      <c r="E21" t="s">
        <v>364</v>
      </c>
    </row>
    <row r="22" spans="2:5">
      <c r="B22" t="s">
        <v>365</v>
      </c>
      <c r="C22">
        <v>531611</v>
      </c>
      <c r="D22" t="s">
        <v>339</v>
      </c>
      <c r="E22" t="s">
        <v>356</v>
      </c>
    </row>
    <row r="23" spans="2:5">
      <c r="B23" t="s">
        <v>366</v>
      </c>
      <c r="C23">
        <v>531611</v>
      </c>
      <c r="D23" t="s">
        <v>339</v>
      </c>
      <c r="E23" t="s">
        <v>356</v>
      </c>
    </row>
    <row r="24" spans="2:5">
      <c r="B24" t="s">
        <v>367</v>
      </c>
      <c r="C24" t="s">
        <v>339</v>
      </c>
      <c r="D24" t="s">
        <v>368</v>
      </c>
      <c r="E24" t="s">
        <v>350</v>
      </c>
    </row>
    <row r="25" spans="2:5">
      <c r="B25" t="s">
        <v>369</v>
      </c>
      <c r="C25">
        <v>539096</v>
      </c>
      <c r="D25" t="s">
        <v>339</v>
      </c>
      <c r="E25" t="s">
        <v>354</v>
      </c>
    </row>
    <row r="26" spans="2:5">
      <c r="B26" t="s">
        <v>370</v>
      </c>
      <c r="C26">
        <v>538812</v>
      </c>
      <c r="D26" t="s">
        <v>339</v>
      </c>
      <c r="E26" t="s">
        <v>371</v>
      </c>
    </row>
    <row r="27" spans="2:5">
      <c r="B27" t="s">
        <v>372</v>
      </c>
      <c r="C27">
        <v>539632</v>
      </c>
      <c r="D27" t="s">
        <v>339</v>
      </c>
      <c r="E27" t="s">
        <v>373</v>
      </c>
    </row>
    <row r="28" spans="2:5">
      <c r="B28" t="s">
        <v>374</v>
      </c>
      <c r="C28">
        <v>542377</v>
      </c>
      <c r="D28" t="s">
        <v>375</v>
      </c>
      <c r="E28" t="s">
        <v>356</v>
      </c>
    </row>
    <row r="29" spans="2:5">
      <c r="B29" t="s">
        <v>376</v>
      </c>
      <c r="C29">
        <v>524412</v>
      </c>
      <c r="D29" t="s">
        <v>339</v>
      </c>
      <c r="E29" t="s">
        <v>377</v>
      </c>
    </row>
    <row r="30" spans="2:5">
      <c r="B30" t="s">
        <v>378</v>
      </c>
      <c r="C30" t="s">
        <v>339</v>
      </c>
      <c r="D30" t="s">
        <v>379</v>
      </c>
      <c r="E30" t="s">
        <v>350</v>
      </c>
    </row>
    <row r="31" spans="2:5">
      <c r="B31" t="s">
        <v>380</v>
      </c>
      <c r="C31">
        <v>542580</v>
      </c>
      <c r="D31" t="s">
        <v>381</v>
      </c>
      <c r="E31" t="s">
        <v>382</v>
      </c>
    </row>
    <row r="32" spans="2:5">
      <c r="B32" t="s">
        <v>383</v>
      </c>
      <c r="C32">
        <v>524348</v>
      </c>
      <c r="D32" t="s">
        <v>384</v>
      </c>
      <c r="E32" t="s">
        <v>377</v>
      </c>
    </row>
    <row r="33" spans="2:5">
      <c r="B33" t="s">
        <v>385</v>
      </c>
      <c r="C33">
        <v>524208</v>
      </c>
      <c r="D33" t="s">
        <v>386</v>
      </c>
      <c r="E33" t="s">
        <v>387</v>
      </c>
    </row>
    <row r="34" spans="2:5">
      <c r="B34" t="s">
        <v>388</v>
      </c>
      <c r="C34">
        <v>526488</v>
      </c>
      <c r="D34" t="s">
        <v>339</v>
      </c>
      <c r="E34" t="s">
        <v>354</v>
      </c>
    </row>
    <row r="35" spans="2:5">
      <c r="B35" t="s">
        <v>389</v>
      </c>
      <c r="C35">
        <v>514274</v>
      </c>
      <c r="D35" t="s">
        <v>390</v>
      </c>
      <c r="E35" t="s">
        <v>354</v>
      </c>
    </row>
    <row r="36" spans="2:5">
      <c r="B36" t="s">
        <v>391</v>
      </c>
      <c r="C36" t="s">
        <v>339</v>
      </c>
      <c r="D36" t="s">
        <v>392</v>
      </c>
      <c r="E36" t="s">
        <v>350</v>
      </c>
    </row>
    <row r="37" spans="2:5">
      <c r="B37" t="s">
        <v>393</v>
      </c>
      <c r="C37">
        <v>519319</v>
      </c>
      <c r="D37" t="s">
        <v>339</v>
      </c>
      <c r="E37" t="s">
        <v>345</v>
      </c>
    </row>
    <row r="38" spans="2:5">
      <c r="B38" t="s">
        <v>394</v>
      </c>
      <c r="C38">
        <v>512038</v>
      </c>
      <c r="D38" t="s">
        <v>339</v>
      </c>
      <c r="E38" t="s">
        <v>361</v>
      </c>
    </row>
    <row r="39" spans="2:5">
      <c r="B39" t="s">
        <v>395</v>
      </c>
      <c r="C39">
        <v>541988</v>
      </c>
      <c r="D39" t="s">
        <v>396</v>
      </c>
      <c r="E39" t="s">
        <v>397</v>
      </c>
    </row>
    <row r="40" spans="2:5">
      <c r="B40" t="s">
        <v>398</v>
      </c>
      <c r="C40">
        <v>539528</v>
      </c>
      <c r="D40" t="s">
        <v>339</v>
      </c>
      <c r="E40" t="s">
        <v>399</v>
      </c>
    </row>
    <row r="41" spans="2:5">
      <c r="B41" t="s">
        <v>400</v>
      </c>
      <c r="C41">
        <v>523204</v>
      </c>
      <c r="D41" t="s">
        <v>401</v>
      </c>
      <c r="E41" t="s">
        <v>402</v>
      </c>
    </row>
    <row r="42" spans="2:5">
      <c r="B42" t="s">
        <v>403</v>
      </c>
      <c r="C42">
        <v>512165</v>
      </c>
      <c r="D42" t="s">
        <v>339</v>
      </c>
      <c r="E42" t="s">
        <v>361</v>
      </c>
    </row>
    <row r="43" spans="2:5">
      <c r="B43" t="s">
        <v>404</v>
      </c>
      <c r="C43">
        <v>500002</v>
      </c>
      <c r="D43" t="s">
        <v>405</v>
      </c>
      <c r="E43" t="s">
        <v>382</v>
      </c>
    </row>
    <row r="44" spans="2:5">
      <c r="B44" t="s">
        <v>406</v>
      </c>
      <c r="C44">
        <v>500488</v>
      </c>
      <c r="D44" t="s">
        <v>407</v>
      </c>
      <c r="E44" t="s">
        <v>377</v>
      </c>
    </row>
    <row r="45" spans="2:5">
      <c r="B45" t="s">
        <v>408</v>
      </c>
      <c r="C45">
        <v>500488</v>
      </c>
      <c r="D45" t="s">
        <v>409</v>
      </c>
      <c r="E45" t="s">
        <v>377</v>
      </c>
    </row>
    <row r="46" spans="2:5">
      <c r="B46" t="s">
        <v>410</v>
      </c>
      <c r="C46">
        <v>520123</v>
      </c>
      <c r="D46" t="s">
        <v>339</v>
      </c>
      <c r="E46" t="s">
        <v>411</v>
      </c>
    </row>
    <row r="47" spans="2:5">
      <c r="B47" t="s">
        <v>412</v>
      </c>
      <c r="C47">
        <v>513119</v>
      </c>
      <c r="D47" t="s">
        <v>339</v>
      </c>
      <c r="E47" t="s">
        <v>413</v>
      </c>
    </row>
    <row r="48" spans="2:5">
      <c r="B48" t="s">
        <v>414</v>
      </c>
      <c r="C48">
        <v>520123</v>
      </c>
      <c r="D48" t="s">
        <v>339</v>
      </c>
      <c r="E48" t="s">
        <v>411</v>
      </c>
    </row>
    <row r="49" spans="2:5">
      <c r="B49" t="s">
        <v>415</v>
      </c>
      <c r="C49">
        <v>532682</v>
      </c>
      <c r="D49" t="s">
        <v>416</v>
      </c>
      <c r="E49" t="s">
        <v>417</v>
      </c>
    </row>
    <row r="50" spans="2:5">
      <c r="B50" t="s">
        <v>418</v>
      </c>
      <c r="C50">
        <v>539560</v>
      </c>
      <c r="D50" t="s">
        <v>339</v>
      </c>
      <c r="E50" t="s">
        <v>419</v>
      </c>
    </row>
    <row r="51" spans="2:5">
      <c r="B51" t="s">
        <v>420</v>
      </c>
      <c r="C51">
        <v>532057</v>
      </c>
      <c r="D51" t="s">
        <v>339</v>
      </c>
      <c r="E51" t="s">
        <v>356</v>
      </c>
    </row>
    <row r="52" spans="2:5">
      <c r="B52" t="s">
        <v>421</v>
      </c>
      <c r="C52">
        <v>538952</v>
      </c>
      <c r="D52" t="s">
        <v>339</v>
      </c>
      <c r="E52" t="s">
        <v>356</v>
      </c>
    </row>
    <row r="53" spans="2:5">
      <c r="B53" t="s">
        <v>422</v>
      </c>
      <c r="C53">
        <v>538935</v>
      </c>
      <c r="D53" t="s">
        <v>339</v>
      </c>
      <c r="E53" t="s">
        <v>423</v>
      </c>
    </row>
    <row r="54" spans="2:5">
      <c r="B54" t="s">
        <v>424</v>
      </c>
      <c r="C54">
        <v>539544</v>
      </c>
      <c r="D54" t="s">
        <v>339</v>
      </c>
      <c r="E54" t="s">
        <v>425</v>
      </c>
    </row>
    <row r="55" spans="2:5">
      <c r="B55" t="s">
        <v>426</v>
      </c>
      <c r="C55">
        <v>511756</v>
      </c>
      <c r="D55" t="s">
        <v>339</v>
      </c>
      <c r="E55" t="s">
        <v>356</v>
      </c>
    </row>
    <row r="56" spans="2:5">
      <c r="B56" t="s">
        <v>427</v>
      </c>
      <c r="C56">
        <v>511756</v>
      </c>
      <c r="D56" t="s">
        <v>339</v>
      </c>
      <c r="E56" t="s">
        <v>356</v>
      </c>
    </row>
    <row r="57" spans="2:5">
      <c r="B57" t="s">
        <v>428</v>
      </c>
      <c r="C57" t="s">
        <v>339</v>
      </c>
      <c r="D57" t="s">
        <v>429</v>
      </c>
      <c r="E57" t="s">
        <v>430</v>
      </c>
    </row>
    <row r="58" spans="2:5">
      <c r="B58" t="s">
        <v>431</v>
      </c>
      <c r="C58">
        <v>531161</v>
      </c>
      <c r="D58" t="s">
        <v>339</v>
      </c>
      <c r="E58" t="s">
        <v>432</v>
      </c>
    </row>
    <row r="59" spans="2:5">
      <c r="B59" t="s">
        <v>433</v>
      </c>
      <c r="C59">
        <v>500410</v>
      </c>
      <c r="D59" t="s">
        <v>434</v>
      </c>
      <c r="E59" t="s">
        <v>352</v>
      </c>
    </row>
    <row r="60" spans="2:5">
      <c r="B60" t="s">
        <v>435</v>
      </c>
      <c r="C60">
        <v>517494</v>
      </c>
      <c r="D60" t="s">
        <v>339</v>
      </c>
      <c r="E60" t="s">
        <v>436</v>
      </c>
    </row>
    <row r="61" spans="2:5">
      <c r="B61" t="s">
        <v>437</v>
      </c>
      <c r="C61">
        <v>532268</v>
      </c>
      <c r="D61" t="s">
        <v>438</v>
      </c>
      <c r="E61" t="s">
        <v>325</v>
      </c>
    </row>
    <row r="62" spans="2:5">
      <c r="B62" t="s">
        <v>439</v>
      </c>
      <c r="C62" t="s">
        <v>339</v>
      </c>
      <c r="D62" t="s">
        <v>440</v>
      </c>
      <c r="E62" t="s">
        <v>350</v>
      </c>
    </row>
    <row r="63" spans="2:5">
      <c r="B63" t="s">
        <v>441</v>
      </c>
      <c r="C63" t="s">
        <v>339</v>
      </c>
      <c r="D63" t="s">
        <v>442</v>
      </c>
      <c r="E63" t="s">
        <v>350</v>
      </c>
    </row>
    <row r="64" spans="2:5">
      <c r="B64" t="s">
        <v>443</v>
      </c>
      <c r="C64">
        <v>530093</v>
      </c>
      <c r="D64" t="s">
        <v>339</v>
      </c>
      <c r="E64" t="s">
        <v>444</v>
      </c>
    </row>
    <row r="65" spans="2:5">
      <c r="B65" t="s">
        <v>445</v>
      </c>
      <c r="C65" t="s">
        <v>339</v>
      </c>
      <c r="D65" t="s">
        <v>446</v>
      </c>
      <c r="E65" t="s">
        <v>350</v>
      </c>
    </row>
    <row r="66" spans="2:5">
      <c r="B66" t="s">
        <v>447</v>
      </c>
      <c r="C66">
        <v>539661</v>
      </c>
      <c r="D66" t="s">
        <v>339</v>
      </c>
      <c r="E66" t="s">
        <v>373</v>
      </c>
    </row>
    <row r="67" spans="2:5">
      <c r="B67" t="s">
        <v>448</v>
      </c>
      <c r="C67">
        <v>531525</v>
      </c>
      <c r="D67" t="s">
        <v>339</v>
      </c>
      <c r="E67" t="s">
        <v>432</v>
      </c>
    </row>
    <row r="68" spans="2:5">
      <c r="B68" t="s">
        <v>449</v>
      </c>
      <c r="C68">
        <v>538570</v>
      </c>
      <c r="D68" t="s">
        <v>450</v>
      </c>
      <c r="E68" t="s">
        <v>322</v>
      </c>
    </row>
    <row r="69" spans="2:5">
      <c r="B69" t="s">
        <v>451</v>
      </c>
      <c r="C69">
        <v>517356</v>
      </c>
      <c r="D69" t="s">
        <v>339</v>
      </c>
      <c r="E69" t="s">
        <v>436</v>
      </c>
    </row>
    <row r="70" spans="2:5">
      <c r="B70" t="s">
        <v>452</v>
      </c>
      <c r="C70">
        <v>530043</v>
      </c>
      <c r="D70" t="s">
        <v>339</v>
      </c>
      <c r="E70" t="s">
        <v>453</v>
      </c>
    </row>
    <row r="71" spans="2:5">
      <c r="B71" t="s">
        <v>454</v>
      </c>
      <c r="C71">
        <v>539391</v>
      </c>
      <c r="D71" t="s">
        <v>339</v>
      </c>
      <c r="E71" t="s">
        <v>356</v>
      </c>
    </row>
    <row r="72" spans="2:5">
      <c r="B72" t="s">
        <v>455</v>
      </c>
      <c r="C72">
        <v>513149</v>
      </c>
      <c r="D72" t="s">
        <v>456</v>
      </c>
      <c r="E72" t="s">
        <v>457</v>
      </c>
    </row>
    <row r="73" spans="2:5">
      <c r="B73" t="s">
        <v>458</v>
      </c>
      <c r="C73">
        <v>524091</v>
      </c>
      <c r="D73" t="s">
        <v>339</v>
      </c>
      <c r="E73" t="s">
        <v>459</v>
      </c>
    </row>
    <row r="74" spans="2:5">
      <c r="B74" t="s">
        <v>460</v>
      </c>
      <c r="C74">
        <v>532762</v>
      </c>
      <c r="D74" t="s">
        <v>461</v>
      </c>
      <c r="E74" t="s">
        <v>462</v>
      </c>
    </row>
    <row r="75" spans="2:5">
      <c r="B75" t="s">
        <v>463</v>
      </c>
      <c r="C75">
        <v>511706</v>
      </c>
      <c r="D75" t="s">
        <v>339</v>
      </c>
      <c r="E75" t="s">
        <v>322</v>
      </c>
    </row>
    <row r="76" spans="2:5">
      <c r="B76" t="s">
        <v>464</v>
      </c>
      <c r="C76">
        <v>511706</v>
      </c>
      <c r="D76" t="s">
        <v>339</v>
      </c>
      <c r="E76" t="s">
        <v>322</v>
      </c>
    </row>
    <row r="77" spans="2:5">
      <c r="B77" t="s">
        <v>465</v>
      </c>
      <c r="C77">
        <v>541144</v>
      </c>
      <c r="D77" t="s">
        <v>339</v>
      </c>
      <c r="E77" t="s">
        <v>453</v>
      </c>
    </row>
    <row r="78" spans="2:5">
      <c r="B78" t="s">
        <v>466</v>
      </c>
      <c r="C78">
        <v>512599</v>
      </c>
      <c r="D78" t="s">
        <v>467</v>
      </c>
      <c r="E78" t="s">
        <v>361</v>
      </c>
    </row>
    <row r="79" spans="2:5">
      <c r="B79" t="s">
        <v>468</v>
      </c>
      <c r="C79">
        <v>542066</v>
      </c>
      <c r="D79" t="s">
        <v>469</v>
      </c>
      <c r="E79" t="s">
        <v>470</v>
      </c>
    </row>
    <row r="80" spans="2:5">
      <c r="B80" t="s">
        <v>471</v>
      </c>
      <c r="C80">
        <v>541450</v>
      </c>
      <c r="D80" t="s">
        <v>472</v>
      </c>
      <c r="E80" t="s">
        <v>382</v>
      </c>
    </row>
    <row r="81" spans="2:5">
      <c r="B81" t="s">
        <v>473</v>
      </c>
      <c r="C81">
        <v>532921</v>
      </c>
      <c r="D81" t="s">
        <v>474</v>
      </c>
      <c r="E81" t="s">
        <v>475</v>
      </c>
    </row>
    <row r="82" spans="2:5">
      <c r="B82" t="s">
        <v>476</v>
      </c>
      <c r="C82">
        <v>533096</v>
      </c>
      <c r="D82" t="s">
        <v>477</v>
      </c>
      <c r="E82" t="s">
        <v>478</v>
      </c>
    </row>
    <row r="83" spans="2:5">
      <c r="B83" t="s">
        <v>479</v>
      </c>
      <c r="C83">
        <v>539254</v>
      </c>
      <c r="D83" t="s">
        <v>480</v>
      </c>
      <c r="E83" t="s">
        <v>478</v>
      </c>
    </row>
    <row r="84" spans="2:5">
      <c r="B84" t="s">
        <v>481</v>
      </c>
      <c r="C84">
        <v>538563</v>
      </c>
      <c r="D84" t="s">
        <v>339</v>
      </c>
      <c r="E84" t="s">
        <v>361</v>
      </c>
    </row>
    <row r="85" spans="2:5">
      <c r="B85" t="s">
        <v>482</v>
      </c>
      <c r="C85">
        <v>526711</v>
      </c>
      <c r="D85" t="s">
        <v>339</v>
      </c>
      <c r="E85" t="s">
        <v>483</v>
      </c>
    </row>
    <row r="86" spans="2:5">
      <c r="B86" t="s">
        <v>484</v>
      </c>
      <c r="C86">
        <v>523411</v>
      </c>
      <c r="D86" t="s">
        <v>339</v>
      </c>
      <c r="E86" t="s">
        <v>485</v>
      </c>
    </row>
    <row r="87" spans="2:5">
      <c r="B87" t="s">
        <v>486</v>
      </c>
      <c r="C87">
        <v>539506</v>
      </c>
      <c r="D87" t="s">
        <v>339</v>
      </c>
      <c r="E87" t="s">
        <v>356</v>
      </c>
    </row>
    <row r="88" spans="2:5">
      <c r="B88" t="s">
        <v>487</v>
      </c>
      <c r="C88">
        <v>507852</v>
      </c>
      <c r="D88" t="s">
        <v>339</v>
      </c>
      <c r="E88" t="s">
        <v>453</v>
      </c>
    </row>
    <row r="89" spans="2:5">
      <c r="B89" t="s">
        <v>488</v>
      </c>
      <c r="C89">
        <v>541865</v>
      </c>
      <c r="D89" t="s">
        <v>339</v>
      </c>
      <c r="E89" t="s">
        <v>373</v>
      </c>
    </row>
    <row r="90" spans="2:5">
      <c r="B90" t="s">
        <v>489</v>
      </c>
      <c r="C90">
        <v>519183</v>
      </c>
      <c r="D90" t="s">
        <v>490</v>
      </c>
      <c r="E90" t="s">
        <v>399</v>
      </c>
    </row>
    <row r="91" spans="2:5">
      <c r="B91" t="s">
        <v>491</v>
      </c>
      <c r="C91">
        <v>539493</v>
      </c>
      <c r="D91" t="s">
        <v>339</v>
      </c>
      <c r="E91" t="s">
        <v>356</v>
      </c>
    </row>
    <row r="92" spans="2:5">
      <c r="B92" t="s">
        <v>492</v>
      </c>
      <c r="C92">
        <v>539189</v>
      </c>
      <c r="D92" t="s">
        <v>339</v>
      </c>
      <c r="E92" t="s">
        <v>425</v>
      </c>
    </row>
    <row r="93" spans="2:5">
      <c r="B93" t="s">
        <v>493</v>
      </c>
      <c r="C93">
        <v>780018</v>
      </c>
      <c r="D93" t="s">
        <v>339</v>
      </c>
      <c r="E93" t="s">
        <v>430</v>
      </c>
    </row>
    <row r="94" spans="2:5">
      <c r="B94" t="s">
        <v>494</v>
      </c>
      <c r="C94">
        <v>538365</v>
      </c>
      <c r="D94" t="s">
        <v>495</v>
      </c>
      <c r="E94" t="s">
        <v>371</v>
      </c>
    </row>
    <row r="95" spans="2:5">
      <c r="B95" t="s">
        <v>496</v>
      </c>
      <c r="C95">
        <v>532727</v>
      </c>
      <c r="D95" t="s">
        <v>497</v>
      </c>
      <c r="E95" t="s">
        <v>371</v>
      </c>
    </row>
    <row r="96" spans="2:5">
      <c r="B96" t="s">
        <v>498</v>
      </c>
      <c r="C96">
        <v>531592</v>
      </c>
      <c r="D96" t="s">
        <v>339</v>
      </c>
      <c r="E96" t="s">
        <v>499</v>
      </c>
    </row>
    <row r="97" spans="2:5">
      <c r="B97" t="s">
        <v>500</v>
      </c>
      <c r="C97">
        <v>532056</v>
      </c>
      <c r="D97" t="s">
        <v>339</v>
      </c>
      <c r="E97" t="s">
        <v>359</v>
      </c>
    </row>
    <row r="98" spans="2:5">
      <c r="B98" t="s">
        <v>501</v>
      </c>
      <c r="C98">
        <v>514113</v>
      </c>
      <c r="D98" t="s">
        <v>339</v>
      </c>
      <c r="E98" t="s">
        <v>354</v>
      </c>
    </row>
    <row r="99" spans="2:5">
      <c r="B99" t="s">
        <v>502</v>
      </c>
      <c r="C99">
        <v>534707</v>
      </c>
      <c r="D99" t="s">
        <v>339</v>
      </c>
      <c r="E99" t="s">
        <v>453</v>
      </c>
    </row>
    <row r="100" spans="2:5">
      <c r="B100" t="s">
        <v>503</v>
      </c>
      <c r="C100">
        <v>540691</v>
      </c>
      <c r="D100" t="s">
        <v>504</v>
      </c>
      <c r="E100" t="s">
        <v>505</v>
      </c>
    </row>
    <row r="101" spans="2:5">
      <c r="B101" t="s">
        <v>506</v>
      </c>
      <c r="C101">
        <v>535755</v>
      </c>
      <c r="D101" t="s">
        <v>507</v>
      </c>
      <c r="E101" t="s">
        <v>508</v>
      </c>
    </row>
    <row r="102" spans="2:5">
      <c r="B102" t="s">
        <v>509</v>
      </c>
      <c r="C102">
        <v>532974</v>
      </c>
      <c r="D102" t="s">
        <v>510</v>
      </c>
      <c r="E102" t="s">
        <v>322</v>
      </c>
    </row>
    <row r="103" spans="2:5">
      <c r="B103" t="s">
        <v>511</v>
      </c>
      <c r="C103">
        <v>540146</v>
      </c>
      <c r="D103" t="s">
        <v>339</v>
      </c>
      <c r="E103" t="s">
        <v>373</v>
      </c>
    </row>
    <row r="104" spans="2:5">
      <c r="B104" t="s">
        <v>512</v>
      </c>
      <c r="C104">
        <v>513513</v>
      </c>
      <c r="D104" t="s">
        <v>339</v>
      </c>
      <c r="E104" t="s">
        <v>371</v>
      </c>
    </row>
    <row r="105" spans="2:5">
      <c r="B105" t="s">
        <v>513</v>
      </c>
      <c r="C105">
        <v>521141</v>
      </c>
      <c r="D105" t="s">
        <v>339</v>
      </c>
      <c r="E105" t="s">
        <v>354</v>
      </c>
    </row>
    <row r="106" spans="2:5">
      <c r="B106" t="s">
        <v>514</v>
      </c>
      <c r="C106">
        <v>540205</v>
      </c>
      <c r="D106" t="s">
        <v>339</v>
      </c>
      <c r="E106" t="s">
        <v>361</v>
      </c>
    </row>
    <row r="107" spans="2:5">
      <c r="B107" t="s">
        <v>515</v>
      </c>
      <c r="C107">
        <v>539056</v>
      </c>
      <c r="D107" t="s">
        <v>516</v>
      </c>
      <c r="E107" t="s">
        <v>517</v>
      </c>
    </row>
    <row r="108" spans="2:5">
      <c r="B108" t="s">
        <v>518</v>
      </c>
      <c r="C108">
        <v>511359</v>
      </c>
      <c r="D108" t="s">
        <v>339</v>
      </c>
      <c r="E108" t="s">
        <v>356</v>
      </c>
    </row>
    <row r="109" spans="2:5">
      <c r="B109" t="s">
        <v>519</v>
      </c>
      <c r="C109">
        <v>530431</v>
      </c>
      <c r="D109" t="s">
        <v>339</v>
      </c>
      <c r="E109" t="s">
        <v>361</v>
      </c>
    </row>
    <row r="110" spans="2:5">
      <c r="B110" t="s">
        <v>520</v>
      </c>
      <c r="C110">
        <v>523120</v>
      </c>
      <c r="D110" t="s">
        <v>339</v>
      </c>
      <c r="E110" t="s">
        <v>521</v>
      </c>
    </row>
    <row r="111" spans="2:5">
      <c r="B111" t="s">
        <v>522</v>
      </c>
      <c r="C111">
        <v>517041</v>
      </c>
      <c r="D111" t="s">
        <v>523</v>
      </c>
      <c r="E111" t="s">
        <v>524</v>
      </c>
    </row>
    <row r="112" spans="2:5">
      <c r="B112" t="s">
        <v>525</v>
      </c>
      <c r="C112">
        <v>532172</v>
      </c>
      <c r="D112" t="s">
        <v>526</v>
      </c>
      <c r="E112" t="s">
        <v>325</v>
      </c>
    </row>
    <row r="113" spans="2:5">
      <c r="B113" t="s">
        <v>527</v>
      </c>
      <c r="C113">
        <v>523031</v>
      </c>
      <c r="D113" t="s">
        <v>339</v>
      </c>
      <c r="E113" t="s">
        <v>528</v>
      </c>
    </row>
    <row r="114" spans="2:5">
      <c r="B114" t="s">
        <v>529</v>
      </c>
      <c r="C114">
        <v>521048</v>
      </c>
      <c r="D114" t="s">
        <v>339</v>
      </c>
      <c r="E114" t="s">
        <v>354</v>
      </c>
    </row>
    <row r="115" spans="2:5">
      <c r="B115" t="s">
        <v>530</v>
      </c>
      <c r="C115">
        <v>534612</v>
      </c>
      <c r="D115" t="s">
        <v>339</v>
      </c>
      <c r="E115" t="s">
        <v>478</v>
      </c>
    </row>
    <row r="116" spans="2:5">
      <c r="B116" t="s">
        <v>531</v>
      </c>
      <c r="C116">
        <v>506947</v>
      </c>
      <c r="D116" t="s">
        <v>339</v>
      </c>
      <c r="E116" t="s">
        <v>387</v>
      </c>
    </row>
    <row r="117" spans="2:5">
      <c r="B117" t="s">
        <v>532</v>
      </c>
      <c r="C117">
        <v>531047</v>
      </c>
      <c r="D117" t="s">
        <v>339</v>
      </c>
      <c r="E117" t="s">
        <v>356</v>
      </c>
    </row>
    <row r="118" spans="2:5">
      <c r="B118" t="s">
        <v>533</v>
      </c>
      <c r="C118">
        <v>539982</v>
      </c>
      <c r="D118" t="s">
        <v>339</v>
      </c>
      <c r="E118" t="s">
        <v>534</v>
      </c>
    </row>
    <row r="119" spans="2:5">
      <c r="B119" t="s">
        <v>535</v>
      </c>
      <c r="C119">
        <v>540025</v>
      </c>
      <c r="D119" t="s">
        <v>536</v>
      </c>
      <c r="E119" t="s">
        <v>537</v>
      </c>
    </row>
    <row r="120" spans="2:5">
      <c r="B120" t="s">
        <v>538</v>
      </c>
      <c r="C120">
        <v>523269</v>
      </c>
      <c r="D120" t="s">
        <v>539</v>
      </c>
      <c r="E120" t="s">
        <v>540</v>
      </c>
    </row>
    <row r="121" spans="2:5">
      <c r="B121" t="s">
        <v>541</v>
      </c>
      <c r="C121">
        <v>523269</v>
      </c>
      <c r="D121" t="s">
        <v>539</v>
      </c>
      <c r="E121" t="s">
        <v>540</v>
      </c>
    </row>
    <row r="122" spans="2:5">
      <c r="B122" t="s">
        <v>542</v>
      </c>
      <c r="C122">
        <v>531429</v>
      </c>
      <c r="D122" t="s">
        <v>339</v>
      </c>
      <c r="E122" t="s">
        <v>432</v>
      </c>
    </row>
    <row r="123" spans="2:5">
      <c r="B123" t="s">
        <v>543</v>
      </c>
      <c r="C123">
        <v>539773</v>
      </c>
      <c r="D123" t="s">
        <v>339</v>
      </c>
      <c r="E123" t="s">
        <v>356</v>
      </c>
    </row>
    <row r="124" spans="2:5">
      <c r="B124" t="s">
        <v>544</v>
      </c>
      <c r="C124">
        <v>531686</v>
      </c>
      <c r="D124" t="s">
        <v>339</v>
      </c>
      <c r="E124" t="s">
        <v>377</v>
      </c>
    </row>
    <row r="125" spans="2:5">
      <c r="B125" t="s">
        <v>545</v>
      </c>
      <c r="C125">
        <v>541152</v>
      </c>
      <c r="D125" t="s">
        <v>339</v>
      </c>
      <c r="E125" t="s">
        <v>361</v>
      </c>
    </row>
    <row r="126" spans="2:5">
      <c r="B126" t="s">
        <v>546</v>
      </c>
      <c r="C126">
        <v>541152</v>
      </c>
      <c r="D126" t="s">
        <v>339</v>
      </c>
      <c r="E126" t="s">
        <v>361</v>
      </c>
    </row>
    <row r="127" spans="2:5">
      <c r="B127" t="s">
        <v>547</v>
      </c>
      <c r="C127">
        <v>500003</v>
      </c>
      <c r="D127" t="s">
        <v>548</v>
      </c>
      <c r="E127" t="s">
        <v>549</v>
      </c>
    </row>
    <row r="128" spans="2:5">
      <c r="B128" t="s">
        <v>550</v>
      </c>
      <c r="C128">
        <v>541402</v>
      </c>
      <c r="D128" t="s">
        <v>339</v>
      </c>
      <c r="E128" t="s">
        <v>347</v>
      </c>
    </row>
    <row r="129" spans="2:5">
      <c r="B129" t="s">
        <v>551</v>
      </c>
      <c r="C129">
        <v>531921</v>
      </c>
      <c r="D129" t="s">
        <v>552</v>
      </c>
      <c r="E129" t="s">
        <v>553</v>
      </c>
    </row>
    <row r="130" spans="2:5">
      <c r="B130" t="s">
        <v>554</v>
      </c>
      <c r="C130">
        <v>500463</v>
      </c>
      <c r="D130" t="s">
        <v>555</v>
      </c>
      <c r="E130" t="s">
        <v>325</v>
      </c>
    </row>
    <row r="131" spans="2:5">
      <c r="B131" t="s">
        <v>556</v>
      </c>
      <c r="C131">
        <v>539042</v>
      </c>
      <c r="D131" t="s">
        <v>339</v>
      </c>
      <c r="E131" t="s">
        <v>425</v>
      </c>
    </row>
    <row r="132" spans="2:5">
      <c r="B132" t="s">
        <v>557</v>
      </c>
      <c r="C132">
        <v>516020</v>
      </c>
      <c r="D132" t="s">
        <v>339</v>
      </c>
      <c r="E132" t="s">
        <v>333</v>
      </c>
    </row>
    <row r="133" spans="2:5">
      <c r="B133" t="s">
        <v>558</v>
      </c>
      <c r="C133">
        <v>537492</v>
      </c>
      <c r="D133" t="s">
        <v>339</v>
      </c>
      <c r="E133" t="s">
        <v>361</v>
      </c>
    </row>
    <row r="134" spans="2:5">
      <c r="B134" t="s">
        <v>559</v>
      </c>
      <c r="C134">
        <v>537292</v>
      </c>
      <c r="D134" t="s">
        <v>560</v>
      </c>
      <c r="E134" t="s">
        <v>537</v>
      </c>
    </row>
    <row r="135" spans="2:5">
      <c r="B135" t="s">
        <v>561</v>
      </c>
      <c r="C135">
        <v>537292</v>
      </c>
      <c r="D135" t="s">
        <v>560</v>
      </c>
      <c r="E135" t="s">
        <v>537</v>
      </c>
    </row>
    <row r="136" spans="2:5">
      <c r="B136" t="s">
        <v>562</v>
      </c>
      <c r="C136" t="s">
        <v>339</v>
      </c>
      <c r="D136" t="s">
        <v>563</v>
      </c>
      <c r="E136" t="s">
        <v>350</v>
      </c>
    </row>
    <row r="137" spans="2:5">
      <c r="B137" t="s">
        <v>564</v>
      </c>
      <c r="C137" t="s">
        <v>339</v>
      </c>
      <c r="D137" t="s">
        <v>563</v>
      </c>
      <c r="E137" t="s">
        <v>350</v>
      </c>
    </row>
    <row r="138" spans="2:5">
      <c r="B138" t="s">
        <v>565</v>
      </c>
      <c r="C138">
        <v>500215</v>
      </c>
      <c r="D138" t="s">
        <v>566</v>
      </c>
      <c r="E138" t="s">
        <v>537</v>
      </c>
    </row>
    <row r="139" spans="2:5">
      <c r="B139" t="s">
        <v>567</v>
      </c>
      <c r="C139" t="s">
        <v>339</v>
      </c>
      <c r="D139" t="s">
        <v>568</v>
      </c>
      <c r="E139" t="s">
        <v>350</v>
      </c>
    </row>
    <row r="140" spans="2:5">
      <c r="B140" t="s">
        <v>569</v>
      </c>
      <c r="C140" t="s">
        <v>339</v>
      </c>
      <c r="D140" t="s">
        <v>570</v>
      </c>
      <c r="E140" t="s">
        <v>350</v>
      </c>
    </row>
    <row r="141" spans="2:5">
      <c r="B141" t="s">
        <v>571</v>
      </c>
      <c r="C141">
        <v>532811</v>
      </c>
      <c r="D141" t="s">
        <v>572</v>
      </c>
      <c r="E141" t="s">
        <v>425</v>
      </c>
    </row>
    <row r="142" spans="2:5">
      <c r="B142" t="s">
        <v>573</v>
      </c>
      <c r="C142">
        <v>532811</v>
      </c>
      <c r="D142" t="s">
        <v>572</v>
      </c>
      <c r="E142" t="s">
        <v>425</v>
      </c>
    </row>
    <row r="143" spans="2:5">
      <c r="B143" t="s">
        <v>574</v>
      </c>
      <c r="C143">
        <v>522273</v>
      </c>
      <c r="D143" t="s">
        <v>339</v>
      </c>
      <c r="E143" t="s">
        <v>371</v>
      </c>
    </row>
    <row r="144" spans="2:5">
      <c r="B144" t="s">
        <v>575</v>
      </c>
      <c r="C144">
        <v>532806</v>
      </c>
      <c r="D144" t="s">
        <v>339</v>
      </c>
      <c r="E144" t="s">
        <v>576</v>
      </c>
    </row>
    <row r="145" spans="2:5">
      <c r="B145" t="s">
        <v>577</v>
      </c>
      <c r="C145">
        <v>532683</v>
      </c>
      <c r="D145" t="s">
        <v>578</v>
      </c>
      <c r="E145" t="s">
        <v>524</v>
      </c>
    </row>
    <row r="146" spans="2:5">
      <c r="B146" t="s">
        <v>579</v>
      </c>
      <c r="C146">
        <v>524288</v>
      </c>
      <c r="D146" t="s">
        <v>339</v>
      </c>
      <c r="E146" t="s">
        <v>483</v>
      </c>
    </row>
    <row r="147" spans="2:5">
      <c r="B147" t="s">
        <v>580</v>
      </c>
      <c r="C147" t="s">
        <v>339</v>
      </c>
      <c r="D147" t="s">
        <v>581</v>
      </c>
      <c r="E147" t="s">
        <v>350</v>
      </c>
    </row>
    <row r="148" spans="2:5">
      <c r="B148" t="s">
        <v>582</v>
      </c>
      <c r="C148" t="s">
        <v>339</v>
      </c>
      <c r="D148" t="s">
        <v>583</v>
      </c>
      <c r="E148" t="s">
        <v>350</v>
      </c>
    </row>
    <row r="149" spans="2:5">
      <c r="B149" t="s">
        <v>584</v>
      </c>
      <c r="C149">
        <v>532975</v>
      </c>
      <c r="D149" t="s">
        <v>339</v>
      </c>
      <c r="E149" t="s">
        <v>485</v>
      </c>
    </row>
    <row r="150" spans="2:5">
      <c r="B150" t="s">
        <v>585</v>
      </c>
      <c r="C150">
        <v>532331</v>
      </c>
      <c r="D150" t="s">
        <v>586</v>
      </c>
      <c r="E150" t="s">
        <v>377</v>
      </c>
    </row>
    <row r="151" spans="2:5">
      <c r="B151" t="s">
        <v>587</v>
      </c>
      <c r="C151">
        <v>519216</v>
      </c>
      <c r="D151" t="s">
        <v>339</v>
      </c>
      <c r="E151" t="s">
        <v>588</v>
      </c>
    </row>
    <row r="152" spans="2:5">
      <c r="B152" t="s">
        <v>589</v>
      </c>
      <c r="C152">
        <v>511692</v>
      </c>
      <c r="D152" t="s">
        <v>339</v>
      </c>
      <c r="E152" t="s">
        <v>322</v>
      </c>
    </row>
    <row r="153" spans="2:5">
      <c r="B153" t="s">
        <v>590</v>
      </c>
      <c r="C153">
        <v>530713</v>
      </c>
      <c r="D153" t="s">
        <v>339</v>
      </c>
      <c r="E153" t="s">
        <v>325</v>
      </c>
    </row>
    <row r="154" spans="2:5">
      <c r="B154" t="s">
        <v>591</v>
      </c>
      <c r="C154">
        <v>513349</v>
      </c>
      <c r="D154" t="s">
        <v>592</v>
      </c>
      <c r="E154" t="s">
        <v>425</v>
      </c>
    </row>
    <row r="155" spans="2:5">
      <c r="B155" t="s">
        <v>593</v>
      </c>
      <c r="C155">
        <v>513349</v>
      </c>
      <c r="D155" t="s">
        <v>592</v>
      </c>
      <c r="E155" t="s">
        <v>425</v>
      </c>
    </row>
    <row r="156" spans="2:5">
      <c r="B156" t="s">
        <v>594</v>
      </c>
      <c r="C156" t="s">
        <v>339</v>
      </c>
      <c r="D156" t="s">
        <v>595</v>
      </c>
      <c r="E156" t="s">
        <v>350</v>
      </c>
    </row>
    <row r="157" spans="2:5">
      <c r="B157" t="s">
        <v>596</v>
      </c>
      <c r="C157">
        <v>526628</v>
      </c>
      <c r="D157" t="s">
        <v>339</v>
      </c>
      <c r="E157" t="s">
        <v>517</v>
      </c>
    </row>
    <row r="158" spans="2:5">
      <c r="B158" t="s">
        <v>597</v>
      </c>
      <c r="C158">
        <v>530621</v>
      </c>
      <c r="D158" t="s">
        <v>339</v>
      </c>
      <c r="E158" t="s">
        <v>347</v>
      </c>
    </row>
    <row r="159" spans="2:5">
      <c r="B159" t="s">
        <v>598</v>
      </c>
      <c r="C159" t="s">
        <v>339</v>
      </c>
      <c r="D159" t="s">
        <v>599</v>
      </c>
      <c r="E159" t="s">
        <v>350</v>
      </c>
    </row>
    <row r="160" spans="2:5">
      <c r="B160" t="s">
        <v>600</v>
      </c>
      <c r="C160">
        <v>538778</v>
      </c>
      <c r="D160" t="s">
        <v>339</v>
      </c>
      <c r="E160" t="s">
        <v>356</v>
      </c>
    </row>
    <row r="161" spans="2:5">
      <c r="B161" t="s">
        <v>601</v>
      </c>
      <c r="C161" t="s">
        <v>339</v>
      </c>
      <c r="D161" t="s">
        <v>602</v>
      </c>
      <c r="E161" t="s">
        <v>350</v>
      </c>
    </row>
    <row r="162" spans="2:5">
      <c r="B162" t="s">
        <v>603</v>
      </c>
      <c r="C162">
        <v>542020</v>
      </c>
      <c r="D162" t="s">
        <v>339</v>
      </c>
      <c r="E162" t="s">
        <v>453</v>
      </c>
    </row>
    <row r="163" spans="2:5">
      <c r="B163" t="s">
        <v>604</v>
      </c>
      <c r="C163">
        <v>542020</v>
      </c>
      <c r="D163" t="s">
        <v>339</v>
      </c>
      <c r="E163" t="s">
        <v>453</v>
      </c>
    </row>
    <row r="164" spans="2:5">
      <c r="B164" t="s">
        <v>605</v>
      </c>
      <c r="C164">
        <v>540718</v>
      </c>
      <c r="D164" t="s">
        <v>339</v>
      </c>
      <c r="E164" t="s">
        <v>354</v>
      </c>
    </row>
    <row r="165" spans="2:5">
      <c r="B165" t="s">
        <v>606</v>
      </c>
      <c r="C165">
        <v>539017</v>
      </c>
      <c r="D165" t="s">
        <v>339</v>
      </c>
      <c r="E165" t="s">
        <v>397</v>
      </c>
    </row>
    <row r="166" spans="2:5">
      <c r="B166" t="s">
        <v>607</v>
      </c>
      <c r="C166">
        <v>532351</v>
      </c>
      <c r="D166" t="s">
        <v>608</v>
      </c>
      <c r="E166" t="s">
        <v>609</v>
      </c>
    </row>
    <row r="167" spans="2:5">
      <c r="B167" t="s">
        <v>610</v>
      </c>
      <c r="C167">
        <v>541303</v>
      </c>
      <c r="D167" t="s">
        <v>339</v>
      </c>
      <c r="E167" t="s">
        <v>354</v>
      </c>
    </row>
    <row r="168" spans="2:5">
      <c r="B168" t="s">
        <v>611</v>
      </c>
      <c r="C168">
        <v>524598</v>
      </c>
      <c r="D168" t="s">
        <v>612</v>
      </c>
      <c r="E168" t="s">
        <v>499</v>
      </c>
    </row>
    <row r="169" spans="2:5">
      <c r="B169" t="s">
        <v>613</v>
      </c>
      <c r="C169">
        <v>524598</v>
      </c>
      <c r="D169" t="s">
        <v>612</v>
      </c>
      <c r="E169" t="s">
        <v>499</v>
      </c>
    </row>
    <row r="170" spans="2:5">
      <c r="B170" t="s">
        <v>614</v>
      </c>
      <c r="C170">
        <v>500710</v>
      </c>
      <c r="D170" t="s">
        <v>615</v>
      </c>
      <c r="E170" t="s">
        <v>616</v>
      </c>
    </row>
    <row r="171" spans="2:5">
      <c r="B171" t="s">
        <v>617</v>
      </c>
      <c r="C171">
        <v>500710</v>
      </c>
      <c r="D171" t="s">
        <v>618</v>
      </c>
      <c r="E171" t="s">
        <v>616</v>
      </c>
    </row>
    <row r="172" spans="2:5">
      <c r="B172" t="s">
        <v>619</v>
      </c>
      <c r="C172">
        <v>535916</v>
      </c>
      <c r="D172" t="s">
        <v>339</v>
      </c>
      <c r="E172" t="s">
        <v>322</v>
      </c>
    </row>
    <row r="173" spans="2:5">
      <c r="B173" t="s">
        <v>620</v>
      </c>
      <c r="C173">
        <v>539115</v>
      </c>
      <c r="D173" t="s">
        <v>339</v>
      </c>
      <c r="E173" t="s">
        <v>342</v>
      </c>
    </row>
    <row r="174" spans="2:5">
      <c r="B174" t="s">
        <v>621</v>
      </c>
      <c r="C174">
        <v>531082</v>
      </c>
      <c r="D174" t="s">
        <v>622</v>
      </c>
      <c r="E174" t="s">
        <v>322</v>
      </c>
    </row>
    <row r="175" spans="2:5">
      <c r="B175" t="s">
        <v>623</v>
      </c>
      <c r="C175">
        <v>524075</v>
      </c>
      <c r="D175" t="s">
        <v>624</v>
      </c>
      <c r="E175" t="s">
        <v>377</v>
      </c>
    </row>
    <row r="176" spans="2:5">
      <c r="B176" t="s">
        <v>625</v>
      </c>
      <c r="C176">
        <v>531409</v>
      </c>
      <c r="D176" t="s">
        <v>339</v>
      </c>
      <c r="E176" t="s">
        <v>387</v>
      </c>
    </row>
    <row r="177" spans="2:5">
      <c r="B177" t="s">
        <v>626</v>
      </c>
      <c r="C177">
        <v>526707</v>
      </c>
      <c r="D177" t="s">
        <v>627</v>
      </c>
      <c r="E177" t="s">
        <v>361</v>
      </c>
    </row>
    <row r="178" spans="2:5">
      <c r="B178" t="s">
        <v>628</v>
      </c>
      <c r="C178">
        <v>532114</v>
      </c>
      <c r="D178" t="s">
        <v>339</v>
      </c>
      <c r="E178" t="s">
        <v>425</v>
      </c>
    </row>
    <row r="179" spans="2:5">
      <c r="B179" t="s">
        <v>629</v>
      </c>
      <c r="C179">
        <v>506235</v>
      </c>
      <c r="D179" t="s">
        <v>630</v>
      </c>
      <c r="E179" t="s">
        <v>377</v>
      </c>
    </row>
    <row r="180" spans="2:5">
      <c r="B180" t="s">
        <v>631</v>
      </c>
      <c r="C180">
        <v>533573</v>
      </c>
      <c r="D180" t="s">
        <v>632</v>
      </c>
      <c r="E180" t="s">
        <v>377</v>
      </c>
    </row>
    <row r="181" spans="2:5">
      <c r="B181" t="s">
        <v>633</v>
      </c>
      <c r="C181">
        <v>511463</v>
      </c>
      <c r="D181" t="s">
        <v>339</v>
      </c>
      <c r="E181" t="s">
        <v>328</v>
      </c>
    </row>
    <row r="182" spans="2:5">
      <c r="B182" t="s">
        <v>634</v>
      </c>
      <c r="C182">
        <v>530973</v>
      </c>
      <c r="D182" t="s">
        <v>339</v>
      </c>
      <c r="E182" t="s">
        <v>459</v>
      </c>
    </row>
    <row r="183" spans="2:5">
      <c r="B183" t="s">
        <v>635</v>
      </c>
      <c r="C183">
        <v>530973</v>
      </c>
      <c r="D183" t="s">
        <v>339</v>
      </c>
      <c r="E183" t="s">
        <v>459</v>
      </c>
    </row>
    <row r="184" spans="2:5">
      <c r="B184" t="s">
        <v>636</v>
      </c>
      <c r="C184">
        <v>517546</v>
      </c>
      <c r="D184" t="s">
        <v>339</v>
      </c>
      <c r="E184" t="s">
        <v>637</v>
      </c>
    </row>
    <row r="185" spans="2:5">
      <c r="B185" t="s">
        <v>638</v>
      </c>
      <c r="C185">
        <v>531156</v>
      </c>
      <c r="D185" t="s">
        <v>339</v>
      </c>
      <c r="E185" t="s">
        <v>356</v>
      </c>
    </row>
    <row r="186" spans="2:5">
      <c r="B186" t="s">
        <v>639</v>
      </c>
      <c r="C186">
        <v>531156</v>
      </c>
      <c r="D186" t="s">
        <v>339</v>
      </c>
      <c r="E186" t="s">
        <v>356</v>
      </c>
    </row>
    <row r="187" spans="2:5">
      <c r="B187" t="s">
        <v>640</v>
      </c>
      <c r="C187">
        <v>505216</v>
      </c>
      <c r="D187" t="s">
        <v>339</v>
      </c>
      <c r="E187" t="s">
        <v>356</v>
      </c>
    </row>
    <row r="188" spans="2:5">
      <c r="B188" t="s">
        <v>641</v>
      </c>
      <c r="C188">
        <v>505216</v>
      </c>
      <c r="D188" t="s">
        <v>339</v>
      </c>
      <c r="E188" t="s">
        <v>356</v>
      </c>
    </row>
    <row r="189" spans="2:5">
      <c r="B189" t="s">
        <v>642</v>
      </c>
      <c r="C189">
        <v>531147</v>
      </c>
      <c r="D189" t="s">
        <v>643</v>
      </c>
      <c r="E189" t="s">
        <v>644</v>
      </c>
    </row>
    <row r="190" spans="2:5">
      <c r="B190" t="s">
        <v>645</v>
      </c>
      <c r="C190">
        <v>530889</v>
      </c>
      <c r="D190" t="s">
        <v>339</v>
      </c>
      <c r="E190" t="s">
        <v>354</v>
      </c>
    </row>
    <row r="191" spans="2:5">
      <c r="B191" t="s">
        <v>646</v>
      </c>
      <c r="C191">
        <v>531581</v>
      </c>
      <c r="D191" t="s">
        <v>339</v>
      </c>
      <c r="E191" t="s">
        <v>453</v>
      </c>
    </row>
    <row r="192" spans="2:5">
      <c r="B192" t="s">
        <v>647</v>
      </c>
      <c r="C192">
        <v>530889</v>
      </c>
      <c r="D192" t="s">
        <v>339</v>
      </c>
      <c r="E192" t="s">
        <v>354</v>
      </c>
    </row>
    <row r="193" spans="2:5">
      <c r="B193" t="s">
        <v>648</v>
      </c>
      <c r="C193">
        <v>532166</v>
      </c>
      <c r="D193" t="s">
        <v>339</v>
      </c>
      <c r="E193" t="s">
        <v>356</v>
      </c>
    </row>
    <row r="194" spans="2:5">
      <c r="B194" t="s">
        <v>649</v>
      </c>
      <c r="C194">
        <v>533029</v>
      </c>
      <c r="D194" t="s">
        <v>650</v>
      </c>
      <c r="E194" t="s">
        <v>499</v>
      </c>
    </row>
    <row r="195" spans="2:5">
      <c r="B195" t="s">
        <v>651</v>
      </c>
      <c r="C195">
        <v>539523</v>
      </c>
      <c r="D195" t="s">
        <v>652</v>
      </c>
      <c r="E195" t="s">
        <v>377</v>
      </c>
    </row>
    <row r="196" spans="2:5">
      <c r="B196" t="s">
        <v>653</v>
      </c>
      <c r="C196">
        <v>506767</v>
      </c>
      <c r="D196" t="s">
        <v>654</v>
      </c>
      <c r="E196" t="s">
        <v>499</v>
      </c>
    </row>
    <row r="197" spans="2:5">
      <c r="B197" t="s">
        <v>655</v>
      </c>
      <c r="C197">
        <v>532480</v>
      </c>
      <c r="D197" t="s">
        <v>656</v>
      </c>
      <c r="E197" t="s">
        <v>657</v>
      </c>
    </row>
    <row r="198" spans="2:5">
      <c r="B198" t="s">
        <v>658</v>
      </c>
      <c r="C198">
        <v>532749</v>
      </c>
      <c r="D198" t="s">
        <v>659</v>
      </c>
      <c r="E198" t="s">
        <v>660</v>
      </c>
    </row>
    <row r="199" spans="2:5">
      <c r="B199" t="s">
        <v>661</v>
      </c>
      <c r="C199">
        <v>534064</v>
      </c>
      <c r="D199" t="s">
        <v>339</v>
      </c>
      <c r="E199" t="s">
        <v>662</v>
      </c>
    </row>
    <row r="200" spans="2:5">
      <c r="B200" t="s">
        <v>663</v>
      </c>
      <c r="C200">
        <v>532919</v>
      </c>
      <c r="D200" t="s">
        <v>339</v>
      </c>
      <c r="E200" t="s">
        <v>664</v>
      </c>
    </row>
    <row r="201" spans="2:5">
      <c r="B201" t="s">
        <v>665</v>
      </c>
      <c r="C201">
        <v>532875</v>
      </c>
      <c r="D201" t="s">
        <v>666</v>
      </c>
      <c r="E201" t="s">
        <v>325</v>
      </c>
    </row>
    <row r="202" spans="2:5">
      <c r="B202" t="s">
        <v>667</v>
      </c>
      <c r="C202">
        <v>532633</v>
      </c>
      <c r="D202" t="s">
        <v>668</v>
      </c>
      <c r="E202" t="s">
        <v>669</v>
      </c>
    </row>
    <row r="203" spans="2:5">
      <c r="B203" t="s">
        <v>670</v>
      </c>
      <c r="C203">
        <v>531400</v>
      </c>
      <c r="D203" t="s">
        <v>671</v>
      </c>
      <c r="E203" t="s">
        <v>322</v>
      </c>
    </row>
    <row r="204" spans="2:5">
      <c r="B204" t="s">
        <v>672</v>
      </c>
      <c r="C204">
        <v>506120</v>
      </c>
      <c r="D204" t="s">
        <v>339</v>
      </c>
      <c r="E204" t="s">
        <v>361</v>
      </c>
    </row>
    <row r="205" spans="2:5">
      <c r="B205" t="s">
        <v>673</v>
      </c>
      <c r="C205">
        <v>521070</v>
      </c>
      <c r="D205" t="s">
        <v>674</v>
      </c>
      <c r="E205" t="s">
        <v>354</v>
      </c>
    </row>
    <row r="206" spans="2:5">
      <c r="B206" t="s">
        <v>675</v>
      </c>
      <c r="C206">
        <v>532878</v>
      </c>
      <c r="D206" t="s">
        <v>676</v>
      </c>
      <c r="E206" t="s">
        <v>677</v>
      </c>
    </row>
    <row r="207" spans="2:5">
      <c r="B207" t="s">
        <v>678</v>
      </c>
      <c r="C207">
        <v>526397</v>
      </c>
      <c r="D207" t="s">
        <v>679</v>
      </c>
      <c r="E207" t="s">
        <v>680</v>
      </c>
    </row>
    <row r="208" spans="2:5">
      <c r="B208" t="s">
        <v>681</v>
      </c>
      <c r="C208">
        <v>526397</v>
      </c>
      <c r="D208" t="s">
        <v>679</v>
      </c>
      <c r="E208" t="s">
        <v>680</v>
      </c>
    </row>
    <row r="209" spans="2:5">
      <c r="B209" t="s">
        <v>682</v>
      </c>
      <c r="C209">
        <v>526519</v>
      </c>
      <c r="D209" t="s">
        <v>339</v>
      </c>
      <c r="E209" t="s">
        <v>425</v>
      </c>
    </row>
    <row r="210" spans="2:5">
      <c r="B210" t="s">
        <v>683</v>
      </c>
      <c r="C210">
        <v>530715</v>
      </c>
      <c r="D210" t="s">
        <v>684</v>
      </c>
      <c r="E210" t="s">
        <v>354</v>
      </c>
    </row>
    <row r="211" spans="2:5">
      <c r="B211" t="s">
        <v>685</v>
      </c>
      <c r="C211">
        <v>538423</v>
      </c>
      <c r="D211" t="s">
        <v>686</v>
      </c>
      <c r="E211" t="s">
        <v>322</v>
      </c>
    </row>
    <row r="212" spans="2:5">
      <c r="B212" t="s">
        <v>687</v>
      </c>
      <c r="C212">
        <v>539277</v>
      </c>
      <c r="D212" t="s">
        <v>339</v>
      </c>
      <c r="E212" t="s">
        <v>373</v>
      </c>
    </row>
    <row r="213" spans="2:5">
      <c r="B213" t="s">
        <v>688</v>
      </c>
      <c r="C213">
        <v>539277</v>
      </c>
      <c r="D213" t="s">
        <v>339</v>
      </c>
      <c r="E213" t="s">
        <v>373</v>
      </c>
    </row>
    <row r="214" spans="2:5">
      <c r="B214" t="s">
        <v>689</v>
      </c>
      <c r="C214">
        <v>524634</v>
      </c>
      <c r="D214" t="s">
        <v>339</v>
      </c>
      <c r="E214" t="s">
        <v>387</v>
      </c>
    </row>
    <row r="215" spans="2:5">
      <c r="B215" t="s">
        <v>690</v>
      </c>
      <c r="C215">
        <v>506597</v>
      </c>
      <c r="D215" t="s">
        <v>339</v>
      </c>
      <c r="E215" t="s">
        <v>499</v>
      </c>
    </row>
    <row r="216" spans="2:5">
      <c r="B216" t="s">
        <v>691</v>
      </c>
      <c r="C216">
        <v>512008</v>
      </c>
      <c r="D216" t="s">
        <v>339</v>
      </c>
      <c r="E216" t="s">
        <v>361</v>
      </c>
    </row>
    <row r="217" spans="2:5">
      <c r="B217" t="s">
        <v>692</v>
      </c>
      <c r="C217">
        <v>500008</v>
      </c>
      <c r="D217" t="s">
        <v>693</v>
      </c>
      <c r="E217" t="s">
        <v>694</v>
      </c>
    </row>
    <row r="218" spans="2:5">
      <c r="B218" t="s">
        <v>695</v>
      </c>
      <c r="C218">
        <v>521097</v>
      </c>
      <c r="D218" t="s">
        <v>339</v>
      </c>
      <c r="E218" t="s">
        <v>354</v>
      </c>
    </row>
    <row r="219" spans="2:5">
      <c r="B219" t="s">
        <v>696</v>
      </c>
      <c r="C219">
        <v>538465</v>
      </c>
      <c r="D219" t="s">
        <v>339</v>
      </c>
      <c r="E219" t="s">
        <v>356</v>
      </c>
    </row>
    <row r="220" spans="2:5">
      <c r="B220" t="s">
        <v>697</v>
      </c>
      <c r="C220">
        <v>531112</v>
      </c>
      <c r="D220" t="s">
        <v>339</v>
      </c>
      <c r="E220" t="s">
        <v>347</v>
      </c>
    </row>
    <row r="221" spans="2:5">
      <c r="B221" t="s">
        <v>698</v>
      </c>
      <c r="C221">
        <v>539196</v>
      </c>
      <c r="D221" t="s">
        <v>339</v>
      </c>
      <c r="E221" t="s">
        <v>637</v>
      </c>
    </row>
    <row r="222" spans="2:5">
      <c r="B222" t="s">
        <v>699</v>
      </c>
      <c r="C222">
        <v>500009</v>
      </c>
      <c r="D222" t="s">
        <v>339</v>
      </c>
      <c r="E222" t="s">
        <v>377</v>
      </c>
    </row>
    <row r="223" spans="2:5">
      <c r="B223" t="s">
        <v>700</v>
      </c>
      <c r="C223" t="s">
        <v>339</v>
      </c>
      <c r="D223" t="s">
        <v>701</v>
      </c>
      <c r="E223" t="s">
        <v>350</v>
      </c>
    </row>
    <row r="224" spans="2:5">
      <c r="B224" t="s">
        <v>702</v>
      </c>
      <c r="C224">
        <v>519471</v>
      </c>
      <c r="D224" t="s">
        <v>339</v>
      </c>
      <c r="E224" t="s">
        <v>588</v>
      </c>
    </row>
    <row r="225" spans="2:5">
      <c r="B225" t="s">
        <v>703</v>
      </c>
      <c r="C225">
        <v>542524</v>
      </c>
      <c r="D225" t="s">
        <v>704</v>
      </c>
      <c r="E225" t="s">
        <v>705</v>
      </c>
    </row>
    <row r="226" spans="2:5">
      <c r="B226" t="s">
        <v>706</v>
      </c>
      <c r="C226">
        <v>540902</v>
      </c>
      <c r="D226" t="s">
        <v>707</v>
      </c>
      <c r="E226" t="s">
        <v>708</v>
      </c>
    </row>
    <row r="227" spans="2:5">
      <c r="B227" t="s">
        <v>709</v>
      </c>
      <c r="C227">
        <v>540902</v>
      </c>
      <c r="D227" t="s">
        <v>707</v>
      </c>
      <c r="E227" t="s">
        <v>708</v>
      </c>
    </row>
    <row r="228" spans="2:5">
      <c r="B228" t="s">
        <v>710</v>
      </c>
      <c r="C228">
        <v>531978</v>
      </c>
      <c r="D228" t="s">
        <v>711</v>
      </c>
      <c r="E228" t="s">
        <v>354</v>
      </c>
    </row>
    <row r="229" spans="2:5">
      <c r="B229" t="s">
        <v>712</v>
      </c>
      <c r="C229">
        <v>539223</v>
      </c>
      <c r="D229" t="s">
        <v>339</v>
      </c>
      <c r="E229" t="s">
        <v>333</v>
      </c>
    </row>
    <row r="230" spans="2:5">
      <c r="B230" t="s">
        <v>713</v>
      </c>
      <c r="C230">
        <v>500425</v>
      </c>
      <c r="D230" t="s">
        <v>714</v>
      </c>
      <c r="E230" t="s">
        <v>352</v>
      </c>
    </row>
    <row r="231" spans="2:5">
      <c r="B231" t="s">
        <v>715</v>
      </c>
      <c r="C231">
        <v>530133</v>
      </c>
      <c r="D231" t="s">
        <v>339</v>
      </c>
      <c r="E231" t="s">
        <v>716</v>
      </c>
    </row>
    <row r="232" spans="2:5">
      <c r="B232" t="s">
        <v>717</v>
      </c>
      <c r="C232">
        <v>530133</v>
      </c>
      <c r="D232" t="s">
        <v>339</v>
      </c>
      <c r="E232" t="s">
        <v>716</v>
      </c>
    </row>
    <row r="233" spans="2:5">
      <c r="B233" t="s">
        <v>718</v>
      </c>
      <c r="C233">
        <v>532828</v>
      </c>
      <c r="D233" t="s">
        <v>719</v>
      </c>
      <c r="E233" t="s">
        <v>524</v>
      </c>
    </row>
    <row r="234" spans="2:5">
      <c r="B234" t="s">
        <v>720</v>
      </c>
      <c r="C234">
        <v>513117</v>
      </c>
      <c r="D234" t="s">
        <v>339</v>
      </c>
      <c r="E234" t="s">
        <v>694</v>
      </c>
    </row>
    <row r="235" spans="2:5">
      <c r="B235" t="s">
        <v>721</v>
      </c>
      <c r="C235">
        <v>541771</v>
      </c>
      <c r="D235" t="s">
        <v>339</v>
      </c>
      <c r="E235" t="s">
        <v>453</v>
      </c>
    </row>
    <row r="236" spans="2:5">
      <c r="B236" t="s">
        <v>722</v>
      </c>
      <c r="C236">
        <v>506248</v>
      </c>
      <c r="D236" t="s">
        <v>339</v>
      </c>
      <c r="E236" t="s">
        <v>387</v>
      </c>
    </row>
    <row r="237" spans="2:5">
      <c r="B237" t="s">
        <v>723</v>
      </c>
      <c r="C237">
        <v>531300</v>
      </c>
      <c r="D237" t="s">
        <v>339</v>
      </c>
      <c r="E237" t="s">
        <v>354</v>
      </c>
    </row>
    <row r="238" spans="2:5">
      <c r="B238" t="s">
        <v>724</v>
      </c>
      <c r="C238">
        <v>531557</v>
      </c>
      <c r="D238" t="s">
        <v>339</v>
      </c>
      <c r="E238" t="s">
        <v>356</v>
      </c>
    </row>
    <row r="239" spans="2:5">
      <c r="B239" t="s">
        <v>725</v>
      </c>
      <c r="C239">
        <v>500343</v>
      </c>
      <c r="D239" t="s">
        <v>726</v>
      </c>
      <c r="E239" t="s">
        <v>425</v>
      </c>
    </row>
    <row r="240" spans="2:5">
      <c r="B240" t="s">
        <v>727</v>
      </c>
      <c r="C240">
        <v>531681</v>
      </c>
      <c r="D240" t="s">
        <v>339</v>
      </c>
      <c r="E240" t="s">
        <v>459</v>
      </c>
    </row>
    <row r="241" spans="2:5">
      <c r="B241" t="s">
        <v>728</v>
      </c>
      <c r="C241">
        <v>536737</v>
      </c>
      <c r="D241" t="s">
        <v>339</v>
      </c>
      <c r="E241" t="s">
        <v>356</v>
      </c>
    </row>
    <row r="242" spans="2:5">
      <c r="B242" t="s">
        <v>729</v>
      </c>
      <c r="C242">
        <v>539265</v>
      </c>
      <c r="D242" t="s">
        <v>339</v>
      </c>
      <c r="E242" t="s">
        <v>356</v>
      </c>
    </row>
    <row r="243" spans="2:5">
      <c r="B243" t="s">
        <v>730</v>
      </c>
      <c r="C243">
        <v>526241</v>
      </c>
      <c r="D243" t="s">
        <v>339</v>
      </c>
      <c r="E243" t="s">
        <v>361</v>
      </c>
    </row>
    <row r="244" spans="2:5">
      <c r="B244" t="s">
        <v>731</v>
      </c>
      <c r="C244">
        <v>531991</v>
      </c>
      <c r="D244" t="s">
        <v>339</v>
      </c>
      <c r="E244" t="s">
        <v>354</v>
      </c>
    </row>
    <row r="245" spans="2:5">
      <c r="B245" t="s">
        <v>732</v>
      </c>
      <c r="C245">
        <v>507525</v>
      </c>
      <c r="D245" t="s">
        <v>339</v>
      </c>
      <c r="E245" t="s">
        <v>399</v>
      </c>
    </row>
    <row r="246" spans="2:5">
      <c r="B246" t="s">
        <v>733</v>
      </c>
      <c r="C246">
        <v>590006</v>
      </c>
      <c r="D246" t="s">
        <v>734</v>
      </c>
      <c r="E246" t="s">
        <v>377</v>
      </c>
    </row>
    <row r="247" spans="2:5">
      <c r="B247" t="s">
        <v>735</v>
      </c>
      <c r="C247">
        <v>538861</v>
      </c>
      <c r="D247" t="s">
        <v>339</v>
      </c>
      <c r="E247" t="s">
        <v>361</v>
      </c>
    </row>
    <row r="248" spans="2:5">
      <c r="B248" t="s">
        <v>736</v>
      </c>
      <c r="C248">
        <v>501630</v>
      </c>
      <c r="D248" t="s">
        <v>339</v>
      </c>
      <c r="E248" t="s">
        <v>737</v>
      </c>
    </row>
    <row r="249" spans="2:5">
      <c r="B249" t="s">
        <v>738</v>
      </c>
      <c r="C249">
        <v>515055</v>
      </c>
      <c r="D249" t="s">
        <v>739</v>
      </c>
      <c r="E249" t="s">
        <v>425</v>
      </c>
    </row>
    <row r="250" spans="2:5">
      <c r="B250" t="s">
        <v>740</v>
      </c>
      <c r="C250">
        <v>532418</v>
      </c>
      <c r="D250" t="s">
        <v>741</v>
      </c>
      <c r="E250" t="s">
        <v>657</v>
      </c>
    </row>
    <row r="251" spans="2:5">
      <c r="B251" t="s">
        <v>742</v>
      </c>
      <c r="C251">
        <v>532141</v>
      </c>
      <c r="D251" t="s">
        <v>743</v>
      </c>
      <c r="E251" t="s">
        <v>352</v>
      </c>
    </row>
    <row r="252" spans="2:5">
      <c r="B252" t="s">
        <v>744</v>
      </c>
      <c r="C252">
        <v>500012</v>
      </c>
      <c r="D252" t="s">
        <v>339</v>
      </c>
      <c r="E252" t="s">
        <v>387</v>
      </c>
    </row>
    <row r="253" spans="2:5">
      <c r="B253" t="s">
        <v>745</v>
      </c>
      <c r="C253">
        <v>526173</v>
      </c>
      <c r="D253" t="s">
        <v>339</v>
      </c>
      <c r="E253" t="s">
        <v>746</v>
      </c>
    </row>
    <row r="254" spans="2:5">
      <c r="B254" t="s">
        <v>747</v>
      </c>
      <c r="C254">
        <v>531252</v>
      </c>
      <c r="D254" t="s">
        <v>339</v>
      </c>
      <c r="E254" t="s">
        <v>356</v>
      </c>
    </row>
    <row r="255" spans="2:5">
      <c r="B255" t="s">
        <v>748</v>
      </c>
      <c r="C255">
        <v>530721</v>
      </c>
      <c r="D255" t="s">
        <v>749</v>
      </c>
      <c r="E255" t="s">
        <v>694</v>
      </c>
    </row>
    <row r="256" spans="2:5">
      <c r="B256" t="s">
        <v>750</v>
      </c>
      <c r="C256">
        <v>540694</v>
      </c>
      <c r="D256" t="s">
        <v>339</v>
      </c>
      <c r="E256" t="s">
        <v>528</v>
      </c>
    </row>
    <row r="257" spans="2:5">
      <c r="B257" t="s">
        <v>751</v>
      </c>
      <c r="C257">
        <v>540694</v>
      </c>
      <c r="D257" t="s">
        <v>339</v>
      </c>
      <c r="E257" t="s">
        <v>528</v>
      </c>
    </row>
    <row r="258" spans="2:5">
      <c r="B258" t="s">
        <v>752</v>
      </c>
      <c r="C258">
        <v>541006</v>
      </c>
      <c r="D258" t="s">
        <v>339</v>
      </c>
      <c r="E258" t="s">
        <v>354</v>
      </c>
    </row>
    <row r="259" spans="2:5">
      <c r="B259" t="s">
        <v>753</v>
      </c>
      <c r="C259" t="s">
        <v>339</v>
      </c>
      <c r="D259" t="s">
        <v>754</v>
      </c>
      <c r="E259" t="s">
        <v>350</v>
      </c>
    </row>
    <row r="260" spans="2:5">
      <c r="B260" t="s">
        <v>755</v>
      </c>
      <c r="C260">
        <v>519383</v>
      </c>
      <c r="D260" t="s">
        <v>756</v>
      </c>
      <c r="E260" t="s">
        <v>537</v>
      </c>
    </row>
    <row r="261" spans="2:5">
      <c r="B261" t="s">
        <v>757</v>
      </c>
      <c r="C261">
        <v>537785</v>
      </c>
      <c r="D261" t="s">
        <v>339</v>
      </c>
      <c r="E261" t="s">
        <v>373</v>
      </c>
    </row>
    <row r="262" spans="2:5">
      <c r="B262" t="s">
        <v>758</v>
      </c>
      <c r="C262">
        <v>531878</v>
      </c>
      <c r="D262" t="s">
        <v>339</v>
      </c>
      <c r="E262" t="s">
        <v>356</v>
      </c>
    </row>
    <row r="263" spans="2:5">
      <c r="B263" t="s">
        <v>759</v>
      </c>
      <c r="C263">
        <v>511153</v>
      </c>
      <c r="D263" t="s">
        <v>339</v>
      </c>
      <c r="E263" t="s">
        <v>760</v>
      </c>
    </row>
    <row r="264" spans="2:5">
      <c r="B264" t="s">
        <v>761</v>
      </c>
      <c r="C264">
        <v>518091</v>
      </c>
      <c r="D264" t="s">
        <v>762</v>
      </c>
      <c r="E264" t="s">
        <v>352</v>
      </c>
    </row>
    <row r="265" spans="2:5">
      <c r="B265" t="s">
        <v>763</v>
      </c>
      <c r="C265">
        <v>531223</v>
      </c>
      <c r="D265" t="s">
        <v>339</v>
      </c>
      <c r="E265" t="s">
        <v>354</v>
      </c>
    </row>
    <row r="266" spans="2:5">
      <c r="B266" t="s">
        <v>764</v>
      </c>
      <c r="C266">
        <v>531673</v>
      </c>
      <c r="D266" t="s">
        <v>339</v>
      </c>
      <c r="E266" t="s">
        <v>765</v>
      </c>
    </row>
    <row r="267" spans="2:5">
      <c r="B267" t="s">
        <v>766</v>
      </c>
      <c r="C267">
        <v>531673</v>
      </c>
      <c r="D267" t="s">
        <v>339</v>
      </c>
      <c r="E267" t="s">
        <v>765</v>
      </c>
    </row>
    <row r="268" spans="2:5">
      <c r="B268" t="s">
        <v>767</v>
      </c>
      <c r="C268">
        <v>532870</v>
      </c>
      <c r="D268" t="s">
        <v>768</v>
      </c>
      <c r="E268" t="s">
        <v>371</v>
      </c>
    </row>
    <row r="269" spans="2:5">
      <c r="B269" t="s">
        <v>769</v>
      </c>
      <c r="C269">
        <v>531519</v>
      </c>
      <c r="D269" t="s">
        <v>339</v>
      </c>
      <c r="E269" t="s">
        <v>322</v>
      </c>
    </row>
    <row r="270" spans="2:5">
      <c r="B270" t="s">
        <v>770</v>
      </c>
      <c r="C270">
        <v>542437</v>
      </c>
      <c r="D270" t="s">
        <v>771</v>
      </c>
      <c r="E270" t="s">
        <v>373</v>
      </c>
    </row>
    <row r="271" spans="2:5">
      <c r="B271" t="s">
        <v>772</v>
      </c>
      <c r="C271">
        <v>530799</v>
      </c>
      <c r="D271" t="s">
        <v>339</v>
      </c>
      <c r="E271" t="s">
        <v>356</v>
      </c>
    </row>
    <row r="272" spans="2:5">
      <c r="B272" t="s">
        <v>773</v>
      </c>
      <c r="C272">
        <v>531406</v>
      </c>
      <c r="D272" t="s">
        <v>339</v>
      </c>
      <c r="E272" t="s">
        <v>774</v>
      </c>
    </row>
    <row r="273" spans="2:5">
      <c r="B273" t="s">
        <v>775</v>
      </c>
      <c r="C273">
        <v>523007</v>
      </c>
      <c r="D273" t="s">
        <v>339</v>
      </c>
      <c r="E273" t="s">
        <v>425</v>
      </c>
    </row>
    <row r="274" spans="2:5">
      <c r="B274" t="s">
        <v>776</v>
      </c>
      <c r="C274">
        <v>507828</v>
      </c>
      <c r="D274" t="s">
        <v>777</v>
      </c>
      <c r="E274" t="s">
        <v>425</v>
      </c>
    </row>
    <row r="275" spans="2:5">
      <c r="B275" t="s">
        <v>778</v>
      </c>
      <c r="C275">
        <v>500013</v>
      </c>
      <c r="D275" t="s">
        <v>779</v>
      </c>
      <c r="E275" t="s">
        <v>425</v>
      </c>
    </row>
    <row r="276" spans="2:5">
      <c r="B276" t="s">
        <v>780</v>
      </c>
      <c r="C276">
        <v>512091</v>
      </c>
      <c r="D276" t="s">
        <v>339</v>
      </c>
      <c r="E276" t="s">
        <v>453</v>
      </c>
    </row>
    <row r="277" spans="2:5">
      <c r="B277" t="s">
        <v>781</v>
      </c>
      <c r="C277" t="s">
        <v>339</v>
      </c>
      <c r="D277" t="s">
        <v>782</v>
      </c>
      <c r="E277" t="s">
        <v>430</v>
      </c>
    </row>
    <row r="278" spans="2:5">
      <c r="B278" t="s">
        <v>783</v>
      </c>
      <c r="C278">
        <v>501270</v>
      </c>
      <c r="D278" t="s">
        <v>339</v>
      </c>
      <c r="E278" t="s">
        <v>425</v>
      </c>
    </row>
    <row r="279" spans="2:5">
      <c r="B279" t="s">
        <v>784</v>
      </c>
      <c r="C279">
        <v>539697</v>
      </c>
      <c r="D279" t="s">
        <v>339</v>
      </c>
      <c r="E279" t="s">
        <v>785</v>
      </c>
    </row>
    <row r="280" spans="2:5">
      <c r="B280" t="s">
        <v>786</v>
      </c>
      <c r="C280">
        <v>538833</v>
      </c>
      <c r="D280" t="s">
        <v>339</v>
      </c>
      <c r="E280" t="s">
        <v>737</v>
      </c>
    </row>
    <row r="281" spans="2:5">
      <c r="B281" t="s">
        <v>787</v>
      </c>
      <c r="C281">
        <v>506260</v>
      </c>
      <c r="D281" t="s">
        <v>339</v>
      </c>
      <c r="E281" t="s">
        <v>377</v>
      </c>
    </row>
    <row r="282" spans="2:5">
      <c r="B282" t="s">
        <v>788</v>
      </c>
      <c r="C282">
        <v>506087</v>
      </c>
      <c r="D282" t="s">
        <v>339</v>
      </c>
      <c r="E282" t="s">
        <v>662</v>
      </c>
    </row>
    <row r="283" spans="2:5">
      <c r="B283" t="s">
        <v>789</v>
      </c>
      <c r="C283">
        <v>530109</v>
      </c>
      <c r="D283" t="s">
        <v>339</v>
      </c>
      <c r="E283" t="s">
        <v>356</v>
      </c>
    </row>
    <row r="284" spans="2:5">
      <c r="B284" t="s">
        <v>790</v>
      </c>
      <c r="C284">
        <v>532259</v>
      </c>
      <c r="D284" t="s">
        <v>791</v>
      </c>
      <c r="E284" t="s">
        <v>637</v>
      </c>
    </row>
    <row r="285" spans="2:5">
      <c r="B285" t="s">
        <v>792</v>
      </c>
      <c r="C285">
        <v>523694</v>
      </c>
      <c r="D285" t="s">
        <v>793</v>
      </c>
      <c r="E285" t="s">
        <v>524</v>
      </c>
    </row>
    <row r="286" spans="2:5">
      <c r="B286" t="s">
        <v>794</v>
      </c>
      <c r="C286">
        <v>540692</v>
      </c>
      <c r="D286" t="s">
        <v>795</v>
      </c>
      <c r="E286" t="s">
        <v>399</v>
      </c>
    </row>
    <row r="287" spans="2:5">
      <c r="B287" t="s">
        <v>796</v>
      </c>
      <c r="C287">
        <v>541133</v>
      </c>
      <c r="D287" t="s">
        <v>339</v>
      </c>
      <c r="E287" t="s">
        <v>356</v>
      </c>
    </row>
    <row r="288" spans="2:5">
      <c r="B288" t="s">
        <v>797</v>
      </c>
      <c r="C288">
        <v>506166</v>
      </c>
      <c r="D288" t="s">
        <v>339</v>
      </c>
      <c r="E288" t="s">
        <v>419</v>
      </c>
    </row>
    <row r="289" spans="2:5">
      <c r="B289" t="s">
        <v>798</v>
      </c>
      <c r="C289">
        <v>506166</v>
      </c>
      <c r="D289" t="s">
        <v>339</v>
      </c>
      <c r="E289" t="s">
        <v>419</v>
      </c>
    </row>
    <row r="290" spans="2:5">
      <c r="B290" t="s">
        <v>799</v>
      </c>
      <c r="C290">
        <v>533758</v>
      </c>
      <c r="D290" t="s">
        <v>800</v>
      </c>
      <c r="E290" t="s">
        <v>662</v>
      </c>
    </row>
    <row r="291" spans="2:5">
      <c r="B291" t="s">
        <v>801</v>
      </c>
      <c r="C291">
        <v>517096</v>
      </c>
      <c r="D291" t="s">
        <v>339</v>
      </c>
      <c r="E291" t="s">
        <v>637</v>
      </c>
    </row>
    <row r="292" spans="2:5">
      <c r="B292" t="s">
        <v>802</v>
      </c>
      <c r="C292">
        <v>511064</v>
      </c>
      <c r="D292" t="s">
        <v>803</v>
      </c>
      <c r="E292" t="s">
        <v>705</v>
      </c>
    </row>
    <row r="293" spans="2:5">
      <c r="B293" t="s">
        <v>804</v>
      </c>
      <c r="C293">
        <v>523537</v>
      </c>
      <c r="D293" t="s">
        <v>339</v>
      </c>
      <c r="E293" t="s">
        <v>354</v>
      </c>
    </row>
    <row r="294" spans="2:5">
      <c r="B294" t="s">
        <v>805</v>
      </c>
      <c r="C294">
        <v>512437</v>
      </c>
      <c r="D294" t="s">
        <v>339</v>
      </c>
      <c r="E294" t="s">
        <v>322</v>
      </c>
    </row>
    <row r="295" spans="2:5">
      <c r="B295" t="s">
        <v>806</v>
      </c>
      <c r="C295">
        <v>512437</v>
      </c>
      <c r="D295" t="s">
        <v>339</v>
      </c>
      <c r="E295" t="s">
        <v>322</v>
      </c>
    </row>
    <row r="296" spans="2:5">
      <c r="B296" t="s">
        <v>807</v>
      </c>
      <c r="C296">
        <v>508869</v>
      </c>
      <c r="D296" t="s">
        <v>808</v>
      </c>
      <c r="E296" t="s">
        <v>809</v>
      </c>
    </row>
    <row r="297" spans="2:5">
      <c r="B297" t="s">
        <v>810</v>
      </c>
      <c r="C297">
        <v>540879</v>
      </c>
      <c r="D297" t="s">
        <v>811</v>
      </c>
      <c r="E297" t="s">
        <v>812</v>
      </c>
    </row>
    <row r="298" spans="2:5">
      <c r="B298" t="s">
        <v>813</v>
      </c>
      <c r="C298">
        <v>531761</v>
      </c>
      <c r="D298" t="s">
        <v>339</v>
      </c>
      <c r="E298" t="s">
        <v>459</v>
      </c>
    </row>
    <row r="299" spans="2:5">
      <c r="B299" t="s">
        <v>814</v>
      </c>
      <c r="C299" t="s">
        <v>339</v>
      </c>
      <c r="D299" t="s">
        <v>815</v>
      </c>
      <c r="E299" t="s">
        <v>430</v>
      </c>
    </row>
    <row r="300" spans="2:5">
      <c r="B300" t="s">
        <v>816</v>
      </c>
      <c r="C300">
        <v>538566</v>
      </c>
      <c r="D300" t="s">
        <v>339</v>
      </c>
      <c r="E300" t="s">
        <v>361</v>
      </c>
    </row>
    <row r="301" spans="2:5">
      <c r="B301" t="s">
        <v>817</v>
      </c>
      <c r="C301">
        <v>500877</v>
      </c>
      <c r="D301" t="s">
        <v>818</v>
      </c>
      <c r="E301" t="s">
        <v>819</v>
      </c>
    </row>
    <row r="302" spans="2:5">
      <c r="B302" t="s">
        <v>820</v>
      </c>
      <c r="C302">
        <v>539545</v>
      </c>
      <c r="D302" t="s">
        <v>339</v>
      </c>
      <c r="E302" t="s">
        <v>359</v>
      </c>
    </row>
    <row r="303" spans="2:5">
      <c r="B303" t="s">
        <v>821</v>
      </c>
      <c r="C303">
        <v>500014</v>
      </c>
      <c r="D303" t="s">
        <v>339</v>
      </c>
      <c r="E303" t="s">
        <v>356</v>
      </c>
    </row>
    <row r="304" spans="2:5">
      <c r="B304" t="s">
        <v>822</v>
      </c>
      <c r="C304">
        <v>532475</v>
      </c>
      <c r="D304" t="s">
        <v>823</v>
      </c>
      <c r="E304" t="s">
        <v>824</v>
      </c>
    </row>
    <row r="305" spans="2:5">
      <c r="B305" t="s">
        <v>825</v>
      </c>
      <c r="C305">
        <v>539469</v>
      </c>
      <c r="D305" t="s">
        <v>339</v>
      </c>
      <c r="E305" t="s">
        <v>361</v>
      </c>
    </row>
    <row r="306" spans="2:5">
      <c r="B306" t="s">
        <v>826</v>
      </c>
      <c r="C306">
        <v>531364</v>
      </c>
      <c r="D306" t="s">
        <v>339</v>
      </c>
      <c r="E306" t="s">
        <v>737</v>
      </c>
    </row>
    <row r="307" spans="2:5">
      <c r="B307" t="s">
        <v>827</v>
      </c>
      <c r="C307">
        <v>539403</v>
      </c>
      <c r="D307" t="s">
        <v>339</v>
      </c>
      <c r="E307" t="s">
        <v>828</v>
      </c>
    </row>
    <row r="308" spans="2:5">
      <c r="B308" t="s">
        <v>829</v>
      </c>
      <c r="C308">
        <v>540135</v>
      </c>
      <c r="D308" t="s">
        <v>339</v>
      </c>
      <c r="E308" t="s">
        <v>322</v>
      </c>
    </row>
    <row r="309" spans="2:5">
      <c r="B309" t="s">
        <v>830</v>
      </c>
      <c r="C309">
        <v>520121</v>
      </c>
      <c r="D309" t="s">
        <v>339</v>
      </c>
      <c r="E309" t="s">
        <v>459</v>
      </c>
    </row>
    <row r="310" spans="2:5">
      <c r="B310" t="s">
        <v>831</v>
      </c>
      <c r="C310">
        <v>530565</v>
      </c>
      <c r="D310" t="s">
        <v>339</v>
      </c>
      <c r="E310" t="s">
        <v>432</v>
      </c>
    </row>
    <row r="311" spans="2:5">
      <c r="B311" t="s">
        <v>832</v>
      </c>
      <c r="C311">
        <v>532994</v>
      </c>
      <c r="D311" t="s">
        <v>833</v>
      </c>
      <c r="E311" t="s">
        <v>834</v>
      </c>
    </row>
    <row r="312" spans="2:5">
      <c r="B312" t="s">
        <v>835</v>
      </c>
      <c r="C312">
        <v>532212</v>
      </c>
      <c r="D312" t="s">
        <v>836</v>
      </c>
      <c r="E312" t="s">
        <v>837</v>
      </c>
    </row>
    <row r="313" spans="2:5">
      <c r="B313" t="s">
        <v>838</v>
      </c>
      <c r="C313">
        <v>524640</v>
      </c>
      <c r="D313" t="s">
        <v>339</v>
      </c>
      <c r="E313" t="s">
        <v>387</v>
      </c>
    </row>
    <row r="314" spans="2:5">
      <c r="B314" t="s">
        <v>839</v>
      </c>
      <c r="C314">
        <v>532914</v>
      </c>
      <c r="D314" t="s">
        <v>840</v>
      </c>
      <c r="E314" t="s">
        <v>413</v>
      </c>
    </row>
    <row r="315" spans="2:5">
      <c r="B315" t="s">
        <v>841</v>
      </c>
      <c r="C315">
        <v>504370</v>
      </c>
      <c r="D315" t="s">
        <v>339</v>
      </c>
      <c r="E315" t="s">
        <v>760</v>
      </c>
    </row>
    <row r="316" spans="2:5">
      <c r="B316" t="s">
        <v>842</v>
      </c>
      <c r="C316">
        <v>526851</v>
      </c>
      <c r="D316" t="s">
        <v>339</v>
      </c>
      <c r="E316" t="s">
        <v>354</v>
      </c>
    </row>
    <row r="317" spans="2:5">
      <c r="B317" t="s">
        <v>843</v>
      </c>
      <c r="C317">
        <v>539151</v>
      </c>
      <c r="D317" t="s">
        <v>339</v>
      </c>
      <c r="E317" t="s">
        <v>644</v>
      </c>
    </row>
    <row r="318" spans="2:5">
      <c r="B318" t="s">
        <v>844</v>
      </c>
      <c r="C318">
        <v>539151</v>
      </c>
      <c r="D318" t="s">
        <v>339</v>
      </c>
      <c r="E318" t="s">
        <v>644</v>
      </c>
    </row>
    <row r="319" spans="2:5">
      <c r="B319" t="s">
        <v>845</v>
      </c>
      <c r="C319">
        <v>532935</v>
      </c>
      <c r="D319" t="s">
        <v>846</v>
      </c>
      <c r="E319" t="s">
        <v>847</v>
      </c>
    </row>
    <row r="320" spans="2:5">
      <c r="B320" t="s">
        <v>848</v>
      </c>
      <c r="C320">
        <v>511605</v>
      </c>
      <c r="D320" t="s">
        <v>339</v>
      </c>
      <c r="E320" t="s">
        <v>322</v>
      </c>
    </row>
    <row r="321" spans="2:5">
      <c r="B321" t="s">
        <v>849</v>
      </c>
      <c r="C321">
        <v>531381</v>
      </c>
      <c r="D321" t="s">
        <v>850</v>
      </c>
      <c r="E321" t="s">
        <v>425</v>
      </c>
    </row>
    <row r="322" spans="2:5">
      <c r="B322" t="s">
        <v>851</v>
      </c>
      <c r="C322">
        <v>541401</v>
      </c>
      <c r="D322" t="s">
        <v>339</v>
      </c>
      <c r="E322" t="s">
        <v>444</v>
      </c>
    </row>
    <row r="323" spans="2:5">
      <c r="B323" t="s">
        <v>852</v>
      </c>
      <c r="C323">
        <v>506194</v>
      </c>
      <c r="D323" t="s">
        <v>853</v>
      </c>
      <c r="E323" t="s">
        <v>425</v>
      </c>
    </row>
    <row r="324" spans="2:5">
      <c r="B324" t="s">
        <v>854</v>
      </c>
      <c r="C324">
        <v>526125</v>
      </c>
      <c r="D324" t="s">
        <v>339</v>
      </c>
      <c r="E324" t="s">
        <v>361</v>
      </c>
    </row>
    <row r="325" spans="2:5">
      <c r="B325" t="s">
        <v>855</v>
      </c>
      <c r="C325">
        <v>531017</v>
      </c>
      <c r="D325" t="s">
        <v>339</v>
      </c>
      <c r="E325" t="s">
        <v>760</v>
      </c>
    </row>
    <row r="326" spans="2:5">
      <c r="B326" t="s">
        <v>856</v>
      </c>
      <c r="C326">
        <v>531677</v>
      </c>
      <c r="D326" t="s">
        <v>339</v>
      </c>
      <c r="E326" t="s">
        <v>325</v>
      </c>
    </row>
    <row r="327" spans="2:5">
      <c r="B327" t="s">
        <v>857</v>
      </c>
      <c r="C327">
        <v>531179</v>
      </c>
      <c r="D327" t="s">
        <v>858</v>
      </c>
      <c r="E327" t="s">
        <v>356</v>
      </c>
    </row>
    <row r="328" spans="2:5">
      <c r="B328" t="s">
        <v>859</v>
      </c>
      <c r="C328">
        <v>538556</v>
      </c>
      <c r="D328" t="s">
        <v>860</v>
      </c>
      <c r="E328" t="s">
        <v>359</v>
      </c>
    </row>
    <row r="329" spans="2:5">
      <c r="B329" t="s">
        <v>861</v>
      </c>
      <c r="C329">
        <v>532397</v>
      </c>
      <c r="D329" t="s">
        <v>339</v>
      </c>
      <c r="E329" t="s">
        <v>333</v>
      </c>
    </row>
    <row r="330" spans="2:5">
      <c r="B330" t="s">
        <v>862</v>
      </c>
      <c r="C330">
        <v>531467</v>
      </c>
      <c r="D330" t="s">
        <v>339</v>
      </c>
      <c r="E330" t="s">
        <v>863</v>
      </c>
    </row>
    <row r="331" spans="2:5">
      <c r="B331" t="s">
        <v>864</v>
      </c>
      <c r="C331">
        <v>537069</v>
      </c>
      <c r="D331" t="s">
        <v>339</v>
      </c>
      <c r="E331" t="s">
        <v>356</v>
      </c>
    </row>
    <row r="332" spans="2:5">
      <c r="B332" t="s">
        <v>865</v>
      </c>
      <c r="C332">
        <v>513729</v>
      </c>
      <c r="D332" t="s">
        <v>866</v>
      </c>
      <c r="E332" t="s">
        <v>867</v>
      </c>
    </row>
    <row r="333" spans="2:5">
      <c r="B333" t="s">
        <v>868</v>
      </c>
      <c r="C333">
        <v>531560</v>
      </c>
      <c r="D333" t="s">
        <v>339</v>
      </c>
      <c r="E333" t="s">
        <v>760</v>
      </c>
    </row>
    <row r="334" spans="2:5">
      <c r="B334" t="s">
        <v>869</v>
      </c>
      <c r="C334">
        <v>531560</v>
      </c>
      <c r="D334" t="s">
        <v>339</v>
      </c>
      <c r="E334" t="s">
        <v>760</v>
      </c>
    </row>
    <row r="335" spans="2:5">
      <c r="B335" t="s">
        <v>870</v>
      </c>
      <c r="C335">
        <v>516064</v>
      </c>
      <c r="D335" t="s">
        <v>871</v>
      </c>
      <c r="E335" t="s">
        <v>459</v>
      </c>
    </row>
    <row r="336" spans="2:5">
      <c r="B336" t="s">
        <v>872</v>
      </c>
      <c r="C336">
        <v>533068</v>
      </c>
      <c r="D336" t="s">
        <v>873</v>
      </c>
      <c r="E336" t="s">
        <v>453</v>
      </c>
    </row>
    <row r="337" spans="2:5">
      <c r="B337" t="s">
        <v>874</v>
      </c>
      <c r="C337">
        <v>506074</v>
      </c>
      <c r="D337" t="s">
        <v>875</v>
      </c>
      <c r="E337" t="s">
        <v>660</v>
      </c>
    </row>
    <row r="338" spans="2:5">
      <c r="B338" t="s">
        <v>876</v>
      </c>
      <c r="C338">
        <v>533163</v>
      </c>
      <c r="D338" t="s">
        <v>877</v>
      </c>
      <c r="E338" t="s">
        <v>737</v>
      </c>
    </row>
    <row r="339" spans="2:5">
      <c r="B339" t="s">
        <v>878</v>
      </c>
      <c r="C339" t="s">
        <v>339</v>
      </c>
      <c r="D339" t="s">
        <v>879</v>
      </c>
      <c r="E339" t="s">
        <v>350</v>
      </c>
    </row>
    <row r="340" spans="2:5">
      <c r="B340" t="s">
        <v>880</v>
      </c>
      <c r="C340">
        <v>517481</v>
      </c>
      <c r="D340" t="s">
        <v>339</v>
      </c>
      <c r="E340" t="s">
        <v>881</v>
      </c>
    </row>
    <row r="341" spans="2:5">
      <c r="B341" t="s">
        <v>882</v>
      </c>
      <c r="C341">
        <v>531297</v>
      </c>
      <c r="D341" t="s">
        <v>339</v>
      </c>
      <c r="E341" t="s">
        <v>423</v>
      </c>
    </row>
    <row r="342" spans="2:5">
      <c r="B342" t="s">
        <v>883</v>
      </c>
      <c r="C342">
        <v>542670</v>
      </c>
      <c r="D342" t="s">
        <v>884</v>
      </c>
      <c r="E342" t="s">
        <v>885</v>
      </c>
    </row>
    <row r="343" spans="2:5">
      <c r="B343" t="s">
        <v>886</v>
      </c>
      <c r="C343">
        <v>540616</v>
      </c>
      <c r="D343" t="s">
        <v>887</v>
      </c>
      <c r="E343" t="s">
        <v>809</v>
      </c>
    </row>
    <row r="344" spans="2:5">
      <c r="B344" t="s">
        <v>888</v>
      </c>
      <c r="C344">
        <v>522134</v>
      </c>
      <c r="D344" t="s">
        <v>339</v>
      </c>
      <c r="E344" t="s">
        <v>347</v>
      </c>
    </row>
    <row r="345" spans="2:5">
      <c r="B345" t="s">
        <v>889</v>
      </c>
      <c r="C345">
        <v>500016</v>
      </c>
      <c r="D345" t="s">
        <v>339</v>
      </c>
      <c r="E345" t="s">
        <v>540</v>
      </c>
    </row>
    <row r="346" spans="2:5">
      <c r="B346" t="s">
        <v>890</v>
      </c>
      <c r="C346" t="s">
        <v>339</v>
      </c>
      <c r="D346" t="s">
        <v>891</v>
      </c>
      <c r="E346" t="s">
        <v>350</v>
      </c>
    </row>
    <row r="347" spans="2:5">
      <c r="B347" t="s">
        <v>892</v>
      </c>
      <c r="C347" t="s">
        <v>339</v>
      </c>
      <c r="D347" t="s">
        <v>891</v>
      </c>
      <c r="E347" t="s">
        <v>350</v>
      </c>
    </row>
    <row r="348" spans="2:5">
      <c r="B348" t="s">
        <v>893</v>
      </c>
      <c r="C348">
        <v>542484</v>
      </c>
      <c r="D348" t="s">
        <v>894</v>
      </c>
      <c r="E348" t="s">
        <v>895</v>
      </c>
    </row>
    <row r="349" spans="2:5">
      <c r="B349" t="s">
        <v>896</v>
      </c>
      <c r="C349">
        <v>500101</v>
      </c>
      <c r="D349" t="s">
        <v>897</v>
      </c>
      <c r="E349" t="s">
        <v>354</v>
      </c>
    </row>
    <row r="350" spans="2:5">
      <c r="B350" t="s">
        <v>898</v>
      </c>
      <c r="C350">
        <v>539301</v>
      </c>
      <c r="D350" t="s">
        <v>899</v>
      </c>
      <c r="E350" t="s">
        <v>425</v>
      </c>
    </row>
    <row r="351" spans="2:5">
      <c r="B351" t="s">
        <v>900</v>
      </c>
      <c r="C351">
        <v>538716</v>
      </c>
      <c r="D351" t="s">
        <v>339</v>
      </c>
      <c r="E351" t="s">
        <v>322</v>
      </c>
    </row>
    <row r="352" spans="2:5">
      <c r="B352" t="s">
        <v>901</v>
      </c>
      <c r="C352">
        <v>530245</v>
      </c>
      <c r="D352" t="s">
        <v>339</v>
      </c>
      <c r="E352" t="s">
        <v>356</v>
      </c>
    </row>
    <row r="353" spans="2:5">
      <c r="B353" t="s">
        <v>902</v>
      </c>
      <c r="C353">
        <v>542176</v>
      </c>
      <c r="D353" t="s">
        <v>903</v>
      </c>
      <c r="E353" t="s">
        <v>322</v>
      </c>
    </row>
    <row r="354" spans="2:5">
      <c r="B354" t="s">
        <v>904</v>
      </c>
      <c r="C354">
        <v>515030</v>
      </c>
      <c r="D354" t="s">
        <v>905</v>
      </c>
      <c r="E354" t="s">
        <v>694</v>
      </c>
    </row>
    <row r="355" spans="2:5">
      <c r="B355" t="s">
        <v>906</v>
      </c>
      <c r="C355">
        <v>514482</v>
      </c>
      <c r="D355" t="s">
        <v>339</v>
      </c>
      <c r="E355" t="s">
        <v>354</v>
      </c>
    </row>
    <row r="356" spans="2:5">
      <c r="B356" t="s">
        <v>907</v>
      </c>
      <c r="C356">
        <v>532853</v>
      </c>
      <c r="D356" t="s">
        <v>908</v>
      </c>
      <c r="E356" t="s">
        <v>499</v>
      </c>
    </row>
    <row r="357" spans="2:5">
      <c r="B357" t="s">
        <v>909</v>
      </c>
      <c r="C357">
        <v>535467</v>
      </c>
      <c r="D357" t="s">
        <v>910</v>
      </c>
      <c r="E357" t="s">
        <v>453</v>
      </c>
    </row>
    <row r="358" spans="2:5">
      <c r="B358" t="s">
        <v>911</v>
      </c>
      <c r="C358">
        <v>527001</v>
      </c>
      <c r="D358" t="s">
        <v>912</v>
      </c>
      <c r="E358" t="s">
        <v>319</v>
      </c>
    </row>
    <row r="359" spans="2:5">
      <c r="B359" t="s">
        <v>913</v>
      </c>
      <c r="C359">
        <v>542579</v>
      </c>
      <c r="D359" t="s">
        <v>914</v>
      </c>
      <c r="E359" t="s">
        <v>895</v>
      </c>
    </row>
    <row r="360" spans="2:5">
      <c r="B360" t="s">
        <v>915</v>
      </c>
      <c r="C360">
        <v>540024</v>
      </c>
      <c r="D360" t="s">
        <v>339</v>
      </c>
      <c r="E360" t="s">
        <v>322</v>
      </c>
    </row>
    <row r="361" spans="2:5">
      <c r="B361" t="s">
        <v>916</v>
      </c>
      <c r="C361">
        <v>519174</v>
      </c>
      <c r="D361" t="s">
        <v>339</v>
      </c>
      <c r="E361" t="s">
        <v>588</v>
      </c>
    </row>
    <row r="362" spans="2:5">
      <c r="B362" t="s">
        <v>917</v>
      </c>
      <c r="C362">
        <v>523716</v>
      </c>
      <c r="D362" t="s">
        <v>918</v>
      </c>
      <c r="E362" t="s">
        <v>425</v>
      </c>
    </row>
    <row r="363" spans="2:5">
      <c r="B363" t="s">
        <v>919</v>
      </c>
      <c r="C363">
        <v>513401</v>
      </c>
      <c r="D363" t="s">
        <v>339</v>
      </c>
      <c r="E363" t="s">
        <v>371</v>
      </c>
    </row>
    <row r="364" spans="2:5">
      <c r="B364" t="s">
        <v>920</v>
      </c>
      <c r="C364">
        <v>590122</v>
      </c>
      <c r="D364" t="s">
        <v>921</v>
      </c>
      <c r="E364" t="s">
        <v>356</v>
      </c>
    </row>
    <row r="365" spans="2:5">
      <c r="B365" t="s">
        <v>922</v>
      </c>
      <c r="C365">
        <v>514286</v>
      </c>
      <c r="D365" t="s">
        <v>923</v>
      </c>
      <c r="E365" t="s">
        <v>354</v>
      </c>
    </row>
    <row r="366" spans="2:5">
      <c r="B366" t="s">
        <v>924</v>
      </c>
      <c r="C366">
        <v>512247</v>
      </c>
      <c r="D366" t="s">
        <v>339</v>
      </c>
      <c r="E366" t="s">
        <v>322</v>
      </c>
    </row>
    <row r="367" spans="2:5">
      <c r="B367" t="s">
        <v>925</v>
      </c>
      <c r="C367">
        <v>526847</v>
      </c>
      <c r="D367" t="s">
        <v>339</v>
      </c>
      <c r="E367" t="s">
        <v>371</v>
      </c>
    </row>
    <row r="368" spans="2:5">
      <c r="B368" t="s">
        <v>926</v>
      </c>
      <c r="C368">
        <v>530429</v>
      </c>
      <c r="D368" t="s">
        <v>339</v>
      </c>
      <c r="E368" t="s">
        <v>459</v>
      </c>
    </row>
    <row r="369" spans="2:5">
      <c r="B369" t="s">
        <v>927</v>
      </c>
      <c r="C369">
        <v>541702</v>
      </c>
      <c r="D369" t="s">
        <v>339</v>
      </c>
      <c r="E369" t="s">
        <v>361</v>
      </c>
    </row>
    <row r="370" spans="2:5">
      <c r="B370" t="s">
        <v>928</v>
      </c>
      <c r="C370">
        <v>507872</v>
      </c>
      <c r="D370" t="s">
        <v>339</v>
      </c>
      <c r="E370" t="s">
        <v>354</v>
      </c>
    </row>
    <row r="371" spans="2:5">
      <c r="B371" t="s">
        <v>929</v>
      </c>
      <c r="C371">
        <v>524594</v>
      </c>
      <c r="D371" t="s">
        <v>339</v>
      </c>
      <c r="E371" t="s">
        <v>387</v>
      </c>
    </row>
    <row r="372" spans="2:5">
      <c r="B372" t="s">
        <v>930</v>
      </c>
      <c r="C372">
        <v>500477</v>
      </c>
      <c r="D372" t="s">
        <v>931</v>
      </c>
      <c r="E372" t="s">
        <v>417</v>
      </c>
    </row>
    <row r="373" spans="2:5">
      <c r="B373" t="s">
        <v>932</v>
      </c>
      <c r="C373">
        <v>533271</v>
      </c>
      <c r="D373" t="s">
        <v>933</v>
      </c>
      <c r="E373" t="s">
        <v>934</v>
      </c>
    </row>
    <row r="374" spans="2:5">
      <c r="B374" t="s">
        <v>935</v>
      </c>
      <c r="C374">
        <v>540923</v>
      </c>
      <c r="D374" t="s">
        <v>339</v>
      </c>
      <c r="E374" t="s">
        <v>737</v>
      </c>
    </row>
    <row r="375" spans="2:5">
      <c r="B375" t="s">
        <v>936</v>
      </c>
      <c r="C375">
        <v>526983</v>
      </c>
      <c r="D375" t="s">
        <v>339</v>
      </c>
      <c r="E375" t="s">
        <v>537</v>
      </c>
    </row>
    <row r="376" spans="2:5">
      <c r="B376" t="s">
        <v>937</v>
      </c>
      <c r="C376">
        <v>526187</v>
      </c>
      <c r="D376" t="s">
        <v>339</v>
      </c>
      <c r="E376" t="s">
        <v>528</v>
      </c>
    </row>
    <row r="377" spans="2:5">
      <c r="B377" t="s">
        <v>938</v>
      </c>
      <c r="C377">
        <v>531568</v>
      </c>
      <c r="D377" t="s">
        <v>339</v>
      </c>
      <c r="E377" t="s">
        <v>333</v>
      </c>
    </row>
    <row r="378" spans="2:5">
      <c r="B378" t="s">
        <v>939</v>
      </c>
      <c r="C378">
        <v>502015</v>
      </c>
      <c r="D378" t="s">
        <v>339</v>
      </c>
      <c r="E378" t="s">
        <v>319</v>
      </c>
    </row>
    <row r="379" spans="2:5">
      <c r="B379" t="s">
        <v>940</v>
      </c>
      <c r="C379">
        <v>538777</v>
      </c>
      <c r="D379" t="s">
        <v>339</v>
      </c>
      <c r="E379" t="s">
        <v>356</v>
      </c>
    </row>
    <row r="380" spans="2:5">
      <c r="B380" t="s">
        <v>941</v>
      </c>
      <c r="C380">
        <v>530899</v>
      </c>
      <c r="D380" t="s">
        <v>339</v>
      </c>
      <c r="E380" t="s">
        <v>354</v>
      </c>
    </row>
    <row r="381" spans="2:5">
      <c r="B381" t="s">
        <v>942</v>
      </c>
      <c r="C381">
        <v>531392</v>
      </c>
      <c r="D381" t="s">
        <v>339</v>
      </c>
      <c r="E381" t="s">
        <v>537</v>
      </c>
    </row>
    <row r="382" spans="2:5">
      <c r="B382" t="s">
        <v>943</v>
      </c>
      <c r="C382">
        <v>532888</v>
      </c>
      <c r="D382" t="s">
        <v>944</v>
      </c>
      <c r="E382" t="s">
        <v>616</v>
      </c>
    </row>
    <row r="383" spans="2:5">
      <c r="B383" t="s">
        <v>945</v>
      </c>
      <c r="C383">
        <v>532888</v>
      </c>
      <c r="D383" t="s">
        <v>944</v>
      </c>
      <c r="E383" t="s">
        <v>616</v>
      </c>
    </row>
    <row r="384" spans="2:5">
      <c r="B384" t="s">
        <v>946</v>
      </c>
      <c r="C384">
        <v>533227</v>
      </c>
      <c r="D384" t="s">
        <v>947</v>
      </c>
      <c r="E384" t="s">
        <v>540</v>
      </c>
    </row>
    <row r="385" spans="2:5">
      <c r="B385" t="s">
        <v>948</v>
      </c>
      <c r="C385">
        <v>500023</v>
      </c>
      <c r="D385" t="s">
        <v>949</v>
      </c>
      <c r="E385" t="s">
        <v>540</v>
      </c>
    </row>
    <row r="386" spans="2:5">
      <c r="B386" t="s">
        <v>950</v>
      </c>
      <c r="C386">
        <v>533221</v>
      </c>
      <c r="D386" t="s">
        <v>951</v>
      </c>
      <c r="E386" t="s">
        <v>540</v>
      </c>
    </row>
    <row r="387" spans="2:5">
      <c r="B387" t="s">
        <v>952</v>
      </c>
      <c r="C387">
        <v>530355</v>
      </c>
      <c r="D387" t="s">
        <v>339</v>
      </c>
      <c r="E387" t="s">
        <v>680</v>
      </c>
    </row>
    <row r="388" spans="2:5">
      <c r="B388" t="s">
        <v>10089</v>
      </c>
      <c r="C388">
        <v>500820</v>
      </c>
      <c r="D388" t="s">
        <v>953</v>
      </c>
      <c r="E388" t="s">
        <v>616</v>
      </c>
    </row>
    <row r="389" spans="2:5">
      <c r="B389" t="s">
        <v>954</v>
      </c>
      <c r="C389">
        <v>524434</v>
      </c>
      <c r="D389" t="s">
        <v>339</v>
      </c>
      <c r="E389" t="s">
        <v>387</v>
      </c>
    </row>
    <row r="390" spans="2:5">
      <c r="B390" t="s">
        <v>955</v>
      </c>
      <c r="C390">
        <v>531847</v>
      </c>
      <c r="D390" t="s">
        <v>339</v>
      </c>
      <c r="E390" t="s">
        <v>453</v>
      </c>
    </row>
    <row r="391" spans="2:5">
      <c r="B391" t="s">
        <v>956</v>
      </c>
      <c r="C391">
        <v>519532</v>
      </c>
      <c r="D391" t="s">
        <v>339</v>
      </c>
      <c r="E391" t="s">
        <v>361</v>
      </c>
    </row>
    <row r="392" spans="2:5">
      <c r="B392" t="s">
        <v>957</v>
      </c>
      <c r="C392">
        <v>506159</v>
      </c>
      <c r="D392" t="s">
        <v>958</v>
      </c>
      <c r="E392" t="s">
        <v>660</v>
      </c>
    </row>
    <row r="393" spans="2:5">
      <c r="B393" t="s">
        <v>959</v>
      </c>
      <c r="C393">
        <v>530723</v>
      </c>
      <c r="D393" t="s">
        <v>339</v>
      </c>
      <c r="E393" t="s">
        <v>322</v>
      </c>
    </row>
    <row r="394" spans="2:5">
      <c r="B394" t="s">
        <v>960</v>
      </c>
      <c r="C394" t="s">
        <v>339</v>
      </c>
      <c r="D394" t="s">
        <v>961</v>
      </c>
      <c r="E394" t="s">
        <v>350</v>
      </c>
    </row>
    <row r="395" spans="2:5">
      <c r="B395" t="s">
        <v>962</v>
      </c>
      <c r="C395">
        <v>526433</v>
      </c>
      <c r="D395" t="s">
        <v>339</v>
      </c>
      <c r="E395" t="s">
        <v>325</v>
      </c>
    </row>
    <row r="396" spans="2:5">
      <c r="B396" t="s">
        <v>963</v>
      </c>
      <c r="C396" t="s">
        <v>339</v>
      </c>
      <c r="D396" t="s">
        <v>964</v>
      </c>
      <c r="E396" t="s">
        <v>430</v>
      </c>
    </row>
    <row r="397" spans="2:5">
      <c r="B397" t="s">
        <v>965</v>
      </c>
      <c r="C397">
        <v>540788</v>
      </c>
      <c r="D397" t="s">
        <v>339</v>
      </c>
      <c r="E397" t="s">
        <v>528</v>
      </c>
    </row>
    <row r="398" spans="2:5">
      <c r="B398" t="s">
        <v>966</v>
      </c>
      <c r="C398">
        <v>500024</v>
      </c>
      <c r="D398" t="s">
        <v>967</v>
      </c>
      <c r="E398" t="s">
        <v>746</v>
      </c>
    </row>
    <row r="399" spans="2:5">
      <c r="B399" t="s">
        <v>968</v>
      </c>
      <c r="C399">
        <v>500024</v>
      </c>
      <c r="D399" t="s">
        <v>967</v>
      </c>
      <c r="E399" t="s">
        <v>746</v>
      </c>
    </row>
    <row r="400" spans="2:5">
      <c r="B400" t="s">
        <v>969</v>
      </c>
      <c r="C400">
        <v>507526</v>
      </c>
      <c r="D400" t="s">
        <v>339</v>
      </c>
      <c r="E400" t="s">
        <v>970</v>
      </c>
    </row>
    <row r="401" spans="2:5">
      <c r="B401" t="s">
        <v>971</v>
      </c>
      <c r="C401">
        <v>533138</v>
      </c>
      <c r="D401" t="s">
        <v>972</v>
      </c>
      <c r="E401" t="s">
        <v>483</v>
      </c>
    </row>
    <row r="402" spans="2:5">
      <c r="B402" t="s">
        <v>973</v>
      </c>
      <c r="C402">
        <v>540975</v>
      </c>
      <c r="D402" t="s">
        <v>974</v>
      </c>
      <c r="E402" t="s">
        <v>528</v>
      </c>
    </row>
    <row r="403" spans="2:5">
      <c r="B403" t="s">
        <v>975</v>
      </c>
      <c r="C403">
        <v>532493</v>
      </c>
      <c r="D403" t="s">
        <v>976</v>
      </c>
      <c r="E403" t="s">
        <v>812</v>
      </c>
    </row>
    <row r="404" spans="2:5">
      <c r="B404" t="s">
        <v>977</v>
      </c>
      <c r="C404">
        <v>532830</v>
      </c>
      <c r="D404" t="s">
        <v>978</v>
      </c>
      <c r="E404" t="s">
        <v>459</v>
      </c>
    </row>
    <row r="405" spans="2:5">
      <c r="B405" t="s">
        <v>979</v>
      </c>
      <c r="C405">
        <v>506820</v>
      </c>
      <c r="D405" t="s">
        <v>980</v>
      </c>
      <c r="E405" t="s">
        <v>377</v>
      </c>
    </row>
    <row r="406" spans="2:5">
      <c r="B406" t="s">
        <v>981</v>
      </c>
      <c r="C406">
        <v>506820</v>
      </c>
      <c r="D406" t="s">
        <v>980</v>
      </c>
      <c r="E406" t="s">
        <v>377</v>
      </c>
    </row>
    <row r="407" spans="2:5">
      <c r="B407" t="s">
        <v>982</v>
      </c>
      <c r="C407">
        <v>540824</v>
      </c>
      <c r="D407" t="s">
        <v>983</v>
      </c>
      <c r="E407" t="s">
        <v>333</v>
      </c>
    </row>
    <row r="408" spans="2:5">
      <c r="B408" t="s">
        <v>984</v>
      </c>
      <c r="C408">
        <v>512433</v>
      </c>
      <c r="D408" t="s">
        <v>339</v>
      </c>
      <c r="E408" t="s">
        <v>361</v>
      </c>
    </row>
    <row r="409" spans="2:5">
      <c r="B409" t="s">
        <v>985</v>
      </c>
      <c r="C409">
        <v>511144</v>
      </c>
      <c r="D409" t="s">
        <v>339</v>
      </c>
      <c r="E409" t="s">
        <v>325</v>
      </c>
    </row>
    <row r="410" spans="2:5">
      <c r="B410" t="s">
        <v>986</v>
      </c>
      <c r="C410">
        <v>530187</v>
      </c>
      <c r="D410" t="s">
        <v>339</v>
      </c>
      <c r="E410" t="s">
        <v>356</v>
      </c>
    </row>
    <row r="411" spans="2:5">
      <c r="B411" t="s">
        <v>987</v>
      </c>
      <c r="C411">
        <v>539099</v>
      </c>
      <c r="D411" t="s">
        <v>339</v>
      </c>
      <c r="E411" t="s">
        <v>425</v>
      </c>
    </row>
    <row r="412" spans="2:5">
      <c r="B412" t="s">
        <v>988</v>
      </c>
      <c r="C412">
        <v>517429</v>
      </c>
      <c r="D412" t="s">
        <v>989</v>
      </c>
      <c r="E412" t="s">
        <v>432</v>
      </c>
    </row>
    <row r="413" spans="2:5">
      <c r="B413" t="s">
        <v>990</v>
      </c>
      <c r="C413">
        <v>538713</v>
      </c>
      <c r="D413" t="s">
        <v>339</v>
      </c>
      <c r="E413" t="s">
        <v>432</v>
      </c>
    </row>
    <row r="414" spans="2:5">
      <c r="B414" t="s">
        <v>991</v>
      </c>
      <c r="C414">
        <v>526843</v>
      </c>
      <c r="D414" t="s">
        <v>339</v>
      </c>
      <c r="E414" t="s">
        <v>361</v>
      </c>
    </row>
    <row r="415" spans="2:5">
      <c r="B415" t="s">
        <v>992</v>
      </c>
      <c r="C415">
        <v>532759</v>
      </c>
      <c r="D415" t="s">
        <v>993</v>
      </c>
      <c r="E415" t="s">
        <v>737</v>
      </c>
    </row>
    <row r="416" spans="2:5">
      <c r="B416" t="s">
        <v>994</v>
      </c>
      <c r="C416">
        <v>505029</v>
      </c>
      <c r="D416" t="s">
        <v>995</v>
      </c>
      <c r="E416" t="s">
        <v>996</v>
      </c>
    </row>
    <row r="417" spans="2:5">
      <c r="B417" t="s">
        <v>997</v>
      </c>
      <c r="C417">
        <v>514394</v>
      </c>
      <c r="D417" t="s">
        <v>339</v>
      </c>
      <c r="E417" t="s">
        <v>453</v>
      </c>
    </row>
    <row r="418" spans="2:5">
      <c r="B418" t="s">
        <v>998</v>
      </c>
      <c r="C418">
        <v>514394</v>
      </c>
      <c r="D418" t="s">
        <v>339</v>
      </c>
      <c r="E418" t="s">
        <v>453</v>
      </c>
    </row>
    <row r="419" spans="2:5">
      <c r="B419" t="s">
        <v>999</v>
      </c>
      <c r="C419">
        <v>531795</v>
      </c>
      <c r="D419" t="s">
        <v>1000</v>
      </c>
      <c r="E419" t="s">
        <v>996</v>
      </c>
    </row>
    <row r="420" spans="2:5">
      <c r="B420" t="s">
        <v>1001</v>
      </c>
      <c r="C420">
        <v>500027</v>
      </c>
      <c r="D420" t="s">
        <v>1002</v>
      </c>
      <c r="E420" t="s">
        <v>483</v>
      </c>
    </row>
    <row r="421" spans="2:5">
      <c r="B421" t="s">
        <v>1003</v>
      </c>
      <c r="C421">
        <v>500028</v>
      </c>
      <c r="D421" t="s">
        <v>339</v>
      </c>
      <c r="E421" t="s">
        <v>737</v>
      </c>
    </row>
    <row r="422" spans="2:5">
      <c r="B422" t="s">
        <v>1004</v>
      </c>
      <c r="C422">
        <v>500028</v>
      </c>
      <c r="D422" t="s">
        <v>339</v>
      </c>
      <c r="E422" t="s">
        <v>737</v>
      </c>
    </row>
    <row r="423" spans="2:5">
      <c r="B423" t="s">
        <v>1005</v>
      </c>
      <c r="C423">
        <v>540611</v>
      </c>
      <c r="D423" t="s">
        <v>1006</v>
      </c>
      <c r="E423" t="s">
        <v>657</v>
      </c>
    </row>
    <row r="424" spans="2:5">
      <c r="B424" t="s">
        <v>1007</v>
      </c>
      <c r="C424">
        <v>532459</v>
      </c>
      <c r="D424" t="s">
        <v>339</v>
      </c>
      <c r="E424" t="s">
        <v>354</v>
      </c>
    </row>
    <row r="425" spans="2:5">
      <c r="B425" t="s">
        <v>1008</v>
      </c>
      <c r="C425" t="s">
        <v>339</v>
      </c>
      <c r="D425" t="s">
        <v>1009</v>
      </c>
      <c r="E425" t="s">
        <v>350</v>
      </c>
    </row>
    <row r="426" spans="2:5">
      <c r="B426" t="s">
        <v>1010</v>
      </c>
      <c r="C426">
        <v>532668</v>
      </c>
      <c r="D426" t="s">
        <v>1011</v>
      </c>
      <c r="E426" t="s">
        <v>432</v>
      </c>
    </row>
    <row r="427" spans="2:5">
      <c r="B427" t="s">
        <v>1012</v>
      </c>
      <c r="C427">
        <v>530233</v>
      </c>
      <c r="D427" t="s">
        <v>339</v>
      </c>
      <c r="E427" t="s">
        <v>377</v>
      </c>
    </row>
    <row r="428" spans="2:5">
      <c r="B428" t="s">
        <v>1013</v>
      </c>
      <c r="C428">
        <v>524804</v>
      </c>
      <c r="D428" t="s">
        <v>1014</v>
      </c>
      <c r="E428" t="s">
        <v>377</v>
      </c>
    </row>
    <row r="429" spans="2:5">
      <c r="B429" t="s">
        <v>1015</v>
      </c>
      <c r="C429">
        <v>531336</v>
      </c>
      <c r="D429" t="s">
        <v>339</v>
      </c>
      <c r="E429" t="s">
        <v>1016</v>
      </c>
    </row>
    <row r="430" spans="2:5">
      <c r="B430" t="s">
        <v>1017</v>
      </c>
      <c r="C430">
        <v>509009</v>
      </c>
      <c r="D430" t="s">
        <v>1018</v>
      </c>
      <c r="E430" t="s">
        <v>361</v>
      </c>
    </row>
    <row r="431" spans="2:5">
      <c r="B431" t="s">
        <v>1019</v>
      </c>
      <c r="C431">
        <v>522005</v>
      </c>
      <c r="D431" t="s">
        <v>339</v>
      </c>
      <c r="E431" t="s">
        <v>347</v>
      </c>
    </row>
    <row r="432" spans="2:5">
      <c r="B432" t="s">
        <v>1020</v>
      </c>
      <c r="C432">
        <v>539177</v>
      </c>
      <c r="D432" t="s">
        <v>339</v>
      </c>
      <c r="E432" t="s">
        <v>356</v>
      </c>
    </row>
    <row r="433" spans="2:5">
      <c r="B433" t="s">
        <v>1021</v>
      </c>
      <c r="C433">
        <v>531994</v>
      </c>
      <c r="D433" t="s">
        <v>339</v>
      </c>
      <c r="E433" t="s">
        <v>694</v>
      </c>
    </row>
    <row r="434" spans="2:5">
      <c r="B434" t="s">
        <v>1022</v>
      </c>
      <c r="C434">
        <v>531994</v>
      </c>
      <c r="D434" t="s">
        <v>339</v>
      </c>
      <c r="E434" t="s">
        <v>694</v>
      </c>
    </row>
    <row r="435" spans="2:5">
      <c r="B435" t="s">
        <v>1023</v>
      </c>
      <c r="C435">
        <v>532797</v>
      </c>
      <c r="D435" t="s">
        <v>1024</v>
      </c>
      <c r="E435" t="s">
        <v>694</v>
      </c>
    </row>
    <row r="436" spans="2:5">
      <c r="B436" t="s">
        <v>1025</v>
      </c>
      <c r="C436">
        <v>500029</v>
      </c>
      <c r="D436" t="s">
        <v>1026</v>
      </c>
      <c r="E436" t="s">
        <v>694</v>
      </c>
    </row>
    <row r="437" spans="2:5">
      <c r="B437" t="s">
        <v>1027</v>
      </c>
      <c r="C437">
        <v>500029</v>
      </c>
      <c r="D437" t="s">
        <v>1026</v>
      </c>
      <c r="E437" t="s">
        <v>694</v>
      </c>
    </row>
    <row r="438" spans="2:5">
      <c r="B438" t="s">
        <v>1028</v>
      </c>
      <c r="C438">
        <v>505036</v>
      </c>
      <c r="D438" t="s">
        <v>339</v>
      </c>
      <c r="E438" t="s">
        <v>694</v>
      </c>
    </row>
    <row r="439" spans="2:5">
      <c r="B439" t="s">
        <v>1029</v>
      </c>
      <c r="C439">
        <v>505010</v>
      </c>
      <c r="D439" t="s">
        <v>1030</v>
      </c>
      <c r="E439" t="s">
        <v>694</v>
      </c>
    </row>
    <row r="440" spans="2:5">
      <c r="B440" t="s">
        <v>1031</v>
      </c>
      <c r="C440">
        <v>520119</v>
      </c>
      <c r="D440" t="s">
        <v>1032</v>
      </c>
      <c r="E440" t="s">
        <v>694</v>
      </c>
    </row>
    <row r="441" spans="2:5">
      <c r="B441" t="s">
        <v>1033</v>
      </c>
      <c r="C441">
        <v>512277</v>
      </c>
      <c r="D441" t="s">
        <v>339</v>
      </c>
      <c r="E441" t="s">
        <v>660</v>
      </c>
    </row>
    <row r="442" spans="2:5">
      <c r="B442" t="s">
        <v>1034</v>
      </c>
      <c r="C442">
        <v>780004</v>
      </c>
      <c r="D442" t="s">
        <v>339</v>
      </c>
      <c r="E442" t="s">
        <v>430</v>
      </c>
    </row>
    <row r="443" spans="2:5">
      <c r="B443" t="s">
        <v>1035</v>
      </c>
      <c r="C443">
        <v>540649</v>
      </c>
      <c r="D443" t="s">
        <v>1036</v>
      </c>
      <c r="E443" t="s">
        <v>1037</v>
      </c>
    </row>
    <row r="444" spans="2:5">
      <c r="B444" t="s">
        <v>1038</v>
      </c>
      <c r="C444">
        <v>531310</v>
      </c>
      <c r="D444" t="s">
        <v>339</v>
      </c>
      <c r="E444" t="s">
        <v>322</v>
      </c>
    </row>
    <row r="445" spans="2:5">
      <c r="B445" t="s">
        <v>1039</v>
      </c>
      <c r="C445">
        <v>512149</v>
      </c>
      <c r="D445" t="s">
        <v>339</v>
      </c>
      <c r="E445" t="s">
        <v>432</v>
      </c>
    </row>
    <row r="446" spans="2:5">
      <c r="B446" t="s">
        <v>1040</v>
      </c>
      <c r="C446">
        <v>532406</v>
      </c>
      <c r="D446" t="s">
        <v>339</v>
      </c>
      <c r="E446" t="s">
        <v>485</v>
      </c>
    </row>
    <row r="447" spans="2:5">
      <c r="B447" t="s">
        <v>1041</v>
      </c>
      <c r="C447">
        <v>512573</v>
      </c>
      <c r="D447" t="s">
        <v>1042</v>
      </c>
      <c r="E447" t="s">
        <v>419</v>
      </c>
    </row>
    <row r="448" spans="2:5">
      <c r="B448" t="s">
        <v>1043</v>
      </c>
      <c r="C448">
        <v>540376</v>
      </c>
      <c r="D448" t="s">
        <v>1044</v>
      </c>
      <c r="E448" t="s">
        <v>508</v>
      </c>
    </row>
    <row r="449" spans="2:5">
      <c r="B449" t="s">
        <v>1045</v>
      </c>
      <c r="C449" t="s">
        <v>339</v>
      </c>
      <c r="D449" t="s">
        <v>1046</v>
      </c>
      <c r="E449" t="s">
        <v>350</v>
      </c>
    </row>
    <row r="450" spans="2:5">
      <c r="B450" t="s">
        <v>1047</v>
      </c>
      <c r="C450">
        <v>539288</v>
      </c>
      <c r="D450" t="s">
        <v>339</v>
      </c>
      <c r="E450" t="s">
        <v>499</v>
      </c>
    </row>
    <row r="451" spans="2:5">
      <c r="B451" t="s">
        <v>1048</v>
      </c>
      <c r="C451">
        <v>523896</v>
      </c>
      <c r="D451" t="s">
        <v>339</v>
      </c>
      <c r="E451" t="s">
        <v>361</v>
      </c>
    </row>
    <row r="452" spans="2:5">
      <c r="B452" t="s">
        <v>1049</v>
      </c>
      <c r="C452">
        <v>523896</v>
      </c>
      <c r="D452" t="s">
        <v>339</v>
      </c>
      <c r="E452" t="s">
        <v>361</v>
      </c>
    </row>
    <row r="453" spans="2:5">
      <c r="B453" t="s">
        <v>1050</v>
      </c>
      <c r="C453">
        <v>512109</v>
      </c>
      <c r="D453" t="s">
        <v>339</v>
      </c>
      <c r="E453" t="s">
        <v>361</v>
      </c>
    </row>
    <row r="454" spans="2:5">
      <c r="B454" t="s">
        <v>1051</v>
      </c>
      <c r="C454">
        <v>531541</v>
      </c>
      <c r="D454" t="s">
        <v>339</v>
      </c>
      <c r="E454" t="s">
        <v>387</v>
      </c>
    </row>
    <row r="455" spans="2:5">
      <c r="B455" t="s">
        <v>1052</v>
      </c>
      <c r="C455" t="s">
        <v>339</v>
      </c>
      <c r="D455" t="s">
        <v>1053</v>
      </c>
      <c r="E455" t="s">
        <v>350</v>
      </c>
    </row>
    <row r="456" spans="2:5">
      <c r="B456" t="s">
        <v>1054</v>
      </c>
      <c r="C456">
        <v>511589</v>
      </c>
      <c r="D456" t="s">
        <v>339</v>
      </c>
      <c r="E456" t="s">
        <v>356</v>
      </c>
    </row>
    <row r="457" spans="2:5">
      <c r="B457" t="s">
        <v>1055</v>
      </c>
      <c r="C457" t="s">
        <v>339</v>
      </c>
      <c r="D457" t="s">
        <v>1056</v>
      </c>
      <c r="E457" t="s">
        <v>350</v>
      </c>
    </row>
    <row r="458" spans="2:5">
      <c r="B458" t="s">
        <v>1057</v>
      </c>
      <c r="C458">
        <v>519105</v>
      </c>
      <c r="D458" t="s">
        <v>1058</v>
      </c>
      <c r="E458" t="s">
        <v>537</v>
      </c>
    </row>
    <row r="459" spans="2:5">
      <c r="B459" t="s">
        <v>1059</v>
      </c>
      <c r="C459">
        <v>504390</v>
      </c>
      <c r="D459" t="s">
        <v>339</v>
      </c>
      <c r="E459" t="s">
        <v>322</v>
      </c>
    </row>
    <row r="460" spans="2:5">
      <c r="B460" t="s">
        <v>1060</v>
      </c>
      <c r="C460">
        <v>513642</v>
      </c>
      <c r="D460" t="s">
        <v>339</v>
      </c>
      <c r="E460" t="s">
        <v>459</v>
      </c>
    </row>
    <row r="461" spans="2:5">
      <c r="B461" t="s">
        <v>1061</v>
      </c>
      <c r="C461">
        <v>532215</v>
      </c>
      <c r="D461" t="s">
        <v>1062</v>
      </c>
      <c r="E461" t="s">
        <v>657</v>
      </c>
    </row>
    <row r="462" spans="2:5">
      <c r="B462" t="s">
        <v>1063</v>
      </c>
      <c r="C462">
        <v>532395</v>
      </c>
      <c r="D462" t="s">
        <v>1064</v>
      </c>
      <c r="E462" t="s">
        <v>669</v>
      </c>
    </row>
    <row r="463" spans="2:5">
      <c r="B463" t="s">
        <v>1065</v>
      </c>
      <c r="C463">
        <v>542285</v>
      </c>
      <c r="D463" t="s">
        <v>1066</v>
      </c>
      <c r="E463" t="s">
        <v>354</v>
      </c>
    </row>
    <row r="464" spans="2:5">
      <c r="B464" t="s">
        <v>1067</v>
      </c>
      <c r="C464">
        <v>505506</v>
      </c>
      <c r="D464" t="s">
        <v>339</v>
      </c>
      <c r="E464" t="s">
        <v>432</v>
      </c>
    </row>
    <row r="465" spans="2:5">
      <c r="B465" t="s">
        <v>1068</v>
      </c>
      <c r="C465">
        <v>523850</v>
      </c>
      <c r="D465" t="s">
        <v>339</v>
      </c>
      <c r="E465" t="s">
        <v>347</v>
      </c>
    </row>
    <row r="466" spans="2:5">
      <c r="B466" t="s">
        <v>1069</v>
      </c>
      <c r="C466">
        <v>523168</v>
      </c>
      <c r="D466" t="s">
        <v>339</v>
      </c>
      <c r="E466" t="s">
        <v>553</v>
      </c>
    </row>
    <row r="467" spans="2:5">
      <c r="B467" t="s">
        <v>1070</v>
      </c>
      <c r="C467">
        <v>508933</v>
      </c>
      <c r="D467" t="s">
        <v>1071</v>
      </c>
      <c r="E467" t="s">
        <v>354</v>
      </c>
    </row>
    <row r="468" spans="2:5">
      <c r="B468" t="s">
        <v>1072</v>
      </c>
      <c r="C468">
        <v>512063</v>
      </c>
      <c r="D468" t="s">
        <v>339</v>
      </c>
      <c r="E468" t="s">
        <v>361</v>
      </c>
    </row>
    <row r="469" spans="2:5">
      <c r="B469" t="s">
        <v>1073</v>
      </c>
      <c r="C469">
        <v>536965</v>
      </c>
      <c r="D469" t="s">
        <v>339</v>
      </c>
      <c r="E469" t="s">
        <v>356</v>
      </c>
    </row>
    <row r="470" spans="2:5">
      <c r="B470" t="s">
        <v>1074</v>
      </c>
      <c r="C470">
        <v>508136</v>
      </c>
      <c r="D470" t="s">
        <v>339</v>
      </c>
      <c r="E470" t="s">
        <v>746</v>
      </c>
    </row>
    <row r="471" spans="2:5">
      <c r="B471" t="s">
        <v>1075</v>
      </c>
      <c r="C471">
        <v>532507</v>
      </c>
      <c r="D471" t="s">
        <v>1076</v>
      </c>
      <c r="E471" t="s">
        <v>1077</v>
      </c>
    </row>
    <row r="472" spans="2:5">
      <c r="B472" t="s">
        <v>1078</v>
      </c>
      <c r="C472">
        <v>537766</v>
      </c>
      <c r="D472" t="s">
        <v>339</v>
      </c>
      <c r="E472" t="s">
        <v>637</v>
      </c>
    </row>
    <row r="473" spans="2:5">
      <c r="B473" t="s">
        <v>1079</v>
      </c>
      <c r="C473">
        <v>532719</v>
      </c>
      <c r="D473" t="s">
        <v>1080</v>
      </c>
      <c r="E473" t="s">
        <v>425</v>
      </c>
    </row>
    <row r="474" spans="2:5">
      <c r="B474" t="s">
        <v>1081</v>
      </c>
      <c r="C474">
        <v>523019</v>
      </c>
      <c r="D474" t="s">
        <v>339</v>
      </c>
      <c r="E474" t="s">
        <v>322</v>
      </c>
    </row>
    <row r="475" spans="2:5">
      <c r="B475" t="s">
        <v>1082</v>
      </c>
      <c r="C475">
        <v>523186</v>
      </c>
      <c r="D475" t="s">
        <v>339</v>
      </c>
      <c r="E475" t="s">
        <v>333</v>
      </c>
    </row>
    <row r="476" spans="2:5">
      <c r="B476" t="s">
        <v>1083</v>
      </c>
      <c r="C476">
        <v>523186</v>
      </c>
      <c r="D476" t="s">
        <v>339</v>
      </c>
      <c r="E476" t="s">
        <v>333</v>
      </c>
    </row>
    <row r="477" spans="2:5">
      <c r="B477" t="s">
        <v>1084</v>
      </c>
      <c r="C477" t="s">
        <v>339</v>
      </c>
      <c r="D477" t="s">
        <v>1085</v>
      </c>
      <c r="E477" t="s">
        <v>350</v>
      </c>
    </row>
    <row r="478" spans="2:5">
      <c r="B478" t="s">
        <v>1086</v>
      </c>
      <c r="C478">
        <v>542206</v>
      </c>
      <c r="D478" t="s">
        <v>1087</v>
      </c>
      <c r="E478" t="s">
        <v>705</v>
      </c>
    </row>
    <row r="479" spans="2:5">
      <c r="B479" t="s">
        <v>1088</v>
      </c>
      <c r="C479">
        <v>531268</v>
      </c>
      <c r="D479" t="s">
        <v>339</v>
      </c>
      <c r="E479" t="s">
        <v>432</v>
      </c>
    </row>
    <row r="480" spans="2:5">
      <c r="B480" t="s">
        <v>1089</v>
      </c>
      <c r="C480">
        <v>532380</v>
      </c>
      <c r="D480" t="s">
        <v>339</v>
      </c>
      <c r="E480" t="s">
        <v>342</v>
      </c>
    </row>
    <row r="481" spans="2:5">
      <c r="B481" t="s">
        <v>1090</v>
      </c>
      <c r="C481">
        <v>524516</v>
      </c>
      <c r="D481" t="s">
        <v>339</v>
      </c>
      <c r="E481" t="s">
        <v>377</v>
      </c>
    </row>
    <row r="482" spans="2:5">
      <c r="B482" t="s">
        <v>1091</v>
      </c>
      <c r="C482">
        <v>532989</v>
      </c>
      <c r="D482" t="s">
        <v>1092</v>
      </c>
      <c r="E482" t="s">
        <v>377</v>
      </c>
    </row>
    <row r="483" spans="2:5">
      <c r="B483" t="s">
        <v>1093</v>
      </c>
      <c r="C483">
        <v>530197</v>
      </c>
      <c r="D483" t="s">
        <v>339</v>
      </c>
      <c r="E483" t="s">
        <v>499</v>
      </c>
    </row>
    <row r="484" spans="2:5">
      <c r="B484" t="s">
        <v>1094</v>
      </c>
      <c r="C484">
        <v>511724</v>
      </c>
      <c r="D484" t="s">
        <v>339</v>
      </c>
      <c r="E484" t="s">
        <v>356</v>
      </c>
    </row>
    <row r="485" spans="2:5">
      <c r="B485" t="s">
        <v>1095</v>
      </c>
      <c r="C485">
        <v>532977</v>
      </c>
      <c r="D485" t="s">
        <v>1096</v>
      </c>
      <c r="E485" t="s">
        <v>996</v>
      </c>
    </row>
    <row r="486" spans="2:5">
      <c r="B486" t="s">
        <v>1097</v>
      </c>
      <c r="C486" t="s">
        <v>339</v>
      </c>
      <c r="D486" t="s">
        <v>1098</v>
      </c>
      <c r="E486" t="s">
        <v>521</v>
      </c>
    </row>
    <row r="487" spans="2:5">
      <c r="B487" t="s">
        <v>1099</v>
      </c>
      <c r="C487">
        <v>533229</v>
      </c>
      <c r="D487" t="s">
        <v>1100</v>
      </c>
      <c r="E487" t="s">
        <v>521</v>
      </c>
    </row>
    <row r="488" spans="2:5">
      <c r="B488" t="s">
        <v>1101</v>
      </c>
      <c r="C488">
        <v>500031</v>
      </c>
      <c r="D488" t="s">
        <v>1102</v>
      </c>
      <c r="E488" t="s">
        <v>1103</v>
      </c>
    </row>
    <row r="489" spans="2:5">
      <c r="B489" t="s">
        <v>1104</v>
      </c>
      <c r="C489">
        <v>500034</v>
      </c>
      <c r="D489" t="s">
        <v>1105</v>
      </c>
      <c r="E489" t="s">
        <v>356</v>
      </c>
    </row>
    <row r="490" spans="2:5">
      <c r="B490" t="s">
        <v>1106</v>
      </c>
      <c r="C490">
        <v>532978</v>
      </c>
      <c r="D490" t="s">
        <v>1107</v>
      </c>
      <c r="E490" t="s">
        <v>505</v>
      </c>
    </row>
    <row r="491" spans="2:5">
      <c r="B491" t="s">
        <v>1108</v>
      </c>
      <c r="C491">
        <v>512261</v>
      </c>
      <c r="D491" t="s">
        <v>339</v>
      </c>
      <c r="E491" t="s">
        <v>361</v>
      </c>
    </row>
    <row r="492" spans="2:5">
      <c r="B492" t="s">
        <v>1109</v>
      </c>
      <c r="C492">
        <v>539872</v>
      </c>
      <c r="D492" t="s">
        <v>339</v>
      </c>
      <c r="E492" t="s">
        <v>377</v>
      </c>
    </row>
    <row r="493" spans="2:5">
      <c r="B493" t="s">
        <v>1110</v>
      </c>
      <c r="C493">
        <v>500032</v>
      </c>
      <c r="D493" t="s">
        <v>1111</v>
      </c>
      <c r="E493" t="s">
        <v>1037</v>
      </c>
    </row>
    <row r="494" spans="2:5">
      <c r="B494" t="s">
        <v>1112</v>
      </c>
      <c r="C494">
        <v>500490</v>
      </c>
      <c r="D494" t="s">
        <v>1113</v>
      </c>
      <c r="E494" t="s">
        <v>505</v>
      </c>
    </row>
    <row r="495" spans="2:5">
      <c r="B495" t="s">
        <v>1114</v>
      </c>
      <c r="C495">
        <v>507944</v>
      </c>
      <c r="D495" t="s">
        <v>339</v>
      </c>
      <c r="E495" t="s">
        <v>347</v>
      </c>
    </row>
    <row r="496" spans="2:5">
      <c r="B496" t="s">
        <v>1115</v>
      </c>
      <c r="C496">
        <v>511139</v>
      </c>
      <c r="D496" t="s">
        <v>339</v>
      </c>
      <c r="E496" t="s">
        <v>760</v>
      </c>
    </row>
    <row r="497" spans="2:5">
      <c r="B497" t="s">
        <v>1116</v>
      </c>
      <c r="C497">
        <v>524824</v>
      </c>
      <c r="D497" t="s">
        <v>1117</v>
      </c>
      <c r="E497" t="s">
        <v>377</v>
      </c>
    </row>
    <row r="498" spans="2:5">
      <c r="B498" t="s">
        <v>1118</v>
      </c>
      <c r="C498">
        <v>530999</v>
      </c>
      <c r="D498" t="s">
        <v>1119</v>
      </c>
      <c r="E498" t="s">
        <v>387</v>
      </c>
    </row>
    <row r="499" spans="2:5">
      <c r="B499" t="s">
        <v>1120</v>
      </c>
      <c r="C499">
        <v>532382</v>
      </c>
      <c r="D499" t="s">
        <v>1121</v>
      </c>
      <c r="E499" t="s">
        <v>1077</v>
      </c>
    </row>
    <row r="500" spans="2:5">
      <c r="B500" t="s">
        <v>1122</v>
      </c>
      <c r="C500">
        <v>513142</v>
      </c>
      <c r="D500" t="s">
        <v>339</v>
      </c>
      <c r="E500" t="s">
        <v>371</v>
      </c>
    </row>
    <row r="501" spans="2:5">
      <c r="B501" t="s">
        <v>1123</v>
      </c>
      <c r="C501" t="s">
        <v>339</v>
      </c>
      <c r="D501" t="s">
        <v>1124</v>
      </c>
      <c r="E501" t="s">
        <v>1125</v>
      </c>
    </row>
    <row r="502" spans="2:5">
      <c r="B502" t="s">
        <v>1126</v>
      </c>
      <c r="C502">
        <v>539834</v>
      </c>
      <c r="D502" t="s">
        <v>339</v>
      </c>
      <c r="E502" t="s">
        <v>361</v>
      </c>
    </row>
    <row r="503" spans="2:5">
      <c r="B503" t="s">
        <v>1127</v>
      </c>
      <c r="C503">
        <v>502355</v>
      </c>
      <c r="D503" t="s">
        <v>1128</v>
      </c>
      <c r="E503" t="s">
        <v>819</v>
      </c>
    </row>
    <row r="504" spans="2:5">
      <c r="B504" t="s">
        <v>1129</v>
      </c>
      <c r="C504">
        <v>539251</v>
      </c>
      <c r="D504" t="s">
        <v>1130</v>
      </c>
      <c r="E504" t="s">
        <v>534</v>
      </c>
    </row>
    <row r="505" spans="2:5">
      <c r="B505" t="s">
        <v>1131</v>
      </c>
      <c r="C505">
        <v>500102</v>
      </c>
      <c r="D505" t="s">
        <v>1132</v>
      </c>
      <c r="E505" t="s">
        <v>333</v>
      </c>
    </row>
    <row r="506" spans="2:5">
      <c r="B506" t="s">
        <v>1133</v>
      </c>
      <c r="C506">
        <v>523319</v>
      </c>
      <c r="D506" t="s">
        <v>1134</v>
      </c>
      <c r="E506" t="s">
        <v>328</v>
      </c>
    </row>
    <row r="507" spans="2:5">
      <c r="B507" t="s">
        <v>1135</v>
      </c>
      <c r="C507">
        <v>532485</v>
      </c>
      <c r="D507" t="s">
        <v>339</v>
      </c>
      <c r="E507" t="s">
        <v>356</v>
      </c>
    </row>
    <row r="508" spans="2:5">
      <c r="B508" t="s">
        <v>1136</v>
      </c>
      <c r="C508">
        <v>500038</v>
      </c>
      <c r="D508" t="s">
        <v>1137</v>
      </c>
      <c r="E508" t="s">
        <v>1037</v>
      </c>
    </row>
    <row r="509" spans="2:5">
      <c r="B509" t="s">
        <v>1138</v>
      </c>
      <c r="C509">
        <v>520127</v>
      </c>
      <c r="D509" t="s">
        <v>339</v>
      </c>
      <c r="E509" t="s">
        <v>411</v>
      </c>
    </row>
    <row r="510" spans="2:5">
      <c r="B510" t="s">
        <v>1139</v>
      </c>
      <c r="C510">
        <v>519295</v>
      </c>
      <c r="D510" t="s">
        <v>339</v>
      </c>
      <c r="E510" t="s">
        <v>399</v>
      </c>
    </row>
    <row r="511" spans="2:5">
      <c r="B511" t="s">
        <v>1140</v>
      </c>
      <c r="C511">
        <v>531591</v>
      </c>
      <c r="D511" t="s">
        <v>339</v>
      </c>
      <c r="E511" t="s">
        <v>356</v>
      </c>
    </row>
    <row r="512" spans="2:5">
      <c r="B512" t="s">
        <v>1141</v>
      </c>
      <c r="C512">
        <v>526849</v>
      </c>
      <c r="D512" t="s">
        <v>1142</v>
      </c>
      <c r="E512" t="s">
        <v>453</v>
      </c>
    </row>
    <row r="513" spans="2:5">
      <c r="B513" t="s">
        <v>1143</v>
      </c>
      <c r="C513">
        <v>509053</v>
      </c>
      <c r="D513" t="s">
        <v>339</v>
      </c>
      <c r="E513" t="s">
        <v>760</v>
      </c>
    </row>
    <row r="514" spans="2:5">
      <c r="B514" t="s">
        <v>1144</v>
      </c>
      <c r="C514">
        <v>500039</v>
      </c>
      <c r="D514" t="s">
        <v>1145</v>
      </c>
      <c r="E514" t="s">
        <v>694</v>
      </c>
    </row>
    <row r="515" spans="2:5">
      <c r="B515" t="s">
        <v>1146</v>
      </c>
      <c r="C515">
        <v>541153</v>
      </c>
      <c r="D515" t="s">
        <v>1147</v>
      </c>
      <c r="E515" t="s">
        <v>657</v>
      </c>
    </row>
    <row r="516" spans="2:5">
      <c r="B516" t="s">
        <v>1148</v>
      </c>
      <c r="C516">
        <v>532946</v>
      </c>
      <c r="D516" t="s">
        <v>1149</v>
      </c>
      <c r="E516" t="s">
        <v>453</v>
      </c>
    </row>
    <row r="517" spans="2:5">
      <c r="B517" t="s">
        <v>1150</v>
      </c>
      <c r="C517">
        <v>539120</v>
      </c>
      <c r="D517" t="s">
        <v>339</v>
      </c>
      <c r="E517" t="s">
        <v>576</v>
      </c>
    </row>
    <row r="518" spans="2:5">
      <c r="B518" t="s">
        <v>1151</v>
      </c>
      <c r="C518">
        <v>532134</v>
      </c>
      <c r="D518" t="s">
        <v>1152</v>
      </c>
      <c r="E518" t="s">
        <v>657</v>
      </c>
    </row>
    <row r="519" spans="2:5">
      <c r="B519" t="s">
        <v>1153</v>
      </c>
      <c r="C519">
        <v>532149</v>
      </c>
      <c r="D519" t="s">
        <v>1154</v>
      </c>
      <c r="E519" t="s">
        <v>657</v>
      </c>
    </row>
    <row r="520" spans="2:5">
      <c r="B520" t="s">
        <v>1155</v>
      </c>
      <c r="C520">
        <v>532525</v>
      </c>
      <c r="D520" t="s">
        <v>1156</v>
      </c>
      <c r="E520" t="s">
        <v>657</v>
      </c>
    </row>
    <row r="521" spans="2:5">
      <c r="B521" t="s">
        <v>1157</v>
      </c>
      <c r="C521" t="s">
        <v>339</v>
      </c>
      <c r="D521" t="s">
        <v>1158</v>
      </c>
      <c r="E521" t="s">
        <v>350</v>
      </c>
    </row>
    <row r="522" spans="2:5">
      <c r="B522" t="s">
        <v>1159</v>
      </c>
      <c r="C522">
        <v>532674</v>
      </c>
      <c r="D522" t="s">
        <v>1160</v>
      </c>
      <c r="E522" t="s">
        <v>354</v>
      </c>
    </row>
    <row r="523" spans="2:5">
      <c r="B523" t="s">
        <v>1161</v>
      </c>
      <c r="C523">
        <v>500041</v>
      </c>
      <c r="D523" t="s">
        <v>1162</v>
      </c>
      <c r="E523" t="s">
        <v>1037</v>
      </c>
    </row>
    <row r="524" spans="2:5">
      <c r="B524" t="s">
        <v>1163</v>
      </c>
      <c r="C524" t="s">
        <v>339</v>
      </c>
      <c r="D524" t="s">
        <v>1164</v>
      </c>
      <c r="E524" t="s">
        <v>350</v>
      </c>
    </row>
    <row r="525" spans="2:5">
      <c r="B525" t="s">
        <v>1165</v>
      </c>
      <c r="C525">
        <v>538546</v>
      </c>
      <c r="D525" t="s">
        <v>339</v>
      </c>
      <c r="E525" t="s">
        <v>662</v>
      </c>
    </row>
    <row r="526" spans="2:5">
      <c r="B526" t="s">
        <v>1166</v>
      </c>
      <c r="C526">
        <v>519353</v>
      </c>
      <c r="D526" t="s">
        <v>339</v>
      </c>
      <c r="E526" t="s">
        <v>746</v>
      </c>
    </row>
    <row r="527" spans="2:5">
      <c r="B527" t="s">
        <v>1167</v>
      </c>
      <c r="C527">
        <v>503722</v>
      </c>
      <c r="D527" t="s">
        <v>1168</v>
      </c>
      <c r="E527" t="s">
        <v>354</v>
      </c>
    </row>
    <row r="528" spans="2:5">
      <c r="B528" t="s">
        <v>1169</v>
      </c>
      <c r="C528">
        <v>532916</v>
      </c>
      <c r="D528" t="s">
        <v>1170</v>
      </c>
      <c r="E528" t="s">
        <v>352</v>
      </c>
    </row>
    <row r="529" spans="2:5">
      <c r="B529" t="s">
        <v>1171</v>
      </c>
      <c r="C529">
        <v>513502</v>
      </c>
      <c r="D529" t="s">
        <v>339</v>
      </c>
      <c r="E529" t="s">
        <v>413</v>
      </c>
    </row>
    <row r="530" spans="2:5">
      <c r="B530" t="s">
        <v>1172</v>
      </c>
      <c r="C530">
        <v>532336</v>
      </c>
      <c r="D530" t="s">
        <v>339</v>
      </c>
      <c r="E530" t="s">
        <v>432</v>
      </c>
    </row>
    <row r="531" spans="2:5">
      <c r="B531" t="s">
        <v>1173</v>
      </c>
      <c r="C531">
        <v>532694</v>
      </c>
      <c r="D531" t="s">
        <v>1174</v>
      </c>
      <c r="E531" t="s">
        <v>760</v>
      </c>
    </row>
    <row r="532" spans="2:5">
      <c r="B532" t="s">
        <v>1175</v>
      </c>
      <c r="C532">
        <v>532694</v>
      </c>
      <c r="D532" t="s">
        <v>1174</v>
      </c>
      <c r="E532" t="s">
        <v>760</v>
      </c>
    </row>
    <row r="533" spans="2:5">
      <c r="B533" t="s">
        <v>1176</v>
      </c>
      <c r="C533">
        <v>524687</v>
      </c>
      <c r="D533" t="s">
        <v>339</v>
      </c>
      <c r="E533" t="s">
        <v>847</v>
      </c>
    </row>
    <row r="534" spans="2:5">
      <c r="B534" t="s">
        <v>1177</v>
      </c>
      <c r="C534">
        <v>524687</v>
      </c>
      <c r="D534" t="s">
        <v>339</v>
      </c>
      <c r="E534" t="s">
        <v>847</v>
      </c>
    </row>
    <row r="535" spans="2:5">
      <c r="B535" t="s">
        <v>1178</v>
      </c>
      <c r="C535">
        <v>500042</v>
      </c>
      <c r="D535" t="s">
        <v>1179</v>
      </c>
      <c r="E535" t="s">
        <v>499</v>
      </c>
    </row>
    <row r="536" spans="2:5">
      <c r="B536" t="s">
        <v>1180</v>
      </c>
      <c r="C536">
        <v>500042</v>
      </c>
      <c r="D536" t="s">
        <v>1179</v>
      </c>
      <c r="E536" t="s">
        <v>499</v>
      </c>
    </row>
    <row r="537" spans="2:5">
      <c r="B537" t="s">
        <v>1181</v>
      </c>
      <c r="C537">
        <v>500043</v>
      </c>
      <c r="D537" t="s">
        <v>1182</v>
      </c>
      <c r="E537" t="s">
        <v>765</v>
      </c>
    </row>
    <row r="538" spans="2:5">
      <c r="B538" t="s">
        <v>1183</v>
      </c>
      <c r="C538">
        <v>500043</v>
      </c>
      <c r="D538" t="s">
        <v>1184</v>
      </c>
      <c r="E538" t="s">
        <v>765</v>
      </c>
    </row>
    <row r="539" spans="2:5">
      <c r="B539" t="s">
        <v>1185</v>
      </c>
      <c r="C539">
        <v>522004</v>
      </c>
      <c r="D539" t="s">
        <v>339</v>
      </c>
      <c r="E539" t="s">
        <v>347</v>
      </c>
    </row>
    <row r="540" spans="2:5">
      <c r="B540" t="s">
        <v>1186</v>
      </c>
      <c r="C540">
        <v>506285</v>
      </c>
      <c r="D540" t="s">
        <v>1187</v>
      </c>
      <c r="E540" t="s">
        <v>483</v>
      </c>
    </row>
    <row r="541" spans="2:5">
      <c r="B541" t="s">
        <v>1188</v>
      </c>
      <c r="C541">
        <v>539946</v>
      </c>
      <c r="D541" t="s">
        <v>339</v>
      </c>
      <c r="E541" t="s">
        <v>356</v>
      </c>
    </row>
    <row r="542" spans="2:5">
      <c r="B542" t="s">
        <v>1189</v>
      </c>
      <c r="C542">
        <v>517246</v>
      </c>
      <c r="D542" t="s">
        <v>339</v>
      </c>
      <c r="E542" t="s">
        <v>881</v>
      </c>
    </row>
    <row r="543" spans="2:5">
      <c r="B543" t="s">
        <v>1190</v>
      </c>
      <c r="C543">
        <v>517246</v>
      </c>
      <c r="D543" t="s">
        <v>339</v>
      </c>
      <c r="E543" t="s">
        <v>881</v>
      </c>
    </row>
    <row r="544" spans="2:5">
      <c r="B544" t="s">
        <v>1191</v>
      </c>
      <c r="C544">
        <v>539621</v>
      </c>
      <c r="D544" t="s">
        <v>339</v>
      </c>
      <c r="E544" t="s">
        <v>356</v>
      </c>
    </row>
    <row r="545" spans="2:5">
      <c r="B545" t="s">
        <v>1192</v>
      </c>
      <c r="C545">
        <v>524332</v>
      </c>
      <c r="D545" t="s">
        <v>339</v>
      </c>
      <c r="E545" t="s">
        <v>588</v>
      </c>
    </row>
    <row r="546" spans="2:5">
      <c r="B546" t="s">
        <v>1193</v>
      </c>
      <c r="C546">
        <v>542057</v>
      </c>
      <c r="D546" t="s">
        <v>339</v>
      </c>
      <c r="E546" t="s">
        <v>737</v>
      </c>
    </row>
    <row r="547" spans="2:5">
      <c r="B547" t="s">
        <v>1194</v>
      </c>
      <c r="C547">
        <v>524828</v>
      </c>
      <c r="D547" t="s">
        <v>339</v>
      </c>
      <c r="E547" t="s">
        <v>377</v>
      </c>
    </row>
    <row r="548" spans="2:5">
      <c r="B548" t="s">
        <v>1195</v>
      </c>
      <c r="C548">
        <v>539447</v>
      </c>
      <c r="D548" t="s">
        <v>1196</v>
      </c>
      <c r="E548" t="s">
        <v>534</v>
      </c>
    </row>
    <row r="549" spans="2:5">
      <c r="B549" t="s">
        <v>1197</v>
      </c>
      <c r="C549">
        <v>533270</v>
      </c>
      <c r="D549" t="s">
        <v>1198</v>
      </c>
      <c r="E549" t="s">
        <v>662</v>
      </c>
    </row>
    <row r="550" spans="2:5">
      <c r="B550" t="s">
        <v>1199</v>
      </c>
      <c r="C550">
        <v>539546</v>
      </c>
      <c r="D550" t="s">
        <v>339</v>
      </c>
      <c r="E550" t="s">
        <v>361</v>
      </c>
    </row>
    <row r="551" spans="2:5">
      <c r="B551" t="s">
        <v>1200</v>
      </c>
      <c r="C551">
        <v>539018</v>
      </c>
      <c r="D551" t="s">
        <v>339</v>
      </c>
      <c r="E551" t="s">
        <v>371</v>
      </c>
    </row>
    <row r="552" spans="2:5">
      <c r="B552" t="s">
        <v>1201</v>
      </c>
      <c r="C552">
        <v>532645</v>
      </c>
      <c r="D552" t="s">
        <v>339</v>
      </c>
      <c r="E552" t="s">
        <v>361</v>
      </c>
    </row>
    <row r="553" spans="2:5">
      <c r="B553" t="s">
        <v>1202</v>
      </c>
      <c r="C553">
        <v>539399</v>
      </c>
      <c r="D553" t="s">
        <v>339</v>
      </c>
      <c r="E553" t="s">
        <v>354</v>
      </c>
    </row>
    <row r="554" spans="2:5">
      <c r="B554" t="s">
        <v>1203</v>
      </c>
      <c r="C554">
        <v>522650</v>
      </c>
      <c r="D554" t="s">
        <v>339</v>
      </c>
      <c r="E554" t="s">
        <v>524</v>
      </c>
    </row>
    <row r="555" spans="2:5">
      <c r="B555" t="s">
        <v>1204</v>
      </c>
      <c r="C555">
        <v>500048</v>
      </c>
      <c r="D555" t="s">
        <v>1205</v>
      </c>
      <c r="E555" t="s">
        <v>417</v>
      </c>
    </row>
    <row r="556" spans="2:5">
      <c r="B556" t="s">
        <v>1206</v>
      </c>
      <c r="C556">
        <v>541178</v>
      </c>
      <c r="D556" t="s">
        <v>339</v>
      </c>
      <c r="E556" t="s">
        <v>524</v>
      </c>
    </row>
    <row r="557" spans="2:5">
      <c r="B557" t="s">
        <v>1207</v>
      </c>
      <c r="C557">
        <v>509438</v>
      </c>
      <c r="D557" t="s">
        <v>339</v>
      </c>
      <c r="E557" t="s">
        <v>540</v>
      </c>
    </row>
    <row r="558" spans="2:5">
      <c r="B558" t="s">
        <v>1208</v>
      </c>
      <c r="C558">
        <v>533095</v>
      </c>
      <c r="D558" t="s">
        <v>339</v>
      </c>
      <c r="E558" t="s">
        <v>356</v>
      </c>
    </row>
    <row r="559" spans="2:5">
      <c r="B559" t="s">
        <v>1209</v>
      </c>
      <c r="C559">
        <v>512404</v>
      </c>
      <c r="D559" t="s">
        <v>339</v>
      </c>
      <c r="E559" t="s">
        <v>371</v>
      </c>
    </row>
    <row r="560" spans="2:5">
      <c r="B560" t="s">
        <v>1210</v>
      </c>
      <c r="C560">
        <v>532230</v>
      </c>
      <c r="D560" t="s">
        <v>339</v>
      </c>
      <c r="E560" t="s">
        <v>354</v>
      </c>
    </row>
    <row r="561" spans="2:5">
      <c r="B561" t="s">
        <v>1211</v>
      </c>
      <c r="C561">
        <v>512195</v>
      </c>
      <c r="D561" t="s">
        <v>339</v>
      </c>
      <c r="E561" t="s">
        <v>760</v>
      </c>
    </row>
    <row r="562" spans="2:5">
      <c r="B562" t="s">
        <v>1212</v>
      </c>
      <c r="C562">
        <v>509480</v>
      </c>
      <c r="D562" t="s">
        <v>1213</v>
      </c>
      <c r="E562" t="s">
        <v>616</v>
      </c>
    </row>
    <row r="563" spans="2:5">
      <c r="B563" t="s">
        <v>1214</v>
      </c>
      <c r="C563">
        <v>531340</v>
      </c>
      <c r="D563" t="s">
        <v>339</v>
      </c>
      <c r="E563" t="s">
        <v>322</v>
      </c>
    </row>
    <row r="564" spans="2:5">
      <c r="B564" t="s">
        <v>1215</v>
      </c>
      <c r="C564">
        <v>524606</v>
      </c>
      <c r="D564" t="s">
        <v>339</v>
      </c>
      <c r="E564" t="s">
        <v>377</v>
      </c>
    </row>
    <row r="565" spans="2:5">
      <c r="B565" t="s">
        <v>1216</v>
      </c>
      <c r="C565">
        <v>531582</v>
      </c>
      <c r="D565" t="s">
        <v>339</v>
      </c>
      <c r="E565" t="s">
        <v>356</v>
      </c>
    </row>
    <row r="566" spans="2:5">
      <c r="B566" t="s">
        <v>1217</v>
      </c>
      <c r="C566">
        <v>508664</v>
      </c>
      <c r="D566" t="s">
        <v>339</v>
      </c>
      <c r="E566" t="s">
        <v>540</v>
      </c>
    </row>
    <row r="567" spans="2:5">
      <c r="B567" t="s">
        <v>1218</v>
      </c>
      <c r="C567" t="s">
        <v>339</v>
      </c>
      <c r="D567" t="s">
        <v>1219</v>
      </c>
      <c r="E567" t="s">
        <v>350</v>
      </c>
    </row>
    <row r="568" spans="2:5">
      <c r="B568" t="s">
        <v>1220</v>
      </c>
      <c r="C568">
        <v>512477</v>
      </c>
      <c r="D568" t="s">
        <v>339</v>
      </c>
      <c r="E568" t="s">
        <v>354</v>
      </c>
    </row>
    <row r="569" spans="2:5">
      <c r="B569" t="s">
        <v>1221</v>
      </c>
      <c r="C569">
        <v>512477</v>
      </c>
      <c r="D569" t="s">
        <v>339</v>
      </c>
      <c r="E569" t="s">
        <v>354</v>
      </c>
    </row>
    <row r="570" spans="2:5">
      <c r="B570" t="s">
        <v>1222</v>
      </c>
      <c r="C570">
        <v>533303</v>
      </c>
      <c r="D570" t="s">
        <v>1223</v>
      </c>
      <c r="E570" t="s">
        <v>505</v>
      </c>
    </row>
    <row r="571" spans="2:5">
      <c r="B571" t="s">
        <v>1224</v>
      </c>
      <c r="C571">
        <v>532430</v>
      </c>
      <c r="D571" t="s">
        <v>1225</v>
      </c>
      <c r="E571" t="s">
        <v>478</v>
      </c>
    </row>
    <row r="572" spans="2:5">
      <c r="B572" t="s">
        <v>1226</v>
      </c>
      <c r="C572">
        <v>539662</v>
      </c>
      <c r="D572" t="s">
        <v>339</v>
      </c>
      <c r="E572" t="s">
        <v>356</v>
      </c>
    </row>
    <row r="573" spans="2:5">
      <c r="B573" t="s">
        <v>1227</v>
      </c>
      <c r="C573">
        <v>511664</v>
      </c>
      <c r="D573" t="s">
        <v>339</v>
      </c>
      <c r="E573" t="s">
        <v>342</v>
      </c>
    </row>
    <row r="574" spans="2:5">
      <c r="B574" t="s">
        <v>1228</v>
      </c>
      <c r="C574">
        <v>532930</v>
      </c>
      <c r="D574" t="s">
        <v>1229</v>
      </c>
      <c r="E574" t="s">
        <v>382</v>
      </c>
    </row>
    <row r="575" spans="2:5">
      <c r="B575" t="s">
        <v>1230</v>
      </c>
      <c r="C575">
        <v>530803</v>
      </c>
      <c r="D575" t="s">
        <v>1231</v>
      </c>
      <c r="E575" t="s">
        <v>387</v>
      </c>
    </row>
    <row r="576" spans="2:5">
      <c r="B576" t="s">
        <v>1232</v>
      </c>
      <c r="C576">
        <v>531719</v>
      </c>
      <c r="D576" t="s">
        <v>339</v>
      </c>
      <c r="E576" t="s">
        <v>483</v>
      </c>
    </row>
    <row r="577" spans="2:5">
      <c r="B577" t="s">
        <v>1233</v>
      </c>
      <c r="C577">
        <v>504646</v>
      </c>
      <c r="D577" t="s">
        <v>339</v>
      </c>
      <c r="E577" t="s">
        <v>694</v>
      </c>
    </row>
    <row r="578" spans="2:5">
      <c r="B578" t="s">
        <v>1234</v>
      </c>
      <c r="C578">
        <v>509449</v>
      </c>
      <c r="D578" t="s">
        <v>339</v>
      </c>
      <c r="E578" t="s">
        <v>387</v>
      </c>
    </row>
    <row r="579" spans="2:5">
      <c r="B579" t="s">
        <v>1235</v>
      </c>
      <c r="C579">
        <v>512296</v>
      </c>
      <c r="D579" t="s">
        <v>1236</v>
      </c>
      <c r="E579" t="s">
        <v>413</v>
      </c>
    </row>
    <row r="580" spans="2:5">
      <c r="B580" t="s">
        <v>1237</v>
      </c>
      <c r="C580">
        <v>512296</v>
      </c>
      <c r="D580" t="s">
        <v>1236</v>
      </c>
      <c r="E580" t="s">
        <v>413</v>
      </c>
    </row>
    <row r="581" spans="2:5">
      <c r="B581" t="s">
        <v>1238</v>
      </c>
      <c r="C581">
        <v>540621</v>
      </c>
      <c r="D581" t="s">
        <v>1239</v>
      </c>
      <c r="E581" t="s">
        <v>425</v>
      </c>
    </row>
    <row r="582" spans="2:5">
      <c r="B582" t="s">
        <v>1240</v>
      </c>
      <c r="C582">
        <v>540545</v>
      </c>
      <c r="D582" t="s">
        <v>339</v>
      </c>
      <c r="E582" t="s">
        <v>453</v>
      </c>
    </row>
    <row r="583" spans="2:5">
      <c r="B583" t="s">
        <v>1241</v>
      </c>
      <c r="C583">
        <v>512608</v>
      </c>
      <c r="D583" t="s">
        <v>1242</v>
      </c>
      <c r="E583" t="s">
        <v>453</v>
      </c>
    </row>
    <row r="584" spans="2:5">
      <c r="B584" t="s">
        <v>1243</v>
      </c>
      <c r="C584">
        <v>538576</v>
      </c>
      <c r="D584" t="s">
        <v>339</v>
      </c>
      <c r="E584" t="s">
        <v>425</v>
      </c>
    </row>
    <row r="585" spans="2:5">
      <c r="B585" t="s">
        <v>1244</v>
      </c>
      <c r="C585">
        <v>500052</v>
      </c>
      <c r="D585" t="s">
        <v>1245</v>
      </c>
      <c r="E585" t="s">
        <v>499</v>
      </c>
    </row>
    <row r="586" spans="2:5">
      <c r="B586" t="s">
        <v>1246</v>
      </c>
      <c r="C586">
        <v>531862</v>
      </c>
      <c r="D586" t="s">
        <v>339</v>
      </c>
      <c r="E586" t="s">
        <v>847</v>
      </c>
    </row>
    <row r="587" spans="2:5">
      <c r="B587" t="s">
        <v>1247</v>
      </c>
      <c r="C587">
        <v>511501</v>
      </c>
      <c r="D587" t="s">
        <v>339</v>
      </c>
      <c r="E587" t="s">
        <v>322</v>
      </c>
    </row>
    <row r="588" spans="2:5">
      <c r="B588" t="s">
        <v>1248</v>
      </c>
      <c r="C588">
        <v>503960</v>
      </c>
      <c r="D588" t="s">
        <v>1249</v>
      </c>
      <c r="E588" t="s">
        <v>637</v>
      </c>
    </row>
    <row r="589" spans="2:5">
      <c r="B589" t="s">
        <v>1250</v>
      </c>
      <c r="C589">
        <v>541143</v>
      </c>
      <c r="D589" t="s">
        <v>1251</v>
      </c>
      <c r="E589" t="s">
        <v>812</v>
      </c>
    </row>
    <row r="590" spans="2:5">
      <c r="B590" t="s">
        <v>1252</v>
      </c>
      <c r="C590">
        <v>500049</v>
      </c>
      <c r="D590" t="s">
        <v>1253</v>
      </c>
      <c r="E590" t="s">
        <v>812</v>
      </c>
    </row>
    <row r="591" spans="2:5">
      <c r="B591" t="s">
        <v>1254</v>
      </c>
      <c r="C591">
        <v>533228</v>
      </c>
      <c r="D591" t="s">
        <v>1255</v>
      </c>
      <c r="E591" t="s">
        <v>356</v>
      </c>
    </row>
    <row r="592" spans="2:5">
      <c r="B592" t="s">
        <v>1256</v>
      </c>
      <c r="C592">
        <v>500493</v>
      </c>
      <c r="D592" t="s">
        <v>1257</v>
      </c>
      <c r="E592" t="s">
        <v>1258</v>
      </c>
    </row>
    <row r="593" spans="2:5">
      <c r="B593" t="s">
        <v>1259</v>
      </c>
      <c r="C593">
        <v>505688</v>
      </c>
      <c r="D593" t="s">
        <v>1260</v>
      </c>
      <c r="E593" t="s">
        <v>694</v>
      </c>
    </row>
    <row r="594" spans="2:5">
      <c r="B594" t="s">
        <v>1261</v>
      </c>
      <c r="C594">
        <v>500103</v>
      </c>
      <c r="D594" t="s">
        <v>1262</v>
      </c>
      <c r="E594" t="s">
        <v>382</v>
      </c>
    </row>
    <row r="595" spans="2:5">
      <c r="B595" t="s">
        <v>1263</v>
      </c>
      <c r="C595">
        <v>524663</v>
      </c>
      <c r="D595" t="s">
        <v>339</v>
      </c>
      <c r="E595" t="s">
        <v>377</v>
      </c>
    </row>
    <row r="596" spans="2:5">
      <c r="B596" t="s">
        <v>1264</v>
      </c>
      <c r="C596">
        <v>541096</v>
      </c>
      <c r="D596" t="s">
        <v>339</v>
      </c>
      <c r="E596" t="s">
        <v>377</v>
      </c>
    </row>
    <row r="597" spans="2:5">
      <c r="B597" t="s">
        <v>1265</v>
      </c>
      <c r="C597">
        <v>500547</v>
      </c>
      <c r="D597" t="s">
        <v>1266</v>
      </c>
      <c r="E597" t="s">
        <v>1267</v>
      </c>
    </row>
    <row r="598" spans="2:5">
      <c r="B598" t="s">
        <v>1268</v>
      </c>
      <c r="C598">
        <v>590021</v>
      </c>
      <c r="D598" t="s">
        <v>1269</v>
      </c>
      <c r="E598" t="s">
        <v>483</v>
      </c>
    </row>
    <row r="599" spans="2:5">
      <c r="B599" t="s">
        <v>1270</v>
      </c>
      <c r="C599">
        <v>540700</v>
      </c>
      <c r="D599" t="s">
        <v>1271</v>
      </c>
      <c r="E599" t="s">
        <v>934</v>
      </c>
    </row>
    <row r="600" spans="2:5">
      <c r="B600" t="s">
        <v>1272</v>
      </c>
      <c r="C600">
        <v>523229</v>
      </c>
      <c r="D600" t="s">
        <v>339</v>
      </c>
      <c r="E600" t="s">
        <v>694</v>
      </c>
    </row>
    <row r="601" spans="2:5">
      <c r="B601" t="s">
        <v>1273</v>
      </c>
      <c r="C601">
        <v>531029</v>
      </c>
      <c r="D601" t="s">
        <v>339</v>
      </c>
      <c r="E601" t="s">
        <v>361</v>
      </c>
    </row>
    <row r="602" spans="2:5">
      <c r="B602" t="s">
        <v>1274</v>
      </c>
      <c r="C602">
        <v>539799</v>
      </c>
      <c r="D602" t="s">
        <v>1275</v>
      </c>
      <c r="E602" t="s">
        <v>662</v>
      </c>
    </row>
    <row r="603" spans="2:5">
      <c r="B603" t="s">
        <v>1276</v>
      </c>
      <c r="C603">
        <v>532609</v>
      </c>
      <c r="D603" t="s">
        <v>1277</v>
      </c>
      <c r="E603" t="s">
        <v>417</v>
      </c>
    </row>
    <row r="604" spans="2:5">
      <c r="B604" t="s">
        <v>1278</v>
      </c>
      <c r="C604">
        <v>533499</v>
      </c>
      <c r="D604" t="s">
        <v>1279</v>
      </c>
      <c r="E604" t="s">
        <v>325</v>
      </c>
    </row>
    <row r="605" spans="2:5">
      <c r="B605" t="s">
        <v>1280</v>
      </c>
      <c r="C605">
        <v>532454</v>
      </c>
      <c r="D605" t="s">
        <v>1281</v>
      </c>
      <c r="E605" t="s">
        <v>1282</v>
      </c>
    </row>
    <row r="606" spans="2:5">
      <c r="B606" t="s">
        <v>1283</v>
      </c>
      <c r="C606">
        <v>534816</v>
      </c>
      <c r="D606" t="s">
        <v>1284</v>
      </c>
      <c r="E606" t="s">
        <v>1285</v>
      </c>
    </row>
    <row r="607" spans="2:5">
      <c r="B607" t="s">
        <v>1286</v>
      </c>
      <c r="C607">
        <v>526666</v>
      </c>
      <c r="D607" t="s">
        <v>1287</v>
      </c>
      <c r="E607" t="s">
        <v>453</v>
      </c>
    </row>
    <row r="608" spans="2:5">
      <c r="B608" t="s">
        <v>1288</v>
      </c>
      <c r="C608">
        <v>524534</v>
      </c>
      <c r="D608" t="s">
        <v>339</v>
      </c>
      <c r="E608" t="s">
        <v>483</v>
      </c>
    </row>
    <row r="609" spans="2:5">
      <c r="B609" t="s">
        <v>1289</v>
      </c>
      <c r="C609">
        <v>540956</v>
      </c>
      <c r="D609" t="s">
        <v>339</v>
      </c>
      <c r="E609" t="s">
        <v>340</v>
      </c>
    </row>
    <row r="610" spans="2:5">
      <c r="B610" t="s">
        <v>1290</v>
      </c>
      <c r="C610">
        <v>540956</v>
      </c>
      <c r="D610" t="s">
        <v>339</v>
      </c>
      <c r="E610" t="s">
        <v>340</v>
      </c>
    </row>
    <row r="611" spans="2:5">
      <c r="B611" t="s">
        <v>1291</v>
      </c>
      <c r="C611">
        <v>514272</v>
      </c>
      <c r="D611" t="s">
        <v>339</v>
      </c>
      <c r="E611" t="s">
        <v>354</v>
      </c>
    </row>
    <row r="612" spans="2:5">
      <c r="B612" t="s">
        <v>1292</v>
      </c>
      <c r="C612">
        <v>533108</v>
      </c>
      <c r="D612" t="s">
        <v>339</v>
      </c>
      <c r="E612" t="s">
        <v>354</v>
      </c>
    </row>
    <row r="613" spans="2:5">
      <c r="B613" t="s">
        <v>1293</v>
      </c>
      <c r="C613">
        <v>506027</v>
      </c>
      <c r="D613" t="s">
        <v>339</v>
      </c>
      <c r="E613" t="s">
        <v>644</v>
      </c>
    </row>
    <row r="614" spans="2:5">
      <c r="B614" t="s">
        <v>1294</v>
      </c>
      <c r="C614">
        <v>500055</v>
      </c>
      <c r="D614" t="s">
        <v>1295</v>
      </c>
      <c r="E614" t="s">
        <v>371</v>
      </c>
    </row>
    <row r="615" spans="2:5">
      <c r="B615" t="s">
        <v>1296</v>
      </c>
      <c r="C615">
        <v>540061</v>
      </c>
      <c r="D615" t="s">
        <v>1297</v>
      </c>
      <c r="E615" t="s">
        <v>352</v>
      </c>
    </row>
    <row r="616" spans="2:5">
      <c r="B616" t="s">
        <v>1298</v>
      </c>
      <c r="C616">
        <v>500058</v>
      </c>
      <c r="D616" t="s">
        <v>339</v>
      </c>
      <c r="E616" t="s">
        <v>371</v>
      </c>
    </row>
    <row r="617" spans="2:5">
      <c r="B617" t="s">
        <v>1299</v>
      </c>
      <c r="C617">
        <v>524723</v>
      </c>
      <c r="D617" t="s">
        <v>339</v>
      </c>
      <c r="E617" t="s">
        <v>361</v>
      </c>
    </row>
    <row r="618" spans="2:5">
      <c r="B618" t="s">
        <v>1300</v>
      </c>
      <c r="C618">
        <v>533321</v>
      </c>
      <c r="D618" t="s">
        <v>1301</v>
      </c>
      <c r="E618" t="s">
        <v>637</v>
      </c>
    </row>
    <row r="619" spans="2:5">
      <c r="B619" t="s">
        <v>1302</v>
      </c>
      <c r="C619">
        <v>526853</v>
      </c>
      <c r="D619" t="s">
        <v>339</v>
      </c>
      <c r="E619" t="s">
        <v>1303</v>
      </c>
    </row>
    <row r="620" spans="2:5">
      <c r="B620" t="s">
        <v>1304</v>
      </c>
      <c r="C620">
        <v>505681</v>
      </c>
      <c r="D620" t="s">
        <v>339</v>
      </c>
      <c r="E620" t="s">
        <v>694</v>
      </c>
    </row>
    <row r="621" spans="2:5">
      <c r="B621" t="s">
        <v>1305</v>
      </c>
      <c r="C621">
        <v>500059</v>
      </c>
      <c r="D621" t="s">
        <v>1306</v>
      </c>
      <c r="E621" t="s">
        <v>505</v>
      </c>
    </row>
    <row r="622" spans="2:5">
      <c r="B622" t="s">
        <v>1307</v>
      </c>
      <c r="C622">
        <v>523054</v>
      </c>
      <c r="D622" t="s">
        <v>339</v>
      </c>
      <c r="E622" t="s">
        <v>354</v>
      </c>
    </row>
    <row r="623" spans="2:5">
      <c r="B623" t="s">
        <v>1308</v>
      </c>
      <c r="C623">
        <v>540148</v>
      </c>
      <c r="D623" t="s">
        <v>339</v>
      </c>
      <c r="E623" t="s">
        <v>453</v>
      </c>
    </row>
    <row r="624" spans="2:5">
      <c r="B624" t="s">
        <v>1309</v>
      </c>
      <c r="C624">
        <v>514215</v>
      </c>
      <c r="D624" t="s">
        <v>339</v>
      </c>
      <c r="E624" t="s">
        <v>354</v>
      </c>
    </row>
    <row r="625" spans="2:5">
      <c r="B625" t="s">
        <v>1310</v>
      </c>
      <c r="C625">
        <v>535620</v>
      </c>
      <c r="D625" t="s">
        <v>339</v>
      </c>
      <c r="E625" t="s">
        <v>361</v>
      </c>
    </row>
    <row r="626" spans="2:5">
      <c r="B626" t="s">
        <v>1311</v>
      </c>
      <c r="C626">
        <v>534535</v>
      </c>
      <c r="D626" t="s">
        <v>339</v>
      </c>
      <c r="E626" t="s">
        <v>333</v>
      </c>
    </row>
    <row r="627" spans="2:5">
      <c r="B627" t="s">
        <v>1312</v>
      </c>
      <c r="C627">
        <v>532523</v>
      </c>
      <c r="D627" t="s">
        <v>1313</v>
      </c>
      <c r="E627" t="s">
        <v>677</v>
      </c>
    </row>
    <row r="628" spans="2:5">
      <c r="B628" t="s">
        <v>1314</v>
      </c>
      <c r="C628">
        <v>524396</v>
      </c>
      <c r="D628" t="s">
        <v>1315</v>
      </c>
      <c r="E628" t="s">
        <v>377</v>
      </c>
    </row>
    <row r="629" spans="2:5">
      <c r="B629" t="s">
        <v>1316</v>
      </c>
      <c r="C629">
        <v>532330</v>
      </c>
      <c r="D629" t="s">
        <v>339</v>
      </c>
      <c r="E629" t="s">
        <v>459</v>
      </c>
    </row>
    <row r="630" spans="2:5">
      <c r="B630" t="s">
        <v>1317</v>
      </c>
      <c r="C630">
        <v>538364</v>
      </c>
      <c r="D630" t="s">
        <v>339</v>
      </c>
      <c r="E630" t="s">
        <v>354</v>
      </c>
    </row>
    <row r="631" spans="2:5">
      <c r="B631" t="s">
        <v>1318</v>
      </c>
      <c r="C631">
        <v>500060</v>
      </c>
      <c r="D631" t="s">
        <v>1319</v>
      </c>
      <c r="E631" t="s">
        <v>637</v>
      </c>
    </row>
    <row r="632" spans="2:5">
      <c r="B632" t="s">
        <v>1320</v>
      </c>
      <c r="C632">
        <v>500335</v>
      </c>
      <c r="D632" t="s">
        <v>1321</v>
      </c>
      <c r="E632" t="s">
        <v>352</v>
      </c>
    </row>
    <row r="633" spans="2:5">
      <c r="B633" t="s">
        <v>1322</v>
      </c>
      <c r="C633">
        <v>533006</v>
      </c>
      <c r="D633" t="s">
        <v>339</v>
      </c>
      <c r="E633" t="s">
        <v>354</v>
      </c>
    </row>
    <row r="634" spans="2:5">
      <c r="B634" t="s">
        <v>1323</v>
      </c>
      <c r="C634">
        <v>533006</v>
      </c>
      <c r="D634" t="s">
        <v>339</v>
      </c>
      <c r="E634" t="s">
        <v>354</v>
      </c>
    </row>
    <row r="635" spans="2:5">
      <c r="B635" t="s">
        <v>1324</v>
      </c>
      <c r="C635">
        <v>522105</v>
      </c>
      <c r="D635" t="s">
        <v>339</v>
      </c>
      <c r="E635" t="s">
        <v>347</v>
      </c>
    </row>
    <row r="636" spans="2:5">
      <c r="B636" t="s">
        <v>1325</v>
      </c>
      <c r="C636">
        <v>533408</v>
      </c>
      <c r="D636" t="s">
        <v>1326</v>
      </c>
      <c r="E636" t="s">
        <v>322</v>
      </c>
    </row>
    <row r="637" spans="2:5">
      <c r="B637" t="s">
        <v>1327</v>
      </c>
      <c r="C637" t="s">
        <v>339</v>
      </c>
      <c r="D637" t="s">
        <v>1328</v>
      </c>
      <c r="E637" t="s">
        <v>325</v>
      </c>
    </row>
    <row r="638" spans="2:5">
      <c r="B638" t="s">
        <v>1329</v>
      </c>
      <c r="C638">
        <v>539043</v>
      </c>
      <c r="D638" t="s">
        <v>1330</v>
      </c>
      <c r="E638" t="s">
        <v>534</v>
      </c>
    </row>
    <row r="639" spans="2:5">
      <c r="B639" t="s">
        <v>1331</v>
      </c>
      <c r="C639">
        <v>514183</v>
      </c>
      <c r="D639" t="s">
        <v>339</v>
      </c>
      <c r="E639" t="s">
        <v>499</v>
      </c>
    </row>
    <row r="640" spans="2:5">
      <c r="B640" t="s">
        <v>1332</v>
      </c>
      <c r="C640">
        <v>532290</v>
      </c>
      <c r="D640" t="s">
        <v>1333</v>
      </c>
      <c r="E640" t="s">
        <v>322</v>
      </c>
    </row>
    <row r="641" spans="2:5">
      <c r="B641" t="s">
        <v>1334</v>
      </c>
      <c r="C641">
        <v>506197</v>
      </c>
      <c r="D641" t="s">
        <v>1335</v>
      </c>
      <c r="E641" t="s">
        <v>377</v>
      </c>
    </row>
    <row r="642" spans="2:5">
      <c r="B642" t="s">
        <v>1336</v>
      </c>
      <c r="C642">
        <v>526225</v>
      </c>
      <c r="D642" t="s">
        <v>339</v>
      </c>
      <c r="E642" t="s">
        <v>459</v>
      </c>
    </row>
    <row r="643" spans="2:5">
      <c r="B643" t="s">
        <v>1337</v>
      </c>
      <c r="C643">
        <v>513422</v>
      </c>
      <c r="D643" t="s">
        <v>339</v>
      </c>
      <c r="E643" t="s">
        <v>371</v>
      </c>
    </row>
    <row r="644" spans="2:5">
      <c r="B644" t="s">
        <v>1338</v>
      </c>
      <c r="C644">
        <v>531175</v>
      </c>
      <c r="D644" t="s">
        <v>339</v>
      </c>
      <c r="E644" t="s">
        <v>432</v>
      </c>
    </row>
    <row r="645" spans="2:5">
      <c r="B645" t="s">
        <v>1339</v>
      </c>
      <c r="C645">
        <v>540073</v>
      </c>
      <c r="D645" t="s">
        <v>1340</v>
      </c>
      <c r="E645" t="s">
        <v>1341</v>
      </c>
    </row>
    <row r="646" spans="2:5">
      <c r="B646" t="s">
        <v>1342</v>
      </c>
      <c r="C646">
        <v>502761</v>
      </c>
      <c r="D646" t="s">
        <v>339</v>
      </c>
      <c r="E646" t="s">
        <v>354</v>
      </c>
    </row>
    <row r="647" spans="2:5">
      <c r="B647" t="s">
        <v>1343</v>
      </c>
      <c r="C647" t="s">
        <v>339</v>
      </c>
      <c r="D647" t="s">
        <v>1344</v>
      </c>
      <c r="E647" t="s">
        <v>430</v>
      </c>
    </row>
    <row r="648" spans="2:5">
      <c r="B648" t="s">
        <v>1345</v>
      </c>
      <c r="C648">
        <v>502761</v>
      </c>
      <c r="D648" t="s">
        <v>339</v>
      </c>
      <c r="E648" t="s">
        <v>354</v>
      </c>
    </row>
    <row r="649" spans="2:5">
      <c r="B649" t="s">
        <v>1346</v>
      </c>
      <c r="C649">
        <v>506981</v>
      </c>
      <c r="D649" t="s">
        <v>339</v>
      </c>
      <c r="E649" t="s">
        <v>354</v>
      </c>
    </row>
    <row r="650" spans="2:5">
      <c r="B650" t="s">
        <v>1347</v>
      </c>
      <c r="C650">
        <v>508939</v>
      </c>
      <c r="D650" t="s">
        <v>339</v>
      </c>
      <c r="E650" t="s">
        <v>356</v>
      </c>
    </row>
    <row r="651" spans="2:5">
      <c r="B651" t="s">
        <v>1348</v>
      </c>
      <c r="C651">
        <v>539607</v>
      </c>
      <c r="D651" t="s">
        <v>339</v>
      </c>
      <c r="E651" t="s">
        <v>432</v>
      </c>
    </row>
    <row r="652" spans="2:5">
      <c r="B652" t="s">
        <v>1349</v>
      </c>
      <c r="C652">
        <v>531495</v>
      </c>
      <c r="D652" t="s">
        <v>1350</v>
      </c>
      <c r="E652" t="s">
        <v>540</v>
      </c>
    </row>
    <row r="653" spans="2:5">
      <c r="B653" t="s">
        <v>1351</v>
      </c>
      <c r="C653">
        <v>526612</v>
      </c>
      <c r="D653" t="s">
        <v>1352</v>
      </c>
      <c r="E653" t="s">
        <v>660</v>
      </c>
    </row>
    <row r="654" spans="2:5">
      <c r="B654" t="s">
        <v>1353</v>
      </c>
      <c r="C654">
        <v>514440</v>
      </c>
      <c r="D654" t="s">
        <v>339</v>
      </c>
      <c r="E654" t="s">
        <v>387</v>
      </c>
    </row>
    <row r="655" spans="2:5">
      <c r="B655" t="s">
        <v>1354</v>
      </c>
      <c r="C655">
        <v>500067</v>
      </c>
      <c r="D655" t="s">
        <v>1355</v>
      </c>
      <c r="E655" t="s">
        <v>708</v>
      </c>
    </row>
    <row r="656" spans="2:5">
      <c r="B656" t="s">
        <v>1356</v>
      </c>
      <c r="C656">
        <v>539637</v>
      </c>
      <c r="D656" t="s">
        <v>339</v>
      </c>
      <c r="E656" t="s">
        <v>322</v>
      </c>
    </row>
    <row r="657" spans="2:5">
      <c r="B657" t="s">
        <v>1357</v>
      </c>
      <c r="C657">
        <v>531713</v>
      </c>
      <c r="D657" t="s">
        <v>339</v>
      </c>
      <c r="E657" t="s">
        <v>760</v>
      </c>
    </row>
    <row r="658" spans="2:5">
      <c r="B658" t="s">
        <v>1358</v>
      </c>
      <c r="C658">
        <v>531420</v>
      </c>
      <c r="D658" t="s">
        <v>339</v>
      </c>
      <c r="E658" t="s">
        <v>342</v>
      </c>
    </row>
    <row r="659" spans="2:5">
      <c r="B659" t="s">
        <v>1359</v>
      </c>
      <c r="C659">
        <v>542669</v>
      </c>
      <c r="D659" t="s">
        <v>1360</v>
      </c>
      <c r="E659" t="s">
        <v>457</v>
      </c>
    </row>
    <row r="660" spans="2:5">
      <c r="B660" t="s">
        <v>1361</v>
      </c>
      <c r="C660">
        <v>500069</v>
      </c>
      <c r="D660" t="s">
        <v>339</v>
      </c>
      <c r="E660" t="s">
        <v>322</v>
      </c>
    </row>
    <row r="661" spans="2:5">
      <c r="B661" t="s">
        <v>1362</v>
      </c>
      <c r="C661">
        <v>530809</v>
      </c>
      <c r="D661" t="s">
        <v>339</v>
      </c>
      <c r="E661" t="s">
        <v>669</v>
      </c>
    </row>
    <row r="662" spans="2:5">
      <c r="B662" t="s">
        <v>1363</v>
      </c>
      <c r="C662">
        <v>524370</v>
      </c>
      <c r="D662" t="s">
        <v>1364</v>
      </c>
      <c r="E662" t="s">
        <v>499</v>
      </c>
    </row>
    <row r="663" spans="2:5">
      <c r="B663" t="s">
        <v>1365</v>
      </c>
      <c r="C663">
        <v>539122</v>
      </c>
      <c r="D663" t="s">
        <v>339</v>
      </c>
      <c r="E663" t="s">
        <v>325</v>
      </c>
    </row>
    <row r="664" spans="2:5">
      <c r="B664" t="s">
        <v>1366</v>
      </c>
      <c r="C664" t="s">
        <v>339</v>
      </c>
      <c r="D664" t="s">
        <v>1367</v>
      </c>
      <c r="E664" t="s">
        <v>350</v>
      </c>
    </row>
    <row r="665" spans="2:5">
      <c r="B665" t="s">
        <v>1368</v>
      </c>
      <c r="C665">
        <v>501425</v>
      </c>
      <c r="D665" t="s">
        <v>1369</v>
      </c>
      <c r="E665" t="s">
        <v>746</v>
      </c>
    </row>
    <row r="666" spans="2:5">
      <c r="B666" t="s">
        <v>1370</v>
      </c>
      <c r="C666">
        <v>501430</v>
      </c>
      <c r="D666" t="s">
        <v>339</v>
      </c>
      <c r="E666" t="s">
        <v>361</v>
      </c>
    </row>
    <row r="667" spans="2:5">
      <c r="B667" t="s">
        <v>1371</v>
      </c>
      <c r="C667">
        <v>500020</v>
      </c>
      <c r="D667" t="s">
        <v>1372</v>
      </c>
      <c r="E667" t="s">
        <v>354</v>
      </c>
    </row>
    <row r="668" spans="2:5">
      <c r="B668" t="s">
        <v>1373</v>
      </c>
      <c r="C668">
        <v>509470</v>
      </c>
      <c r="D668" t="s">
        <v>339</v>
      </c>
      <c r="E668" t="s">
        <v>1374</v>
      </c>
    </row>
    <row r="669" spans="2:5">
      <c r="B669" t="s">
        <v>1375</v>
      </c>
      <c r="C669">
        <v>502216</v>
      </c>
      <c r="D669" t="s">
        <v>339</v>
      </c>
      <c r="E669" t="s">
        <v>425</v>
      </c>
    </row>
    <row r="670" spans="2:5">
      <c r="B670" t="s">
        <v>1376</v>
      </c>
      <c r="C670">
        <v>532678</v>
      </c>
      <c r="D670" t="s">
        <v>1377</v>
      </c>
      <c r="E670" t="s">
        <v>354</v>
      </c>
    </row>
    <row r="671" spans="2:5">
      <c r="B671" t="s">
        <v>1378</v>
      </c>
      <c r="C671" t="s">
        <v>339</v>
      </c>
      <c r="D671" t="s">
        <v>1379</v>
      </c>
      <c r="E671" t="s">
        <v>350</v>
      </c>
    </row>
    <row r="672" spans="2:5">
      <c r="B672" t="s">
        <v>1380</v>
      </c>
      <c r="C672">
        <v>504648</v>
      </c>
      <c r="D672" t="s">
        <v>339</v>
      </c>
      <c r="E672" t="s">
        <v>662</v>
      </c>
    </row>
    <row r="673" spans="2:5">
      <c r="B673" t="s">
        <v>1381</v>
      </c>
      <c r="C673">
        <v>523133</v>
      </c>
      <c r="D673" t="s">
        <v>339</v>
      </c>
      <c r="E673" t="s">
        <v>354</v>
      </c>
    </row>
    <row r="674" spans="2:5">
      <c r="B674" t="s">
        <v>1382</v>
      </c>
      <c r="C674">
        <v>502219</v>
      </c>
      <c r="D674" t="s">
        <v>1383</v>
      </c>
      <c r="E674" t="s">
        <v>1384</v>
      </c>
    </row>
    <row r="675" spans="2:5">
      <c r="B675" t="s">
        <v>1385</v>
      </c>
      <c r="C675">
        <v>500530</v>
      </c>
      <c r="D675" t="s">
        <v>1386</v>
      </c>
      <c r="E675" t="s">
        <v>694</v>
      </c>
    </row>
    <row r="676" spans="2:5">
      <c r="B676" t="s">
        <v>1387</v>
      </c>
      <c r="C676">
        <v>536820</v>
      </c>
      <c r="D676" t="s">
        <v>339</v>
      </c>
      <c r="E676" t="s">
        <v>432</v>
      </c>
    </row>
    <row r="677" spans="2:5">
      <c r="B677" t="s">
        <v>1388</v>
      </c>
      <c r="C677">
        <v>536820</v>
      </c>
      <c r="D677" t="s">
        <v>339</v>
      </c>
      <c r="E677" t="s">
        <v>432</v>
      </c>
    </row>
    <row r="678" spans="2:5">
      <c r="B678" t="s">
        <v>1389</v>
      </c>
      <c r="C678">
        <v>535279</v>
      </c>
      <c r="D678" t="s">
        <v>339</v>
      </c>
      <c r="E678" t="s">
        <v>644</v>
      </c>
    </row>
    <row r="679" spans="2:5">
      <c r="B679" t="s">
        <v>1390</v>
      </c>
      <c r="C679">
        <v>500074</v>
      </c>
      <c r="D679" t="s">
        <v>1391</v>
      </c>
      <c r="E679" t="s">
        <v>708</v>
      </c>
    </row>
    <row r="680" spans="2:5">
      <c r="B680" t="s">
        <v>1392</v>
      </c>
      <c r="C680">
        <v>505690</v>
      </c>
      <c r="D680" t="s">
        <v>339</v>
      </c>
      <c r="E680" t="s">
        <v>417</v>
      </c>
    </row>
    <row r="681" spans="2:5">
      <c r="B681" t="s">
        <v>1393</v>
      </c>
      <c r="C681">
        <v>535693</v>
      </c>
      <c r="D681" t="s">
        <v>339</v>
      </c>
      <c r="E681" t="s">
        <v>737</v>
      </c>
    </row>
    <row r="682" spans="2:5">
      <c r="B682" t="s">
        <v>1394</v>
      </c>
      <c r="C682" t="s">
        <v>339</v>
      </c>
      <c r="D682" t="s">
        <v>1395</v>
      </c>
      <c r="E682" t="s">
        <v>350</v>
      </c>
    </row>
    <row r="683" spans="2:5">
      <c r="B683" t="s">
        <v>1396</v>
      </c>
      <c r="C683">
        <v>531203</v>
      </c>
      <c r="D683" t="s">
        <v>339</v>
      </c>
      <c r="E683" t="s">
        <v>423</v>
      </c>
    </row>
    <row r="684" spans="2:5">
      <c r="B684" t="s">
        <v>1397</v>
      </c>
      <c r="C684">
        <v>530207</v>
      </c>
      <c r="D684" t="s">
        <v>339</v>
      </c>
      <c r="E684" t="s">
        <v>377</v>
      </c>
    </row>
    <row r="685" spans="2:5">
      <c r="B685" t="s">
        <v>1398</v>
      </c>
      <c r="C685">
        <v>530249</v>
      </c>
      <c r="D685" t="s">
        <v>339</v>
      </c>
      <c r="E685" t="s">
        <v>322</v>
      </c>
    </row>
    <row r="686" spans="2:5">
      <c r="B686" t="s">
        <v>1399</v>
      </c>
      <c r="C686">
        <v>532929</v>
      </c>
      <c r="D686" t="s">
        <v>1400</v>
      </c>
      <c r="E686" t="s">
        <v>425</v>
      </c>
    </row>
    <row r="687" spans="2:5">
      <c r="B687" t="s">
        <v>1401</v>
      </c>
      <c r="C687">
        <v>526731</v>
      </c>
      <c r="D687" t="s">
        <v>339</v>
      </c>
      <c r="E687" t="s">
        <v>534</v>
      </c>
    </row>
    <row r="688" spans="2:5">
      <c r="B688" t="s">
        <v>1402</v>
      </c>
      <c r="C688" t="s">
        <v>339</v>
      </c>
      <c r="D688" t="s">
        <v>1403</v>
      </c>
      <c r="E688" t="s">
        <v>350</v>
      </c>
    </row>
    <row r="689" spans="2:5">
      <c r="B689" t="s">
        <v>1404</v>
      </c>
      <c r="C689">
        <v>532368</v>
      </c>
      <c r="D689" t="s">
        <v>1405</v>
      </c>
      <c r="E689" t="s">
        <v>432</v>
      </c>
    </row>
    <row r="690" spans="2:5">
      <c r="B690" t="s">
        <v>1406</v>
      </c>
      <c r="C690">
        <v>532113</v>
      </c>
      <c r="D690" t="s">
        <v>1407</v>
      </c>
      <c r="E690" t="s">
        <v>356</v>
      </c>
    </row>
    <row r="691" spans="2:5">
      <c r="B691" t="s">
        <v>1408</v>
      </c>
      <c r="C691">
        <v>539434</v>
      </c>
      <c r="D691" t="s">
        <v>339</v>
      </c>
      <c r="E691" t="s">
        <v>356</v>
      </c>
    </row>
    <row r="692" spans="2:5">
      <c r="B692" t="s">
        <v>1409</v>
      </c>
      <c r="C692">
        <v>500825</v>
      </c>
      <c r="D692" t="s">
        <v>1410</v>
      </c>
      <c r="E692" t="s">
        <v>399</v>
      </c>
    </row>
    <row r="693" spans="2:5">
      <c r="B693" t="s">
        <v>1411</v>
      </c>
      <c r="C693">
        <v>534731</v>
      </c>
      <c r="D693" t="s">
        <v>339</v>
      </c>
      <c r="E693" t="s">
        <v>737</v>
      </c>
    </row>
    <row r="694" spans="2:5">
      <c r="B694" t="s">
        <v>1412</v>
      </c>
      <c r="C694">
        <v>533543</v>
      </c>
      <c r="D694" t="s">
        <v>1413</v>
      </c>
      <c r="E694" t="s">
        <v>377</v>
      </c>
    </row>
    <row r="695" spans="2:5">
      <c r="B695" t="s">
        <v>1414</v>
      </c>
      <c r="C695" t="s">
        <v>339</v>
      </c>
      <c r="D695" t="s">
        <v>314</v>
      </c>
      <c r="E695" t="s">
        <v>430</v>
      </c>
    </row>
    <row r="696" spans="2:5">
      <c r="B696" t="s">
        <v>1415</v>
      </c>
      <c r="C696">
        <v>532123</v>
      </c>
      <c r="D696" t="s">
        <v>1416</v>
      </c>
      <c r="E696" t="s">
        <v>425</v>
      </c>
    </row>
    <row r="697" spans="2:5">
      <c r="B697" t="s">
        <v>1417</v>
      </c>
      <c r="C697">
        <v>514045</v>
      </c>
      <c r="D697" t="s">
        <v>1418</v>
      </c>
      <c r="E697" t="s">
        <v>354</v>
      </c>
    </row>
    <row r="698" spans="2:5">
      <c r="B698" t="s">
        <v>1419</v>
      </c>
      <c r="C698">
        <v>538789</v>
      </c>
      <c r="D698" t="s">
        <v>339</v>
      </c>
      <c r="E698" t="s">
        <v>576</v>
      </c>
    </row>
    <row r="699" spans="2:5">
      <c r="B699" t="s">
        <v>1420</v>
      </c>
      <c r="C699">
        <v>540006</v>
      </c>
      <c r="D699" t="s">
        <v>339</v>
      </c>
      <c r="E699" t="s">
        <v>322</v>
      </c>
    </row>
    <row r="700" spans="2:5">
      <c r="B700" t="s">
        <v>1421</v>
      </c>
      <c r="C700">
        <v>532931</v>
      </c>
      <c r="D700" t="s">
        <v>1422</v>
      </c>
      <c r="E700" t="s">
        <v>352</v>
      </c>
    </row>
    <row r="701" spans="2:5">
      <c r="B701" t="s">
        <v>1423</v>
      </c>
      <c r="C701">
        <v>517421</v>
      </c>
      <c r="D701" t="s">
        <v>1424</v>
      </c>
      <c r="E701" t="s">
        <v>1103</v>
      </c>
    </row>
    <row r="702" spans="2:5">
      <c r="B702" t="s">
        <v>1425</v>
      </c>
      <c r="C702">
        <v>504643</v>
      </c>
      <c r="D702" t="s">
        <v>339</v>
      </c>
      <c r="E702" t="s">
        <v>662</v>
      </c>
    </row>
    <row r="703" spans="2:5">
      <c r="B703" t="s">
        <v>1426</v>
      </c>
      <c r="C703">
        <v>532813</v>
      </c>
      <c r="D703" t="s">
        <v>1427</v>
      </c>
      <c r="E703" t="s">
        <v>737</v>
      </c>
    </row>
    <row r="704" spans="2:5">
      <c r="B704" t="s">
        <v>1428</v>
      </c>
      <c r="C704">
        <v>507515</v>
      </c>
      <c r="D704" t="s">
        <v>339</v>
      </c>
      <c r="E704" t="s">
        <v>499</v>
      </c>
    </row>
    <row r="705" spans="2:5">
      <c r="B705" t="s">
        <v>1429</v>
      </c>
      <c r="C705">
        <v>532321</v>
      </c>
      <c r="D705" t="s">
        <v>1430</v>
      </c>
      <c r="E705" t="s">
        <v>377</v>
      </c>
    </row>
    <row r="706" spans="2:5">
      <c r="B706" t="s">
        <v>1431</v>
      </c>
      <c r="C706" t="s">
        <v>339</v>
      </c>
      <c r="D706" t="s">
        <v>1432</v>
      </c>
      <c r="E706" t="s">
        <v>350</v>
      </c>
    </row>
    <row r="707" spans="2:5">
      <c r="B707" t="s">
        <v>1433</v>
      </c>
      <c r="C707" t="s">
        <v>339</v>
      </c>
      <c r="D707" t="s">
        <v>1432</v>
      </c>
      <c r="E707" t="s">
        <v>350</v>
      </c>
    </row>
    <row r="708" spans="2:5">
      <c r="B708" t="s">
        <v>1434</v>
      </c>
      <c r="C708">
        <v>517236</v>
      </c>
      <c r="D708" t="s">
        <v>339</v>
      </c>
      <c r="E708" t="s">
        <v>708</v>
      </c>
    </row>
    <row r="709" spans="2:5">
      <c r="B709" t="s">
        <v>1435</v>
      </c>
      <c r="C709">
        <v>532386</v>
      </c>
      <c r="D709" t="s">
        <v>1436</v>
      </c>
      <c r="E709" t="s">
        <v>432</v>
      </c>
    </row>
    <row r="710" spans="2:5">
      <c r="B710" t="s">
        <v>1437</v>
      </c>
      <c r="C710">
        <v>532801</v>
      </c>
      <c r="D710" t="s">
        <v>1438</v>
      </c>
      <c r="E710" t="s">
        <v>432</v>
      </c>
    </row>
    <row r="711" spans="2:5">
      <c r="B711" t="s">
        <v>1439</v>
      </c>
      <c r="C711">
        <v>524440</v>
      </c>
      <c r="D711" t="s">
        <v>339</v>
      </c>
      <c r="E711" t="s">
        <v>387</v>
      </c>
    </row>
    <row r="712" spans="2:5">
      <c r="B712" t="s">
        <v>1440</v>
      </c>
      <c r="C712">
        <v>532834</v>
      </c>
      <c r="D712" t="s">
        <v>1441</v>
      </c>
      <c r="E712" t="s">
        <v>499</v>
      </c>
    </row>
    <row r="713" spans="2:5">
      <c r="B713" t="s">
        <v>1442</v>
      </c>
      <c r="C713">
        <v>538858</v>
      </c>
      <c r="D713" t="s">
        <v>339</v>
      </c>
      <c r="E713" t="s">
        <v>677</v>
      </c>
    </row>
    <row r="714" spans="2:5">
      <c r="B714" t="s">
        <v>1443</v>
      </c>
      <c r="C714">
        <v>540071</v>
      </c>
      <c r="D714" t="s">
        <v>339</v>
      </c>
      <c r="E714" t="s">
        <v>537</v>
      </c>
    </row>
    <row r="715" spans="2:5">
      <c r="B715" t="s">
        <v>1444</v>
      </c>
      <c r="C715">
        <v>511196</v>
      </c>
      <c r="D715" t="s">
        <v>1445</v>
      </c>
      <c r="E715" t="s">
        <v>397</v>
      </c>
    </row>
    <row r="716" spans="2:5">
      <c r="B716" t="s">
        <v>1446</v>
      </c>
      <c r="C716">
        <v>532483</v>
      </c>
      <c r="D716" t="s">
        <v>1447</v>
      </c>
      <c r="E716" t="s">
        <v>657</v>
      </c>
    </row>
    <row r="717" spans="2:5">
      <c r="B717" t="s">
        <v>1448</v>
      </c>
      <c r="C717">
        <v>539304</v>
      </c>
      <c r="D717" t="s">
        <v>339</v>
      </c>
      <c r="E717" t="s">
        <v>322</v>
      </c>
    </row>
    <row r="718" spans="2:5">
      <c r="B718" t="s">
        <v>1449</v>
      </c>
      <c r="C718">
        <v>533267</v>
      </c>
      <c r="D718" t="s">
        <v>1450</v>
      </c>
      <c r="E718" t="s">
        <v>453</v>
      </c>
    </row>
    <row r="719" spans="2:5">
      <c r="B719" t="s">
        <v>1451</v>
      </c>
      <c r="C719">
        <v>533267</v>
      </c>
      <c r="D719" t="s">
        <v>1450</v>
      </c>
      <c r="E719" t="s">
        <v>453</v>
      </c>
    </row>
    <row r="720" spans="2:5">
      <c r="B720" t="s">
        <v>1452</v>
      </c>
      <c r="C720">
        <v>540710</v>
      </c>
      <c r="D720" t="s">
        <v>1453</v>
      </c>
      <c r="E720" t="s">
        <v>425</v>
      </c>
    </row>
    <row r="721" spans="2:5">
      <c r="B721" t="s">
        <v>1454</v>
      </c>
      <c r="C721">
        <v>539198</v>
      </c>
      <c r="D721" t="s">
        <v>339</v>
      </c>
      <c r="E721" t="s">
        <v>322</v>
      </c>
    </row>
    <row r="722" spans="2:5">
      <c r="B722" t="s">
        <v>1455</v>
      </c>
      <c r="C722">
        <v>539198</v>
      </c>
      <c r="D722" t="s">
        <v>339</v>
      </c>
      <c r="E722" t="s">
        <v>322</v>
      </c>
    </row>
    <row r="723" spans="2:5">
      <c r="B723" t="s">
        <v>1456</v>
      </c>
      <c r="C723">
        <v>532938</v>
      </c>
      <c r="D723" t="s">
        <v>1457</v>
      </c>
      <c r="E723" t="s">
        <v>322</v>
      </c>
    </row>
    <row r="724" spans="2:5">
      <c r="B724" t="s">
        <v>1458</v>
      </c>
      <c r="C724">
        <v>530879</v>
      </c>
      <c r="D724" t="s">
        <v>339</v>
      </c>
      <c r="E724" t="s">
        <v>322</v>
      </c>
    </row>
    <row r="725" spans="2:5">
      <c r="B725" t="s">
        <v>1459</v>
      </c>
      <c r="C725">
        <v>538476</v>
      </c>
      <c r="D725" t="s">
        <v>339</v>
      </c>
      <c r="E725" t="s">
        <v>356</v>
      </c>
    </row>
    <row r="726" spans="2:5">
      <c r="B726" t="s">
        <v>1460</v>
      </c>
      <c r="C726">
        <v>511505</v>
      </c>
      <c r="D726" t="s">
        <v>1461</v>
      </c>
      <c r="E726" t="s">
        <v>356</v>
      </c>
    </row>
    <row r="727" spans="2:5">
      <c r="B727" t="s">
        <v>1462</v>
      </c>
      <c r="C727">
        <v>524742</v>
      </c>
      <c r="D727" t="s">
        <v>1463</v>
      </c>
      <c r="E727" t="s">
        <v>377</v>
      </c>
    </row>
    <row r="728" spans="2:5">
      <c r="B728" t="s">
        <v>1464</v>
      </c>
      <c r="C728">
        <v>531595</v>
      </c>
      <c r="D728" t="s">
        <v>1465</v>
      </c>
      <c r="E728" t="s">
        <v>356</v>
      </c>
    </row>
    <row r="729" spans="2:5">
      <c r="B729" t="s">
        <v>1466</v>
      </c>
      <c r="C729">
        <v>512169</v>
      </c>
      <c r="D729" t="s">
        <v>339</v>
      </c>
      <c r="E729" t="s">
        <v>760</v>
      </c>
    </row>
    <row r="730" spans="2:5">
      <c r="B730" t="s">
        <v>1467</v>
      </c>
      <c r="C730">
        <v>509486</v>
      </c>
      <c r="D730" t="s">
        <v>339</v>
      </c>
      <c r="E730" t="s">
        <v>459</v>
      </c>
    </row>
    <row r="731" spans="2:5">
      <c r="B731" t="s">
        <v>1468</v>
      </c>
      <c r="C731">
        <v>509486</v>
      </c>
      <c r="D731" t="s">
        <v>339</v>
      </c>
      <c r="E731" t="s">
        <v>459</v>
      </c>
    </row>
    <row r="732" spans="2:5">
      <c r="B732" t="s">
        <v>1469</v>
      </c>
      <c r="C732">
        <v>507486</v>
      </c>
      <c r="D732" t="s">
        <v>339</v>
      </c>
      <c r="E732" t="s">
        <v>387</v>
      </c>
    </row>
    <row r="733" spans="2:5">
      <c r="B733" t="s">
        <v>1470</v>
      </c>
      <c r="C733">
        <v>538817</v>
      </c>
      <c r="D733" t="s">
        <v>339</v>
      </c>
      <c r="E733" t="s">
        <v>459</v>
      </c>
    </row>
    <row r="734" spans="2:5">
      <c r="B734" t="s">
        <v>1471</v>
      </c>
      <c r="C734">
        <v>536974</v>
      </c>
      <c r="D734" t="s">
        <v>339</v>
      </c>
      <c r="E734" t="s">
        <v>459</v>
      </c>
    </row>
    <row r="735" spans="2:5">
      <c r="B735" t="s">
        <v>1472</v>
      </c>
      <c r="C735">
        <v>540652</v>
      </c>
      <c r="D735" t="s">
        <v>339</v>
      </c>
      <c r="E735" t="s">
        <v>524</v>
      </c>
    </row>
    <row r="736" spans="2:5">
      <c r="B736" t="s">
        <v>1473</v>
      </c>
      <c r="C736">
        <v>513375</v>
      </c>
      <c r="D736" t="s">
        <v>1474</v>
      </c>
      <c r="E736" t="s">
        <v>1258</v>
      </c>
    </row>
    <row r="737" spans="2:5">
      <c r="B737" t="s">
        <v>1475</v>
      </c>
      <c r="C737">
        <v>534804</v>
      </c>
      <c r="D737" t="s">
        <v>1476</v>
      </c>
      <c r="E737" t="s">
        <v>322</v>
      </c>
    </row>
    <row r="738" spans="2:5">
      <c r="B738" t="s">
        <v>1477</v>
      </c>
      <c r="C738">
        <v>533260</v>
      </c>
      <c r="D738" t="s">
        <v>1478</v>
      </c>
      <c r="E738" t="s">
        <v>444</v>
      </c>
    </row>
    <row r="739" spans="2:5">
      <c r="B739" t="s">
        <v>1479</v>
      </c>
      <c r="C739">
        <v>530609</v>
      </c>
      <c r="D739" t="s">
        <v>339</v>
      </c>
      <c r="E739" t="s">
        <v>1258</v>
      </c>
    </row>
    <row r="740" spans="2:5">
      <c r="B740" t="s">
        <v>1480</v>
      </c>
      <c r="C740">
        <v>532282</v>
      </c>
      <c r="D740" t="s">
        <v>1481</v>
      </c>
      <c r="E740" t="s">
        <v>694</v>
      </c>
    </row>
    <row r="741" spans="2:5">
      <c r="B741" t="s">
        <v>1482</v>
      </c>
      <c r="C741">
        <v>500870</v>
      </c>
      <c r="D741" t="s">
        <v>1483</v>
      </c>
      <c r="E741" t="s">
        <v>549</v>
      </c>
    </row>
    <row r="742" spans="2:5">
      <c r="B742" t="s">
        <v>1484</v>
      </c>
      <c r="C742">
        <v>500870</v>
      </c>
      <c r="D742" t="s">
        <v>1483</v>
      </c>
      <c r="E742" t="s">
        <v>549</v>
      </c>
    </row>
    <row r="743" spans="2:5">
      <c r="B743" t="s">
        <v>1485</v>
      </c>
      <c r="C743">
        <v>531682</v>
      </c>
      <c r="D743" t="s">
        <v>339</v>
      </c>
      <c r="E743" t="s">
        <v>325</v>
      </c>
    </row>
    <row r="744" spans="2:5">
      <c r="B744" t="s">
        <v>1486</v>
      </c>
      <c r="C744">
        <v>531158</v>
      </c>
      <c r="D744" t="s">
        <v>339</v>
      </c>
      <c r="E744" t="s">
        <v>361</v>
      </c>
    </row>
    <row r="745" spans="2:5">
      <c r="B745" t="s">
        <v>1487</v>
      </c>
      <c r="C745">
        <v>531900</v>
      </c>
      <c r="D745" t="s">
        <v>339</v>
      </c>
      <c r="E745" t="s">
        <v>361</v>
      </c>
    </row>
    <row r="746" spans="2:5">
      <c r="B746" t="s">
        <v>1488</v>
      </c>
      <c r="C746">
        <v>519600</v>
      </c>
      <c r="D746" t="s">
        <v>1489</v>
      </c>
      <c r="E746" t="s">
        <v>746</v>
      </c>
    </row>
    <row r="747" spans="2:5">
      <c r="B747" t="s">
        <v>1490</v>
      </c>
      <c r="C747">
        <v>519600</v>
      </c>
      <c r="D747" t="s">
        <v>1489</v>
      </c>
      <c r="E747" t="s">
        <v>746</v>
      </c>
    </row>
    <row r="748" spans="2:5">
      <c r="B748" t="s">
        <v>1491</v>
      </c>
      <c r="C748">
        <v>500878</v>
      </c>
      <c r="D748" t="s">
        <v>1492</v>
      </c>
      <c r="E748" t="s">
        <v>819</v>
      </c>
    </row>
    <row r="749" spans="2:5">
      <c r="B749" t="s">
        <v>1493</v>
      </c>
      <c r="C749">
        <v>530789</v>
      </c>
      <c r="D749" t="s">
        <v>339</v>
      </c>
      <c r="E749" t="s">
        <v>459</v>
      </c>
    </row>
    <row r="750" spans="2:5">
      <c r="B750" t="s">
        <v>1494</v>
      </c>
      <c r="C750">
        <v>531119</v>
      </c>
      <c r="D750" t="s">
        <v>339</v>
      </c>
      <c r="E750" t="s">
        <v>453</v>
      </c>
    </row>
    <row r="751" spans="2:5">
      <c r="B751" t="s">
        <v>1495</v>
      </c>
      <c r="C751">
        <v>531119</v>
      </c>
      <c r="D751" t="s">
        <v>339</v>
      </c>
      <c r="E751" t="s">
        <v>453</v>
      </c>
    </row>
    <row r="752" spans="2:5">
      <c r="B752" t="s">
        <v>1496</v>
      </c>
      <c r="C752">
        <v>514171</v>
      </c>
      <c r="D752" t="s">
        <v>339</v>
      </c>
      <c r="E752" t="s">
        <v>867</v>
      </c>
    </row>
    <row r="753" spans="2:5">
      <c r="B753" t="s">
        <v>1497</v>
      </c>
      <c r="C753">
        <v>538734</v>
      </c>
      <c r="D753" t="s">
        <v>339</v>
      </c>
      <c r="E753" t="s">
        <v>325</v>
      </c>
    </row>
    <row r="754" spans="2:5">
      <c r="B754" t="s">
        <v>1498</v>
      </c>
      <c r="C754">
        <v>532695</v>
      </c>
      <c r="D754" t="s">
        <v>1499</v>
      </c>
      <c r="E754" t="s">
        <v>453</v>
      </c>
    </row>
    <row r="755" spans="2:5">
      <c r="B755" t="s">
        <v>1500</v>
      </c>
      <c r="C755">
        <v>532871</v>
      </c>
      <c r="D755" t="s">
        <v>1501</v>
      </c>
      <c r="E755" t="s">
        <v>677</v>
      </c>
    </row>
    <row r="756" spans="2:5">
      <c r="B756" t="s">
        <v>1502</v>
      </c>
      <c r="C756">
        <v>532701</v>
      </c>
      <c r="D756" t="s">
        <v>339</v>
      </c>
      <c r="E756" t="s">
        <v>333</v>
      </c>
    </row>
    <row r="757" spans="2:5">
      <c r="B757" t="s">
        <v>1503</v>
      </c>
      <c r="C757">
        <v>522251</v>
      </c>
      <c r="D757" t="s">
        <v>339</v>
      </c>
      <c r="E757" t="s">
        <v>347</v>
      </c>
    </row>
    <row r="758" spans="2:5">
      <c r="B758" t="s">
        <v>1504</v>
      </c>
      <c r="C758">
        <v>531380</v>
      </c>
      <c r="D758" t="s">
        <v>339</v>
      </c>
      <c r="E758" t="s">
        <v>1505</v>
      </c>
    </row>
    <row r="759" spans="2:5">
      <c r="B759" t="s">
        <v>1506</v>
      </c>
      <c r="C759">
        <v>532885</v>
      </c>
      <c r="D759" t="s">
        <v>1507</v>
      </c>
      <c r="E759" t="s">
        <v>657</v>
      </c>
    </row>
    <row r="760" spans="2:5">
      <c r="B760" t="s">
        <v>1508</v>
      </c>
      <c r="C760" t="s">
        <v>339</v>
      </c>
      <c r="D760" t="s">
        <v>1509</v>
      </c>
      <c r="E760" t="s">
        <v>430</v>
      </c>
    </row>
    <row r="761" spans="2:5">
      <c r="B761" t="s">
        <v>1510</v>
      </c>
      <c r="C761" t="s">
        <v>339</v>
      </c>
      <c r="D761" t="s">
        <v>1509</v>
      </c>
      <c r="E761" t="s">
        <v>430</v>
      </c>
    </row>
    <row r="762" spans="2:5">
      <c r="B762" t="s">
        <v>1511</v>
      </c>
      <c r="C762">
        <v>501827</v>
      </c>
      <c r="D762" t="s">
        <v>339</v>
      </c>
      <c r="E762" t="s">
        <v>411</v>
      </c>
    </row>
    <row r="763" spans="2:5">
      <c r="B763" t="s">
        <v>1512</v>
      </c>
      <c r="C763">
        <v>501150</v>
      </c>
      <c r="D763" t="s">
        <v>1513</v>
      </c>
      <c r="E763" t="s">
        <v>322</v>
      </c>
    </row>
    <row r="764" spans="2:5">
      <c r="B764" t="s">
        <v>1514</v>
      </c>
      <c r="C764">
        <v>517544</v>
      </c>
      <c r="D764" t="s">
        <v>1515</v>
      </c>
      <c r="E764" t="s">
        <v>760</v>
      </c>
    </row>
    <row r="765" spans="2:5">
      <c r="B765" t="s">
        <v>1516</v>
      </c>
      <c r="C765">
        <v>500280</v>
      </c>
      <c r="D765" t="s">
        <v>1517</v>
      </c>
      <c r="E765" t="s">
        <v>354</v>
      </c>
    </row>
    <row r="766" spans="2:5">
      <c r="B766" t="s">
        <v>1518</v>
      </c>
      <c r="C766">
        <v>500083</v>
      </c>
      <c r="D766" t="s">
        <v>1519</v>
      </c>
      <c r="E766" t="s">
        <v>644</v>
      </c>
    </row>
    <row r="767" spans="2:5">
      <c r="B767" t="s">
        <v>1520</v>
      </c>
      <c r="C767">
        <v>532548</v>
      </c>
      <c r="D767" t="s">
        <v>1521</v>
      </c>
      <c r="E767" t="s">
        <v>834</v>
      </c>
    </row>
    <row r="768" spans="2:5">
      <c r="B768" t="s">
        <v>1522</v>
      </c>
      <c r="C768">
        <v>532548</v>
      </c>
      <c r="D768" t="s">
        <v>1521</v>
      </c>
      <c r="E768" t="s">
        <v>834</v>
      </c>
    </row>
    <row r="769" spans="2:5">
      <c r="B769" t="s">
        <v>1523</v>
      </c>
      <c r="C769">
        <v>500040</v>
      </c>
      <c r="D769" t="s">
        <v>1524</v>
      </c>
      <c r="E769" t="s">
        <v>352</v>
      </c>
    </row>
    <row r="770" spans="2:5">
      <c r="B770" t="s">
        <v>1525</v>
      </c>
      <c r="C770">
        <v>530881</v>
      </c>
      <c r="D770" t="s">
        <v>339</v>
      </c>
      <c r="E770" t="s">
        <v>322</v>
      </c>
    </row>
    <row r="771" spans="2:5">
      <c r="B771" t="s">
        <v>1526</v>
      </c>
      <c r="C771">
        <v>532443</v>
      </c>
      <c r="D771" t="s">
        <v>1527</v>
      </c>
      <c r="E771" t="s">
        <v>616</v>
      </c>
    </row>
    <row r="772" spans="2:5">
      <c r="B772" t="s">
        <v>1528</v>
      </c>
      <c r="C772">
        <v>532413</v>
      </c>
      <c r="D772" t="s">
        <v>1529</v>
      </c>
      <c r="E772" t="s">
        <v>664</v>
      </c>
    </row>
    <row r="773" spans="2:5">
      <c r="B773" t="s">
        <v>1530</v>
      </c>
      <c r="C773">
        <v>512341</v>
      </c>
      <c r="D773" t="s">
        <v>339</v>
      </c>
      <c r="E773" t="s">
        <v>669</v>
      </c>
    </row>
    <row r="774" spans="2:5">
      <c r="B774" t="s">
        <v>1531</v>
      </c>
      <c r="C774">
        <v>500084</v>
      </c>
      <c r="D774" t="s">
        <v>1532</v>
      </c>
      <c r="E774" t="s">
        <v>478</v>
      </c>
    </row>
    <row r="775" spans="2:5">
      <c r="B775" t="s">
        <v>1533</v>
      </c>
      <c r="C775" t="s">
        <v>339</v>
      </c>
      <c r="D775" t="s">
        <v>1534</v>
      </c>
      <c r="E775" t="s">
        <v>1535</v>
      </c>
    </row>
    <row r="776" spans="2:5">
      <c r="B776" t="s">
        <v>1536</v>
      </c>
      <c r="C776">
        <v>542333</v>
      </c>
      <c r="D776" t="s">
        <v>1537</v>
      </c>
      <c r="E776" t="s">
        <v>1535</v>
      </c>
    </row>
    <row r="777" spans="2:5">
      <c r="B777" t="s">
        <v>1538</v>
      </c>
      <c r="C777">
        <v>500093</v>
      </c>
      <c r="D777" t="s">
        <v>1539</v>
      </c>
      <c r="E777" t="s">
        <v>382</v>
      </c>
    </row>
    <row r="778" spans="2:5">
      <c r="B778" t="s">
        <v>1540</v>
      </c>
      <c r="C778">
        <v>531489</v>
      </c>
      <c r="D778" t="s">
        <v>339</v>
      </c>
      <c r="E778" t="s">
        <v>432</v>
      </c>
    </row>
    <row r="779" spans="2:5">
      <c r="B779" t="s">
        <v>1541</v>
      </c>
      <c r="C779">
        <v>531946</v>
      </c>
      <c r="D779" t="s">
        <v>339</v>
      </c>
      <c r="E779" t="s">
        <v>333</v>
      </c>
    </row>
    <row r="780" spans="2:5">
      <c r="B780" t="s">
        <v>1542</v>
      </c>
      <c r="C780">
        <v>542399</v>
      </c>
      <c r="D780" t="s">
        <v>1543</v>
      </c>
      <c r="E780" t="s">
        <v>540</v>
      </c>
    </row>
    <row r="781" spans="2:5">
      <c r="B781" t="s">
        <v>1544</v>
      </c>
      <c r="C781">
        <v>539600</v>
      </c>
      <c r="D781" t="s">
        <v>339</v>
      </c>
      <c r="E781" t="s">
        <v>361</v>
      </c>
    </row>
    <row r="782" spans="2:5">
      <c r="B782" t="s">
        <v>1545</v>
      </c>
      <c r="C782">
        <v>530307</v>
      </c>
      <c r="D782" t="s">
        <v>339</v>
      </c>
      <c r="E782" t="s">
        <v>537</v>
      </c>
    </row>
    <row r="783" spans="2:5">
      <c r="B783" t="s">
        <v>1546</v>
      </c>
      <c r="C783">
        <v>512301</v>
      </c>
      <c r="D783" t="s">
        <v>339</v>
      </c>
      <c r="E783" t="s">
        <v>361</v>
      </c>
    </row>
    <row r="784" spans="2:5">
      <c r="B784" t="s">
        <v>1547</v>
      </c>
      <c r="C784">
        <v>500085</v>
      </c>
      <c r="D784" t="s">
        <v>1548</v>
      </c>
      <c r="E784" t="s">
        <v>847</v>
      </c>
    </row>
    <row r="785" spans="2:5">
      <c r="B785" t="s">
        <v>1549</v>
      </c>
      <c r="C785">
        <v>542627</v>
      </c>
      <c r="D785" t="s">
        <v>1550</v>
      </c>
      <c r="E785" t="s">
        <v>705</v>
      </c>
    </row>
    <row r="786" spans="2:5">
      <c r="B786" t="s">
        <v>1551</v>
      </c>
      <c r="C786">
        <v>522292</v>
      </c>
      <c r="D786" t="s">
        <v>339</v>
      </c>
      <c r="E786" t="s">
        <v>354</v>
      </c>
    </row>
    <row r="787" spans="2:5">
      <c r="B787" t="s">
        <v>1552</v>
      </c>
      <c r="C787">
        <v>530309</v>
      </c>
      <c r="D787" t="s">
        <v>339</v>
      </c>
      <c r="E787" t="s">
        <v>361</v>
      </c>
    </row>
    <row r="788" spans="2:5">
      <c r="B788" t="s">
        <v>1553</v>
      </c>
      <c r="C788">
        <v>540829</v>
      </c>
      <c r="D788" t="s">
        <v>339</v>
      </c>
      <c r="E788" t="s">
        <v>361</v>
      </c>
    </row>
    <row r="789" spans="2:5">
      <c r="B789" t="s">
        <v>1554</v>
      </c>
      <c r="C789">
        <v>535142</v>
      </c>
      <c r="D789" t="s">
        <v>339</v>
      </c>
      <c r="E789" t="s">
        <v>342</v>
      </c>
    </row>
    <row r="790" spans="2:5">
      <c r="B790" t="s">
        <v>1555</v>
      </c>
      <c r="C790">
        <v>531327</v>
      </c>
      <c r="D790" t="s">
        <v>339</v>
      </c>
      <c r="E790" t="s">
        <v>322</v>
      </c>
    </row>
    <row r="791" spans="2:5">
      <c r="B791" t="s">
        <v>1556</v>
      </c>
      <c r="C791">
        <v>511696</v>
      </c>
      <c r="D791" t="s">
        <v>339</v>
      </c>
      <c r="E791" t="s">
        <v>322</v>
      </c>
    </row>
    <row r="792" spans="2:5">
      <c r="B792" t="s">
        <v>1557</v>
      </c>
      <c r="C792">
        <v>531977</v>
      </c>
      <c r="D792" t="s">
        <v>339</v>
      </c>
      <c r="E792" t="s">
        <v>411</v>
      </c>
    </row>
    <row r="793" spans="2:5">
      <c r="B793" t="s">
        <v>1558</v>
      </c>
      <c r="C793">
        <v>504671</v>
      </c>
      <c r="D793" t="s">
        <v>339</v>
      </c>
      <c r="E793" t="s">
        <v>371</v>
      </c>
    </row>
    <row r="794" spans="2:5">
      <c r="B794" t="s">
        <v>1559</v>
      </c>
      <c r="C794">
        <v>539800</v>
      </c>
      <c r="D794" t="s">
        <v>339</v>
      </c>
      <c r="E794" t="s">
        <v>361</v>
      </c>
    </row>
    <row r="795" spans="2:5">
      <c r="B795" t="s">
        <v>1560</v>
      </c>
      <c r="C795">
        <v>526917</v>
      </c>
      <c r="D795" t="s">
        <v>339</v>
      </c>
      <c r="E795" t="s">
        <v>425</v>
      </c>
    </row>
    <row r="796" spans="2:5">
      <c r="B796" t="s">
        <v>1561</v>
      </c>
      <c r="C796">
        <v>530871</v>
      </c>
      <c r="D796" t="s">
        <v>339</v>
      </c>
      <c r="E796" t="s">
        <v>499</v>
      </c>
    </row>
    <row r="797" spans="2:5">
      <c r="B797" t="s">
        <v>1562</v>
      </c>
      <c r="C797">
        <v>540395</v>
      </c>
      <c r="D797" t="s">
        <v>339</v>
      </c>
      <c r="E797" t="s">
        <v>499</v>
      </c>
    </row>
    <row r="798" spans="2:5">
      <c r="B798" t="s">
        <v>1563</v>
      </c>
      <c r="C798">
        <v>541269</v>
      </c>
      <c r="D798" t="s">
        <v>1564</v>
      </c>
      <c r="E798" t="s">
        <v>387</v>
      </c>
    </row>
    <row r="799" spans="2:5">
      <c r="B799" t="s">
        <v>1565</v>
      </c>
      <c r="C799">
        <v>539230</v>
      </c>
      <c r="D799" t="s">
        <v>339</v>
      </c>
      <c r="E799" t="s">
        <v>499</v>
      </c>
    </row>
    <row r="800" spans="2:5">
      <c r="B800" t="s">
        <v>1566</v>
      </c>
      <c r="C800">
        <v>506365</v>
      </c>
      <c r="D800" t="s">
        <v>339</v>
      </c>
      <c r="E800" t="s">
        <v>377</v>
      </c>
    </row>
    <row r="801" spans="2:5">
      <c r="B801" t="s">
        <v>1567</v>
      </c>
      <c r="C801">
        <v>537326</v>
      </c>
      <c r="D801" t="s">
        <v>339</v>
      </c>
      <c r="E801" t="s">
        <v>347</v>
      </c>
    </row>
    <row r="802" spans="2:5">
      <c r="B802" t="s">
        <v>1568</v>
      </c>
      <c r="C802">
        <v>539011</v>
      </c>
      <c r="D802" t="s">
        <v>339</v>
      </c>
      <c r="E802" t="s">
        <v>371</v>
      </c>
    </row>
    <row r="803" spans="2:5">
      <c r="B803" t="s">
        <v>1569</v>
      </c>
      <c r="C803">
        <v>523489</v>
      </c>
      <c r="D803" t="s">
        <v>339</v>
      </c>
      <c r="E803" t="s">
        <v>528</v>
      </c>
    </row>
    <row r="804" spans="2:5">
      <c r="B804" t="s">
        <v>1570</v>
      </c>
      <c r="C804">
        <v>500110</v>
      </c>
      <c r="D804" t="s">
        <v>1571</v>
      </c>
      <c r="E804" t="s">
        <v>1267</v>
      </c>
    </row>
    <row r="805" spans="2:5">
      <c r="B805" t="s">
        <v>1572</v>
      </c>
      <c r="C805">
        <v>526817</v>
      </c>
      <c r="D805" t="s">
        <v>339</v>
      </c>
      <c r="E805" t="s">
        <v>576</v>
      </c>
    </row>
    <row r="806" spans="2:5">
      <c r="B806" t="s">
        <v>1573</v>
      </c>
      <c r="C806">
        <v>521244</v>
      </c>
      <c r="D806" t="s">
        <v>339</v>
      </c>
      <c r="E806" t="s">
        <v>354</v>
      </c>
    </row>
    <row r="807" spans="2:5">
      <c r="B807" t="s">
        <v>1574</v>
      </c>
      <c r="C807">
        <v>532992</v>
      </c>
      <c r="D807" t="s">
        <v>339</v>
      </c>
      <c r="E807" t="s">
        <v>540</v>
      </c>
    </row>
    <row r="808" spans="2:5">
      <c r="B808" t="s">
        <v>1575</v>
      </c>
      <c r="C808">
        <v>531358</v>
      </c>
      <c r="D808" t="s">
        <v>339</v>
      </c>
      <c r="E808" t="s">
        <v>356</v>
      </c>
    </row>
    <row r="809" spans="2:5">
      <c r="B809" t="s">
        <v>1576</v>
      </c>
      <c r="C809">
        <v>530427</v>
      </c>
      <c r="D809" t="s">
        <v>339</v>
      </c>
      <c r="E809" t="s">
        <v>1577</v>
      </c>
    </row>
    <row r="810" spans="2:5">
      <c r="B810" t="s">
        <v>1578</v>
      </c>
      <c r="C810">
        <v>526546</v>
      </c>
      <c r="D810" t="s">
        <v>339</v>
      </c>
      <c r="E810" t="s">
        <v>528</v>
      </c>
    </row>
    <row r="811" spans="2:5">
      <c r="B811" t="s">
        <v>1579</v>
      </c>
      <c r="C811">
        <v>511243</v>
      </c>
      <c r="D811" t="s">
        <v>1580</v>
      </c>
      <c r="E811" t="s">
        <v>356</v>
      </c>
    </row>
    <row r="812" spans="2:5">
      <c r="B812" t="s">
        <v>1581</v>
      </c>
      <c r="C812">
        <v>511243</v>
      </c>
      <c r="D812" t="s">
        <v>1582</v>
      </c>
      <c r="E812" t="s">
        <v>356</v>
      </c>
    </row>
    <row r="813" spans="2:5">
      <c r="B813" t="s">
        <v>1583</v>
      </c>
      <c r="C813">
        <v>519475</v>
      </c>
      <c r="D813" t="s">
        <v>339</v>
      </c>
      <c r="E813" t="s">
        <v>419</v>
      </c>
    </row>
    <row r="814" spans="2:5">
      <c r="B814" t="s">
        <v>1584</v>
      </c>
      <c r="C814">
        <v>540681</v>
      </c>
      <c r="D814" t="s">
        <v>339</v>
      </c>
      <c r="E814" t="s">
        <v>399</v>
      </c>
    </row>
    <row r="815" spans="2:5">
      <c r="B815" t="s">
        <v>1585</v>
      </c>
      <c r="C815">
        <v>501833</v>
      </c>
      <c r="D815" t="s">
        <v>339</v>
      </c>
      <c r="E815" t="s">
        <v>1586</v>
      </c>
    </row>
    <row r="816" spans="2:5">
      <c r="B816" t="s">
        <v>1587</v>
      </c>
      <c r="C816">
        <v>539335</v>
      </c>
      <c r="D816" t="s">
        <v>339</v>
      </c>
      <c r="E816" t="s">
        <v>361</v>
      </c>
    </row>
    <row r="817" spans="2:5">
      <c r="B817" t="s">
        <v>1588</v>
      </c>
      <c r="C817">
        <v>530191</v>
      </c>
      <c r="D817" t="s">
        <v>1589</v>
      </c>
      <c r="E817" t="s">
        <v>499</v>
      </c>
    </row>
    <row r="818" spans="2:5">
      <c r="B818" t="s">
        <v>1590</v>
      </c>
      <c r="C818">
        <v>530191</v>
      </c>
      <c r="D818" t="s">
        <v>1589</v>
      </c>
      <c r="E818" t="s">
        <v>499</v>
      </c>
    </row>
    <row r="819" spans="2:5">
      <c r="B819" t="s">
        <v>1591</v>
      </c>
      <c r="C819">
        <v>519477</v>
      </c>
      <c r="D819" t="s">
        <v>339</v>
      </c>
      <c r="E819" t="s">
        <v>588</v>
      </c>
    </row>
    <row r="820" spans="2:5">
      <c r="B820" t="s">
        <v>1592</v>
      </c>
      <c r="C820">
        <v>542678</v>
      </c>
      <c r="D820" t="s">
        <v>1593</v>
      </c>
      <c r="E820" t="s">
        <v>377</v>
      </c>
    </row>
    <row r="821" spans="2:5">
      <c r="B821" t="s">
        <v>1594</v>
      </c>
      <c r="C821">
        <v>534758</v>
      </c>
      <c r="D821" t="s">
        <v>1595</v>
      </c>
      <c r="E821" t="s">
        <v>325</v>
      </c>
    </row>
    <row r="822" spans="2:5">
      <c r="B822" t="s">
        <v>1596</v>
      </c>
      <c r="C822">
        <v>533407</v>
      </c>
      <c r="D822" t="s">
        <v>1597</v>
      </c>
      <c r="E822" t="s">
        <v>354</v>
      </c>
    </row>
    <row r="823" spans="2:5">
      <c r="B823" t="s">
        <v>1598</v>
      </c>
      <c r="C823">
        <v>530829</v>
      </c>
      <c r="D823" t="s">
        <v>339</v>
      </c>
      <c r="E823" t="s">
        <v>356</v>
      </c>
    </row>
    <row r="824" spans="2:5">
      <c r="B824" t="s">
        <v>1599</v>
      </c>
      <c r="C824">
        <v>505230</v>
      </c>
      <c r="D824" t="s">
        <v>1600</v>
      </c>
      <c r="E824" t="s">
        <v>328</v>
      </c>
    </row>
    <row r="825" spans="2:5">
      <c r="B825" t="s">
        <v>1601</v>
      </c>
      <c r="C825">
        <v>531283</v>
      </c>
      <c r="D825" t="s">
        <v>339</v>
      </c>
      <c r="E825" t="s">
        <v>356</v>
      </c>
    </row>
    <row r="826" spans="2:5">
      <c r="B826" t="s">
        <v>1602</v>
      </c>
      <c r="C826">
        <v>526373</v>
      </c>
      <c r="D826" t="s">
        <v>339</v>
      </c>
      <c r="E826" t="s">
        <v>540</v>
      </c>
    </row>
    <row r="827" spans="2:5">
      <c r="B827" t="s">
        <v>1603</v>
      </c>
      <c r="C827">
        <v>532807</v>
      </c>
      <c r="D827" t="s">
        <v>1604</v>
      </c>
      <c r="E827" t="s">
        <v>340</v>
      </c>
    </row>
    <row r="828" spans="2:5">
      <c r="B828" t="s">
        <v>1605</v>
      </c>
      <c r="C828">
        <v>532807</v>
      </c>
      <c r="D828" t="s">
        <v>1604</v>
      </c>
      <c r="E828" t="s">
        <v>340</v>
      </c>
    </row>
    <row r="829" spans="2:5">
      <c r="B829" t="s">
        <v>1606</v>
      </c>
      <c r="C829">
        <v>530457</v>
      </c>
      <c r="D829" t="s">
        <v>339</v>
      </c>
      <c r="E829" t="s">
        <v>342</v>
      </c>
    </row>
    <row r="830" spans="2:5">
      <c r="B830" t="s">
        <v>1607</v>
      </c>
      <c r="C830">
        <v>532324</v>
      </c>
      <c r="D830" t="s">
        <v>1608</v>
      </c>
      <c r="E830" t="s">
        <v>342</v>
      </c>
    </row>
    <row r="831" spans="2:5">
      <c r="B831" t="s">
        <v>1609</v>
      </c>
      <c r="C831">
        <v>500087</v>
      </c>
      <c r="D831" t="s">
        <v>1610</v>
      </c>
      <c r="E831" t="s">
        <v>377</v>
      </c>
    </row>
    <row r="832" spans="2:5">
      <c r="B832" t="s">
        <v>1611</v>
      </c>
      <c r="C832">
        <v>531775</v>
      </c>
      <c r="D832" t="s">
        <v>339</v>
      </c>
      <c r="E832" t="s">
        <v>361</v>
      </c>
    </row>
    <row r="833" spans="2:5">
      <c r="B833" t="s">
        <v>1612</v>
      </c>
      <c r="C833">
        <v>502445</v>
      </c>
      <c r="D833" t="s">
        <v>339</v>
      </c>
      <c r="E833" t="s">
        <v>425</v>
      </c>
    </row>
    <row r="834" spans="2:5">
      <c r="B834" t="s">
        <v>1613</v>
      </c>
      <c r="C834">
        <v>531235</v>
      </c>
      <c r="D834" t="s">
        <v>339</v>
      </c>
      <c r="E834" t="s">
        <v>356</v>
      </c>
    </row>
    <row r="835" spans="2:5">
      <c r="B835" t="s">
        <v>1614</v>
      </c>
      <c r="C835">
        <v>538786</v>
      </c>
      <c r="D835" t="s">
        <v>339</v>
      </c>
      <c r="E835" t="s">
        <v>863</v>
      </c>
    </row>
    <row r="836" spans="2:5">
      <c r="B836" t="s">
        <v>1615</v>
      </c>
      <c r="C836">
        <v>538674</v>
      </c>
      <c r="D836" t="s">
        <v>339</v>
      </c>
      <c r="E836" t="s">
        <v>1282</v>
      </c>
    </row>
    <row r="837" spans="2:5">
      <c r="B837" t="s">
        <v>1616</v>
      </c>
      <c r="C837">
        <v>532210</v>
      </c>
      <c r="D837" t="s">
        <v>1617</v>
      </c>
      <c r="E837" t="s">
        <v>657</v>
      </c>
    </row>
    <row r="838" spans="2:5">
      <c r="B838" t="s">
        <v>1618</v>
      </c>
      <c r="C838">
        <v>521210</v>
      </c>
      <c r="D838" t="s">
        <v>339</v>
      </c>
      <c r="E838" t="s">
        <v>453</v>
      </c>
    </row>
    <row r="839" spans="2:5">
      <c r="B839" t="s">
        <v>1619</v>
      </c>
      <c r="C839">
        <v>780013</v>
      </c>
      <c r="D839" t="s">
        <v>339</v>
      </c>
      <c r="E839" t="s">
        <v>430</v>
      </c>
    </row>
    <row r="840" spans="2:5">
      <c r="B840" t="s">
        <v>1620</v>
      </c>
      <c r="C840">
        <v>780013</v>
      </c>
      <c r="D840" t="s">
        <v>339</v>
      </c>
      <c r="E840" t="s">
        <v>430</v>
      </c>
    </row>
    <row r="841" spans="2:5">
      <c r="B841" t="s">
        <v>1621</v>
      </c>
      <c r="C841" t="s">
        <v>339</v>
      </c>
      <c r="D841" t="s">
        <v>1622</v>
      </c>
      <c r="E841" t="s">
        <v>350</v>
      </c>
    </row>
    <row r="842" spans="2:5">
      <c r="B842" t="s">
        <v>1623</v>
      </c>
      <c r="C842" t="s">
        <v>339</v>
      </c>
      <c r="D842" t="s">
        <v>1624</v>
      </c>
      <c r="E842" t="s">
        <v>350</v>
      </c>
    </row>
    <row r="843" spans="2:5">
      <c r="B843" t="s">
        <v>1625</v>
      </c>
      <c r="C843">
        <v>540403</v>
      </c>
      <c r="D843" t="s">
        <v>1626</v>
      </c>
      <c r="E843" t="s">
        <v>444</v>
      </c>
    </row>
    <row r="844" spans="2:5">
      <c r="B844" t="s">
        <v>1627</v>
      </c>
      <c r="C844">
        <v>506390</v>
      </c>
      <c r="D844" t="s">
        <v>1628</v>
      </c>
      <c r="E844" t="s">
        <v>499</v>
      </c>
    </row>
    <row r="845" spans="2:5">
      <c r="B845" t="s">
        <v>1629</v>
      </c>
      <c r="C845">
        <v>506390</v>
      </c>
      <c r="D845" t="s">
        <v>1630</v>
      </c>
      <c r="E845" t="s">
        <v>499</v>
      </c>
    </row>
    <row r="846" spans="2:5">
      <c r="B846" t="s">
        <v>1631</v>
      </c>
      <c r="C846">
        <v>512213</v>
      </c>
      <c r="D846" t="s">
        <v>339</v>
      </c>
      <c r="E846" t="s">
        <v>361</v>
      </c>
    </row>
    <row r="847" spans="2:5">
      <c r="B847" t="s">
        <v>1632</v>
      </c>
      <c r="C847">
        <v>540310</v>
      </c>
      <c r="D847" t="s">
        <v>339</v>
      </c>
      <c r="E847" t="s">
        <v>354</v>
      </c>
    </row>
    <row r="848" spans="2:5">
      <c r="B848" t="s">
        <v>1633</v>
      </c>
      <c r="C848">
        <v>538433</v>
      </c>
      <c r="D848" t="s">
        <v>339</v>
      </c>
      <c r="E848" t="s">
        <v>322</v>
      </c>
    </row>
    <row r="849" spans="2:5">
      <c r="B849" t="s">
        <v>1634</v>
      </c>
      <c r="C849">
        <v>540481</v>
      </c>
      <c r="D849" t="s">
        <v>339</v>
      </c>
      <c r="E849" t="s">
        <v>322</v>
      </c>
    </row>
    <row r="850" spans="2:5">
      <c r="B850" t="s">
        <v>1635</v>
      </c>
      <c r="C850">
        <v>530839</v>
      </c>
      <c r="D850" t="s">
        <v>339</v>
      </c>
      <c r="E850" t="s">
        <v>432</v>
      </c>
    </row>
    <row r="851" spans="2:5">
      <c r="B851" t="s">
        <v>1636</v>
      </c>
      <c r="C851">
        <v>500147</v>
      </c>
      <c r="D851" t="s">
        <v>339</v>
      </c>
      <c r="E851" t="s">
        <v>347</v>
      </c>
    </row>
    <row r="852" spans="2:5">
      <c r="B852" t="s">
        <v>1637</v>
      </c>
      <c r="C852">
        <v>517330</v>
      </c>
      <c r="D852" t="s">
        <v>1638</v>
      </c>
      <c r="E852" t="s">
        <v>637</v>
      </c>
    </row>
    <row r="853" spans="2:5">
      <c r="B853" t="s">
        <v>1639</v>
      </c>
      <c r="C853" t="s">
        <v>339</v>
      </c>
      <c r="D853" t="s">
        <v>1640</v>
      </c>
      <c r="E853" t="s">
        <v>350</v>
      </c>
    </row>
    <row r="854" spans="2:5">
      <c r="B854" t="s">
        <v>1641</v>
      </c>
      <c r="C854">
        <v>512018</v>
      </c>
      <c r="D854" t="s">
        <v>339</v>
      </c>
      <c r="E854" t="s">
        <v>345</v>
      </c>
    </row>
    <row r="855" spans="2:5">
      <c r="B855" t="s">
        <v>1642</v>
      </c>
      <c r="C855">
        <v>533278</v>
      </c>
      <c r="D855" t="s">
        <v>1643</v>
      </c>
      <c r="E855" t="s">
        <v>1016</v>
      </c>
    </row>
    <row r="856" spans="2:5">
      <c r="B856" t="s">
        <v>1644</v>
      </c>
      <c r="C856">
        <v>533278</v>
      </c>
      <c r="D856" t="s">
        <v>1645</v>
      </c>
      <c r="E856" t="s">
        <v>1016</v>
      </c>
    </row>
    <row r="857" spans="2:5">
      <c r="B857" t="s">
        <v>1646</v>
      </c>
      <c r="C857">
        <v>501831</v>
      </c>
      <c r="D857" t="s">
        <v>339</v>
      </c>
      <c r="E857" t="s">
        <v>399</v>
      </c>
    </row>
    <row r="858" spans="2:5">
      <c r="B858" t="s">
        <v>1647</v>
      </c>
      <c r="C858">
        <v>520131</v>
      </c>
      <c r="D858" t="s">
        <v>339</v>
      </c>
      <c r="E858" t="s">
        <v>411</v>
      </c>
    </row>
    <row r="859" spans="2:5">
      <c r="B859" t="s">
        <v>1648</v>
      </c>
      <c r="C859">
        <v>508571</v>
      </c>
      <c r="D859" t="s">
        <v>339</v>
      </c>
      <c r="E859" t="s">
        <v>819</v>
      </c>
    </row>
    <row r="860" spans="2:5">
      <c r="B860" t="s">
        <v>1649</v>
      </c>
      <c r="C860">
        <v>513353</v>
      </c>
      <c r="D860" t="s">
        <v>339</v>
      </c>
      <c r="E860" t="s">
        <v>499</v>
      </c>
    </row>
    <row r="861" spans="2:5">
      <c r="B861" t="s">
        <v>1650</v>
      </c>
      <c r="C861">
        <v>540678</v>
      </c>
      <c r="D861" t="s">
        <v>1651</v>
      </c>
      <c r="E861" t="s">
        <v>1586</v>
      </c>
    </row>
    <row r="862" spans="2:5">
      <c r="B862" t="s">
        <v>1652</v>
      </c>
      <c r="C862">
        <v>539436</v>
      </c>
      <c r="D862" t="s">
        <v>1653</v>
      </c>
      <c r="E862" t="s">
        <v>828</v>
      </c>
    </row>
    <row r="863" spans="2:5">
      <c r="B863" t="s">
        <v>1654</v>
      </c>
      <c r="C863">
        <v>500830</v>
      </c>
      <c r="D863" t="s">
        <v>1655</v>
      </c>
      <c r="E863" t="s">
        <v>521</v>
      </c>
    </row>
    <row r="864" spans="2:5">
      <c r="B864" t="s">
        <v>1656</v>
      </c>
      <c r="C864">
        <v>500830</v>
      </c>
      <c r="D864" t="s">
        <v>1655</v>
      </c>
      <c r="E864" t="s">
        <v>521</v>
      </c>
    </row>
    <row r="865" spans="2:5">
      <c r="B865" t="s">
        <v>1657</v>
      </c>
      <c r="C865">
        <v>531210</v>
      </c>
      <c r="D865" t="s">
        <v>339</v>
      </c>
      <c r="E865" t="s">
        <v>377</v>
      </c>
    </row>
    <row r="866" spans="2:5">
      <c r="B866" t="s">
        <v>1658</v>
      </c>
      <c r="C866">
        <v>540023</v>
      </c>
      <c r="D866" t="s">
        <v>339</v>
      </c>
      <c r="E866" t="s">
        <v>1077</v>
      </c>
    </row>
    <row r="867" spans="2:5">
      <c r="B867" t="s">
        <v>1659</v>
      </c>
      <c r="C867">
        <v>524752</v>
      </c>
      <c r="D867" t="s">
        <v>339</v>
      </c>
      <c r="E867" t="s">
        <v>377</v>
      </c>
    </row>
    <row r="868" spans="2:5">
      <c r="B868" t="s">
        <v>1660</v>
      </c>
      <c r="C868">
        <v>534691</v>
      </c>
      <c r="D868" t="s">
        <v>339</v>
      </c>
      <c r="E868" t="s">
        <v>322</v>
      </c>
    </row>
    <row r="869" spans="2:5">
      <c r="B869" t="s">
        <v>1661</v>
      </c>
      <c r="C869">
        <v>535267</v>
      </c>
      <c r="D869" t="s">
        <v>339</v>
      </c>
      <c r="E869" t="s">
        <v>356</v>
      </c>
    </row>
    <row r="870" spans="2:5">
      <c r="B870" t="s">
        <v>1662</v>
      </c>
      <c r="C870">
        <v>531216</v>
      </c>
      <c r="D870" t="s">
        <v>339</v>
      </c>
      <c r="E870" t="s">
        <v>356</v>
      </c>
    </row>
    <row r="871" spans="2:5">
      <c r="B871" t="s">
        <v>1663</v>
      </c>
      <c r="C871">
        <v>533272</v>
      </c>
      <c r="D871" t="s">
        <v>1664</v>
      </c>
      <c r="E871" t="s">
        <v>417</v>
      </c>
    </row>
    <row r="872" spans="2:5">
      <c r="B872" t="s">
        <v>1665</v>
      </c>
      <c r="C872">
        <v>539986</v>
      </c>
      <c r="D872" t="s">
        <v>339</v>
      </c>
      <c r="E872" t="s">
        <v>534</v>
      </c>
    </row>
    <row r="873" spans="2:5">
      <c r="B873" t="s">
        <v>1666</v>
      </c>
      <c r="C873">
        <v>532342</v>
      </c>
      <c r="D873" t="s">
        <v>339</v>
      </c>
      <c r="E873" t="s">
        <v>325</v>
      </c>
    </row>
    <row r="874" spans="2:5">
      <c r="B874" t="s">
        <v>1667</v>
      </c>
      <c r="C874">
        <v>531041</v>
      </c>
      <c r="D874" t="s">
        <v>339</v>
      </c>
      <c r="E874" t="s">
        <v>361</v>
      </c>
    </row>
    <row r="875" spans="2:5">
      <c r="B875" t="s">
        <v>1668</v>
      </c>
      <c r="C875">
        <v>532456</v>
      </c>
      <c r="D875" t="s">
        <v>1669</v>
      </c>
      <c r="E875" t="s">
        <v>436</v>
      </c>
    </row>
    <row r="876" spans="2:5">
      <c r="B876" t="s">
        <v>1670</v>
      </c>
      <c r="C876">
        <v>532339</v>
      </c>
      <c r="D876" t="s">
        <v>1671</v>
      </c>
      <c r="E876" t="s">
        <v>824</v>
      </c>
    </row>
    <row r="877" spans="2:5">
      <c r="B877" t="s">
        <v>1672</v>
      </c>
      <c r="C877">
        <v>507833</v>
      </c>
      <c r="D877" t="s">
        <v>339</v>
      </c>
      <c r="E877" t="s">
        <v>664</v>
      </c>
    </row>
    <row r="878" spans="2:5">
      <c r="B878" t="s">
        <v>1673</v>
      </c>
      <c r="C878">
        <v>522231</v>
      </c>
      <c r="D878" t="s">
        <v>339</v>
      </c>
      <c r="E878" t="s">
        <v>737</v>
      </c>
    </row>
    <row r="879" spans="2:5">
      <c r="B879" t="s">
        <v>1674</v>
      </c>
      <c r="C879">
        <v>538965</v>
      </c>
      <c r="D879" t="s">
        <v>339</v>
      </c>
      <c r="E879" t="s">
        <v>377</v>
      </c>
    </row>
    <row r="880" spans="2:5">
      <c r="B880" t="s">
        <v>1675</v>
      </c>
      <c r="C880">
        <v>539266</v>
      </c>
      <c r="D880" t="s">
        <v>339</v>
      </c>
      <c r="E880" t="s">
        <v>359</v>
      </c>
    </row>
    <row r="881" spans="2:5">
      <c r="B881" t="s">
        <v>1676</v>
      </c>
      <c r="C881">
        <v>504340</v>
      </c>
      <c r="D881" t="s">
        <v>339</v>
      </c>
      <c r="E881" t="s">
        <v>322</v>
      </c>
    </row>
    <row r="882" spans="2:5">
      <c r="B882" t="s">
        <v>1677</v>
      </c>
      <c r="C882">
        <v>539991</v>
      </c>
      <c r="D882" t="s">
        <v>1678</v>
      </c>
      <c r="E882" t="s">
        <v>705</v>
      </c>
    </row>
    <row r="883" spans="2:5">
      <c r="B883" t="s">
        <v>1679</v>
      </c>
      <c r="C883">
        <v>526829</v>
      </c>
      <c r="D883" t="s">
        <v>339</v>
      </c>
      <c r="E883" t="s">
        <v>549</v>
      </c>
    </row>
    <row r="884" spans="2:5">
      <c r="B884" t="s">
        <v>1680</v>
      </c>
      <c r="C884">
        <v>526829</v>
      </c>
      <c r="D884" t="s">
        <v>1681</v>
      </c>
      <c r="E884" t="s">
        <v>549</v>
      </c>
    </row>
    <row r="885" spans="2:5">
      <c r="B885" t="s">
        <v>1682</v>
      </c>
      <c r="C885">
        <v>526829</v>
      </c>
      <c r="D885" t="s">
        <v>339</v>
      </c>
      <c r="E885" t="s">
        <v>549</v>
      </c>
    </row>
    <row r="886" spans="2:5">
      <c r="B886" t="s">
        <v>1683</v>
      </c>
      <c r="C886">
        <v>539091</v>
      </c>
      <c r="D886" t="s">
        <v>339</v>
      </c>
      <c r="E886" t="s">
        <v>359</v>
      </c>
    </row>
    <row r="887" spans="2:5">
      <c r="B887" t="s">
        <v>1684</v>
      </c>
      <c r="C887">
        <v>532902</v>
      </c>
      <c r="D887" t="s">
        <v>1685</v>
      </c>
      <c r="E887" t="s">
        <v>425</v>
      </c>
    </row>
    <row r="888" spans="2:5">
      <c r="B888" t="s">
        <v>1686</v>
      </c>
      <c r="C888" t="s">
        <v>339</v>
      </c>
      <c r="D888" t="s">
        <v>1687</v>
      </c>
      <c r="E888" t="s">
        <v>430</v>
      </c>
    </row>
    <row r="889" spans="2:5">
      <c r="B889" t="s">
        <v>1688</v>
      </c>
      <c r="C889">
        <v>531344</v>
      </c>
      <c r="D889" t="s">
        <v>1689</v>
      </c>
      <c r="E889" t="s">
        <v>462</v>
      </c>
    </row>
    <row r="890" spans="2:5">
      <c r="B890" t="s">
        <v>1690</v>
      </c>
      <c r="C890">
        <v>531344</v>
      </c>
      <c r="D890" t="s">
        <v>1689</v>
      </c>
      <c r="E890" t="s">
        <v>462</v>
      </c>
    </row>
    <row r="891" spans="2:5">
      <c r="B891" t="s">
        <v>1691</v>
      </c>
      <c r="C891">
        <v>540597</v>
      </c>
      <c r="D891" t="s">
        <v>339</v>
      </c>
      <c r="E891" t="s">
        <v>660</v>
      </c>
    </row>
    <row r="892" spans="2:5">
      <c r="B892" t="s">
        <v>1692</v>
      </c>
      <c r="C892">
        <v>531067</v>
      </c>
      <c r="D892" t="s">
        <v>339</v>
      </c>
      <c r="E892" t="s">
        <v>356</v>
      </c>
    </row>
    <row r="893" spans="2:5">
      <c r="B893" t="s">
        <v>1693</v>
      </c>
      <c r="C893">
        <v>531067</v>
      </c>
      <c r="D893" t="s">
        <v>339</v>
      </c>
      <c r="E893" t="s">
        <v>356</v>
      </c>
    </row>
    <row r="894" spans="2:5">
      <c r="B894" t="s">
        <v>1694</v>
      </c>
      <c r="C894">
        <v>506935</v>
      </c>
      <c r="D894" t="s">
        <v>339</v>
      </c>
      <c r="E894" t="s">
        <v>432</v>
      </c>
    </row>
    <row r="895" spans="2:5">
      <c r="B895" t="s">
        <v>1695</v>
      </c>
      <c r="C895">
        <v>531460</v>
      </c>
      <c r="D895" t="s">
        <v>339</v>
      </c>
      <c r="E895" t="s">
        <v>637</v>
      </c>
    </row>
    <row r="896" spans="2:5">
      <c r="B896" t="s">
        <v>1696</v>
      </c>
      <c r="C896">
        <v>523232</v>
      </c>
      <c r="D896" t="s">
        <v>339</v>
      </c>
      <c r="E896" t="s">
        <v>549</v>
      </c>
    </row>
    <row r="897" spans="2:5">
      <c r="B897" t="s">
        <v>1697</v>
      </c>
      <c r="C897">
        <v>538868</v>
      </c>
      <c r="D897" t="s">
        <v>339</v>
      </c>
      <c r="E897" t="s">
        <v>356</v>
      </c>
    </row>
    <row r="898" spans="2:5">
      <c r="B898" t="s">
        <v>1698</v>
      </c>
      <c r="C898" t="s">
        <v>339</v>
      </c>
      <c r="D898" t="s">
        <v>1699</v>
      </c>
      <c r="E898" t="s">
        <v>350</v>
      </c>
    </row>
    <row r="899" spans="2:5">
      <c r="B899" t="s">
        <v>1700</v>
      </c>
      <c r="C899">
        <v>522295</v>
      </c>
      <c r="D899" t="s">
        <v>1701</v>
      </c>
      <c r="E899" t="s">
        <v>534</v>
      </c>
    </row>
    <row r="900" spans="2:5">
      <c r="B900" t="s">
        <v>1702</v>
      </c>
      <c r="C900">
        <v>531556</v>
      </c>
      <c r="D900" t="s">
        <v>1703</v>
      </c>
      <c r="E900" t="s">
        <v>397</v>
      </c>
    </row>
    <row r="901" spans="2:5">
      <c r="B901" t="s">
        <v>1704</v>
      </c>
      <c r="C901">
        <v>524506</v>
      </c>
      <c r="D901" t="s">
        <v>339</v>
      </c>
      <c r="E901" t="s">
        <v>377</v>
      </c>
    </row>
    <row r="902" spans="2:5">
      <c r="B902" t="s">
        <v>1705</v>
      </c>
      <c r="C902">
        <v>530755</v>
      </c>
      <c r="D902" t="s">
        <v>1706</v>
      </c>
      <c r="E902" t="s">
        <v>1707</v>
      </c>
    </row>
    <row r="903" spans="2:5">
      <c r="B903" t="s">
        <v>1708</v>
      </c>
      <c r="C903">
        <v>532941</v>
      </c>
      <c r="D903" t="s">
        <v>1709</v>
      </c>
      <c r="E903" t="s">
        <v>637</v>
      </c>
    </row>
    <row r="904" spans="2:5">
      <c r="B904" t="s">
        <v>1710</v>
      </c>
      <c r="C904">
        <v>507543</v>
      </c>
      <c r="D904" t="s">
        <v>339</v>
      </c>
      <c r="E904" t="s">
        <v>588</v>
      </c>
    </row>
    <row r="905" spans="2:5">
      <c r="B905" t="s">
        <v>1711</v>
      </c>
      <c r="C905">
        <v>533167</v>
      </c>
      <c r="D905" t="s">
        <v>339</v>
      </c>
      <c r="E905" t="s">
        <v>737</v>
      </c>
    </row>
    <row r="906" spans="2:5">
      <c r="B906" t="s">
        <v>1712</v>
      </c>
      <c r="C906">
        <v>506395</v>
      </c>
      <c r="D906" t="s">
        <v>1713</v>
      </c>
      <c r="E906" t="s">
        <v>847</v>
      </c>
    </row>
    <row r="907" spans="2:5">
      <c r="B907" t="s">
        <v>1714</v>
      </c>
      <c r="C907">
        <v>526737</v>
      </c>
      <c r="D907" t="s">
        <v>339</v>
      </c>
      <c r="E907" t="s">
        <v>660</v>
      </c>
    </row>
    <row r="908" spans="2:5">
      <c r="B908" t="s">
        <v>1715</v>
      </c>
      <c r="C908">
        <v>540199</v>
      </c>
      <c r="D908" t="s">
        <v>339</v>
      </c>
      <c r="E908" t="s">
        <v>322</v>
      </c>
    </row>
    <row r="909" spans="2:5">
      <c r="B909" t="s">
        <v>1716</v>
      </c>
      <c r="C909">
        <v>532179</v>
      </c>
      <c r="D909" t="s">
        <v>1717</v>
      </c>
      <c r="E909" t="s">
        <v>657</v>
      </c>
    </row>
    <row r="910" spans="2:5">
      <c r="B910" t="s">
        <v>1718</v>
      </c>
      <c r="C910">
        <v>530859</v>
      </c>
      <c r="D910" t="s">
        <v>339</v>
      </c>
      <c r="E910" t="s">
        <v>333</v>
      </c>
    </row>
    <row r="911" spans="2:5">
      <c r="B911" t="s">
        <v>1719</v>
      </c>
      <c r="C911">
        <v>530545</v>
      </c>
      <c r="D911" t="s">
        <v>339</v>
      </c>
      <c r="E911" t="s">
        <v>328</v>
      </c>
    </row>
    <row r="912" spans="2:5">
      <c r="B912" t="s">
        <v>1720</v>
      </c>
      <c r="C912">
        <v>530545</v>
      </c>
      <c r="D912" t="s">
        <v>339</v>
      </c>
      <c r="E912" t="s">
        <v>328</v>
      </c>
    </row>
    <row r="913" spans="2:5">
      <c r="B913" t="s">
        <v>1721</v>
      </c>
      <c r="C913">
        <v>523100</v>
      </c>
      <c r="D913" t="s">
        <v>339</v>
      </c>
      <c r="E913" t="s">
        <v>371</v>
      </c>
    </row>
    <row r="914" spans="2:5">
      <c r="B914" t="s">
        <v>1722</v>
      </c>
      <c r="C914">
        <v>508814</v>
      </c>
      <c r="D914" t="s">
        <v>1723</v>
      </c>
      <c r="E914" t="s">
        <v>387</v>
      </c>
    </row>
    <row r="915" spans="2:5">
      <c r="B915" t="s">
        <v>1724</v>
      </c>
      <c r="C915">
        <v>538922</v>
      </c>
      <c r="D915" t="s">
        <v>339</v>
      </c>
      <c r="E915" t="s">
        <v>432</v>
      </c>
    </row>
    <row r="916" spans="2:5">
      <c r="B916" t="s">
        <v>1725</v>
      </c>
      <c r="C916">
        <v>526550</v>
      </c>
      <c r="D916" t="s">
        <v>1726</v>
      </c>
      <c r="E916" t="s">
        <v>540</v>
      </c>
    </row>
    <row r="917" spans="2:5">
      <c r="B917" t="s">
        <v>1727</v>
      </c>
      <c r="C917">
        <v>531624</v>
      </c>
      <c r="D917" t="s">
        <v>1728</v>
      </c>
      <c r="E917" t="s">
        <v>425</v>
      </c>
    </row>
    <row r="918" spans="2:5">
      <c r="B918" t="s">
        <v>1729</v>
      </c>
      <c r="C918">
        <v>523415</v>
      </c>
      <c r="D918" t="s">
        <v>339</v>
      </c>
      <c r="E918" t="s">
        <v>371</v>
      </c>
    </row>
    <row r="919" spans="2:5">
      <c r="B919" t="s">
        <v>1730</v>
      </c>
      <c r="C919">
        <v>534920</v>
      </c>
      <c r="D919" t="s">
        <v>339</v>
      </c>
      <c r="E919" t="s">
        <v>325</v>
      </c>
    </row>
    <row r="920" spans="2:5">
      <c r="B920" t="s">
        <v>1731</v>
      </c>
      <c r="C920">
        <v>533144</v>
      </c>
      <c r="D920" t="s">
        <v>1732</v>
      </c>
      <c r="E920" t="s">
        <v>1341</v>
      </c>
    </row>
    <row r="921" spans="2:5">
      <c r="B921" t="s">
        <v>1733</v>
      </c>
      <c r="C921">
        <v>542641</v>
      </c>
      <c r="D921" t="s">
        <v>1734</v>
      </c>
      <c r="E921" t="s">
        <v>356</v>
      </c>
    </row>
    <row r="922" spans="2:5">
      <c r="B922" t="s">
        <v>1735</v>
      </c>
      <c r="C922">
        <v>538770</v>
      </c>
      <c r="D922" t="s">
        <v>339</v>
      </c>
      <c r="E922" t="s">
        <v>425</v>
      </c>
    </row>
    <row r="923" spans="2:5">
      <c r="B923" t="s">
        <v>1736</v>
      </c>
      <c r="C923">
        <v>512093</v>
      </c>
      <c r="D923" t="s">
        <v>339</v>
      </c>
      <c r="E923" t="s">
        <v>432</v>
      </c>
    </row>
    <row r="924" spans="2:5">
      <c r="B924" t="s">
        <v>1737</v>
      </c>
      <c r="C924">
        <v>522001</v>
      </c>
      <c r="D924" t="s">
        <v>339</v>
      </c>
      <c r="E924" t="s">
        <v>417</v>
      </c>
    </row>
    <row r="925" spans="2:5">
      <c r="B925" t="s">
        <v>1738</v>
      </c>
      <c r="C925">
        <v>509472</v>
      </c>
      <c r="D925" t="s">
        <v>339</v>
      </c>
      <c r="E925" t="s">
        <v>361</v>
      </c>
    </row>
    <row r="926" spans="2:5">
      <c r="B926" t="s">
        <v>1739</v>
      </c>
      <c r="C926">
        <v>524388</v>
      </c>
      <c r="D926" t="s">
        <v>339</v>
      </c>
      <c r="E926" t="s">
        <v>664</v>
      </c>
    </row>
    <row r="927" spans="2:5">
      <c r="B927" t="s">
        <v>1740</v>
      </c>
      <c r="C927">
        <v>539527</v>
      </c>
      <c r="D927" t="s">
        <v>339</v>
      </c>
      <c r="E927" t="s">
        <v>1258</v>
      </c>
    </row>
    <row r="928" spans="2:5">
      <c r="B928" t="s">
        <v>1741</v>
      </c>
      <c r="C928">
        <v>532392</v>
      </c>
      <c r="D928" t="s">
        <v>1742</v>
      </c>
      <c r="E928" t="s">
        <v>342</v>
      </c>
    </row>
    <row r="929" spans="2:5">
      <c r="B929" t="s">
        <v>1743</v>
      </c>
      <c r="C929" t="s">
        <v>339</v>
      </c>
      <c r="D929" t="s">
        <v>1744</v>
      </c>
      <c r="E929" t="s">
        <v>350</v>
      </c>
    </row>
    <row r="930" spans="2:5">
      <c r="B930" t="s">
        <v>1745</v>
      </c>
      <c r="C930">
        <v>541770</v>
      </c>
      <c r="D930" t="s">
        <v>1746</v>
      </c>
      <c r="E930" t="s">
        <v>356</v>
      </c>
    </row>
    <row r="931" spans="2:5">
      <c r="B931" t="s">
        <v>1747</v>
      </c>
      <c r="C931">
        <v>539131</v>
      </c>
      <c r="D931" t="s">
        <v>339</v>
      </c>
      <c r="E931" t="s">
        <v>359</v>
      </c>
    </row>
    <row r="932" spans="2:5">
      <c r="B932" t="s">
        <v>1748</v>
      </c>
      <c r="C932">
        <v>512379</v>
      </c>
      <c r="D932" t="s">
        <v>339</v>
      </c>
      <c r="E932" t="s">
        <v>432</v>
      </c>
    </row>
    <row r="933" spans="2:5">
      <c r="B933" t="s">
        <v>1749</v>
      </c>
      <c r="C933">
        <v>511413</v>
      </c>
      <c r="D933" t="s">
        <v>1750</v>
      </c>
      <c r="E933" t="s">
        <v>356</v>
      </c>
    </row>
    <row r="934" spans="2:5">
      <c r="B934" t="s">
        <v>1751</v>
      </c>
      <c r="C934">
        <v>526269</v>
      </c>
      <c r="D934" t="s">
        <v>339</v>
      </c>
      <c r="E934" t="s">
        <v>499</v>
      </c>
    </row>
    <row r="935" spans="2:5">
      <c r="B935" t="s">
        <v>1752</v>
      </c>
      <c r="C935">
        <v>526977</v>
      </c>
      <c r="D935" t="s">
        <v>339</v>
      </c>
      <c r="E935" t="s">
        <v>662</v>
      </c>
    </row>
    <row r="936" spans="2:5">
      <c r="B936" t="s">
        <v>1753</v>
      </c>
      <c r="C936">
        <v>500092</v>
      </c>
      <c r="D936" t="s">
        <v>1754</v>
      </c>
      <c r="E936" t="s">
        <v>322</v>
      </c>
    </row>
    <row r="937" spans="2:5">
      <c r="B937" t="s">
        <v>1755</v>
      </c>
      <c r="C937">
        <v>539876</v>
      </c>
      <c r="D937" t="s">
        <v>1756</v>
      </c>
      <c r="E937" t="s">
        <v>1103</v>
      </c>
    </row>
    <row r="938" spans="2:5">
      <c r="B938" t="s">
        <v>1757</v>
      </c>
      <c r="C938" t="s">
        <v>339</v>
      </c>
      <c r="D938" t="s">
        <v>1758</v>
      </c>
      <c r="E938" t="s">
        <v>350</v>
      </c>
    </row>
    <row r="939" spans="2:5">
      <c r="B939" t="s">
        <v>1759</v>
      </c>
      <c r="C939">
        <v>538521</v>
      </c>
      <c r="D939" t="s">
        <v>339</v>
      </c>
      <c r="E939" t="s">
        <v>1341</v>
      </c>
    </row>
    <row r="940" spans="2:5">
      <c r="B940" t="s">
        <v>1760</v>
      </c>
      <c r="C940">
        <v>540903</v>
      </c>
      <c r="D940" t="s">
        <v>339</v>
      </c>
      <c r="E940" t="s">
        <v>423</v>
      </c>
    </row>
    <row r="941" spans="2:5">
      <c r="B941" t="s">
        <v>1761</v>
      </c>
      <c r="C941">
        <v>530067</v>
      </c>
      <c r="D941" t="s">
        <v>339</v>
      </c>
      <c r="E941" t="s">
        <v>356</v>
      </c>
    </row>
    <row r="942" spans="2:5">
      <c r="B942" t="s">
        <v>1762</v>
      </c>
      <c r="C942">
        <v>526027</v>
      </c>
      <c r="D942" t="s">
        <v>1763</v>
      </c>
      <c r="E942" t="s">
        <v>413</v>
      </c>
    </row>
    <row r="943" spans="2:5">
      <c r="B943" t="s">
        <v>1764</v>
      </c>
      <c r="C943">
        <v>511710</v>
      </c>
      <c r="D943" t="s">
        <v>339</v>
      </c>
      <c r="E943" t="s">
        <v>356</v>
      </c>
    </row>
    <row r="944" spans="2:5">
      <c r="B944" t="s">
        <v>1765</v>
      </c>
      <c r="C944">
        <v>500480</v>
      </c>
      <c r="D944" t="s">
        <v>1766</v>
      </c>
      <c r="E944" t="s">
        <v>347</v>
      </c>
    </row>
    <row r="945" spans="2:5">
      <c r="B945" t="s">
        <v>1767</v>
      </c>
      <c r="C945">
        <v>500480</v>
      </c>
      <c r="D945" t="s">
        <v>1766</v>
      </c>
      <c r="E945" t="s">
        <v>347</v>
      </c>
    </row>
    <row r="946" spans="2:5">
      <c r="B946" t="s">
        <v>1768</v>
      </c>
      <c r="C946">
        <v>530843</v>
      </c>
      <c r="D946" t="s">
        <v>1769</v>
      </c>
      <c r="E946" t="s">
        <v>521</v>
      </c>
    </row>
    <row r="947" spans="2:5">
      <c r="B947" t="s">
        <v>1770</v>
      </c>
      <c r="C947">
        <v>532332</v>
      </c>
      <c r="D947" t="s">
        <v>1771</v>
      </c>
      <c r="E947" t="s">
        <v>432</v>
      </c>
    </row>
    <row r="948" spans="2:5">
      <c r="B948" t="s">
        <v>1772</v>
      </c>
      <c r="C948">
        <v>531472</v>
      </c>
      <c r="D948" t="s">
        <v>339</v>
      </c>
      <c r="E948" t="s">
        <v>637</v>
      </c>
    </row>
    <row r="949" spans="2:5">
      <c r="B949" t="s">
        <v>1773</v>
      </c>
      <c r="C949">
        <v>532640</v>
      </c>
      <c r="D949" t="s">
        <v>1774</v>
      </c>
      <c r="E949" t="s">
        <v>863</v>
      </c>
    </row>
    <row r="950" spans="2:5">
      <c r="B950" t="s">
        <v>1775</v>
      </c>
      <c r="C950">
        <v>532640</v>
      </c>
      <c r="D950" t="s">
        <v>1774</v>
      </c>
      <c r="E950" t="s">
        <v>863</v>
      </c>
    </row>
    <row r="951" spans="2:5">
      <c r="B951" t="s">
        <v>1776</v>
      </c>
      <c r="C951">
        <v>532271</v>
      </c>
      <c r="D951" t="s">
        <v>339</v>
      </c>
      <c r="E951" t="s">
        <v>432</v>
      </c>
    </row>
    <row r="952" spans="2:5">
      <c r="B952" t="s">
        <v>1777</v>
      </c>
      <c r="C952">
        <v>532173</v>
      </c>
      <c r="D952" t="s">
        <v>1778</v>
      </c>
      <c r="E952" t="s">
        <v>432</v>
      </c>
    </row>
    <row r="953" spans="2:5">
      <c r="B953" t="s">
        <v>1779</v>
      </c>
      <c r="C953">
        <v>532175</v>
      </c>
      <c r="D953" t="s">
        <v>1780</v>
      </c>
      <c r="E953" t="s">
        <v>325</v>
      </c>
    </row>
    <row r="954" spans="2:5">
      <c r="B954" t="s">
        <v>1781</v>
      </c>
      <c r="C954">
        <v>533151</v>
      </c>
      <c r="D954" t="s">
        <v>1782</v>
      </c>
      <c r="E954" t="s">
        <v>863</v>
      </c>
    </row>
    <row r="955" spans="2:5">
      <c r="B955" t="s">
        <v>1783</v>
      </c>
      <c r="C955">
        <v>533160</v>
      </c>
      <c r="D955" t="s">
        <v>1784</v>
      </c>
      <c r="E955" t="s">
        <v>425</v>
      </c>
    </row>
    <row r="956" spans="2:5">
      <c r="B956" t="s">
        <v>1785</v>
      </c>
      <c r="C956" t="s">
        <v>339</v>
      </c>
      <c r="D956" t="s">
        <v>1786</v>
      </c>
      <c r="E956" t="s">
        <v>350</v>
      </c>
    </row>
    <row r="957" spans="2:5">
      <c r="B957" t="s">
        <v>1787</v>
      </c>
      <c r="C957" t="s">
        <v>339</v>
      </c>
      <c r="D957" t="s">
        <v>1788</v>
      </c>
      <c r="E957" t="s">
        <v>350</v>
      </c>
    </row>
    <row r="958" spans="2:5">
      <c r="B958" t="s">
        <v>1789</v>
      </c>
      <c r="C958">
        <v>517514</v>
      </c>
      <c r="D958" t="s">
        <v>339</v>
      </c>
      <c r="E958" t="s">
        <v>524</v>
      </c>
    </row>
    <row r="959" spans="2:5">
      <c r="B959" t="s">
        <v>1790</v>
      </c>
      <c r="C959">
        <v>517514</v>
      </c>
      <c r="D959" t="s">
        <v>339</v>
      </c>
      <c r="E959" t="s">
        <v>524</v>
      </c>
    </row>
    <row r="960" spans="2:5">
      <c r="B960" t="s">
        <v>1791</v>
      </c>
      <c r="C960">
        <v>500096</v>
      </c>
      <c r="D960" t="s">
        <v>1792</v>
      </c>
      <c r="E960" t="s">
        <v>521</v>
      </c>
    </row>
    <row r="961" spans="2:5">
      <c r="B961" t="s">
        <v>1793</v>
      </c>
      <c r="C961">
        <v>500096</v>
      </c>
      <c r="D961" t="s">
        <v>1792</v>
      </c>
      <c r="E961" t="s">
        <v>521</v>
      </c>
    </row>
    <row r="962" spans="2:5">
      <c r="B962" t="s">
        <v>1794</v>
      </c>
      <c r="C962">
        <v>526821</v>
      </c>
      <c r="D962" t="s">
        <v>339</v>
      </c>
      <c r="E962" t="s">
        <v>499</v>
      </c>
    </row>
    <row r="963" spans="2:5">
      <c r="B963" t="s">
        <v>1795</v>
      </c>
      <c r="C963">
        <v>530825</v>
      </c>
      <c r="D963" t="s">
        <v>339</v>
      </c>
      <c r="E963" t="s">
        <v>499</v>
      </c>
    </row>
    <row r="964" spans="2:5">
      <c r="B964" t="s">
        <v>1796</v>
      </c>
      <c r="C964">
        <v>530825</v>
      </c>
      <c r="D964" t="s">
        <v>339</v>
      </c>
      <c r="E964" t="s">
        <v>499</v>
      </c>
    </row>
    <row r="965" spans="2:5">
      <c r="B965" t="s">
        <v>1797</v>
      </c>
      <c r="C965">
        <v>501148</v>
      </c>
      <c r="D965" t="s">
        <v>339</v>
      </c>
      <c r="E965" t="s">
        <v>359</v>
      </c>
    </row>
    <row r="966" spans="2:5">
      <c r="B966" t="s">
        <v>1798</v>
      </c>
      <c r="C966">
        <v>542216</v>
      </c>
      <c r="D966" t="s">
        <v>1799</v>
      </c>
      <c r="E966" t="s">
        <v>1800</v>
      </c>
    </row>
    <row r="967" spans="2:5">
      <c r="B967" t="s">
        <v>1801</v>
      </c>
      <c r="C967">
        <v>500097</v>
      </c>
      <c r="D967" t="s">
        <v>1802</v>
      </c>
      <c r="E967" t="s">
        <v>1037</v>
      </c>
    </row>
    <row r="968" spans="2:5">
      <c r="B968" t="s">
        <v>1803</v>
      </c>
      <c r="C968">
        <v>539900</v>
      </c>
      <c r="D968" t="s">
        <v>339</v>
      </c>
      <c r="E968" t="s">
        <v>361</v>
      </c>
    </row>
    <row r="969" spans="2:5">
      <c r="B969" t="s">
        <v>1804</v>
      </c>
      <c r="C969">
        <v>521220</v>
      </c>
      <c r="D969" t="s">
        <v>1805</v>
      </c>
      <c r="E969" t="s">
        <v>354</v>
      </c>
    </row>
    <row r="970" spans="2:5">
      <c r="B970" t="s">
        <v>1806</v>
      </c>
      <c r="C970" t="s">
        <v>339</v>
      </c>
      <c r="D970" t="s">
        <v>1807</v>
      </c>
      <c r="E970" t="s">
        <v>350</v>
      </c>
    </row>
    <row r="971" spans="2:5">
      <c r="B971" t="s">
        <v>1808</v>
      </c>
      <c r="C971">
        <v>532329</v>
      </c>
      <c r="D971" t="s">
        <v>339</v>
      </c>
      <c r="E971" t="s">
        <v>432</v>
      </c>
    </row>
    <row r="972" spans="2:5">
      <c r="B972" t="s">
        <v>1809</v>
      </c>
      <c r="C972">
        <v>532329</v>
      </c>
      <c r="D972" t="s">
        <v>339</v>
      </c>
      <c r="E972" t="s">
        <v>432</v>
      </c>
    </row>
    <row r="973" spans="2:5">
      <c r="B973" t="s">
        <v>1810</v>
      </c>
      <c r="C973">
        <v>540361</v>
      </c>
      <c r="D973" t="s">
        <v>339</v>
      </c>
      <c r="E973" t="s">
        <v>361</v>
      </c>
    </row>
    <row r="974" spans="2:5">
      <c r="B974" t="s">
        <v>1811</v>
      </c>
      <c r="C974">
        <v>539770</v>
      </c>
      <c r="D974" t="s">
        <v>339</v>
      </c>
      <c r="E974" t="s">
        <v>322</v>
      </c>
    </row>
    <row r="975" spans="2:5">
      <c r="B975" t="s">
        <v>1812</v>
      </c>
      <c r="C975">
        <v>539884</v>
      </c>
      <c r="D975" t="s">
        <v>339</v>
      </c>
      <c r="E975" t="s">
        <v>453</v>
      </c>
    </row>
    <row r="976" spans="2:5">
      <c r="B976" t="s">
        <v>1813</v>
      </c>
      <c r="C976">
        <v>532528</v>
      </c>
      <c r="D976" t="s">
        <v>1814</v>
      </c>
      <c r="E976" t="s">
        <v>432</v>
      </c>
    </row>
    <row r="977" spans="2:5">
      <c r="B977" t="s">
        <v>1815</v>
      </c>
      <c r="C977">
        <v>530171</v>
      </c>
      <c r="D977" t="s">
        <v>339</v>
      </c>
      <c r="E977" t="s">
        <v>322</v>
      </c>
    </row>
    <row r="978" spans="2:5">
      <c r="B978" t="s">
        <v>1816</v>
      </c>
      <c r="C978">
        <v>530393</v>
      </c>
      <c r="D978" t="s">
        <v>1817</v>
      </c>
      <c r="E978" t="s">
        <v>322</v>
      </c>
    </row>
    <row r="979" spans="2:5">
      <c r="B979" t="s">
        <v>1818</v>
      </c>
      <c r="C979">
        <v>532772</v>
      </c>
      <c r="D979" t="s">
        <v>1819</v>
      </c>
      <c r="E979" t="s">
        <v>657</v>
      </c>
    </row>
    <row r="980" spans="2:5">
      <c r="B980" t="s">
        <v>1820</v>
      </c>
      <c r="C980">
        <v>511611</v>
      </c>
      <c r="D980" t="s">
        <v>1821</v>
      </c>
      <c r="E980" t="s">
        <v>356</v>
      </c>
    </row>
    <row r="981" spans="2:5">
      <c r="B981" t="s">
        <v>1822</v>
      </c>
      <c r="C981">
        <v>502820</v>
      </c>
      <c r="D981" t="s">
        <v>1823</v>
      </c>
      <c r="E981" t="s">
        <v>354</v>
      </c>
    </row>
    <row r="982" spans="2:5">
      <c r="B982" t="s">
        <v>1824</v>
      </c>
      <c r="C982">
        <v>523369</v>
      </c>
      <c r="D982" t="s">
        <v>339</v>
      </c>
      <c r="E982" t="s">
        <v>1037</v>
      </c>
    </row>
    <row r="983" spans="2:5">
      <c r="B983" t="s">
        <v>1825</v>
      </c>
      <c r="C983">
        <v>523367</v>
      </c>
      <c r="D983" t="s">
        <v>1826</v>
      </c>
      <c r="E983" t="s">
        <v>328</v>
      </c>
    </row>
    <row r="984" spans="2:5">
      <c r="B984" t="s">
        <v>1827</v>
      </c>
      <c r="C984">
        <v>500117</v>
      </c>
      <c r="D984" t="s">
        <v>1828</v>
      </c>
      <c r="E984" t="s">
        <v>553</v>
      </c>
    </row>
    <row r="985" spans="2:5">
      <c r="B985" t="s">
        <v>1829</v>
      </c>
      <c r="C985">
        <v>590031</v>
      </c>
      <c r="D985" t="s">
        <v>1830</v>
      </c>
      <c r="E985" t="s">
        <v>524</v>
      </c>
    </row>
    <row r="986" spans="2:5">
      <c r="B986" t="s">
        <v>1831</v>
      </c>
      <c r="C986">
        <v>590031</v>
      </c>
      <c r="D986" t="s">
        <v>1830</v>
      </c>
      <c r="E986" t="s">
        <v>524</v>
      </c>
    </row>
    <row r="987" spans="2:5">
      <c r="B987" t="s">
        <v>1832</v>
      </c>
      <c r="C987" t="s">
        <v>339</v>
      </c>
      <c r="D987" t="s">
        <v>1833</v>
      </c>
      <c r="E987" t="s">
        <v>350</v>
      </c>
    </row>
    <row r="988" spans="2:5">
      <c r="B988" t="s">
        <v>1834</v>
      </c>
      <c r="C988">
        <v>505703</v>
      </c>
      <c r="D988" t="s">
        <v>339</v>
      </c>
      <c r="E988" t="s">
        <v>347</v>
      </c>
    </row>
    <row r="989" spans="2:5">
      <c r="B989" t="s">
        <v>1835</v>
      </c>
      <c r="C989">
        <v>502137</v>
      </c>
      <c r="D989" t="s">
        <v>1836</v>
      </c>
      <c r="E989" t="s">
        <v>352</v>
      </c>
    </row>
    <row r="990" spans="2:5">
      <c r="B990" t="s">
        <v>1837</v>
      </c>
      <c r="C990">
        <v>512068</v>
      </c>
      <c r="D990" t="s">
        <v>339</v>
      </c>
      <c r="E990" t="s">
        <v>319</v>
      </c>
    </row>
    <row r="991" spans="2:5">
      <c r="B991" t="s">
        <v>1838</v>
      </c>
      <c r="C991">
        <v>542248</v>
      </c>
      <c r="D991" t="s">
        <v>1839</v>
      </c>
      <c r="E991" t="s">
        <v>528</v>
      </c>
    </row>
    <row r="992" spans="2:5">
      <c r="B992" t="s">
        <v>1840</v>
      </c>
      <c r="C992">
        <v>531989</v>
      </c>
      <c r="D992" t="s">
        <v>339</v>
      </c>
      <c r="E992" t="s">
        <v>534</v>
      </c>
    </row>
    <row r="993" spans="2:5">
      <c r="B993" t="s">
        <v>1841</v>
      </c>
      <c r="C993">
        <v>539190</v>
      </c>
      <c r="D993" t="s">
        <v>339</v>
      </c>
      <c r="E993" t="s">
        <v>356</v>
      </c>
    </row>
    <row r="994" spans="2:5">
      <c r="B994" t="s">
        <v>1842</v>
      </c>
      <c r="C994">
        <v>531227</v>
      </c>
      <c r="D994" t="s">
        <v>339</v>
      </c>
      <c r="E994" t="s">
        <v>387</v>
      </c>
    </row>
    <row r="995" spans="2:5">
      <c r="B995" t="s">
        <v>1843</v>
      </c>
      <c r="C995">
        <v>539405</v>
      </c>
      <c r="D995" t="s">
        <v>339</v>
      </c>
      <c r="E995" t="s">
        <v>453</v>
      </c>
    </row>
    <row r="996" spans="2:5">
      <c r="B996" t="s">
        <v>1844</v>
      </c>
      <c r="C996">
        <v>539559</v>
      </c>
      <c r="D996" t="s">
        <v>339</v>
      </c>
      <c r="E996" t="s">
        <v>453</v>
      </c>
    </row>
    <row r="997" spans="2:5">
      <c r="B997" t="s">
        <v>1845</v>
      </c>
      <c r="C997">
        <v>539559</v>
      </c>
      <c r="D997" t="s">
        <v>339</v>
      </c>
      <c r="E997" t="s">
        <v>453</v>
      </c>
    </row>
    <row r="998" spans="2:5">
      <c r="B998" t="s">
        <v>1846</v>
      </c>
      <c r="C998">
        <v>532760</v>
      </c>
      <c r="D998" t="s">
        <v>1847</v>
      </c>
      <c r="E998" t="s">
        <v>470</v>
      </c>
    </row>
    <row r="999" spans="2:5">
      <c r="B999" t="s">
        <v>1848</v>
      </c>
      <c r="C999">
        <v>541778</v>
      </c>
      <c r="D999" t="s">
        <v>339</v>
      </c>
      <c r="E999" t="s">
        <v>499</v>
      </c>
    </row>
    <row r="1000" spans="2:5">
      <c r="B1000" t="s">
        <v>1849</v>
      </c>
      <c r="C1000">
        <v>500645</v>
      </c>
      <c r="D1000" t="s">
        <v>1850</v>
      </c>
      <c r="E1000" t="s">
        <v>387</v>
      </c>
    </row>
    <row r="1001" spans="2:5">
      <c r="B1001" t="s">
        <v>1851</v>
      </c>
      <c r="C1001">
        <v>506401</v>
      </c>
      <c r="D1001" t="s">
        <v>1852</v>
      </c>
      <c r="E1001" t="s">
        <v>387</v>
      </c>
    </row>
    <row r="1002" spans="2:5">
      <c r="B1002" t="s">
        <v>1853</v>
      </c>
      <c r="C1002">
        <v>514030</v>
      </c>
      <c r="D1002" t="s">
        <v>339</v>
      </c>
      <c r="E1002" t="s">
        <v>354</v>
      </c>
    </row>
    <row r="1003" spans="2:5">
      <c r="B1003" t="s">
        <v>1854</v>
      </c>
      <c r="C1003">
        <v>539455</v>
      </c>
      <c r="D1003" t="s">
        <v>339</v>
      </c>
      <c r="E1003" t="s">
        <v>371</v>
      </c>
    </row>
    <row r="1004" spans="2:5">
      <c r="B1004" t="s">
        <v>1855</v>
      </c>
      <c r="C1004">
        <v>780006</v>
      </c>
      <c r="D1004" t="s">
        <v>339</v>
      </c>
      <c r="E1004" t="s">
        <v>430</v>
      </c>
    </row>
    <row r="1005" spans="2:5">
      <c r="B1005" t="s">
        <v>1856</v>
      </c>
      <c r="C1005">
        <v>532848</v>
      </c>
      <c r="D1005" t="s">
        <v>1857</v>
      </c>
      <c r="E1005" t="s">
        <v>760</v>
      </c>
    </row>
    <row r="1006" spans="2:5">
      <c r="B1006" t="s">
        <v>1858</v>
      </c>
      <c r="C1006">
        <v>539596</v>
      </c>
      <c r="D1006" t="s">
        <v>339</v>
      </c>
      <c r="E1006" t="s">
        <v>322</v>
      </c>
    </row>
    <row r="1007" spans="2:5">
      <c r="B1007" t="s">
        <v>1859</v>
      </c>
      <c r="C1007">
        <v>504286</v>
      </c>
      <c r="D1007" t="s">
        <v>1860</v>
      </c>
      <c r="E1007" t="s">
        <v>637</v>
      </c>
    </row>
    <row r="1008" spans="2:5">
      <c r="B1008" t="s">
        <v>1861</v>
      </c>
      <c r="C1008">
        <v>504240</v>
      </c>
      <c r="D1008" t="s">
        <v>339</v>
      </c>
      <c r="E1008" t="s">
        <v>637</v>
      </c>
    </row>
    <row r="1009" spans="2:5">
      <c r="B1009" t="s">
        <v>1862</v>
      </c>
      <c r="C1009">
        <v>504256</v>
      </c>
      <c r="D1009" t="s">
        <v>339</v>
      </c>
      <c r="E1009" t="s">
        <v>881</v>
      </c>
    </row>
    <row r="1010" spans="2:5">
      <c r="B1010" t="s">
        <v>1863</v>
      </c>
      <c r="C1010">
        <v>533137</v>
      </c>
      <c r="D1010" t="s">
        <v>1864</v>
      </c>
      <c r="E1010" t="s">
        <v>1077</v>
      </c>
    </row>
    <row r="1011" spans="2:5">
      <c r="B1011" t="s">
        <v>1865</v>
      </c>
      <c r="C1011">
        <v>532121</v>
      </c>
      <c r="D1011" t="s">
        <v>1866</v>
      </c>
      <c r="E1011" t="s">
        <v>657</v>
      </c>
    </row>
    <row r="1012" spans="2:5">
      <c r="B1012" t="s">
        <v>1867</v>
      </c>
      <c r="C1012">
        <v>537536</v>
      </c>
      <c r="D1012" t="s">
        <v>339</v>
      </c>
      <c r="E1012" t="s">
        <v>377</v>
      </c>
    </row>
    <row r="1013" spans="2:5">
      <c r="B1013" t="s">
        <v>1868</v>
      </c>
      <c r="C1013">
        <v>531521</v>
      </c>
      <c r="D1013" t="s">
        <v>339</v>
      </c>
      <c r="E1013" t="s">
        <v>377</v>
      </c>
    </row>
    <row r="1014" spans="2:5">
      <c r="B1014" t="s">
        <v>1869</v>
      </c>
      <c r="C1014" t="s">
        <v>339</v>
      </c>
      <c r="D1014" t="s">
        <v>1870</v>
      </c>
      <c r="E1014" t="s">
        <v>350</v>
      </c>
    </row>
    <row r="1015" spans="2:5">
      <c r="B1015" t="s">
        <v>1871</v>
      </c>
      <c r="C1015">
        <v>539197</v>
      </c>
      <c r="D1015" t="s">
        <v>339</v>
      </c>
      <c r="E1015" t="s">
        <v>361</v>
      </c>
    </row>
    <row r="1016" spans="2:5">
      <c r="B1016" t="s">
        <v>1872</v>
      </c>
      <c r="C1016">
        <v>539197</v>
      </c>
      <c r="D1016" t="s">
        <v>339</v>
      </c>
      <c r="E1016" t="s">
        <v>361</v>
      </c>
    </row>
    <row r="1017" spans="2:5">
      <c r="B1017" t="s">
        <v>1873</v>
      </c>
      <c r="C1017">
        <v>531585</v>
      </c>
      <c r="D1017" t="s">
        <v>339</v>
      </c>
      <c r="E1017" t="s">
        <v>361</v>
      </c>
    </row>
    <row r="1018" spans="2:5">
      <c r="B1018" t="s">
        <v>1874</v>
      </c>
      <c r="C1018">
        <v>512445</v>
      </c>
      <c r="D1018" t="s">
        <v>339</v>
      </c>
      <c r="E1018" t="s">
        <v>322</v>
      </c>
    </row>
    <row r="1019" spans="2:5">
      <c r="B1019" t="s">
        <v>1875</v>
      </c>
      <c r="C1019">
        <v>530765</v>
      </c>
      <c r="D1019" t="s">
        <v>339</v>
      </c>
      <c r="E1019" t="s">
        <v>356</v>
      </c>
    </row>
    <row r="1020" spans="2:5">
      <c r="B1020" t="s">
        <v>1876</v>
      </c>
      <c r="C1020">
        <v>542002</v>
      </c>
      <c r="D1020" t="s">
        <v>339</v>
      </c>
      <c r="E1020" t="s">
        <v>425</v>
      </c>
    </row>
    <row r="1021" spans="2:5">
      <c r="B1021" t="s">
        <v>1877</v>
      </c>
      <c r="C1021">
        <v>511072</v>
      </c>
      <c r="D1021" t="s">
        <v>1878</v>
      </c>
      <c r="E1021" t="s">
        <v>397</v>
      </c>
    </row>
    <row r="1022" spans="2:5">
      <c r="B1022" t="s">
        <v>1879</v>
      </c>
      <c r="C1022">
        <v>519588</v>
      </c>
      <c r="D1022" t="s">
        <v>1880</v>
      </c>
      <c r="E1022" t="s">
        <v>399</v>
      </c>
    </row>
    <row r="1023" spans="2:5">
      <c r="B1023" t="s">
        <v>1881</v>
      </c>
      <c r="C1023">
        <v>538715</v>
      </c>
      <c r="D1023" t="s">
        <v>339</v>
      </c>
      <c r="E1023" t="s">
        <v>459</v>
      </c>
    </row>
    <row r="1024" spans="2:5">
      <c r="B1024" t="s">
        <v>1882</v>
      </c>
      <c r="C1024">
        <v>500119</v>
      </c>
      <c r="D1024" t="s">
        <v>1883</v>
      </c>
      <c r="E1024" t="s">
        <v>1037</v>
      </c>
    </row>
    <row r="1025" spans="2:5">
      <c r="B1025" t="s">
        <v>1884</v>
      </c>
      <c r="C1025">
        <v>531923</v>
      </c>
      <c r="D1025" t="s">
        <v>339</v>
      </c>
      <c r="E1025" t="s">
        <v>1037</v>
      </c>
    </row>
    <row r="1026" spans="2:5">
      <c r="B1026" t="s">
        <v>1885</v>
      </c>
      <c r="C1026">
        <v>531198</v>
      </c>
      <c r="D1026" t="s">
        <v>339</v>
      </c>
      <c r="E1026" t="s">
        <v>540</v>
      </c>
    </row>
    <row r="1027" spans="2:5">
      <c r="B1027" t="s">
        <v>1886</v>
      </c>
      <c r="C1027">
        <v>521216</v>
      </c>
      <c r="D1027" t="s">
        <v>339</v>
      </c>
      <c r="E1027" t="s">
        <v>354</v>
      </c>
    </row>
    <row r="1028" spans="2:5">
      <c r="B1028" t="s">
        <v>1887</v>
      </c>
      <c r="C1028">
        <v>542679</v>
      </c>
      <c r="D1028" t="s">
        <v>1888</v>
      </c>
      <c r="E1028" t="s">
        <v>637</v>
      </c>
    </row>
    <row r="1029" spans="2:5">
      <c r="B1029" t="s">
        <v>1889</v>
      </c>
      <c r="C1029">
        <v>532180</v>
      </c>
      <c r="D1029" t="s">
        <v>1890</v>
      </c>
      <c r="E1029" t="s">
        <v>657</v>
      </c>
    </row>
    <row r="1030" spans="2:5">
      <c r="B1030" t="s">
        <v>1891</v>
      </c>
      <c r="C1030">
        <v>512485</v>
      </c>
      <c r="D1030" t="s">
        <v>339</v>
      </c>
      <c r="E1030" t="s">
        <v>361</v>
      </c>
    </row>
    <row r="1031" spans="2:5">
      <c r="B1031" t="s">
        <v>1892</v>
      </c>
      <c r="C1031">
        <v>521151</v>
      </c>
      <c r="D1031" t="s">
        <v>339</v>
      </c>
      <c r="E1031" t="s">
        <v>354</v>
      </c>
    </row>
    <row r="1032" spans="2:5">
      <c r="B1032" t="s">
        <v>1893</v>
      </c>
      <c r="C1032">
        <v>503637</v>
      </c>
      <c r="D1032" t="s">
        <v>339</v>
      </c>
      <c r="E1032" t="s">
        <v>322</v>
      </c>
    </row>
    <row r="1033" spans="2:5">
      <c r="B1033" t="s">
        <v>1894</v>
      </c>
      <c r="C1033">
        <v>507717</v>
      </c>
      <c r="D1033" t="s">
        <v>1895</v>
      </c>
      <c r="E1033" t="s">
        <v>483</v>
      </c>
    </row>
    <row r="1034" spans="2:5">
      <c r="B1034" t="s">
        <v>1896</v>
      </c>
      <c r="C1034">
        <v>538446</v>
      </c>
      <c r="D1034" t="s">
        <v>339</v>
      </c>
      <c r="E1034" t="s">
        <v>322</v>
      </c>
    </row>
    <row r="1035" spans="2:5">
      <c r="B1035" t="s">
        <v>1897</v>
      </c>
      <c r="C1035" t="s">
        <v>339</v>
      </c>
      <c r="D1035" t="s">
        <v>1898</v>
      </c>
      <c r="E1035" t="s">
        <v>350</v>
      </c>
    </row>
    <row r="1036" spans="2:5">
      <c r="B1036" t="s">
        <v>1899</v>
      </c>
      <c r="C1036">
        <v>531043</v>
      </c>
      <c r="D1036" t="s">
        <v>339</v>
      </c>
      <c r="E1036" t="s">
        <v>528</v>
      </c>
    </row>
    <row r="1037" spans="2:5">
      <c r="B1037" t="s">
        <v>1900</v>
      </c>
      <c r="C1037">
        <v>540268</v>
      </c>
      <c r="D1037" t="s">
        <v>339</v>
      </c>
      <c r="E1037" t="s">
        <v>322</v>
      </c>
    </row>
    <row r="1038" spans="2:5">
      <c r="B1038" t="s">
        <v>1901</v>
      </c>
      <c r="C1038">
        <v>506405</v>
      </c>
      <c r="D1038" t="s">
        <v>339</v>
      </c>
      <c r="E1038" t="s">
        <v>499</v>
      </c>
    </row>
    <row r="1039" spans="2:5">
      <c r="B1039" t="s">
        <v>1902</v>
      </c>
      <c r="C1039">
        <v>511451</v>
      </c>
      <c r="D1039" t="s">
        <v>339</v>
      </c>
      <c r="E1039" t="s">
        <v>356</v>
      </c>
    </row>
    <row r="1040" spans="2:5">
      <c r="B1040" t="s">
        <v>1903</v>
      </c>
      <c r="C1040">
        <v>507442</v>
      </c>
      <c r="D1040" t="s">
        <v>1904</v>
      </c>
      <c r="E1040" t="s">
        <v>1037</v>
      </c>
    </row>
    <row r="1041" spans="2:5">
      <c r="B1041" t="s">
        <v>1905</v>
      </c>
      <c r="C1041">
        <v>501945</v>
      </c>
      <c r="D1041" t="s">
        <v>339</v>
      </c>
      <c r="E1041" t="s">
        <v>356</v>
      </c>
    </row>
    <row r="1042" spans="2:5">
      <c r="B1042" t="s">
        <v>1906</v>
      </c>
      <c r="C1042">
        <v>526971</v>
      </c>
      <c r="D1042" t="s">
        <v>339</v>
      </c>
      <c r="E1042" t="s">
        <v>361</v>
      </c>
    </row>
    <row r="1043" spans="2:5">
      <c r="B1043" t="s">
        <v>1907</v>
      </c>
      <c r="C1043">
        <v>531306</v>
      </c>
      <c r="D1043" t="s">
        <v>339</v>
      </c>
      <c r="E1043" t="s">
        <v>347</v>
      </c>
    </row>
    <row r="1044" spans="2:5">
      <c r="B1044" t="s">
        <v>1908</v>
      </c>
      <c r="C1044">
        <v>531306</v>
      </c>
      <c r="D1044" t="s">
        <v>339</v>
      </c>
      <c r="E1044" t="s">
        <v>347</v>
      </c>
    </row>
    <row r="1045" spans="2:5">
      <c r="B1045" t="s">
        <v>1909</v>
      </c>
      <c r="C1045">
        <v>541302</v>
      </c>
      <c r="D1045" t="s">
        <v>339</v>
      </c>
      <c r="E1045" t="s">
        <v>737</v>
      </c>
    </row>
    <row r="1046" spans="2:5">
      <c r="B1046" t="s">
        <v>1910</v>
      </c>
      <c r="C1046">
        <v>507886</v>
      </c>
      <c r="D1046" t="s">
        <v>339</v>
      </c>
      <c r="E1046" t="s">
        <v>425</v>
      </c>
    </row>
    <row r="1047" spans="2:5">
      <c r="B1047" t="s">
        <v>1911</v>
      </c>
      <c r="C1047">
        <v>540695</v>
      </c>
      <c r="D1047" t="s">
        <v>339</v>
      </c>
      <c r="E1047" t="s">
        <v>361</v>
      </c>
    </row>
    <row r="1048" spans="2:5">
      <c r="B1048" t="s">
        <v>1912</v>
      </c>
      <c r="C1048">
        <v>531237</v>
      </c>
      <c r="D1048" t="s">
        <v>339</v>
      </c>
      <c r="E1048" t="s">
        <v>356</v>
      </c>
    </row>
    <row r="1049" spans="2:5">
      <c r="B1049" t="s">
        <v>1913</v>
      </c>
      <c r="C1049">
        <v>533336</v>
      </c>
      <c r="D1049" t="s">
        <v>1914</v>
      </c>
      <c r="E1049" t="s">
        <v>359</v>
      </c>
    </row>
    <row r="1050" spans="2:5">
      <c r="B1050" t="s">
        <v>1915</v>
      </c>
      <c r="C1050">
        <v>523736</v>
      </c>
      <c r="D1050" t="s">
        <v>1916</v>
      </c>
      <c r="E1050" t="s">
        <v>716</v>
      </c>
    </row>
    <row r="1051" spans="2:5">
      <c r="B1051" t="s">
        <v>1917</v>
      </c>
      <c r="C1051">
        <v>538902</v>
      </c>
      <c r="D1051" t="s">
        <v>1918</v>
      </c>
      <c r="E1051" t="s">
        <v>746</v>
      </c>
    </row>
    <row r="1052" spans="2:5">
      <c r="B1052" t="s">
        <v>1919</v>
      </c>
      <c r="C1052" t="s">
        <v>339</v>
      </c>
      <c r="D1052" t="s">
        <v>1920</v>
      </c>
      <c r="E1052" t="s">
        <v>746</v>
      </c>
    </row>
    <row r="1053" spans="2:5">
      <c r="B1053" t="s">
        <v>1921</v>
      </c>
      <c r="C1053">
        <v>508860</v>
      </c>
      <c r="D1053" t="s">
        <v>339</v>
      </c>
      <c r="E1053" t="s">
        <v>737</v>
      </c>
    </row>
    <row r="1054" spans="2:5">
      <c r="B1054" t="s">
        <v>1922</v>
      </c>
      <c r="C1054">
        <v>500120</v>
      </c>
      <c r="D1054" t="s">
        <v>339</v>
      </c>
      <c r="E1054" t="s">
        <v>387</v>
      </c>
    </row>
    <row r="1055" spans="2:5">
      <c r="B1055" t="s">
        <v>1923</v>
      </c>
      <c r="C1055">
        <v>522163</v>
      </c>
      <c r="D1055" t="s">
        <v>1924</v>
      </c>
      <c r="E1055" t="s">
        <v>637</v>
      </c>
    </row>
    <row r="1056" spans="2:5">
      <c r="B1056" t="s">
        <v>1925</v>
      </c>
      <c r="C1056">
        <v>530959</v>
      </c>
      <c r="D1056" t="s">
        <v>339</v>
      </c>
      <c r="E1056" t="s">
        <v>746</v>
      </c>
    </row>
    <row r="1057" spans="2:5">
      <c r="B1057" t="s">
        <v>1926</v>
      </c>
      <c r="C1057">
        <v>500089</v>
      </c>
      <c r="D1057" t="s">
        <v>1927</v>
      </c>
      <c r="E1057" t="s">
        <v>499</v>
      </c>
    </row>
    <row r="1058" spans="2:5">
      <c r="B1058" t="s">
        <v>1928</v>
      </c>
      <c r="C1058">
        <v>500089</v>
      </c>
      <c r="D1058" t="s">
        <v>1927</v>
      </c>
      <c r="E1058" t="s">
        <v>499</v>
      </c>
    </row>
    <row r="1059" spans="2:5">
      <c r="B1059" t="s">
        <v>1929</v>
      </c>
      <c r="C1059">
        <v>540811</v>
      </c>
      <c r="D1059" t="s">
        <v>339</v>
      </c>
      <c r="E1059" t="s">
        <v>361</v>
      </c>
    </row>
    <row r="1060" spans="2:5">
      <c r="B1060" t="s">
        <v>1930</v>
      </c>
      <c r="C1060">
        <v>542685</v>
      </c>
      <c r="D1060" t="s">
        <v>1931</v>
      </c>
      <c r="E1060" t="s">
        <v>863</v>
      </c>
    </row>
    <row r="1061" spans="2:5">
      <c r="B1061" t="s">
        <v>1932</v>
      </c>
      <c r="C1061">
        <v>539979</v>
      </c>
      <c r="D1061" t="s">
        <v>1933</v>
      </c>
      <c r="E1061" t="s">
        <v>354</v>
      </c>
    </row>
    <row r="1062" spans="2:5">
      <c r="B1062" t="s">
        <v>1934</v>
      </c>
      <c r="C1062">
        <v>540151</v>
      </c>
      <c r="D1062" t="s">
        <v>339</v>
      </c>
      <c r="E1062" t="s">
        <v>342</v>
      </c>
    </row>
    <row r="1063" spans="2:5">
      <c r="B1063" t="s">
        <v>1935</v>
      </c>
      <c r="C1063">
        <v>542155</v>
      </c>
      <c r="D1063" t="s">
        <v>1936</v>
      </c>
      <c r="E1063" t="s">
        <v>705</v>
      </c>
    </row>
    <row r="1064" spans="2:5">
      <c r="B1064" t="s">
        <v>1937</v>
      </c>
      <c r="C1064">
        <v>506414</v>
      </c>
      <c r="D1064" t="s">
        <v>339</v>
      </c>
      <c r="E1064" t="s">
        <v>377</v>
      </c>
    </row>
    <row r="1065" spans="2:5">
      <c r="B1065" t="s">
        <v>1938</v>
      </c>
      <c r="C1065">
        <v>531153</v>
      </c>
      <c r="D1065" t="s">
        <v>339</v>
      </c>
      <c r="E1065" t="s">
        <v>588</v>
      </c>
    </row>
    <row r="1066" spans="2:5">
      <c r="B1066" t="s">
        <v>1939</v>
      </c>
      <c r="C1066">
        <v>540789</v>
      </c>
      <c r="D1066" t="s">
        <v>1940</v>
      </c>
      <c r="E1066" t="s">
        <v>1941</v>
      </c>
    </row>
    <row r="1067" spans="2:5">
      <c r="B1067" t="s">
        <v>1942</v>
      </c>
      <c r="C1067">
        <v>540047</v>
      </c>
      <c r="D1067" t="s">
        <v>1943</v>
      </c>
      <c r="E1067" t="s">
        <v>934</v>
      </c>
    </row>
    <row r="1068" spans="2:5">
      <c r="B1068" t="s">
        <v>1944</v>
      </c>
      <c r="C1068">
        <v>526927</v>
      </c>
      <c r="D1068" t="s">
        <v>339</v>
      </c>
      <c r="E1068" t="s">
        <v>432</v>
      </c>
    </row>
    <row r="1069" spans="2:5">
      <c r="B1069" t="s">
        <v>1945</v>
      </c>
      <c r="C1069">
        <v>500068</v>
      </c>
      <c r="D1069" t="s">
        <v>339</v>
      </c>
      <c r="E1069" t="s">
        <v>347</v>
      </c>
    </row>
    <row r="1070" spans="2:5">
      <c r="B1070" t="s">
        <v>1946</v>
      </c>
      <c r="C1070">
        <v>500068</v>
      </c>
      <c r="D1070" t="s">
        <v>339</v>
      </c>
      <c r="E1070" t="s">
        <v>347</v>
      </c>
    </row>
    <row r="1071" spans="2:5">
      <c r="B1071" t="s">
        <v>1947</v>
      </c>
      <c r="C1071">
        <v>532839</v>
      </c>
      <c r="D1071" t="s">
        <v>1948</v>
      </c>
      <c r="E1071" t="s">
        <v>1077</v>
      </c>
    </row>
    <row r="1072" spans="2:5">
      <c r="B1072" t="s">
        <v>1949</v>
      </c>
      <c r="C1072">
        <v>532839</v>
      </c>
      <c r="D1072" t="s">
        <v>1948</v>
      </c>
      <c r="E1072" t="s">
        <v>1077</v>
      </c>
    </row>
    <row r="1073" spans="2:5">
      <c r="B1073" t="s">
        <v>1950</v>
      </c>
      <c r="C1073">
        <v>531553</v>
      </c>
      <c r="D1073" t="s">
        <v>339</v>
      </c>
      <c r="E1073" t="s">
        <v>760</v>
      </c>
    </row>
    <row r="1074" spans="2:5">
      <c r="B1074" t="s">
        <v>1951</v>
      </c>
      <c r="C1074">
        <v>540701</v>
      </c>
      <c r="D1074" t="s">
        <v>1952</v>
      </c>
      <c r="E1074" t="s">
        <v>377</v>
      </c>
    </row>
    <row r="1075" spans="2:5">
      <c r="B1075" t="s">
        <v>1953</v>
      </c>
      <c r="C1075">
        <v>538432</v>
      </c>
      <c r="D1075" t="s">
        <v>339</v>
      </c>
      <c r="E1075" t="s">
        <v>361</v>
      </c>
    </row>
    <row r="1076" spans="2:5">
      <c r="B1076" t="s">
        <v>1954</v>
      </c>
      <c r="C1076">
        <v>532488</v>
      </c>
      <c r="D1076" t="s">
        <v>1955</v>
      </c>
      <c r="E1076" t="s">
        <v>377</v>
      </c>
    </row>
    <row r="1077" spans="2:5">
      <c r="B1077" t="s">
        <v>1956</v>
      </c>
      <c r="C1077">
        <v>526285</v>
      </c>
      <c r="D1077" t="s">
        <v>339</v>
      </c>
      <c r="E1077" t="s">
        <v>588</v>
      </c>
    </row>
    <row r="1078" spans="2:5">
      <c r="B1078" t="s">
        <v>1957</v>
      </c>
      <c r="C1078">
        <v>526315</v>
      </c>
      <c r="D1078" t="s">
        <v>339</v>
      </c>
      <c r="E1078" t="s">
        <v>867</v>
      </c>
    </row>
    <row r="1079" spans="2:5">
      <c r="B1079" t="s">
        <v>1958</v>
      </c>
      <c r="C1079">
        <v>540699</v>
      </c>
      <c r="D1079" t="s">
        <v>1959</v>
      </c>
      <c r="E1079" t="s">
        <v>708</v>
      </c>
    </row>
    <row r="1080" spans="2:5">
      <c r="B1080" t="s">
        <v>1960</v>
      </c>
      <c r="C1080">
        <v>540699</v>
      </c>
      <c r="D1080" t="s">
        <v>1959</v>
      </c>
      <c r="E1080" t="s">
        <v>708</v>
      </c>
    </row>
    <row r="1081" spans="2:5">
      <c r="B1081" t="s">
        <v>1961</v>
      </c>
      <c r="C1081">
        <v>532868</v>
      </c>
      <c r="D1081" t="s">
        <v>1962</v>
      </c>
      <c r="E1081" t="s">
        <v>425</v>
      </c>
    </row>
    <row r="1082" spans="2:5">
      <c r="B1082" t="s">
        <v>1963</v>
      </c>
      <c r="C1082">
        <v>533146</v>
      </c>
      <c r="D1082" t="s">
        <v>1964</v>
      </c>
      <c r="E1082" t="s">
        <v>1965</v>
      </c>
    </row>
    <row r="1083" spans="2:5">
      <c r="B1083" t="s">
        <v>1966</v>
      </c>
      <c r="C1083">
        <v>533146</v>
      </c>
      <c r="D1083" t="s">
        <v>1967</v>
      </c>
      <c r="E1083" t="s">
        <v>1965</v>
      </c>
    </row>
    <row r="1084" spans="2:5">
      <c r="B1084" t="s">
        <v>1968</v>
      </c>
      <c r="C1084">
        <v>505526</v>
      </c>
      <c r="D1084" t="s">
        <v>339</v>
      </c>
      <c r="E1084" t="s">
        <v>359</v>
      </c>
    </row>
    <row r="1085" spans="2:5">
      <c r="B1085" t="s">
        <v>1969</v>
      </c>
      <c r="C1085">
        <v>542013</v>
      </c>
      <c r="D1085" t="s">
        <v>339</v>
      </c>
      <c r="E1085" t="s">
        <v>819</v>
      </c>
    </row>
    <row r="1086" spans="2:5">
      <c r="B1086" t="s">
        <v>1970</v>
      </c>
      <c r="C1086">
        <v>541403</v>
      </c>
      <c r="D1086" t="s">
        <v>1971</v>
      </c>
      <c r="E1086" t="s">
        <v>453</v>
      </c>
    </row>
    <row r="1087" spans="2:5">
      <c r="B1087" t="s">
        <v>1972</v>
      </c>
      <c r="C1087">
        <v>526504</v>
      </c>
      <c r="D1087" t="s">
        <v>339</v>
      </c>
      <c r="E1087" t="s">
        <v>528</v>
      </c>
    </row>
    <row r="1088" spans="2:5">
      <c r="B1088" t="s">
        <v>1973</v>
      </c>
      <c r="C1088">
        <v>522261</v>
      </c>
      <c r="D1088" t="s">
        <v>1974</v>
      </c>
      <c r="E1088" t="s">
        <v>680</v>
      </c>
    </row>
    <row r="1089" spans="2:5">
      <c r="B1089" t="s">
        <v>1975</v>
      </c>
      <c r="C1089">
        <v>522261</v>
      </c>
      <c r="D1089" t="s">
        <v>1974</v>
      </c>
      <c r="E1089" t="s">
        <v>680</v>
      </c>
    </row>
    <row r="1090" spans="2:5">
      <c r="B1090" t="s">
        <v>1976</v>
      </c>
      <c r="C1090">
        <v>512519</v>
      </c>
      <c r="D1090" t="s">
        <v>1977</v>
      </c>
      <c r="E1090" t="s">
        <v>354</v>
      </c>
    </row>
    <row r="1091" spans="2:5">
      <c r="B1091" t="s">
        <v>1978</v>
      </c>
      <c r="C1091" t="s">
        <v>339</v>
      </c>
      <c r="D1091" t="s">
        <v>1979</v>
      </c>
      <c r="E1091" t="s">
        <v>430</v>
      </c>
    </row>
    <row r="1092" spans="2:5">
      <c r="B1092" t="s">
        <v>1980</v>
      </c>
      <c r="C1092">
        <v>533176</v>
      </c>
      <c r="D1092" t="s">
        <v>1981</v>
      </c>
      <c r="E1092" t="s">
        <v>342</v>
      </c>
    </row>
    <row r="1093" spans="2:5">
      <c r="B1093" t="s">
        <v>1982</v>
      </c>
      <c r="C1093">
        <v>526783</v>
      </c>
      <c r="D1093" t="s">
        <v>339</v>
      </c>
      <c r="E1093" t="s">
        <v>528</v>
      </c>
    </row>
    <row r="1094" spans="2:5">
      <c r="B1094" t="s">
        <v>1983</v>
      </c>
      <c r="C1094">
        <v>539267</v>
      </c>
      <c r="D1094" t="s">
        <v>339</v>
      </c>
      <c r="E1094" t="s">
        <v>361</v>
      </c>
    </row>
    <row r="1095" spans="2:5">
      <c r="B1095" t="s">
        <v>1984</v>
      </c>
      <c r="C1095">
        <v>539524</v>
      </c>
      <c r="D1095" t="s">
        <v>1985</v>
      </c>
      <c r="E1095" t="s">
        <v>528</v>
      </c>
    </row>
    <row r="1096" spans="2:5">
      <c r="B1096" t="s">
        <v>1986</v>
      </c>
      <c r="C1096">
        <v>541299</v>
      </c>
      <c r="D1096" t="s">
        <v>339</v>
      </c>
      <c r="E1096" t="s">
        <v>528</v>
      </c>
    </row>
    <row r="1097" spans="2:5">
      <c r="B1097" t="s">
        <v>1987</v>
      </c>
      <c r="C1097">
        <v>500124</v>
      </c>
      <c r="D1097" t="s">
        <v>1988</v>
      </c>
      <c r="E1097" t="s">
        <v>377</v>
      </c>
    </row>
    <row r="1098" spans="2:5">
      <c r="B1098" t="s">
        <v>1989</v>
      </c>
      <c r="C1098">
        <v>540144</v>
      </c>
      <c r="D1098" t="s">
        <v>339</v>
      </c>
      <c r="E1098" t="s">
        <v>423</v>
      </c>
    </row>
    <row r="1099" spans="2:5">
      <c r="B1099" t="s">
        <v>1990</v>
      </c>
      <c r="C1099">
        <v>523618</v>
      </c>
      <c r="D1099" t="s">
        <v>1991</v>
      </c>
      <c r="E1099" t="s">
        <v>1586</v>
      </c>
    </row>
    <row r="1100" spans="2:5">
      <c r="B1100" t="s">
        <v>1992</v>
      </c>
      <c r="C1100">
        <v>523618</v>
      </c>
      <c r="D1100" t="s">
        <v>1991</v>
      </c>
      <c r="E1100" t="s">
        <v>1586</v>
      </c>
    </row>
    <row r="1101" spans="2:5">
      <c r="B1101" t="s">
        <v>1993</v>
      </c>
      <c r="C1101">
        <v>534674</v>
      </c>
      <c r="D1101" t="s">
        <v>1994</v>
      </c>
      <c r="E1101" t="s">
        <v>361</v>
      </c>
    </row>
    <row r="1102" spans="2:5">
      <c r="B1102" t="s">
        <v>1995</v>
      </c>
      <c r="C1102">
        <v>511634</v>
      </c>
      <c r="D1102" t="s">
        <v>339</v>
      </c>
      <c r="E1102" t="s">
        <v>737</v>
      </c>
    </row>
    <row r="1103" spans="2:5">
      <c r="B1103" t="s">
        <v>1996</v>
      </c>
      <c r="C1103">
        <v>531471</v>
      </c>
      <c r="D1103" t="s">
        <v>339</v>
      </c>
      <c r="E1103" t="s">
        <v>680</v>
      </c>
    </row>
    <row r="1104" spans="2:5">
      <c r="B1104" t="s">
        <v>1997</v>
      </c>
      <c r="C1104">
        <v>504908</v>
      </c>
      <c r="D1104" t="s">
        <v>339</v>
      </c>
      <c r="E1104" t="s">
        <v>694</v>
      </c>
    </row>
    <row r="1105" spans="2:5">
      <c r="B1105" t="s">
        <v>1998</v>
      </c>
      <c r="C1105">
        <v>526355</v>
      </c>
      <c r="D1105" t="s">
        <v>339</v>
      </c>
      <c r="E1105" t="s">
        <v>459</v>
      </c>
    </row>
    <row r="1106" spans="2:5">
      <c r="B1106" t="s">
        <v>1999</v>
      </c>
      <c r="C1106">
        <v>517437</v>
      </c>
      <c r="D1106" t="s">
        <v>339</v>
      </c>
      <c r="E1106" t="s">
        <v>459</v>
      </c>
    </row>
    <row r="1107" spans="2:5">
      <c r="B1107" t="s">
        <v>2000</v>
      </c>
      <c r="C1107">
        <v>532610</v>
      </c>
      <c r="D1107" t="s">
        <v>2001</v>
      </c>
      <c r="E1107" t="s">
        <v>1037</v>
      </c>
    </row>
    <row r="1108" spans="2:5">
      <c r="B1108" t="s">
        <v>2002</v>
      </c>
      <c r="C1108">
        <v>538608</v>
      </c>
      <c r="D1108" t="s">
        <v>2003</v>
      </c>
      <c r="E1108" t="s">
        <v>705</v>
      </c>
    </row>
    <row r="1109" spans="2:5">
      <c r="B1109" t="s">
        <v>2004</v>
      </c>
      <c r="C1109">
        <v>532365</v>
      </c>
      <c r="D1109" t="s">
        <v>2005</v>
      </c>
      <c r="E1109" t="s">
        <v>325</v>
      </c>
    </row>
    <row r="1110" spans="2:5">
      <c r="B1110" t="s">
        <v>2006</v>
      </c>
      <c r="C1110">
        <v>505242</v>
      </c>
      <c r="D1110" t="s">
        <v>2007</v>
      </c>
      <c r="E1110" t="s">
        <v>347</v>
      </c>
    </row>
    <row r="1111" spans="2:5">
      <c r="B1111" t="s">
        <v>2008</v>
      </c>
      <c r="C1111">
        <v>539681</v>
      </c>
      <c r="D1111" t="s">
        <v>339</v>
      </c>
      <c r="E1111" t="s">
        <v>356</v>
      </c>
    </row>
    <row r="1112" spans="2:5">
      <c r="B1112" t="s">
        <v>2009</v>
      </c>
      <c r="C1112">
        <v>540795</v>
      </c>
      <c r="D1112" t="s">
        <v>339</v>
      </c>
      <c r="E1112" t="s">
        <v>637</v>
      </c>
    </row>
    <row r="1113" spans="2:5">
      <c r="B1113" t="s">
        <v>2010</v>
      </c>
      <c r="C1113">
        <v>524818</v>
      </c>
      <c r="D1113" t="s">
        <v>339</v>
      </c>
      <c r="E1113" t="s">
        <v>499</v>
      </c>
    </row>
    <row r="1114" spans="2:5">
      <c r="B1114" t="s">
        <v>2011</v>
      </c>
      <c r="C1114">
        <v>530779</v>
      </c>
      <c r="D1114" t="s">
        <v>339</v>
      </c>
      <c r="E1114" t="s">
        <v>356</v>
      </c>
    </row>
    <row r="1115" spans="2:5">
      <c r="B1115" t="s">
        <v>2012</v>
      </c>
      <c r="C1115">
        <v>517238</v>
      </c>
      <c r="D1115" t="s">
        <v>339</v>
      </c>
      <c r="E1115" t="s">
        <v>881</v>
      </c>
    </row>
    <row r="1116" spans="2:5">
      <c r="B1116" t="s">
        <v>2013</v>
      </c>
      <c r="C1116">
        <v>532707</v>
      </c>
      <c r="D1116" t="s">
        <v>2014</v>
      </c>
      <c r="E1116" t="s">
        <v>499</v>
      </c>
    </row>
    <row r="1117" spans="2:5">
      <c r="B1117" t="s">
        <v>2015</v>
      </c>
      <c r="C1117">
        <v>531533</v>
      </c>
      <c r="D1117" t="s">
        <v>339</v>
      </c>
      <c r="E1117" t="s">
        <v>325</v>
      </c>
    </row>
    <row r="1118" spans="2:5">
      <c r="B1118" t="s">
        <v>2016</v>
      </c>
      <c r="C1118" t="s">
        <v>339</v>
      </c>
      <c r="D1118" t="s">
        <v>2017</v>
      </c>
      <c r="E1118" t="s">
        <v>350</v>
      </c>
    </row>
    <row r="1119" spans="2:5">
      <c r="B1119" t="s">
        <v>2018</v>
      </c>
      <c r="C1119">
        <v>507917</v>
      </c>
      <c r="D1119" t="s">
        <v>339</v>
      </c>
      <c r="E1119" t="s">
        <v>425</v>
      </c>
    </row>
    <row r="1120" spans="2:5">
      <c r="B1120" t="s">
        <v>2019</v>
      </c>
      <c r="C1120">
        <v>520081</v>
      </c>
      <c r="D1120" t="s">
        <v>339</v>
      </c>
      <c r="E1120" t="s">
        <v>371</v>
      </c>
    </row>
    <row r="1121" spans="2:5">
      <c r="B1121" t="s">
        <v>2020</v>
      </c>
      <c r="C1121">
        <v>541053</v>
      </c>
      <c r="D1121" t="s">
        <v>339</v>
      </c>
      <c r="E1121" t="s">
        <v>322</v>
      </c>
    </row>
    <row r="1122" spans="2:5">
      <c r="B1122" t="s">
        <v>2021</v>
      </c>
      <c r="C1122">
        <v>590022</v>
      </c>
      <c r="D1122" t="s">
        <v>2022</v>
      </c>
      <c r="E1122" t="s">
        <v>354</v>
      </c>
    </row>
    <row r="1123" spans="2:5">
      <c r="B1123" t="s">
        <v>2023</v>
      </c>
      <c r="C1123">
        <v>531346</v>
      </c>
      <c r="D1123" t="s">
        <v>339</v>
      </c>
      <c r="E1123" t="s">
        <v>819</v>
      </c>
    </row>
    <row r="1124" spans="2:5">
      <c r="B1124" t="s">
        <v>2024</v>
      </c>
      <c r="C1124">
        <v>532751</v>
      </c>
      <c r="D1124" t="s">
        <v>2025</v>
      </c>
      <c r="E1124" t="s">
        <v>637</v>
      </c>
    </row>
    <row r="1125" spans="2:5">
      <c r="B1125" t="s">
        <v>2026</v>
      </c>
      <c r="C1125" t="s">
        <v>339</v>
      </c>
      <c r="D1125" t="s">
        <v>2027</v>
      </c>
      <c r="E1125" t="s">
        <v>430</v>
      </c>
    </row>
    <row r="1126" spans="2:5">
      <c r="B1126" t="s">
        <v>2028</v>
      </c>
      <c r="C1126">
        <v>532927</v>
      </c>
      <c r="D1126" t="s">
        <v>2029</v>
      </c>
      <c r="E1126" t="s">
        <v>669</v>
      </c>
    </row>
    <row r="1127" spans="2:5">
      <c r="B1127" t="s">
        <v>2030</v>
      </c>
      <c r="C1127">
        <v>534839</v>
      </c>
      <c r="D1127" t="s">
        <v>339</v>
      </c>
      <c r="E1127" t="s">
        <v>537</v>
      </c>
    </row>
    <row r="1128" spans="2:5">
      <c r="B1128" t="s">
        <v>2031</v>
      </c>
      <c r="C1128">
        <v>530643</v>
      </c>
      <c r="D1128" t="s">
        <v>339</v>
      </c>
      <c r="E1128" t="s">
        <v>881</v>
      </c>
    </row>
    <row r="1129" spans="2:5">
      <c r="B1129" t="s">
        <v>2032</v>
      </c>
      <c r="C1129">
        <v>523732</v>
      </c>
      <c r="D1129" t="s">
        <v>339</v>
      </c>
      <c r="E1129" t="s">
        <v>834</v>
      </c>
    </row>
    <row r="1130" spans="2:5">
      <c r="B1130" t="s">
        <v>2033</v>
      </c>
      <c r="C1130">
        <v>538708</v>
      </c>
      <c r="D1130" t="s">
        <v>339</v>
      </c>
      <c r="E1130" t="s">
        <v>356</v>
      </c>
    </row>
    <row r="1131" spans="2:5">
      <c r="B1131" t="s">
        <v>2034</v>
      </c>
      <c r="C1131">
        <v>538708</v>
      </c>
      <c r="D1131" t="s">
        <v>339</v>
      </c>
      <c r="E1131" t="s">
        <v>356</v>
      </c>
    </row>
    <row r="1132" spans="2:5">
      <c r="B1132" t="s">
        <v>2035</v>
      </c>
      <c r="C1132">
        <v>526703</v>
      </c>
      <c r="D1132" t="s">
        <v>339</v>
      </c>
      <c r="E1132" t="s">
        <v>459</v>
      </c>
    </row>
    <row r="1133" spans="2:5">
      <c r="B1133" t="s">
        <v>2036</v>
      </c>
      <c r="C1133">
        <v>540063</v>
      </c>
      <c r="D1133" t="s">
        <v>339</v>
      </c>
      <c r="E1133" t="s">
        <v>325</v>
      </c>
    </row>
    <row r="1134" spans="2:5">
      <c r="B1134" t="s">
        <v>2037</v>
      </c>
      <c r="C1134">
        <v>532922</v>
      </c>
      <c r="D1134" t="s">
        <v>2038</v>
      </c>
      <c r="E1134" t="s">
        <v>322</v>
      </c>
    </row>
    <row r="1135" spans="2:5">
      <c r="B1135" t="s">
        <v>2039</v>
      </c>
      <c r="C1135">
        <v>532696</v>
      </c>
      <c r="D1135" t="s">
        <v>2040</v>
      </c>
      <c r="E1135" t="s">
        <v>444</v>
      </c>
    </row>
    <row r="1136" spans="2:5">
      <c r="B1136" t="s">
        <v>2041</v>
      </c>
      <c r="C1136">
        <v>526483</v>
      </c>
      <c r="D1136" t="s">
        <v>339</v>
      </c>
      <c r="E1136" t="s">
        <v>1577</v>
      </c>
    </row>
    <row r="1137" spans="2:5">
      <c r="B1137" t="s">
        <v>2042</v>
      </c>
      <c r="C1137">
        <v>535694</v>
      </c>
      <c r="D1137" t="s">
        <v>339</v>
      </c>
      <c r="E1137" t="s">
        <v>361</v>
      </c>
    </row>
    <row r="1138" spans="2:5">
      <c r="B1138" t="s">
        <v>2043</v>
      </c>
      <c r="C1138">
        <v>505200</v>
      </c>
      <c r="D1138" t="s">
        <v>2044</v>
      </c>
      <c r="E1138" t="s">
        <v>996</v>
      </c>
    </row>
    <row r="1139" spans="2:5">
      <c r="B1139" t="s">
        <v>2045</v>
      </c>
      <c r="C1139">
        <v>500125</v>
      </c>
      <c r="D1139" t="s">
        <v>2046</v>
      </c>
      <c r="E1139" t="s">
        <v>1037</v>
      </c>
    </row>
    <row r="1140" spans="2:5">
      <c r="B1140" t="s">
        <v>2047</v>
      </c>
      <c r="C1140">
        <v>500125</v>
      </c>
      <c r="D1140" t="s">
        <v>2046</v>
      </c>
      <c r="E1140" t="s">
        <v>1037</v>
      </c>
    </row>
    <row r="1141" spans="2:5">
      <c r="B1141" t="s">
        <v>2048</v>
      </c>
      <c r="C1141">
        <v>523127</v>
      </c>
      <c r="D1141" t="s">
        <v>2049</v>
      </c>
      <c r="E1141" t="s">
        <v>540</v>
      </c>
    </row>
    <row r="1142" spans="2:5">
      <c r="B1142" t="s">
        <v>2050</v>
      </c>
      <c r="C1142">
        <v>500840</v>
      </c>
      <c r="D1142" t="s">
        <v>2051</v>
      </c>
      <c r="E1142" t="s">
        <v>540</v>
      </c>
    </row>
    <row r="1143" spans="2:5">
      <c r="B1143" t="s">
        <v>2052</v>
      </c>
      <c r="C1143">
        <v>523708</v>
      </c>
      <c r="D1143" t="s">
        <v>2053</v>
      </c>
      <c r="E1143" t="s">
        <v>347</v>
      </c>
    </row>
    <row r="1144" spans="2:5">
      <c r="B1144" t="s">
        <v>2054</v>
      </c>
      <c r="C1144">
        <v>523708</v>
      </c>
      <c r="D1144" t="s">
        <v>2053</v>
      </c>
      <c r="E1144" t="s">
        <v>347</v>
      </c>
    </row>
    <row r="1145" spans="2:5">
      <c r="B1145" t="s">
        <v>2055</v>
      </c>
      <c r="C1145">
        <v>538653</v>
      </c>
      <c r="D1145" t="s">
        <v>2056</v>
      </c>
      <c r="E1145" t="s">
        <v>705</v>
      </c>
    </row>
    <row r="1146" spans="2:5">
      <c r="B1146" t="s">
        <v>2057</v>
      </c>
      <c r="C1146">
        <v>530581</v>
      </c>
      <c r="D1146" t="s">
        <v>339</v>
      </c>
      <c r="E1146" t="s">
        <v>760</v>
      </c>
    </row>
    <row r="1147" spans="2:5">
      <c r="B1147" t="s">
        <v>2058</v>
      </c>
      <c r="C1147">
        <v>532820</v>
      </c>
      <c r="D1147" t="s">
        <v>2059</v>
      </c>
      <c r="E1147" t="s">
        <v>354</v>
      </c>
    </row>
    <row r="1148" spans="2:5">
      <c r="B1148" t="s">
        <v>2060</v>
      </c>
      <c r="C1148">
        <v>513452</v>
      </c>
      <c r="D1148" t="s">
        <v>339</v>
      </c>
      <c r="E1148" t="s">
        <v>371</v>
      </c>
    </row>
    <row r="1149" spans="2:5">
      <c r="B1149" t="s">
        <v>2061</v>
      </c>
      <c r="C1149">
        <v>500123</v>
      </c>
      <c r="D1149" t="s">
        <v>339</v>
      </c>
      <c r="E1149" t="s">
        <v>387</v>
      </c>
    </row>
    <row r="1150" spans="2:5">
      <c r="B1150" t="s">
        <v>2062</v>
      </c>
      <c r="C1150">
        <v>500123</v>
      </c>
      <c r="D1150" t="s">
        <v>339</v>
      </c>
      <c r="E1150" t="s">
        <v>387</v>
      </c>
    </row>
    <row r="1151" spans="2:5">
      <c r="B1151" t="s">
        <v>2063</v>
      </c>
      <c r="C1151">
        <v>503681</v>
      </c>
      <c r="D1151" t="s">
        <v>339</v>
      </c>
      <c r="E1151" t="s">
        <v>760</v>
      </c>
    </row>
    <row r="1152" spans="2:5">
      <c r="B1152" t="s">
        <v>2064</v>
      </c>
      <c r="C1152">
        <v>523329</v>
      </c>
      <c r="D1152" t="s">
        <v>339</v>
      </c>
      <c r="E1152" t="s">
        <v>425</v>
      </c>
    </row>
    <row r="1153" spans="2:5">
      <c r="B1153" t="s">
        <v>2065</v>
      </c>
      <c r="C1153">
        <v>505700</v>
      </c>
      <c r="D1153" t="s">
        <v>2066</v>
      </c>
      <c r="E1153" t="s">
        <v>347</v>
      </c>
    </row>
    <row r="1154" spans="2:5">
      <c r="B1154" t="s">
        <v>2067</v>
      </c>
      <c r="C1154">
        <v>500128</v>
      </c>
      <c r="D1154" t="s">
        <v>2068</v>
      </c>
      <c r="E1154" t="s">
        <v>737</v>
      </c>
    </row>
    <row r="1155" spans="2:5">
      <c r="B1155" t="s">
        <v>2069</v>
      </c>
      <c r="C1155">
        <v>533264</v>
      </c>
      <c r="D1155" t="s">
        <v>2070</v>
      </c>
      <c r="E1155" t="s">
        <v>737</v>
      </c>
    </row>
    <row r="1156" spans="2:5">
      <c r="B1156" t="s">
        <v>2071</v>
      </c>
      <c r="C1156">
        <v>526608</v>
      </c>
      <c r="D1156" t="s">
        <v>2072</v>
      </c>
      <c r="E1156" t="s">
        <v>662</v>
      </c>
    </row>
    <row r="1157" spans="2:5">
      <c r="B1157" t="s">
        <v>2073</v>
      </c>
      <c r="C1157">
        <v>526608</v>
      </c>
      <c r="D1157" t="s">
        <v>2072</v>
      </c>
      <c r="E1157" t="s">
        <v>662</v>
      </c>
    </row>
    <row r="1158" spans="2:5">
      <c r="B1158" t="s">
        <v>2074</v>
      </c>
      <c r="C1158">
        <v>526473</v>
      </c>
      <c r="D1158" t="s">
        <v>339</v>
      </c>
      <c r="E1158" t="s">
        <v>537</v>
      </c>
    </row>
    <row r="1159" spans="2:5">
      <c r="B1159" t="s">
        <v>2075</v>
      </c>
      <c r="C1159">
        <v>526473</v>
      </c>
      <c r="D1159" t="s">
        <v>339</v>
      </c>
      <c r="E1159" t="s">
        <v>537</v>
      </c>
    </row>
    <row r="1160" spans="2:5">
      <c r="B1160" t="s">
        <v>2076</v>
      </c>
      <c r="C1160">
        <v>526705</v>
      </c>
      <c r="D1160" t="s">
        <v>339</v>
      </c>
      <c r="E1160" t="s">
        <v>361</v>
      </c>
    </row>
    <row r="1161" spans="2:5">
      <c r="B1161" t="s">
        <v>2077</v>
      </c>
      <c r="C1161">
        <v>522074</v>
      </c>
      <c r="D1161" t="s">
        <v>2078</v>
      </c>
      <c r="E1161" t="s">
        <v>347</v>
      </c>
    </row>
    <row r="1162" spans="2:5">
      <c r="B1162" t="s">
        <v>2079</v>
      </c>
      <c r="C1162" t="s">
        <v>339</v>
      </c>
      <c r="D1162" t="s">
        <v>2080</v>
      </c>
      <c r="E1162" t="s">
        <v>430</v>
      </c>
    </row>
    <row r="1163" spans="2:5">
      <c r="B1163" t="s">
        <v>2081</v>
      </c>
      <c r="C1163">
        <v>531278</v>
      </c>
      <c r="D1163" t="s">
        <v>339</v>
      </c>
      <c r="E1163" t="s">
        <v>322</v>
      </c>
    </row>
    <row r="1164" spans="2:5">
      <c r="B1164" t="s">
        <v>2082</v>
      </c>
      <c r="C1164">
        <v>517477</v>
      </c>
      <c r="D1164" t="s">
        <v>339</v>
      </c>
      <c r="E1164" t="s">
        <v>432</v>
      </c>
    </row>
    <row r="1165" spans="2:5">
      <c r="B1165" t="s">
        <v>2083</v>
      </c>
      <c r="C1165">
        <v>504000</v>
      </c>
      <c r="D1165" t="s">
        <v>339</v>
      </c>
      <c r="E1165" t="s">
        <v>637</v>
      </c>
    </row>
    <row r="1166" spans="2:5">
      <c r="B1166" t="s">
        <v>2084</v>
      </c>
      <c r="C1166">
        <v>522027</v>
      </c>
      <c r="D1166" t="s">
        <v>339</v>
      </c>
      <c r="E1166" t="s">
        <v>347</v>
      </c>
    </row>
    <row r="1167" spans="2:5">
      <c r="B1167" t="s">
        <v>2085</v>
      </c>
      <c r="C1167">
        <v>522027</v>
      </c>
      <c r="D1167" t="s">
        <v>339</v>
      </c>
      <c r="E1167" t="s">
        <v>347</v>
      </c>
    </row>
    <row r="1168" spans="2:5">
      <c r="B1168" t="s">
        <v>2086</v>
      </c>
      <c r="C1168">
        <v>531162</v>
      </c>
      <c r="D1168" t="s">
        <v>2087</v>
      </c>
      <c r="E1168" t="s">
        <v>521</v>
      </c>
    </row>
    <row r="1169" spans="2:5">
      <c r="B1169" t="s">
        <v>2088</v>
      </c>
      <c r="C1169" t="s">
        <v>339</v>
      </c>
      <c r="D1169" t="s">
        <v>2089</v>
      </c>
      <c r="E1169" t="s">
        <v>521</v>
      </c>
    </row>
    <row r="1170" spans="2:5">
      <c r="B1170" t="s">
        <v>2090</v>
      </c>
      <c r="C1170">
        <v>533208</v>
      </c>
      <c r="D1170" t="s">
        <v>339</v>
      </c>
      <c r="E1170" t="s">
        <v>333</v>
      </c>
    </row>
    <row r="1171" spans="2:5">
      <c r="B1171" t="s">
        <v>2091</v>
      </c>
      <c r="C1171">
        <v>533218</v>
      </c>
      <c r="D1171" t="s">
        <v>2092</v>
      </c>
      <c r="E1171" t="s">
        <v>425</v>
      </c>
    </row>
    <row r="1172" spans="2:5">
      <c r="B1172" t="s">
        <v>2093</v>
      </c>
      <c r="C1172">
        <v>542602</v>
      </c>
      <c r="D1172" t="s">
        <v>2094</v>
      </c>
      <c r="E1172" t="s">
        <v>359</v>
      </c>
    </row>
    <row r="1173" spans="2:5">
      <c r="B1173" t="s">
        <v>2095</v>
      </c>
      <c r="C1173">
        <v>504008</v>
      </c>
      <c r="D1173" t="s">
        <v>2096</v>
      </c>
      <c r="E1173" t="s">
        <v>382</v>
      </c>
    </row>
    <row r="1174" spans="2:5">
      <c r="B1174" t="s">
        <v>2097</v>
      </c>
      <c r="C1174">
        <v>538882</v>
      </c>
      <c r="D1174" t="s">
        <v>339</v>
      </c>
      <c r="E1174" t="s">
        <v>322</v>
      </c>
    </row>
    <row r="1175" spans="2:5">
      <c r="B1175" t="s">
        <v>2098</v>
      </c>
      <c r="C1175">
        <v>507265</v>
      </c>
      <c r="D1175" t="s">
        <v>339</v>
      </c>
      <c r="E1175" t="s">
        <v>517</v>
      </c>
    </row>
    <row r="1176" spans="2:5">
      <c r="B1176" t="s">
        <v>2099</v>
      </c>
      <c r="C1176">
        <v>530333</v>
      </c>
      <c r="D1176" t="s">
        <v>339</v>
      </c>
      <c r="E1176" t="s">
        <v>637</v>
      </c>
    </row>
    <row r="1177" spans="2:5">
      <c r="B1177" t="s">
        <v>2100</v>
      </c>
      <c r="C1177">
        <v>532737</v>
      </c>
      <c r="D1177" t="s">
        <v>2101</v>
      </c>
      <c r="E1177" t="s">
        <v>322</v>
      </c>
    </row>
    <row r="1178" spans="2:5">
      <c r="B1178" t="s">
        <v>2102</v>
      </c>
      <c r="C1178" t="s">
        <v>339</v>
      </c>
      <c r="D1178" t="s">
        <v>2103</v>
      </c>
      <c r="E1178" t="s">
        <v>350</v>
      </c>
    </row>
    <row r="1179" spans="2:5">
      <c r="B1179" t="s">
        <v>2104</v>
      </c>
      <c r="C1179">
        <v>533161</v>
      </c>
      <c r="D1179" t="s">
        <v>2105</v>
      </c>
      <c r="E1179" t="s">
        <v>534</v>
      </c>
    </row>
    <row r="1180" spans="2:5">
      <c r="B1180" t="s">
        <v>2106</v>
      </c>
      <c r="C1180">
        <v>524768</v>
      </c>
      <c r="D1180" t="s">
        <v>339</v>
      </c>
      <c r="E1180" t="s">
        <v>387</v>
      </c>
    </row>
    <row r="1181" spans="2:5">
      <c r="B1181" t="s">
        <v>2107</v>
      </c>
      <c r="C1181">
        <v>532038</v>
      </c>
      <c r="D1181" t="s">
        <v>339</v>
      </c>
      <c r="E1181" t="s">
        <v>361</v>
      </c>
    </row>
    <row r="1182" spans="2:5">
      <c r="B1182" t="s">
        <v>2108</v>
      </c>
      <c r="C1182">
        <v>532920</v>
      </c>
      <c r="D1182" t="s">
        <v>2109</v>
      </c>
      <c r="E1182" t="s">
        <v>970</v>
      </c>
    </row>
    <row r="1183" spans="2:5">
      <c r="B1183" t="s">
        <v>2110</v>
      </c>
      <c r="C1183">
        <v>500132</v>
      </c>
      <c r="D1183" t="s">
        <v>339</v>
      </c>
      <c r="E1183" t="s">
        <v>1037</v>
      </c>
    </row>
    <row r="1184" spans="2:5">
      <c r="B1184" t="s">
        <v>2111</v>
      </c>
      <c r="C1184">
        <v>509525</v>
      </c>
      <c r="D1184" t="s">
        <v>339</v>
      </c>
      <c r="E1184" t="s">
        <v>328</v>
      </c>
    </row>
    <row r="1185" spans="2:5">
      <c r="B1185" t="s">
        <v>2112</v>
      </c>
      <c r="C1185">
        <v>504351</v>
      </c>
      <c r="D1185" t="s">
        <v>339</v>
      </c>
      <c r="E1185" t="s">
        <v>325</v>
      </c>
    </row>
    <row r="1186" spans="2:5">
      <c r="B1186" t="s">
        <v>2113</v>
      </c>
      <c r="C1186">
        <v>504351</v>
      </c>
      <c r="D1186" t="s">
        <v>339</v>
      </c>
      <c r="E1186" t="s">
        <v>325</v>
      </c>
    </row>
    <row r="1187" spans="2:5">
      <c r="B1187" t="s">
        <v>2114</v>
      </c>
      <c r="C1187">
        <v>512441</v>
      </c>
      <c r="D1187" t="s">
        <v>339</v>
      </c>
      <c r="E1187" t="s">
        <v>760</v>
      </c>
    </row>
    <row r="1188" spans="2:5">
      <c r="B1188" t="s">
        <v>2115</v>
      </c>
      <c r="C1188">
        <v>538684</v>
      </c>
      <c r="D1188" t="s">
        <v>339</v>
      </c>
      <c r="E1188" t="s">
        <v>342</v>
      </c>
    </row>
    <row r="1189" spans="2:5">
      <c r="B1189" t="s">
        <v>2116</v>
      </c>
      <c r="C1189">
        <v>540153</v>
      </c>
      <c r="D1189" t="s">
        <v>2117</v>
      </c>
      <c r="E1189" t="s">
        <v>996</v>
      </c>
    </row>
    <row r="1190" spans="2:5">
      <c r="B1190" t="s">
        <v>2118</v>
      </c>
      <c r="C1190">
        <v>532219</v>
      </c>
      <c r="D1190" t="s">
        <v>2119</v>
      </c>
      <c r="E1190" t="s">
        <v>478</v>
      </c>
    </row>
    <row r="1191" spans="2:5">
      <c r="B1191" t="s">
        <v>2120</v>
      </c>
      <c r="C1191">
        <v>532178</v>
      </c>
      <c r="D1191" t="s">
        <v>2121</v>
      </c>
      <c r="E1191" t="s">
        <v>423</v>
      </c>
    </row>
    <row r="1192" spans="2:5">
      <c r="B1192" t="s">
        <v>2122</v>
      </c>
      <c r="C1192">
        <v>532178</v>
      </c>
      <c r="D1192" t="s">
        <v>2121</v>
      </c>
      <c r="E1192" t="s">
        <v>423</v>
      </c>
    </row>
    <row r="1193" spans="2:5">
      <c r="B1193" t="s">
        <v>2123</v>
      </c>
      <c r="C1193">
        <v>533477</v>
      </c>
      <c r="D1193" t="s">
        <v>339</v>
      </c>
      <c r="E1193" t="s">
        <v>694</v>
      </c>
    </row>
    <row r="1194" spans="2:5">
      <c r="B1194" t="s">
        <v>2124</v>
      </c>
      <c r="C1194">
        <v>533477</v>
      </c>
      <c r="D1194" t="s">
        <v>339</v>
      </c>
      <c r="E1194" t="s">
        <v>694</v>
      </c>
    </row>
    <row r="1195" spans="2:5">
      <c r="B1195" t="s">
        <v>2125</v>
      </c>
      <c r="C1195">
        <v>526574</v>
      </c>
      <c r="D1195" t="s">
        <v>339</v>
      </c>
      <c r="E1195" t="s">
        <v>361</v>
      </c>
    </row>
    <row r="1196" spans="2:5">
      <c r="B1196" t="s">
        <v>2126</v>
      </c>
      <c r="C1196">
        <v>532700</v>
      </c>
      <c r="D1196" t="s">
        <v>2127</v>
      </c>
      <c r="E1196" t="s">
        <v>1077</v>
      </c>
    </row>
    <row r="1197" spans="2:5">
      <c r="B1197" t="s">
        <v>2128</v>
      </c>
      <c r="C1197">
        <v>532700</v>
      </c>
      <c r="D1197" t="s">
        <v>2127</v>
      </c>
      <c r="E1197" t="s">
        <v>1077</v>
      </c>
    </row>
    <row r="1198" spans="2:5">
      <c r="B1198" t="s">
        <v>2129</v>
      </c>
      <c r="C1198">
        <v>500246</v>
      </c>
      <c r="D1198" t="s">
        <v>339</v>
      </c>
      <c r="E1198" t="s">
        <v>347</v>
      </c>
    </row>
    <row r="1199" spans="2:5">
      <c r="B1199" t="s">
        <v>2130</v>
      </c>
      <c r="C1199">
        <v>532658</v>
      </c>
      <c r="D1199" t="s">
        <v>2131</v>
      </c>
      <c r="E1199" t="s">
        <v>637</v>
      </c>
    </row>
    <row r="1200" spans="2:5">
      <c r="B1200" t="s">
        <v>2132</v>
      </c>
      <c r="C1200">
        <v>523754</v>
      </c>
      <c r="D1200" t="s">
        <v>339</v>
      </c>
      <c r="E1200" t="s">
        <v>459</v>
      </c>
    </row>
    <row r="1201" spans="2:5">
      <c r="B1201" t="s">
        <v>2133</v>
      </c>
      <c r="C1201">
        <v>530407</v>
      </c>
      <c r="D1201" t="s">
        <v>339</v>
      </c>
      <c r="E1201" t="s">
        <v>356</v>
      </c>
    </row>
    <row r="1202" spans="2:5">
      <c r="B1202" t="s">
        <v>2134</v>
      </c>
      <c r="C1202">
        <v>531155</v>
      </c>
      <c r="D1202" t="s">
        <v>339</v>
      </c>
      <c r="E1202" t="s">
        <v>377</v>
      </c>
    </row>
    <row r="1203" spans="2:5">
      <c r="B1203" t="s">
        <v>2135</v>
      </c>
      <c r="C1203">
        <v>539844</v>
      </c>
      <c r="D1203" t="s">
        <v>2136</v>
      </c>
      <c r="E1203" t="s">
        <v>505</v>
      </c>
    </row>
    <row r="1204" spans="2:5">
      <c r="B1204" t="s">
        <v>2137</v>
      </c>
      <c r="C1204">
        <v>540596</v>
      </c>
      <c r="D1204" t="s">
        <v>2138</v>
      </c>
      <c r="E1204" t="s">
        <v>377</v>
      </c>
    </row>
    <row r="1205" spans="2:5">
      <c r="B1205" t="s">
        <v>2139</v>
      </c>
      <c r="C1205">
        <v>533261</v>
      </c>
      <c r="D1205" t="s">
        <v>2140</v>
      </c>
      <c r="E1205" t="s">
        <v>342</v>
      </c>
    </row>
    <row r="1206" spans="2:5">
      <c r="B1206" t="s">
        <v>2141</v>
      </c>
      <c r="C1206">
        <v>530909</v>
      </c>
      <c r="D1206" t="s">
        <v>339</v>
      </c>
      <c r="E1206" t="s">
        <v>760</v>
      </c>
    </row>
    <row r="1207" spans="2:5">
      <c r="B1207" t="s">
        <v>2142</v>
      </c>
      <c r="C1207">
        <v>531502</v>
      </c>
      <c r="D1207" t="s">
        <v>339</v>
      </c>
      <c r="E1207" t="s">
        <v>760</v>
      </c>
    </row>
    <row r="1208" spans="2:5">
      <c r="B1208" t="s">
        <v>2143</v>
      </c>
      <c r="C1208">
        <v>531502</v>
      </c>
      <c r="D1208" t="s">
        <v>339</v>
      </c>
      <c r="E1208" t="s">
        <v>760</v>
      </c>
    </row>
    <row r="1209" spans="2:5">
      <c r="B1209" t="s">
        <v>2144</v>
      </c>
      <c r="C1209">
        <v>500133</v>
      </c>
      <c r="D1209" t="s">
        <v>2145</v>
      </c>
      <c r="E1209" t="s">
        <v>524</v>
      </c>
    </row>
    <row r="1210" spans="2:5">
      <c r="B1210" t="s">
        <v>2146</v>
      </c>
      <c r="C1210">
        <v>500133</v>
      </c>
      <c r="D1210" t="s">
        <v>2147</v>
      </c>
      <c r="E1210" t="s">
        <v>524</v>
      </c>
    </row>
    <row r="1211" spans="2:5">
      <c r="B1211" t="s">
        <v>2148</v>
      </c>
      <c r="C1211">
        <v>540455</v>
      </c>
      <c r="D1211" t="s">
        <v>339</v>
      </c>
      <c r="E1211" t="s">
        <v>322</v>
      </c>
    </row>
    <row r="1212" spans="2:5">
      <c r="B1212" t="s">
        <v>2149</v>
      </c>
      <c r="C1212">
        <v>511716</v>
      </c>
      <c r="D1212" t="s">
        <v>339</v>
      </c>
      <c r="E1212" t="s">
        <v>356</v>
      </c>
    </row>
    <row r="1213" spans="2:5">
      <c r="B1213" t="s">
        <v>2150</v>
      </c>
      <c r="C1213">
        <v>500495</v>
      </c>
      <c r="D1213" t="s">
        <v>2151</v>
      </c>
      <c r="E1213" t="s">
        <v>417</v>
      </c>
    </row>
    <row r="1214" spans="2:5">
      <c r="B1214" t="s">
        <v>2152</v>
      </c>
      <c r="C1214">
        <v>531259</v>
      </c>
      <c r="D1214" t="s">
        <v>339</v>
      </c>
      <c r="E1214" t="s">
        <v>1941</v>
      </c>
    </row>
    <row r="1215" spans="2:5">
      <c r="B1215" t="s">
        <v>2153</v>
      </c>
      <c r="C1215">
        <v>514118</v>
      </c>
      <c r="D1215" t="s">
        <v>339</v>
      </c>
      <c r="E1215" t="s">
        <v>354</v>
      </c>
    </row>
    <row r="1216" spans="2:5">
      <c r="B1216" t="s">
        <v>2154</v>
      </c>
      <c r="C1216">
        <v>514118</v>
      </c>
      <c r="D1216" t="s">
        <v>339</v>
      </c>
      <c r="E1216" t="s">
        <v>354</v>
      </c>
    </row>
    <row r="1217" spans="2:5">
      <c r="B1217" t="s">
        <v>2155</v>
      </c>
      <c r="C1217">
        <v>532787</v>
      </c>
      <c r="D1217" t="s">
        <v>2156</v>
      </c>
      <c r="E1217" t="s">
        <v>2157</v>
      </c>
    </row>
    <row r="1218" spans="2:5">
      <c r="B1218" t="s">
        <v>2158</v>
      </c>
      <c r="C1218">
        <v>533149</v>
      </c>
      <c r="D1218" t="s">
        <v>339</v>
      </c>
      <c r="E1218" t="s">
        <v>322</v>
      </c>
    </row>
    <row r="1219" spans="2:5">
      <c r="B1219" t="s">
        <v>2159</v>
      </c>
      <c r="C1219">
        <v>533704</v>
      </c>
      <c r="D1219" t="s">
        <v>2160</v>
      </c>
      <c r="E1219" t="s">
        <v>1586</v>
      </c>
    </row>
    <row r="1220" spans="2:5">
      <c r="B1220" t="s">
        <v>2161</v>
      </c>
      <c r="C1220">
        <v>500135</v>
      </c>
      <c r="D1220" t="s">
        <v>2162</v>
      </c>
      <c r="E1220" t="s">
        <v>534</v>
      </c>
    </row>
    <row r="1221" spans="2:5">
      <c r="B1221" t="s">
        <v>2163</v>
      </c>
      <c r="C1221">
        <v>534927</v>
      </c>
      <c r="D1221" t="s">
        <v>339</v>
      </c>
      <c r="E1221" t="s">
        <v>537</v>
      </c>
    </row>
    <row r="1222" spans="2:5">
      <c r="B1222" t="s">
        <v>2164</v>
      </c>
      <c r="C1222">
        <v>500136</v>
      </c>
      <c r="D1222" t="s">
        <v>2165</v>
      </c>
      <c r="E1222" t="s">
        <v>387</v>
      </c>
    </row>
    <row r="1223" spans="2:5">
      <c r="B1223" t="s">
        <v>2166</v>
      </c>
      <c r="C1223">
        <v>537707</v>
      </c>
      <c r="D1223" t="s">
        <v>339</v>
      </c>
      <c r="E1223" t="s">
        <v>425</v>
      </c>
    </row>
    <row r="1224" spans="2:5">
      <c r="B1224" t="s">
        <v>2167</v>
      </c>
      <c r="C1224">
        <v>521137</v>
      </c>
      <c r="D1224" t="s">
        <v>339</v>
      </c>
      <c r="E1224" t="s">
        <v>354</v>
      </c>
    </row>
    <row r="1225" spans="2:5">
      <c r="B1225" t="s">
        <v>2168</v>
      </c>
      <c r="C1225">
        <v>530929</v>
      </c>
      <c r="D1225" t="s">
        <v>339</v>
      </c>
      <c r="E1225" t="s">
        <v>361</v>
      </c>
    </row>
    <row r="1226" spans="2:5">
      <c r="B1226" t="s">
        <v>2169</v>
      </c>
      <c r="C1226">
        <v>532823</v>
      </c>
      <c r="D1226" t="s">
        <v>2170</v>
      </c>
      <c r="E1226" t="s">
        <v>616</v>
      </c>
    </row>
    <row r="1227" spans="2:5">
      <c r="B1227" t="s">
        <v>2171</v>
      </c>
      <c r="C1227" t="s">
        <v>339</v>
      </c>
      <c r="D1227" t="s">
        <v>2172</v>
      </c>
      <c r="E1227" t="s">
        <v>350</v>
      </c>
    </row>
    <row r="1228" spans="2:5">
      <c r="B1228" t="s">
        <v>2173</v>
      </c>
      <c r="C1228">
        <v>533109</v>
      </c>
      <c r="D1228" t="s">
        <v>2174</v>
      </c>
      <c r="E1228" t="s">
        <v>436</v>
      </c>
    </row>
    <row r="1229" spans="2:5">
      <c r="B1229" t="s">
        <v>2175</v>
      </c>
      <c r="C1229">
        <v>521014</v>
      </c>
      <c r="D1229" t="s">
        <v>339</v>
      </c>
      <c r="E1229" t="s">
        <v>354</v>
      </c>
    </row>
    <row r="1230" spans="2:5">
      <c r="B1230" t="s">
        <v>2176</v>
      </c>
      <c r="C1230" t="s">
        <v>339</v>
      </c>
      <c r="D1230" t="s">
        <v>2177</v>
      </c>
      <c r="E1230" t="s">
        <v>354</v>
      </c>
    </row>
    <row r="1231" spans="2:5">
      <c r="B1231" t="s">
        <v>2178</v>
      </c>
      <c r="C1231">
        <v>542668</v>
      </c>
      <c r="D1231" t="s">
        <v>2179</v>
      </c>
      <c r="E1231" t="s">
        <v>760</v>
      </c>
    </row>
    <row r="1232" spans="2:5">
      <c r="B1232" t="s">
        <v>2180</v>
      </c>
      <c r="C1232">
        <v>531508</v>
      </c>
      <c r="D1232" t="s">
        <v>2181</v>
      </c>
      <c r="E1232" t="s">
        <v>885</v>
      </c>
    </row>
    <row r="1233" spans="2:5">
      <c r="B1233" t="s">
        <v>2182</v>
      </c>
      <c r="C1233">
        <v>531508</v>
      </c>
      <c r="D1233" t="s">
        <v>2181</v>
      </c>
      <c r="E1233" t="s">
        <v>885</v>
      </c>
    </row>
    <row r="1234" spans="2:5">
      <c r="B1234" t="s">
        <v>2183</v>
      </c>
      <c r="C1234">
        <v>508906</v>
      </c>
      <c r="D1234" t="s">
        <v>2184</v>
      </c>
      <c r="E1234" t="s">
        <v>352</v>
      </c>
    </row>
    <row r="1235" spans="2:5">
      <c r="B1235" t="s">
        <v>2185</v>
      </c>
      <c r="C1235">
        <v>532684</v>
      </c>
      <c r="D1235" t="s">
        <v>2186</v>
      </c>
      <c r="E1235" t="s">
        <v>1258</v>
      </c>
    </row>
    <row r="1236" spans="2:5">
      <c r="B1236" t="s">
        <v>2187</v>
      </c>
      <c r="C1236">
        <v>524790</v>
      </c>
      <c r="D1236" t="s">
        <v>339</v>
      </c>
      <c r="E1236" t="s">
        <v>377</v>
      </c>
    </row>
    <row r="1237" spans="2:5">
      <c r="B1237" t="s">
        <v>2188</v>
      </c>
      <c r="C1237">
        <v>514060</v>
      </c>
      <c r="D1237" t="s">
        <v>339</v>
      </c>
      <c r="E1237" t="s">
        <v>354</v>
      </c>
    </row>
    <row r="1238" spans="2:5">
      <c r="B1238" t="s">
        <v>2189</v>
      </c>
      <c r="C1238">
        <v>514358</v>
      </c>
      <c r="D1238" t="s">
        <v>339</v>
      </c>
      <c r="E1238" t="s">
        <v>354</v>
      </c>
    </row>
    <row r="1239" spans="2:5">
      <c r="B1239" t="s">
        <v>2190</v>
      </c>
      <c r="C1239">
        <v>532511</v>
      </c>
      <c r="D1239" t="s">
        <v>2191</v>
      </c>
      <c r="E1239" t="s">
        <v>483</v>
      </c>
    </row>
    <row r="1240" spans="2:5">
      <c r="B1240" t="s">
        <v>2192</v>
      </c>
      <c r="C1240">
        <v>500650</v>
      </c>
      <c r="D1240" t="s">
        <v>2193</v>
      </c>
      <c r="E1240" t="s">
        <v>499</v>
      </c>
    </row>
    <row r="1241" spans="2:5">
      <c r="B1241" t="s">
        <v>2194</v>
      </c>
      <c r="C1241">
        <v>533090</v>
      </c>
      <c r="D1241" t="s">
        <v>2195</v>
      </c>
      <c r="E1241" t="s">
        <v>669</v>
      </c>
    </row>
    <row r="1242" spans="2:5">
      <c r="B1242" t="s">
        <v>2196</v>
      </c>
      <c r="C1242">
        <v>500086</v>
      </c>
      <c r="D1242" t="s">
        <v>2197</v>
      </c>
      <c r="E1242" t="s">
        <v>694</v>
      </c>
    </row>
    <row r="1243" spans="2:5">
      <c r="B1243" t="s">
        <v>2198</v>
      </c>
      <c r="C1243" t="s">
        <v>339</v>
      </c>
      <c r="D1243" t="s">
        <v>2199</v>
      </c>
      <c r="E1243" t="s">
        <v>694</v>
      </c>
    </row>
    <row r="1244" spans="2:5">
      <c r="B1244" t="s">
        <v>2200</v>
      </c>
      <c r="C1244">
        <v>530571</v>
      </c>
      <c r="D1244" t="s">
        <v>339</v>
      </c>
      <c r="E1244" t="s">
        <v>760</v>
      </c>
    </row>
    <row r="1245" spans="2:5">
      <c r="B1245" t="s">
        <v>2201</v>
      </c>
      <c r="C1245">
        <v>526614</v>
      </c>
      <c r="D1245" t="s">
        <v>339</v>
      </c>
      <c r="E1245" t="s">
        <v>1258</v>
      </c>
    </row>
    <row r="1246" spans="2:5">
      <c r="B1246" t="s">
        <v>2202</v>
      </c>
      <c r="C1246">
        <v>539552</v>
      </c>
      <c r="D1246" t="s">
        <v>339</v>
      </c>
      <c r="E1246" t="s">
        <v>356</v>
      </c>
    </row>
    <row r="1247" spans="2:5">
      <c r="B1247" t="s">
        <v>2203</v>
      </c>
      <c r="C1247">
        <v>532656</v>
      </c>
      <c r="D1247" t="s">
        <v>339</v>
      </c>
      <c r="E1247" t="s">
        <v>371</v>
      </c>
    </row>
    <row r="1248" spans="2:5">
      <c r="B1248" t="s">
        <v>2204</v>
      </c>
      <c r="C1248">
        <v>514474</v>
      </c>
      <c r="D1248" t="s">
        <v>339</v>
      </c>
      <c r="E1248" t="s">
        <v>354</v>
      </c>
    </row>
    <row r="1249" spans="2:5">
      <c r="B1249" t="s">
        <v>2205</v>
      </c>
      <c r="C1249">
        <v>530117</v>
      </c>
      <c r="D1249" t="s">
        <v>2206</v>
      </c>
      <c r="E1249" t="s">
        <v>499</v>
      </c>
    </row>
    <row r="1250" spans="2:5">
      <c r="B1250" t="s">
        <v>2207</v>
      </c>
      <c r="C1250">
        <v>530079</v>
      </c>
      <c r="D1250" t="s">
        <v>339</v>
      </c>
      <c r="E1250" t="s">
        <v>354</v>
      </c>
    </row>
    <row r="1251" spans="2:5">
      <c r="B1251" t="s">
        <v>2208</v>
      </c>
      <c r="C1251">
        <v>532666</v>
      </c>
      <c r="D1251" t="s">
        <v>2209</v>
      </c>
      <c r="E1251" t="s">
        <v>325</v>
      </c>
    </row>
    <row r="1252" spans="2:5">
      <c r="B1252" t="s">
        <v>2210</v>
      </c>
      <c r="C1252">
        <v>531599</v>
      </c>
      <c r="D1252" t="s">
        <v>2211</v>
      </c>
      <c r="E1252" t="s">
        <v>377</v>
      </c>
    </row>
    <row r="1253" spans="2:5">
      <c r="B1253" t="s">
        <v>2212</v>
      </c>
      <c r="C1253">
        <v>505744</v>
      </c>
      <c r="D1253" t="s">
        <v>2213</v>
      </c>
      <c r="E1253" t="s">
        <v>694</v>
      </c>
    </row>
    <row r="1254" spans="2:5">
      <c r="B1254" t="s">
        <v>2214</v>
      </c>
      <c r="C1254">
        <v>505744</v>
      </c>
      <c r="D1254" t="s">
        <v>2213</v>
      </c>
      <c r="E1254" t="s">
        <v>694</v>
      </c>
    </row>
    <row r="1255" spans="2:5">
      <c r="B1255" t="s">
        <v>2215</v>
      </c>
      <c r="C1255" t="s">
        <v>339</v>
      </c>
      <c r="D1255" t="s">
        <v>2216</v>
      </c>
      <c r="E1255" t="s">
        <v>350</v>
      </c>
    </row>
    <row r="1256" spans="2:5">
      <c r="B1256" t="s">
        <v>2217</v>
      </c>
      <c r="C1256">
        <v>526689</v>
      </c>
      <c r="D1256" t="s">
        <v>339</v>
      </c>
      <c r="E1256" t="s">
        <v>459</v>
      </c>
    </row>
    <row r="1257" spans="2:5">
      <c r="B1257" t="s">
        <v>2218</v>
      </c>
      <c r="C1257">
        <v>500141</v>
      </c>
      <c r="D1257" t="s">
        <v>339</v>
      </c>
      <c r="E1257" t="s">
        <v>371</v>
      </c>
    </row>
    <row r="1258" spans="2:5">
      <c r="B1258" t="s">
        <v>2219</v>
      </c>
      <c r="C1258">
        <v>590024</v>
      </c>
      <c r="D1258" t="s">
        <v>2220</v>
      </c>
      <c r="E1258" t="s">
        <v>847</v>
      </c>
    </row>
    <row r="1259" spans="2:5">
      <c r="B1259" t="s">
        <v>2221</v>
      </c>
      <c r="C1259">
        <v>533896</v>
      </c>
      <c r="D1259" t="s">
        <v>339</v>
      </c>
      <c r="E1259" t="s">
        <v>377</v>
      </c>
    </row>
    <row r="1260" spans="2:5">
      <c r="B1260" t="s">
        <v>2222</v>
      </c>
      <c r="C1260">
        <v>500142</v>
      </c>
      <c r="D1260" t="s">
        <v>339</v>
      </c>
      <c r="E1260" t="s">
        <v>356</v>
      </c>
    </row>
    <row r="1261" spans="2:5">
      <c r="B1261" t="s">
        <v>2223</v>
      </c>
      <c r="C1261">
        <v>507910</v>
      </c>
      <c r="D1261" t="s">
        <v>339</v>
      </c>
      <c r="E1261" t="s">
        <v>459</v>
      </c>
    </row>
    <row r="1262" spans="2:5">
      <c r="B1262" t="s">
        <v>2224</v>
      </c>
      <c r="C1262">
        <v>507910</v>
      </c>
      <c r="D1262" t="s">
        <v>339</v>
      </c>
      <c r="E1262" t="s">
        <v>459</v>
      </c>
    </row>
    <row r="1263" spans="2:5">
      <c r="B1263" t="s">
        <v>2225</v>
      </c>
      <c r="C1263">
        <v>532768</v>
      </c>
      <c r="D1263" t="s">
        <v>2226</v>
      </c>
      <c r="E1263" t="s">
        <v>694</v>
      </c>
    </row>
    <row r="1264" spans="2:5">
      <c r="B1264" t="s">
        <v>2227</v>
      </c>
      <c r="C1264">
        <v>526227</v>
      </c>
      <c r="D1264" t="s">
        <v>2228</v>
      </c>
      <c r="E1264" t="s">
        <v>354</v>
      </c>
    </row>
    <row r="1265" spans="2:5">
      <c r="B1265" t="s">
        <v>2229</v>
      </c>
      <c r="C1265">
        <v>532022</v>
      </c>
      <c r="D1265" t="s">
        <v>339</v>
      </c>
      <c r="E1265" t="s">
        <v>354</v>
      </c>
    </row>
    <row r="1266" spans="2:5">
      <c r="B1266" t="s">
        <v>2230</v>
      </c>
      <c r="C1266">
        <v>526227</v>
      </c>
      <c r="D1266" t="s">
        <v>2228</v>
      </c>
      <c r="E1266" t="s">
        <v>354</v>
      </c>
    </row>
    <row r="1267" spans="2:5">
      <c r="B1267" t="s">
        <v>2231</v>
      </c>
      <c r="C1267">
        <v>539098</v>
      </c>
      <c r="D1267" t="s">
        <v>339</v>
      </c>
      <c r="E1267" t="s">
        <v>364</v>
      </c>
    </row>
    <row r="1268" spans="2:5">
      <c r="B1268" t="s">
        <v>2232</v>
      </c>
      <c r="C1268">
        <v>541557</v>
      </c>
      <c r="D1268" t="s">
        <v>2233</v>
      </c>
      <c r="E1268" t="s">
        <v>499</v>
      </c>
    </row>
    <row r="1269" spans="2:5">
      <c r="B1269" t="s">
        <v>2234</v>
      </c>
      <c r="C1269">
        <v>517264</v>
      </c>
      <c r="D1269" t="s">
        <v>2235</v>
      </c>
      <c r="E1269" t="s">
        <v>881</v>
      </c>
    </row>
    <row r="1270" spans="2:5">
      <c r="B1270" t="s">
        <v>2236</v>
      </c>
      <c r="C1270">
        <v>533333</v>
      </c>
      <c r="D1270" t="s">
        <v>2237</v>
      </c>
      <c r="E1270" t="s">
        <v>499</v>
      </c>
    </row>
    <row r="1271" spans="2:5">
      <c r="B1271" t="s">
        <v>2238</v>
      </c>
      <c r="C1271">
        <v>508954</v>
      </c>
      <c r="D1271" t="s">
        <v>339</v>
      </c>
      <c r="E1271" t="s">
        <v>356</v>
      </c>
    </row>
    <row r="1272" spans="2:5">
      <c r="B1272" t="s">
        <v>2239</v>
      </c>
      <c r="C1272">
        <v>500144</v>
      </c>
      <c r="D1272" t="s">
        <v>2240</v>
      </c>
      <c r="E1272" t="s">
        <v>637</v>
      </c>
    </row>
    <row r="1273" spans="2:5">
      <c r="B1273" t="s">
        <v>2241</v>
      </c>
      <c r="C1273">
        <v>500940</v>
      </c>
      <c r="D1273" t="s">
        <v>2242</v>
      </c>
      <c r="E1273" t="s">
        <v>459</v>
      </c>
    </row>
    <row r="1274" spans="2:5">
      <c r="B1274" t="s">
        <v>2243</v>
      </c>
      <c r="C1274">
        <v>511122</v>
      </c>
      <c r="D1274" t="s">
        <v>339</v>
      </c>
      <c r="E1274" t="s">
        <v>356</v>
      </c>
    </row>
    <row r="1275" spans="2:5">
      <c r="B1275" t="s">
        <v>2244</v>
      </c>
      <c r="C1275">
        <v>511122</v>
      </c>
      <c r="D1275" t="s">
        <v>339</v>
      </c>
      <c r="E1275" t="s">
        <v>356</v>
      </c>
    </row>
    <row r="1276" spans="2:5">
      <c r="B1276" t="s">
        <v>2245</v>
      </c>
      <c r="C1276">
        <v>532379</v>
      </c>
      <c r="D1276" t="s">
        <v>339</v>
      </c>
      <c r="E1276" t="s">
        <v>432</v>
      </c>
    </row>
    <row r="1277" spans="2:5">
      <c r="B1277" t="s">
        <v>2246</v>
      </c>
      <c r="C1277">
        <v>532809</v>
      </c>
      <c r="D1277" t="s">
        <v>2247</v>
      </c>
      <c r="E1277" t="s">
        <v>669</v>
      </c>
    </row>
    <row r="1278" spans="2:5">
      <c r="B1278" t="s">
        <v>2248</v>
      </c>
      <c r="C1278">
        <v>524743</v>
      </c>
      <c r="D1278" t="s">
        <v>339</v>
      </c>
      <c r="E1278" t="s">
        <v>387</v>
      </c>
    </row>
    <row r="1279" spans="2:5">
      <c r="B1279" t="s">
        <v>2249</v>
      </c>
      <c r="C1279" t="s">
        <v>339</v>
      </c>
      <c r="D1279" t="s">
        <v>2250</v>
      </c>
      <c r="E1279" t="s">
        <v>350</v>
      </c>
    </row>
    <row r="1280" spans="2:5">
      <c r="B1280" t="s">
        <v>2251</v>
      </c>
      <c r="C1280">
        <v>530885</v>
      </c>
      <c r="D1280" t="s">
        <v>339</v>
      </c>
      <c r="E1280" t="s">
        <v>325</v>
      </c>
    </row>
    <row r="1281" spans="2:5">
      <c r="B1281" t="s">
        <v>2252</v>
      </c>
      <c r="C1281">
        <v>536751</v>
      </c>
      <c r="D1281" t="s">
        <v>339</v>
      </c>
      <c r="E1281" t="s">
        <v>322</v>
      </c>
    </row>
    <row r="1282" spans="2:5">
      <c r="B1282" t="s">
        <v>2253</v>
      </c>
      <c r="C1282">
        <v>523672</v>
      </c>
      <c r="D1282" t="s">
        <v>339</v>
      </c>
      <c r="E1282" t="s">
        <v>537</v>
      </c>
    </row>
    <row r="1283" spans="2:5">
      <c r="B1283" t="s">
        <v>2254</v>
      </c>
      <c r="C1283">
        <v>533638</v>
      </c>
      <c r="D1283" t="s">
        <v>2255</v>
      </c>
      <c r="E1283" t="s">
        <v>459</v>
      </c>
    </row>
    <row r="1284" spans="2:5">
      <c r="B1284" t="s">
        <v>2256</v>
      </c>
      <c r="C1284">
        <v>540267</v>
      </c>
      <c r="D1284" t="s">
        <v>339</v>
      </c>
      <c r="E1284" t="s">
        <v>361</v>
      </c>
    </row>
    <row r="1285" spans="2:5">
      <c r="B1285" t="s">
        <v>2257</v>
      </c>
      <c r="C1285">
        <v>530705</v>
      </c>
      <c r="D1285" t="s">
        <v>339</v>
      </c>
      <c r="E1285" t="s">
        <v>354</v>
      </c>
    </row>
    <row r="1286" spans="2:5">
      <c r="B1286" t="s">
        <v>2258</v>
      </c>
      <c r="C1286">
        <v>532518</v>
      </c>
      <c r="D1286" t="s">
        <v>339</v>
      </c>
      <c r="E1286" t="s">
        <v>359</v>
      </c>
    </row>
    <row r="1287" spans="2:5">
      <c r="B1287" t="s">
        <v>2259</v>
      </c>
      <c r="C1287">
        <v>522017</v>
      </c>
      <c r="D1287" t="s">
        <v>339</v>
      </c>
      <c r="E1287" t="s">
        <v>637</v>
      </c>
    </row>
    <row r="1288" spans="2:5">
      <c r="B1288" t="s">
        <v>2260</v>
      </c>
      <c r="C1288">
        <v>534757</v>
      </c>
      <c r="D1288" t="s">
        <v>339</v>
      </c>
      <c r="E1288" t="s">
        <v>356</v>
      </c>
    </row>
    <row r="1289" spans="2:5">
      <c r="B1289" t="s">
        <v>2261</v>
      </c>
      <c r="C1289" t="s">
        <v>339</v>
      </c>
      <c r="D1289" t="s">
        <v>2262</v>
      </c>
      <c r="E1289" t="s">
        <v>350</v>
      </c>
    </row>
    <row r="1290" spans="2:5">
      <c r="B1290" t="s">
        <v>2263</v>
      </c>
      <c r="C1290">
        <v>540945</v>
      </c>
      <c r="D1290" t="s">
        <v>339</v>
      </c>
      <c r="E1290" t="s">
        <v>423</v>
      </c>
    </row>
    <row r="1291" spans="2:5">
      <c r="B1291" t="s">
        <v>2264</v>
      </c>
      <c r="C1291">
        <v>503831</v>
      </c>
      <c r="D1291" t="s">
        <v>339</v>
      </c>
      <c r="E1291" t="s">
        <v>540</v>
      </c>
    </row>
    <row r="1292" spans="2:5">
      <c r="B1292" t="s">
        <v>2265</v>
      </c>
      <c r="C1292">
        <v>507552</v>
      </c>
      <c r="D1292" t="s">
        <v>339</v>
      </c>
      <c r="E1292" t="s">
        <v>419</v>
      </c>
    </row>
    <row r="1293" spans="2:5">
      <c r="B1293" t="s">
        <v>2266</v>
      </c>
      <c r="C1293">
        <v>502865</v>
      </c>
      <c r="D1293" t="s">
        <v>339</v>
      </c>
      <c r="E1293" t="s">
        <v>347</v>
      </c>
    </row>
    <row r="1294" spans="2:5">
      <c r="B1294" t="s">
        <v>2267</v>
      </c>
      <c r="C1294">
        <v>500033</v>
      </c>
      <c r="D1294" t="s">
        <v>339</v>
      </c>
      <c r="E1294" t="s">
        <v>2268</v>
      </c>
    </row>
    <row r="1295" spans="2:5">
      <c r="B1295" t="s">
        <v>2269</v>
      </c>
      <c r="C1295">
        <v>532843</v>
      </c>
      <c r="D1295" t="s">
        <v>2270</v>
      </c>
      <c r="E1295" t="s">
        <v>809</v>
      </c>
    </row>
    <row r="1296" spans="2:5">
      <c r="B1296" t="s">
        <v>2271</v>
      </c>
      <c r="C1296">
        <v>523696</v>
      </c>
      <c r="D1296" t="s">
        <v>339</v>
      </c>
      <c r="E1296" t="s">
        <v>528</v>
      </c>
    </row>
    <row r="1297" spans="2:5">
      <c r="B1297" t="s">
        <v>2272</v>
      </c>
      <c r="C1297">
        <v>530213</v>
      </c>
      <c r="D1297" t="s">
        <v>339</v>
      </c>
      <c r="E1297" t="s">
        <v>361</v>
      </c>
    </row>
    <row r="1298" spans="2:5">
      <c r="B1298" t="s">
        <v>2273</v>
      </c>
      <c r="C1298">
        <v>500150</v>
      </c>
      <c r="D1298" t="s">
        <v>2274</v>
      </c>
      <c r="E1298" t="s">
        <v>387</v>
      </c>
    </row>
    <row r="1299" spans="2:5">
      <c r="B1299" t="s">
        <v>2275</v>
      </c>
      <c r="C1299">
        <v>500150</v>
      </c>
      <c r="D1299" t="s">
        <v>2274</v>
      </c>
      <c r="E1299" t="s">
        <v>387</v>
      </c>
    </row>
    <row r="1300" spans="2:5">
      <c r="B1300" t="s">
        <v>2276</v>
      </c>
      <c r="C1300">
        <v>513579</v>
      </c>
      <c r="D1300" t="s">
        <v>339</v>
      </c>
      <c r="E1300" t="s">
        <v>1016</v>
      </c>
    </row>
    <row r="1301" spans="2:5">
      <c r="B1301" t="s">
        <v>2277</v>
      </c>
      <c r="C1301" t="s">
        <v>339</v>
      </c>
      <c r="D1301" t="s">
        <v>2278</v>
      </c>
      <c r="E1301" t="s">
        <v>350</v>
      </c>
    </row>
    <row r="1302" spans="2:5">
      <c r="B1302" t="s">
        <v>2279</v>
      </c>
      <c r="C1302">
        <v>532403</v>
      </c>
      <c r="D1302" t="s">
        <v>339</v>
      </c>
      <c r="E1302" t="s">
        <v>432</v>
      </c>
    </row>
    <row r="1303" spans="2:5">
      <c r="B1303" t="s">
        <v>2280</v>
      </c>
      <c r="C1303">
        <v>540190</v>
      </c>
      <c r="D1303" t="s">
        <v>339</v>
      </c>
      <c r="E1303" t="s">
        <v>361</v>
      </c>
    </row>
    <row r="1304" spans="2:5">
      <c r="B1304" t="s">
        <v>2281</v>
      </c>
      <c r="C1304">
        <v>539839</v>
      </c>
      <c r="D1304" t="s">
        <v>339</v>
      </c>
      <c r="E1304" t="s">
        <v>356</v>
      </c>
    </row>
    <row r="1305" spans="2:5">
      <c r="B1305" t="s">
        <v>2282</v>
      </c>
      <c r="C1305">
        <v>539032</v>
      </c>
      <c r="D1305" t="s">
        <v>2283</v>
      </c>
      <c r="E1305" t="s">
        <v>705</v>
      </c>
    </row>
    <row r="1306" spans="2:5">
      <c r="B1306" t="s">
        <v>2284</v>
      </c>
      <c r="C1306">
        <v>539730</v>
      </c>
      <c r="D1306" t="s">
        <v>339</v>
      </c>
      <c r="E1306" t="s">
        <v>377</v>
      </c>
    </row>
    <row r="1307" spans="2:5">
      <c r="B1307" t="s">
        <v>2285</v>
      </c>
      <c r="C1307">
        <v>530077</v>
      </c>
      <c r="D1307" t="s">
        <v>339</v>
      </c>
      <c r="E1307" t="s">
        <v>537</v>
      </c>
    </row>
    <row r="1308" spans="2:5">
      <c r="B1308" t="s">
        <v>2286</v>
      </c>
      <c r="C1308">
        <v>508980</v>
      </c>
      <c r="D1308" t="s">
        <v>339</v>
      </c>
      <c r="E1308" t="s">
        <v>760</v>
      </c>
    </row>
    <row r="1309" spans="2:5">
      <c r="B1309" t="s">
        <v>2287</v>
      </c>
      <c r="C1309">
        <v>522195</v>
      </c>
      <c r="D1309" t="s">
        <v>339</v>
      </c>
      <c r="E1309" t="s">
        <v>694</v>
      </c>
    </row>
    <row r="1310" spans="2:5">
      <c r="B1310" t="s">
        <v>2288</v>
      </c>
      <c r="C1310">
        <v>521167</v>
      </c>
      <c r="D1310" t="s">
        <v>2289</v>
      </c>
      <c r="E1310" t="s">
        <v>895</v>
      </c>
    </row>
    <row r="1311" spans="2:5">
      <c r="B1311" t="s">
        <v>2290</v>
      </c>
      <c r="C1311">
        <v>532042</v>
      </c>
      <c r="D1311" t="s">
        <v>339</v>
      </c>
      <c r="E1311" t="s">
        <v>411</v>
      </c>
    </row>
    <row r="1312" spans="2:5">
      <c r="B1312" t="s">
        <v>2291</v>
      </c>
      <c r="C1312">
        <v>533213</v>
      </c>
      <c r="D1312" t="s">
        <v>339</v>
      </c>
      <c r="E1312" t="s">
        <v>322</v>
      </c>
    </row>
    <row r="1313" spans="2:5">
      <c r="B1313" t="s">
        <v>2292</v>
      </c>
      <c r="C1313">
        <v>538568</v>
      </c>
      <c r="D1313" t="s">
        <v>339</v>
      </c>
      <c r="E1313" t="s">
        <v>361</v>
      </c>
    </row>
    <row r="1314" spans="2:5">
      <c r="B1314" t="s">
        <v>2293</v>
      </c>
      <c r="C1314">
        <v>539169</v>
      </c>
      <c r="D1314" t="s">
        <v>339</v>
      </c>
      <c r="E1314" t="s">
        <v>325</v>
      </c>
    </row>
    <row r="1315" spans="2:5">
      <c r="B1315" t="s">
        <v>2294</v>
      </c>
      <c r="C1315">
        <v>533400</v>
      </c>
      <c r="D1315" t="s">
        <v>2295</v>
      </c>
      <c r="E1315" t="s">
        <v>399</v>
      </c>
    </row>
    <row r="1316" spans="2:5">
      <c r="B1316" t="s">
        <v>2296</v>
      </c>
      <c r="C1316">
        <v>523574</v>
      </c>
      <c r="D1316" t="s">
        <v>2297</v>
      </c>
      <c r="E1316" t="s">
        <v>508</v>
      </c>
    </row>
    <row r="1317" spans="2:5">
      <c r="B1317" t="s">
        <v>2296</v>
      </c>
      <c r="C1317">
        <v>570002</v>
      </c>
      <c r="D1317" t="s">
        <v>2298</v>
      </c>
      <c r="E1317" t="s">
        <v>508</v>
      </c>
    </row>
    <row r="1318" spans="2:5">
      <c r="B1318" t="s">
        <v>2299</v>
      </c>
      <c r="C1318">
        <v>536507</v>
      </c>
      <c r="D1318" t="s">
        <v>2300</v>
      </c>
      <c r="E1318" t="s">
        <v>508</v>
      </c>
    </row>
    <row r="1319" spans="2:5">
      <c r="B1319" t="s">
        <v>2301</v>
      </c>
      <c r="C1319">
        <v>533296</v>
      </c>
      <c r="D1319" t="s">
        <v>2302</v>
      </c>
      <c r="E1319" t="s">
        <v>508</v>
      </c>
    </row>
    <row r="1320" spans="2:5">
      <c r="B1320" t="s">
        <v>2303</v>
      </c>
      <c r="C1320">
        <v>540064</v>
      </c>
      <c r="D1320" t="s">
        <v>2304</v>
      </c>
      <c r="E1320" t="s">
        <v>508</v>
      </c>
    </row>
    <row r="1321" spans="2:5">
      <c r="B1321" t="s">
        <v>2305</v>
      </c>
      <c r="C1321">
        <v>540798</v>
      </c>
      <c r="D1321" t="s">
        <v>2306</v>
      </c>
      <c r="E1321" t="s">
        <v>660</v>
      </c>
    </row>
    <row r="1322" spans="2:5">
      <c r="B1322" t="s">
        <v>2307</v>
      </c>
      <c r="C1322">
        <v>523113</v>
      </c>
      <c r="D1322" t="s">
        <v>339</v>
      </c>
      <c r="E1322" t="s">
        <v>356</v>
      </c>
    </row>
    <row r="1323" spans="2:5">
      <c r="B1323" t="s">
        <v>2308</v>
      </c>
      <c r="C1323">
        <v>534063</v>
      </c>
      <c r="D1323" t="s">
        <v>339</v>
      </c>
      <c r="E1323" t="s">
        <v>322</v>
      </c>
    </row>
    <row r="1324" spans="2:5">
      <c r="B1324" t="s">
        <v>2309</v>
      </c>
      <c r="C1324">
        <v>504346</v>
      </c>
      <c r="D1324" t="s">
        <v>339</v>
      </c>
      <c r="E1324" t="s">
        <v>322</v>
      </c>
    </row>
    <row r="1325" spans="2:5">
      <c r="B1325" t="s">
        <v>2310</v>
      </c>
      <c r="C1325">
        <v>505250</v>
      </c>
      <c r="D1325" t="s">
        <v>339</v>
      </c>
      <c r="E1325" t="s">
        <v>347</v>
      </c>
    </row>
    <row r="1326" spans="2:5">
      <c r="B1326" t="s">
        <v>2311</v>
      </c>
      <c r="C1326">
        <v>540614</v>
      </c>
      <c r="D1326" t="s">
        <v>339</v>
      </c>
      <c r="E1326" t="s">
        <v>382</v>
      </c>
    </row>
    <row r="1327" spans="2:5">
      <c r="B1327" t="s">
        <v>2312</v>
      </c>
      <c r="C1327">
        <v>531758</v>
      </c>
      <c r="D1327" t="s">
        <v>339</v>
      </c>
      <c r="E1327" t="s">
        <v>356</v>
      </c>
    </row>
    <row r="1328" spans="2:5">
      <c r="B1328" t="s">
        <v>2313</v>
      </c>
      <c r="C1328">
        <v>513059</v>
      </c>
      <c r="D1328" t="s">
        <v>339</v>
      </c>
      <c r="E1328" t="s">
        <v>694</v>
      </c>
    </row>
    <row r="1329" spans="2:5">
      <c r="B1329" t="s">
        <v>2314</v>
      </c>
      <c r="C1329">
        <v>542666</v>
      </c>
      <c r="D1329" t="s">
        <v>2315</v>
      </c>
      <c r="E1329" t="s">
        <v>2316</v>
      </c>
    </row>
    <row r="1330" spans="2:5">
      <c r="B1330" t="s">
        <v>2317</v>
      </c>
      <c r="C1330">
        <v>505714</v>
      </c>
      <c r="D1330" t="s">
        <v>2318</v>
      </c>
      <c r="E1330" t="s">
        <v>694</v>
      </c>
    </row>
    <row r="1331" spans="2:5">
      <c r="B1331" t="s">
        <v>2319</v>
      </c>
      <c r="C1331">
        <v>505714</v>
      </c>
      <c r="D1331" t="s">
        <v>2318</v>
      </c>
      <c r="E1331" t="s">
        <v>694</v>
      </c>
    </row>
    <row r="1332" spans="2:5">
      <c r="B1332" t="s">
        <v>2320</v>
      </c>
      <c r="C1332">
        <v>524624</v>
      </c>
      <c r="D1332" t="s">
        <v>2321</v>
      </c>
      <c r="E1332" t="s">
        <v>2322</v>
      </c>
    </row>
    <row r="1333" spans="2:5">
      <c r="B1333" t="s">
        <v>2323</v>
      </c>
      <c r="C1333">
        <v>531196</v>
      </c>
      <c r="D1333" t="s">
        <v>339</v>
      </c>
      <c r="E1333" t="s">
        <v>361</v>
      </c>
    </row>
    <row r="1334" spans="2:5">
      <c r="B1334" t="s">
        <v>2324</v>
      </c>
      <c r="C1334">
        <v>531196</v>
      </c>
      <c r="D1334" t="s">
        <v>339</v>
      </c>
      <c r="E1334" t="s">
        <v>361</v>
      </c>
    </row>
    <row r="1335" spans="2:5">
      <c r="B1335" t="s">
        <v>2325</v>
      </c>
      <c r="C1335">
        <v>532155</v>
      </c>
      <c r="D1335" t="s">
        <v>2326</v>
      </c>
      <c r="E1335" t="s">
        <v>364</v>
      </c>
    </row>
    <row r="1336" spans="2:5">
      <c r="B1336" t="s">
        <v>2327</v>
      </c>
      <c r="C1336">
        <v>532155</v>
      </c>
      <c r="D1336" t="s">
        <v>2326</v>
      </c>
      <c r="E1336" t="s">
        <v>364</v>
      </c>
    </row>
    <row r="1337" spans="2:5">
      <c r="B1337" t="s">
        <v>2328</v>
      </c>
      <c r="C1337">
        <v>538609</v>
      </c>
      <c r="D1337" t="s">
        <v>339</v>
      </c>
      <c r="E1337" t="s">
        <v>322</v>
      </c>
    </row>
    <row r="1338" spans="2:5">
      <c r="B1338" t="s">
        <v>2329</v>
      </c>
      <c r="C1338">
        <v>505711</v>
      </c>
      <c r="D1338" t="s">
        <v>339</v>
      </c>
      <c r="E1338" t="s">
        <v>694</v>
      </c>
    </row>
    <row r="1339" spans="2:5">
      <c r="B1339" t="s">
        <v>2330</v>
      </c>
      <c r="C1339">
        <v>539228</v>
      </c>
      <c r="D1339" t="s">
        <v>339</v>
      </c>
      <c r="E1339" t="s">
        <v>2331</v>
      </c>
    </row>
    <row r="1340" spans="2:5">
      <c r="B1340" t="s">
        <v>2332</v>
      </c>
      <c r="C1340">
        <v>538881</v>
      </c>
      <c r="D1340" t="s">
        <v>339</v>
      </c>
      <c r="E1340" t="s">
        <v>356</v>
      </c>
    </row>
    <row r="1341" spans="2:5">
      <c r="B1341" t="s">
        <v>2333</v>
      </c>
      <c r="C1341">
        <v>504697</v>
      </c>
      <c r="D1341" t="s">
        <v>339</v>
      </c>
      <c r="E1341" t="s">
        <v>637</v>
      </c>
    </row>
    <row r="1342" spans="2:5">
      <c r="B1342" t="s">
        <v>2334</v>
      </c>
      <c r="C1342">
        <v>531911</v>
      </c>
      <c r="D1342" t="s">
        <v>339</v>
      </c>
      <c r="E1342" t="s">
        <v>347</v>
      </c>
    </row>
    <row r="1343" spans="2:5">
      <c r="B1343" t="s">
        <v>2335</v>
      </c>
      <c r="C1343">
        <v>526073</v>
      </c>
      <c r="D1343" t="s">
        <v>339</v>
      </c>
      <c r="E1343" t="s">
        <v>524</v>
      </c>
    </row>
    <row r="1344" spans="2:5">
      <c r="B1344" t="s">
        <v>2336</v>
      </c>
      <c r="C1344">
        <v>506186</v>
      </c>
      <c r="D1344" t="s">
        <v>339</v>
      </c>
      <c r="E1344" t="s">
        <v>342</v>
      </c>
    </row>
    <row r="1345" spans="2:5">
      <c r="B1345" t="s">
        <v>2337</v>
      </c>
      <c r="C1345">
        <v>540935</v>
      </c>
      <c r="D1345" t="s">
        <v>2338</v>
      </c>
      <c r="E1345" t="s">
        <v>499</v>
      </c>
    </row>
    <row r="1346" spans="2:5">
      <c r="B1346" t="s">
        <v>2339</v>
      </c>
      <c r="C1346">
        <v>533265</v>
      </c>
      <c r="D1346" t="s">
        <v>2340</v>
      </c>
      <c r="E1346" t="s">
        <v>371</v>
      </c>
    </row>
    <row r="1347" spans="2:5">
      <c r="B1347" t="s">
        <v>2341</v>
      </c>
      <c r="C1347">
        <v>532726</v>
      </c>
      <c r="D1347" t="s">
        <v>2342</v>
      </c>
      <c r="E1347" t="s">
        <v>371</v>
      </c>
    </row>
    <row r="1348" spans="2:5">
      <c r="B1348" t="s">
        <v>2343</v>
      </c>
      <c r="C1348">
        <v>531902</v>
      </c>
      <c r="D1348" t="s">
        <v>2344</v>
      </c>
      <c r="E1348" t="s">
        <v>425</v>
      </c>
    </row>
    <row r="1349" spans="2:5">
      <c r="B1349" t="s">
        <v>2345</v>
      </c>
      <c r="C1349">
        <v>532959</v>
      </c>
      <c r="D1349" t="s">
        <v>2346</v>
      </c>
      <c r="E1349" t="s">
        <v>737</v>
      </c>
    </row>
    <row r="1350" spans="2:5">
      <c r="B1350" t="s">
        <v>2347</v>
      </c>
      <c r="C1350">
        <v>513108</v>
      </c>
      <c r="D1350" t="s">
        <v>2348</v>
      </c>
      <c r="E1350" t="s">
        <v>662</v>
      </c>
    </row>
    <row r="1351" spans="2:5">
      <c r="B1351" t="s">
        <v>2349</v>
      </c>
      <c r="C1351">
        <v>500153</v>
      </c>
      <c r="D1351" t="s">
        <v>339</v>
      </c>
      <c r="E1351" t="s">
        <v>387</v>
      </c>
    </row>
    <row r="1352" spans="2:5">
      <c r="B1352" t="s">
        <v>2350</v>
      </c>
      <c r="C1352">
        <v>541703</v>
      </c>
      <c r="D1352" t="s">
        <v>339</v>
      </c>
      <c r="E1352" t="s">
        <v>340</v>
      </c>
    </row>
    <row r="1353" spans="2:5">
      <c r="B1353" t="s">
        <v>2351</v>
      </c>
      <c r="C1353">
        <v>541703</v>
      </c>
      <c r="D1353" t="s">
        <v>339</v>
      </c>
      <c r="E1353" t="s">
        <v>340</v>
      </c>
    </row>
    <row r="1354" spans="2:5">
      <c r="B1354" t="s">
        <v>2352</v>
      </c>
      <c r="C1354">
        <v>504397</v>
      </c>
      <c r="D1354" t="s">
        <v>339</v>
      </c>
      <c r="E1354" t="s">
        <v>760</v>
      </c>
    </row>
    <row r="1355" spans="2:5">
      <c r="B1355" t="s">
        <v>2353</v>
      </c>
      <c r="C1355">
        <v>526367</v>
      </c>
      <c r="D1355" t="s">
        <v>2354</v>
      </c>
      <c r="E1355" t="s">
        <v>425</v>
      </c>
    </row>
    <row r="1356" spans="2:5">
      <c r="B1356" t="s">
        <v>2355</v>
      </c>
      <c r="C1356">
        <v>514167</v>
      </c>
      <c r="D1356" t="s">
        <v>2356</v>
      </c>
      <c r="E1356" t="s">
        <v>760</v>
      </c>
    </row>
    <row r="1357" spans="2:5">
      <c r="B1357" t="s">
        <v>2357</v>
      </c>
      <c r="C1357" t="s">
        <v>339</v>
      </c>
      <c r="D1357" t="s">
        <v>2358</v>
      </c>
      <c r="E1357" t="s">
        <v>350</v>
      </c>
    </row>
    <row r="1358" spans="2:5">
      <c r="B1358" t="s">
        <v>2359</v>
      </c>
      <c r="C1358">
        <v>531813</v>
      </c>
      <c r="D1358" t="s">
        <v>339</v>
      </c>
      <c r="E1358" t="s">
        <v>333</v>
      </c>
    </row>
    <row r="1359" spans="2:5">
      <c r="B1359" t="s">
        <v>2360</v>
      </c>
      <c r="C1359">
        <v>531813</v>
      </c>
      <c r="D1359" t="s">
        <v>339</v>
      </c>
      <c r="E1359" t="s">
        <v>333</v>
      </c>
    </row>
    <row r="1360" spans="2:5">
      <c r="B1360" t="s">
        <v>2361</v>
      </c>
      <c r="C1360">
        <v>539680</v>
      </c>
      <c r="D1360" t="s">
        <v>339</v>
      </c>
      <c r="E1360" t="s">
        <v>377</v>
      </c>
    </row>
    <row r="1361" spans="2:5">
      <c r="B1361" t="s">
        <v>2362</v>
      </c>
      <c r="C1361">
        <v>540647</v>
      </c>
      <c r="D1361" t="s">
        <v>2363</v>
      </c>
      <c r="E1361" t="s">
        <v>359</v>
      </c>
    </row>
    <row r="1362" spans="2:5">
      <c r="B1362" t="s">
        <v>2364</v>
      </c>
      <c r="C1362">
        <v>521176</v>
      </c>
      <c r="D1362" t="s">
        <v>2365</v>
      </c>
      <c r="E1362" t="s">
        <v>354</v>
      </c>
    </row>
    <row r="1363" spans="2:5">
      <c r="B1363" t="s">
        <v>2366</v>
      </c>
      <c r="C1363">
        <v>512443</v>
      </c>
      <c r="D1363" t="s">
        <v>339</v>
      </c>
      <c r="E1363" t="s">
        <v>361</v>
      </c>
    </row>
    <row r="1364" spans="2:5">
      <c r="B1364" t="s">
        <v>2367</v>
      </c>
      <c r="C1364">
        <v>539492</v>
      </c>
      <c r="D1364" t="s">
        <v>339</v>
      </c>
      <c r="E1364" t="s">
        <v>356</v>
      </c>
    </row>
    <row r="1365" spans="2:5">
      <c r="B1365" t="s">
        <v>2368</v>
      </c>
      <c r="C1365">
        <v>542011</v>
      </c>
      <c r="D1365" t="s">
        <v>2369</v>
      </c>
      <c r="E1365" t="s">
        <v>417</v>
      </c>
    </row>
    <row r="1366" spans="2:5">
      <c r="B1366" t="s">
        <v>2370</v>
      </c>
      <c r="C1366">
        <v>500155</v>
      </c>
      <c r="D1366" t="s">
        <v>2371</v>
      </c>
      <c r="E1366" t="s">
        <v>354</v>
      </c>
    </row>
    <row r="1367" spans="2:5">
      <c r="B1367" t="s">
        <v>2372</v>
      </c>
      <c r="C1367">
        <v>530615</v>
      </c>
      <c r="D1367" t="s">
        <v>339</v>
      </c>
      <c r="E1367" t="s">
        <v>371</v>
      </c>
    </row>
    <row r="1368" spans="2:5">
      <c r="B1368" t="s">
        <v>2373</v>
      </c>
      <c r="C1368">
        <v>526727</v>
      </c>
      <c r="D1368" t="s">
        <v>339</v>
      </c>
      <c r="E1368" t="s">
        <v>737</v>
      </c>
    </row>
    <row r="1369" spans="2:5">
      <c r="B1369" t="s">
        <v>2374</v>
      </c>
      <c r="C1369">
        <v>512493</v>
      </c>
      <c r="D1369" t="s">
        <v>339</v>
      </c>
      <c r="E1369" t="s">
        <v>322</v>
      </c>
    </row>
    <row r="1370" spans="2:5">
      <c r="B1370" t="s">
        <v>2375</v>
      </c>
      <c r="C1370">
        <v>530161</v>
      </c>
      <c r="D1370" t="s">
        <v>339</v>
      </c>
      <c r="E1370" t="s">
        <v>361</v>
      </c>
    </row>
    <row r="1371" spans="2:5">
      <c r="B1371" t="s">
        <v>2376</v>
      </c>
      <c r="C1371">
        <v>541276</v>
      </c>
      <c r="D1371" t="s">
        <v>339</v>
      </c>
      <c r="E1371" t="s">
        <v>361</v>
      </c>
    </row>
    <row r="1372" spans="2:5">
      <c r="B1372" t="s">
        <v>2377</v>
      </c>
      <c r="C1372">
        <v>509563</v>
      </c>
      <c r="D1372" t="s">
        <v>339</v>
      </c>
      <c r="E1372" t="s">
        <v>354</v>
      </c>
    </row>
    <row r="1373" spans="2:5">
      <c r="B1373" t="s">
        <v>2378</v>
      </c>
      <c r="C1373">
        <v>500655</v>
      </c>
      <c r="D1373" t="s">
        <v>339</v>
      </c>
      <c r="E1373" t="s">
        <v>387</v>
      </c>
    </row>
    <row r="1374" spans="2:5">
      <c r="B1374" t="s">
        <v>2379</v>
      </c>
      <c r="C1374">
        <v>514400</v>
      </c>
      <c r="D1374" t="s">
        <v>339</v>
      </c>
      <c r="E1374" t="s">
        <v>361</v>
      </c>
    </row>
    <row r="1375" spans="2:5">
      <c r="B1375" t="s">
        <v>2380</v>
      </c>
      <c r="C1375">
        <v>509557</v>
      </c>
      <c r="D1375" t="s">
        <v>2381</v>
      </c>
      <c r="E1375" t="s">
        <v>354</v>
      </c>
    </row>
    <row r="1376" spans="2:5">
      <c r="B1376" t="s">
        <v>2382</v>
      </c>
      <c r="C1376">
        <v>532622</v>
      </c>
      <c r="D1376" t="s">
        <v>2383</v>
      </c>
      <c r="E1376" t="s">
        <v>660</v>
      </c>
    </row>
    <row r="1377" spans="2:5">
      <c r="B1377" t="s">
        <v>2384</v>
      </c>
      <c r="C1377">
        <v>532345</v>
      </c>
      <c r="D1377" t="s">
        <v>2385</v>
      </c>
      <c r="E1377" t="s">
        <v>660</v>
      </c>
    </row>
    <row r="1378" spans="2:5">
      <c r="B1378" t="s">
        <v>2386</v>
      </c>
      <c r="C1378">
        <v>539515</v>
      </c>
      <c r="D1378" t="s">
        <v>339</v>
      </c>
      <c r="E1378" t="s">
        <v>361</v>
      </c>
    </row>
    <row r="1379" spans="2:5">
      <c r="B1379" t="s">
        <v>2387</v>
      </c>
      <c r="C1379">
        <v>540613</v>
      </c>
      <c r="D1379" t="s">
        <v>339</v>
      </c>
      <c r="E1379" t="s">
        <v>361</v>
      </c>
    </row>
    <row r="1380" spans="2:5">
      <c r="B1380" t="s">
        <v>2388</v>
      </c>
      <c r="C1380">
        <v>540936</v>
      </c>
      <c r="D1380" t="s">
        <v>339</v>
      </c>
      <c r="E1380" t="s">
        <v>361</v>
      </c>
    </row>
    <row r="1381" spans="2:5">
      <c r="B1381" t="s">
        <v>2389</v>
      </c>
      <c r="C1381">
        <v>524564</v>
      </c>
      <c r="D1381" t="s">
        <v>339</v>
      </c>
      <c r="E1381" t="s">
        <v>387</v>
      </c>
    </row>
    <row r="1382" spans="2:5">
      <c r="B1382" t="s">
        <v>2390</v>
      </c>
      <c r="C1382">
        <v>541546</v>
      </c>
      <c r="D1382" t="s">
        <v>2391</v>
      </c>
      <c r="E1382" t="s">
        <v>737</v>
      </c>
    </row>
    <row r="1383" spans="2:5">
      <c r="B1383" t="s">
        <v>2392</v>
      </c>
      <c r="C1383">
        <v>532767</v>
      </c>
      <c r="D1383" t="s">
        <v>2393</v>
      </c>
      <c r="E1383" t="s">
        <v>737</v>
      </c>
    </row>
    <row r="1384" spans="2:5">
      <c r="B1384" t="s">
        <v>2394</v>
      </c>
      <c r="C1384">
        <v>532183</v>
      </c>
      <c r="D1384" t="s">
        <v>339</v>
      </c>
      <c r="E1384" t="s">
        <v>1037</v>
      </c>
    </row>
    <row r="1385" spans="2:5">
      <c r="B1385" t="s">
        <v>2395</v>
      </c>
      <c r="C1385">
        <v>539009</v>
      </c>
      <c r="D1385" t="s">
        <v>339</v>
      </c>
      <c r="E1385" t="s">
        <v>737</v>
      </c>
    </row>
    <row r="1386" spans="2:5">
      <c r="B1386" t="s">
        <v>2396</v>
      </c>
      <c r="C1386">
        <v>538319</v>
      </c>
      <c r="D1386" t="s">
        <v>339</v>
      </c>
      <c r="E1386" t="s">
        <v>322</v>
      </c>
    </row>
    <row r="1387" spans="2:5">
      <c r="B1387" t="s">
        <v>2397</v>
      </c>
      <c r="C1387">
        <v>535917</v>
      </c>
      <c r="D1387" t="s">
        <v>339</v>
      </c>
      <c r="E1387" t="s">
        <v>322</v>
      </c>
    </row>
    <row r="1388" spans="2:5">
      <c r="B1388" t="s">
        <v>2398</v>
      </c>
      <c r="C1388">
        <v>535431</v>
      </c>
      <c r="D1388" t="s">
        <v>339</v>
      </c>
      <c r="E1388" t="s">
        <v>322</v>
      </c>
    </row>
    <row r="1389" spans="2:5">
      <c r="B1389" t="s">
        <v>2399</v>
      </c>
      <c r="C1389">
        <v>530855</v>
      </c>
      <c r="D1389" t="s">
        <v>339</v>
      </c>
      <c r="E1389" t="s">
        <v>356</v>
      </c>
    </row>
    <row r="1390" spans="2:5">
      <c r="B1390" t="s">
        <v>2400</v>
      </c>
      <c r="C1390">
        <v>532309</v>
      </c>
      <c r="D1390" t="s">
        <v>2401</v>
      </c>
      <c r="E1390" t="s">
        <v>382</v>
      </c>
    </row>
    <row r="1391" spans="2:5">
      <c r="B1391" t="s">
        <v>2402</v>
      </c>
      <c r="C1391">
        <v>532309</v>
      </c>
      <c r="D1391" t="s">
        <v>2401</v>
      </c>
      <c r="E1391" t="s">
        <v>382</v>
      </c>
    </row>
    <row r="1392" spans="2:5">
      <c r="B1392" t="s">
        <v>2403</v>
      </c>
      <c r="C1392">
        <v>522275</v>
      </c>
      <c r="D1392" t="s">
        <v>2404</v>
      </c>
      <c r="E1392" t="s">
        <v>478</v>
      </c>
    </row>
    <row r="1393" spans="2:5">
      <c r="B1393" t="s">
        <v>2405</v>
      </c>
      <c r="C1393">
        <v>522275</v>
      </c>
      <c r="D1393" t="s">
        <v>2404</v>
      </c>
      <c r="E1393" t="s">
        <v>478</v>
      </c>
    </row>
    <row r="1394" spans="2:5">
      <c r="B1394" t="s">
        <v>2406</v>
      </c>
      <c r="C1394">
        <v>504028</v>
      </c>
      <c r="D1394" t="s">
        <v>339</v>
      </c>
      <c r="E1394" t="s">
        <v>524</v>
      </c>
    </row>
    <row r="1395" spans="2:5">
      <c r="B1395" t="s">
        <v>2407</v>
      </c>
      <c r="C1395">
        <v>532764</v>
      </c>
      <c r="D1395" t="s">
        <v>2408</v>
      </c>
      <c r="E1395" t="s">
        <v>425</v>
      </c>
    </row>
    <row r="1396" spans="2:5">
      <c r="B1396" t="s">
        <v>2409</v>
      </c>
      <c r="C1396">
        <v>530389</v>
      </c>
      <c r="D1396" t="s">
        <v>339</v>
      </c>
      <c r="E1396" t="s">
        <v>359</v>
      </c>
    </row>
    <row r="1397" spans="2:5">
      <c r="B1397" t="s">
        <v>2410</v>
      </c>
      <c r="C1397" t="s">
        <v>339</v>
      </c>
      <c r="D1397" t="s">
        <v>2411</v>
      </c>
      <c r="E1397" t="s">
        <v>350</v>
      </c>
    </row>
    <row r="1398" spans="2:5">
      <c r="B1398" t="s">
        <v>2412</v>
      </c>
      <c r="C1398">
        <v>539486</v>
      </c>
      <c r="D1398" t="s">
        <v>339</v>
      </c>
      <c r="E1398" t="s">
        <v>356</v>
      </c>
    </row>
    <row r="1399" spans="2:5">
      <c r="B1399" t="s">
        <v>2413</v>
      </c>
      <c r="C1399">
        <v>521133</v>
      </c>
      <c r="D1399" t="s">
        <v>339</v>
      </c>
      <c r="E1399" t="s">
        <v>354</v>
      </c>
    </row>
    <row r="1400" spans="2:5">
      <c r="B1400" t="s">
        <v>2414</v>
      </c>
      <c r="C1400">
        <v>521133</v>
      </c>
      <c r="D1400" t="s">
        <v>339</v>
      </c>
      <c r="E1400" t="s">
        <v>354</v>
      </c>
    </row>
    <row r="1401" spans="2:5">
      <c r="B1401" t="s">
        <v>2415</v>
      </c>
      <c r="C1401">
        <v>532318</v>
      </c>
      <c r="D1401" t="s">
        <v>2416</v>
      </c>
      <c r="E1401" t="s">
        <v>1965</v>
      </c>
    </row>
    <row r="1402" spans="2:5">
      <c r="B1402" t="s">
        <v>2417</v>
      </c>
      <c r="C1402">
        <v>531137</v>
      </c>
      <c r="D1402" t="s">
        <v>339</v>
      </c>
      <c r="E1402" t="s">
        <v>760</v>
      </c>
    </row>
    <row r="1403" spans="2:5">
      <c r="B1403" t="s">
        <v>2418</v>
      </c>
      <c r="C1403">
        <v>541999</v>
      </c>
      <c r="D1403" t="s">
        <v>339</v>
      </c>
      <c r="E1403" t="s">
        <v>537</v>
      </c>
    </row>
    <row r="1404" spans="2:5">
      <c r="B1404" t="s">
        <v>2419</v>
      </c>
      <c r="C1404">
        <v>540755</v>
      </c>
      <c r="D1404" t="s">
        <v>2420</v>
      </c>
      <c r="E1404" t="s">
        <v>2421</v>
      </c>
    </row>
    <row r="1405" spans="2:5">
      <c r="B1405" t="s">
        <v>2422</v>
      </c>
      <c r="C1405">
        <v>539407</v>
      </c>
      <c r="D1405" t="s">
        <v>339</v>
      </c>
      <c r="E1405" t="s">
        <v>737</v>
      </c>
    </row>
    <row r="1406" spans="2:5">
      <c r="B1406" t="s">
        <v>2423</v>
      </c>
      <c r="C1406">
        <v>514336</v>
      </c>
      <c r="D1406" t="s">
        <v>339</v>
      </c>
      <c r="E1406" t="s">
        <v>677</v>
      </c>
    </row>
    <row r="1407" spans="2:5">
      <c r="B1407" t="s">
        <v>2424</v>
      </c>
      <c r="C1407">
        <v>514336</v>
      </c>
      <c r="D1407" t="s">
        <v>339</v>
      </c>
      <c r="E1407" t="s">
        <v>677</v>
      </c>
    </row>
    <row r="1408" spans="2:5">
      <c r="B1408" t="s">
        <v>2425</v>
      </c>
      <c r="C1408">
        <v>506109</v>
      </c>
      <c r="D1408" t="s">
        <v>2426</v>
      </c>
      <c r="E1408" t="s">
        <v>432</v>
      </c>
    </row>
    <row r="1409" spans="2:5">
      <c r="B1409" t="s">
        <v>2427</v>
      </c>
      <c r="C1409">
        <v>531739</v>
      </c>
      <c r="D1409" t="s">
        <v>339</v>
      </c>
      <c r="E1409" t="s">
        <v>377</v>
      </c>
    </row>
    <row r="1410" spans="2:5">
      <c r="B1410" t="s">
        <v>2428</v>
      </c>
      <c r="C1410">
        <v>539206</v>
      </c>
      <c r="D1410" t="s">
        <v>339</v>
      </c>
      <c r="E1410" t="s">
        <v>677</v>
      </c>
    </row>
    <row r="1411" spans="2:5">
      <c r="B1411" t="s">
        <v>2429</v>
      </c>
      <c r="C1411">
        <v>538961</v>
      </c>
      <c r="D1411" t="s">
        <v>2430</v>
      </c>
      <c r="E1411" t="s">
        <v>333</v>
      </c>
    </row>
    <row r="1412" spans="2:5">
      <c r="B1412" t="s">
        <v>2431</v>
      </c>
      <c r="C1412">
        <v>530343</v>
      </c>
      <c r="D1412" t="s">
        <v>2432</v>
      </c>
      <c r="E1412" t="s">
        <v>637</v>
      </c>
    </row>
    <row r="1413" spans="2:5">
      <c r="B1413" t="s">
        <v>2433</v>
      </c>
      <c r="C1413">
        <v>532285</v>
      </c>
      <c r="D1413" t="s">
        <v>2434</v>
      </c>
      <c r="E1413" t="s">
        <v>322</v>
      </c>
    </row>
    <row r="1414" spans="2:5">
      <c r="B1414" t="s">
        <v>2435</v>
      </c>
      <c r="C1414">
        <v>500171</v>
      </c>
      <c r="D1414" t="s">
        <v>2436</v>
      </c>
      <c r="E1414" t="s">
        <v>387</v>
      </c>
    </row>
    <row r="1415" spans="2:5">
      <c r="B1415" t="s">
        <v>2437</v>
      </c>
      <c r="C1415">
        <v>533048</v>
      </c>
      <c r="D1415" t="s">
        <v>2438</v>
      </c>
      <c r="E1415" t="s">
        <v>737</v>
      </c>
    </row>
    <row r="1416" spans="2:5">
      <c r="B1416" t="s">
        <v>2439</v>
      </c>
      <c r="C1416">
        <v>511676</v>
      </c>
      <c r="D1416" t="s">
        <v>2440</v>
      </c>
      <c r="E1416" t="s">
        <v>397</v>
      </c>
    </row>
    <row r="1417" spans="2:5">
      <c r="B1417" t="s">
        <v>2441</v>
      </c>
      <c r="C1417">
        <v>538788</v>
      </c>
      <c r="D1417" t="s">
        <v>339</v>
      </c>
      <c r="E1417" t="s">
        <v>356</v>
      </c>
    </row>
    <row r="1418" spans="2:5">
      <c r="B1418" t="s">
        <v>2442</v>
      </c>
      <c r="C1418">
        <v>532716</v>
      </c>
      <c r="D1418" t="s">
        <v>2443</v>
      </c>
      <c r="E1418" t="s">
        <v>328</v>
      </c>
    </row>
    <row r="1419" spans="2:5">
      <c r="B1419" t="s">
        <v>2444</v>
      </c>
      <c r="C1419">
        <v>507815</v>
      </c>
      <c r="D1419" t="s">
        <v>2445</v>
      </c>
      <c r="E1419" t="s">
        <v>521</v>
      </c>
    </row>
    <row r="1420" spans="2:5">
      <c r="B1420" t="s">
        <v>2446</v>
      </c>
      <c r="C1420">
        <v>507815</v>
      </c>
      <c r="D1420" t="s">
        <v>2445</v>
      </c>
      <c r="E1420" t="s">
        <v>521</v>
      </c>
    </row>
    <row r="1421" spans="2:5">
      <c r="B1421" t="s">
        <v>2447</v>
      </c>
      <c r="C1421">
        <v>531744</v>
      </c>
      <c r="D1421" t="s">
        <v>339</v>
      </c>
      <c r="E1421" t="s">
        <v>361</v>
      </c>
    </row>
    <row r="1422" spans="2:5">
      <c r="B1422" t="s">
        <v>2448</v>
      </c>
      <c r="C1422">
        <v>590025</v>
      </c>
      <c r="D1422" t="s">
        <v>2449</v>
      </c>
      <c r="E1422" t="s">
        <v>354</v>
      </c>
    </row>
    <row r="1423" spans="2:5">
      <c r="B1423" t="s">
        <v>2450</v>
      </c>
      <c r="C1423">
        <v>507506</v>
      </c>
      <c r="D1423" t="s">
        <v>339</v>
      </c>
      <c r="E1423" t="s">
        <v>1037</v>
      </c>
    </row>
    <row r="1424" spans="2:5">
      <c r="B1424" t="s">
        <v>2451</v>
      </c>
      <c r="C1424" t="s">
        <v>339</v>
      </c>
      <c r="D1424" t="s">
        <v>2452</v>
      </c>
      <c r="E1424" t="s">
        <v>350</v>
      </c>
    </row>
    <row r="1425" spans="2:5">
      <c r="B1425" t="s">
        <v>2453</v>
      </c>
      <c r="C1425">
        <v>539013</v>
      </c>
      <c r="D1425" t="s">
        <v>339</v>
      </c>
      <c r="E1425" t="s">
        <v>478</v>
      </c>
    </row>
    <row r="1426" spans="2:5">
      <c r="B1426" t="s">
        <v>2454</v>
      </c>
      <c r="C1426">
        <v>533212</v>
      </c>
      <c r="D1426" t="s">
        <v>339</v>
      </c>
      <c r="E1426" t="s">
        <v>528</v>
      </c>
    </row>
    <row r="1427" spans="2:5">
      <c r="B1427" t="s">
        <v>2455</v>
      </c>
      <c r="C1427" t="s">
        <v>339</v>
      </c>
      <c r="D1427" t="s">
        <v>2456</v>
      </c>
      <c r="E1427" t="s">
        <v>430</v>
      </c>
    </row>
    <row r="1428" spans="2:5">
      <c r="B1428" t="s">
        <v>2457</v>
      </c>
      <c r="C1428">
        <v>531199</v>
      </c>
      <c r="D1428" t="s">
        <v>339</v>
      </c>
      <c r="E1428" t="s">
        <v>356</v>
      </c>
    </row>
    <row r="1429" spans="2:5">
      <c r="B1429" t="s">
        <v>2458</v>
      </c>
      <c r="C1429">
        <v>500676</v>
      </c>
      <c r="D1429" t="s">
        <v>2459</v>
      </c>
      <c r="E1429" t="s">
        <v>399</v>
      </c>
    </row>
    <row r="1430" spans="2:5">
      <c r="B1430" t="s">
        <v>2460</v>
      </c>
      <c r="C1430">
        <v>500660</v>
      </c>
      <c r="D1430" t="s">
        <v>2461</v>
      </c>
      <c r="E1430" t="s">
        <v>377</v>
      </c>
    </row>
    <row r="1431" spans="2:5">
      <c r="B1431" t="s">
        <v>2462</v>
      </c>
      <c r="C1431">
        <v>542477</v>
      </c>
      <c r="D1431" t="s">
        <v>2463</v>
      </c>
      <c r="E1431" t="s">
        <v>705</v>
      </c>
    </row>
    <row r="1432" spans="2:5">
      <c r="B1432" t="s">
        <v>2464</v>
      </c>
      <c r="C1432">
        <v>532296</v>
      </c>
      <c r="D1432" t="s">
        <v>2465</v>
      </c>
      <c r="E1432" t="s">
        <v>377</v>
      </c>
    </row>
    <row r="1433" spans="2:5">
      <c r="B1433" t="s">
        <v>2466</v>
      </c>
      <c r="C1433">
        <v>513528</v>
      </c>
      <c r="D1433" t="s">
        <v>339</v>
      </c>
      <c r="E1433" t="s">
        <v>867</v>
      </c>
    </row>
    <row r="1434" spans="2:5">
      <c r="B1434" t="s">
        <v>2467</v>
      </c>
      <c r="C1434">
        <v>530263</v>
      </c>
      <c r="D1434" t="s">
        <v>339</v>
      </c>
      <c r="E1434" t="s">
        <v>356</v>
      </c>
    </row>
    <row r="1435" spans="2:5">
      <c r="B1435" t="s">
        <v>2468</v>
      </c>
      <c r="C1435" t="s">
        <v>339</v>
      </c>
      <c r="D1435" t="s">
        <v>2469</v>
      </c>
      <c r="E1435" t="s">
        <v>350</v>
      </c>
    </row>
    <row r="1436" spans="2:5">
      <c r="B1436" t="s">
        <v>2470</v>
      </c>
      <c r="C1436">
        <v>531463</v>
      </c>
      <c r="D1436" t="s">
        <v>339</v>
      </c>
      <c r="E1436" t="s">
        <v>760</v>
      </c>
    </row>
    <row r="1437" spans="2:5">
      <c r="B1437" t="s">
        <v>2471</v>
      </c>
      <c r="C1437">
        <v>531479</v>
      </c>
      <c r="D1437" t="s">
        <v>339</v>
      </c>
      <c r="E1437" t="s">
        <v>425</v>
      </c>
    </row>
    <row r="1438" spans="2:5">
      <c r="B1438" t="s">
        <v>2472</v>
      </c>
      <c r="C1438">
        <v>501848</v>
      </c>
      <c r="D1438" t="s">
        <v>2473</v>
      </c>
      <c r="E1438" t="s">
        <v>1586</v>
      </c>
    </row>
    <row r="1439" spans="2:5">
      <c r="B1439" t="s">
        <v>2474</v>
      </c>
      <c r="C1439">
        <v>532773</v>
      </c>
      <c r="D1439" t="s">
        <v>2475</v>
      </c>
      <c r="E1439" t="s">
        <v>2476</v>
      </c>
    </row>
    <row r="1440" spans="2:5">
      <c r="B1440" t="s">
        <v>2477</v>
      </c>
      <c r="C1440">
        <v>540654</v>
      </c>
      <c r="D1440" t="s">
        <v>339</v>
      </c>
      <c r="E1440" t="s">
        <v>325</v>
      </c>
    </row>
    <row r="1441" spans="2:5">
      <c r="B1441" t="s">
        <v>2478</v>
      </c>
      <c r="C1441">
        <v>540266</v>
      </c>
      <c r="D1441" t="s">
        <v>339</v>
      </c>
      <c r="E1441" t="s">
        <v>361</v>
      </c>
    </row>
    <row r="1442" spans="2:5">
      <c r="B1442" t="s">
        <v>2479</v>
      </c>
      <c r="C1442" t="s">
        <v>339</v>
      </c>
      <c r="D1442" t="s">
        <v>2480</v>
      </c>
      <c r="E1442" t="s">
        <v>350</v>
      </c>
    </row>
    <row r="1443" spans="2:5">
      <c r="B1443" t="s">
        <v>2481</v>
      </c>
      <c r="C1443" t="s">
        <v>339</v>
      </c>
      <c r="D1443" t="s">
        <v>2482</v>
      </c>
      <c r="E1443" t="s">
        <v>350</v>
      </c>
    </row>
    <row r="1444" spans="2:5">
      <c r="B1444" t="s">
        <v>2483</v>
      </c>
      <c r="C1444" t="s">
        <v>339</v>
      </c>
      <c r="D1444" t="s">
        <v>2482</v>
      </c>
      <c r="E1444" t="s">
        <v>350</v>
      </c>
    </row>
    <row r="1445" spans="2:5">
      <c r="B1445" t="s">
        <v>2484</v>
      </c>
      <c r="C1445">
        <v>526025</v>
      </c>
      <c r="D1445" t="s">
        <v>339</v>
      </c>
      <c r="E1445" t="s">
        <v>354</v>
      </c>
    </row>
    <row r="1446" spans="2:5">
      <c r="B1446" t="s">
        <v>2485</v>
      </c>
      <c r="C1446">
        <v>531904</v>
      </c>
      <c r="D1446" t="s">
        <v>2486</v>
      </c>
      <c r="E1446" t="s">
        <v>705</v>
      </c>
    </row>
    <row r="1447" spans="2:5">
      <c r="B1447" t="s">
        <v>2487</v>
      </c>
      <c r="C1447">
        <v>533104</v>
      </c>
      <c r="D1447" t="s">
        <v>2488</v>
      </c>
      <c r="E1447" t="s">
        <v>970</v>
      </c>
    </row>
    <row r="1448" spans="2:5">
      <c r="B1448" t="s">
        <v>2489</v>
      </c>
      <c r="C1448">
        <v>542351</v>
      </c>
      <c r="D1448" t="s">
        <v>2490</v>
      </c>
      <c r="E1448" t="s">
        <v>2491</v>
      </c>
    </row>
    <row r="1449" spans="2:5">
      <c r="B1449" t="s">
        <v>2492</v>
      </c>
      <c r="C1449">
        <v>507488</v>
      </c>
      <c r="D1449" t="s">
        <v>2493</v>
      </c>
      <c r="E1449" t="s">
        <v>970</v>
      </c>
    </row>
    <row r="1450" spans="2:5">
      <c r="B1450" t="s">
        <v>2494</v>
      </c>
      <c r="C1450">
        <v>505255</v>
      </c>
      <c r="D1450" t="s">
        <v>2495</v>
      </c>
      <c r="E1450" t="s">
        <v>347</v>
      </c>
    </row>
    <row r="1451" spans="2:5">
      <c r="B1451" t="s">
        <v>2496</v>
      </c>
      <c r="C1451">
        <v>532754</v>
      </c>
      <c r="D1451" t="s">
        <v>2497</v>
      </c>
      <c r="E1451" t="s">
        <v>478</v>
      </c>
    </row>
    <row r="1452" spans="2:5">
      <c r="B1452" t="s">
        <v>2498</v>
      </c>
      <c r="C1452">
        <v>540124</v>
      </c>
      <c r="D1452" t="s">
        <v>2499</v>
      </c>
      <c r="E1452" t="s">
        <v>694</v>
      </c>
    </row>
    <row r="1453" spans="2:5">
      <c r="B1453" t="s">
        <v>2500</v>
      </c>
      <c r="C1453">
        <v>509567</v>
      </c>
      <c r="D1453" t="s">
        <v>2501</v>
      </c>
      <c r="E1453" t="s">
        <v>1267</v>
      </c>
    </row>
    <row r="1454" spans="2:5">
      <c r="B1454" t="s">
        <v>2502</v>
      </c>
      <c r="C1454">
        <v>506480</v>
      </c>
      <c r="D1454" t="s">
        <v>2503</v>
      </c>
      <c r="E1454" t="s">
        <v>549</v>
      </c>
    </row>
    <row r="1455" spans="2:5">
      <c r="B1455" t="s">
        <v>2504</v>
      </c>
      <c r="C1455">
        <v>530317</v>
      </c>
      <c r="D1455" t="s">
        <v>339</v>
      </c>
      <c r="E1455" t="s">
        <v>377</v>
      </c>
    </row>
    <row r="1456" spans="2:5">
      <c r="B1456" t="s">
        <v>2505</v>
      </c>
      <c r="C1456">
        <v>532734</v>
      </c>
      <c r="D1456" t="s">
        <v>2506</v>
      </c>
      <c r="E1456" t="s">
        <v>371</v>
      </c>
    </row>
    <row r="1457" spans="2:5">
      <c r="B1457" t="s">
        <v>2507</v>
      </c>
      <c r="C1457">
        <v>500163</v>
      </c>
      <c r="D1457" t="s">
        <v>2508</v>
      </c>
      <c r="E1457" t="s">
        <v>2509</v>
      </c>
    </row>
    <row r="1458" spans="2:5">
      <c r="B1458" t="s">
        <v>2510</v>
      </c>
      <c r="C1458">
        <v>500163</v>
      </c>
      <c r="D1458" t="s">
        <v>2508</v>
      </c>
      <c r="E1458" t="s">
        <v>2509</v>
      </c>
    </row>
    <row r="1459" spans="2:5">
      <c r="B1459" t="s">
        <v>2511</v>
      </c>
      <c r="C1459" t="s">
        <v>339</v>
      </c>
      <c r="D1459" t="s">
        <v>2512</v>
      </c>
      <c r="E1459" t="s">
        <v>350</v>
      </c>
    </row>
    <row r="1460" spans="2:5">
      <c r="B1460" t="s">
        <v>2513</v>
      </c>
      <c r="C1460">
        <v>540743</v>
      </c>
      <c r="D1460" t="s">
        <v>2514</v>
      </c>
      <c r="E1460" t="s">
        <v>537</v>
      </c>
    </row>
    <row r="1461" spans="2:5">
      <c r="B1461" t="s">
        <v>2515</v>
      </c>
      <c r="C1461">
        <v>532424</v>
      </c>
      <c r="D1461" t="s">
        <v>2516</v>
      </c>
      <c r="E1461" t="s">
        <v>521</v>
      </c>
    </row>
    <row r="1462" spans="2:5">
      <c r="B1462" t="s">
        <v>2517</v>
      </c>
      <c r="C1462">
        <v>500164</v>
      </c>
      <c r="D1462" t="s">
        <v>2518</v>
      </c>
      <c r="E1462" t="s">
        <v>387</v>
      </c>
    </row>
    <row r="1463" spans="2:5">
      <c r="B1463" t="s">
        <v>2519</v>
      </c>
      <c r="C1463">
        <v>533150</v>
      </c>
      <c r="D1463" t="s">
        <v>2520</v>
      </c>
      <c r="E1463" t="s">
        <v>425</v>
      </c>
    </row>
    <row r="1464" spans="2:5">
      <c r="B1464" t="s">
        <v>2521</v>
      </c>
      <c r="C1464">
        <v>538787</v>
      </c>
      <c r="D1464" t="s">
        <v>339</v>
      </c>
      <c r="E1464" t="s">
        <v>356</v>
      </c>
    </row>
    <row r="1465" spans="2:5">
      <c r="B1465" t="s">
        <v>2522</v>
      </c>
      <c r="C1465">
        <v>533189</v>
      </c>
      <c r="D1465" t="s">
        <v>2523</v>
      </c>
      <c r="E1465" t="s">
        <v>453</v>
      </c>
    </row>
    <row r="1466" spans="2:5">
      <c r="B1466" t="s">
        <v>2524</v>
      </c>
      <c r="C1466">
        <v>531600</v>
      </c>
      <c r="D1466" t="s">
        <v>339</v>
      </c>
      <c r="E1466" t="s">
        <v>322</v>
      </c>
    </row>
    <row r="1467" spans="2:5">
      <c r="B1467" t="s">
        <v>2525</v>
      </c>
      <c r="C1467">
        <v>532957</v>
      </c>
      <c r="D1467" t="s">
        <v>339</v>
      </c>
      <c r="E1467" t="s">
        <v>354</v>
      </c>
    </row>
    <row r="1468" spans="2:5">
      <c r="B1468" t="s">
        <v>2526</v>
      </c>
      <c r="C1468">
        <v>532630</v>
      </c>
      <c r="D1468" t="s">
        <v>2527</v>
      </c>
      <c r="E1468" t="s">
        <v>453</v>
      </c>
    </row>
    <row r="1469" spans="2:5">
      <c r="B1469" t="s">
        <v>2528</v>
      </c>
      <c r="C1469">
        <v>539725</v>
      </c>
      <c r="D1469" t="s">
        <v>2529</v>
      </c>
      <c r="E1469" t="s">
        <v>588</v>
      </c>
    </row>
    <row r="1470" spans="2:5">
      <c r="B1470" t="s">
        <v>2530</v>
      </c>
      <c r="C1470">
        <v>532980</v>
      </c>
      <c r="D1470" t="s">
        <v>2531</v>
      </c>
      <c r="E1470" t="s">
        <v>588</v>
      </c>
    </row>
    <row r="1471" spans="2:5">
      <c r="B1471" t="s">
        <v>2532</v>
      </c>
      <c r="C1471">
        <v>780012</v>
      </c>
      <c r="D1471" t="s">
        <v>339</v>
      </c>
      <c r="E1471" t="s">
        <v>430</v>
      </c>
    </row>
    <row r="1472" spans="2:5">
      <c r="B1472" t="s">
        <v>2533</v>
      </c>
      <c r="C1472">
        <v>538542</v>
      </c>
      <c r="D1472" t="s">
        <v>339</v>
      </c>
      <c r="E1472" t="s">
        <v>399</v>
      </c>
    </row>
    <row r="1473" spans="2:5">
      <c r="B1473" t="s">
        <v>2534</v>
      </c>
      <c r="C1473">
        <v>538180</v>
      </c>
      <c r="D1473" t="s">
        <v>2535</v>
      </c>
      <c r="E1473" t="s">
        <v>359</v>
      </c>
    </row>
    <row r="1474" spans="2:5">
      <c r="B1474" t="s">
        <v>2536</v>
      </c>
      <c r="C1474">
        <v>505576</v>
      </c>
      <c r="D1474" t="s">
        <v>339</v>
      </c>
      <c r="E1474" t="s">
        <v>356</v>
      </c>
    </row>
    <row r="1475" spans="2:5">
      <c r="B1475" t="s">
        <v>2537</v>
      </c>
      <c r="C1475">
        <v>531928</v>
      </c>
      <c r="D1475" t="s">
        <v>339</v>
      </c>
      <c r="E1475" t="s">
        <v>616</v>
      </c>
    </row>
    <row r="1476" spans="2:5">
      <c r="B1476" t="s">
        <v>2538</v>
      </c>
      <c r="C1476">
        <v>540062</v>
      </c>
      <c r="D1476" t="s">
        <v>339</v>
      </c>
      <c r="E1476" t="s">
        <v>444</v>
      </c>
    </row>
    <row r="1477" spans="2:5">
      <c r="B1477" t="s">
        <v>2539</v>
      </c>
      <c r="C1477">
        <v>530579</v>
      </c>
      <c r="D1477" t="s">
        <v>339</v>
      </c>
      <c r="E1477" t="s">
        <v>356</v>
      </c>
    </row>
    <row r="1478" spans="2:5">
      <c r="B1478" t="s">
        <v>2540</v>
      </c>
      <c r="C1478">
        <v>500151</v>
      </c>
      <c r="D1478" t="s">
        <v>2541</v>
      </c>
      <c r="E1478" t="s">
        <v>2509</v>
      </c>
    </row>
    <row r="1479" spans="2:5">
      <c r="B1479" t="s">
        <v>2542</v>
      </c>
      <c r="C1479">
        <v>526729</v>
      </c>
      <c r="D1479" t="s">
        <v>2543</v>
      </c>
      <c r="E1479" t="s">
        <v>453</v>
      </c>
    </row>
    <row r="1480" spans="2:5">
      <c r="B1480" t="s">
        <v>2544</v>
      </c>
      <c r="C1480" t="s">
        <v>339</v>
      </c>
      <c r="D1480" t="s">
        <v>2545</v>
      </c>
      <c r="E1480" t="s">
        <v>350</v>
      </c>
    </row>
    <row r="1481" spans="2:5">
      <c r="B1481" t="s">
        <v>2546</v>
      </c>
      <c r="C1481">
        <v>531439</v>
      </c>
      <c r="D1481" t="s">
        <v>2547</v>
      </c>
      <c r="E1481" t="s">
        <v>325</v>
      </c>
    </row>
    <row r="1482" spans="2:5">
      <c r="B1482" t="s">
        <v>2548</v>
      </c>
      <c r="C1482">
        <v>531360</v>
      </c>
      <c r="D1482" t="s">
        <v>339</v>
      </c>
      <c r="E1482" t="s">
        <v>760</v>
      </c>
    </row>
    <row r="1483" spans="2:5">
      <c r="B1483" t="s">
        <v>2549</v>
      </c>
      <c r="C1483">
        <v>513309</v>
      </c>
      <c r="D1483" t="s">
        <v>339</v>
      </c>
      <c r="E1483" t="s">
        <v>644</v>
      </c>
    </row>
    <row r="1484" spans="2:5">
      <c r="B1484" t="s">
        <v>2550</v>
      </c>
      <c r="C1484">
        <v>523676</v>
      </c>
      <c r="D1484" t="s">
        <v>339</v>
      </c>
      <c r="E1484" t="s">
        <v>453</v>
      </c>
    </row>
    <row r="1485" spans="2:5">
      <c r="B1485" t="s">
        <v>2551</v>
      </c>
      <c r="C1485">
        <v>530655</v>
      </c>
      <c r="D1485" t="s">
        <v>2552</v>
      </c>
      <c r="E1485" t="s">
        <v>662</v>
      </c>
    </row>
    <row r="1486" spans="2:5">
      <c r="B1486" t="s">
        <v>2553</v>
      </c>
      <c r="C1486">
        <v>530655</v>
      </c>
      <c r="D1486" t="s">
        <v>2552</v>
      </c>
      <c r="E1486" t="s">
        <v>662</v>
      </c>
    </row>
    <row r="1487" spans="2:5">
      <c r="B1487" t="s">
        <v>2554</v>
      </c>
      <c r="C1487">
        <v>500166</v>
      </c>
      <c r="D1487" t="s">
        <v>339</v>
      </c>
      <c r="E1487" t="s">
        <v>746</v>
      </c>
    </row>
    <row r="1488" spans="2:5">
      <c r="B1488" t="s">
        <v>2555</v>
      </c>
      <c r="C1488">
        <v>500168</v>
      </c>
      <c r="D1488" t="s">
        <v>339</v>
      </c>
      <c r="E1488" t="s">
        <v>819</v>
      </c>
    </row>
    <row r="1489" spans="2:5">
      <c r="B1489" t="s">
        <v>2556</v>
      </c>
      <c r="C1489">
        <v>500168</v>
      </c>
      <c r="D1489" t="s">
        <v>339</v>
      </c>
      <c r="E1489" t="s">
        <v>819</v>
      </c>
    </row>
    <row r="1490" spans="2:5">
      <c r="B1490" t="s">
        <v>2557</v>
      </c>
      <c r="C1490">
        <v>531913</v>
      </c>
      <c r="D1490" t="s">
        <v>339</v>
      </c>
      <c r="E1490" t="s">
        <v>662</v>
      </c>
    </row>
    <row r="1491" spans="2:5">
      <c r="B1491" t="s">
        <v>2558</v>
      </c>
      <c r="C1491">
        <v>526717</v>
      </c>
      <c r="D1491" t="s">
        <v>339</v>
      </c>
      <c r="E1491" t="s">
        <v>534</v>
      </c>
    </row>
    <row r="1492" spans="2:5">
      <c r="B1492" t="s">
        <v>2559</v>
      </c>
      <c r="C1492">
        <v>531608</v>
      </c>
      <c r="D1492" t="s">
        <v>339</v>
      </c>
      <c r="E1492" t="s">
        <v>1384</v>
      </c>
    </row>
    <row r="1493" spans="2:5">
      <c r="B1493" t="s">
        <v>2560</v>
      </c>
      <c r="C1493">
        <v>531111</v>
      </c>
      <c r="D1493" t="s">
        <v>339</v>
      </c>
      <c r="E1493" t="s">
        <v>1384</v>
      </c>
    </row>
    <row r="1494" spans="2:5">
      <c r="B1494" t="s">
        <v>2561</v>
      </c>
      <c r="C1494">
        <v>531111</v>
      </c>
      <c r="D1494" t="s">
        <v>339</v>
      </c>
      <c r="E1494" t="s">
        <v>1384</v>
      </c>
    </row>
    <row r="1495" spans="2:5">
      <c r="B1495" t="s">
        <v>2562</v>
      </c>
      <c r="C1495">
        <v>509148</v>
      </c>
      <c r="D1495" t="s">
        <v>339</v>
      </c>
      <c r="E1495" t="s">
        <v>819</v>
      </c>
    </row>
    <row r="1496" spans="2:5">
      <c r="B1496" t="s">
        <v>2563</v>
      </c>
      <c r="C1496">
        <v>530709</v>
      </c>
      <c r="D1496" t="s">
        <v>339</v>
      </c>
      <c r="E1496" t="s">
        <v>356</v>
      </c>
    </row>
    <row r="1497" spans="2:5">
      <c r="B1497" t="s">
        <v>2564</v>
      </c>
      <c r="C1497">
        <v>530663</v>
      </c>
      <c r="D1497" t="s">
        <v>339</v>
      </c>
      <c r="E1497" t="s">
        <v>322</v>
      </c>
    </row>
    <row r="1498" spans="2:5">
      <c r="B1498" t="s">
        <v>2565</v>
      </c>
      <c r="C1498">
        <v>532543</v>
      </c>
      <c r="D1498" t="s">
        <v>2566</v>
      </c>
      <c r="E1498" t="s">
        <v>549</v>
      </c>
    </row>
    <row r="1499" spans="2:5">
      <c r="B1499" t="s">
        <v>2567</v>
      </c>
      <c r="C1499">
        <v>533761</v>
      </c>
      <c r="D1499" t="s">
        <v>2568</v>
      </c>
      <c r="E1499" t="s">
        <v>737</v>
      </c>
    </row>
    <row r="1500" spans="2:5">
      <c r="B1500" t="s">
        <v>2569</v>
      </c>
      <c r="C1500">
        <v>780002</v>
      </c>
      <c r="D1500" t="s">
        <v>339</v>
      </c>
      <c r="E1500" t="s">
        <v>430</v>
      </c>
    </row>
    <row r="1501" spans="2:5">
      <c r="B1501" t="s">
        <v>2570</v>
      </c>
      <c r="C1501">
        <v>590126</v>
      </c>
      <c r="D1501" t="s">
        <v>339</v>
      </c>
      <c r="E1501" t="s">
        <v>1941</v>
      </c>
    </row>
    <row r="1502" spans="2:5">
      <c r="B1502" t="s">
        <v>2571</v>
      </c>
      <c r="C1502">
        <v>539235</v>
      </c>
      <c r="D1502" t="s">
        <v>339</v>
      </c>
      <c r="E1502" t="s">
        <v>746</v>
      </c>
    </row>
    <row r="1503" spans="2:5">
      <c r="B1503" t="s">
        <v>2572</v>
      </c>
      <c r="C1503">
        <v>532482</v>
      </c>
      <c r="D1503" t="s">
        <v>2573</v>
      </c>
      <c r="E1503" t="s">
        <v>377</v>
      </c>
    </row>
    <row r="1504" spans="2:5">
      <c r="B1504" t="s">
        <v>2574</v>
      </c>
      <c r="C1504">
        <v>532482</v>
      </c>
      <c r="D1504" t="s">
        <v>2573</v>
      </c>
      <c r="E1504" t="s">
        <v>377</v>
      </c>
    </row>
    <row r="1505" spans="2:5">
      <c r="B1505" t="s">
        <v>2575</v>
      </c>
      <c r="C1505">
        <v>509488</v>
      </c>
      <c r="D1505" t="s">
        <v>2576</v>
      </c>
      <c r="E1505" t="s">
        <v>524</v>
      </c>
    </row>
    <row r="1506" spans="2:5">
      <c r="B1506" t="s">
        <v>2577</v>
      </c>
      <c r="C1506">
        <v>509488</v>
      </c>
      <c r="D1506" t="s">
        <v>2576</v>
      </c>
      <c r="E1506" t="s">
        <v>524</v>
      </c>
    </row>
    <row r="1507" spans="2:5">
      <c r="B1507" t="s">
        <v>2578</v>
      </c>
      <c r="C1507">
        <v>500300</v>
      </c>
      <c r="D1507" t="s">
        <v>2579</v>
      </c>
      <c r="E1507" t="s">
        <v>352</v>
      </c>
    </row>
    <row r="1508" spans="2:5">
      <c r="B1508" t="s">
        <v>2580</v>
      </c>
      <c r="C1508">
        <v>526751</v>
      </c>
      <c r="D1508" t="s">
        <v>339</v>
      </c>
      <c r="E1508" t="s">
        <v>333</v>
      </c>
    </row>
    <row r="1509" spans="2:5">
      <c r="B1509" t="s">
        <v>2581</v>
      </c>
      <c r="C1509">
        <v>505710</v>
      </c>
      <c r="D1509" t="s">
        <v>339</v>
      </c>
      <c r="E1509" t="s">
        <v>387</v>
      </c>
    </row>
    <row r="1510" spans="2:5">
      <c r="B1510" t="s">
        <v>2582</v>
      </c>
      <c r="C1510">
        <v>505710</v>
      </c>
      <c r="D1510" t="s">
        <v>339</v>
      </c>
      <c r="E1510" t="s">
        <v>387</v>
      </c>
    </row>
    <row r="1511" spans="2:5">
      <c r="B1511" t="s">
        <v>2583</v>
      </c>
      <c r="C1511">
        <v>509546</v>
      </c>
      <c r="D1511" t="s">
        <v>339</v>
      </c>
      <c r="E1511" t="s">
        <v>540</v>
      </c>
    </row>
    <row r="1512" spans="2:5">
      <c r="B1512" t="s">
        <v>2584</v>
      </c>
      <c r="C1512">
        <v>533282</v>
      </c>
      <c r="D1512" t="s">
        <v>2585</v>
      </c>
      <c r="E1512" t="s">
        <v>2586</v>
      </c>
    </row>
    <row r="1513" spans="2:5">
      <c r="B1513" t="s">
        <v>2587</v>
      </c>
      <c r="C1513">
        <v>533282</v>
      </c>
      <c r="D1513" t="s">
        <v>2585</v>
      </c>
      <c r="E1513" t="s">
        <v>2586</v>
      </c>
    </row>
    <row r="1514" spans="2:5">
      <c r="B1514" t="s">
        <v>2588</v>
      </c>
      <c r="C1514">
        <v>532015</v>
      </c>
      <c r="D1514" t="s">
        <v>339</v>
      </c>
      <c r="E1514" t="s">
        <v>354</v>
      </c>
    </row>
    <row r="1515" spans="2:5">
      <c r="B1515" t="s">
        <v>2589</v>
      </c>
      <c r="C1515">
        <v>532015</v>
      </c>
      <c r="D1515" t="s">
        <v>339</v>
      </c>
      <c r="E1515" t="s">
        <v>354</v>
      </c>
    </row>
    <row r="1516" spans="2:5">
      <c r="B1516" t="s">
        <v>2590</v>
      </c>
      <c r="C1516">
        <v>501455</v>
      </c>
      <c r="D1516" t="s">
        <v>2591</v>
      </c>
      <c r="E1516" t="s">
        <v>347</v>
      </c>
    </row>
    <row r="1517" spans="2:5">
      <c r="B1517" t="s">
        <v>2592</v>
      </c>
      <c r="C1517">
        <v>531737</v>
      </c>
      <c r="D1517" t="s">
        <v>339</v>
      </c>
      <c r="E1517" t="s">
        <v>760</v>
      </c>
    </row>
    <row r="1518" spans="2:5">
      <c r="B1518" t="s">
        <v>2593</v>
      </c>
      <c r="C1518">
        <v>538979</v>
      </c>
      <c r="D1518" t="s">
        <v>2594</v>
      </c>
      <c r="E1518" t="s">
        <v>616</v>
      </c>
    </row>
    <row r="1519" spans="2:5">
      <c r="B1519" t="s">
        <v>2595</v>
      </c>
      <c r="C1519">
        <v>526797</v>
      </c>
      <c r="D1519" t="s">
        <v>2596</v>
      </c>
      <c r="E1519" t="s">
        <v>834</v>
      </c>
    </row>
    <row r="1520" spans="2:5">
      <c r="B1520" t="s">
        <v>2597</v>
      </c>
      <c r="C1520" t="s">
        <v>339</v>
      </c>
      <c r="D1520" t="s">
        <v>2598</v>
      </c>
      <c r="E1520" t="s">
        <v>350</v>
      </c>
    </row>
    <row r="1521" spans="2:5">
      <c r="B1521" t="s">
        <v>2599</v>
      </c>
      <c r="C1521">
        <v>508918</v>
      </c>
      <c r="D1521" t="s">
        <v>339</v>
      </c>
      <c r="E1521" t="s">
        <v>444</v>
      </c>
    </row>
    <row r="1522" spans="2:5">
      <c r="B1522" t="s">
        <v>2600</v>
      </c>
      <c r="C1522">
        <v>506076</v>
      </c>
      <c r="D1522" t="s">
        <v>2601</v>
      </c>
      <c r="E1522" t="s">
        <v>1258</v>
      </c>
    </row>
    <row r="1523" spans="2:5">
      <c r="B1523" t="s">
        <v>2602</v>
      </c>
      <c r="C1523">
        <v>531449</v>
      </c>
      <c r="D1523" t="s">
        <v>339</v>
      </c>
      <c r="E1523" t="s">
        <v>537</v>
      </c>
    </row>
    <row r="1524" spans="2:5">
      <c r="B1524" t="s">
        <v>2603</v>
      </c>
      <c r="C1524">
        <v>501314</v>
      </c>
      <c r="D1524" t="s">
        <v>339</v>
      </c>
      <c r="E1524" t="s">
        <v>361</v>
      </c>
    </row>
    <row r="1525" spans="2:5">
      <c r="B1525" t="s">
        <v>2604</v>
      </c>
      <c r="C1525">
        <v>539522</v>
      </c>
      <c r="D1525" t="s">
        <v>339</v>
      </c>
      <c r="E1525" t="s">
        <v>785</v>
      </c>
    </row>
    <row r="1526" spans="2:5">
      <c r="B1526" t="s">
        <v>2605</v>
      </c>
      <c r="C1526">
        <v>539522</v>
      </c>
      <c r="D1526" t="s">
        <v>339</v>
      </c>
      <c r="E1526" t="s">
        <v>785</v>
      </c>
    </row>
    <row r="1527" spans="2:5">
      <c r="B1527" t="s">
        <v>2606</v>
      </c>
      <c r="C1527">
        <v>509152</v>
      </c>
      <c r="D1527" t="s">
        <v>2607</v>
      </c>
      <c r="E1527" t="s">
        <v>819</v>
      </c>
    </row>
    <row r="1528" spans="2:5">
      <c r="B1528" t="s">
        <v>2608</v>
      </c>
      <c r="C1528">
        <v>511288</v>
      </c>
      <c r="D1528" t="s">
        <v>2609</v>
      </c>
      <c r="E1528" t="s">
        <v>397</v>
      </c>
    </row>
    <row r="1529" spans="2:5">
      <c r="B1529" t="s">
        <v>2610</v>
      </c>
      <c r="C1529">
        <v>511543</v>
      </c>
      <c r="D1529" t="s">
        <v>339</v>
      </c>
      <c r="E1529" t="s">
        <v>356</v>
      </c>
    </row>
    <row r="1530" spans="2:5">
      <c r="B1530" t="s">
        <v>2611</v>
      </c>
      <c r="C1530">
        <v>530605</v>
      </c>
      <c r="D1530" t="s">
        <v>339</v>
      </c>
      <c r="E1530" t="s">
        <v>354</v>
      </c>
    </row>
    <row r="1531" spans="2:5">
      <c r="B1531" t="s">
        <v>2612</v>
      </c>
      <c r="C1531">
        <v>530469</v>
      </c>
      <c r="D1531" t="s">
        <v>339</v>
      </c>
      <c r="E1531" t="s">
        <v>356</v>
      </c>
    </row>
    <row r="1532" spans="2:5">
      <c r="B1532" t="s">
        <v>2613</v>
      </c>
      <c r="C1532">
        <v>532951</v>
      </c>
      <c r="D1532" t="s">
        <v>2614</v>
      </c>
      <c r="E1532" t="s">
        <v>325</v>
      </c>
    </row>
    <row r="1533" spans="2:5">
      <c r="B1533" t="s">
        <v>2615</v>
      </c>
      <c r="C1533">
        <v>532139</v>
      </c>
      <c r="D1533" t="s">
        <v>339</v>
      </c>
      <c r="E1533" t="s">
        <v>669</v>
      </c>
    </row>
    <row r="1534" spans="2:5">
      <c r="B1534" t="s">
        <v>2616</v>
      </c>
      <c r="C1534">
        <v>532775</v>
      </c>
      <c r="D1534" t="s">
        <v>2617</v>
      </c>
      <c r="E1534" t="s">
        <v>485</v>
      </c>
    </row>
    <row r="1535" spans="2:5">
      <c r="B1535" t="s">
        <v>2618</v>
      </c>
      <c r="C1535">
        <v>500160</v>
      </c>
      <c r="D1535" t="s">
        <v>2619</v>
      </c>
      <c r="E1535" t="s">
        <v>1285</v>
      </c>
    </row>
    <row r="1536" spans="2:5">
      <c r="B1536" t="s">
        <v>2620</v>
      </c>
      <c r="C1536">
        <v>500170</v>
      </c>
      <c r="D1536" t="s">
        <v>2621</v>
      </c>
      <c r="E1536" t="s">
        <v>354</v>
      </c>
    </row>
    <row r="1537" spans="2:5">
      <c r="B1537" t="s">
        <v>2622</v>
      </c>
      <c r="C1537">
        <v>532744</v>
      </c>
      <c r="D1537" t="s">
        <v>2623</v>
      </c>
      <c r="E1537" t="s">
        <v>354</v>
      </c>
    </row>
    <row r="1538" spans="2:5">
      <c r="B1538" t="s">
        <v>2624</v>
      </c>
      <c r="C1538">
        <v>540602</v>
      </c>
      <c r="D1538" t="s">
        <v>2625</v>
      </c>
      <c r="E1538" t="s">
        <v>1285</v>
      </c>
    </row>
    <row r="1539" spans="2:5">
      <c r="B1539" t="s">
        <v>2626</v>
      </c>
      <c r="C1539">
        <v>539479</v>
      </c>
      <c r="D1539" t="s">
        <v>339</v>
      </c>
      <c r="E1539" t="s">
        <v>347</v>
      </c>
    </row>
    <row r="1540" spans="2:5">
      <c r="B1540" t="s">
        <v>2627</v>
      </c>
      <c r="C1540">
        <v>509079</v>
      </c>
      <c r="D1540" t="s">
        <v>2628</v>
      </c>
      <c r="E1540" t="s">
        <v>377</v>
      </c>
    </row>
    <row r="1541" spans="2:5">
      <c r="B1541" t="s">
        <v>2629</v>
      </c>
      <c r="C1541">
        <v>530001</v>
      </c>
      <c r="D1541" t="s">
        <v>2630</v>
      </c>
      <c r="E1541" t="s">
        <v>387</v>
      </c>
    </row>
    <row r="1542" spans="2:5">
      <c r="B1542" t="s">
        <v>2631</v>
      </c>
      <c r="C1542">
        <v>524226</v>
      </c>
      <c r="D1542" t="s">
        <v>2632</v>
      </c>
      <c r="E1542" t="s">
        <v>537</v>
      </c>
    </row>
    <row r="1543" spans="2:5">
      <c r="B1543" t="s">
        <v>2633</v>
      </c>
      <c r="C1543">
        <v>522217</v>
      </c>
      <c r="D1543" t="s">
        <v>2634</v>
      </c>
      <c r="E1543" t="s">
        <v>417</v>
      </c>
    </row>
    <row r="1544" spans="2:5">
      <c r="B1544" t="s">
        <v>2635</v>
      </c>
      <c r="C1544">
        <v>523768</v>
      </c>
      <c r="D1544" t="s">
        <v>339</v>
      </c>
      <c r="E1544" t="s">
        <v>867</v>
      </c>
    </row>
    <row r="1545" spans="2:5">
      <c r="B1545" t="s">
        <v>2636</v>
      </c>
      <c r="C1545">
        <v>513507</v>
      </c>
      <c r="D1545" t="s">
        <v>339</v>
      </c>
      <c r="E1545" t="s">
        <v>662</v>
      </c>
    </row>
    <row r="1546" spans="2:5">
      <c r="B1546" t="s">
        <v>2637</v>
      </c>
      <c r="C1546">
        <v>514386</v>
      </c>
      <c r="D1546" t="s">
        <v>339</v>
      </c>
      <c r="E1546" t="s">
        <v>354</v>
      </c>
    </row>
    <row r="1547" spans="2:5">
      <c r="B1547" t="s">
        <v>2638</v>
      </c>
      <c r="C1547">
        <v>526965</v>
      </c>
      <c r="D1547" t="s">
        <v>339</v>
      </c>
      <c r="E1547" t="s">
        <v>534</v>
      </c>
    </row>
    <row r="1548" spans="2:5">
      <c r="B1548" t="s">
        <v>2639</v>
      </c>
      <c r="C1548">
        <v>511441</v>
      </c>
      <c r="D1548" t="s">
        <v>339</v>
      </c>
      <c r="E1548" t="s">
        <v>322</v>
      </c>
    </row>
    <row r="1549" spans="2:5">
      <c r="B1549" t="s">
        <v>2640</v>
      </c>
      <c r="C1549">
        <v>500173</v>
      </c>
      <c r="D1549" t="s">
        <v>2641</v>
      </c>
      <c r="E1549" t="s">
        <v>1374</v>
      </c>
    </row>
    <row r="1550" spans="2:5">
      <c r="B1550" t="s">
        <v>2642</v>
      </c>
      <c r="C1550">
        <v>531410</v>
      </c>
      <c r="D1550" t="s">
        <v>339</v>
      </c>
      <c r="E1550" t="s">
        <v>644</v>
      </c>
    </row>
    <row r="1551" spans="2:5">
      <c r="B1551" t="s">
        <v>2643</v>
      </c>
      <c r="C1551">
        <v>539336</v>
      </c>
      <c r="D1551" t="s">
        <v>2644</v>
      </c>
      <c r="E1551" t="s">
        <v>470</v>
      </c>
    </row>
    <row r="1552" spans="2:5">
      <c r="B1552" t="s">
        <v>2645</v>
      </c>
      <c r="C1552">
        <v>507960</v>
      </c>
      <c r="D1552" t="s">
        <v>339</v>
      </c>
      <c r="E1552" t="s">
        <v>540</v>
      </c>
    </row>
    <row r="1553" spans="2:5">
      <c r="B1553" t="s">
        <v>2646</v>
      </c>
      <c r="C1553">
        <v>540938</v>
      </c>
      <c r="D1553" t="s">
        <v>339</v>
      </c>
      <c r="E1553" t="s">
        <v>354</v>
      </c>
    </row>
    <row r="1554" spans="2:5">
      <c r="B1554" t="s">
        <v>2647</v>
      </c>
      <c r="C1554">
        <v>517300</v>
      </c>
      <c r="D1554" t="s">
        <v>2648</v>
      </c>
      <c r="E1554" t="s">
        <v>478</v>
      </c>
    </row>
    <row r="1555" spans="2:5">
      <c r="B1555" t="s">
        <v>2649</v>
      </c>
      <c r="C1555">
        <v>517372</v>
      </c>
      <c r="D1555" t="s">
        <v>339</v>
      </c>
      <c r="E1555" t="s">
        <v>1258</v>
      </c>
    </row>
    <row r="1556" spans="2:5">
      <c r="B1556" t="s">
        <v>2650</v>
      </c>
      <c r="C1556">
        <v>531341</v>
      </c>
      <c r="D1556" t="s">
        <v>339</v>
      </c>
      <c r="E1556" t="s">
        <v>356</v>
      </c>
    </row>
    <row r="1557" spans="2:5">
      <c r="B1557" t="s">
        <v>2651</v>
      </c>
      <c r="C1557">
        <v>500174</v>
      </c>
      <c r="D1557" t="s">
        <v>2652</v>
      </c>
      <c r="E1557" t="s">
        <v>356</v>
      </c>
    </row>
    <row r="1558" spans="2:5">
      <c r="B1558" t="s">
        <v>2653</v>
      </c>
      <c r="C1558">
        <v>524754</v>
      </c>
      <c r="D1558" t="s">
        <v>339</v>
      </c>
      <c r="E1558" t="s">
        <v>1303</v>
      </c>
    </row>
    <row r="1559" spans="2:5">
      <c r="B1559" t="s">
        <v>2654</v>
      </c>
      <c r="C1559">
        <v>531881</v>
      </c>
      <c r="D1559" t="s">
        <v>339</v>
      </c>
      <c r="E1559" t="s">
        <v>361</v>
      </c>
    </row>
    <row r="1560" spans="2:5">
      <c r="B1560" t="s">
        <v>2655</v>
      </c>
      <c r="C1560">
        <v>532181</v>
      </c>
      <c r="D1560" t="s">
        <v>2656</v>
      </c>
      <c r="E1560" t="s">
        <v>1016</v>
      </c>
    </row>
    <row r="1561" spans="2:5">
      <c r="B1561" t="s">
        <v>2657</v>
      </c>
      <c r="C1561">
        <v>500670</v>
      </c>
      <c r="D1561" t="s">
        <v>2658</v>
      </c>
      <c r="E1561" t="s">
        <v>847</v>
      </c>
    </row>
    <row r="1562" spans="2:5">
      <c r="B1562" t="s">
        <v>2659</v>
      </c>
      <c r="C1562">
        <v>513536</v>
      </c>
      <c r="D1562" t="s">
        <v>339</v>
      </c>
      <c r="E1562" t="s">
        <v>402</v>
      </c>
    </row>
    <row r="1563" spans="2:5">
      <c r="B1563" t="s">
        <v>2660</v>
      </c>
      <c r="C1563">
        <v>506858</v>
      </c>
      <c r="D1563" t="s">
        <v>339</v>
      </c>
      <c r="E1563" t="s">
        <v>716</v>
      </c>
    </row>
    <row r="1564" spans="2:5">
      <c r="B1564" t="s">
        <v>2661</v>
      </c>
      <c r="C1564">
        <v>533248</v>
      </c>
      <c r="D1564" t="s">
        <v>2662</v>
      </c>
      <c r="E1564" t="s">
        <v>475</v>
      </c>
    </row>
    <row r="1565" spans="2:5">
      <c r="B1565" t="s">
        <v>2663</v>
      </c>
      <c r="C1565">
        <v>517288</v>
      </c>
      <c r="D1565" t="s">
        <v>339</v>
      </c>
      <c r="E1565" t="s">
        <v>637</v>
      </c>
    </row>
    <row r="1566" spans="2:5">
      <c r="B1566" t="s">
        <v>2664</v>
      </c>
      <c r="C1566">
        <v>523836</v>
      </c>
      <c r="D1566" t="s">
        <v>2665</v>
      </c>
      <c r="E1566" t="s">
        <v>534</v>
      </c>
    </row>
    <row r="1567" spans="2:5">
      <c r="B1567" t="s">
        <v>2666</v>
      </c>
      <c r="C1567">
        <v>518029</v>
      </c>
      <c r="D1567" t="s">
        <v>2667</v>
      </c>
      <c r="E1567" t="s">
        <v>352</v>
      </c>
    </row>
    <row r="1568" spans="2:5">
      <c r="B1568" t="s">
        <v>2668</v>
      </c>
      <c r="C1568">
        <v>500690</v>
      </c>
      <c r="D1568" t="s">
        <v>2669</v>
      </c>
      <c r="E1568" t="s">
        <v>847</v>
      </c>
    </row>
    <row r="1569" spans="2:5">
      <c r="B1569" t="s">
        <v>2670</v>
      </c>
      <c r="C1569">
        <v>532160</v>
      </c>
      <c r="D1569" t="s">
        <v>339</v>
      </c>
      <c r="E1569" t="s">
        <v>2671</v>
      </c>
    </row>
    <row r="1570" spans="2:5">
      <c r="B1570" t="s">
        <v>2672</v>
      </c>
      <c r="C1570">
        <v>532702</v>
      </c>
      <c r="D1570" t="s">
        <v>2673</v>
      </c>
      <c r="E1570" t="s">
        <v>364</v>
      </c>
    </row>
    <row r="1571" spans="2:5">
      <c r="B1571" t="s">
        <v>2674</v>
      </c>
      <c r="C1571">
        <v>524314</v>
      </c>
      <c r="D1571" t="s">
        <v>339</v>
      </c>
      <c r="E1571" t="s">
        <v>377</v>
      </c>
    </row>
    <row r="1572" spans="2:5">
      <c r="B1572" t="s">
        <v>2675</v>
      </c>
      <c r="C1572">
        <v>506879</v>
      </c>
      <c r="D1572" t="s">
        <v>339</v>
      </c>
      <c r="E1572" t="s">
        <v>377</v>
      </c>
    </row>
    <row r="1573" spans="2:5">
      <c r="B1573" t="s">
        <v>2676</v>
      </c>
      <c r="C1573">
        <v>513337</v>
      </c>
      <c r="D1573" t="s">
        <v>339</v>
      </c>
      <c r="E1573" t="s">
        <v>459</v>
      </c>
    </row>
    <row r="1574" spans="2:5">
      <c r="B1574" t="s">
        <v>2677</v>
      </c>
      <c r="C1574">
        <v>506640</v>
      </c>
      <c r="D1574" t="s">
        <v>339</v>
      </c>
      <c r="E1574" t="s">
        <v>387</v>
      </c>
    </row>
    <row r="1575" spans="2:5">
      <c r="B1575" t="s">
        <v>2678</v>
      </c>
      <c r="C1575">
        <v>506640</v>
      </c>
      <c r="D1575" t="s">
        <v>339</v>
      </c>
      <c r="E1575" t="s">
        <v>387</v>
      </c>
    </row>
    <row r="1576" spans="2:5">
      <c r="B1576" t="s">
        <v>2679</v>
      </c>
      <c r="C1576">
        <v>538567</v>
      </c>
      <c r="D1576" t="s">
        <v>2680</v>
      </c>
      <c r="E1576" t="s">
        <v>549</v>
      </c>
    </row>
    <row r="1577" spans="2:5">
      <c r="B1577" t="s">
        <v>2681</v>
      </c>
      <c r="C1577">
        <v>538567</v>
      </c>
      <c r="D1577" t="s">
        <v>2680</v>
      </c>
      <c r="E1577" t="s">
        <v>549</v>
      </c>
    </row>
    <row r="1578" spans="2:5">
      <c r="B1578" t="s">
        <v>2682</v>
      </c>
      <c r="C1578">
        <v>532425</v>
      </c>
      <c r="D1578" t="s">
        <v>339</v>
      </c>
      <c r="E1578" t="s">
        <v>387</v>
      </c>
    </row>
    <row r="1579" spans="2:5">
      <c r="B1579" t="s">
        <v>2683</v>
      </c>
      <c r="C1579">
        <v>532457</v>
      </c>
      <c r="D1579" t="s">
        <v>2684</v>
      </c>
      <c r="E1579" t="s">
        <v>387</v>
      </c>
    </row>
    <row r="1580" spans="2:5">
      <c r="B1580" t="s">
        <v>2685</v>
      </c>
      <c r="C1580">
        <v>523277</v>
      </c>
      <c r="D1580" t="s">
        <v>339</v>
      </c>
      <c r="E1580" t="s">
        <v>342</v>
      </c>
    </row>
    <row r="1581" spans="2:5">
      <c r="B1581" t="s">
        <v>2686</v>
      </c>
      <c r="C1581">
        <v>532708</v>
      </c>
      <c r="D1581" t="s">
        <v>2687</v>
      </c>
      <c r="E1581" t="s">
        <v>478</v>
      </c>
    </row>
    <row r="1582" spans="2:5">
      <c r="B1582" t="s">
        <v>2688</v>
      </c>
      <c r="C1582">
        <v>530141</v>
      </c>
      <c r="D1582" t="s">
        <v>339</v>
      </c>
      <c r="E1582" t="s">
        <v>425</v>
      </c>
    </row>
    <row r="1583" spans="2:5">
      <c r="B1583" t="s">
        <v>2689</v>
      </c>
      <c r="C1583">
        <v>533275</v>
      </c>
      <c r="D1583" t="s">
        <v>2690</v>
      </c>
      <c r="E1583" t="s">
        <v>371</v>
      </c>
    </row>
    <row r="1584" spans="2:5">
      <c r="B1584" t="s">
        <v>2691</v>
      </c>
      <c r="C1584">
        <v>541019</v>
      </c>
      <c r="D1584" t="s">
        <v>2692</v>
      </c>
      <c r="E1584" t="s">
        <v>737</v>
      </c>
    </row>
    <row r="1585" spans="2:5">
      <c r="B1585" t="s">
        <v>2693</v>
      </c>
      <c r="C1585">
        <v>539337</v>
      </c>
      <c r="D1585" t="s">
        <v>339</v>
      </c>
      <c r="E1585" t="s">
        <v>534</v>
      </c>
    </row>
    <row r="1586" spans="2:5">
      <c r="B1586" t="s">
        <v>2694</v>
      </c>
      <c r="C1586">
        <v>502873</v>
      </c>
      <c r="D1586" t="s">
        <v>339</v>
      </c>
      <c r="E1586" t="s">
        <v>354</v>
      </c>
    </row>
    <row r="1587" spans="2:5">
      <c r="B1587" t="s">
        <v>2695</v>
      </c>
      <c r="C1587">
        <v>532145</v>
      </c>
      <c r="D1587" t="s">
        <v>339</v>
      </c>
      <c r="E1587" t="s">
        <v>540</v>
      </c>
    </row>
    <row r="1588" spans="2:5">
      <c r="B1588" t="s">
        <v>2696</v>
      </c>
      <c r="C1588">
        <v>532145</v>
      </c>
      <c r="D1588" t="s">
        <v>339</v>
      </c>
      <c r="E1588" t="s">
        <v>540</v>
      </c>
    </row>
    <row r="1589" spans="2:5">
      <c r="B1589" t="s">
        <v>2697</v>
      </c>
      <c r="C1589">
        <v>539854</v>
      </c>
      <c r="D1589" t="s">
        <v>339</v>
      </c>
      <c r="E1589" t="s">
        <v>537</v>
      </c>
    </row>
    <row r="1590" spans="2:5">
      <c r="B1590" t="s">
        <v>2698</v>
      </c>
      <c r="C1590">
        <v>515147</v>
      </c>
      <c r="D1590" t="s">
        <v>339</v>
      </c>
      <c r="E1590" t="s">
        <v>534</v>
      </c>
    </row>
    <row r="1591" spans="2:5">
      <c r="B1591" t="s">
        <v>2699</v>
      </c>
      <c r="C1591">
        <v>509597</v>
      </c>
      <c r="D1591" t="s">
        <v>339</v>
      </c>
      <c r="E1591" t="s">
        <v>499</v>
      </c>
    </row>
    <row r="1592" spans="2:5">
      <c r="B1592" t="s">
        <v>2700</v>
      </c>
      <c r="C1592">
        <v>531971</v>
      </c>
      <c r="D1592" t="s">
        <v>339</v>
      </c>
      <c r="E1592" t="s">
        <v>354</v>
      </c>
    </row>
    <row r="1593" spans="2:5">
      <c r="B1593" t="s">
        <v>2701</v>
      </c>
      <c r="C1593">
        <v>538081</v>
      </c>
      <c r="D1593" t="s">
        <v>339</v>
      </c>
      <c r="E1593" t="s">
        <v>354</v>
      </c>
    </row>
    <row r="1594" spans="2:5">
      <c r="B1594" t="s">
        <v>2702</v>
      </c>
      <c r="C1594">
        <v>512604</v>
      </c>
      <c r="D1594" t="s">
        <v>339</v>
      </c>
      <c r="E1594" t="s">
        <v>453</v>
      </c>
    </row>
    <row r="1595" spans="2:5">
      <c r="B1595" t="s">
        <v>2703</v>
      </c>
      <c r="C1595">
        <v>542682</v>
      </c>
      <c r="D1595" t="s">
        <v>2704</v>
      </c>
      <c r="E1595" t="s">
        <v>347</v>
      </c>
    </row>
    <row r="1596" spans="2:5">
      <c r="B1596" t="s">
        <v>2705</v>
      </c>
      <c r="C1596">
        <v>590043</v>
      </c>
      <c r="D1596" t="s">
        <v>2706</v>
      </c>
      <c r="E1596" t="s">
        <v>694</v>
      </c>
    </row>
    <row r="1597" spans="2:5">
      <c r="B1597" t="s">
        <v>2707</v>
      </c>
      <c r="C1597">
        <v>506024</v>
      </c>
      <c r="D1597" t="s">
        <v>339</v>
      </c>
      <c r="E1597" t="s">
        <v>371</v>
      </c>
    </row>
    <row r="1598" spans="2:5">
      <c r="B1598" t="s">
        <v>2708</v>
      </c>
      <c r="C1598">
        <v>526931</v>
      </c>
      <c r="D1598" t="s">
        <v>339</v>
      </c>
      <c r="E1598" t="s">
        <v>524</v>
      </c>
    </row>
    <row r="1599" spans="2:5">
      <c r="B1599" t="s">
        <v>2709</v>
      </c>
      <c r="C1599">
        <v>530055</v>
      </c>
      <c r="D1599" t="s">
        <v>339</v>
      </c>
      <c r="E1599" t="s">
        <v>760</v>
      </c>
    </row>
    <row r="1600" spans="2:5">
      <c r="B1600" t="s">
        <v>2710</v>
      </c>
      <c r="C1600">
        <v>500467</v>
      </c>
      <c r="D1600" t="s">
        <v>2711</v>
      </c>
      <c r="E1600" t="s">
        <v>819</v>
      </c>
    </row>
    <row r="1601" spans="2:5">
      <c r="B1601" t="s">
        <v>2712</v>
      </c>
      <c r="C1601">
        <v>532855</v>
      </c>
      <c r="D1601" t="s">
        <v>339</v>
      </c>
      <c r="E1601" t="s">
        <v>359</v>
      </c>
    </row>
    <row r="1602" spans="2:5">
      <c r="B1602" t="s">
        <v>2713</v>
      </c>
      <c r="C1602">
        <v>530927</v>
      </c>
      <c r="D1602" t="s">
        <v>339</v>
      </c>
      <c r="E1602" t="s">
        <v>2671</v>
      </c>
    </row>
    <row r="1603" spans="2:5">
      <c r="B1603" t="s">
        <v>2714</v>
      </c>
      <c r="C1603">
        <v>524080</v>
      </c>
      <c r="D1603" t="s">
        <v>339</v>
      </c>
      <c r="E1603" t="s">
        <v>387</v>
      </c>
    </row>
    <row r="1604" spans="2:5">
      <c r="B1604" t="s">
        <v>2715</v>
      </c>
      <c r="C1604">
        <v>780014</v>
      </c>
      <c r="D1604" t="s">
        <v>339</v>
      </c>
      <c r="E1604" t="s">
        <v>430</v>
      </c>
    </row>
    <row r="1605" spans="2:5">
      <c r="B1605" t="s">
        <v>2716</v>
      </c>
      <c r="C1605">
        <v>531387</v>
      </c>
      <c r="D1605" t="s">
        <v>339</v>
      </c>
      <c r="E1605" t="s">
        <v>356</v>
      </c>
    </row>
    <row r="1606" spans="2:5">
      <c r="B1606" t="s">
        <v>2717</v>
      </c>
      <c r="C1606">
        <v>509073</v>
      </c>
      <c r="D1606" t="s">
        <v>2718</v>
      </c>
      <c r="E1606" t="s">
        <v>2719</v>
      </c>
    </row>
    <row r="1607" spans="2:5">
      <c r="B1607" t="s">
        <v>2720</v>
      </c>
      <c r="C1607">
        <v>533162</v>
      </c>
      <c r="D1607" t="s">
        <v>2721</v>
      </c>
      <c r="E1607" t="s">
        <v>1077</v>
      </c>
    </row>
    <row r="1608" spans="2:5">
      <c r="B1608" t="s">
        <v>2722</v>
      </c>
      <c r="C1608">
        <v>531531</v>
      </c>
      <c r="D1608" t="s">
        <v>2723</v>
      </c>
      <c r="E1608" t="s">
        <v>399</v>
      </c>
    </row>
    <row r="1609" spans="2:5">
      <c r="B1609" t="s">
        <v>2724</v>
      </c>
      <c r="C1609">
        <v>517354</v>
      </c>
      <c r="D1609" t="s">
        <v>2725</v>
      </c>
      <c r="E1609" t="s">
        <v>637</v>
      </c>
    </row>
    <row r="1610" spans="2:5">
      <c r="B1610" t="s">
        <v>2726</v>
      </c>
      <c r="C1610">
        <v>517354</v>
      </c>
      <c r="D1610" t="s">
        <v>2725</v>
      </c>
      <c r="E1610" t="s">
        <v>637</v>
      </c>
    </row>
    <row r="1611" spans="2:5">
      <c r="B1611" t="s">
        <v>2727</v>
      </c>
      <c r="C1611">
        <v>539176</v>
      </c>
      <c r="D1611" t="s">
        <v>339</v>
      </c>
      <c r="E1611" t="s">
        <v>347</v>
      </c>
    </row>
    <row r="1612" spans="2:5">
      <c r="B1612" t="s">
        <v>2728</v>
      </c>
      <c r="C1612">
        <v>508486</v>
      </c>
      <c r="D1612" t="s">
        <v>339</v>
      </c>
      <c r="E1612" t="s">
        <v>1384</v>
      </c>
    </row>
    <row r="1613" spans="2:5">
      <c r="B1613" t="s">
        <v>2729</v>
      </c>
      <c r="C1613">
        <v>532467</v>
      </c>
      <c r="D1613" t="s">
        <v>339</v>
      </c>
      <c r="E1613" t="s">
        <v>342</v>
      </c>
    </row>
    <row r="1614" spans="2:5">
      <c r="B1614" t="s">
        <v>2730</v>
      </c>
      <c r="C1614">
        <v>532334</v>
      </c>
      <c r="D1614" t="s">
        <v>339</v>
      </c>
      <c r="E1614" t="s">
        <v>425</v>
      </c>
    </row>
    <row r="1615" spans="2:5">
      <c r="B1615" t="s">
        <v>2731</v>
      </c>
      <c r="C1615">
        <v>508956</v>
      </c>
      <c r="D1615" t="s">
        <v>339</v>
      </c>
      <c r="E1615" t="s">
        <v>356</v>
      </c>
    </row>
    <row r="1616" spans="2:5">
      <c r="B1616" t="s">
        <v>2732</v>
      </c>
      <c r="C1616">
        <v>532333</v>
      </c>
      <c r="D1616" t="s">
        <v>339</v>
      </c>
      <c r="E1616" t="s">
        <v>322</v>
      </c>
    </row>
    <row r="1617" spans="2:5">
      <c r="B1617" t="s">
        <v>2733</v>
      </c>
      <c r="C1617">
        <v>532216</v>
      </c>
      <c r="D1617" t="s">
        <v>2734</v>
      </c>
      <c r="E1617" t="s">
        <v>356</v>
      </c>
    </row>
    <row r="1618" spans="2:5">
      <c r="B1618" t="s">
        <v>2735</v>
      </c>
      <c r="C1618">
        <v>517271</v>
      </c>
      <c r="D1618" t="s">
        <v>2736</v>
      </c>
      <c r="E1618" t="s">
        <v>637</v>
      </c>
    </row>
    <row r="1619" spans="2:5">
      <c r="B1619" t="s">
        <v>2737</v>
      </c>
      <c r="C1619">
        <v>539224</v>
      </c>
      <c r="D1619" t="s">
        <v>339</v>
      </c>
      <c r="E1619" t="s">
        <v>328</v>
      </c>
    </row>
    <row r="1620" spans="2:5">
      <c r="B1620" t="s">
        <v>2738</v>
      </c>
      <c r="C1620">
        <v>500179</v>
      </c>
      <c r="D1620" t="s">
        <v>2739</v>
      </c>
      <c r="E1620" t="s">
        <v>664</v>
      </c>
    </row>
    <row r="1621" spans="2:5">
      <c r="B1621" t="s">
        <v>2740</v>
      </c>
      <c r="C1621">
        <v>532281</v>
      </c>
      <c r="D1621" t="s">
        <v>2741</v>
      </c>
      <c r="E1621" t="s">
        <v>325</v>
      </c>
    </row>
    <row r="1622" spans="2:5">
      <c r="B1622" t="s">
        <v>2742</v>
      </c>
      <c r="C1622">
        <v>541729</v>
      </c>
      <c r="D1622" t="s">
        <v>2743</v>
      </c>
      <c r="E1622" t="s">
        <v>2744</v>
      </c>
    </row>
    <row r="1623" spans="2:5">
      <c r="B1623" t="s">
        <v>2745</v>
      </c>
      <c r="C1623">
        <v>500180</v>
      </c>
      <c r="D1623" t="s">
        <v>2746</v>
      </c>
      <c r="E1623" t="s">
        <v>657</v>
      </c>
    </row>
    <row r="1624" spans="2:5">
      <c r="B1624" t="s">
        <v>2747</v>
      </c>
      <c r="C1624">
        <v>533230</v>
      </c>
      <c r="D1624" t="s">
        <v>2748</v>
      </c>
      <c r="E1624" t="s">
        <v>322</v>
      </c>
    </row>
    <row r="1625" spans="2:5">
      <c r="B1625" t="s">
        <v>2749</v>
      </c>
      <c r="C1625">
        <v>540777</v>
      </c>
      <c r="D1625" t="s">
        <v>2750</v>
      </c>
      <c r="E1625" t="s">
        <v>2751</v>
      </c>
    </row>
    <row r="1626" spans="2:5">
      <c r="B1626" t="s">
        <v>2752</v>
      </c>
      <c r="C1626">
        <v>539787</v>
      </c>
      <c r="D1626" t="s">
        <v>2753</v>
      </c>
      <c r="E1626" t="s">
        <v>809</v>
      </c>
    </row>
    <row r="1627" spans="2:5">
      <c r="B1627" t="s">
        <v>2754</v>
      </c>
      <c r="C1627">
        <v>503689</v>
      </c>
      <c r="D1627" t="s">
        <v>339</v>
      </c>
      <c r="E1627" t="s">
        <v>760</v>
      </c>
    </row>
    <row r="1628" spans="2:5">
      <c r="B1628" t="s">
        <v>2755</v>
      </c>
      <c r="C1628" t="s">
        <v>339</v>
      </c>
      <c r="D1628" t="s">
        <v>2756</v>
      </c>
      <c r="E1628" t="s">
        <v>350</v>
      </c>
    </row>
    <row r="1629" spans="2:5">
      <c r="B1629" t="s">
        <v>2757</v>
      </c>
      <c r="C1629">
        <v>526967</v>
      </c>
      <c r="D1629" t="s">
        <v>339</v>
      </c>
      <c r="E1629" t="s">
        <v>371</v>
      </c>
    </row>
    <row r="1630" spans="2:5">
      <c r="B1630" t="s">
        <v>2758</v>
      </c>
      <c r="C1630">
        <v>509631</v>
      </c>
      <c r="D1630" t="s">
        <v>2759</v>
      </c>
      <c r="E1630" t="s">
        <v>524</v>
      </c>
    </row>
    <row r="1631" spans="2:5">
      <c r="B1631" t="s">
        <v>2760</v>
      </c>
      <c r="C1631">
        <v>500292</v>
      </c>
      <c r="D1631" t="s">
        <v>2761</v>
      </c>
      <c r="E1631" t="s">
        <v>352</v>
      </c>
    </row>
    <row r="1632" spans="2:5">
      <c r="B1632" t="s">
        <v>2762</v>
      </c>
      <c r="C1632">
        <v>500292</v>
      </c>
      <c r="D1632" t="s">
        <v>2761</v>
      </c>
      <c r="E1632" t="s">
        <v>352</v>
      </c>
    </row>
    <row r="1633" spans="2:5">
      <c r="B1633" t="s">
        <v>2763</v>
      </c>
      <c r="C1633">
        <v>539174</v>
      </c>
      <c r="D1633" t="s">
        <v>2764</v>
      </c>
      <c r="E1633" t="s">
        <v>356</v>
      </c>
    </row>
    <row r="1634" spans="2:5">
      <c r="B1634" t="s">
        <v>2765</v>
      </c>
      <c r="C1634">
        <v>505520</v>
      </c>
      <c r="D1634" t="s">
        <v>339</v>
      </c>
      <c r="E1634" t="s">
        <v>760</v>
      </c>
    </row>
    <row r="1635" spans="2:5">
      <c r="B1635" t="s">
        <v>2766</v>
      </c>
      <c r="C1635">
        <v>531178</v>
      </c>
      <c r="D1635" t="s">
        <v>339</v>
      </c>
      <c r="E1635" t="s">
        <v>361</v>
      </c>
    </row>
    <row r="1636" spans="2:5">
      <c r="B1636" t="s">
        <v>2767</v>
      </c>
      <c r="C1636">
        <v>524590</v>
      </c>
      <c r="D1636" t="s">
        <v>339</v>
      </c>
      <c r="E1636" t="s">
        <v>361</v>
      </c>
    </row>
    <row r="1637" spans="2:5">
      <c r="B1637" t="s">
        <v>2768</v>
      </c>
      <c r="C1637">
        <v>505720</v>
      </c>
      <c r="D1637" t="s">
        <v>2769</v>
      </c>
      <c r="E1637" t="s">
        <v>347</v>
      </c>
    </row>
    <row r="1638" spans="2:5">
      <c r="B1638" t="s">
        <v>2770</v>
      </c>
      <c r="C1638">
        <v>519552</v>
      </c>
      <c r="D1638" t="s">
        <v>2771</v>
      </c>
      <c r="E1638" t="s">
        <v>399</v>
      </c>
    </row>
    <row r="1639" spans="2:5">
      <c r="B1639" t="s">
        <v>2772</v>
      </c>
      <c r="C1639">
        <v>500182</v>
      </c>
      <c r="D1639" t="s">
        <v>2773</v>
      </c>
      <c r="E1639" t="s">
        <v>996</v>
      </c>
    </row>
    <row r="1640" spans="2:5">
      <c r="B1640" t="s">
        <v>2774</v>
      </c>
      <c r="C1640">
        <v>524669</v>
      </c>
      <c r="D1640" t="s">
        <v>2775</v>
      </c>
      <c r="E1640" t="s">
        <v>377</v>
      </c>
    </row>
    <row r="1641" spans="2:5">
      <c r="B1641" t="s">
        <v>2776</v>
      </c>
      <c r="C1641">
        <v>534328</v>
      </c>
      <c r="D1641" t="s">
        <v>2777</v>
      </c>
      <c r="E1641" t="s">
        <v>361</v>
      </c>
    </row>
    <row r="1642" spans="2:5">
      <c r="B1642" t="s">
        <v>2778</v>
      </c>
      <c r="C1642">
        <v>532129</v>
      </c>
      <c r="D1642" t="s">
        <v>2779</v>
      </c>
      <c r="E1642" t="s">
        <v>325</v>
      </c>
    </row>
    <row r="1643" spans="2:5">
      <c r="B1643" t="s">
        <v>2780</v>
      </c>
      <c r="C1643">
        <v>504176</v>
      </c>
      <c r="D1643" t="s">
        <v>339</v>
      </c>
      <c r="E1643" t="s">
        <v>885</v>
      </c>
    </row>
    <row r="1644" spans="2:5">
      <c r="B1644" t="s">
        <v>2781</v>
      </c>
      <c r="C1644">
        <v>504176</v>
      </c>
      <c r="D1644" t="s">
        <v>339</v>
      </c>
      <c r="E1644" t="s">
        <v>885</v>
      </c>
    </row>
    <row r="1645" spans="2:5">
      <c r="B1645" t="s">
        <v>2782</v>
      </c>
      <c r="C1645">
        <v>517080</v>
      </c>
      <c r="D1645" t="s">
        <v>2783</v>
      </c>
      <c r="E1645" t="s">
        <v>737</v>
      </c>
    </row>
    <row r="1646" spans="2:5">
      <c r="B1646" t="s">
        <v>2784</v>
      </c>
      <c r="C1646">
        <v>531301</v>
      </c>
      <c r="D1646" t="s">
        <v>339</v>
      </c>
      <c r="E1646" t="s">
        <v>354</v>
      </c>
    </row>
    <row r="1647" spans="2:5">
      <c r="B1647" t="s">
        <v>2785</v>
      </c>
      <c r="C1647">
        <v>524735</v>
      </c>
      <c r="D1647" t="s">
        <v>2786</v>
      </c>
      <c r="E1647" t="s">
        <v>377</v>
      </c>
    </row>
    <row r="1648" spans="2:5">
      <c r="B1648" t="s">
        <v>2787</v>
      </c>
      <c r="C1648">
        <v>542332</v>
      </c>
      <c r="D1648" t="s">
        <v>2788</v>
      </c>
      <c r="E1648" t="s">
        <v>322</v>
      </c>
    </row>
    <row r="1649" spans="2:5">
      <c r="B1649" t="s">
        <v>2789</v>
      </c>
      <c r="C1649">
        <v>509675</v>
      </c>
      <c r="D1649" t="s">
        <v>2790</v>
      </c>
      <c r="E1649" t="s">
        <v>352</v>
      </c>
    </row>
    <row r="1650" spans="2:5">
      <c r="B1650" t="s">
        <v>2791</v>
      </c>
      <c r="C1650">
        <v>532847</v>
      </c>
      <c r="D1650" t="s">
        <v>2792</v>
      </c>
      <c r="E1650" t="s">
        <v>1258</v>
      </c>
    </row>
    <row r="1651" spans="2:5">
      <c r="B1651" t="s">
        <v>2793</v>
      </c>
      <c r="C1651">
        <v>505712</v>
      </c>
      <c r="D1651" t="s">
        <v>339</v>
      </c>
      <c r="E1651" t="s">
        <v>694</v>
      </c>
    </row>
    <row r="1652" spans="2:5">
      <c r="B1652" t="s">
        <v>2794</v>
      </c>
      <c r="C1652">
        <v>514010</v>
      </c>
      <c r="D1652" t="s">
        <v>339</v>
      </c>
      <c r="E1652" t="s">
        <v>354</v>
      </c>
    </row>
    <row r="1653" spans="2:5">
      <c r="B1653" t="s">
        <v>2795</v>
      </c>
      <c r="C1653">
        <v>500183</v>
      </c>
      <c r="D1653" t="s">
        <v>2796</v>
      </c>
      <c r="E1653" t="s">
        <v>609</v>
      </c>
    </row>
    <row r="1654" spans="2:5">
      <c r="B1654" t="s">
        <v>2797</v>
      </c>
      <c r="C1654">
        <v>500184</v>
      </c>
      <c r="D1654" t="s">
        <v>2798</v>
      </c>
      <c r="E1654" t="s">
        <v>499</v>
      </c>
    </row>
    <row r="1655" spans="2:5">
      <c r="B1655" t="s">
        <v>2799</v>
      </c>
      <c r="C1655">
        <v>526899</v>
      </c>
      <c r="D1655" t="s">
        <v>339</v>
      </c>
      <c r="E1655" t="s">
        <v>537</v>
      </c>
    </row>
    <row r="1656" spans="2:5">
      <c r="B1656" t="s">
        <v>2800</v>
      </c>
      <c r="C1656">
        <v>513723</v>
      </c>
      <c r="D1656" t="s">
        <v>339</v>
      </c>
      <c r="E1656" t="s">
        <v>867</v>
      </c>
    </row>
    <row r="1657" spans="2:5">
      <c r="B1657" t="s">
        <v>2801</v>
      </c>
      <c r="C1657">
        <v>511169</v>
      </c>
      <c r="D1657" t="s">
        <v>339</v>
      </c>
      <c r="E1657" t="s">
        <v>356</v>
      </c>
    </row>
    <row r="1658" spans="2:5">
      <c r="B1658" t="s">
        <v>2802</v>
      </c>
      <c r="C1658">
        <v>514043</v>
      </c>
      <c r="D1658" t="s">
        <v>2803</v>
      </c>
      <c r="E1658" t="s">
        <v>354</v>
      </c>
    </row>
    <row r="1659" spans="2:5">
      <c r="B1659" t="s">
        <v>2804</v>
      </c>
      <c r="C1659">
        <v>531979</v>
      </c>
      <c r="D1659" t="s">
        <v>339</v>
      </c>
      <c r="E1659" t="s">
        <v>644</v>
      </c>
    </row>
    <row r="1660" spans="2:5">
      <c r="B1660" t="s">
        <v>2805</v>
      </c>
      <c r="C1660">
        <v>538652</v>
      </c>
      <c r="D1660" t="s">
        <v>339</v>
      </c>
      <c r="E1660" t="s">
        <v>361</v>
      </c>
    </row>
    <row r="1661" spans="2:5">
      <c r="B1661" t="s">
        <v>2806</v>
      </c>
      <c r="C1661">
        <v>504036</v>
      </c>
      <c r="D1661" t="s">
        <v>2807</v>
      </c>
      <c r="E1661" t="s">
        <v>881</v>
      </c>
    </row>
    <row r="1662" spans="2:5">
      <c r="B1662" t="s">
        <v>2808</v>
      </c>
      <c r="C1662">
        <v>539114</v>
      </c>
      <c r="D1662" t="s">
        <v>339</v>
      </c>
      <c r="E1662" t="s">
        <v>356</v>
      </c>
    </row>
    <row r="1663" spans="2:5">
      <c r="B1663" t="s">
        <v>2809</v>
      </c>
      <c r="C1663">
        <v>503881</v>
      </c>
      <c r="D1663" t="s">
        <v>2810</v>
      </c>
      <c r="E1663" t="s">
        <v>354</v>
      </c>
    </row>
    <row r="1664" spans="2:5">
      <c r="B1664" t="s">
        <v>2811</v>
      </c>
      <c r="C1664">
        <v>500440</v>
      </c>
      <c r="D1664" t="s">
        <v>2812</v>
      </c>
      <c r="E1664" t="s">
        <v>644</v>
      </c>
    </row>
    <row r="1665" spans="2:5">
      <c r="B1665" t="s">
        <v>2813</v>
      </c>
      <c r="C1665" t="s">
        <v>339</v>
      </c>
      <c r="D1665" t="s">
        <v>2814</v>
      </c>
      <c r="E1665" t="s">
        <v>350</v>
      </c>
    </row>
    <row r="1666" spans="2:5">
      <c r="B1666" t="s">
        <v>2815</v>
      </c>
      <c r="C1666">
        <v>509895</v>
      </c>
      <c r="D1666" t="s">
        <v>339</v>
      </c>
      <c r="E1666" t="s">
        <v>354</v>
      </c>
    </row>
    <row r="1667" spans="2:5">
      <c r="B1667" t="s">
        <v>2816</v>
      </c>
      <c r="C1667">
        <v>532859</v>
      </c>
      <c r="D1667" t="s">
        <v>2817</v>
      </c>
      <c r="E1667" t="s">
        <v>669</v>
      </c>
    </row>
    <row r="1668" spans="2:5">
      <c r="B1668" t="s">
        <v>2818</v>
      </c>
      <c r="C1668">
        <v>500189</v>
      </c>
      <c r="D1668" t="s">
        <v>2819</v>
      </c>
      <c r="E1668" t="s">
        <v>1077</v>
      </c>
    </row>
    <row r="1669" spans="2:5">
      <c r="B1669" t="s">
        <v>2820</v>
      </c>
      <c r="C1669">
        <v>514428</v>
      </c>
      <c r="D1669" t="s">
        <v>339</v>
      </c>
      <c r="E1669" t="s">
        <v>459</v>
      </c>
    </row>
    <row r="1670" spans="2:5">
      <c r="B1670" t="s">
        <v>2821</v>
      </c>
      <c r="C1670">
        <v>541154</v>
      </c>
      <c r="D1670" t="s">
        <v>2822</v>
      </c>
      <c r="E1670" t="s">
        <v>2823</v>
      </c>
    </row>
    <row r="1671" spans="2:5">
      <c r="B1671" t="s">
        <v>2824</v>
      </c>
      <c r="C1671">
        <v>531918</v>
      </c>
      <c r="D1671" t="s">
        <v>339</v>
      </c>
      <c r="E1671" t="s">
        <v>361</v>
      </c>
    </row>
    <row r="1672" spans="2:5">
      <c r="B1672" t="s">
        <v>2825</v>
      </c>
      <c r="C1672">
        <v>532041</v>
      </c>
      <c r="D1672" t="s">
        <v>2826</v>
      </c>
      <c r="E1672" t="s">
        <v>432</v>
      </c>
    </row>
    <row r="1673" spans="2:5">
      <c r="B1673" t="s">
        <v>2827</v>
      </c>
      <c r="C1673">
        <v>509635</v>
      </c>
      <c r="D1673" t="s">
        <v>2828</v>
      </c>
      <c r="E1673" t="s">
        <v>694</v>
      </c>
    </row>
    <row r="1674" spans="2:5">
      <c r="B1674" t="s">
        <v>2829</v>
      </c>
      <c r="C1674">
        <v>500185</v>
      </c>
      <c r="D1674" t="s">
        <v>2830</v>
      </c>
      <c r="E1674" t="s">
        <v>737</v>
      </c>
    </row>
    <row r="1675" spans="2:5">
      <c r="B1675" t="s">
        <v>2831</v>
      </c>
      <c r="C1675">
        <v>513599</v>
      </c>
      <c r="D1675" t="s">
        <v>2832</v>
      </c>
      <c r="E1675" t="s">
        <v>413</v>
      </c>
    </row>
    <row r="1676" spans="2:5">
      <c r="B1676" t="s">
        <v>2833</v>
      </c>
      <c r="C1676">
        <v>505725</v>
      </c>
      <c r="D1676" t="s">
        <v>2834</v>
      </c>
      <c r="E1676" t="s">
        <v>524</v>
      </c>
    </row>
    <row r="1677" spans="2:5">
      <c r="B1677" t="s">
        <v>2835</v>
      </c>
      <c r="C1677">
        <v>524013</v>
      </c>
      <c r="D1677" t="s">
        <v>339</v>
      </c>
      <c r="E1677" t="s">
        <v>716</v>
      </c>
    </row>
    <row r="1678" spans="2:5">
      <c r="B1678" t="s">
        <v>2836</v>
      </c>
      <c r="C1678">
        <v>519126</v>
      </c>
      <c r="D1678" t="s">
        <v>339</v>
      </c>
      <c r="E1678" t="s">
        <v>399</v>
      </c>
    </row>
    <row r="1679" spans="2:5">
      <c r="B1679" t="s">
        <v>2837</v>
      </c>
      <c r="C1679">
        <v>505893</v>
      </c>
      <c r="D1679" t="s">
        <v>339</v>
      </c>
      <c r="E1679" t="s">
        <v>694</v>
      </c>
    </row>
    <row r="1680" spans="2:5">
      <c r="B1680" t="s">
        <v>2838</v>
      </c>
      <c r="C1680">
        <v>509650</v>
      </c>
      <c r="D1680" t="s">
        <v>339</v>
      </c>
      <c r="E1680" t="s">
        <v>397</v>
      </c>
    </row>
    <row r="1681" spans="2:5">
      <c r="B1681" t="s">
        <v>2839</v>
      </c>
      <c r="C1681">
        <v>533217</v>
      </c>
      <c r="D1681" t="s">
        <v>2840</v>
      </c>
      <c r="E1681" t="s">
        <v>863</v>
      </c>
    </row>
    <row r="1682" spans="2:5">
      <c r="B1682" t="s">
        <v>2841</v>
      </c>
      <c r="C1682">
        <v>500500</v>
      </c>
      <c r="D1682" t="s">
        <v>2842</v>
      </c>
      <c r="E1682" t="s">
        <v>2268</v>
      </c>
    </row>
    <row r="1683" spans="2:5">
      <c r="B1683" t="s">
        <v>2843</v>
      </c>
      <c r="C1683">
        <v>500186</v>
      </c>
      <c r="D1683" t="s">
        <v>2844</v>
      </c>
      <c r="E1683" t="s">
        <v>402</v>
      </c>
    </row>
    <row r="1684" spans="2:5">
      <c r="B1684" t="s">
        <v>2845</v>
      </c>
      <c r="C1684">
        <v>500449</v>
      </c>
      <c r="D1684" t="s">
        <v>339</v>
      </c>
      <c r="E1684" t="s">
        <v>387</v>
      </c>
    </row>
    <row r="1685" spans="2:5">
      <c r="B1685" t="s">
        <v>2846</v>
      </c>
      <c r="C1685">
        <v>500104</v>
      </c>
      <c r="D1685" t="s">
        <v>2847</v>
      </c>
      <c r="E1685" t="s">
        <v>1267</v>
      </c>
    </row>
    <row r="1686" spans="2:5">
      <c r="B1686" t="s">
        <v>2848</v>
      </c>
      <c r="C1686">
        <v>530315</v>
      </c>
      <c r="D1686" t="s">
        <v>339</v>
      </c>
      <c r="E1686" t="s">
        <v>534</v>
      </c>
    </row>
    <row r="1687" spans="2:5">
      <c r="B1687" t="s">
        <v>2849</v>
      </c>
      <c r="C1687">
        <v>500696</v>
      </c>
      <c r="D1687" t="s">
        <v>2850</v>
      </c>
      <c r="E1687" t="s">
        <v>521</v>
      </c>
    </row>
    <row r="1688" spans="2:5">
      <c r="B1688" t="s">
        <v>2851</v>
      </c>
      <c r="C1688">
        <v>504713</v>
      </c>
      <c r="D1688" t="s">
        <v>339</v>
      </c>
      <c r="E1688" t="s">
        <v>1258</v>
      </c>
    </row>
    <row r="1689" spans="2:5">
      <c r="B1689" t="s">
        <v>2852</v>
      </c>
      <c r="C1689">
        <v>500188</v>
      </c>
      <c r="D1689" t="s">
        <v>2853</v>
      </c>
      <c r="E1689" t="s">
        <v>2854</v>
      </c>
    </row>
    <row r="1690" spans="2:5">
      <c r="B1690" t="s">
        <v>2855</v>
      </c>
      <c r="C1690">
        <v>515145</v>
      </c>
      <c r="D1690" t="s">
        <v>2856</v>
      </c>
      <c r="E1690" t="s">
        <v>534</v>
      </c>
    </row>
    <row r="1691" spans="2:5">
      <c r="B1691" t="s">
        <v>2857</v>
      </c>
      <c r="C1691">
        <v>513039</v>
      </c>
      <c r="D1691" t="s">
        <v>339</v>
      </c>
      <c r="E1691" t="s">
        <v>347</v>
      </c>
    </row>
    <row r="1692" spans="2:5">
      <c r="B1692" t="s">
        <v>2858</v>
      </c>
      <c r="C1692">
        <v>539984</v>
      </c>
      <c r="D1692" t="s">
        <v>339</v>
      </c>
      <c r="E1692" t="s">
        <v>881</v>
      </c>
    </row>
    <row r="1693" spans="2:5">
      <c r="B1693" t="s">
        <v>2859</v>
      </c>
      <c r="C1693">
        <v>530853</v>
      </c>
      <c r="D1693" t="s">
        <v>339</v>
      </c>
      <c r="E1693" t="s">
        <v>2157</v>
      </c>
    </row>
    <row r="1694" spans="2:5">
      <c r="B1694" t="s">
        <v>2860</v>
      </c>
      <c r="C1694">
        <v>531743</v>
      </c>
      <c r="D1694" t="s">
        <v>339</v>
      </c>
      <c r="E1694" t="s">
        <v>361</v>
      </c>
    </row>
    <row r="1695" spans="2:5">
      <c r="B1695" t="s">
        <v>2861</v>
      </c>
      <c r="C1695">
        <v>590018</v>
      </c>
      <c r="D1695" t="s">
        <v>2862</v>
      </c>
      <c r="E1695" t="s">
        <v>371</v>
      </c>
    </row>
    <row r="1696" spans="2:5">
      <c r="B1696" t="s">
        <v>2863</v>
      </c>
      <c r="C1696">
        <v>521068</v>
      </c>
      <c r="D1696" t="s">
        <v>339</v>
      </c>
      <c r="E1696" t="s">
        <v>354</v>
      </c>
    </row>
    <row r="1697" spans="2:5">
      <c r="B1697" t="s">
        <v>2864</v>
      </c>
      <c r="C1697">
        <v>532359</v>
      </c>
      <c r="D1697" t="s">
        <v>339</v>
      </c>
      <c r="E1697" t="s">
        <v>432</v>
      </c>
    </row>
    <row r="1698" spans="2:5">
      <c r="B1698" t="s">
        <v>2865</v>
      </c>
      <c r="C1698">
        <v>526217</v>
      </c>
      <c r="D1698" t="s">
        <v>2866</v>
      </c>
      <c r="E1698" t="s">
        <v>534</v>
      </c>
    </row>
    <row r="1699" spans="2:5">
      <c r="B1699" t="s">
        <v>2867</v>
      </c>
      <c r="C1699" t="s">
        <v>339</v>
      </c>
      <c r="D1699" t="s">
        <v>2868</v>
      </c>
      <c r="E1699" t="s">
        <v>430</v>
      </c>
    </row>
    <row r="1700" spans="2:5">
      <c r="B1700" t="s">
        <v>2869</v>
      </c>
      <c r="C1700">
        <v>541627</v>
      </c>
      <c r="D1700" t="s">
        <v>2870</v>
      </c>
      <c r="E1700" t="s">
        <v>1707</v>
      </c>
    </row>
    <row r="1701" spans="2:5">
      <c r="B1701" t="s">
        <v>2871</v>
      </c>
      <c r="C1701">
        <v>531661</v>
      </c>
      <c r="D1701" t="s">
        <v>339</v>
      </c>
      <c r="E1701" t="s">
        <v>347</v>
      </c>
    </row>
    <row r="1702" spans="2:5">
      <c r="B1702" t="s">
        <v>2872</v>
      </c>
      <c r="C1702">
        <v>500191</v>
      </c>
      <c r="D1702" t="s">
        <v>2873</v>
      </c>
      <c r="E1702" t="s">
        <v>417</v>
      </c>
    </row>
    <row r="1703" spans="2:5">
      <c r="B1703" t="s">
        <v>2874</v>
      </c>
      <c r="C1703">
        <v>522064</v>
      </c>
      <c r="D1703" t="s">
        <v>2875</v>
      </c>
      <c r="E1703" t="s">
        <v>347</v>
      </c>
    </row>
    <row r="1704" spans="2:5">
      <c r="B1704" t="s">
        <v>2876</v>
      </c>
      <c r="C1704">
        <v>517174</v>
      </c>
      <c r="D1704" t="s">
        <v>2877</v>
      </c>
      <c r="E1704" t="s">
        <v>637</v>
      </c>
    </row>
    <row r="1705" spans="2:5">
      <c r="B1705" t="s">
        <v>2878</v>
      </c>
      <c r="C1705">
        <v>517174</v>
      </c>
      <c r="D1705" t="s">
        <v>2877</v>
      </c>
      <c r="E1705" t="s">
        <v>637</v>
      </c>
    </row>
    <row r="1706" spans="2:5">
      <c r="B1706" t="s">
        <v>2879</v>
      </c>
      <c r="C1706">
        <v>500193</v>
      </c>
      <c r="D1706" t="s">
        <v>2880</v>
      </c>
      <c r="E1706" t="s">
        <v>540</v>
      </c>
    </row>
    <row r="1707" spans="2:5">
      <c r="B1707" t="s">
        <v>2881</v>
      </c>
      <c r="C1707">
        <v>526683</v>
      </c>
      <c r="D1707" t="s">
        <v>2882</v>
      </c>
      <c r="E1707" t="s">
        <v>540</v>
      </c>
    </row>
    <row r="1708" spans="2:5">
      <c r="B1708" t="s">
        <v>2883</v>
      </c>
      <c r="C1708">
        <v>540530</v>
      </c>
      <c r="D1708" t="s">
        <v>2884</v>
      </c>
      <c r="E1708" t="s">
        <v>397</v>
      </c>
    </row>
    <row r="1709" spans="2:5">
      <c r="B1709" t="s">
        <v>2885</v>
      </c>
      <c r="C1709">
        <v>532873</v>
      </c>
      <c r="D1709" t="s">
        <v>2886</v>
      </c>
      <c r="E1709" t="s">
        <v>425</v>
      </c>
    </row>
    <row r="1710" spans="2:5">
      <c r="B1710" t="s">
        <v>2887</v>
      </c>
      <c r="C1710">
        <v>500010</v>
      </c>
      <c r="D1710" t="s">
        <v>2888</v>
      </c>
      <c r="E1710" t="s">
        <v>397</v>
      </c>
    </row>
    <row r="1711" spans="2:5">
      <c r="B1711" t="s">
        <v>2889</v>
      </c>
      <c r="C1711">
        <v>532761</v>
      </c>
      <c r="D1711" t="s">
        <v>2890</v>
      </c>
      <c r="E1711" t="s">
        <v>669</v>
      </c>
    </row>
    <row r="1712" spans="2:5">
      <c r="B1712" t="s">
        <v>2891</v>
      </c>
      <c r="C1712">
        <v>526761</v>
      </c>
      <c r="D1712" t="s">
        <v>339</v>
      </c>
      <c r="E1712" t="s">
        <v>540</v>
      </c>
    </row>
    <row r="1713" spans="2:5">
      <c r="B1713" t="s">
        <v>2892</v>
      </c>
      <c r="C1713">
        <v>535217</v>
      </c>
      <c r="D1713" t="s">
        <v>339</v>
      </c>
      <c r="E1713" t="s">
        <v>537</v>
      </c>
    </row>
    <row r="1714" spans="2:5">
      <c r="B1714" t="s">
        <v>2893</v>
      </c>
      <c r="C1714">
        <v>540136</v>
      </c>
      <c r="D1714" t="s">
        <v>2894</v>
      </c>
      <c r="E1714" t="s">
        <v>382</v>
      </c>
    </row>
    <row r="1715" spans="2:5">
      <c r="B1715" t="s">
        <v>2895</v>
      </c>
      <c r="C1715">
        <v>531724</v>
      </c>
      <c r="D1715" t="s">
        <v>339</v>
      </c>
      <c r="E1715" t="s">
        <v>760</v>
      </c>
    </row>
    <row r="1716" spans="2:5">
      <c r="B1716" t="s">
        <v>2896</v>
      </c>
      <c r="C1716">
        <v>500187</v>
      </c>
      <c r="D1716" t="s">
        <v>2897</v>
      </c>
      <c r="E1716" t="s">
        <v>534</v>
      </c>
    </row>
    <row r="1717" spans="2:5">
      <c r="B1717" t="s">
        <v>2898</v>
      </c>
      <c r="C1717">
        <v>532662</v>
      </c>
      <c r="D1717" t="s">
        <v>2899</v>
      </c>
      <c r="E1717" t="s">
        <v>863</v>
      </c>
    </row>
    <row r="1718" spans="2:5">
      <c r="B1718" t="s">
        <v>2900</v>
      </c>
      <c r="C1718">
        <v>532799</v>
      </c>
      <c r="D1718" t="s">
        <v>2901</v>
      </c>
      <c r="E1718" t="s">
        <v>425</v>
      </c>
    </row>
    <row r="1719" spans="2:5">
      <c r="B1719" t="s">
        <v>2902</v>
      </c>
      <c r="C1719">
        <v>509820</v>
      </c>
      <c r="D1719" t="s">
        <v>2903</v>
      </c>
      <c r="E1719" t="s">
        <v>534</v>
      </c>
    </row>
    <row r="1720" spans="2:5">
      <c r="B1720" t="s">
        <v>2904</v>
      </c>
      <c r="C1720">
        <v>542592</v>
      </c>
      <c r="D1720" t="s">
        <v>2905</v>
      </c>
      <c r="E1720" t="s">
        <v>444</v>
      </c>
    </row>
    <row r="1721" spans="2:5">
      <c r="B1721" t="s">
        <v>2906</v>
      </c>
      <c r="C1721" t="s">
        <v>339</v>
      </c>
      <c r="D1721" t="s">
        <v>2907</v>
      </c>
      <c r="E1721" t="s">
        <v>350</v>
      </c>
    </row>
    <row r="1722" spans="2:5">
      <c r="B1722" t="s">
        <v>2908</v>
      </c>
      <c r="C1722">
        <v>539724</v>
      </c>
      <c r="D1722" t="s">
        <v>339</v>
      </c>
      <c r="E1722" t="s">
        <v>325</v>
      </c>
    </row>
    <row r="1723" spans="2:5">
      <c r="B1723" t="s">
        <v>2909</v>
      </c>
      <c r="C1723">
        <v>519463</v>
      </c>
      <c r="D1723" t="s">
        <v>339</v>
      </c>
      <c r="E1723" t="s">
        <v>537</v>
      </c>
    </row>
    <row r="1724" spans="2:5">
      <c r="B1724" t="s">
        <v>2910</v>
      </c>
      <c r="C1724" t="s">
        <v>339</v>
      </c>
      <c r="D1724" t="s">
        <v>2911</v>
      </c>
      <c r="E1724" t="s">
        <v>350</v>
      </c>
    </row>
    <row r="1725" spans="2:5">
      <c r="B1725" t="s">
        <v>2912</v>
      </c>
      <c r="C1725">
        <v>532174</v>
      </c>
      <c r="D1725" t="s">
        <v>2913</v>
      </c>
      <c r="E1725" t="s">
        <v>657</v>
      </c>
    </row>
    <row r="1726" spans="2:5">
      <c r="B1726" t="s">
        <v>2914</v>
      </c>
      <c r="C1726">
        <v>540716</v>
      </c>
      <c r="D1726" t="s">
        <v>2915</v>
      </c>
      <c r="E1726" t="s">
        <v>2421</v>
      </c>
    </row>
    <row r="1727" spans="2:5">
      <c r="B1727" t="s">
        <v>2916</v>
      </c>
      <c r="C1727">
        <v>533244</v>
      </c>
      <c r="D1727" t="s">
        <v>2917</v>
      </c>
      <c r="E1727" t="s">
        <v>322</v>
      </c>
    </row>
    <row r="1728" spans="2:5">
      <c r="B1728" t="s">
        <v>2918</v>
      </c>
      <c r="C1728">
        <v>540133</v>
      </c>
      <c r="D1728" t="s">
        <v>2919</v>
      </c>
      <c r="E1728" t="s">
        <v>2751</v>
      </c>
    </row>
    <row r="1729" spans="2:5">
      <c r="B1729" t="s">
        <v>2920</v>
      </c>
      <c r="C1729">
        <v>555555</v>
      </c>
      <c r="D1729" t="s">
        <v>2921</v>
      </c>
      <c r="E1729" t="s">
        <v>322</v>
      </c>
    </row>
    <row r="1730" spans="2:5">
      <c r="B1730" t="s">
        <v>2922</v>
      </c>
      <c r="C1730">
        <v>541179</v>
      </c>
      <c r="D1730" t="s">
        <v>2923</v>
      </c>
      <c r="E1730" t="s">
        <v>322</v>
      </c>
    </row>
    <row r="1731" spans="2:5">
      <c r="B1731" t="s">
        <v>2924</v>
      </c>
      <c r="C1731">
        <v>532835</v>
      </c>
      <c r="D1731" t="s">
        <v>2925</v>
      </c>
      <c r="E1731" t="s">
        <v>322</v>
      </c>
    </row>
    <row r="1732" spans="2:5">
      <c r="B1732" t="s">
        <v>2926</v>
      </c>
      <c r="C1732">
        <v>531524</v>
      </c>
      <c r="D1732" t="s">
        <v>2927</v>
      </c>
      <c r="E1732" t="s">
        <v>637</v>
      </c>
    </row>
    <row r="1733" spans="2:5">
      <c r="B1733" t="s">
        <v>2928</v>
      </c>
      <c r="C1733">
        <v>531524</v>
      </c>
      <c r="D1733" t="s">
        <v>2927</v>
      </c>
      <c r="E1733" t="s">
        <v>637</v>
      </c>
    </row>
    <row r="1734" spans="2:5">
      <c r="B1734" t="s">
        <v>2929</v>
      </c>
      <c r="C1734">
        <v>500116</v>
      </c>
      <c r="D1734" t="s">
        <v>2930</v>
      </c>
      <c r="E1734" t="s">
        <v>657</v>
      </c>
    </row>
    <row r="1735" spans="2:5">
      <c r="B1735" t="s">
        <v>2931</v>
      </c>
      <c r="C1735">
        <v>539437</v>
      </c>
      <c r="D1735" t="s">
        <v>2932</v>
      </c>
      <c r="E1735" t="s">
        <v>657</v>
      </c>
    </row>
    <row r="1736" spans="2:5">
      <c r="B1736" t="s">
        <v>2933</v>
      </c>
      <c r="C1736" t="s">
        <v>339</v>
      </c>
      <c r="D1736" t="s">
        <v>2934</v>
      </c>
      <c r="E1736" t="s">
        <v>657</v>
      </c>
    </row>
    <row r="1737" spans="2:5">
      <c r="B1737" t="s">
        <v>2935</v>
      </c>
      <c r="C1737">
        <v>532659</v>
      </c>
      <c r="D1737" t="s">
        <v>2936</v>
      </c>
      <c r="E1737" t="s">
        <v>356</v>
      </c>
    </row>
    <row r="1738" spans="2:5">
      <c r="B1738" t="s">
        <v>2937</v>
      </c>
      <c r="C1738">
        <v>507438</v>
      </c>
      <c r="D1738" t="s">
        <v>2938</v>
      </c>
      <c r="E1738" t="s">
        <v>970</v>
      </c>
    </row>
    <row r="1739" spans="2:5">
      <c r="B1739" t="s">
        <v>2939</v>
      </c>
      <c r="C1739">
        <v>505726</v>
      </c>
      <c r="D1739" t="s">
        <v>2940</v>
      </c>
      <c r="E1739" t="s">
        <v>1103</v>
      </c>
    </row>
    <row r="1740" spans="2:5">
      <c r="B1740" t="s">
        <v>2941</v>
      </c>
      <c r="C1740">
        <v>500106</v>
      </c>
      <c r="D1740" t="s">
        <v>2942</v>
      </c>
      <c r="E1740" t="s">
        <v>2671</v>
      </c>
    </row>
    <row r="1741" spans="2:5">
      <c r="B1741" t="s">
        <v>2943</v>
      </c>
      <c r="C1741">
        <v>540774</v>
      </c>
      <c r="D1741" t="s">
        <v>2944</v>
      </c>
      <c r="E1741" t="s">
        <v>524</v>
      </c>
    </row>
    <row r="1742" spans="2:5">
      <c r="B1742" t="s">
        <v>2945</v>
      </c>
      <c r="C1742">
        <v>540377</v>
      </c>
      <c r="D1742" t="s">
        <v>339</v>
      </c>
      <c r="E1742" t="s">
        <v>361</v>
      </c>
    </row>
    <row r="1743" spans="2:5">
      <c r="B1743" t="s">
        <v>2946</v>
      </c>
      <c r="C1743">
        <v>522289</v>
      </c>
      <c r="D1743" t="s">
        <v>339</v>
      </c>
      <c r="E1743" t="s">
        <v>361</v>
      </c>
    </row>
    <row r="1744" spans="2:5">
      <c r="B1744" t="s">
        <v>2947</v>
      </c>
      <c r="C1744">
        <v>500199</v>
      </c>
      <c r="D1744" t="s">
        <v>2948</v>
      </c>
      <c r="E1744" t="s">
        <v>387</v>
      </c>
    </row>
    <row r="1745" spans="2:5">
      <c r="B1745" t="s">
        <v>2949</v>
      </c>
      <c r="C1745">
        <v>517380</v>
      </c>
      <c r="D1745" t="s">
        <v>2950</v>
      </c>
      <c r="E1745" t="s">
        <v>694</v>
      </c>
    </row>
    <row r="1746" spans="2:5">
      <c r="B1746" t="s">
        <v>2951</v>
      </c>
      <c r="C1746">
        <v>517380</v>
      </c>
      <c r="D1746" t="s">
        <v>2950</v>
      </c>
      <c r="E1746" t="s">
        <v>694</v>
      </c>
    </row>
    <row r="1747" spans="2:5">
      <c r="B1747" t="s">
        <v>2952</v>
      </c>
      <c r="C1747">
        <v>539449</v>
      </c>
      <c r="D1747" t="s">
        <v>339</v>
      </c>
      <c r="E1747" t="s">
        <v>361</v>
      </c>
    </row>
    <row r="1748" spans="2:5">
      <c r="B1748" t="s">
        <v>2953</v>
      </c>
      <c r="C1748">
        <v>532636</v>
      </c>
      <c r="D1748" t="s">
        <v>2954</v>
      </c>
      <c r="E1748" t="s">
        <v>322</v>
      </c>
    </row>
    <row r="1749" spans="2:5">
      <c r="B1749" t="s">
        <v>2955</v>
      </c>
      <c r="C1749">
        <v>531968</v>
      </c>
      <c r="D1749" t="s">
        <v>2956</v>
      </c>
      <c r="E1749" t="s">
        <v>425</v>
      </c>
    </row>
    <row r="1750" spans="2:5">
      <c r="B1750" t="s">
        <v>2957</v>
      </c>
      <c r="C1750">
        <v>514238</v>
      </c>
      <c r="D1750" t="s">
        <v>339</v>
      </c>
      <c r="E1750" t="s">
        <v>322</v>
      </c>
    </row>
    <row r="1751" spans="2:5">
      <c r="B1751" t="s">
        <v>2958</v>
      </c>
      <c r="C1751">
        <v>532414</v>
      </c>
      <c r="D1751" t="s">
        <v>339</v>
      </c>
      <c r="E1751" t="s">
        <v>432</v>
      </c>
    </row>
    <row r="1752" spans="2:5">
      <c r="B1752" t="s">
        <v>2959</v>
      </c>
      <c r="C1752">
        <v>532907</v>
      </c>
      <c r="D1752" t="s">
        <v>2960</v>
      </c>
      <c r="E1752" t="s">
        <v>737</v>
      </c>
    </row>
    <row r="1753" spans="2:5">
      <c r="B1753" t="s">
        <v>2961</v>
      </c>
      <c r="C1753">
        <v>511208</v>
      </c>
      <c r="D1753" t="s">
        <v>2962</v>
      </c>
      <c r="E1753" t="s">
        <v>2744</v>
      </c>
    </row>
    <row r="1754" spans="2:5">
      <c r="B1754" t="s">
        <v>2963</v>
      </c>
      <c r="C1754">
        <v>533177</v>
      </c>
      <c r="D1754" t="s">
        <v>2964</v>
      </c>
      <c r="E1754" t="s">
        <v>934</v>
      </c>
    </row>
    <row r="1755" spans="2:5">
      <c r="B1755" t="s">
        <v>2965</v>
      </c>
      <c r="C1755">
        <v>511628</v>
      </c>
      <c r="D1755" t="s">
        <v>339</v>
      </c>
      <c r="E1755" t="s">
        <v>356</v>
      </c>
    </row>
    <row r="1756" spans="2:5">
      <c r="B1756" t="s">
        <v>2966</v>
      </c>
      <c r="C1756">
        <v>505539</v>
      </c>
      <c r="D1756" t="s">
        <v>339</v>
      </c>
      <c r="E1756" t="s">
        <v>760</v>
      </c>
    </row>
    <row r="1757" spans="2:5">
      <c r="B1757" t="s">
        <v>2967</v>
      </c>
      <c r="C1757">
        <v>513295</v>
      </c>
      <c r="D1757" t="s">
        <v>339</v>
      </c>
      <c r="E1757" t="s">
        <v>371</v>
      </c>
    </row>
    <row r="1758" spans="2:5">
      <c r="B1758" t="s">
        <v>2968</v>
      </c>
      <c r="C1758">
        <v>517571</v>
      </c>
      <c r="D1758" t="s">
        <v>2969</v>
      </c>
      <c r="E1758" t="s">
        <v>382</v>
      </c>
    </row>
    <row r="1759" spans="2:5">
      <c r="B1759" t="s">
        <v>2970</v>
      </c>
      <c r="C1759">
        <v>532614</v>
      </c>
      <c r="D1759" t="s">
        <v>2971</v>
      </c>
      <c r="E1759" t="s">
        <v>371</v>
      </c>
    </row>
    <row r="1760" spans="2:5">
      <c r="B1760" t="s">
        <v>2972</v>
      </c>
      <c r="C1760">
        <v>531129</v>
      </c>
      <c r="D1760" t="s">
        <v>339</v>
      </c>
      <c r="E1760" t="s">
        <v>867</v>
      </c>
    </row>
    <row r="1761" spans="2:5">
      <c r="B1761" t="s">
        <v>2973</v>
      </c>
      <c r="C1761">
        <v>531672</v>
      </c>
      <c r="D1761" t="s">
        <v>339</v>
      </c>
      <c r="E1761" t="s">
        <v>322</v>
      </c>
    </row>
    <row r="1762" spans="2:5">
      <c r="B1762" t="s">
        <v>2974</v>
      </c>
      <c r="C1762">
        <v>517370</v>
      </c>
      <c r="D1762" t="s">
        <v>339</v>
      </c>
      <c r="E1762" t="s">
        <v>637</v>
      </c>
    </row>
    <row r="1763" spans="2:5">
      <c r="B1763" t="s">
        <v>2975</v>
      </c>
      <c r="C1763">
        <v>538541</v>
      </c>
      <c r="D1763" t="s">
        <v>339</v>
      </c>
      <c r="E1763" t="s">
        <v>361</v>
      </c>
    </row>
    <row r="1764" spans="2:5">
      <c r="B1764" t="s">
        <v>2976</v>
      </c>
      <c r="C1764">
        <v>531594</v>
      </c>
      <c r="D1764" t="s">
        <v>339</v>
      </c>
      <c r="E1764" t="s">
        <v>347</v>
      </c>
    </row>
    <row r="1765" spans="2:5">
      <c r="B1765" t="s">
        <v>2977</v>
      </c>
      <c r="C1765">
        <v>523465</v>
      </c>
      <c r="D1765" t="s">
        <v>339</v>
      </c>
      <c r="E1765" t="s">
        <v>397</v>
      </c>
    </row>
    <row r="1766" spans="2:5">
      <c r="B1766" t="s">
        <v>2978</v>
      </c>
      <c r="C1766">
        <v>536709</v>
      </c>
      <c r="D1766" t="s">
        <v>339</v>
      </c>
      <c r="E1766" t="s">
        <v>478</v>
      </c>
    </row>
    <row r="1767" spans="2:5">
      <c r="B1767" t="s">
        <v>2979</v>
      </c>
      <c r="C1767">
        <v>509162</v>
      </c>
      <c r="D1767" t="s">
        <v>339</v>
      </c>
      <c r="E1767" t="s">
        <v>819</v>
      </c>
    </row>
    <row r="1768" spans="2:5">
      <c r="B1768" t="s">
        <v>2980</v>
      </c>
      <c r="C1768">
        <v>517077</v>
      </c>
      <c r="D1768" t="s">
        <v>339</v>
      </c>
      <c r="E1768" t="s">
        <v>361</v>
      </c>
    </row>
    <row r="1769" spans="2:5">
      <c r="B1769" t="s">
        <v>2981</v>
      </c>
      <c r="C1769">
        <v>511473</v>
      </c>
      <c r="D1769" t="s">
        <v>2982</v>
      </c>
      <c r="E1769" t="s">
        <v>322</v>
      </c>
    </row>
    <row r="1770" spans="2:5">
      <c r="B1770" t="s">
        <v>2983</v>
      </c>
      <c r="C1770">
        <v>531505</v>
      </c>
      <c r="D1770" t="s">
        <v>339</v>
      </c>
      <c r="E1770" t="s">
        <v>356</v>
      </c>
    </row>
    <row r="1771" spans="2:5">
      <c r="B1771" t="s">
        <v>2984</v>
      </c>
      <c r="C1771">
        <v>511355</v>
      </c>
      <c r="D1771" t="s">
        <v>339</v>
      </c>
      <c r="E1771" t="s">
        <v>356</v>
      </c>
    </row>
    <row r="1772" spans="2:5">
      <c r="B1772" t="s">
        <v>2985</v>
      </c>
      <c r="C1772">
        <v>535667</v>
      </c>
      <c r="D1772" t="s">
        <v>339</v>
      </c>
      <c r="E1772" t="s">
        <v>356</v>
      </c>
    </row>
    <row r="1773" spans="2:5">
      <c r="B1773" t="s">
        <v>2986</v>
      </c>
      <c r="C1773">
        <v>531253</v>
      </c>
      <c r="D1773" t="s">
        <v>339</v>
      </c>
      <c r="E1773" t="s">
        <v>499</v>
      </c>
    </row>
    <row r="1774" spans="2:5">
      <c r="B1774" t="s">
        <v>2987</v>
      </c>
      <c r="C1774">
        <v>500201</v>
      </c>
      <c r="D1774" t="s">
        <v>2988</v>
      </c>
      <c r="E1774" t="s">
        <v>387</v>
      </c>
    </row>
    <row r="1775" spans="2:5">
      <c r="B1775" t="s">
        <v>2989</v>
      </c>
      <c r="C1775">
        <v>540152</v>
      </c>
      <c r="D1775" t="s">
        <v>339</v>
      </c>
      <c r="E1775" t="s">
        <v>425</v>
      </c>
    </row>
    <row r="1776" spans="2:5">
      <c r="B1776" t="s">
        <v>2990</v>
      </c>
      <c r="C1776">
        <v>540565</v>
      </c>
      <c r="D1776" t="s">
        <v>2991</v>
      </c>
      <c r="E1776" t="s">
        <v>359</v>
      </c>
    </row>
    <row r="1777" spans="2:5">
      <c r="B1777" t="s">
        <v>2992</v>
      </c>
      <c r="C1777">
        <v>530979</v>
      </c>
      <c r="D1777" t="s">
        <v>339</v>
      </c>
      <c r="E1777" t="s">
        <v>397</v>
      </c>
    </row>
    <row r="1778" spans="2:5">
      <c r="B1778" t="s">
        <v>2993</v>
      </c>
      <c r="C1778">
        <v>531343</v>
      </c>
      <c r="D1778" t="s">
        <v>339</v>
      </c>
      <c r="E1778" t="s">
        <v>760</v>
      </c>
    </row>
    <row r="1779" spans="2:5">
      <c r="B1779" t="s">
        <v>2994</v>
      </c>
      <c r="C1779">
        <v>590065</v>
      </c>
      <c r="D1779" t="s">
        <v>2995</v>
      </c>
      <c r="E1779" t="s">
        <v>361</v>
      </c>
    </row>
    <row r="1780" spans="2:5">
      <c r="B1780" t="s">
        <v>2996</v>
      </c>
      <c r="C1780">
        <v>532240</v>
      </c>
      <c r="D1780" t="s">
        <v>2997</v>
      </c>
      <c r="E1780" t="s">
        <v>694</v>
      </c>
    </row>
    <row r="1781" spans="2:5">
      <c r="B1781" t="s">
        <v>2998</v>
      </c>
      <c r="C1781">
        <v>513361</v>
      </c>
      <c r="D1781" t="s">
        <v>339</v>
      </c>
      <c r="E1781" t="s">
        <v>371</v>
      </c>
    </row>
    <row r="1782" spans="2:5">
      <c r="B1782" t="s">
        <v>2999</v>
      </c>
      <c r="C1782">
        <v>532189</v>
      </c>
      <c r="D1782" t="s">
        <v>3000</v>
      </c>
      <c r="E1782" t="s">
        <v>540</v>
      </c>
    </row>
    <row r="1783" spans="2:5">
      <c r="B1783" t="s">
        <v>3001</v>
      </c>
      <c r="C1783">
        <v>535789</v>
      </c>
      <c r="D1783" t="s">
        <v>3002</v>
      </c>
      <c r="E1783" t="s">
        <v>397</v>
      </c>
    </row>
    <row r="1784" spans="2:5">
      <c r="B1784" t="s">
        <v>3003</v>
      </c>
      <c r="C1784">
        <v>533520</v>
      </c>
      <c r="D1784" t="s">
        <v>3004</v>
      </c>
      <c r="E1784" t="s">
        <v>361</v>
      </c>
    </row>
    <row r="1785" spans="2:5">
      <c r="B1785" t="s">
        <v>3005</v>
      </c>
      <c r="C1785">
        <v>532832</v>
      </c>
      <c r="D1785" t="s">
        <v>3006</v>
      </c>
      <c r="E1785" t="s">
        <v>425</v>
      </c>
    </row>
    <row r="1786" spans="2:5">
      <c r="B1786" t="s">
        <v>3007</v>
      </c>
      <c r="C1786">
        <v>532960</v>
      </c>
      <c r="D1786" t="s">
        <v>3008</v>
      </c>
      <c r="E1786" t="s">
        <v>322</v>
      </c>
    </row>
    <row r="1787" spans="2:5">
      <c r="B1787" t="s">
        <v>3009</v>
      </c>
      <c r="C1787">
        <v>514165</v>
      </c>
      <c r="D1787" t="s">
        <v>339</v>
      </c>
      <c r="E1787" t="s">
        <v>716</v>
      </c>
    </row>
    <row r="1788" spans="2:5">
      <c r="B1788" t="s">
        <v>3010</v>
      </c>
      <c r="C1788">
        <v>532814</v>
      </c>
      <c r="D1788" t="s">
        <v>3011</v>
      </c>
      <c r="E1788" t="s">
        <v>657</v>
      </c>
    </row>
    <row r="1789" spans="2:5">
      <c r="B1789" t="s">
        <v>3012</v>
      </c>
      <c r="C1789">
        <v>504731</v>
      </c>
      <c r="D1789" t="s">
        <v>339</v>
      </c>
      <c r="E1789" t="s">
        <v>371</v>
      </c>
    </row>
    <row r="1790" spans="2:5">
      <c r="B1790" t="s">
        <v>3013</v>
      </c>
      <c r="C1790">
        <v>509692</v>
      </c>
      <c r="D1790" t="s">
        <v>3014</v>
      </c>
      <c r="E1790" t="s">
        <v>354</v>
      </c>
    </row>
    <row r="1791" spans="2:5">
      <c r="B1791" t="s">
        <v>3015</v>
      </c>
      <c r="C1791">
        <v>540750</v>
      </c>
      <c r="D1791" t="s">
        <v>3016</v>
      </c>
      <c r="E1791" t="s">
        <v>478</v>
      </c>
    </row>
    <row r="1792" spans="2:5">
      <c r="B1792" t="s">
        <v>3017</v>
      </c>
      <c r="C1792">
        <v>524614</v>
      </c>
      <c r="D1792" t="s">
        <v>339</v>
      </c>
      <c r="E1792" t="s">
        <v>419</v>
      </c>
    </row>
    <row r="1793" spans="2:5">
      <c r="B1793" t="s">
        <v>3018</v>
      </c>
      <c r="C1793">
        <v>504741</v>
      </c>
      <c r="D1793" t="s">
        <v>3019</v>
      </c>
      <c r="E1793" t="s">
        <v>352</v>
      </c>
    </row>
    <row r="1794" spans="2:5">
      <c r="B1794" t="s">
        <v>3020</v>
      </c>
      <c r="C1794">
        <v>509051</v>
      </c>
      <c r="D1794" t="s">
        <v>339</v>
      </c>
      <c r="E1794" t="s">
        <v>432</v>
      </c>
    </row>
    <row r="1795" spans="2:5">
      <c r="B1795" t="s">
        <v>3021</v>
      </c>
      <c r="C1795">
        <v>504746</v>
      </c>
      <c r="D1795" t="s">
        <v>339</v>
      </c>
      <c r="E1795" t="s">
        <v>1258</v>
      </c>
    </row>
    <row r="1796" spans="2:5">
      <c r="B1796" t="s">
        <v>3022</v>
      </c>
      <c r="C1796">
        <v>533047</v>
      </c>
      <c r="D1796" t="s">
        <v>3023</v>
      </c>
      <c r="E1796" t="s">
        <v>371</v>
      </c>
    </row>
    <row r="1797" spans="2:5">
      <c r="B1797" t="s">
        <v>3024</v>
      </c>
      <c r="C1797">
        <v>530965</v>
      </c>
      <c r="D1797" t="s">
        <v>3025</v>
      </c>
      <c r="E1797" t="s">
        <v>549</v>
      </c>
    </row>
    <row r="1798" spans="2:5">
      <c r="B1798" t="s">
        <v>3026</v>
      </c>
      <c r="C1798">
        <v>532388</v>
      </c>
      <c r="D1798" t="s">
        <v>3027</v>
      </c>
      <c r="E1798" t="s">
        <v>657</v>
      </c>
    </row>
    <row r="1799" spans="2:5">
      <c r="B1799" t="s">
        <v>3028</v>
      </c>
      <c r="C1799">
        <v>500319</v>
      </c>
      <c r="D1799" t="s">
        <v>339</v>
      </c>
      <c r="E1799" t="s">
        <v>1037</v>
      </c>
    </row>
    <row r="1800" spans="2:5">
      <c r="B1800" t="s">
        <v>3029</v>
      </c>
      <c r="C1800">
        <v>533329</v>
      </c>
      <c r="D1800" t="s">
        <v>3030</v>
      </c>
      <c r="E1800" t="s">
        <v>453</v>
      </c>
    </row>
    <row r="1801" spans="2:5">
      <c r="B1801" t="s">
        <v>3031</v>
      </c>
      <c r="C1801">
        <v>523586</v>
      </c>
      <c r="D1801" t="s">
        <v>339</v>
      </c>
      <c r="E1801" t="s">
        <v>499</v>
      </c>
    </row>
    <row r="1802" spans="2:5">
      <c r="B1802" t="s">
        <v>3032</v>
      </c>
      <c r="C1802">
        <v>501700</v>
      </c>
      <c r="D1802" t="s">
        <v>339</v>
      </c>
      <c r="E1802" t="s">
        <v>356</v>
      </c>
    </row>
    <row r="1803" spans="2:5">
      <c r="B1803" t="s">
        <v>3033</v>
      </c>
      <c r="C1803">
        <v>532745</v>
      </c>
      <c r="D1803" t="s">
        <v>339</v>
      </c>
      <c r="E1803" t="s">
        <v>322</v>
      </c>
    </row>
    <row r="1804" spans="2:5">
      <c r="B1804" t="s">
        <v>3034</v>
      </c>
      <c r="C1804">
        <v>524648</v>
      </c>
      <c r="D1804" t="s">
        <v>339</v>
      </c>
      <c r="E1804" t="s">
        <v>387</v>
      </c>
    </row>
    <row r="1805" spans="2:5">
      <c r="B1805" t="s">
        <v>3035</v>
      </c>
      <c r="C1805">
        <v>530747</v>
      </c>
      <c r="D1805" t="s">
        <v>339</v>
      </c>
      <c r="E1805" t="s">
        <v>356</v>
      </c>
    </row>
    <row r="1806" spans="2:5">
      <c r="B1806" t="s">
        <v>3036</v>
      </c>
      <c r="C1806">
        <v>524342</v>
      </c>
      <c r="D1806" t="s">
        <v>339</v>
      </c>
      <c r="E1806" t="s">
        <v>387</v>
      </c>
    </row>
    <row r="1807" spans="2:5">
      <c r="B1807" t="s">
        <v>3037</v>
      </c>
      <c r="C1807">
        <v>538838</v>
      </c>
      <c r="D1807" t="s">
        <v>339</v>
      </c>
      <c r="E1807" t="s">
        <v>354</v>
      </c>
    </row>
    <row r="1808" spans="2:5">
      <c r="B1808" t="s">
        <v>3038</v>
      </c>
      <c r="C1808">
        <v>521016</v>
      </c>
      <c r="D1808" t="s">
        <v>3039</v>
      </c>
      <c r="E1808" t="s">
        <v>354</v>
      </c>
    </row>
    <row r="1809" spans="2:5">
      <c r="B1809" t="s">
        <v>3040</v>
      </c>
      <c r="C1809">
        <v>526887</v>
      </c>
      <c r="D1809" t="s">
        <v>339</v>
      </c>
      <c r="E1809" t="s">
        <v>356</v>
      </c>
    </row>
    <row r="1810" spans="2:5">
      <c r="B1810" t="s">
        <v>3041</v>
      </c>
      <c r="C1810">
        <v>524458</v>
      </c>
      <c r="D1810" t="s">
        <v>339</v>
      </c>
      <c r="E1810" t="s">
        <v>499</v>
      </c>
    </row>
    <row r="1811" spans="2:5">
      <c r="B1811" t="s">
        <v>3042</v>
      </c>
      <c r="C1811">
        <v>506945</v>
      </c>
      <c r="D1811" t="s">
        <v>339</v>
      </c>
      <c r="E1811" t="s">
        <v>499</v>
      </c>
    </row>
    <row r="1812" spans="2:5">
      <c r="B1812" t="s">
        <v>3043</v>
      </c>
      <c r="C1812">
        <v>531565</v>
      </c>
      <c r="D1812" t="s">
        <v>339</v>
      </c>
      <c r="E1812" t="s">
        <v>425</v>
      </c>
    </row>
    <row r="1813" spans="2:5">
      <c r="B1813" t="s">
        <v>3044</v>
      </c>
      <c r="C1813">
        <v>500207</v>
      </c>
      <c r="D1813" t="s">
        <v>3045</v>
      </c>
      <c r="E1813" t="s">
        <v>354</v>
      </c>
    </row>
    <row r="1814" spans="2:5">
      <c r="B1814" t="s">
        <v>3046</v>
      </c>
      <c r="C1814">
        <v>500207</v>
      </c>
      <c r="D1814" t="s">
        <v>3045</v>
      </c>
      <c r="E1814" t="s">
        <v>354</v>
      </c>
    </row>
    <row r="1815" spans="2:5">
      <c r="B1815" t="s">
        <v>3047</v>
      </c>
      <c r="C1815">
        <v>532717</v>
      </c>
      <c r="D1815" t="s">
        <v>3048</v>
      </c>
      <c r="E1815" t="s">
        <v>382</v>
      </c>
    </row>
    <row r="1816" spans="2:5">
      <c r="B1816" t="s">
        <v>3049</v>
      </c>
      <c r="C1816">
        <v>533676</v>
      </c>
      <c r="D1816" t="s">
        <v>3050</v>
      </c>
      <c r="E1816" t="s">
        <v>322</v>
      </c>
    </row>
    <row r="1817" spans="2:5">
      <c r="B1817" t="s">
        <v>3051</v>
      </c>
      <c r="C1817">
        <v>541304</v>
      </c>
      <c r="D1817" t="s">
        <v>339</v>
      </c>
      <c r="E1817" t="s">
        <v>537</v>
      </c>
    </row>
    <row r="1818" spans="2:5">
      <c r="B1818" t="s">
        <v>3052</v>
      </c>
      <c r="C1818">
        <v>532100</v>
      </c>
      <c r="D1818" t="s">
        <v>339</v>
      </c>
      <c r="E1818" t="s">
        <v>432</v>
      </c>
    </row>
    <row r="1819" spans="2:5">
      <c r="B1819" t="s">
        <v>3053</v>
      </c>
      <c r="C1819">
        <v>532612</v>
      </c>
      <c r="D1819" t="s">
        <v>3054</v>
      </c>
      <c r="E1819" t="s">
        <v>377</v>
      </c>
    </row>
    <row r="1820" spans="2:5">
      <c r="B1820" t="s">
        <v>3055</v>
      </c>
      <c r="C1820">
        <v>539433</v>
      </c>
      <c r="D1820" t="s">
        <v>339</v>
      </c>
      <c r="E1820" t="s">
        <v>809</v>
      </c>
    </row>
    <row r="1821" spans="2:5">
      <c r="B1821" t="s">
        <v>3056</v>
      </c>
      <c r="C1821">
        <v>504092</v>
      </c>
      <c r="D1821" t="s">
        <v>339</v>
      </c>
      <c r="E1821" t="s">
        <v>499</v>
      </c>
    </row>
    <row r="1822" spans="2:5">
      <c r="B1822" t="s">
        <v>3057</v>
      </c>
      <c r="C1822">
        <v>504058</v>
      </c>
      <c r="D1822" t="s">
        <v>3058</v>
      </c>
      <c r="E1822" t="s">
        <v>885</v>
      </c>
    </row>
    <row r="1823" spans="2:5">
      <c r="B1823" t="s">
        <v>3059</v>
      </c>
      <c r="C1823">
        <v>533257</v>
      </c>
      <c r="D1823" t="s">
        <v>3060</v>
      </c>
      <c r="E1823" t="s">
        <v>637</v>
      </c>
    </row>
    <row r="1824" spans="2:5">
      <c r="B1824" t="s">
        <v>3061</v>
      </c>
      <c r="C1824">
        <v>541336</v>
      </c>
      <c r="D1824" t="s">
        <v>3062</v>
      </c>
      <c r="E1824" t="s">
        <v>356</v>
      </c>
    </row>
    <row r="1825" spans="2:5">
      <c r="B1825" t="s">
        <v>3063</v>
      </c>
      <c r="C1825">
        <v>521005</v>
      </c>
      <c r="D1825" t="s">
        <v>339</v>
      </c>
      <c r="E1825" t="s">
        <v>354</v>
      </c>
    </row>
    <row r="1826" spans="2:5">
      <c r="B1826" t="s">
        <v>3064</v>
      </c>
      <c r="C1826">
        <v>532894</v>
      </c>
      <c r="D1826" t="s">
        <v>3065</v>
      </c>
      <c r="E1826" t="s">
        <v>478</v>
      </c>
    </row>
    <row r="1827" spans="2:5">
      <c r="B1827" t="s">
        <v>3066</v>
      </c>
      <c r="C1827">
        <v>539175</v>
      </c>
      <c r="D1827" t="s">
        <v>339</v>
      </c>
      <c r="E1827" t="s">
        <v>847</v>
      </c>
    </row>
    <row r="1828" spans="2:5">
      <c r="B1828" t="s">
        <v>3067</v>
      </c>
      <c r="C1828">
        <v>532514</v>
      </c>
      <c r="D1828" t="s">
        <v>3068</v>
      </c>
      <c r="E1828" t="s">
        <v>364</v>
      </c>
    </row>
    <row r="1829" spans="2:5">
      <c r="B1829" t="s">
        <v>3069</v>
      </c>
      <c r="C1829">
        <v>532150</v>
      </c>
      <c r="D1829" t="s">
        <v>3070</v>
      </c>
      <c r="E1829" t="s">
        <v>809</v>
      </c>
    </row>
    <row r="1830" spans="2:5">
      <c r="B1830" t="s">
        <v>3071</v>
      </c>
      <c r="C1830">
        <v>526445</v>
      </c>
      <c r="D1830" t="s">
        <v>3072</v>
      </c>
      <c r="E1830" t="s">
        <v>537</v>
      </c>
    </row>
    <row r="1831" spans="2:5">
      <c r="B1831" t="s">
        <v>3073</v>
      </c>
      <c r="C1831">
        <v>522165</v>
      </c>
      <c r="D1831" t="s">
        <v>339</v>
      </c>
      <c r="E1831" t="s">
        <v>371</v>
      </c>
    </row>
    <row r="1832" spans="2:5">
      <c r="B1832" t="s">
        <v>3074</v>
      </c>
      <c r="C1832">
        <v>503639</v>
      </c>
      <c r="D1832" t="s">
        <v>339</v>
      </c>
      <c r="E1832" t="s">
        <v>760</v>
      </c>
    </row>
    <row r="1833" spans="2:5">
      <c r="B1833" t="s">
        <v>3075</v>
      </c>
      <c r="C1833">
        <v>532305</v>
      </c>
      <c r="D1833" t="s">
        <v>3076</v>
      </c>
      <c r="E1833" t="s">
        <v>377</v>
      </c>
    </row>
    <row r="1834" spans="2:5">
      <c r="B1834" t="s">
        <v>3077</v>
      </c>
      <c r="C1834">
        <v>524652</v>
      </c>
      <c r="D1834" t="s">
        <v>3078</v>
      </c>
      <c r="E1834" t="s">
        <v>377</v>
      </c>
    </row>
    <row r="1835" spans="2:5">
      <c r="B1835" t="s">
        <v>3079</v>
      </c>
      <c r="C1835">
        <v>532001</v>
      </c>
      <c r="D1835" t="s">
        <v>339</v>
      </c>
      <c r="E1835" t="s">
        <v>371</v>
      </c>
    </row>
    <row r="1836" spans="2:5">
      <c r="B1836" t="s">
        <v>3080</v>
      </c>
      <c r="C1836">
        <v>531841</v>
      </c>
      <c r="D1836" t="s">
        <v>339</v>
      </c>
      <c r="E1836" t="s">
        <v>356</v>
      </c>
    </row>
    <row r="1837" spans="2:5">
      <c r="B1837" t="s">
        <v>3081</v>
      </c>
      <c r="C1837">
        <v>532187</v>
      </c>
      <c r="D1837" t="s">
        <v>3082</v>
      </c>
      <c r="E1837" t="s">
        <v>657</v>
      </c>
    </row>
    <row r="1838" spans="2:5">
      <c r="B1838" t="s">
        <v>3083</v>
      </c>
      <c r="C1838">
        <v>501298</v>
      </c>
      <c r="D1838" t="s">
        <v>339</v>
      </c>
      <c r="E1838" t="s">
        <v>359</v>
      </c>
    </row>
    <row r="1839" spans="2:5">
      <c r="B1839" t="s">
        <v>3084</v>
      </c>
      <c r="C1839">
        <v>501295</v>
      </c>
      <c r="D1839" t="s">
        <v>3085</v>
      </c>
      <c r="E1839" t="s">
        <v>356</v>
      </c>
    </row>
    <row r="1840" spans="2:5">
      <c r="B1840" t="s">
        <v>3086</v>
      </c>
      <c r="C1840">
        <v>506222</v>
      </c>
      <c r="D1840" t="s">
        <v>3087</v>
      </c>
      <c r="E1840" t="s">
        <v>499</v>
      </c>
    </row>
    <row r="1841" spans="2:5">
      <c r="B1841" t="s">
        <v>3088</v>
      </c>
      <c r="C1841">
        <v>506222</v>
      </c>
      <c r="D1841" t="s">
        <v>3087</v>
      </c>
      <c r="E1841" t="s">
        <v>499</v>
      </c>
    </row>
    <row r="1842" spans="2:5">
      <c r="B1842" t="s">
        <v>3089</v>
      </c>
      <c r="C1842">
        <v>512025</v>
      </c>
      <c r="D1842" t="s">
        <v>339</v>
      </c>
      <c r="E1842" t="s">
        <v>760</v>
      </c>
    </row>
    <row r="1843" spans="2:5">
      <c r="B1843" t="s">
        <v>3090</v>
      </c>
      <c r="C1843">
        <v>539807</v>
      </c>
      <c r="D1843" t="s">
        <v>3091</v>
      </c>
      <c r="E1843" t="s">
        <v>345</v>
      </c>
    </row>
    <row r="1844" spans="2:5">
      <c r="B1844" t="s">
        <v>3092</v>
      </c>
      <c r="C1844">
        <v>533154</v>
      </c>
      <c r="D1844" t="s">
        <v>3093</v>
      </c>
      <c r="E1844" t="s">
        <v>325</v>
      </c>
    </row>
    <row r="1845" spans="2:5">
      <c r="B1845" t="s">
        <v>3094</v>
      </c>
      <c r="C1845">
        <v>533154</v>
      </c>
      <c r="D1845" t="s">
        <v>3093</v>
      </c>
      <c r="E1845" t="s">
        <v>325</v>
      </c>
    </row>
    <row r="1846" spans="2:5">
      <c r="B1846" t="s">
        <v>3095</v>
      </c>
      <c r="C1846">
        <v>541083</v>
      </c>
      <c r="D1846" t="s">
        <v>339</v>
      </c>
      <c r="E1846" t="s">
        <v>1384</v>
      </c>
    </row>
    <row r="1847" spans="2:5">
      <c r="B1847" t="s">
        <v>3096</v>
      </c>
      <c r="C1847">
        <v>532777</v>
      </c>
      <c r="D1847" t="s">
        <v>3097</v>
      </c>
      <c r="E1847" t="s">
        <v>3098</v>
      </c>
    </row>
    <row r="1848" spans="2:5">
      <c r="B1848" t="s">
        <v>3099</v>
      </c>
      <c r="C1848">
        <v>532777</v>
      </c>
      <c r="D1848" t="s">
        <v>3097</v>
      </c>
      <c r="E1848" t="s">
        <v>3098</v>
      </c>
    </row>
    <row r="1849" spans="2:5">
      <c r="B1849" t="s">
        <v>3100</v>
      </c>
      <c r="C1849" t="s">
        <v>339</v>
      </c>
      <c r="D1849" t="s">
        <v>3101</v>
      </c>
      <c r="E1849" t="s">
        <v>350</v>
      </c>
    </row>
    <row r="1850" spans="2:5">
      <c r="B1850" t="s">
        <v>3102</v>
      </c>
      <c r="C1850">
        <v>504810</v>
      </c>
      <c r="D1850" t="s">
        <v>339</v>
      </c>
      <c r="E1850" t="s">
        <v>669</v>
      </c>
    </row>
    <row r="1851" spans="2:5">
      <c r="B1851" t="s">
        <v>3103</v>
      </c>
      <c r="C1851">
        <v>504810</v>
      </c>
      <c r="D1851" t="s">
        <v>339</v>
      </c>
      <c r="E1851" t="s">
        <v>669</v>
      </c>
    </row>
    <row r="1852" spans="2:5">
      <c r="B1852" t="s">
        <v>3104</v>
      </c>
      <c r="C1852">
        <v>500209</v>
      </c>
      <c r="D1852" t="s">
        <v>3105</v>
      </c>
      <c r="E1852" t="s">
        <v>325</v>
      </c>
    </row>
    <row r="1853" spans="2:5">
      <c r="B1853" t="s">
        <v>3106</v>
      </c>
      <c r="C1853">
        <v>530777</v>
      </c>
      <c r="D1853" t="s">
        <v>339</v>
      </c>
      <c r="E1853" t="s">
        <v>459</v>
      </c>
    </row>
    <row r="1854" spans="2:5">
      <c r="B1854" t="s">
        <v>3107</v>
      </c>
      <c r="C1854">
        <v>537985</v>
      </c>
      <c r="D1854" t="s">
        <v>339</v>
      </c>
      <c r="E1854" t="s">
        <v>432</v>
      </c>
    </row>
    <row r="1855" spans="2:5">
      <c r="B1855" t="s">
        <v>3108</v>
      </c>
      <c r="C1855">
        <v>500210</v>
      </c>
      <c r="D1855" t="s">
        <v>3109</v>
      </c>
      <c r="E1855" t="s">
        <v>347</v>
      </c>
    </row>
    <row r="1856" spans="2:5">
      <c r="B1856" t="s">
        <v>3110</v>
      </c>
      <c r="C1856">
        <v>500210</v>
      </c>
      <c r="D1856" t="s">
        <v>3109</v>
      </c>
      <c r="E1856" t="s">
        <v>347</v>
      </c>
    </row>
    <row r="1857" spans="2:5">
      <c r="B1857" t="s">
        <v>3111</v>
      </c>
      <c r="C1857">
        <v>530787</v>
      </c>
      <c r="D1857" t="s">
        <v>339</v>
      </c>
      <c r="E1857" t="s">
        <v>2331</v>
      </c>
    </row>
    <row r="1858" spans="2:5">
      <c r="B1858" t="s">
        <v>3112</v>
      </c>
      <c r="C1858">
        <v>531929</v>
      </c>
      <c r="D1858" t="s">
        <v>3113</v>
      </c>
      <c r="E1858" t="s">
        <v>459</v>
      </c>
    </row>
    <row r="1859" spans="2:5">
      <c r="B1859" t="s">
        <v>3114</v>
      </c>
      <c r="C1859" t="s">
        <v>339</v>
      </c>
      <c r="D1859" t="s">
        <v>3115</v>
      </c>
      <c r="E1859" t="s">
        <v>350</v>
      </c>
    </row>
    <row r="1860" spans="2:5">
      <c r="B1860" t="s">
        <v>3116</v>
      </c>
      <c r="C1860">
        <v>533315</v>
      </c>
      <c r="D1860" t="s">
        <v>339</v>
      </c>
      <c r="E1860" t="s">
        <v>505</v>
      </c>
    </row>
    <row r="1861" spans="2:5">
      <c r="B1861" t="s">
        <v>3117</v>
      </c>
      <c r="C1861">
        <v>517433</v>
      </c>
      <c r="D1861" t="s">
        <v>339</v>
      </c>
      <c r="E1861" t="s">
        <v>325</v>
      </c>
    </row>
    <row r="1862" spans="2:5">
      <c r="B1862" t="s">
        <v>3118</v>
      </c>
      <c r="C1862">
        <v>541983</v>
      </c>
      <c r="D1862" t="s">
        <v>339</v>
      </c>
      <c r="E1862" t="s">
        <v>3119</v>
      </c>
    </row>
    <row r="1863" spans="2:5">
      <c r="B1863" t="s">
        <v>3120</v>
      </c>
      <c r="C1863">
        <v>541983</v>
      </c>
      <c r="D1863" t="s">
        <v>339</v>
      </c>
      <c r="E1863" t="s">
        <v>3119</v>
      </c>
    </row>
    <row r="1864" spans="2:5">
      <c r="B1864" t="s">
        <v>3121</v>
      </c>
      <c r="C1864">
        <v>523840</v>
      </c>
      <c r="D1864" t="s">
        <v>339</v>
      </c>
      <c r="E1864" t="s">
        <v>534</v>
      </c>
    </row>
    <row r="1865" spans="2:5">
      <c r="B1865" t="s">
        <v>3122</v>
      </c>
      <c r="C1865" t="s">
        <v>339</v>
      </c>
      <c r="D1865" t="s">
        <v>3123</v>
      </c>
      <c r="E1865" t="s">
        <v>350</v>
      </c>
    </row>
    <row r="1866" spans="2:5">
      <c r="B1866" t="s">
        <v>3124</v>
      </c>
      <c r="C1866">
        <v>541353</v>
      </c>
      <c r="D1866" t="s">
        <v>339</v>
      </c>
      <c r="E1866" t="s">
        <v>737</v>
      </c>
    </row>
    <row r="1867" spans="2:5">
      <c r="B1867" t="s">
        <v>3125</v>
      </c>
      <c r="C1867">
        <v>532706</v>
      </c>
      <c r="D1867" t="s">
        <v>3126</v>
      </c>
      <c r="E1867" t="s">
        <v>340</v>
      </c>
    </row>
    <row r="1868" spans="2:5">
      <c r="B1868" t="s">
        <v>3127</v>
      </c>
      <c r="C1868">
        <v>539083</v>
      </c>
      <c r="D1868" t="s">
        <v>3128</v>
      </c>
      <c r="E1868" t="s">
        <v>382</v>
      </c>
    </row>
    <row r="1869" spans="2:5">
      <c r="B1869" t="s">
        <v>3129</v>
      </c>
      <c r="C1869">
        <v>532851</v>
      </c>
      <c r="D1869" t="s">
        <v>3130</v>
      </c>
      <c r="E1869" t="s">
        <v>483</v>
      </c>
    </row>
    <row r="1870" spans="2:5">
      <c r="B1870" t="s">
        <v>3131</v>
      </c>
      <c r="C1870">
        <v>532851</v>
      </c>
      <c r="D1870" t="s">
        <v>3130</v>
      </c>
      <c r="E1870" t="s">
        <v>483</v>
      </c>
    </row>
    <row r="1871" spans="2:5">
      <c r="B1871" t="s">
        <v>3132</v>
      </c>
      <c r="C1871">
        <v>500211</v>
      </c>
      <c r="D1871" t="s">
        <v>339</v>
      </c>
      <c r="E1871" t="s">
        <v>524</v>
      </c>
    </row>
    <row r="1872" spans="2:5">
      <c r="B1872" t="s">
        <v>3133</v>
      </c>
      <c r="C1872">
        <v>532774</v>
      </c>
      <c r="D1872" t="s">
        <v>3134</v>
      </c>
      <c r="E1872" t="s">
        <v>325</v>
      </c>
    </row>
    <row r="1873" spans="2:5">
      <c r="B1873" t="s">
        <v>3135</v>
      </c>
      <c r="C1873">
        <v>526871</v>
      </c>
      <c r="D1873" t="s">
        <v>339</v>
      </c>
      <c r="E1873" t="s">
        <v>322</v>
      </c>
    </row>
    <row r="1874" spans="2:5">
      <c r="B1874" t="s">
        <v>3136</v>
      </c>
      <c r="C1874">
        <v>531314</v>
      </c>
      <c r="D1874" t="s">
        <v>3137</v>
      </c>
      <c r="E1874" t="s">
        <v>356</v>
      </c>
    </row>
    <row r="1875" spans="2:5">
      <c r="B1875" t="s">
        <v>3138</v>
      </c>
      <c r="C1875">
        <v>505358</v>
      </c>
      <c r="D1875" t="s">
        <v>339</v>
      </c>
      <c r="E1875" t="s">
        <v>347</v>
      </c>
    </row>
    <row r="1876" spans="2:5">
      <c r="B1876" t="s">
        <v>3139</v>
      </c>
      <c r="C1876">
        <v>505358</v>
      </c>
      <c r="D1876" t="s">
        <v>339</v>
      </c>
      <c r="E1876" t="s">
        <v>347</v>
      </c>
    </row>
    <row r="1877" spans="2:5">
      <c r="B1877" t="s">
        <v>3140</v>
      </c>
      <c r="C1877">
        <v>535958</v>
      </c>
      <c r="D1877" t="s">
        <v>3141</v>
      </c>
      <c r="E1877" t="s">
        <v>453</v>
      </c>
    </row>
    <row r="1878" spans="2:5">
      <c r="B1878" t="s">
        <v>3142</v>
      </c>
      <c r="C1878">
        <v>517423</v>
      </c>
      <c r="D1878" t="s">
        <v>339</v>
      </c>
      <c r="E1878" t="s">
        <v>637</v>
      </c>
    </row>
    <row r="1879" spans="2:5">
      <c r="B1879" t="s">
        <v>3143</v>
      </c>
      <c r="C1879">
        <v>536868</v>
      </c>
      <c r="D1879" t="s">
        <v>339</v>
      </c>
      <c r="E1879" t="s">
        <v>325</v>
      </c>
    </row>
    <row r="1880" spans="2:5">
      <c r="B1880" t="s">
        <v>3144</v>
      </c>
      <c r="C1880">
        <v>539149</v>
      </c>
      <c r="D1880" t="s">
        <v>339</v>
      </c>
      <c r="E1880" t="s">
        <v>423</v>
      </c>
    </row>
    <row r="1881" spans="2:5">
      <c r="B1881" t="s">
        <v>3145</v>
      </c>
      <c r="C1881">
        <v>500212</v>
      </c>
      <c r="D1881" t="s">
        <v>339</v>
      </c>
      <c r="E1881" t="s">
        <v>356</v>
      </c>
    </row>
    <row r="1882" spans="2:5">
      <c r="B1882" t="s">
        <v>3146</v>
      </c>
      <c r="C1882">
        <v>519606</v>
      </c>
      <c r="D1882" t="s">
        <v>339</v>
      </c>
      <c r="E1882" t="s">
        <v>588</v>
      </c>
    </row>
    <row r="1883" spans="2:5">
      <c r="B1883" t="s">
        <v>3147</v>
      </c>
      <c r="C1883">
        <v>531889</v>
      </c>
      <c r="D1883" t="s">
        <v>339</v>
      </c>
      <c r="E1883" t="s">
        <v>881</v>
      </c>
    </row>
    <row r="1884" spans="2:5">
      <c r="B1884" t="s">
        <v>3148</v>
      </c>
      <c r="C1884">
        <v>530921</v>
      </c>
      <c r="D1884" t="s">
        <v>339</v>
      </c>
      <c r="E1884" t="s">
        <v>459</v>
      </c>
    </row>
    <row r="1885" spans="2:5">
      <c r="B1885" t="s">
        <v>3149</v>
      </c>
      <c r="C1885">
        <v>538835</v>
      </c>
      <c r="D1885" t="s">
        <v>3150</v>
      </c>
      <c r="E1885" t="s">
        <v>432</v>
      </c>
    </row>
    <row r="1886" spans="2:5">
      <c r="B1886" t="s">
        <v>3151</v>
      </c>
      <c r="C1886">
        <v>534732</v>
      </c>
      <c r="D1886" t="s">
        <v>339</v>
      </c>
      <c r="E1886" t="s">
        <v>322</v>
      </c>
    </row>
    <row r="1887" spans="2:5">
      <c r="B1887" t="s">
        <v>3152</v>
      </c>
      <c r="C1887">
        <v>506134</v>
      </c>
      <c r="D1887" t="s">
        <v>339</v>
      </c>
      <c r="E1887" t="s">
        <v>459</v>
      </c>
    </row>
    <row r="1888" spans="2:5">
      <c r="B1888" t="s">
        <v>3153</v>
      </c>
      <c r="C1888">
        <v>532326</v>
      </c>
      <c r="D1888" t="s">
        <v>3154</v>
      </c>
      <c r="E1888" t="s">
        <v>432</v>
      </c>
    </row>
    <row r="1889" spans="2:5">
      <c r="B1889" t="s">
        <v>3155</v>
      </c>
      <c r="C1889">
        <v>511391</v>
      </c>
      <c r="D1889" t="s">
        <v>339</v>
      </c>
      <c r="E1889" t="s">
        <v>356</v>
      </c>
    </row>
    <row r="1890" spans="2:5">
      <c r="B1890" t="s">
        <v>3156</v>
      </c>
      <c r="C1890">
        <v>530259</v>
      </c>
      <c r="D1890" t="s">
        <v>339</v>
      </c>
      <c r="E1890" t="s">
        <v>411</v>
      </c>
    </row>
    <row r="1891" spans="2:5">
      <c r="B1891" t="s">
        <v>3157</v>
      </c>
      <c r="C1891">
        <v>539692</v>
      </c>
      <c r="D1891" t="s">
        <v>339</v>
      </c>
      <c r="E1891" t="s">
        <v>356</v>
      </c>
    </row>
    <row r="1892" spans="2:5">
      <c r="B1892" t="s">
        <v>3158</v>
      </c>
      <c r="C1892">
        <v>539448</v>
      </c>
      <c r="D1892" t="s">
        <v>3159</v>
      </c>
      <c r="E1892" t="s">
        <v>2476</v>
      </c>
    </row>
    <row r="1893" spans="2:5">
      <c r="B1893" t="s">
        <v>3160</v>
      </c>
      <c r="C1893">
        <v>526512</v>
      </c>
      <c r="D1893" t="s">
        <v>339</v>
      </c>
      <c r="E1893" t="s">
        <v>402</v>
      </c>
    </row>
    <row r="1894" spans="2:5">
      <c r="B1894" t="s">
        <v>3161</v>
      </c>
      <c r="C1894">
        <v>505737</v>
      </c>
      <c r="D1894" t="s">
        <v>339</v>
      </c>
      <c r="E1894" t="s">
        <v>347</v>
      </c>
    </row>
    <row r="1895" spans="2:5">
      <c r="B1895" t="s">
        <v>3162</v>
      </c>
      <c r="C1895">
        <v>505737</v>
      </c>
      <c r="D1895" t="s">
        <v>339</v>
      </c>
      <c r="E1895" t="s">
        <v>347</v>
      </c>
    </row>
    <row r="1896" spans="2:5">
      <c r="B1896" t="s">
        <v>3163</v>
      </c>
      <c r="C1896" t="s">
        <v>339</v>
      </c>
      <c r="D1896" t="s">
        <v>3164</v>
      </c>
      <c r="E1896" t="s">
        <v>430</v>
      </c>
    </row>
    <row r="1897" spans="2:5">
      <c r="B1897" t="s">
        <v>3165</v>
      </c>
      <c r="C1897">
        <v>509709</v>
      </c>
      <c r="D1897" t="s">
        <v>339</v>
      </c>
      <c r="E1897" t="s">
        <v>459</v>
      </c>
    </row>
    <row r="1898" spans="2:5">
      <c r="B1898" t="s">
        <v>3166</v>
      </c>
      <c r="C1898">
        <v>517044</v>
      </c>
      <c r="D1898" t="s">
        <v>339</v>
      </c>
      <c r="E1898" t="s">
        <v>423</v>
      </c>
    </row>
    <row r="1899" spans="2:5">
      <c r="B1899" t="s">
        <v>3167</v>
      </c>
      <c r="C1899">
        <v>530781</v>
      </c>
      <c r="D1899" t="s">
        <v>339</v>
      </c>
      <c r="E1899" t="s">
        <v>397</v>
      </c>
    </row>
    <row r="1900" spans="2:5">
      <c r="B1900" t="s">
        <v>3168</v>
      </c>
      <c r="C1900">
        <v>502330</v>
      </c>
      <c r="D1900" t="s">
        <v>3169</v>
      </c>
      <c r="E1900" t="s">
        <v>333</v>
      </c>
    </row>
    <row r="1901" spans="2:5">
      <c r="B1901" t="s">
        <v>3170</v>
      </c>
      <c r="C1901">
        <v>500213</v>
      </c>
      <c r="D1901" t="s">
        <v>339</v>
      </c>
      <c r="E1901" t="s">
        <v>1341</v>
      </c>
    </row>
    <row r="1902" spans="2:5">
      <c r="B1902" t="s">
        <v>3171</v>
      </c>
      <c r="C1902">
        <v>532072</v>
      </c>
      <c r="D1902" t="s">
        <v>339</v>
      </c>
      <c r="E1902" t="s">
        <v>342</v>
      </c>
    </row>
    <row r="1903" spans="2:5">
      <c r="B1903" t="s">
        <v>3172</v>
      </c>
      <c r="C1903">
        <v>533181</v>
      </c>
      <c r="D1903" t="s">
        <v>3173</v>
      </c>
      <c r="E1903" t="s">
        <v>3098</v>
      </c>
    </row>
    <row r="1904" spans="2:5">
      <c r="B1904" t="s">
        <v>3174</v>
      </c>
      <c r="C1904">
        <v>533506</v>
      </c>
      <c r="D1904" t="s">
        <v>3175</v>
      </c>
      <c r="E1904" t="s">
        <v>322</v>
      </c>
    </row>
    <row r="1905" spans="2:5">
      <c r="B1905" t="s">
        <v>3176</v>
      </c>
      <c r="C1905">
        <v>533172</v>
      </c>
      <c r="D1905" t="s">
        <v>3177</v>
      </c>
      <c r="E1905" t="s">
        <v>322</v>
      </c>
    </row>
    <row r="1906" spans="2:5">
      <c r="B1906" t="s">
        <v>3178</v>
      </c>
      <c r="C1906">
        <v>504786</v>
      </c>
      <c r="D1906" t="s">
        <v>339</v>
      </c>
      <c r="E1906" t="s">
        <v>1258</v>
      </c>
    </row>
    <row r="1907" spans="2:5">
      <c r="B1907" t="s">
        <v>3179</v>
      </c>
      <c r="C1907">
        <v>523844</v>
      </c>
      <c r="D1907" t="s">
        <v>339</v>
      </c>
      <c r="E1907" t="s">
        <v>1505</v>
      </c>
    </row>
    <row r="1908" spans="2:5">
      <c r="B1908" t="s">
        <v>3180</v>
      </c>
      <c r="C1908">
        <v>523752</v>
      </c>
      <c r="D1908" t="s">
        <v>339</v>
      </c>
      <c r="E1908" t="s">
        <v>347</v>
      </c>
    </row>
    <row r="1909" spans="2:5">
      <c r="B1909" t="s">
        <v>3181</v>
      </c>
      <c r="C1909">
        <v>524164</v>
      </c>
      <c r="D1909" t="s">
        <v>3182</v>
      </c>
      <c r="E1909" t="s">
        <v>377</v>
      </c>
    </row>
    <row r="1910" spans="2:5">
      <c r="B1910" t="s">
        <v>3183</v>
      </c>
      <c r="C1910">
        <v>500214</v>
      </c>
      <c r="D1910" t="s">
        <v>339</v>
      </c>
      <c r="E1910" t="s">
        <v>347</v>
      </c>
    </row>
    <row r="1911" spans="2:5">
      <c r="B1911" t="s">
        <v>3184</v>
      </c>
      <c r="C1911">
        <v>500214</v>
      </c>
      <c r="D1911" t="s">
        <v>339</v>
      </c>
      <c r="E1911" t="s">
        <v>347</v>
      </c>
    </row>
    <row r="1912" spans="2:5">
      <c r="B1912" t="s">
        <v>3185</v>
      </c>
      <c r="C1912">
        <v>523638</v>
      </c>
      <c r="D1912" t="s">
        <v>339</v>
      </c>
      <c r="E1912" t="s">
        <v>694</v>
      </c>
    </row>
    <row r="1913" spans="2:5">
      <c r="B1913" t="s">
        <v>3186</v>
      </c>
      <c r="C1913">
        <v>524494</v>
      </c>
      <c r="D1913" t="s">
        <v>3187</v>
      </c>
      <c r="E1913" t="s">
        <v>377</v>
      </c>
    </row>
    <row r="1914" spans="2:5">
      <c r="B1914" t="s">
        <v>3188</v>
      </c>
      <c r="C1914">
        <v>512405</v>
      </c>
      <c r="D1914" t="s">
        <v>339</v>
      </c>
      <c r="E1914" t="s">
        <v>345</v>
      </c>
    </row>
    <row r="1915" spans="2:5">
      <c r="B1915" t="s">
        <v>3189</v>
      </c>
      <c r="C1915">
        <v>512405</v>
      </c>
      <c r="D1915" t="s">
        <v>339</v>
      </c>
      <c r="E1915" t="s">
        <v>345</v>
      </c>
    </row>
    <row r="1916" spans="2:5">
      <c r="B1916" t="s">
        <v>3190</v>
      </c>
      <c r="C1916">
        <v>532947</v>
      </c>
      <c r="D1916" t="s">
        <v>3191</v>
      </c>
      <c r="E1916" t="s">
        <v>934</v>
      </c>
    </row>
    <row r="1917" spans="2:5">
      <c r="B1917" t="s">
        <v>3192</v>
      </c>
      <c r="C1917">
        <v>540526</v>
      </c>
      <c r="D1917" t="s">
        <v>3193</v>
      </c>
      <c r="E1917" t="s">
        <v>359</v>
      </c>
    </row>
    <row r="1918" spans="2:5">
      <c r="B1918" t="s">
        <v>3194</v>
      </c>
      <c r="C1918">
        <v>541956</v>
      </c>
      <c r="D1918" t="s">
        <v>3195</v>
      </c>
      <c r="E1918" t="s">
        <v>737</v>
      </c>
    </row>
    <row r="1919" spans="2:5">
      <c r="B1919" t="s">
        <v>3196</v>
      </c>
      <c r="C1919">
        <v>540735</v>
      </c>
      <c r="D1919" t="s">
        <v>339</v>
      </c>
      <c r="E1919" t="s">
        <v>432</v>
      </c>
    </row>
    <row r="1920" spans="2:5">
      <c r="B1920" t="s">
        <v>3197</v>
      </c>
      <c r="C1920" t="s">
        <v>339</v>
      </c>
      <c r="D1920" t="s">
        <v>3198</v>
      </c>
      <c r="E1920" t="s">
        <v>350</v>
      </c>
    </row>
    <row r="1921" spans="2:5">
      <c r="B1921" t="s">
        <v>3199</v>
      </c>
      <c r="C1921">
        <v>531337</v>
      </c>
      <c r="D1921" t="s">
        <v>339</v>
      </c>
      <c r="E1921" t="s">
        <v>322</v>
      </c>
    </row>
    <row r="1922" spans="2:5">
      <c r="B1922" t="s">
        <v>3200</v>
      </c>
      <c r="C1922">
        <v>526859</v>
      </c>
      <c r="D1922" t="s">
        <v>339</v>
      </c>
      <c r="E1922" t="s">
        <v>356</v>
      </c>
    </row>
    <row r="1923" spans="2:5">
      <c r="B1923" t="s">
        <v>3201</v>
      </c>
      <c r="C1923">
        <v>533033</v>
      </c>
      <c r="D1923" t="s">
        <v>339</v>
      </c>
      <c r="E1923" t="s">
        <v>347</v>
      </c>
    </row>
    <row r="1924" spans="2:5">
      <c r="B1924" t="s">
        <v>3202</v>
      </c>
      <c r="C1924">
        <v>540134</v>
      </c>
      <c r="D1924" t="s">
        <v>339</v>
      </c>
      <c r="E1924" t="s">
        <v>737</v>
      </c>
    </row>
    <row r="1925" spans="2:5">
      <c r="B1925" t="s">
        <v>3203</v>
      </c>
      <c r="C1925">
        <v>531109</v>
      </c>
      <c r="D1925" t="s">
        <v>339</v>
      </c>
      <c r="E1925" t="s">
        <v>499</v>
      </c>
    </row>
    <row r="1926" spans="2:5">
      <c r="B1926" t="s">
        <v>3204</v>
      </c>
      <c r="C1926">
        <v>524400</v>
      </c>
      <c r="D1926" t="s">
        <v>339</v>
      </c>
      <c r="E1926" t="s">
        <v>377</v>
      </c>
    </row>
    <row r="1927" spans="2:5">
      <c r="B1927" t="s">
        <v>3205</v>
      </c>
      <c r="C1927">
        <v>506161</v>
      </c>
      <c r="D1927" t="s">
        <v>339</v>
      </c>
      <c r="E1927" t="s">
        <v>356</v>
      </c>
    </row>
    <row r="1928" spans="2:5">
      <c r="B1928" t="s">
        <v>3206</v>
      </c>
      <c r="C1928">
        <v>511609</v>
      </c>
      <c r="D1928" t="s">
        <v>339</v>
      </c>
      <c r="E1928" t="s">
        <v>356</v>
      </c>
    </row>
    <row r="1929" spans="2:5">
      <c r="B1929" t="s">
        <v>3207</v>
      </c>
      <c r="C1929">
        <v>532479</v>
      </c>
      <c r="D1929" t="s">
        <v>3208</v>
      </c>
      <c r="E1929" t="s">
        <v>371</v>
      </c>
    </row>
    <row r="1930" spans="2:5">
      <c r="B1930" t="s">
        <v>3209</v>
      </c>
      <c r="C1930">
        <v>508807</v>
      </c>
      <c r="D1930" t="s">
        <v>339</v>
      </c>
      <c r="E1930" t="s">
        <v>694</v>
      </c>
    </row>
    <row r="1931" spans="2:5">
      <c r="B1931" t="s">
        <v>3210</v>
      </c>
      <c r="C1931">
        <v>524622</v>
      </c>
      <c r="D1931" t="s">
        <v>339</v>
      </c>
      <c r="E1931" t="s">
        <v>3098</v>
      </c>
    </row>
    <row r="1932" spans="2:5">
      <c r="B1932" t="s">
        <v>1043</v>
      </c>
      <c r="C1932">
        <v>500875</v>
      </c>
      <c r="D1932" t="s">
        <v>1044</v>
      </c>
      <c r="E1932" t="s">
        <v>2509</v>
      </c>
    </row>
    <row r="1933" spans="2:5">
      <c r="B1933" t="s">
        <v>3211</v>
      </c>
      <c r="C1933">
        <v>509496</v>
      </c>
      <c r="D1933" t="s">
        <v>3212</v>
      </c>
      <c r="E1933" t="s">
        <v>737</v>
      </c>
    </row>
    <row r="1934" spans="2:5">
      <c r="B1934" t="s">
        <v>3213</v>
      </c>
      <c r="C1934">
        <v>509496</v>
      </c>
      <c r="D1934" t="s">
        <v>3212</v>
      </c>
      <c r="E1934" t="s">
        <v>737</v>
      </c>
    </row>
    <row r="1935" spans="2:5">
      <c r="B1935" t="s">
        <v>3214</v>
      </c>
      <c r="C1935">
        <v>523610</v>
      </c>
      <c r="D1935" t="s">
        <v>3215</v>
      </c>
      <c r="E1935" t="s">
        <v>485</v>
      </c>
    </row>
    <row r="1936" spans="2:5">
      <c r="B1936" t="s">
        <v>3216</v>
      </c>
      <c r="C1936">
        <v>522183</v>
      </c>
      <c r="D1936" t="s">
        <v>339</v>
      </c>
      <c r="E1936" t="s">
        <v>347</v>
      </c>
    </row>
    <row r="1937" spans="2:5">
      <c r="B1937" t="s">
        <v>3217</v>
      </c>
      <c r="C1937">
        <v>507580</v>
      </c>
      <c r="D1937" t="s">
        <v>3218</v>
      </c>
      <c r="E1937" t="s">
        <v>387</v>
      </c>
    </row>
    <row r="1938" spans="2:5">
      <c r="B1938" t="s">
        <v>3219</v>
      </c>
      <c r="C1938">
        <v>530773</v>
      </c>
      <c r="D1938" t="s">
        <v>3220</v>
      </c>
      <c r="E1938" t="s">
        <v>737</v>
      </c>
    </row>
    <row r="1939" spans="2:5">
      <c r="B1939" t="s">
        <v>3221</v>
      </c>
      <c r="C1939">
        <v>522245</v>
      </c>
      <c r="D1939" t="s">
        <v>339</v>
      </c>
      <c r="E1939" t="s">
        <v>524</v>
      </c>
    </row>
    <row r="1940" spans="2:5">
      <c r="B1940" t="s">
        <v>3222</v>
      </c>
      <c r="C1940">
        <v>532341</v>
      </c>
      <c r="D1940" t="s">
        <v>3223</v>
      </c>
      <c r="E1940" t="s">
        <v>325</v>
      </c>
    </row>
    <row r="1941" spans="2:5">
      <c r="B1941" t="s">
        <v>3224</v>
      </c>
      <c r="C1941">
        <v>538539</v>
      </c>
      <c r="D1941" t="s">
        <v>339</v>
      </c>
      <c r="E1941" t="s">
        <v>359</v>
      </c>
    </row>
    <row r="1942" spans="2:5">
      <c r="B1942" t="s">
        <v>3225</v>
      </c>
      <c r="C1942">
        <v>530049</v>
      </c>
      <c r="D1942" t="s">
        <v>339</v>
      </c>
      <c r="E1942" t="s">
        <v>354</v>
      </c>
    </row>
    <row r="1943" spans="2:5">
      <c r="B1943" t="s">
        <v>3226</v>
      </c>
      <c r="C1943">
        <v>523062</v>
      </c>
      <c r="D1943" t="s">
        <v>339</v>
      </c>
      <c r="E1943" t="s">
        <v>356</v>
      </c>
    </row>
    <row r="1944" spans="2:5">
      <c r="B1944" t="s">
        <v>3227</v>
      </c>
      <c r="C1944">
        <v>532940</v>
      </c>
      <c r="D1944" t="s">
        <v>3228</v>
      </c>
      <c r="E1944" t="s">
        <v>737</v>
      </c>
    </row>
    <row r="1945" spans="2:5">
      <c r="B1945" t="s">
        <v>3229</v>
      </c>
      <c r="C1945">
        <v>506522</v>
      </c>
      <c r="D1945" t="s">
        <v>339</v>
      </c>
      <c r="E1945" t="s">
        <v>521</v>
      </c>
    </row>
    <row r="1946" spans="2:5">
      <c r="B1946" t="s">
        <v>3230</v>
      </c>
      <c r="C1946">
        <v>506522</v>
      </c>
      <c r="D1946" t="s">
        <v>339</v>
      </c>
      <c r="E1946" t="s">
        <v>521</v>
      </c>
    </row>
    <row r="1947" spans="2:5">
      <c r="B1947" t="s">
        <v>3231</v>
      </c>
      <c r="C1947">
        <v>530915</v>
      </c>
      <c r="D1947" t="s">
        <v>339</v>
      </c>
      <c r="E1947" t="s">
        <v>588</v>
      </c>
    </row>
    <row r="1948" spans="2:5">
      <c r="B1948" t="s">
        <v>3232</v>
      </c>
      <c r="C1948">
        <v>538422</v>
      </c>
      <c r="D1948" t="s">
        <v>339</v>
      </c>
      <c r="E1948" t="s">
        <v>359</v>
      </c>
    </row>
    <row r="1949" spans="2:5">
      <c r="B1949" t="s">
        <v>3233</v>
      </c>
      <c r="C1949">
        <v>530711</v>
      </c>
      <c r="D1949" t="s">
        <v>339</v>
      </c>
      <c r="E1949" t="s">
        <v>694</v>
      </c>
    </row>
    <row r="1950" spans="2:5">
      <c r="B1950" t="s">
        <v>3234</v>
      </c>
      <c r="C1950">
        <v>507155</v>
      </c>
      <c r="D1950" t="s">
        <v>339</v>
      </c>
      <c r="E1950" t="s">
        <v>970</v>
      </c>
    </row>
    <row r="1951" spans="2:5">
      <c r="B1951" t="s">
        <v>3235</v>
      </c>
      <c r="C1951">
        <v>532825</v>
      </c>
      <c r="D1951" t="s">
        <v>339</v>
      </c>
      <c r="E1951" t="s">
        <v>354</v>
      </c>
    </row>
    <row r="1952" spans="2:5">
      <c r="B1952" t="s">
        <v>3236</v>
      </c>
      <c r="C1952">
        <v>532705</v>
      </c>
      <c r="D1952" t="s">
        <v>3237</v>
      </c>
      <c r="E1952" t="s">
        <v>863</v>
      </c>
    </row>
    <row r="1953" spans="2:5">
      <c r="B1953" t="s">
        <v>3238</v>
      </c>
      <c r="C1953">
        <v>520139</v>
      </c>
      <c r="D1953" t="s">
        <v>339</v>
      </c>
      <c r="E1953" t="s">
        <v>2476</v>
      </c>
    </row>
    <row r="1954" spans="2:5">
      <c r="B1954" t="s">
        <v>3239</v>
      </c>
      <c r="C1954">
        <v>530601</v>
      </c>
      <c r="D1954" t="s">
        <v>339</v>
      </c>
      <c r="E1954" t="s">
        <v>356</v>
      </c>
    </row>
    <row r="1955" spans="2:5">
      <c r="B1955" t="s">
        <v>3240</v>
      </c>
      <c r="C1955">
        <v>507789</v>
      </c>
      <c r="D1955" t="s">
        <v>3241</v>
      </c>
      <c r="E1955" t="s">
        <v>377</v>
      </c>
    </row>
    <row r="1956" spans="2:5">
      <c r="B1956" t="s">
        <v>3242</v>
      </c>
      <c r="C1956">
        <v>532976</v>
      </c>
      <c r="D1956" t="s">
        <v>3243</v>
      </c>
      <c r="E1956" t="s">
        <v>371</v>
      </c>
    </row>
    <row r="1957" spans="2:5">
      <c r="B1957" t="s">
        <v>3244</v>
      </c>
      <c r="C1957">
        <v>512237</v>
      </c>
      <c r="D1957" t="s">
        <v>3245</v>
      </c>
      <c r="E1957" t="s">
        <v>371</v>
      </c>
    </row>
    <row r="1958" spans="2:5">
      <c r="B1958" t="s">
        <v>3246</v>
      </c>
      <c r="C1958">
        <v>523467</v>
      </c>
      <c r="D1958" t="s">
        <v>339</v>
      </c>
      <c r="E1958" t="s">
        <v>867</v>
      </c>
    </row>
    <row r="1959" spans="2:5">
      <c r="B1959" t="s">
        <v>3247</v>
      </c>
      <c r="C1959">
        <v>531339</v>
      </c>
      <c r="D1959" t="s">
        <v>3248</v>
      </c>
      <c r="E1959" t="s">
        <v>737</v>
      </c>
    </row>
    <row r="1960" spans="2:5">
      <c r="B1960" t="s">
        <v>3249</v>
      </c>
      <c r="C1960">
        <v>514312</v>
      </c>
      <c r="D1960" t="s">
        <v>339</v>
      </c>
      <c r="E1960" t="s">
        <v>354</v>
      </c>
    </row>
    <row r="1961" spans="2:5">
      <c r="B1961" t="s">
        <v>3250</v>
      </c>
      <c r="C1961">
        <v>500219</v>
      </c>
      <c r="D1961" t="s">
        <v>3251</v>
      </c>
      <c r="E1961" t="s">
        <v>459</v>
      </c>
    </row>
    <row r="1962" spans="2:5">
      <c r="B1962" t="s">
        <v>3250</v>
      </c>
      <c r="C1962">
        <v>570004</v>
      </c>
      <c r="D1962" t="s">
        <v>3252</v>
      </c>
      <c r="E1962" t="s">
        <v>459</v>
      </c>
    </row>
    <row r="1963" spans="2:5">
      <c r="B1963" t="s">
        <v>3253</v>
      </c>
      <c r="C1963">
        <v>539119</v>
      </c>
      <c r="D1963" t="s">
        <v>339</v>
      </c>
      <c r="E1963" t="s">
        <v>867</v>
      </c>
    </row>
    <row r="1964" spans="2:5">
      <c r="B1964" t="s">
        <v>3254</v>
      </c>
      <c r="C1964">
        <v>532033</v>
      </c>
      <c r="D1964" t="s">
        <v>3255</v>
      </c>
      <c r="E1964" t="s">
        <v>1077</v>
      </c>
    </row>
    <row r="1965" spans="2:5">
      <c r="B1965" t="s">
        <v>3256</v>
      </c>
      <c r="C1965">
        <v>526865</v>
      </c>
      <c r="D1965" t="s">
        <v>339</v>
      </c>
      <c r="E1965" t="s">
        <v>361</v>
      </c>
    </row>
    <row r="1966" spans="2:5">
      <c r="B1966" t="s">
        <v>3257</v>
      </c>
      <c r="C1966">
        <v>526865</v>
      </c>
      <c r="D1966" t="s">
        <v>339</v>
      </c>
      <c r="E1966" t="s">
        <v>361</v>
      </c>
    </row>
    <row r="1967" spans="2:5">
      <c r="B1967" t="s">
        <v>3258</v>
      </c>
      <c r="C1967">
        <v>505212</v>
      </c>
      <c r="D1967" t="s">
        <v>339</v>
      </c>
      <c r="E1967" t="s">
        <v>694</v>
      </c>
    </row>
    <row r="1968" spans="2:5">
      <c r="B1968" t="s">
        <v>3259</v>
      </c>
      <c r="C1968">
        <v>505840</v>
      </c>
      <c r="D1968" t="s">
        <v>339</v>
      </c>
      <c r="E1968" t="s">
        <v>1103</v>
      </c>
    </row>
    <row r="1969" spans="2:5">
      <c r="B1969" t="s">
        <v>3260</v>
      </c>
      <c r="C1969">
        <v>532532</v>
      </c>
      <c r="D1969" t="s">
        <v>3261</v>
      </c>
      <c r="E1969" t="s">
        <v>737</v>
      </c>
    </row>
    <row r="1970" spans="2:5">
      <c r="B1970" t="s">
        <v>3262</v>
      </c>
      <c r="C1970">
        <v>532627</v>
      </c>
      <c r="D1970" t="s">
        <v>3263</v>
      </c>
      <c r="E1970" t="s">
        <v>478</v>
      </c>
    </row>
    <row r="1971" spans="2:5">
      <c r="B1971" t="s">
        <v>3264</v>
      </c>
      <c r="C1971">
        <v>780001</v>
      </c>
      <c r="D1971" t="s">
        <v>339</v>
      </c>
      <c r="E1971" t="s">
        <v>430</v>
      </c>
    </row>
    <row r="1972" spans="2:5">
      <c r="B1972" t="s">
        <v>3265</v>
      </c>
      <c r="C1972" t="s">
        <v>339</v>
      </c>
      <c r="D1972" t="s">
        <v>3266</v>
      </c>
      <c r="E1972" t="s">
        <v>350</v>
      </c>
    </row>
    <row r="1973" spans="2:5">
      <c r="B1973" t="s">
        <v>3267</v>
      </c>
      <c r="C1973" t="s">
        <v>339</v>
      </c>
      <c r="D1973" t="s">
        <v>3268</v>
      </c>
      <c r="E1973" t="s">
        <v>350</v>
      </c>
    </row>
    <row r="1974" spans="2:5">
      <c r="B1974" t="s">
        <v>3269</v>
      </c>
      <c r="C1974" t="s">
        <v>339</v>
      </c>
      <c r="D1974" t="s">
        <v>3268</v>
      </c>
      <c r="E1974" t="s">
        <v>350</v>
      </c>
    </row>
    <row r="1975" spans="2:5">
      <c r="B1975" t="s">
        <v>3270</v>
      </c>
      <c r="C1975">
        <v>538564</v>
      </c>
      <c r="D1975" t="s">
        <v>339</v>
      </c>
      <c r="E1975" t="s">
        <v>746</v>
      </c>
    </row>
    <row r="1976" spans="2:5">
      <c r="B1976" t="s">
        <v>3271</v>
      </c>
      <c r="C1976">
        <v>520051</v>
      </c>
      <c r="D1976" t="s">
        <v>3272</v>
      </c>
      <c r="E1976" t="s">
        <v>694</v>
      </c>
    </row>
    <row r="1977" spans="2:5">
      <c r="B1977" t="s">
        <v>3273</v>
      </c>
      <c r="C1977">
        <v>502901</v>
      </c>
      <c r="D1977" t="s">
        <v>339</v>
      </c>
      <c r="E1977" t="s">
        <v>354</v>
      </c>
    </row>
    <row r="1978" spans="2:5">
      <c r="B1978" t="s">
        <v>3274</v>
      </c>
      <c r="C1978">
        <v>500220</v>
      </c>
      <c r="D1978" t="s">
        <v>339</v>
      </c>
      <c r="E1978" t="s">
        <v>354</v>
      </c>
    </row>
    <row r="1979" spans="2:5">
      <c r="B1979" t="s">
        <v>3275</v>
      </c>
      <c r="C1979">
        <v>540394</v>
      </c>
      <c r="D1979" t="s">
        <v>339</v>
      </c>
      <c r="E1979" t="s">
        <v>361</v>
      </c>
    </row>
    <row r="1980" spans="2:5">
      <c r="B1980" t="s">
        <v>3276</v>
      </c>
      <c r="C1980" t="s">
        <v>339</v>
      </c>
      <c r="D1980" t="s">
        <v>3277</v>
      </c>
      <c r="E1980" t="s">
        <v>350</v>
      </c>
    </row>
    <row r="1981" spans="2:5">
      <c r="B1981" t="s">
        <v>3278</v>
      </c>
      <c r="C1981">
        <v>514318</v>
      </c>
      <c r="D1981" t="s">
        <v>339</v>
      </c>
      <c r="E1981" t="s">
        <v>354</v>
      </c>
    </row>
    <row r="1982" spans="2:5">
      <c r="B1982" t="s">
        <v>3279</v>
      </c>
      <c r="C1982">
        <v>526001</v>
      </c>
      <c r="D1982" t="s">
        <v>339</v>
      </c>
      <c r="E1982" t="s">
        <v>534</v>
      </c>
    </row>
    <row r="1983" spans="2:5">
      <c r="B1983" t="s">
        <v>3280</v>
      </c>
      <c r="C1983">
        <v>520066</v>
      </c>
      <c r="D1983" t="s">
        <v>3281</v>
      </c>
      <c r="E1983" t="s">
        <v>694</v>
      </c>
    </row>
    <row r="1984" spans="2:5">
      <c r="B1984" t="s">
        <v>3282</v>
      </c>
      <c r="C1984">
        <v>509715</v>
      </c>
      <c r="D1984" t="s">
        <v>339</v>
      </c>
      <c r="E1984" t="s">
        <v>746</v>
      </c>
    </row>
    <row r="1985" spans="2:5">
      <c r="B1985" t="s">
        <v>3283</v>
      </c>
      <c r="C1985">
        <v>513252</v>
      </c>
      <c r="D1985" t="s">
        <v>339</v>
      </c>
      <c r="E1985" t="s">
        <v>694</v>
      </c>
    </row>
    <row r="1986" spans="2:5">
      <c r="B1986" t="s">
        <v>3284</v>
      </c>
      <c r="C1986">
        <v>524330</v>
      </c>
      <c r="D1986" t="s">
        <v>3285</v>
      </c>
      <c r="E1986" t="s">
        <v>499</v>
      </c>
    </row>
    <row r="1987" spans="2:5">
      <c r="B1987" t="s">
        <v>3286</v>
      </c>
      <c r="C1987">
        <v>522285</v>
      </c>
      <c r="D1987" t="s">
        <v>3287</v>
      </c>
      <c r="E1987" t="s">
        <v>371</v>
      </c>
    </row>
    <row r="1988" spans="2:5">
      <c r="B1988" t="s">
        <v>3288</v>
      </c>
      <c r="C1988">
        <v>539005</v>
      </c>
      <c r="D1988" t="s">
        <v>339</v>
      </c>
      <c r="E1988" t="s">
        <v>760</v>
      </c>
    </row>
    <row r="1989" spans="2:5">
      <c r="B1989" t="s">
        <v>3289</v>
      </c>
      <c r="C1989">
        <v>531323</v>
      </c>
      <c r="D1989" t="s">
        <v>339</v>
      </c>
      <c r="E1989" t="s">
        <v>354</v>
      </c>
    </row>
    <row r="1990" spans="2:5">
      <c r="B1990" t="s">
        <v>3290</v>
      </c>
      <c r="C1990">
        <v>512233</v>
      </c>
      <c r="D1990" t="s">
        <v>339</v>
      </c>
      <c r="E1990" t="s">
        <v>354</v>
      </c>
    </row>
    <row r="1991" spans="2:5">
      <c r="B1991" t="s">
        <v>3291</v>
      </c>
      <c r="C1991">
        <v>500306</v>
      </c>
      <c r="D1991" t="s">
        <v>339</v>
      </c>
      <c r="E1991" t="s">
        <v>356</v>
      </c>
    </row>
    <row r="1992" spans="2:5">
      <c r="B1992" t="s">
        <v>3292</v>
      </c>
      <c r="C1992">
        <v>533207</v>
      </c>
      <c r="D1992" t="s">
        <v>3293</v>
      </c>
      <c r="E1992" t="s">
        <v>934</v>
      </c>
    </row>
    <row r="1993" spans="2:5">
      <c r="B1993" t="s">
        <v>3294</v>
      </c>
      <c r="C1993">
        <v>506520</v>
      </c>
      <c r="D1993" t="s">
        <v>339</v>
      </c>
      <c r="E1993" t="s">
        <v>387</v>
      </c>
    </row>
    <row r="1994" spans="2:5">
      <c r="B1994" t="s">
        <v>3295</v>
      </c>
      <c r="C1994" t="s">
        <v>339</v>
      </c>
      <c r="D1994" t="s">
        <v>3296</v>
      </c>
      <c r="E1994" t="s">
        <v>430</v>
      </c>
    </row>
    <row r="1995" spans="2:5">
      <c r="B1995" t="s">
        <v>3297</v>
      </c>
      <c r="C1995">
        <v>506910</v>
      </c>
      <c r="D1995" t="s">
        <v>339</v>
      </c>
      <c r="E1995" t="s">
        <v>499</v>
      </c>
    </row>
    <row r="1996" spans="2:5">
      <c r="B1996" t="s">
        <v>3298</v>
      </c>
      <c r="C1996">
        <v>506910</v>
      </c>
      <c r="D1996" t="s">
        <v>339</v>
      </c>
      <c r="E1996" t="s">
        <v>499</v>
      </c>
    </row>
    <row r="1997" spans="2:5">
      <c r="B1997" t="s">
        <v>3299</v>
      </c>
      <c r="C1997">
        <v>506943</v>
      </c>
      <c r="D1997" t="s">
        <v>3300</v>
      </c>
      <c r="E1997" t="s">
        <v>377</v>
      </c>
    </row>
    <row r="1998" spans="2:5">
      <c r="B1998" t="s">
        <v>3301</v>
      </c>
      <c r="C1998">
        <v>514034</v>
      </c>
      <c r="D1998" t="s">
        <v>3302</v>
      </c>
      <c r="E1998" t="s">
        <v>716</v>
      </c>
    </row>
    <row r="1999" spans="2:5">
      <c r="B1999" t="s">
        <v>3303</v>
      </c>
      <c r="C1999">
        <v>532605</v>
      </c>
      <c r="D1999" t="s">
        <v>3304</v>
      </c>
      <c r="E1999" t="s">
        <v>694</v>
      </c>
    </row>
    <row r="2000" spans="2:5">
      <c r="B2000" t="s">
        <v>3305</v>
      </c>
      <c r="C2000">
        <v>500223</v>
      </c>
      <c r="D2000" t="s">
        <v>339</v>
      </c>
      <c r="E2000" t="s">
        <v>354</v>
      </c>
    </row>
    <row r="2001" spans="2:5">
      <c r="B2001" t="s">
        <v>3306</v>
      </c>
      <c r="C2001">
        <v>524592</v>
      </c>
      <c r="D2001" t="s">
        <v>339</v>
      </c>
      <c r="E2001" t="s">
        <v>499</v>
      </c>
    </row>
    <row r="2002" spans="2:5">
      <c r="B2002" t="s">
        <v>3307</v>
      </c>
      <c r="C2002">
        <v>538837</v>
      </c>
      <c r="D2002" t="s">
        <v>339</v>
      </c>
      <c r="E2002" t="s">
        <v>345</v>
      </c>
    </row>
    <row r="2003" spans="2:5">
      <c r="B2003" t="s">
        <v>3308</v>
      </c>
      <c r="C2003">
        <v>524731</v>
      </c>
      <c r="D2003" t="s">
        <v>339</v>
      </c>
      <c r="E2003" t="s">
        <v>377</v>
      </c>
    </row>
    <row r="2004" spans="2:5">
      <c r="B2004" t="s">
        <v>3309</v>
      </c>
      <c r="C2004">
        <v>532617</v>
      </c>
      <c r="D2004" t="s">
        <v>3310</v>
      </c>
      <c r="E2004" t="s">
        <v>2476</v>
      </c>
    </row>
    <row r="2005" spans="2:5">
      <c r="B2005" t="s">
        <v>3311</v>
      </c>
      <c r="C2005">
        <v>532617</v>
      </c>
      <c r="D2005" t="s">
        <v>3310</v>
      </c>
      <c r="E2005" t="s">
        <v>2476</v>
      </c>
    </row>
    <row r="2006" spans="2:5">
      <c r="B2006" t="s">
        <v>3312</v>
      </c>
      <c r="C2006" t="s">
        <v>339</v>
      </c>
      <c r="D2006" t="s">
        <v>3313</v>
      </c>
      <c r="E2006" t="s">
        <v>350</v>
      </c>
    </row>
    <row r="2007" spans="2:5">
      <c r="B2007" t="s">
        <v>3314</v>
      </c>
      <c r="C2007">
        <v>538794</v>
      </c>
      <c r="D2007" t="s">
        <v>339</v>
      </c>
      <c r="E2007" t="s">
        <v>425</v>
      </c>
    </row>
    <row r="2008" spans="2:5">
      <c r="B2008" t="s">
        <v>3315</v>
      </c>
      <c r="C2008" t="s">
        <v>339</v>
      </c>
      <c r="D2008" t="s">
        <v>3316</v>
      </c>
      <c r="E2008" t="s">
        <v>350</v>
      </c>
    </row>
    <row r="2009" spans="2:5">
      <c r="B2009" t="s">
        <v>3317</v>
      </c>
      <c r="C2009">
        <v>517063</v>
      </c>
      <c r="D2009" t="s">
        <v>339</v>
      </c>
      <c r="E2009" t="s">
        <v>824</v>
      </c>
    </row>
    <row r="2010" spans="2:5">
      <c r="B2010" t="s">
        <v>3318</v>
      </c>
      <c r="C2010">
        <v>540850</v>
      </c>
      <c r="D2010" t="s">
        <v>339</v>
      </c>
      <c r="E2010" t="s">
        <v>399</v>
      </c>
    </row>
    <row r="2011" spans="2:5">
      <c r="B2011" t="s">
        <v>3319</v>
      </c>
      <c r="C2011">
        <v>531550</v>
      </c>
      <c r="D2011" t="s">
        <v>339</v>
      </c>
      <c r="E2011" t="s">
        <v>322</v>
      </c>
    </row>
    <row r="2012" spans="2:5">
      <c r="B2012" t="s">
        <v>3320</v>
      </c>
      <c r="C2012">
        <v>532771</v>
      </c>
      <c r="D2012" t="s">
        <v>3321</v>
      </c>
      <c r="E2012" t="s">
        <v>521</v>
      </c>
    </row>
    <row r="2013" spans="2:5">
      <c r="B2013" t="s">
        <v>3322</v>
      </c>
      <c r="C2013">
        <v>540651</v>
      </c>
      <c r="D2013" t="s">
        <v>339</v>
      </c>
      <c r="E2013" t="s">
        <v>637</v>
      </c>
    </row>
    <row r="2014" spans="2:5">
      <c r="B2014" t="s">
        <v>3323</v>
      </c>
      <c r="C2014">
        <v>780019</v>
      </c>
      <c r="D2014" t="s">
        <v>339</v>
      </c>
      <c r="E2014" t="s">
        <v>430</v>
      </c>
    </row>
    <row r="2015" spans="2:5">
      <c r="B2015" t="s">
        <v>3324</v>
      </c>
      <c r="C2015">
        <v>511618</v>
      </c>
      <c r="D2015" t="s">
        <v>3325</v>
      </c>
      <c r="E2015" t="s">
        <v>361</v>
      </c>
    </row>
    <row r="2016" spans="2:5">
      <c r="B2016" t="s">
        <v>3326</v>
      </c>
      <c r="C2016">
        <v>542653</v>
      </c>
      <c r="D2016" t="s">
        <v>3327</v>
      </c>
      <c r="E2016" t="s">
        <v>895</v>
      </c>
    </row>
    <row r="2017" spans="2:5">
      <c r="B2017" t="s">
        <v>3328</v>
      </c>
      <c r="C2017">
        <v>530405</v>
      </c>
      <c r="D2017" t="s">
        <v>339</v>
      </c>
      <c r="E2017" t="s">
        <v>322</v>
      </c>
    </row>
    <row r="2018" spans="2:5">
      <c r="B2018" t="s">
        <v>3329</v>
      </c>
      <c r="C2018">
        <v>533103</v>
      </c>
      <c r="D2018" t="s">
        <v>3330</v>
      </c>
      <c r="E2018" t="s">
        <v>354</v>
      </c>
    </row>
    <row r="2019" spans="2:5">
      <c r="B2019" t="s">
        <v>3331</v>
      </c>
      <c r="C2019">
        <v>511034</v>
      </c>
      <c r="D2019" t="s">
        <v>3332</v>
      </c>
      <c r="E2019" t="s">
        <v>402</v>
      </c>
    </row>
    <row r="2020" spans="2:5">
      <c r="B2020" t="s">
        <v>3333</v>
      </c>
      <c r="C2020">
        <v>507981</v>
      </c>
      <c r="D2020" t="s">
        <v>339</v>
      </c>
      <c r="E2020" t="s">
        <v>540</v>
      </c>
    </row>
    <row r="2021" spans="2:5">
      <c r="B2021" t="s">
        <v>3334</v>
      </c>
      <c r="C2021">
        <v>539947</v>
      </c>
      <c r="D2021" t="s">
        <v>339</v>
      </c>
      <c r="E2021" t="s">
        <v>359</v>
      </c>
    </row>
    <row r="2022" spans="2:5">
      <c r="B2022" t="s">
        <v>3335</v>
      </c>
      <c r="C2022">
        <v>532624</v>
      </c>
      <c r="D2022" t="s">
        <v>3336</v>
      </c>
      <c r="E2022" t="s">
        <v>1577</v>
      </c>
    </row>
    <row r="2023" spans="2:5">
      <c r="B2023" t="s">
        <v>3337</v>
      </c>
      <c r="C2023">
        <v>500227</v>
      </c>
      <c r="D2023" t="s">
        <v>3338</v>
      </c>
      <c r="E2023" t="s">
        <v>387</v>
      </c>
    </row>
    <row r="2024" spans="2:5">
      <c r="B2024" t="s">
        <v>3339</v>
      </c>
      <c r="C2024">
        <v>536773</v>
      </c>
      <c r="D2024" t="s">
        <v>3340</v>
      </c>
      <c r="E2024" t="s">
        <v>322</v>
      </c>
    </row>
    <row r="2025" spans="2:5">
      <c r="B2025" t="s">
        <v>3341</v>
      </c>
      <c r="C2025">
        <v>500378</v>
      </c>
      <c r="D2025" t="s">
        <v>3342</v>
      </c>
      <c r="E2025" t="s">
        <v>737</v>
      </c>
    </row>
    <row r="2026" spans="2:5">
      <c r="B2026" t="s">
        <v>3343</v>
      </c>
      <c r="C2026">
        <v>539597</v>
      </c>
      <c r="D2026" t="s">
        <v>3344</v>
      </c>
      <c r="E2026" t="s">
        <v>662</v>
      </c>
    </row>
    <row r="2027" spans="2:5">
      <c r="B2027" t="s">
        <v>3345</v>
      </c>
      <c r="C2027">
        <v>532508</v>
      </c>
      <c r="D2027" t="s">
        <v>3346</v>
      </c>
      <c r="E2027" t="s">
        <v>371</v>
      </c>
    </row>
    <row r="2028" spans="2:5">
      <c r="B2028" t="s">
        <v>3347</v>
      </c>
      <c r="C2028">
        <v>532286</v>
      </c>
      <c r="D2028" t="s">
        <v>3348</v>
      </c>
      <c r="E2028" t="s">
        <v>371</v>
      </c>
    </row>
    <row r="2029" spans="2:5">
      <c r="B2029" t="s">
        <v>3349</v>
      </c>
      <c r="C2029">
        <v>531543</v>
      </c>
      <c r="D2029" t="s">
        <v>3350</v>
      </c>
      <c r="E2029" t="s">
        <v>354</v>
      </c>
    </row>
    <row r="2030" spans="2:5">
      <c r="B2030" t="s">
        <v>3351</v>
      </c>
      <c r="C2030">
        <v>540311</v>
      </c>
      <c r="D2030" t="s">
        <v>3352</v>
      </c>
      <c r="E2030" t="s">
        <v>462</v>
      </c>
    </row>
    <row r="2031" spans="2:5">
      <c r="B2031" t="s">
        <v>3353</v>
      </c>
      <c r="C2031">
        <v>539225</v>
      </c>
      <c r="D2031" t="s">
        <v>339</v>
      </c>
      <c r="E2031" t="s">
        <v>364</v>
      </c>
    </row>
    <row r="2032" spans="2:5">
      <c r="B2032" t="s">
        <v>3354</v>
      </c>
      <c r="C2032">
        <v>536493</v>
      </c>
      <c r="D2032" t="s">
        <v>339</v>
      </c>
      <c r="E2032" t="s">
        <v>537</v>
      </c>
    </row>
    <row r="2033" spans="2:5">
      <c r="B2033" t="s">
        <v>3355</v>
      </c>
      <c r="C2033">
        <v>532644</v>
      </c>
      <c r="D2033" t="s">
        <v>3356</v>
      </c>
      <c r="E2033" t="s">
        <v>352</v>
      </c>
    </row>
    <row r="2034" spans="2:5">
      <c r="B2034" t="s">
        <v>3357</v>
      </c>
      <c r="C2034">
        <v>500380</v>
      </c>
      <c r="D2034" t="s">
        <v>3358</v>
      </c>
      <c r="E2034" t="s">
        <v>352</v>
      </c>
    </row>
    <row r="2035" spans="2:5">
      <c r="B2035" t="s">
        <v>3359</v>
      </c>
      <c r="C2035">
        <v>532162</v>
      </c>
      <c r="D2035" t="s">
        <v>3360</v>
      </c>
      <c r="E2035" t="s">
        <v>333</v>
      </c>
    </row>
    <row r="2036" spans="2:5">
      <c r="B2036" t="s">
        <v>3361</v>
      </c>
      <c r="C2036">
        <v>530007</v>
      </c>
      <c r="D2036" t="s">
        <v>3362</v>
      </c>
      <c r="E2036" t="s">
        <v>819</v>
      </c>
    </row>
    <row r="2037" spans="2:5">
      <c r="B2037" t="s">
        <v>3363</v>
      </c>
      <c r="C2037">
        <v>538765</v>
      </c>
      <c r="D2037" t="s">
        <v>339</v>
      </c>
      <c r="E2037" t="s">
        <v>3098</v>
      </c>
    </row>
    <row r="2038" spans="2:5">
      <c r="B2038" t="s">
        <v>3364</v>
      </c>
      <c r="C2038">
        <v>523405</v>
      </c>
      <c r="D2038" t="s">
        <v>3365</v>
      </c>
      <c r="E2038" t="s">
        <v>505</v>
      </c>
    </row>
    <row r="2039" spans="2:5">
      <c r="B2039" t="s">
        <v>3366</v>
      </c>
      <c r="C2039">
        <v>522263</v>
      </c>
      <c r="D2039" t="s">
        <v>3367</v>
      </c>
      <c r="E2039" t="s">
        <v>737</v>
      </c>
    </row>
    <row r="2040" spans="2:5">
      <c r="B2040" t="s">
        <v>3368</v>
      </c>
      <c r="C2040">
        <v>522263</v>
      </c>
      <c r="D2040" t="s">
        <v>3367</v>
      </c>
      <c r="E2040" t="s">
        <v>737</v>
      </c>
    </row>
    <row r="2041" spans="2:5">
      <c r="B2041" t="s">
        <v>3369</v>
      </c>
      <c r="C2041">
        <v>511092</v>
      </c>
      <c r="D2041" t="s">
        <v>339</v>
      </c>
      <c r="E2041" t="s">
        <v>342</v>
      </c>
    </row>
    <row r="2042" spans="2:5">
      <c r="B2042" t="s">
        <v>3370</v>
      </c>
      <c r="C2042">
        <v>523712</v>
      </c>
      <c r="D2042" t="s">
        <v>339</v>
      </c>
      <c r="E2042" t="s">
        <v>459</v>
      </c>
    </row>
    <row r="2043" spans="2:5">
      <c r="B2043" t="s">
        <v>3371</v>
      </c>
      <c r="C2043">
        <v>513691</v>
      </c>
      <c r="D2043" t="s">
        <v>3372</v>
      </c>
      <c r="E2043" t="s">
        <v>694</v>
      </c>
    </row>
    <row r="2044" spans="2:5">
      <c r="B2044" t="s">
        <v>3373</v>
      </c>
      <c r="C2044" t="s">
        <v>339</v>
      </c>
      <c r="D2044" t="s">
        <v>3374</v>
      </c>
      <c r="E2044" t="s">
        <v>430</v>
      </c>
    </row>
    <row r="2045" spans="2:5">
      <c r="B2045" t="s">
        <v>3375</v>
      </c>
      <c r="C2045">
        <v>523398</v>
      </c>
      <c r="D2045" t="s">
        <v>3376</v>
      </c>
      <c r="E2045" t="s">
        <v>708</v>
      </c>
    </row>
    <row r="2046" spans="2:5">
      <c r="B2046" t="s">
        <v>3377</v>
      </c>
      <c r="C2046">
        <v>523398</v>
      </c>
      <c r="D2046" t="s">
        <v>3376</v>
      </c>
      <c r="E2046" t="s">
        <v>708</v>
      </c>
    </row>
    <row r="2047" spans="2:5">
      <c r="B2047" t="s">
        <v>3378</v>
      </c>
      <c r="C2047">
        <v>531861</v>
      </c>
      <c r="D2047" t="s">
        <v>339</v>
      </c>
      <c r="E2047" t="s">
        <v>322</v>
      </c>
    </row>
    <row r="2048" spans="2:5">
      <c r="B2048" t="s">
        <v>3379</v>
      </c>
      <c r="C2048">
        <v>534659</v>
      </c>
      <c r="D2048" t="s">
        <v>339</v>
      </c>
      <c r="E2048" t="s">
        <v>325</v>
      </c>
    </row>
    <row r="2049" spans="2:5">
      <c r="B2049" t="s">
        <v>3380</v>
      </c>
      <c r="C2049">
        <v>542446</v>
      </c>
      <c r="D2049" t="s">
        <v>3381</v>
      </c>
      <c r="E2049" t="s">
        <v>423</v>
      </c>
    </row>
    <row r="2050" spans="2:5">
      <c r="B2050" t="s">
        <v>3382</v>
      </c>
      <c r="C2050">
        <v>538092</v>
      </c>
      <c r="D2050" t="s">
        <v>339</v>
      </c>
      <c r="E2050" t="s">
        <v>746</v>
      </c>
    </row>
    <row r="2051" spans="2:5">
      <c r="B2051" t="s">
        <v>3383</v>
      </c>
      <c r="C2051">
        <v>505750</v>
      </c>
      <c r="D2051" t="s">
        <v>339</v>
      </c>
      <c r="E2051" t="s">
        <v>347</v>
      </c>
    </row>
    <row r="2052" spans="2:5">
      <c r="B2052" t="s">
        <v>3384</v>
      </c>
      <c r="C2052">
        <v>508929</v>
      </c>
      <c r="D2052" t="s">
        <v>339</v>
      </c>
      <c r="E2052" t="s">
        <v>425</v>
      </c>
    </row>
    <row r="2053" spans="2:5">
      <c r="B2053" t="s">
        <v>3385</v>
      </c>
      <c r="C2053">
        <v>530985</v>
      </c>
      <c r="D2053" t="s">
        <v>339</v>
      </c>
      <c r="E2053" t="s">
        <v>356</v>
      </c>
    </row>
    <row r="2054" spans="2:5">
      <c r="B2054" t="s">
        <v>3386</v>
      </c>
      <c r="C2054">
        <v>506016</v>
      </c>
      <c r="D2054" t="s">
        <v>339</v>
      </c>
      <c r="E2054" t="s">
        <v>737</v>
      </c>
    </row>
    <row r="2055" spans="2:5">
      <c r="B2055" t="s">
        <v>3387</v>
      </c>
      <c r="C2055">
        <v>504080</v>
      </c>
      <c r="D2055" t="s">
        <v>339</v>
      </c>
      <c r="E2055" t="s">
        <v>637</v>
      </c>
    </row>
    <row r="2056" spans="2:5">
      <c r="B2056" t="s">
        <v>3388</v>
      </c>
      <c r="C2056">
        <v>533148</v>
      </c>
      <c r="D2056" t="s">
        <v>3389</v>
      </c>
      <c r="E2056" t="s">
        <v>478</v>
      </c>
    </row>
    <row r="2057" spans="2:5">
      <c r="B2057" t="s">
        <v>3390</v>
      </c>
      <c r="C2057">
        <v>532642</v>
      </c>
      <c r="D2057" t="s">
        <v>3391</v>
      </c>
      <c r="E2057" t="s">
        <v>505</v>
      </c>
    </row>
    <row r="2058" spans="2:5">
      <c r="B2058" t="s">
        <v>3392</v>
      </c>
      <c r="C2058">
        <v>500228</v>
      </c>
      <c r="D2058" t="s">
        <v>3393</v>
      </c>
      <c r="E2058" t="s">
        <v>371</v>
      </c>
    </row>
    <row r="2059" spans="2:5">
      <c r="B2059" t="s">
        <v>3394</v>
      </c>
      <c r="C2059">
        <v>520057</v>
      </c>
      <c r="D2059" t="s">
        <v>3395</v>
      </c>
      <c r="E2059" t="s">
        <v>694</v>
      </c>
    </row>
    <row r="2060" spans="2:5">
      <c r="B2060" t="s">
        <v>3396</v>
      </c>
      <c r="C2060">
        <v>520057</v>
      </c>
      <c r="D2060" t="s">
        <v>3397</v>
      </c>
      <c r="E2060" t="s">
        <v>694</v>
      </c>
    </row>
    <row r="2061" spans="2:5">
      <c r="B2061" t="s">
        <v>3398</v>
      </c>
      <c r="C2061">
        <v>534600</v>
      </c>
      <c r="D2061" t="s">
        <v>339</v>
      </c>
      <c r="E2061" t="s">
        <v>662</v>
      </c>
    </row>
    <row r="2062" spans="2:5">
      <c r="B2062" t="s">
        <v>3399</v>
      </c>
      <c r="C2062">
        <v>533155</v>
      </c>
      <c r="D2062" t="s">
        <v>3400</v>
      </c>
      <c r="E2062" t="s">
        <v>828</v>
      </c>
    </row>
    <row r="2063" spans="2:5">
      <c r="B2063" t="s">
        <v>3401</v>
      </c>
      <c r="C2063">
        <v>533320</v>
      </c>
      <c r="D2063" t="s">
        <v>3402</v>
      </c>
      <c r="E2063" t="s">
        <v>483</v>
      </c>
    </row>
    <row r="2064" spans="2:5">
      <c r="B2064" t="s">
        <v>3403</v>
      </c>
      <c r="C2064">
        <v>530019</v>
      </c>
      <c r="D2064" t="s">
        <v>3404</v>
      </c>
      <c r="E2064" t="s">
        <v>377</v>
      </c>
    </row>
    <row r="2065" spans="2:5">
      <c r="B2065" t="s">
        <v>3405</v>
      </c>
      <c r="C2065" t="s">
        <v>339</v>
      </c>
      <c r="D2065" t="s">
        <v>3406</v>
      </c>
      <c r="E2065" t="s">
        <v>430</v>
      </c>
    </row>
    <row r="2066" spans="2:5">
      <c r="B2066" t="s">
        <v>3407</v>
      </c>
      <c r="C2066">
        <v>516078</v>
      </c>
      <c r="D2066" t="s">
        <v>339</v>
      </c>
      <c r="E2066" t="s">
        <v>534</v>
      </c>
    </row>
    <row r="2067" spans="2:5">
      <c r="B2067" t="s">
        <v>3408</v>
      </c>
      <c r="C2067">
        <v>511060</v>
      </c>
      <c r="D2067" t="s">
        <v>339</v>
      </c>
      <c r="E2067" t="s">
        <v>760</v>
      </c>
    </row>
    <row r="2068" spans="2:5">
      <c r="B2068" t="s">
        <v>3409</v>
      </c>
      <c r="C2068">
        <v>539216</v>
      </c>
      <c r="D2068" t="s">
        <v>339</v>
      </c>
      <c r="E2068" t="s">
        <v>354</v>
      </c>
    </row>
    <row r="2069" spans="2:5">
      <c r="B2069" t="s">
        <v>3410</v>
      </c>
      <c r="C2069">
        <v>507987</v>
      </c>
      <c r="D2069" t="s">
        <v>339</v>
      </c>
      <c r="E2069" t="s">
        <v>356</v>
      </c>
    </row>
    <row r="2070" spans="2:5">
      <c r="B2070" t="s">
        <v>3411</v>
      </c>
      <c r="C2070">
        <v>534623</v>
      </c>
      <c r="D2070" t="s">
        <v>339</v>
      </c>
      <c r="E2070" t="s">
        <v>3098</v>
      </c>
    </row>
    <row r="2071" spans="2:5">
      <c r="B2071" t="s">
        <v>3412</v>
      </c>
      <c r="C2071">
        <v>535648</v>
      </c>
      <c r="D2071" t="s">
        <v>3413</v>
      </c>
      <c r="E2071" t="s">
        <v>863</v>
      </c>
    </row>
    <row r="2072" spans="2:5">
      <c r="B2072" t="s">
        <v>3414</v>
      </c>
      <c r="C2072">
        <v>531035</v>
      </c>
      <c r="D2072" t="s">
        <v>339</v>
      </c>
      <c r="E2072" t="s">
        <v>996</v>
      </c>
    </row>
    <row r="2073" spans="2:5">
      <c r="B2073" t="s">
        <v>3415</v>
      </c>
      <c r="C2073">
        <v>519248</v>
      </c>
      <c r="D2073" t="s">
        <v>3416</v>
      </c>
      <c r="E2073" t="s">
        <v>588</v>
      </c>
    </row>
    <row r="2074" spans="2:5">
      <c r="B2074" t="s">
        <v>3417</v>
      </c>
      <c r="C2074">
        <v>542544</v>
      </c>
      <c r="D2074" t="s">
        <v>3418</v>
      </c>
      <c r="E2074" t="s">
        <v>322</v>
      </c>
    </row>
    <row r="2075" spans="2:5">
      <c r="B2075" t="s">
        <v>3419</v>
      </c>
      <c r="C2075">
        <v>532926</v>
      </c>
      <c r="D2075" t="s">
        <v>3420</v>
      </c>
      <c r="E2075" t="s">
        <v>2157</v>
      </c>
    </row>
    <row r="2076" spans="2:5">
      <c r="B2076" t="s">
        <v>3421</v>
      </c>
      <c r="C2076">
        <v>504076</v>
      </c>
      <c r="D2076" t="s">
        <v>339</v>
      </c>
      <c r="E2076" t="s">
        <v>382</v>
      </c>
    </row>
    <row r="2077" spans="2:5">
      <c r="B2077" t="s">
        <v>3422</v>
      </c>
      <c r="C2077">
        <v>514448</v>
      </c>
      <c r="D2077" t="s">
        <v>339</v>
      </c>
      <c r="E2077" t="s">
        <v>499</v>
      </c>
    </row>
    <row r="2078" spans="2:5">
      <c r="B2078" t="s">
        <v>3423</v>
      </c>
      <c r="C2078">
        <v>513250</v>
      </c>
      <c r="D2078" t="s">
        <v>3424</v>
      </c>
      <c r="E2078" t="s">
        <v>382</v>
      </c>
    </row>
    <row r="2079" spans="2:5">
      <c r="B2079" t="s">
        <v>3425</v>
      </c>
      <c r="C2079">
        <v>539246</v>
      </c>
      <c r="D2079" t="s">
        <v>339</v>
      </c>
      <c r="E2079" t="s">
        <v>361</v>
      </c>
    </row>
    <row r="2080" spans="2:5">
      <c r="B2080" t="s">
        <v>3426</v>
      </c>
      <c r="C2080">
        <v>532673</v>
      </c>
      <c r="D2080" t="s">
        <v>3427</v>
      </c>
      <c r="E2080" t="s">
        <v>1037</v>
      </c>
    </row>
    <row r="2081" spans="2:5">
      <c r="B2081" t="s">
        <v>3428</v>
      </c>
      <c r="C2081">
        <v>539686</v>
      </c>
      <c r="D2081" t="s">
        <v>339</v>
      </c>
      <c r="E2081" t="s">
        <v>478</v>
      </c>
    </row>
    <row r="2082" spans="2:5">
      <c r="B2082" t="s">
        <v>3429</v>
      </c>
      <c r="C2082">
        <v>532889</v>
      </c>
      <c r="D2082" t="s">
        <v>3430</v>
      </c>
      <c r="E2082" t="s">
        <v>354</v>
      </c>
    </row>
    <row r="2083" spans="2:5">
      <c r="B2083" t="s">
        <v>3431</v>
      </c>
      <c r="C2083">
        <v>511728</v>
      </c>
      <c r="D2083" t="s">
        <v>339</v>
      </c>
      <c r="E2083" t="s">
        <v>356</v>
      </c>
    </row>
    <row r="2084" spans="2:5">
      <c r="B2084" t="s">
        <v>3432</v>
      </c>
      <c r="C2084">
        <v>514360</v>
      </c>
      <c r="D2084" t="s">
        <v>339</v>
      </c>
      <c r="E2084" t="s">
        <v>737</v>
      </c>
    </row>
    <row r="2085" spans="2:5">
      <c r="B2085" t="s">
        <v>3433</v>
      </c>
      <c r="C2085">
        <v>542323</v>
      </c>
      <c r="D2085" t="s">
        <v>3434</v>
      </c>
      <c r="E2085" t="s">
        <v>478</v>
      </c>
    </row>
    <row r="2086" spans="2:5">
      <c r="B2086" t="s">
        <v>3435</v>
      </c>
      <c r="C2086">
        <v>540756</v>
      </c>
      <c r="D2086" t="s">
        <v>339</v>
      </c>
      <c r="E2086" t="s">
        <v>3119</v>
      </c>
    </row>
    <row r="2087" spans="2:5">
      <c r="B2087" t="s">
        <v>3436</v>
      </c>
      <c r="C2087">
        <v>539393</v>
      </c>
      <c r="D2087" t="s">
        <v>339</v>
      </c>
      <c r="E2087" t="s">
        <v>1016</v>
      </c>
    </row>
    <row r="2088" spans="2:5">
      <c r="B2088" t="s">
        <v>3437</v>
      </c>
      <c r="C2088">
        <v>524322</v>
      </c>
      <c r="D2088" t="s">
        <v>339</v>
      </c>
      <c r="E2088" t="s">
        <v>377</v>
      </c>
    </row>
    <row r="2089" spans="2:5">
      <c r="B2089" t="s">
        <v>3438</v>
      </c>
      <c r="C2089">
        <v>524109</v>
      </c>
      <c r="D2089" t="s">
        <v>3439</v>
      </c>
      <c r="E2089" t="s">
        <v>347</v>
      </c>
    </row>
    <row r="2090" spans="2:5">
      <c r="B2090" t="s">
        <v>3440</v>
      </c>
      <c r="C2090">
        <v>524675</v>
      </c>
      <c r="D2090" t="s">
        <v>339</v>
      </c>
      <c r="E2090" t="s">
        <v>361</v>
      </c>
    </row>
    <row r="2091" spans="2:5">
      <c r="B2091" t="s">
        <v>3441</v>
      </c>
      <c r="C2091">
        <v>531778</v>
      </c>
      <c r="D2091" t="s">
        <v>339</v>
      </c>
      <c r="E2091" t="s">
        <v>319</v>
      </c>
    </row>
    <row r="2092" spans="2:5">
      <c r="B2092" t="s">
        <v>3442</v>
      </c>
      <c r="C2092">
        <v>504840</v>
      </c>
      <c r="D2092" t="s">
        <v>339</v>
      </c>
      <c r="E2092" t="s">
        <v>534</v>
      </c>
    </row>
    <row r="2093" spans="2:5">
      <c r="B2093" t="s">
        <v>3443</v>
      </c>
      <c r="C2093">
        <v>531780</v>
      </c>
      <c r="D2093" t="s">
        <v>339</v>
      </c>
      <c r="E2093" t="s">
        <v>361</v>
      </c>
    </row>
    <row r="2094" spans="2:5">
      <c r="B2094" t="s">
        <v>3444</v>
      </c>
      <c r="C2094">
        <v>500233</v>
      </c>
      <c r="D2094" t="s">
        <v>3445</v>
      </c>
      <c r="E2094" t="s">
        <v>616</v>
      </c>
    </row>
    <row r="2095" spans="2:5">
      <c r="B2095" t="s">
        <v>3446</v>
      </c>
      <c r="C2095">
        <v>500234</v>
      </c>
      <c r="D2095" t="s">
        <v>3447</v>
      </c>
      <c r="E2095" t="s">
        <v>352</v>
      </c>
    </row>
    <row r="2096" spans="2:5">
      <c r="B2096" t="s">
        <v>3448</v>
      </c>
      <c r="C2096">
        <v>521054</v>
      </c>
      <c r="D2096" t="s">
        <v>339</v>
      </c>
      <c r="E2096" t="s">
        <v>354</v>
      </c>
    </row>
    <row r="2097" spans="2:5">
      <c r="B2097" t="s">
        <v>3449</v>
      </c>
      <c r="C2097">
        <v>530201</v>
      </c>
      <c r="D2097" t="s">
        <v>339</v>
      </c>
      <c r="E2097" t="s">
        <v>354</v>
      </c>
    </row>
    <row r="2098" spans="2:5">
      <c r="B2098" t="s">
        <v>3450</v>
      </c>
      <c r="C2098">
        <v>539014</v>
      </c>
      <c r="D2098" t="s">
        <v>339</v>
      </c>
      <c r="E2098" t="s">
        <v>361</v>
      </c>
    </row>
    <row r="2099" spans="2:5">
      <c r="B2099" t="s">
        <v>3451</v>
      </c>
      <c r="C2099">
        <v>522287</v>
      </c>
      <c r="D2099" t="s">
        <v>3452</v>
      </c>
      <c r="E2099" t="s">
        <v>382</v>
      </c>
    </row>
    <row r="2100" spans="2:5">
      <c r="B2100" t="s">
        <v>3453</v>
      </c>
      <c r="C2100" t="s">
        <v>339</v>
      </c>
      <c r="D2100" t="s">
        <v>3454</v>
      </c>
      <c r="E2100" t="s">
        <v>430</v>
      </c>
    </row>
    <row r="2101" spans="2:5">
      <c r="B2101" t="s">
        <v>3455</v>
      </c>
      <c r="C2101">
        <v>513509</v>
      </c>
      <c r="D2101" t="s">
        <v>3456</v>
      </c>
      <c r="E2101" t="s">
        <v>694</v>
      </c>
    </row>
    <row r="2102" spans="2:5">
      <c r="B2102" t="s">
        <v>3457</v>
      </c>
      <c r="C2102">
        <v>533302</v>
      </c>
      <c r="D2102" t="s">
        <v>3458</v>
      </c>
      <c r="E2102" t="s">
        <v>359</v>
      </c>
    </row>
    <row r="2103" spans="2:5">
      <c r="B2103" t="s">
        <v>3459</v>
      </c>
      <c r="C2103">
        <v>500235</v>
      </c>
      <c r="D2103" t="s">
        <v>3460</v>
      </c>
      <c r="E2103" t="s">
        <v>371</v>
      </c>
    </row>
    <row r="2104" spans="2:5">
      <c r="B2104" t="s">
        <v>3461</v>
      </c>
      <c r="C2104">
        <v>532468</v>
      </c>
      <c r="D2104" t="s">
        <v>339</v>
      </c>
      <c r="E2104" t="s">
        <v>505</v>
      </c>
    </row>
    <row r="2105" spans="2:5">
      <c r="B2105" t="s">
        <v>3462</v>
      </c>
      <c r="C2105">
        <v>514322</v>
      </c>
      <c r="D2105" t="s">
        <v>339</v>
      </c>
      <c r="E2105" t="s">
        <v>354</v>
      </c>
    </row>
    <row r="2106" spans="2:5">
      <c r="B2106" t="s">
        <v>3463</v>
      </c>
      <c r="C2106">
        <v>511131</v>
      </c>
      <c r="D2106" t="s">
        <v>339</v>
      </c>
      <c r="E2106" t="s">
        <v>425</v>
      </c>
    </row>
    <row r="2107" spans="2:5">
      <c r="B2107" t="s">
        <v>3464</v>
      </c>
      <c r="C2107">
        <v>526668</v>
      </c>
      <c r="D2107" t="s">
        <v>3465</v>
      </c>
      <c r="E2107" t="s">
        <v>540</v>
      </c>
    </row>
    <row r="2108" spans="2:5">
      <c r="B2108" t="s">
        <v>3466</v>
      </c>
      <c r="C2108">
        <v>532741</v>
      </c>
      <c r="D2108" t="s">
        <v>3467</v>
      </c>
      <c r="E2108" t="s">
        <v>371</v>
      </c>
    </row>
    <row r="2109" spans="2:5">
      <c r="B2109" t="s">
        <v>3468</v>
      </c>
      <c r="C2109">
        <v>524604</v>
      </c>
      <c r="D2109" t="s">
        <v>339</v>
      </c>
      <c r="E2109" t="s">
        <v>377</v>
      </c>
    </row>
    <row r="2110" spans="2:5">
      <c r="B2110" t="s">
        <v>3469</v>
      </c>
      <c r="C2110">
        <v>780003</v>
      </c>
      <c r="D2110" t="s">
        <v>339</v>
      </c>
      <c r="E2110" t="s">
        <v>430</v>
      </c>
    </row>
    <row r="2111" spans="2:5">
      <c r="B2111" t="s">
        <v>3470</v>
      </c>
      <c r="C2111">
        <v>506184</v>
      </c>
      <c r="D2111" t="s">
        <v>3471</v>
      </c>
      <c r="E2111" t="s">
        <v>453</v>
      </c>
    </row>
    <row r="2112" spans="2:5">
      <c r="B2112" t="s">
        <v>3472</v>
      </c>
      <c r="C2112">
        <v>538896</v>
      </c>
      <c r="D2112" t="s">
        <v>339</v>
      </c>
      <c r="E2112" t="s">
        <v>387</v>
      </c>
    </row>
    <row r="2113" spans="2:5">
      <c r="B2113" t="s">
        <v>3473</v>
      </c>
      <c r="C2113">
        <v>541005</v>
      </c>
      <c r="D2113" t="s">
        <v>339</v>
      </c>
      <c r="E2113" t="s">
        <v>746</v>
      </c>
    </row>
    <row r="2114" spans="2:5">
      <c r="B2114" t="s">
        <v>3474</v>
      </c>
      <c r="C2114">
        <v>521242</v>
      </c>
      <c r="D2114" t="s">
        <v>339</v>
      </c>
      <c r="E2114" t="s">
        <v>354</v>
      </c>
    </row>
    <row r="2115" spans="2:5">
      <c r="B2115" t="s">
        <v>3475</v>
      </c>
      <c r="C2115">
        <v>500236</v>
      </c>
      <c r="D2115" t="s">
        <v>3476</v>
      </c>
      <c r="E2115" t="s">
        <v>705</v>
      </c>
    </row>
    <row r="2116" spans="2:5">
      <c r="B2116" t="s">
        <v>3477</v>
      </c>
      <c r="C2116">
        <v>513456</v>
      </c>
      <c r="D2116" t="s">
        <v>339</v>
      </c>
      <c r="E2116" t="s">
        <v>662</v>
      </c>
    </row>
    <row r="2117" spans="2:5">
      <c r="B2117" t="s">
        <v>3478</v>
      </c>
      <c r="C2117">
        <v>506525</v>
      </c>
      <c r="D2117" t="s">
        <v>3479</v>
      </c>
      <c r="E2117" t="s">
        <v>387</v>
      </c>
    </row>
    <row r="2118" spans="2:5">
      <c r="B2118" t="s">
        <v>3480</v>
      </c>
      <c r="C2118">
        <v>507779</v>
      </c>
      <c r="D2118" t="s">
        <v>339</v>
      </c>
      <c r="E2118" t="s">
        <v>534</v>
      </c>
    </row>
    <row r="2119" spans="2:5">
      <c r="B2119" t="s">
        <v>3481</v>
      </c>
      <c r="C2119">
        <v>500165</v>
      </c>
      <c r="D2119" t="s">
        <v>3482</v>
      </c>
      <c r="E2119" t="s">
        <v>616</v>
      </c>
    </row>
    <row r="2120" spans="2:5">
      <c r="B2120" t="s">
        <v>3483</v>
      </c>
      <c r="C2120">
        <v>540515</v>
      </c>
      <c r="D2120" t="s">
        <v>339</v>
      </c>
      <c r="E2120" t="s">
        <v>322</v>
      </c>
    </row>
    <row r="2121" spans="2:5">
      <c r="B2121" t="s">
        <v>3484</v>
      </c>
      <c r="C2121">
        <v>512399</v>
      </c>
      <c r="D2121" t="s">
        <v>339</v>
      </c>
      <c r="E2121" t="s">
        <v>322</v>
      </c>
    </row>
    <row r="2122" spans="2:5">
      <c r="B2122" t="s">
        <v>3485</v>
      </c>
      <c r="C2122">
        <v>512036</v>
      </c>
      <c r="D2122" t="s">
        <v>339</v>
      </c>
      <c r="E2122" t="s">
        <v>354</v>
      </c>
    </row>
    <row r="2123" spans="2:5">
      <c r="B2123" t="s">
        <v>3486</v>
      </c>
      <c r="C2123">
        <v>539679</v>
      </c>
      <c r="D2123" t="s">
        <v>339</v>
      </c>
      <c r="E2123" t="s">
        <v>356</v>
      </c>
    </row>
    <row r="2124" spans="2:5">
      <c r="B2124" t="s">
        <v>3487</v>
      </c>
      <c r="C2124" t="s">
        <v>339</v>
      </c>
      <c r="D2124" t="s">
        <v>3488</v>
      </c>
      <c r="E2124" t="s">
        <v>350</v>
      </c>
    </row>
    <row r="2125" spans="2:5">
      <c r="B2125" t="s">
        <v>3489</v>
      </c>
      <c r="C2125">
        <v>526115</v>
      </c>
      <c r="D2125" t="s">
        <v>339</v>
      </c>
      <c r="E2125" t="s">
        <v>453</v>
      </c>
    </row>
    <row r="2126" spans="2:5">
      <c r="B2126" t="s">
        <v>3490</v>
      </c>
      <c r="C2126">
        <v>541161</v>
      </c>
      <c r="D2126" t="s">
        <v>3491</v>
      </c>
      <c r="E2126" t="s">
        <v>425</v>
      </c>
    </row>
    <row r="2127" spans="2:5">
      <c r="B2127" t="s">
        <v>3492</v>
      </c>
      <c r="C2127">
        <v>533451</v>
      </c>
      <c r="D2127" t="s">
        <v>3493</v>
      </c>
      <c r="E2127" t="s">
        <v>478</v>
      </c>
    </row>
    <row r="2128" spans="2:5">
      <c r="B2128" t="s">
        <v>3494</v>
      </c>
      <c r="C2128">
        <v>538928</v>
      </c>
      <c r="D2128" t="s">
        <v>339</v>
      </c>
      <c r="E2128" t="s">
        <v>356</v>
      </c>
    </row>
    <row r="2129" spans="2:5">
      <c r="B2129" t="s">
        <v>3495</v>
      </c>
      <c r="C2129">
        <v>537784</v>
      </c>
      <c r="D2129" t="s">
        <v>339</v>
      </c>
      <c r="E2129" t="s">
        <v>760</v>
      </c>
    </row>
    <row r="2130" spans="2:5">
      <c r="B2130" t="s">
        <v>3496</v>
      </c>
      <c r="C2130">
        <v>590003</v>
      </c>
      <c r="D2130" t="s">
        <v>3497</v>
      </c>
      <c r="E2130" t="s">
        <v>657</v>
      </c>
    </row>
    <row r="2131" spans="2:5">
      <c r="B2131" t="s">
        <v>3498</v>
      </c>
      <c r="C2131">
        <v>531687</v>
      </c>
      <c r="D2131" t="s">
        <v>3499</v>
      </c>
      <c r="E2131" t="s">
        <v>537</v>
      </c>
    </row>
    <row r="2132" spans="2:5">
      <c r="B2132" t="s">
        <v>3500</v>
      </c>
      <c r="C2132">
        <v>539533</v>
      </c>
      <c r="D2132" t="s">
        <v>339</v>
      </c>
      <c r="E2132" t="s">
        <v>322</v>
      </c>
    </row>
    <row r="2133" spans="2:5">
      <c r="B2133" t="s">
        <v>3501</v>
      </c>
      <c r="C2133">
        <v>502933</v>
      </c>
      <c r="D2133" t="s">
        <v>339</v>
      </c>
      <c r="E2133" t="s">
        <v>354</v>
      </c>
    </row>
    <row r="2134" spans="2:5">
      <c r="B2134" t="s">
        <v>3502</v>
      </c>
      <c r="C2134">
        <v>532925</v>
      </c>
      <c r="D2134" t="s">
        <v>3503</v>
      </c>
      <c r="E2134" t="s">
        <v>737</v>
      </c>
    </row>
    <row r="2135" spans="2:5">
      <c r="B2135" t="s">
        <v>3504</v>
      </c>
      <c r="C2135">
        <v>532899</v>
      </c>
      <c r="D2135" t="s">
        <v>3505</v>
      </c>
      <c r="E2135" t="s">
        <v>537</v>
      </c>
    </row>
    <row r="2136" spans="2:5">
      <c r="B2136" t="s">
        <v>3506</v>
      </c>
      <c r="C2136">
        <v>524444</v>
      </c>
      <c r="D2136" t="s">
        <v>339</v>
      </c>
      <c r="E2136" t="s">
        <v>588</v>
      </c>
    </row>
    <row r="2137" spans="2:5">
      <c r="B2137" t="s">
        <v>3507</v>
      </c>
      <c r="C2137">
        <v>535136</v>
      </c>
      <c r="D2137" t="s">
        <v>339</v>
      </c>
      <c r="E2137" t="s">
        <v>354</v>
      </c>
    </row>
    <row r="2138" spans="2:5">
      <c r="B2138" t="s">
        <v>3508</v>
      </c>
      <c r="C2138">
        <v>590041</v>
      </c>
      <c r="D2138" t="s">
        <v>3509</v>
      </c>
      <c r="E2138" t="s">
        <v>485</v>
      </c>
    </row>
    <row r="2139" spans="2:5">
      <c r="B2139" t="s">
        <v>3510</v>
      </c>
      <c r="C2139">
        <v>530255</v>
      </c>
      <c r="D2139" t="s">
        <v>339</v>
      </c>
      <c r="E2139" t="s">
        <v>333</v>
      </c>
    </row>
    <row r="2140" spans="2:5">
      <c r="B2140" t="s">
        <v>3511</v>
      </c>
      <c r="C2140">
        <v>539276</v>
      </c>
      <c r="D2140" t="s">
        <v>3512</v>
      </c>
      <c r="E2140" t="s">
        <v>3119</v>
      </c>
    </row>
    <row r="2141" spans="2:5">
      <c r="B2141" t="s">
        <v>3513</v>
      </c>
      <c r="C2141">
        <v>504084</v>
      </c>
      <c r="D2141" t="s">
        <v>339</v>
      </c>
      <c r="E2141" t="s">
        <v>637</v>
      </c>
    </row>
    <row r="2142" spans="2:5">
      <c r="B2142" t="s">
        <v>3514</v>
      </c>
      <c r="C2142">
        <v>539562</v>
      </c>
      <c r="D2142" t="s">
        <v>339</v>
      </c>
      <c r="E2142" t="s">
        <v>322</v>
      </c>
    </row>
    <row r="2143" spans="2:5">
      <c r="B2143" t="s">
        <v>3515</v>
      </c>
      <c r="C2143">
        <v>530357</v>
      </c>
      <c r="D2143" t="s">
        <v>339</v>
      </c>
      <c r="E2143" t="s">
        <v>322</v>
      </c>
    </row>
    <row r="2144" spans="2:5">
      <c r="B2144" t="s">
        <v>3516</v>
      </c>
      <c r="C2144">
        <v>530357</v>
      </c>
      <c r="D2144" t="s">
        <v>339</v>
      </c>
      <c r="E2144" t="s">
        <v>322</v>
      </c>
    </row>
    <row r="2145" spans="2:5">
      <c r="B2145" t="s">
        <v>3517</v>
      </c>
      <c r="C2145">
        <v>526067</v>
      </c>
      <c r="D2145" t="s">
        <v>339</v>
      </c>
      <c r="E2145" t="s">
        <v>534</v>
      </c>
    </row>
    <row r="2146" spans="2:5">
      <c r="B2146" t="s">
        <v>3518</v>
      </c>
      <c r="C2146">
        <v>531784</v>
      </c>
      <c r="D2146" t="s">
        <v>339</v>
      </c>
      <c r="E2146" t="s">
        <v>737</v>
      </c>
    </row>
    <row r="2147" spans="2:5">
      <c r="B2147" t="s">
        <v>3519</v>
      </c>
      <c r="C2147">
        <v>590066</v>
      </c>
      <c r="D2147" t="s">
        <v>3520</v>
      </c>
      <c r="E2147" t="s">
        <v>352</v>
      </c>
    </row>
    <row r="2148" spans="2:5">
      <c r="B2148" t="s">
        <v>3521</v>
      </c>
      <c r="C2148">
        <v>533192</v>
      </c>
      <c r="D2148" t="s">
        <v>3522</v>
      </c>
      <c r="E2148" t="s">
        <v>1037</v>
      </c>
    </row>
    <row r="2149" spans="2:5">
      <c r="B2149" t="s">
        <v>3523</v>
      </c>
      <c r="C2149">
        <v>540385</v>
      </c>
      <c r="D2149" t="s">
        <v>339</v>
      </c>
      <c r="E2149" t="s">
        <v>322</v>
      </c>
    </row>
    <row r="2150" spans="2:5">
      <c r="B2150" t="s">
        <v>3524</v>
      </c>
      <c r="C2150">
        <v>532054</v>
      </c>
      <c r="D2150" t="s">
        <v>3525</v>
      </c>
      <c r="E2150" t="s">
        <v>453</v>
      </c>
    </row>
    <row r="2151" spans="2:5">
      <c r="B2151" t="s">
        <v>3526</v>
      </c>
      <c r="C2151">
        <v>532714</v>
      </c>
      <c r="D2151" t="s">
        <v>3527</v>
      </c>
      <c r="E2151" t="s">
        <v>382</v>
      </c>
    </row>
    <row r="2152" spans="2:5">
      <c r="B2152" t="s">
        <v>3528</v>
      </c>
      <c r="C2152">
        <v>508993</v>
      </c>
      <c r="D2152" t="s">
        <v>339</v>
      </c>
      <c r="E2152" t="s">
        <v>425</v>
      </c>
    </row>
    <row r="2153" spans="2:5">
      <c r="B2153" t="s">
        <v>3529</v>
      </c>
      <c r="C2153">
        <v>518011</v>
      </c>
      <c r="D2153" t="s">
        <v>339</v>
      </c>
      <c r="E2153" t="s">
        <v>352</v>
      </c>
    </row>
    <row r="2154" spans="2:5">
      <c r="B2154" t="s">
        <v>3530</v>
      </c>
      <c r="C2154" t="s">
        <v>339</v>
      </c>
      <c r="D2154" t="s">
        <v>3531</v>
      </c>
      <c r="E2154" t="s">
        <v>350</v>
      </c>
    </row>
    <row r="2155" spans="2:5">
      <c r="B2155" t="s">
        <v>3532</v>
      </c>
      <c r="C2155">
        <v>517569</v>
      </c>
      <c r="D2155" t="s">
        <v>3533</v>
      </c>
      <c r="E2155" t="s">
        <v>637</v>
      </c>
    </row>
    <row r="2156" spans="2:5">
      <c r="B2156" t="s">
        <v>3534</v>
      </c>
      <c r="C2156">
        <v>519602</v>
      </c>
      <c r="D2156" t="s">
        <v>3535</v>
      </c>
      <c r="E2156" t="s">
        <v>432</v>
      </c>
    </row>
    <row r="2157" spans="2:5">
      <c r="B2157" t="s">
        <v>3536</v>
      </c>
      <c r="C2157">
        <v>506528</v>
      </c>
      <c r="D2157" t="s">
        <v>339</v>
      </c>
      <c r="E2157" t="s">
        <v>499</v>
      </c>
    </row>
    <row r="2158" spans="2:5">
      <c r="B2158" t="s">
        <v>3537</v>
      </c>
      <c r="C2158">
        <v>531163</v>
      </c>
      <c r="D2158" t="s">
        <v>3538</v>
      </c>
      <c r="E2158" t="s">
        <v>499</v>
      </c>
    </row>
    <row r="2159" spans="2:5">
      <c r="B2159" t="s">
        <v>3539</v>
      </c>
      <c r="C2159">
        <v>506530</v>
      </c>
      <c r="D2159" t="s">
        <v>339</v>
      </c>
      <c r="E2159" t="s">
        <v>534</v>
      </c>
    </row>
    <row r="2160" spans="2:5">
      <c r="B2160" t="s">
        <v>3540</v>
      </c>
      <c r="C2160">
        <v>505890</v>
      </c>
      <c r="D2160" t="s">
        <v>339</v>
      </c>
      <c r="E2160" t="s">
        <v>347</v>
      </c>
    </row>
    <row r="2161" spans="2:5">
      <c r="B2161" t="s">
        <v>3541</v>
      </c>
      <c r="C2161">
        <v>505890</v>
      </c>
      <c r="D2161" t="s">
        <v>339</v>
      </c>
      <c r="E2161" t="s">
        <v>347</v>
      </c>
    </row>
    <row r="2162" spans="2:5">
      <c r="B2162" t="s">
        <v>3542</v>
      </c>
      <c r="C2162">
        <v>540953</v>
      </c>
      <c r="D2162" t="s">
        <v>339</v>
      </c>
      <c r="E2162" t="s">
        <v>453</v>
      </c>
    </row>
    <row r="2163" spans="2:5">
      <c r="B2163" t="s">
        <v>3543</v>
      </c>
      <c r="C2163">
        <v>530163</v>
      </c>
      <c r="D2163" t="s">
        <v>339</v>
      </c>
      <c r="E2163" t="s">
        <v>377</v>
      </c>
    </row>
    <row r="2164" spans="2:5">
      <c r="B2164" t="s">
        <v>3544</v>
      </c>
      <c r="C2164">
        <v>532686</v>
      </c>
      <c r="D2164" t="s">
        <v>3545</v>
      </c>
      <c r="E2164" t="s">
        <v>462</v>
      </c>
    </row>
    <row r="2165" spans="2:5">
      <c r="B2165" t="s">
        <v>3546</v>
      </c>
      <c r="C2165">
        <v>532686</v>
      </c>
      <c r="D2165" t="s">
        <v>3545</v>
      </c>
      <c r="E2165" t="s">
        <v>462</v>
      </c>
    </row>
    <row r="2166" spans="2:5">
      <c r="B2166" t="s">
        <v>3547</v>
      </c>
      <c r="C2166">
        <v>507180</v>
      </c>
      <c r="D2166" t="s">
        <v>3548</v>
      </c>
      <c r="E2166" t="s">
        <v>1037</v>
      </c>
    </row>
    <row r="2167" spans="2:5">
      <c r="B2167" t="s">
        <v>3549</v>
      </c>
      <c r="C2167">
        <v>524174</v>
      </c>
      <c r="D2167" t="s">
        <v>339</v>
      </c>
      <c r="E2167" t="s">
        <v>387</v>
      </c>
    </row>
    <row r="2168" spans="2:5">
      <c r="B2168" t="s">
        <v>3550</v>
      </c>
      <c r="C2168">
        <v>533289</v>
      </c>
      <c r="D2168" t="s">
        <v>3551</v>
      </c>
      <c r="E2168" t="s">
        <v>660</v>
      </c>
    </row>
    <row r="2169" spans="2:5">
      <c r="B2169" t="s">
        <v>3552</v>
      </c>
      <c r="C2169">
        <v>502937</v>
      </c>
      <c r="D2169" t="s">
        <v>3553</v>
      </c>
      <c r="E2169" t="s">
        <v>328</v>
      </c>
    </row>
    <row r="2170" spans="2:5">
      <c r="B2170" t="s">
        <v>3554</v>
      </c>
      <c r="C2170">
        <v>532732</v>
      </c>
      <c r="D2170" t="s">
        <v>3555</v>
      </c>
      <c r="E2170" t="s">
        <v>453</v>
      </c>
    </row>
    <row r="2171" spans="2:5">
      <c r="B2171" t="s">
        <v>3556</v>
      </c>
      <c r="C2171">
        <v>507948</v>
      </c>
      <c r="D2171" t="s">
        <v>339</v>
      </c>
      <c r="E2171" t="s">
        <v>356</v>
      </c>
    </row>
    <row r="2172" spans="2:5">
      <c r="B2172" t="s">
        <v>3557</v>
      </c>
      <c r="C2172">
        <v>512597</v>
      </c>
      <c r="D2172" t="s">
        <v>3558</v>
      </c>
      <c r="E2172" t="s">
        <v>356</v>
      </c>
    </row>
    <row r="2173" spans="2:5">
      <c r="B2173" t="s">
        <v>3559</v>
      </c>
      <c r="C2173" t="s">
        <v>339</v>
      </c>
      <c r="D2173" t="s">
        <v>3560</v>
      </c>
      <c r="E2173" t="s">
        <v>356</v>
      </c>
    </row>
    <row r="2174" spans="2:5">
      <c r="B2174" t="s">
        <v>3561</v>
      </c>
      <c r="C2174">
        <v>500239</v>
      </c>
      <c r="D2174" t="s">
        <v>339</v>
      </c>
      <c r="E2174" t="s">
        <v>354</v>
      </c>
    </row>
    <row r="2175" spans="2:5">
      <c r="B2175" t="s">
        <v>3562</v>
      </c>
      <c r="C2175">
        <v>531609</v>
      </c>
      <c r="D2175" t="s">
        <v>339</v>
      </c>
      <c r="E2175" t="s">
        <v>534</v>
      </c>
    </row>
    <row r="2176" spans="2:5">
      <c r="B2176" t="s">
        <v>3563</v>
      </c>
      <c r="C2176">
        <v>540775</v>
      </c>
      <c r="D2176" t="s">
        <v>3564</v>
      </c>
      <c r="E2176" t="s">
        <v>765</v>
      </c>
    </row>
    <row r="2177" spans="2:5">
      <c r="B2177" t="s">
        <v>3565</v>
      </c>
      <c r="C2177">
        <v>540775</v>
      </c>
      <c r="D2177" t="s">
        <v>3564</v>
      </c>
      <c r="E2177" t="s">
        <v>765</v>
      </c>
    </row>
    <row r="2178" spans="2:5">
      <c r="B2178" t="s">
        <v>3566</v>
      </c>
      <c r="C2178">
        <v>590068</v>
      </c>
      <c r="D2178" t="s">
        <v>3567</v>
      </c>
      <c r="E2178" t="s">
        <v>361</v>
      </c>
    </row>
    <row r="2179" spans="2:5">
      <c r="B2179" t="s">
        <v>3568</v>
      </c>
      <c r="C2179">
        <v>507794</v>
      </c>
      <c r="D2179" t="s">
        <v>339</v>
      </c>
      <c r="E2179" t="s">
        <v>847</v>
      </c>
    </row>
    <row r="2180" spans="2:5">
      <c r="B2180" t="s">
        <v>3569</v>
      </c>
      <c r="C2180">
        <v>504269</v>
      </c>
      <c r="D2180" t="s">
        <v>3570</v>
      </c>
      <c r="E2180" t="s">
        <v>1103</v>
      </c>
    </row>
    <row r="2181" spans="2:5">
      <c r="B2181" t="s">
        <v>3571</v>
      </c>
      <c r="C2181">
        <v>590068</v>
      </c>
      <c r="D2181" t="s">
        <v>3567</v>
      </c>
      <c r="E2181" t="s">
        <v>361</v>
      </c>
    </row>
    <row r="2182" spans="2:5">
      <c r="B2182" t="s">
        <v>3572</v>
      </c>
      <c r="C2182">
        <v>519064</v>
      </c>
      <c r="D2182" t="s">
        <v>339</v>
      </c>
      <c r="E2182" t="s">
        <v>537</v>
      </c>
    </row>
    <row r="2183" spans="2:5">
      <c r="B2183" t="s">
        <v>3573</v>
      </c>
      <c r="C2183">
        <v>531892</v>
      </c>
      <c r="D2183" t="s">
        <v>3574</v>
      </c>
      <c r="E2183" t="s">
        <v>322</v>
      </c>
    </row>
    <row r="2184" spans="2:5">
      <c r="B2184" t="s">
        <v>3575</v>
      </c>
      <c r="C2184">
        <v>506178</v>
      </c>
      <c r="D2184" t="s">
        <v>339</v>
      </c>
      <c r="E2184" t="s">
        <v>361</v>
      </c>
    </row>
    <row r="2185" spans="2:5">
      <c r="B2185" t="s">
        <v>3576</v>
      </c>
      <c r="C2185">
        <v>521127</v>
      </c>
      <c r="D2185" t="s">
        <v>339</v>
      </c>
      <c r="E2185" t="s">
        <v>354</v>
      </c>
    </row>
    <row r="2186" spans="2:5">
      <c r="B2186" t="s">
        <v>3577</v>
      </c>
      <c r="C2186">
        <v>539788</v>
      </c>
      <c r="D2186" t="s">
        <v>339</v>
      </c>
      <c r="E2186" t="s">
        <v>373</v>
      </c>
    </row>
    <row r="2187" spans="2:5">
      <c r="B2187" t="s">
        <v>3578</v>
      </c>
      <c r="C2187">
        <v>507435</v>
      </c>
      <c r="D2187" t="s">
        <v>339</v>
      </c>
      <c r="E2187" t="s">
        <v>970</v>
      </c>
    </row>
    <row r="2188" spans="2:5">
      <c r="B2188" t="s">
        <v>3579</v>
      </c>
      <c r="C2188">
        <v>507435</v>
      </c>
      <c r="D2188" t="s">
        <v>339</v>
      </c>
      <c r="E2188" t="s">
        <v>970</v>
      </c>
    </row>
    <row r="2189" spans="2:5">
      <c r="B2189" t="s">
        <v>3580</v>
      </c>
      <c r="C2189">
        <v>535730</v>
      </c>
      <c r="D2189" t="s">
        <v>339</v>
      </c>
      <c r="E2189" t="s">
        <v>354</v>
      </c>
    </row>
    <row r="2190" spans="2:5">
      <c r="B2190" t="s">
        <v>3581</v>
      </c>
      <c r="C2190">
        <v>531692</v>
      </c>
      <c r="D2190" t="s">
        <v>339</v>
      </c>
      <c r="E2190" t="s">
        <v>540</v>
      </c>
    </row>
    <row r="2191" spans="2:5">
      <c r="B2191" t="s">
        <v>3582</v>
      </c>
      <c r="C2191">
        <v>513693</v>
      </c>
      <c r="D2191" t="s">
        <v>339</v>
      </c>
      <c r="E2191" t="s">
        <v>371</v>
      </c>
    </row>
    <row r="2192" spans="2:5">
      <c r="B2192" t="s">
        <v>3583</v>
      </c>
      <c r="C2192">
        <v>540812</v>
      </c>
      <c r="D2192" t="s">
        <v>339</v>
      </c>
      <c r="E2192" t="s">
        <v>809</v>
      </c>
    </row>
    <row r="2193" spans="2:5">
      <c r="B2193" t="s">
        <v>3584</v>
      </c>
      <c r="C2193">
        <v>507946</v>
      </c>
      <c r="D2193" t="s">
        <v>339</v>
      </c>
      <c r="E2193" t="s">
        <v>361</v>
      </c>
    </row>
    <row r="2194" spans="2:5">
      <c r="B2194" t="s">
        <v>3585</v>
      </c>
      <c r="C2194">
        <v>507946</v>
      </c>
      <c r="D2194" t="s">
        <v>339</v>
      </c>
      <c r="E2194" t="s">
        <v>361</v>
      </c>
    </row>
    <row r="2195" spans="2:5">
      <c r="B2195" t="s">
        <v>3586</v>
      </c>
      <c r="C2195">
        <v>535566</v>
      </c>
      <c r="D2195" t="s">
        <v>339</v>
      </c>
      <c r="E2195" t="s">
        <v>356</v>
      </c>
    </row>
    <row r="2196" spans="2:5">
      <c r="B2196" t="s">
        <v>3587</v>
      </c>
      <c r="C2196">
        <v>524699</v>
      </c>
      <c r="D2196" t="s">
        <v>339</v>
      </c>
      <c r="E2196" t="s">
        <v>387</v>
      </c>
    </row>
    <row r="2197" spans="2:5">
      <c r="B2197" t="s">
        <v>3588</v>
      </c>
      <c r="C2197">
        <v>522101</v>
      </c>
      <c r="D2197" t="s">
        <v>339</v>
      </c>
      <c r="E2197" t="s">
        <v>347</v>
      </c>
    </row>
    <row r="2198" spans="2:5">
      <c r="B2198" t="s">
        <v>3589</v>
      </c>
      <c r="C2198">
        <v>523218</v>
      </c>
      <c r="D2198" t="s">
        <v>3590</v>
      </c>
      <c r="E2198" t="s">
        <v>881</v>
      </c>
    </row>
    <row r="2199" spans="2:5">
      <c r="B2199" t="s">
        <v>3591</v>
      </c>
      <c r="C2199">
        <v>524500</v>
      </c>
      <c r="D2199" t="s">
        <v>3592</v>
      </c>
      <c r="E2199" t="s">
        <v>377</v>
      </c>
    </row>
    <row r="2200" spans="2:5">
      <c r="B2200" t="s">
        <v>3593</v>
      </c>
      <c r="C2200">
        <v>524500</v>
      </c>
      <c r="D2200" t="s">
        <v>3592</v>
      </c>
      <c r="E2200" t="s">
        <v>377</v>
      </c>
    </row>
    <row r="2201" spans="2:5">
      <c r="B2201" t="s">
        <v>3594</v>
      </c>
      <c r="C2201">
        <v>532067</v>
      </c>
      <c r="D2201" t="s">
        <v>339</v>
      </c>
      <c r="E2201" t="s">
        <v>483</v>
      </c>
    </row>
    <row r="2202" spans="2:5">
      <c r="B2202" t="s">
        <v>3595</v>
      </c>
      <c r="C2202">
        <v>532067</v>
      </c>
      <c r="D2202" t="s">
        <v>339</v>
      </c>
      <c r="E2202" t="s">
        <v>483</v>
      </c>
    </row>
    <row r="2203" spans="2:5">
      <c r="B2203" t="s">
        <v>3596</v>
      </c>
      <c r="C2203">
        <v>530313</v>
      </c>
      <c r="D2203" t="s">
        <v>3597</v>
      </c>
      <c r="E2203" t="s">
        <v>377</v>
      </c>
    </row>
    <row r="2204" spans="2:5">
      <c r="B2204" t="s">
        <v>3598</v>
      </c>
      <c r="C2204">
        <v>500240</v>
      </c>
      <c r="D2204" t="s">
        <v>339</v>
      </c>
      <c r="E2204" t="s">
        <v>996</v>
      </c>
    </row>
    <row r="2205" spans="2:5">
      <c r="B2205" t="s">
        <v>3599</v>
      </c>
      <c r="C2205">
        <v>531274</v>
      </c>
      <c r="D2205" t="s">
        <v>339</v>
      </c>
      <c r="E2205" t="s">
        <v>356</v>
      </c>
    </row>
    <row r="2206" spans="2:5">
      <c r="B2206" t="s">
        <v>3600</v>
      </c>
      <c r="C2206">
        <v>524019</v>
      </c>
      <c r="D2206" t="s">
        <v>3601</v>
      </c>
      <c r="E2206" t="s">
        <v>459</v>
      </c>
    </row>
    <row r="2207" spans="2:5">
      <c r="B2207" t="s">
        <v>3602</v>
      </c>
      <c r="C2207">
        <v>524019</v>
      </c>
      <c r="D2207" t="s">
        <v>3601</v>
      </c>
      <c r="E2207" t="s">
        <v>459</v>
      </c>
    </row>
    <row r="2208" spans="2:5">
      <c r="B2208" t="s">
        <v>3603</v>
      </c>
      <c r="C2208">
        <v>530215</v>
      </c>
      <c r="D2208" t="s">
        <v>339</v>
      </c>
      <c r="E2208" t="s">
        <v>425</v>
      </c>
    </row>
    <row r="2209" spans="2:5">
      <c r="B2209" t="s">
        <v>3604</v>
      </c>
      <c r="C2209">
        <v>512329</v>
      </c>
      <c r="D2209" t="s">
        <v>339</v>
      </c>
      <c r="E2209" t="s">
        <v>760</v>
      </c>
    </row>
    <row r="2210" spans="2:5">
      <c r="B2210" t="s">
        <v>3605</v>
      </c>
      <c r="C2210">
        <v>540680</v>
      </c>
      <c r="D2210" t="s">
        <v>3606</v>
      </c>
      <c r="E2210" t="s">
        <v>371</v>
      </c>
    </row>
    <row r="2211" spans="2:5">
      <c r="B2211" t="s">
        <v>3607</v>
      </c>
      <c r="C2211">
        <v>531413</v>
      </c>
      <c r="D2211" t="s">
        <v>339</v>
      </c>
      <c r="E2211" t="s">
        <v>2331</v>
      </c>
    </row>
    <row r="2212" spans="2:5">
      <c r="B2212" t="s">
        <v>3608</v>
      </c>
      <c r="C2212">
        <v>537750</v>
      </c>
      <c r="D2212" t="s">
        <v>339</v>
      </c>
      <c r="E2212" t="s">
        <v>359</v>
      </c>
    </row>
    <row r="2213" spans="2:5">
      <c r="B2213" t="s">
        <v>3609</v>
      </c>
      <c r="C2213">
        <v>532967</v>
      </c>
      <c r="D2213" t="s">
        <v>3610</v>
      </c>
      <c r="E2213" t="s">
        <v>499</v>
      </c>
    </row>
    <row r="2214" spans="2:5">
      <c r="B2214" t="s">
        <v>3611</v>
      </c>
      <c r="C2214">
        <v>500241</v>
      </c>
      <c r="D2214" t="s">
        <v>3612</v>
      </c>
      <c r="E2214" t="s">
        <v>347</v>
      </c>
    </row>
    <row r="2215" spans="2:5">
      <c r="B2215" t="s">
        <v>3613</v>
      </c>
      <c r="C2215">
        <v>533193</v>
      </c>
      <c r="D2215" t="s">
        <v>3614</v>
      </c>
      <c r="E2215" t="s">
        <v>637</v>
      </c>
    </row>
    <row r="2216" spans="2:5">
      <c r="B2216" t="s">
        <v>3615</v>
      </c>
      <c r="C2216">
        <v>500245</v>
      </c>
      <c r="D2216" t="s">
        <v>339</v>
      </c>
      <c r="E2216" t="s">
        <v>371</v>
      </c>
    </row>
    <row r="2217" spans="2:5">
      <c r="B2217" t="s">
        <v>3616</v>
      </c>
      <c r="C2217">
        <v>500243</v>
      </c>
      <c r="D2217" t="s">
        <v>3617</v>
      </c>
      <c r="E2217" t="s">
        <v>347</v>
      </c>
    </row>
    <row r="2218" spans="2:5">
      <c r="B2218" t="s">
        <v>3618</v>
      </c>
      <c r="C2218">
        <v>533293</v>
      </c>
      <c r="D2218" t="s">
        <v>3619</v>
      </c>
      <c r="E2218" t="s">
        <v>694</v>
      </c>
    </row>
    <row r="2219" spans="2:5">
      <c r="B2219" t="s">
        <v>3620</v>
      </c>
      <c r="C2219">
        <v>505283</v>
      </c>
      <c r="D2219" t="s">
        <v>339</v>
      </c>
      <c r="E2219" t="s">
        <v>347</v>
      </c>
    </row>
    <row r="2220" spans="2:5">
      <c r="B2220" t="s">
        <v>3621</v>
      </c>
      <c r="C2220">
        <v>530145</v>
      </c>
      <c r="D2220" t="s">
        <v>339</v>
      </c>
      <c r="E2220" t="s">
        <v>459</v>
      </c>
    </row>
    <row r="2221" spans="2:5">
      <c r="B2221" t="s">
        <v>3622</v>
      </c>
      <c r="C2221">
        <v>521248</v>
      </c>
      <c r="D2221" t="s">
        <v>3623</v>
      </c>
      <c r="E2221" t="s">
        <v>453</v>
      </c>
    </row>
    <row r="2222" spans="2:5">
      <c r="B2222" t="s">
        <v>3624</v>
      </c>
      <c r="C2222">
        <v>532304</v>
      </c>
      <c r="D2222" t="s">
        <v>339</v>
      </c>
      <c r="E2222" t="s">
        <v>322</v>
      </c>
    </row>
    <row r="2223" spans="2:5">
      <c r="B2223" t="s">
        <v>3625</v>
      </c>
      <c r="C2223">
        <v>532304</v>
      </c>
      <c r="D2223" t="s">
        <v>339</v>
      </c>
      <c r="E2223" t="s">
        <v>322</v>
      </c>
    </row>
    <row r="2224" spans="2:5">
      <c r="B2224" t="s">
        <v>3626</v>
      </c>
      <c r="C2224">
        <v>530235</v>
      </c>
      <c r="D2224" t="s">
        <v>339</v>
      </c>
      <c r="E2224" t="s">
        <v>356</v>
      </c>
    </row>
    <row r="2225" spans="2:5">
      <c r="B2225" t="s">
        <v>3627</v>
      </c>
      <c r="C2225">
        <v>526409</v>
      </c>
      <c r="D2225" t="s">
        <v>339</v>
      </c>
      <c r="E2225" t="s">
        <v>459</v>
      </c>
    </row>
    <row r="2226" spans="2:5">
      <c r="B2226" t="s">
        <v>3628</v>
      </c>
      <c r="C2226">
        <v>526409</v>
      </c>
      <c r="D2226" t="s">
        <v>339</v>
      </c>
      <c r="E2226" t="s">
        <v>459</v>
      </c>
    </row>
    <row r="2227" spans="2:5">
      <c r="B2227" t="s">
        <v>3629</v>
      </c>
      <c r="C2227">
        <v>523652</v>
      </c>
      <c r="D2227" t="s">
        <v>339</v>
      </c>
      <c r="E2227" t="s">
        <v>459</v>
      </c>
    </row>
    <row r="2228" spans="2:5">
      <c r="B2228" t="s">
        <v>3630</v>
      </c>
      <c r="C2228">
        <v>521238</v>
      </c>
      <c r="D2228" t="s">
        <v>339</v>
      </c>
      <c r="E2228" t="s">
        <v>664</v>
      </c>
    </row>
    <row r="2229" spans="2:5">
      <c r="B2229" t="s">
        <v>3631</v>
      </c>
      <c r="C2229" t="s">
        <v>339</v>
      </c>
      <c r="D2229" t="s">
        <v>3632</v>
      </c>
      <c r="E2229" t="s">
        <v>350</v>
      </c>
    </row>
    <row r="2230" spans="2:5">
      <c r="B2230" t="s">
        <v>3633</v>
      </c>
      <c r="C2230">
        <v>530771</v>
      </c>
      <c r="D2230" t="s">
        <v>339</v>
      </c>
      <c r="E2230" t="s">
        <v>356</v>
      </c>
    </row>
    <row r="2231" spans="2:5">
      <c r="B2231" t="s">
        <v>3634</v>
      </c>
      <c r="C2231">
        <v>514221</v>
      </c>
      <c r="D2231" t="s">
        <v>339</v>
      </c>
      <c r="E2231" t="s">
        <v>354</v>
      </c>
    </row>
    <row r="2232" spans="2:5">
      <c r="B2232" t="s">
        <v>3635</v>
      </c>
      <c r="C2232">
        <v>517170</v>
      </c>
      <c r="D2232" t="s">
        <v>3636</v>
      </c>
      <c r="E2232" t="s">
        <v>637</v>
      </c>
    </row>
    <row r="2233" spans="2:5">
      <c r="B2233" t="s">
        <v>3637</v>
      </c>
      <c r="C2233">
        <v>524520</v>
      </c>
      <c r="D2233" t="s">
        <v>339</v>
      </c>
      <c r="E2233" t="s">
        <v>528</v>
      </c>
    </row>
    <row r="2234" spans="2:5">
      <c r="B2234" t="s">
        <v>3638</v>
      </c>
      <c r="C2234">
        <v>524520</v>
      </c>
      <c r="D2234" t="s">
        <v>339</v>
      </c>
      <c r="E2234" t="s">
        <v>528</v>
      </c>
    </row>
    <row r="2235" spans="2:5">
      <c r="B2235" t="s">
        <v>3639</v>
      </c>
      <c r="C2235">
        <v>531578</v>
      </c>
      <c r="D2235" t="s">
        <v>339</v>
      </c>
      <c r="E2235" t="s">
        <v>425</v>
      </c>
    </row>
    <row r="2236" spans="2:5">
      <c r="B2236" t="s">
        <v>3640</v>
      </c>
      <c r="C2236">
        <v>519415</v>
      </c>
      <c r="D2236" t="s">
        <v>339</v>
      </c>
      <c r="E2236" t="s">
        <v>399</v>
      </c>
    </row>
    <row r="2237" spans="2:5">
      <c r="B2237" t="s">
        <v>3641</v>
      </c>
      <c r="C2237">
        <v>540468</v>
      </c>
      <c r="D2237" t="s">
        <v>339</v>
      </c>
      <c r="E2237" t="s">
        <v>1303</v>
      </c>
    </row>
    <row r="2238" spans="2:5">
      <c r="B2238" t="s">
        <v>3642</v>
      </c>
      <c r="C2238">
        <v>532942</v>
      </c>
      <c r="D2238" t="s">
        <v>3643</v>
      </c>
      <c r="E2238" t="s">
        <v>737</v>
      </c>
    </row>
    <row r="2239" spans="2:5">
      <c r="B2239" t="s">
        <v>3644</v>
      </c>
      <c r="C2239">
        <v>512559</v>
      </c>
      <c r="D2239" t="s">
        <v>3645</v>
      </c>
      <c r="E2239" t="s">
        <v>537</v>
      </c>
    </row>
    <row r="2240" spans="2:5">
      <c r="B2240" t="s">
        <v>3646</v>
      </c>
      <c r="C2240">
        <v>523207</v>
      </c>
      <c r="D2240" t="s">
        <v>3647</v>
      </c>
      <c r="E2240" t="s">
        <v>885</v>
      </c>
    </row>
    <row r="2241" spans="2:5">
      <c r="B2241" t="s">
        <v>3648</v>
      </c>
      <c r="C2241">
        <v>532924</v>
      </c>
      <c r="D2241" t="s">
        <v>3649</v>
      </c>
      <c r="E2241" t="s">
        <v>425</v>
      </c>
    </row>
    <row r="2242" spans="2:5">
      <c r="B2242" t="s">
        <v>3650</v>
      </c>
      <c r="C2242">
        <v>539910</v>
      </c>
      <c r="D2242" t="s">
        <v>339</v>
      </c>
      <c r="E2242" t="s">
        <v>342</v>
      </c>
    </row>
    <row r="2243" spans="2:5">
      <c r="B2243" t="s">
        <v>3651</v>
      </c>
      <c r="C2243">
        <v>514128</v>
      </c>
      <c r="D2243" t="s">
        <v>339</v>
      </c>
      <c r="E2243" t="s">
        <v>354</v>
      </c>
    </row>
    <row r="2244" spans="2:5">
      <c r="B2244" t="s">
        <v>3652</v>
      </c>
      <c r="C2244">
        <v>524280</v>
      </c>
      <c r="D2244" t="s">
        <v>3653</v>
      </c>
      <c r="E2244" t="s">
        <v>377</v>
      </c>
    </row>
    <row r="2245" spans="2:5">
      <c r="B2245" t="s">
        <v>3654</v>
      </c>
      <c r="C2245">
        <v>500247</v>
      </c>
      <c r="D2245" t="s">
        <v>3655</v>
      </c>
      <c r="E2245" t="s">
        <v>657</v>
      </c>
    </row>
    <row r="2246" spans="2:5">
      <c r="B2246" t="s">
        <v>3656</v>
      </c>
      <c r="C2246">
        <v>590097</v>
      </c>
      <c r="D2246" t="s">
        <v>3657</v>
      </c>
      <c r="E2246" t="s">
        <v>322</v>
      </c>
    </row>
    <row r="2247" spans="2:5">
      <c r="B2247" t="s">
        <v>3658</v>
      </c>
      <c r="C2247">
        <v>590107</v>
      </c>
      <c r="D2247" t="s">
        <v>3659</v>
      </c>
      <c r="E2247" t="s">
        <v>322</v>
      </c>
    </row>
    <row r="2248" spans="2:5">
      <c r="B2248" t="s">
        <v>3660</v>
      </c>
      <c r="C2248">
        <v>532985</v>
      </c>
      <c r="D2248" t="s">
        <v>3661</v>
      </c>
      <c r="E2248" t="s">
        <v>322</v>
      </c>
    </row>
    <row r="2249" spans="2:5">
      <c r="B2249" t="s">
        <v>3662</v>
      </c>
      <c r="C2249">
        <v>507474</v>
      </c>
      <c r="D2249" t="s">
        <v>339</v>
      </c>
      <c r="E2249" t="s">
        <v>419</v>
      </c>
    </row>
    <row r="2250" spans="2:5">
      <c r="B2250" t="s">
        <v>3663</v>
      </c>
      <c r="C2250" t="s">
        <v>339</v>
      </c>
      <c r="D2250" t="s">
        <v>3664</v>
      </c>
      <c r="E2250" t="s">
        <v>430</v>
      </c>
    </row>
    <row r="2251" spans="2:5">
      <c r="B2251" t="s">
        <v>3665</v>
      </c>
      <c r="C2251">
        <v>530299</v>
      </c>
      <c r="D2251" t="s">
        <v>3666</v>
      </c>
      <c r="E2251" t="s">
        <v>361</v>
      </c>
    </row>
    <row r="2252" spans="2:5">
      <c r="B2252" t="s">
        <v>3667</v>
      </c>
      <c r="C2252" t="s">
        <v>339</v>
      </c>
      <c r="D2252" t="s">
        <v>3668</v>
      </c>
      <c r="E2252" t="s">
        <v>430</v>
      </c>
    </row>
    <row r="2253" spans="2:5">
      <c r="B2253" t="s">
        <v>3669</v>
      </c>
      <c r="C2253">
        <v>511138</v>
      </c>
      <c r="D2253" t="s">
        <v>339</v>
      </c>
      <c r="E2253" t="s">
        <v>356</v>
      </c>
    </row>
    <row r="2254" spans="2:5">
      <c r="B2254" t="s">
        <v>3670</v>
      </c>
      <c r="C2254">
        <v>539599</v>
      </c>
      <c r="D2254" t="s">
        <v>339</v>
      </c>
      <c r="E2254" t="s">
        <v>373</v>
      </c>
    </row>
    <row r="2255" spans="2:5">
      <c r="B2255" t="s">
        <v>3671</v>
      </c>
      <c r="C2255">
        <v>523323</v>
      </c>
      <c r="D2255" t="s">
        <v>339</v>
      </c>
      <c r="E2255" t="s">
        <v>528</v>
      </c>
    </row>
    <row r="2256" spans="2:5">
      <c r="B2256" t="s">
        <v>3672</v>
      </c>
      <c r="C2256">
        <v>505585</v>
      </c>
      <c r="D2256" t="s">
        <v>339</v>
      </c>
      <c r="E2256" t="s">
        <v>760</v>
      </c>
    </row>
    <row r="2257" spans="2:5">
      <c r="B2257" t="s">
        <v>3673</v>
      </c>
      <c r="C2257">
        <v>507598</v>
      </c>
      <c r="D2257" t="s">
        <v>339</v>
      </c>
      <c r="E2257" t="s">
        <v>419</v>
      </c>
    </row>
    <row r="2258" spans="2:5">
      <c r="B2258" t="s">
        <v>3674</v>
      </c>
      <c r="C2258">
        <v>532400</v>
      </c>
      <c r="D2258" t="s">
        <v>3675</v>
      </c>
      <c r="E2258" t="s">
        <v>325</v>
      </c>
    </row>
    <row r="2259" spans="2:5">
      <c r="B2259" t="s">
        <v>3676</v>
      </c>
      <c r="C2259">
        <v>542651</v>
      </c>
      <c r="D2259" t="s">
        <v>3677</v>
      </c>
      <c r="E2259" t="s">
        <v>3678</v>
      </c>
    </row>
    <row r="2260" spans="2:5">
      <c r="B2260" t="s">
        <v>3679</v>
      </c>
      <c r="C2260">
        <v>542459</v>
      </c>
      <c r="D2260" t="s">
        <v>3680</v>
      </c>
      <c r="E2260" t="s">
        <v>3678</v>
      </c>
    </row>
    <row r="2261" spans="2:5">
      <c r="B2261" t="s">
        <v>3681</v>
      </c>
      <c r="C2261">
        <v>501261</v>
      </c>
      <c r="D2261" t="s">
        <v>339</v>
      </c>
      <c r="E2261" t="s">
        <v>322</v>
      </c>
    </row>
    <row r="2262" spans="2:5">
      <c r="B2262" t="s">
        <v>3682</v>
      </c>
      <c r="C2262">
        <v>530813</v>
      </c>
      <c r="D2262" t="s">
        <v>3683</v>
      </c>
      <c r="E2262" t="s">
        <v>399</v>
      </c>
    </row>
    <row r="2263" spans="2:5">
      <c r="B2263" t="s">
        <v>3684</v>
      </c>
      <c r="C2263">
        <v>524518</v>
      </c>
      <c r="D2263" t="s">
        <v>3685</v>
      </c>
      <c r="E2263" t="s">
        <v>377</v>
      </c>
    </row>
    <row r="2264" spans="2:5">
      <c r="B2264" t="s">
        <v>3686</v>
      </c>
      <c r="C2264">
        <v>530139</v>
      </c>
      <c r="D2264" t="s">
        <v>339</v>
      </c>
      <c r="E2264" t="s">
        <v>356</v>
      </c>
    </row>
    <row r="2265" spans="2:5">
      <c r="B2265" t="s">
        <v>3687</v>
      </c>
      <c r="C2265">
        <v>531328</v>
      </c>
      <c r="D2265" t="s">
        <v>339</v>
      </c>
      <c r="E2265" t="s">
        <v>1303</v>
      </c>
    </row>
    <row r="2266" spans="2:5">
      <c r="B2266" t="s">
        <v>3688</v>
      </c>
      <c r="C2266">
        <v>533482</v>
      </c>
      <c r="D2266" t="s">
        <v>3689</v>
      </c>
      <c r="E2266" t="s">
        <v>737</v>
      </c>
    </row>
    <row r="2267" spans="2:5">
      <c r="B2267" t="s">
        <v>3690</v>
      </c>
      <c r="C2267" t="s">
        <v>339</v>
      </c>
      <c r="D2267" t="s">
        <v>3691</v>
      </c>
      <c r="E2267" t="s">
        <v>350</v>
      </c>
    </row>
    <row r="2268" spans="2:5">
      <c r="B2268" t="s">
        <v>3692</v>
      </c>
      <c r="C2268">
        <v>539384</v>
      </c>
      <c r="D2268" t="s">
        <v>339</v>
      </c>
      <c r="E2268" t="s">
        <v>356</v>
      </c>
    </row>
    <row r="2269" spans="2:5">
      <c r="B2269" t="s">
        <v>3693</v>
      </c>
      <c r="C2269">
        <v>504392</v>
      </c>
      <c r="D2269" t="s">
        <v>339</v>
      </c>
      <c r="E2269" t="s">
        <v>322</v>
      </c>
    </row>
    <row r="2270" spans="2:5">
      <c r="B2270" t="s">
        <v>3694</v>
      </c>
      <c r="C2270">
        <v>526423</v>
      </c>
      <c r="D2270" t="s">
        <v>339</v>
      </c>
      <c r="E2270" t="s">
        <v>459</v>
      </c>
    </row>
    <row r="2271" spans="2:5">
      <c r="B2271" t="s">
        <v>3695</v>
      </c>
      <c r="C2271">
        <v>526423</v>
      </c>
      <c r="D2271" t="s">
        <v>339</v>
      </c>
      <c r="E2271" t="s">
        <v>459</v>
      </c>
    </row>
    <row r="2272" spans="2:5">
      <c r="B2272" t="s">
        <v>3696</v>
      </c>
      <c r="C2272">
        <v>533210</v>
      </c>
      <c r="D2272" t="s">
        <v>339</v>
      </c>
      <c r="E2272" t="s">
        <v>588</v>
      </c>
    </row>
    <row r="2273" spans="2:5">
      <c r="B2273" t="s">
        <v>3697</v>
      </c>
      <c r="C2273" t="s">
        <v>339</v>
      </c>
      <c r="D2273" t="s">
        <v>3698</v>
      </c>
      <c r="E2273" t="s">
        <v>350</v>
      </c>
    </row>
    <row r="2274" spans="2:5">
      <c r="B2274" t="s">
        <v>3699</v>
      </c>
      <c r="C2274">
        <v>523550</v>
      </c>
      <c r="D2274" t="s">
        <v>339</v>
      </c>
      <c r="E2274" t="s">
        <v>328</v>
      </c>
    </row>
    <row r="2275" spans="2:5">
      <c r="B2275" t="s">
        <v>3700</v>
      </c>
      <c r="C2275">
        <v>500249</v>
      </c>
      <c r="D2275" t="s">
        <v>3701</v>
      </c>
      <c r="E2275" t="s">
        <v>347</v>
      </c>
    </row>
    <row r="2276" spans="2:5">
      <c r="B2276" t="s">
        <v>3702</v>
      </c>
      <c r="C2276">
        <v>519421</v>
      </c>
      <c r="D2276" t="s">
        <v>339</v>
      </c>
      <c r="E2276" t="s">
        <v>399</v>
      </c>
    </row>
    <row r="2277" spans="2:5">
      <c r="B2277" t="s">
        <v>3703</v>
      </c>
      <c r="C2277" t="s">
        <v>339</v>
      </c>
      <c r="D2277" t="s">
        <v>3704</v>
      </c>
      <c r="E2277" t="s">
        <v>350</v>
      </c>
    </row>
    <row r="2278" spans="2:5">
      <c r="B2278" t="s">
        <v>3705</v>
      </c>
      <c r="C2278">
        <v>503626</v>
      </c>
      <c r="D2278" t="s">
        <v>339</v>
      </c>
      <c r="E2278" t="s">
        <v>322</v>
      </c>
    </row>
    <row r="2279" spans="2:5">
      <c r="B2279" t="s">
        <v>3706</v>
      </c>
      <c r="C2279">
        <v>532997</v>
      </c>
      <c r="D2279" t="s">
        <v>3707</v>
      </c>
      <c r="E2279" t="s">
        <v>478</v>
      </c>
    </row>
    <row r="2280" spans="2:5">
      <c r="B2280" t="s">
        <v>3708</v>
      </c>
      <c r="C2280">
        <v>530149</v>
      </c>
      <c r="D2280" t="s">
        <v>339</v>
      </c>
      <c r="E2280" t="s">
        <v>354</v>
      </c>
    </row>
    <row r="2281" spans="2:5">
      <c r="B2281" t="s">
        <v>3709</v>
      </c>
      <c r="C2281">
        <v>532081</v>
      </c>
      <c r="D2281" t="s">
        <v>3710</v>
      </c>
      <c r="E2281" t="s">
        <v>342</v>
      </c>
    </row>
    <row r="2282" spans="2:5">
      <c r="B2282" t="s">
        <v>3711</v>
      </c>
      <c r="C2282">
        <v>532937</v>
      </c>
      <c r="D2282" t="s">
        <v>339</v>
      </c>
      <c r="E2282" t="s">
        <v>333</v>
      </c>
    </row>
    <row r="2283" spans="2:5">
      <c r="B2283" t="s">
        <v>3712</v>
      </c>
      <c r="C2283">
        <v>539408</v>
      </c>
      <c r="D2283" t="s">
        <v>339</v>
      </c>
      <c r="E2283" t="s">
        <v>356</v>
      </c>
    </row>
    <row r="2284" spans="2:5">
      <c r="B2284" t="s">
        <v>3713</v>
      </c>
      <c r="C2284">
        <v>505299</v>
      </c>
      <c r="D2284" t="s">
        <v>339</v>
      </c>
      <c r="E2284" t="s">
        <v>347</v>
      </c>
    </row>
    <row r="2285" spans="2:5">
      <c r="B2285" t="s">
        <v>3714</v>
      </c>
      <c r="C2285">
        <v>513703</v>
      </c>
      <c r="D2285" t="s">
        <v>339</v>
      </c>
      <c r="E2285" t="s">
        <v>354</v>
      </c>
    </row>
    <row r="2286" spans="2:5">
      <c r="B2286" t="s">
        <v>3715</v>
      </c>
      <c r="C2286">
        <v>523594</v>
      </c>
      <c r="D2286" t="s">
        <v>339</v>
      </c>
      <c r="E2286" t="s">
        <v>459</v>
      </c>
    </row>
    <row r="2287" spans="2:5">
      <c r="B2287" t="s">
        <v>3716</v>
      </c>
      <c r="C2287">
        <v>511048</v>
      </c>
      <c r="D2287" t="s">
        <v>339</v>
      </c>
      <c r="E2287" t="s">
        <v>361</v>
      </c>
    </row>
    <row r="2288" spans="2:5">
      <c r="B2288" t="s">
        <v>3717</v>
      </c>
      <c r="C2288">
        <v>514240</v>
      </c>
      <c r="D2288" t="s">
        <v>339</v>
      </c>
      <c r="E2288" t="s">
        <v>354</v>
      </c>
    </row>
    <row r="2289" spans="2:5">
      <c r="B2289" t="s">
        <v>3718</v>
      </c>
      <c r="C2289">
        <v>536170</v>
      </c>
      <c r="D2289" t="s">
        <v>339</v>
      </c>
      <c r="E2289" t="s">
        <v>361</v>
      </c>
    </row>
    <row r="2290" spans="2:5">
      <c r="B2290" t="s">
        <v>3719</v>
      </c>
      <c r="C2290">
        <v>530421</v>
      </c>
      <c r="D2290" t="s">
        <v>339</v>
      </c>
      <c r="E2290" t="s">
        <v>387</v>
      </c>
    </row>
    <row r="2291" spans="2:5">
      <c r="B2291" t="s">
        <v>3720</v>
      </c>
      <c r="C2291">
        <v>531206</v>
      </c>
      <c r="D2291" t="s">
        <v>339</v>
      </c>
      <c r="E2291" t="s">
        <v>356</v>
      </c>
    </row>
    <row r="2292" spans="2:5">
      <c r="B2292" t="s">
        <v>3721</v>
      </c>
      <c r="C2292">
        <v>531882</v>
      </c>
      <c r="D2292" t="s">
        <v>3722</v>
      </c>
      <c r="E2292" t="s">
        <v>399</v>
      </c>
    </row>
    <row r="2293" spans="2:5">
      <c r="B2293" t="s">
        <v>3723</v>
      </c>
      <c r="C2293">
        <v>539997</v>
      </c>
      <c r="D2293" t="s">
        <v>339</v>
      </c>
      <c r="E2293" t="s">
        <v>377</v>
      </c>
    </row>
    <row r="2294" spans="2:5">
      <c r="B2294" t="s">
        <v>3724</v>
      </c>
      <c r="C2294">
        <v>537669</v>
      </c>
      <c r="D2294" t="s">
        <v>339</v>
      </c>
      <c r="E2294" t="s">
        <v>417</v>
      </c>
    </row>
    <row r="2295" spans="2:5">
      <c r="B2295" t="s">
        <v>3725</v>
      </c>
      <c r="C2295">
        <v>533519</v>
      </c>
      <c r="D2295" t="s">
        <v>3726</v>
      </c>
      <c r="E2295" t="s">
        <v>505</v>
      </c>
    </row>
    <row r="2296" spans="2:5">
      <c r="B2296" t="s">
        <v>3727</v>
      </c>
      <c r="C2296">
        <v>540115</v>
      </c>
      <c r="D2296" t="s">
        <v>3728</v>
      </c>
      <c r="E2296" t="s">
        <v>345</v>
      </c>
    </row>
    <row r="2297" spans="2:5">
      <c r="B2297" t="s">
        <v>3729</v>
      </c>
      <c r="C2297">
        <v>526947</v>
      </c>
      <c r="D2297" t="s">
        <v>3730</v>
      </c>
      <c r="E2297" t="s">
        <v>1384</v>
      </c>
    </row>
    <row r="2298" spans="2:5">
      <c r="B2298" t="s">
        <v>3731</v>
      </c>
      <c r="C2298">
        <v>505693</v>
      </c>
      <c r="D2298" t="s">
        <v>3732</v>
      </c>
      <c r="E2298" t="s">
        <v>524</v>
      </c>
    </row>
    <row r="2299" spans="2:5">
      <c r="B2299" t="s">
        <v>3733</v>
      </c>
      <c r="C2299">
        <v>524202</v>
      </c>
      <c r="D2299" t="s">
        <v>339</v>
      </c>
      <c r="E2299" t="s">
        <v>419</v>
      </c>
    </row>
    <row r="2300" spans="2:5">
      <c r="B2300" t="s">
        <v>3734</v>
      </c>
      <c r="C2300">
        <v>524202</v>
      </c>
      <c r="D2300" t="s">
        <v>339</v>
      </c>
      <c r="E2300" t="s">
        <v>419</v>
      </c>
    </row>
    <row r="2301" spans="2:5">
      <c r="B2301" t="s">
        <v>3735</v>
      </c>
      <c r="C2301">
        <v>540026</v>
      </c>
      <c r="D2301" t="s">
        <v>339</v>
      </c>
      <c r="E2301" t="s">
        <v>425</v>
      </c>
    </row>
    <row r="2302" spans="2:5">
      <c r="B2302" t="s">
        <v>3736</v>
      </c>
      <c r="C2302">
        <v>530577</v>
      </c>
      <c r="D2302" t="s">
        <v>339</v>
      </c>
      <c r="E2302" t="s">
        <v>356</v>
      </c>
    </row>
    <row r="2303" spans="2:5">
      <c r="B2303" t="s">
        <v>3737</v>
      </c>
      <c r="C2303">
        <v>524522</v>
      </c>
      <c r="D2303" t="s">
        <v>339</v>
      </c>
      <c r="E2303" t="s">
        <v>387</v>
      </c>
    </row>
    <row r="2304" spans="2:5">
      <c r="B2304" t="s">
        <v>3738</v>
      </c>
      <c r="C2304" t="s">
        <v>339</v>
      </c>
      <c r="D2304" t="s">
        <v>3739</v>
      </c>
      <c r="E2304" t="s">
        <v>350</v>
      </c>
    </row>
    <row r="2305" spans="2:5">
      <c r="B2305" t="s">
        <v>3740</v>
      </c>
      <c r="C2305">
        <v>531842</v>
      </c>
      <c r="D2305" t="s">
        <v>339</v>
      </c>
      <c r="E2305" t="s">
        <v>361</v>
      </c>
    </row>
    <row r="2306" spans="2:5">
      <c r="B2306" t="s">
        <v>3741</v>
      </c>
      <c r="C2306">
        <v>535387</v>
      </c>
      <c r="D2306" t="s">
        <v>339</v>
      </c>
      <c r="E2306" t="s">
        <v>354</v>
      </c>
    </row>
    <row r="2307" spans="2:5">
      <c r="B2307" t="s">
        <v>3742</v>
      </c>
      <c r="C2307">
        <v>535387</v>
      </c>
      <c r="D2307" t="s">
        <v>339</v>
      </c>
      <c r="E2307" t="s">
        <v>354</v>
      </c>
    </row>
    <row r="2308" spans="2:5">
      <c r="B2308" t="s">
        <v>3743</v>
      </c>
      <c r="C2308">
        <v>505302</v>
      </c>
      <c r="D2308" t="s">
        <v>339</v>
      </c>
      <c r="E2308" t="s">
        <v>347</v>
      </c>
    </row>
    <row r="2309" spans="2:5">
      <c r="B2309" t="s">
        <v>3744</v>
      </c>
      <c r="C2309">
        <v>504258</v>
      </c>
      <c r="D2309" t="s">
        <v>339</v>
      </c>
      <c r="E2309" t="s">
        <v>637</v>
      </c>
    </row>
    <row r="2310" spans="2:5">
      <c r="B2310" t="s">
        <v>3745</v>
      </c>
      <c r="C2310" t="s">
        <v>339</v>
      </c>
      <c r="D2310" t="s">
        <v>3746</v>
      </c>
      <c r="E2310" t="s">
        <v>430</v>
      </c>
    </row>
    <row r="2311" spans="2:5">
      <c r="B2311" t="s">
        <v>3747</v>
      </c>
      <c r="C2311">
        <v>500252</v>
      </c>
      <c r="D2311" t="s">
        <v>3748</v>
      </c>
      <c r="E2311" t="s">
        <v>347</v>
      </c>
    </row>
    <row r="2312" spans="2:5">
      <c r="B2312" t="s">
        <v>3749</v>
      </c>
      <c r="C2312">
        <v>502958</v>
      </c>
      <c r="D2312" t="s">
        <v>339</v>
      </c>
      <c r="E2312" t="s">
        <v>354</v>
      </c>
    </row>
    <row r="2313" spans="2:5">
      <c r="B2313" t="s">
        <v>3750</v>
      </c>
      <c r="C2313">
        <v>506079</v>
      </c>
      <c r="D2313" t="s">
        <v>3751</v>
      </c>
      <c r="E2313" t="s">
        <v>662</v>
      </c>
    </row>
    <row r="2314" spans="2:5">
      <c r="B2314" t="s">
        <v>3752</v>
      </c>
      <c r="C2314">
        <v>534690</v>
      </c>
      <c r="D2314" t="s">
        <v>3753</v>
      </c>
      <c r="E2314" t="s">
        <v>657</v>
      </c>
    </row>
    <row r="2315" spans="2:5">
      <c r="B2315" t="s">
        <v>3754</v>
      </c>
      <c r="C2315">
        <v>590075</v>
      </c>
      <c r="D2315" t="s">
        <v>3755</v>
      </c>
      <c r="E2315" t="s">
        <v>354</v>
      </c>
    </row>
    <row r="2316" spans="2:5">
      <c r="B2316" t="s">
        <v>3756</v>
      </c>
      <c r="C2316">
        <v>539841</v>
      </c>
      <c r="D2316" t="s">
        <v>339</v>
      </c>
      <c r="E2316" t="s">
        <v>660</v>
      </c>
    </row>
    <row r="2317" spans="2:5">
      <c r="B2317" t="s">
        <v>3757</v>
      </c>
      <c r="C2317">
        <v>509048</v>
      </c>
      <c r="D2317" t="s">
        <v>339</v>
      </c>
      <c r="E2317" t="s">
        <v>425</v>
      </c>
    </row>
    <row r="2318" spans="2:5">
      <c r="B2318" t="s">
        <v>3758</v>
      </c>
      <c r="C2318">
        <v>532275</v>
      </c>
      <c r="D2318" t="s">
        <v>339</v>
      </c>
      <c r="E2318" t="s">
        <v>356</v>
      </c>
    </row>
    <row r="2319" spans="2:5">
      <c r="B2319" t="s">
        <v>3759</v>
      </c>
      <c r="C2319">
        <v>533012</v>
      </c>
      <c r="D2319" t="s">
        <v>3760</v>
      </c>
      <c r="E2319" t="s">
        <v>425</v>
      </c>
    </row>
    <row r="2320" spans="2:5">
      <c r="B2320" t="s">
        <v>3761</v>
      </c>
      <c r="C2320">
        <v>540005</v>
      </c>
      <c r="D2320" t="s">
        <v>3762</v>
      </c>
      <c r="E2320" t="s">
        <v>325</v>
      </c>
    </row>
    <row r="2321" spans="2:5">
      <c r="B2321" t="s">
        <v>3763</v>
      </c>
      <c r="C2321">
        <v>500510</v>
      </c>
      <c r="D2321" t="s">
        <v>3764</v>
      </c>
      <c r="E2321" t="s">
        <v>737</v>
      </c>
    </row>
    <row r="2322" spans="2:5">
      <c r="B2322" t="s">
        <v>3765</v>
      </c>
      <c r="C2322">
        <v>540702</v>
      </c>
      <c r="D2322" t="s">
        <v>3766</v>
      </c>
      <c r="E2322" t="s">
        <v>528</v>
      </c>
    </row>
    <row r="2323" spans="2:5">
      <c r="B2323" t="s">
        <v>3767</v>
      </c>
      <c r="C2323">
        <v>531164</v>
      </c>
      <c r="D2323" t="s">
        <v>339</v>
      </c>
      <c r="E2323" t="s">
        <v>453</v>
      </c>
    </row>
    <row r="2324" spans="2:5">
      <c r="B2324" t="s">
        <v>3768</v>
      </c>
      <c r="C2324">
        <v>539909</v>
      </c>
      <c r="D2324" t="s">
        <v>339</v>
      </c>
      <c r="E2324" t="s">
        <v>356</v>
      </c>
    </row>
    <row r="2325" spans="2:5">
      <c r="B2325" t="s">
        <v>3769</v>
      </c>
      <c r="C2325" t="s">
        <v>339</v>
      </c>
      <c r="D2325" t="s">
        <v>3770</v>
      </c>
      <c r="E2325" t="s">
        <v>350</v>
      </c>
    </row>
    <row r="2326" spans="2:5">
      <c r="B2326" t="s">
        <v>3771</v>
      </c>
      <c r="C2326">
        <v>540222</v>
      </c>
      <c r="D2326" t="s">
        <v>3772</v>
      </c>
      <c r="E2326" t="s">
        <v>377</v>
      </c>
    </row>
    <row r="2327" spans="2:5">
      <c r="B2327" t="s">
        <v>3773</v>
      </c>
      <c r="C2327">
        <v>532829</v>
      </c>
      <c r="D2327" t="s">
        <v>339</v>
      </c>
      <c r="E2327" t="s">
        <v>765</v>
      </c>
    </row>
    <row r="2328" spans="2:5">
      <c r="B2328" t="s">
        <v>3774</v>
      </c>
      <c r="C2328" t="s">
        <v>339</v>
      </c>
      <c r="D2328" t="s">
        <v>3775</v>
      </c>
      <c r="E2328" t="s">
        <v>350</v>
      </c>
    </row>
    <row r="2329" spans="2:5">
      <c r="B2329" t="s">
        <v>3776</v>
      </c>
      <c r="C2329">
        <v>531288</v>
      </c>
      <c r="D2329" t="s">
        <v>339</v>
      </c>
      <c r="E2329" t="s">
        <v>356</v>
      </c>
    </row>
    <row r="2330" spans="2:5">
      <c r="B2330" t="s">
        <v>3777</v>
      </c>
      <c r="C2330">
        <v>540360</v>
      </c>
      <c r="D2330" t="s">
        <v>339</v>
      </c>
      <c r="E2330" t="s">
        <v>322</v>
      </c>
    </row>
    <row r="2331" spans="2:5">
      <c r="B2331" t="s">
        <v>3778</v>
      </c>
      <c r="C2331">
        <v>508306</v>
      </c>
      <c r="D2331" t="s">
        <v>339</v>
      </c>
      <c r="E2331" t="s">
        <v>746</v>
      </c>
    </row>
    <row r="2332" spans="2:5">
      <c r="B2332" t="s">
        <v>3779</v>
      </c>
      <c r="C2332">
        <v>517415</v>
      </c>
      <c r="D2332" t="s">
        <v>339</v>
      </c>
      <c r="E2332" t="s">
        <v>669</v>
      </c>
    </row>
    <row r="2333" spans="2:5">
      <c r="B2333" t="s">
        <v>3780</v>
      </c>
      <c r="C2333">
        <v>517518</v>
      </c>
      <c r="D2333" t="s">
        <v>3781</v>
      </c>
      <c r="E2333" t="s">
        <v>347</v>
      </c>
    </row>
    <row r="2334" spans="2:5">
      <c r="B2334" t="s">
        <v>3782</v>
      </c>
      <c r="C2334">
        <v>509046</v>
      </c>
      <c r="D2334" t="s">
        <v>339</v>
      </c>
      <c r="E2334" t="s">
        <v>760</v>
      </c>
    </row>
    <row r="2335" spans="2:5">
      <c r="B2335" t="s">
        <v>3783</v>
      </c>
      <c r="C2335">
        <v>780021</v>
      </c>
      <c r="D2335" t="s">
        <v>339</v>
      </c>
      <c r="E2335" t="s">
        <v>430</v>
      </c>
    </row>
    <row r="2336" spans="2:5">
      <c r="B2336" t="s">
        <v>3784</v>
      </c>
      <c r="C2336">
        <v>541233</v>
      </c>
      <c r="D2336" t="s">
        <v>3785</v>
      </c>
      <c r="E2336" t="s">
        <v>540</v>
      </c>
    </row>
    <row r="2337" spans="2:5">
      <c r="B2337" t="s">
        <v>3786</v>
      </c>
      <c r="C2337">
        <v>533602</v>
      </c>
      <c r="D2337" t="s">
        <v>339</v>
      </c>
      <c r="E2337" t="s">
        <v>359</v>
      </c>
    </row>
    <row r="2338" spans="2:5">
      <c r="B2338" t="s">
        <v>3787</v>
      </c>
      <c r="C2338">
        <v>541196</v>
      </c>
      <c r="D2338" t="s">
        <v>339</v>
      </c>
      <c r="E2338" t="s">
        <v>423</v>
      </c>
    </row>
    <row r="2339" spans="2:5">
      <c r="B2339" t="s">
        <v>3788</v>
      </c>
      <c r="C2339" t="s">
        <v>339</v>
      </c>
      <c r="D2339" t="s">
        <v>3789</v>
      </c>
      <c r="E2339" t="s">
        <v>350</v>
      </c>
    </row>
    <row r="2340" spans="2:5">
      <c r="B2340" t="s">
        <v>3790</v>
      </c>
      <c r="C2340" t="s">
        <v>339</v>
      </c>
      <c r="D2340" t="s">
        <v>3789</v>
      </c>
      <c r="E2340" t="s">
        <v>350</v>
      </c>
    </row>
    <row r="2341" spans="2:5">
      <c r="B2341" t="s">
        <v>3791</v>
      </c>
      <c r="C2341">
        <v>500250</v>
      </c>
      <c r="D2341" t="s">
        <v>3792</v>
      </c>
      <c r="E2341" t="s">
        <v>694</v>
      </c>
    </row>
    <row r="2342" spans="2:5">
      <c r="B2342" t="s">
        <v>3793</v>
      </c>
      <c r="C2342">
        <v>533007</v>
      </c>
      <c r="D2342" t="s">
        <v>3794</v>
      </c>
      <c r="E2342" t="s">
        <v>1258</v>
      </c>
    </row>
    <row r="2343" spans="2:5">
      <c r="B2343" t="s">
        <v>3795</v>
      </c>
      <c r="C2343" t="s">
        <v>339</v>
      </c>
      <c r="D2343" t="s">
        <v>3796</v>
      </c>
      <c r="E2343" t="s">
        <v>350</v>
      </c>
    </row>
    <row r="2344" spans="2:5">
      <c r="B2344" t="s">
        <v>3797</v>
      </c>
      <c r="C2344">
        <v>526596</v>
      </c>
      <c r="D2344" t="s">
        <v>3798</v>
      </c>
      <c r="E2344" t="s">
        <v>765</v>
      </c>
    </row>
    <row r="2345" spans="2:5">
      <c r="B2345" t="s">
        <v>3799</v>
      </c>
      <c r="C2345">
        <v>511593</v>
      </c>
      <c r="D2345" t="s">
        <v>339</v>
      </c>
      <c r="E2345" t="s">
        <v>356</v>
      </c>
    </row>
    <row r="2346" spans="2:5">
      <c r="B2346" t="s">
        <v>3800</v>
      </c>
      <c r="C2346">
        <v>531027</v>
      </c>
      <c r="D2346" t="s">
        <v>339</v>
      </c>
      <c r="E2346" t="s">
        <v>322</v>
      </c>
    </row>
    <row r="2347" spans="2:5">
      <c r="B2347" t="s">
        <v>3801</v>
      </c>
      <c r="C2347">
        <v>500253</v>
      </c>
      <c r="D2347" t="s">
        <v>3802</v>
      </c>
      <c r="E2347" t="s">
        <v>397</v>
      </c>
    </row>
    <row r="2348" spans="2:5">
      <c r="B2348" t="s">
        <v>3803</v>
      </c>
      <c r="C2348">
        <v>539927</v>
      </c>
      <c r="D2348" t="s">
        <v>339</v>
      </c>
      <c r="E2348" t="s">
        <v>423</v>
      </c>
    </row>
    <row r="2349" spans="2:5">
      <c r="B2349" t="s">
        <v>3804</v>
      </c>
      <c r="C2349">
        <v>507759</v>
      </c>
      <c r="D2349" t="s">
        <v>339</v>
      </c>
      <c r="E2349" t="s">
        <v>387</v>
      </c>
    </row>
    <row r="2350" spans="2:5">
      <c r="B2350" t="s">
        <v>3805</v>
      </c>
      <c r="C2350">
        <v>517463</v>
      </c>
      <c r="D2350" t="s">
        <v>3806</v>
      </c>
      <c r="E2350" t="s">
        <v>881</v>
      </c>
    </row>
    <row r="2351" spans="2:5">
      <c r="B2351" t="s">
        <v>3807</v>
      </c>
      <c r="C2351">
        <v>531241</v>
      </c>
      <c r="D2351" t="s">
        <v>3808</v>
      </c>
      <c r="E2351" t="s">
        <v>885</v>
      </c>
    </row>
    <row r="2352" spans="2:5">
      <c r="B2352" t="s">
        <v>3809</v>
      </c>
      <c r="C2352">
        <v>531633</v>
      </c>
      <c r="D2352" t="s">
        <v>3810</v>
      </c>
      <c r="E2352" t="s">
        <v>377</v>
      </c>
    </row>
    <row r="2353" spans="2:5">
      <c r="B2353" t="s">
        <v>3811</v>
      </c>
      <c r="C2353">
        <v>523457</v>
      </c>
      <c r="D2353" t="s">
        <v>3812</v>
      </c>
      <c r="E2353" t="s">
        <v>1374</v>
      </c>
    </row>
    <row r="2354" spans="2:5">
      <c r="B2354" t="s">
        <v>3813</v>
      </c>
      <c r="C2354">
        <v>523457</v>
      </c>
      <c r="D2354" t="s">
        <v>3814</v>
      </c>
      <c r="E2354" t="s">
        <v>1374</v>
      </c>
    </row>
    <row r="2355" spans="2:5">
      <c r="B2355" t="s">
        <v>3815</v>
      </c>
      <c r="C2355">
        <v>524748</v>
      </c>
      <c r="D2355" t="s">
        <v>339</v>
      </c>
      <c r="E2355" t="s">
        <v>387</v>
      </c>
    </row>
    <row r="2356" spans="2:5">
      <c r="B2356" t="s">
        <v>3816</v>
      </c>
      <c r="C2356">
        <v>526604</v>
      </c>
      <c r="D2356" t="s">
        <v>339</v>
      </c>
      <c r="E2356" t="s">
        <v>347</v>
      </c>
    </row>
    <row r="2357" spans="2:5">
      <c r="B2357" t="s">
        <v>3817</v>
      </c>
      <c r="C2357">
        <v>507912</v>
      </c>
      <c r="D2357" t="s">
        <v>339</v>
      </c>
      <c r="E2357" t="s">
        <v>322</v>
      </c>
    </row>
    <row r="2358" spans="2:5">
      <c r="B2358" t="s">
        <v>3818</v>
      </c>
      <c r="C2358">
        <v>540192</v>
      </c>
      <c r="D2358" t="s">
        <v>339</v>
      </c>
      <c r="E2358" t="s">
        <v>322</v>
      </c>
    </row>
    <row r="2359" spans="2:5">
      <c r="B2359" t="s">
        <v>3819</v>
      </c>
      <c r="C2359">
        <v>512455</v>
      </c>
      <c r="D2359" t="s">
        <v>339</v>
      </c>
      <c r="E2359" t="s">
        <v>371</v>
      </c>
    </row>
    <row r="2360" spans="2:5">
      <c r="B2360" t="s">
        <v>3820</v>
      </c>
      <c r="C2360">
        <v>539992</v>
      </c>
      <c r="D2360" t="s">
        <v>3821</v>
      </c>
      <c r="E2360" t="s">
        <v>347</v>
      </c>
    </row>
    <row r="2361" spans="2:5">
      <c r="B2361" t="s">
        <v>3822</v>
      </c>
      <c r="C2361">
        <v>590082</v>
      </c>
      <c r="D2361" t="s">
        <v>339</v>
      </c>
      <c r="E2361" t="s">
        <v>322</v>
      </c>
    </row>
    <row r="2362" spans="2:5">
      <c r="B2362" t="s">
        <v>3823</v>
      </c>
      <c r="C2362">
        <v>532740</v>
      </c>
      <c r="D2362" t="s">
        <v>3824</v>
      </c>
      <c r="E2362" t="s">
        <v>347</v>
      </c>
    </row>
    <row r="2363" spans="2:5">
      <c r="B2363" t="s">
        <v>3825</v>
      </c>
      <c r="C2363">
        <v>526568</v>
      </c>
      <c r="D2363" t="s">
        <v>339</v>
      </c>
      <c r="E2363" t="s">
        <v>746</v>
      </c>
    </row>
    <row r="2364" spans="2:5">
      <c r="B2364" t="s">
        <v>3826</v>
      </c>
      <c r="C2364">
        <v>534422</v>
      </c>
      <c r="D2364" t="s">
        <v>339</v>
      </c>
      <c r="E2364" t="s">
        <v>809</v>
      </c>
    </row>
    <row r="2365" spans="2:5">
      <c r="B2365" t="s">
        <v>3827</v>
      </c>
      <c r="C2365">
        <v>500284</v>
      </c>
      <c r="D2365" t="s">
        <v>339</v>
      </c>
      <c r="E2365" t="s">
        <v>387</v>
      </c>
    </row>
    <row r="2366" spans="2:5">
      <c r="B2366" t="s">
        <v>3828</v>
      </c>
      <c r="C2366">
        <v>530065</v>
      </c>
      <c r="D2366" t="s">
        <v>339</v>
      </c>
      <c r="E2366" t="s">
        <v>540</v>
      </c>
    </row>
    <row r="2367" spans="2:5">
      <c r="B2367" t="s">
        <v>3829</v>
      </c>
      <c r="C2367">
        <v>540952</v>
      </c>
      <c r="D2367" t="s">
        <v>339</v>
      </c>
      <c r="E2367" t="s">
        <v>453</v>
      </c>
    </row>
    <row r="2368" spans="2:5">
      <c r="B2368" t="s">
        <v>3830</v>
      </c>
      <c r="C2368">
        <v>523475</v>
      </c>
      <c r="D2368" t="s">
        <v>339</v>
      </c>
      <c r="E2368" t="s">
        <v>399</v>
      </c>
    </row>
    <row r="2369" spans="2:5">
      <c r="B2369" t="s">
        <v>3831</v>
      </c>
      <c r="C2369">
        <v>532998</v>
      </c>
      <c r="D2369" t="s">
        <v>3832</v>
      </c>
      <c r="E2369" t="s">
        <v>809</v>
      </c>
    </row>
    <row r="2370" spans="2:5">
      <c r="B2370" t="s">
        <v>3833</v>
      </c>
      <c r="C2370">
        <v>533343</v>
      </c>
      <c r="D2370" t="s">
        <v>3834</v>
      </c>
      <c r="E2370" t="s">
        <v>453</v>
      </c>
    </row>
    <row r="2371" spans="2:5">
      <c r="B2371" t="s">
        <v>3835</v>
      </c>
      <c r="C2371">
        <v>539227</v>
      </c>
      <c r="D2371" t="s">
        <v>339</v>
      </c>
      <c r="E2371" t="s">
        <v>347</v>
      </c>
    </row>
    <row r="2372" spans="2:5">
      <c r="B2372" t="s">
        <v>3836</v>
      </c>
      <c r="C2372">
        <v>514036</v>
      </c>
      <c r="D2372" t="s">
        <v>339</v>
      </c>
      <c r="E2372" t="s">
        <v>354</v>
      </c>
    </row>
    <row r="2373" spans="2:5">
      <c r="B2373" t="s">
        <v>3837</v>
      </c>
      <c r="C2373">
        <v>532783</v>
      </c>
      <c r="D2373" t="s">
        <v>3838</v>
      </c>
      <c r="E2373" t="s">
        <v>399</v>
      </c>
    </row>
    <row r="2374" spans="2:5">
      <c r="B2374" t="s">
        <v>3839</v>
      </c>
      <c r="C2374">
        <v>526179</v>
      </c>
      <c r="D2374" t="s">
        <v>339</v>
      </c>
      <c r="E2374" t="s">
        <v>576</v>
      </c>
    </row>
    <row r="2375" spans="2:5">
      <c r="B2375" t="s">
        <v>3840</v>
      </c>
      <c r="C2375">
        <v>512048</v>
      </c>
      <c r="D2375" t="s">
        <v>339</v>
      </c>
      <c r="E2375" t="s">
        <v>425</v>
      </c>
    </row>
    <row r="2376" spans="2:5">
      <c r="B2376" t="s">
        <v>3841</v>
      </c>
      <c r="C2376">
        <v>532796</v>
      </c>
      <c r="D2376" t="s">
        <v>3842</v>
      </c>
      <c r="E2376" t="s">
        <v>694</v>
      </c>
    </row>
    <row r="2377" spans="2:5">
      <c r="B2377" t="s">
        <v>3843</v>
      </c>
      <c r="C2377">
        <v>517206</v>
      </c>
      <c r="D2377" t="s">
        <v>3844</v>
      </c>
      <c r="E2377" t="s">
        <v>694</v>
      </c>
    </row>
    <row r="2378" spans="2:5">
      <c r="B2378" t="s">
        <v>3845</v>
      </c>
      <c r="C2378">
        <v>500257</v>
      </c>
      <c r="D2378" t="s">
        <v>3846</v>
      </c>
      <c r="E2378" t="s">
        <v>377</v>
      </c>
    </row>
    <row r="2379" spans="2:5">
      <c r="B2379" t="s">
        <v>3847</v>
      </c>
      <c r="C2379">
        <v>539542</v>
      </c>
      <c r="D2379" t="s">
        <v>3848</v>
      </c>
      <c r="E2379" t="s">
        <v>453</v>
      </c>
    </row>
    <row r="2380" spans="2:5">
      <c r="B2380" t="s">
        <v>3849</v>
      </c>
      <c r="C2380">
        <v>531402</v>
      </c>
      <c r="D2380" t="s">
        <v>339</v>
      </c>
      <c r="E2380" t="s">
        <v>361</v>
      </c>
    </row>
    <row r="2381" spans="2:5">
      <c r="B2381" t="s">
        <v>3850</v>
      </c>
      <c r="C2381">
        <v>500259</v>
      </c>
      <c r="D2381" t="s">
        <v>3851</v>
      </c>
      <c r="E2381" t="s">
        <v>377</v>
      </c>
    </row>
    <row r="2382" spans="2:5">
      <c r="B2382" t="s">
        <v>3852</v>
      </c>
      <c r="C2382">
        <v>530689</v>
      </c>
      <c r="D2382" t="s">
        <v>339</v>
      </c>
      <c r="E2382" t="s">
        <v>521</v>
      </c>
    </row>
    <row r="2383" spans="2:5">
      <c r="B2383" t="s">
        <v>3853</v>
      </c>
      <c r="C2383">
        <v>505320</v>
      </c>
      <c r="D2383" t="s">
        <v>339</v>
      </c>
      <c r="E2383" t="s">
        <v>347</v>
      </c>
    </row>
    <row r="2384" spans="2:5">
      <c r="B2384" t="s">
        <v>3854</v>
      </c>
      <c r="C2384">
        <v>534532</v>
      </c>
      <c r="D2384" t="s">
        <v>3855</v>
      </c>
      <c r="E2384" t="s">
        <v>453</v>
      </c>
    </row>
    <row r="2385" spans="2:5">
      <c r="B2385" t="s">
        <v>3856</v>
      </c>
      <c r="C2385">
        <v>526935</v>
      </c>
      <c r="D2385" t="s">
        <v>339</v>
      </c>
      <c r="E2385" t="s">
        <v>322</v>
      </c>
    </row>
    <row r="2386" spans="2:5">
      <c r="B2386" t="s">
        <v>3857</v>
      </c>
      <c r="C2386">
        <v>538890</v>
      </c>
      <c r="D2386" t="s">
        <v>339</v>
      </c>
      <c r="E2386" t="s">
        <v>354</v>
      </c>
    </row>
    <row r="2387" spans="2:5">
      <c r="B2387" t="s">
        <v>3858</v>
      </c>
      <c r="C2387">
        <v>538890</v>
      </c>
      <c r="D2387" t="s">
        <v>339</v>
      </c>
      <c r="E2387" t="s">
        <v>354</v>
      </c>
    </row>
    <row r="2388" spans="2:5">
      <c r="B2388" t="s">
        <v>3859</v>
      </c>
      <c r="C2388" t="s">
        <v>339</v>
      </c>
      <c r="D2388" t="s">
        <v>3860</v>
      </c>
      <c r="E2388" t="s">
        <v>350</v>
      </c>
    </row>
    <row r="2389" spans="2:5">
      <c r="B2389" t="s">
        <v>3861</v>
      </c>
      <c r="C2389">
        <v>506543</v>
      </c>
      <c r="D2389" t="s">
        <v>339</v>
      </c>
      <c r="E2389" t="s">
        <v>847</v>
      </c>
    </row>
    <row r="2390" spans="2:5">
      <c r="B2390" t="s">
        <v>3862</v>
      </c>
      <c r="C2390">
        <v>532906</v>
      </c>
      <c r="D2390" t="s">
        <v>3863</v>
      </c>
      <c r="E2390" t="s">
        <v>737</v>
      </c>
    </row>
    <row r="2391" spans="2:5">
      <c r="B2391" t="s">
        <v>3864</v>
      </c>
      <c r="C2391">
        <v>507836</v>
      </c>
      <c r="D2391" t="s">
        <v>339</v>
      </c>
      <c r="E2391" t="s">
        <v>540</v>
      </c>
    </row>
    <row r="2392" spans="2:5">
      <c r="B2392" t="s">
        <v>3865</v>
      </c>
      <c r="C2392">
        <v>507836</v>
      </c>
      <c r="D2392" t="s">
        <v>339</v>
      </c>
      <c r="E2392" t="s">
        <v>540</v>
      </c>
    </row>
    <row r="2393" spans="2:5">
      <c r="B2393" t="s">
        <v>3866</v>
      </c>
      <c r="C2393">
        <v>541973</v>
      </c>
      <c r="D2393" t="s">
        <v>339</v>
      </c>
      <c r="E2393" t="s">
        <v>540</v>
      </c>
    </row>
    <row r="2394" spans="2:5">
      <c r="B2394" t="s">
        <v>3867</v>
      </c>
      <c r="C2394">
        <v>523248</v>
      </c>
      <c r="D2394" t="s">
        <v>339</v>
      </c>
      <c r="E2394" t="s">
        <v>459</v>
      </c>
    </row>
    <row r="2395" spans="2:5">
      <c r="B2395" t="s">
        <v>3868</v>
      </c>
      <c r="C2395">
        <v>501471</v>
      </c>
      <c r="D2395" t="s">
        <v>339</v>
      </c>
      <c r="E2395" t="s">
        <v>361</v>
      </c>
    </row>
    <row r="2396" spans="2:5">
      <c r="B2396" t="s">
        <v>3869</v>
      </c>
      <c r="C2396" t="s">
        <v>339</v>
      </c>
      <c r="D2396" t="s">
        <v>3870</v>
      </c>
      <c r="E2396" t="s">
        <v>350</v>
      </c>
    </row>
    <row r="2397" spans="2:5">
      <c r="B2397" t="s">
        <v>3871</v>
      </c>
      <c r="C2397">
        <v>512600</v>
      </c>
      <c r="D2397" t="s">
        <v>339</v>
      </c>
      <c r="E2397" t="s">
        <v>361</v>
      </c>
    </row>
    <row r="2398" spans="2:5">
      <c r="B2398" t="s">
        <v>3872</v>
      </c>
      <c r="C2398" t="s">
        <v>339</v>
      </c>
      <c r="D2398" t="s">
        <v>3873</v>
      </c>
      <c r="E2398" t="s">
        <v>350</v>
      </c>
    </row>
    <row r="2399" spans="2:5">
      <c r="B2399" t="s">
        <v>3874</v>
      </c>
      <c r="C2399">
        <v>539894</v>
      </c>
      <c r="D2399" t="s">
        <v>339</v>
      </c>
      <c r="E2399" t="s">
        <v>737</v>
      </c>
    </row>
    <row r="2400" spans="2:5">
      <c r="B2400" t="s">
        <v>3875</v>
      </c>
      <c r="C2400">
        <v>515093</v>
      </c>
      <c r="D2400" t="s">
        <v>3876</v>
      </c>
      <c r="E2400" t="s">
        <v>867</v>
      </c>
    </row>
    <row r="2401" spans="2:5">
      <c r="B2401" t="s">
        <v>3877</v>
      </c>
      <c r="C2401">
        <v>780009</v>
      </c>
      <c r="D2401" t="s">
        <v>339</v>
      </c>
      <c r="E2401" t="s">
        <v>430</v>
      </c>
    </row>
    <row r="2402" spans="2:5">
      <c r="B2402" t="s">
        <v>3878</v>
      </c>
      <c r="C2402">
        <v>531497</v>
      </c>
      <c r="D2402" t="s">
        <v>3879</v>
      </c>
      <c r="E2402" t="s">
        <v>737</v>
      </c>
    </row>
    <row r="2403" spans="2:5">
      <c r="B2403" t="s">
        <v>3880</v>
      </c>
      <c r="C2403">
        <v>519279</v>
      </c>
      <c r="D2403" t="s">
        <v>339</v>
      </c>
      <c r="E2403" t="s">
        <v>537</v>
      </c>
    </row>
    <row r="2404" spans="2:5">
      <c r="B2404" t="s">
        <v>3881</v>
      </c>
      <c r="C2404">
        <v>515059</v>
      </c>
      <c r="D2404" t="s">
        <v>339</v>
      </c>
      <c r="E2404" t="s">
        <v>588</v>
      </c>
    </row>
    <row r="2405" spans="2:5">
      <c r="B2405" t="s">
        <v>3882</v>
      </c>
      <c r="C2405">
        <v>511000</v>
      </c>
      <c r="D2405" t="s">
        <v>339</v>
      </c>
      <c r="E2405" t="s">
        <v>356</v>
      </c>
    </row>
    <row r="2406" spans="2:5">
      <c r="B2406" t="s">
        <v>3883</v>
      </c>
      <c r="C2406">
        <v>531910</v>
      </c>
      <c r="D2406" t="s">
        <v>339</v>
      </c>
      <c r="E2406" t="s">
        <v>377</v>
      </c>
    </row>
    <row r="2407" spans="2:5">
      <c r="B2407" t="s">
        <v>3884</v>
      </c>
      <c r="C2407" t="s">
        <v>339</v>
      </c>
      <c r="D2407" t="s">
        <v>3885</v>
      </c>
      <c r="E2407" t="s">
        <v>350</v>
      </c>
    </row>
    <row r="2408" spans="2:5">
      <c r="B2408" t="s">
        <v>3886</v>
      </c>
      <c r="C2408" t="s">
        <v>339</v>
      </c>
      <c r="D2408" t="s">
        <v>3887</v>
      </c>
      <c r="E2408" t="s">
        <v>350</v>
      </c>
    </row>
    <row r="2409" spans="2:5">
      <c r="B2409" t="s">
        <v>3888</v>
      </c>
      <c r="C2409">
        <v>590134</v>
      </c>
      <c r="D2409" t="s">
        <v>3889</v>
      </c>
      <c r="E2409" t="s">
        <v>847</v>
      </c>
    </row>
    <row r="2410" spans="2:5">
      <c r="B2410" t="s">
        <v>3890</v>
      </c>
      <c r="C2410">
        <v>538401</v>
      </c>
      <c r="D2410" t="s">
        <v>339</v>
      </c>
      <c r="E2410" t="s">
        <v>881</v>
      </c>
    </row>
    <row r="2411" spans="2:5">
      <c r="B2411" t="s">
        <v>3891</v>
      </c>
      <c r="C2411">
        <v>500264</v>
      </c>
      <c r="D2411" t="s">
        <v>339</v>
      </c>
      <c r="E2411" t="s">
        <v>354</v>
      </c>
    </row>
    <row r="2412" spans="2:5">
      <c r="B2412" t="s">
        <v>3892</v>
      </c>
      <c r="C2412">
        <v>540650</v>
      </c>
      <c r="D2412" t="s">
        <v>3893</v>
      </c>
      <c r="E2412" t="s">
        <v>1037</v>
      </c>
    </row>
    <row r="2413" spans="2:5">
      <c r="B2413" t="s">
        <v>3894</v>
      </c>
      <c r="C2413">
        <v>524000</v>
      </c>
      <c r="D2413" t="s">
        <v>3895</v>
      </c>
      <c r="E2413" t="s">
        <v>356</v>
      </c>
    </row>
    <row r="2414" spans="2:5">
      <c r="B2414" t="s">
        <v>3896</v>
      </c>
      <c r="C2414">
        <v>517449</v>
      </c>
      <c r="D2414" t="s">
        <v>339</v>
      </c>
      <c r="E2414" t="s">
        <v>1258</v>
      </c>
    </row>
    <row r="2415" spans="2:5">
      <c r="B2415" t="s">
        <v>3897</v>
      </c>
      <c r="C2415">
        <v>512377</v>
      </c>
      <c r="D2415" t="s">
        <v>339</v>
      </c>
      <c r="E2415" t="s">
        <v>760</v>
      </c>
    </row>
    <row r="2416" spans="2:5">
      <c r="B2416" t="s">
        <v>3898</v>
      </c>
      <c r="C2416">
        <v>532896</v>
      </c>
      <c r="D2416" t="s">
        <v>3899</v>
      </c>
      <c r="E2416" t="s">
        <v>333</v>
      </c>
    </row>
    <row r="2417" spans="2:5">
      <c r="B2417" t="s">
        <v>3900</v>
      </c>
      <c r="C2417">
        <v>523384</v>
      </c>
      <c r="D2417" t="s">
        <v>3901</v>
      </c>
      <c r="E2417" t="s">
        <v>356</v>
      </c>
    </row>
    <row r="2418" spans="2:5">
      <c r="B2418" t="s">
        <v>3902</v>
      </c>
      <c r="C2418">
        <v>519612</v>
      </c>
      <c r="D2418" t="s">
        <v>339</v>
      </c>
      <c r="E2418" t="s">
        <v>399</v>
      </c>
    </row>
    <row r="2419" spans="2:5">
      <c r="B2419" t="s">
        <v>3903</v>
      </c>
      <c r="C2419">
        <v>514450</v>
      </c>
      <c r="D2419" t="s">
        <v>339</v>
      </c>
      <c r="E2419" t="s">
        <v>1258</v>
      </c>
    </row>
    <row r="2420" spans="2:5">
      <c r="B2420" t="s">
        <v>3904</v>
      </c>
      <c r="C2420">
        <v>513460</v>
      </c>
      <c r="D2420" t="s">
        <v>339</v>
      </c>
      <c r="E2420" t="s">
        <v>662</v>
      </c>
    </row>
    <row r="2421" spans="2:5">
      <c r="B2421" t="s">
        <v>3905</v>
      </c>
      <c r="C2421">
        <v>513554</v>
      </c>
      <c r="D2421" t="s">
        <v>3906</v>
      </c>
      <c r="E2421" t="s">
        <v>662</v>
      </c>
    </row>
    <row r="2422" spans="2:5">
      <c r="B2422" t="s">
        <v>3907</v>
      </c>
      <c r="C2422">
        <v>531515</v>
      </c>
      <c r="D2422" t="s">
        <v>339</v>
      </c>
      <c r="E2422" t="s">
        <v>361</v>
      </c>
    </row>
    <row r="2423" spans="2:5">
      <c r="B2423" t="s">
        <v>3908</v>
      </c>
      <c r="C2423">
        <v>539957</v>
      </c>
      <c r="D2423" t="s">
        <v>3909</v>
      </c>
      <c r="E2423" t="s">
        <v>364</v>
      </c>
    </row>
    <row r="2424" spans="2:5">
      <c r="B2424" t="s">
        <v>3910</v>
      </c>
      <c r="C2424">
        <v>500108</v>
      </c>
      <c r="D2424" t="s">
        <v>3911</v>
      </c>
      <c r="E2424" t="s">
        <v>1282</v>
      </c>
    </row>
    <row r="2425" spans="2:5">
      <c r="B2425" t="s">
        <v>3912</v>
      </c>
      <c r="C2425">
        <v>530441</v>
      </c>
      <c r="D2425" t="s">
        <v>339</v>
      </c>
      <c r="E2425" t="s">
        <v>760</v>
      </c>
    </row>
    <row r="2426" spans="2:5">
      <c r="B2426" t="s">
        <v>3913</v>
      </c>
      <c r="C2426">
        <v>530441</v>
      </c>
      <c r="D2426" t="s">
        <v>339</v>
      </c>
      <c r="E2426" t="s">
        <v>760</v>
      </c>
    </row>
    <row r="2427" spans="2:5">
      <c r="B2427" t="s">
        <v>3914</v>
      </c>
      <c r="C2427">
        <v>505523</v>
      </c>
      <c r="D2427" t="s">
        <v>339</v>
      </c>
      <c r="E2427" t="s">
        <v>361</v>
      </c>
    </row>
    <row r="2428" spans="2:5">
      <c r="B2428" t="s">
        <v>3915</v>
      </c>
      <c r="C2428">
        <v>500266</v>
      </c>
      <c r="D2428" t="s">
        <v>3916</v>
      </c>
      <c r="E2428" t="s">
        <v>359</v>
      </c>
    </row>
    <row r="2429" spans="2:5">
      <c r="B2429" t="s">
        <v>3917</v>
      </c>
      <c r="C2429">
        <v>500265</v>
      </c>
      <c r="D2429" t="s">
        <v>3918</v>
      </c>
      <c r="E2429" t="s">
        <v>737</v>
      </c>
    </row>
    <row r="2430" spans="2:5">
      <c r="B2430" t="s">
        <v>3919</v>
      </c>
      <c r="C2430">
        <v>526795</v>
      </c>
      <c r="D2430" t="s">
        <v>339</v>
      </c>
      <c r="E2430" t="s">
        <v>411</v>
      </c>
    </row>
    <row r="2431" spans="2:5">
      <c r="B2431" t="s">
        <v>3920</v>
      </c>
      <c r="C2431">
        <v>512337</v>
      </c>
      <c r="D2431" t="s">
        <v>339</v>
      </c>
      <c r="E2431" t="s">
        <v>361</v>
      </c>
    </row>
    <row r="2432" spans="2:5">
      <c r="B2432" t="s">
        <v>3921</v>
      </c>
      <c r="C2432">
        <v>539383</v>
      </c>
      <c r="D2432" t="s">
        <v>339</v>
      </c>
      <c r="E2432" t="s">
        <v>325</v>
      </c>
    </row>
    <row r="2433" spans="2:5">
      <c r="B2433" t="s">
        <v>3922</v>
      </c>
      <c r="C2433">
        <v>531648</v>
      </c>
      <c r="D2433" t="s">
        <v>339</v>
      </c>
      <c r="E2433" t="s">
        <v>413</v>
      </c>
    </row>
    <row r="2434" spans="2:5">
      <c r="B2434" t="s">
        <v>3923</v>
      </c>
      <c r="C2434">
        <v>542677</v>
      </c>
      <c r="D2434" t="s">
        <v>3924</v>
      </c>
      <c r="E2434" t="s">
        <v>425</v>
      </c>
    </row>
    <row r="2435" spans="2:5">
      <c r="B2435" t="s">
        <v>3925</v>
      </c>
      <c r="C2435" t="s">
        <v>339</v>
      </c>
      <c r="D2435" t="s">
        <v>3926</v>
      </c>
      <c r="E2435" t="s">
        <v>350</v>
      </c>
    </row>
    <row r="2436" spans="2:5">
      <c r="B2436" t="s">
        <v>3927</v>
      </c>
      <c r="C2436" t="s">
        <v>339</v>
      </c>
      <c r="D2436" t="s">
        <v>3928</v>
      </c>
      <c r="E2436" t="s">
        <v>350</v>
      </c>
    </row>
    <row r="2437" spans="2:5">
      <c r="B2437" t="s">
        <v>3929</v>
      </c>
      <c r="C2437">
        <v>532720</v>
      </c>
      <c r="D2437" t="s">
        <v>3930</v>
      </c>
      <c r="E2437" t="s">
        <v>356</v>
      </c>
    </row>
    <row r="2438" spans="2:5">
      <c r="B2438" t="s">
        <v>3931</v>
      </c>
      <c r="C2438">
        <v>500520</v>
      </c>
      <c r="D2438" t="s">
        <v>3932</v>
      </c>
      <c r="E2438" t="s">
        <v>2268</v>
      </c>
    </row>
    <row r="2439" spans="2:5">
      <c r="B2439" t="s">
        <v>3933</v>
      </c>
      <c r="C2439">
        <v>532756</v>
      </c>
      <c r="D2439" t="s">
        <v>3934</v>
      </c>
      <c r="E2439" t="s">
        <v>1258</v>
      </c>
    </row>
    <row r="2440" spans="2:5">
      <c r="B2440" t="s">
        <v>3935</v>
      </c>
      <c r="C2440">
        <v>533088</v>
      </c>
      <c r="D2440" t="s">
        <v>3936</v>
      </c>
      <c r="E2440" t="s">
        <v>540</v>
      </c>
    </row>
    <row r="2441" spans="2:5">
      <c r="B2441" t="s">
        <v>3937</v>
      </c>
      <c r="C2441">
        <v>533088</v>
      </c>
      <c r="D2441" t="s">
        <v>3936</v>
      </c>
      <c r="E2441" t="s">
        <v>540</v>
      </c>
    </row>
    <row r="2442" spans="2:5">
      <c r="B2442" t="s">
        <v>3938</v>
      </c>
      <c r="C2442">
        <v>532313</v>
      </c>
      <c r="D2442" t="s">
        <v>3939</v>
      </c>
      <c r="E2442" t="s">
        <v>425</v>
      </c>
    </row>
    <row r="2443" spans="2:5">
      <c r="B2443" t="s">
        <v>3940</v>
      </c>
      <c r="C2443">
        <v>540768</v>
      </c>
      <c r="D2443" t="s">
        <v>3941</v>
      </c>
      <c r="E2443" t="s">
        <v>660</v>
      </c>
    </row>
    <row r="2444" spans="2:5">
      <c r="B2444" t="s">
        <v>3942</v>
      </c>
      <c r="C2444">
        <v>542503</v>
      </c>
      <c r="D2444" t="s">
        <v>3943</v>
      </c>
      <c r="E2444" t="s">
        <v>2316</v>
      </c>
    </row>
    <row r="2445" spans="2:5">
      <c r="B2445" t="s">
        <v>3944</v>
      </c>
      <c r="C2445">
        <v>590078</v>
      </c>
      <c r="D2445" t="s">
        <v>3945</v>
      </c>
      <c r="E2445" t="s">
        <v>371</v>
      </c>
    </row>
    <row r="2446" spans="2:5">
      <c r="B2446" t="s">
        <v>3946</v>
      </c>
      <c r="C2446">
        <v>513430</v>
      </c>
      <c r="D2446" t="s">
        <v>339</v>
      </c>
      <c r="E2446" t="s">
        <v>644</v>
      </c>
    </row>
    <row r="2447" spans="2:5">
      <c r="B2447" t="s">
        <v>3947</v>
      </c>
      <c r="C2447">
        <v>539289</v>
      </c>
      <c r="D2447" t="s">
        <v>3948</v>
      </c>
      <c r="E2447" t="s">
        <v>325</v>
      </c>
    </row>
    <row r="2448" spans="2:5">
      <c r="B2448" t="s">
        <v>3949</v>
      </c>
      <c r="C2448">
        <v>500267</v>
      </c>
      <c r="D2448" t="s">
        <v>339</v>
      </c>
      <c r="E2448" t="s">
        <v>996</v>
      </c>
    </row>
    <row r="2449" spans="2:5">
      <c r="B2449" t="s">
        <v>3950</v>
      </c>
      <c r="C2449">
        <v>539229</v>
      </c>
      <c r="D2449" t="s">
        <v>339</v>
      </c>
      <c r="E2449" t="s">
        <v>328</v>
      </c>
    </row>
    <row r="2450" spans="2:5">
      <c r="B2450" t="s">
        <v>3951</v>
      </c>
      <c r="C2450">
        <v>506919</v>
      </c>
      <c r="D2450" t="s">
        <v>339</v>
      </c>
      <c r="E2450" t="s">
        <v>377</v>
      </c>
    </row>
    <row r="2451" spans="2:5">
      <c r="B2451" t="s">
        <v>3952</v>
      </c>
      <c r="C2451">
        <v>539400</v>
      </c>
      <c r="D2451" t="s">
        <v>339</v>
      </c>
      <c r="E2451" t="s">
        <v>453</v>
      </c>
    </row>
    <row r="2452" spans="2:5">
      <c r="B2452" t="s">
        <v>3953</v>
      </c>
      <c r="C2452">
        <v>539400</v>
      </c>
      <c r="D2452" t="s">
        <v>339</v>
      </c>
      <c r="E2452" t="s">
        <v>453</v>
      </c>
    </row>
    <row r="2453" spans="2:5">
      <c r="B2453" t="s">
        <v>3954</v>
      </c>
      <c r="C2453">
        <v>532728</v>
      </c>
      <c r="D2453" t="s">
        <v>3955</v>
      </c>
      <c r="E2453" t="s">
        <v>333</v>
      </c>
    </row>
    <row r="2454" spans="2:5">
      <c r="B2454" t="s">
        <v>3956</v>
      </c>
      <c r="C2454">
        <v>513269</v>
      </c>
      <c r="D2454" t="s">
        <v>3957</v>
      </c>
      <c r="E2454" t="s">
        <v>737</v>
      </c>
    </row>
    <row r="2455" spans="2:5">
      <c r="B2455" t="s">
        <v>3958</v>
      </c>
      <c r="C2455">
        <v>513269</v>
      </c>
      <c r="D2455" t="s">
        <v>3957</v>
      </c>
      <c r="E2455" t="s">
        <v>737</v>
      </c>
    </row>
    <row r="2456" spans="2:5">
      <c r="B2456" t="s">
        <v>3959</v>
      </c>
      <c r="C2456">
        <v>533169</v>
      </c>
      <c r="D2456" t="s">
        <v>3960</v>
      </c>
      <c r="E2456" t="s">
        <v>737</v>
      </c>
    </row>
    <row r="2457" spans="2:5">
      <c r="B2457" t="s">
        <v>3961</v>
      </c>
      <c r="C2457">
        <v>539045</v>
      </c>
      <c r="D2457" t="s">
        <v>3962</v>
      </c>
      <c r="E2457" t="s">
        <v>644</v>
      </c>
    </row>
    <row r="2458" spans="2:5">
      <c r="B2458" t="s">
        <v>3963</v>
      </c>
      <c r="C2458">
        <v>539046</v>
      </c>
      <c r="D2458" t="s">
        <v>3964</v>
      </c>
      <c r="E2458" t="s">
        <v>371</v>
      </c>
    </row>
    <row r="2459" spans="2:5">
      <c r="B2459" t="s">
        <v>3965</v>
      </c>
      <c r="C2459">
        <v>532932</v>
      </c>
      <c r="D2459" t="s">
        <v>3966</v>
      </c>
      <c r="E2459" t="s">
        <v>534</v>
      </c>
    </row>
    <row r="2460" spans="2:5">
      <c r="B2460" t="s">
        <v>3967</v>
      </c>
      <c r="C2460">
        <v>539044</v>
      </c>
      <c r="D2460" t="s">
        <v>3968</v>
      </c>
      <c r="E2460" t="s">
        <v>371</v>
      </c>
    </row>
    <row r="2461" spans="2:5">
      <c r="B2461" t="s">
        <v>3969</v>
      </c>
      <c r="C2461">
        <v>500268</v>
      </c>
      <c r="D2461" t="s">
        <v>3970</v>
      </c>
      <c r="E2461" t="s">
        <v>553</v>
      </c>
    </row>
    <row r="2462" spans="2:5">
      <c r="B2462" t="s">
        <v>3971</v>
      </c>
      <c r="C2462">
        <v>531213</v>
      </c>
      <c r="D2462" t="s">
        <v>3972</v>
      </c>
      <c r="E2462" t="s">
        <v>356</v>
      </c>
    </row>
    <row r="2463" spans="2:5">
      <c r="B2463" t="s">
        <v>3973</v>
      </c>
      <c r="C2463">
        <v>540402</v>
      </c>
      <c r="D2463" t="s">
        <v>339</v>
      </c>
      <c r="E2463" t="s">
        <v>425</v>
      </c>
    </row>
    <row r="2464" spans="2:5">
      <c r="B2464" t="s">
        <v>3974</v>
      </c>
      <c r="C2464" t="s">
        <v>339</v>
      </c>
      <c r="D2464" t="s">
        <v>3975</v>
      </c>
      <c r="E2464" t="s">
        <v>350</v>
      </c>
    </row>
    <row r="2465" spans="2:5">
      <c r="B2465" t="s">
        <v>3976</v>
      </c>
      <c r="C2465">
        <v>533204</v>
      </c>
      <c r="D2465" t="s">
        <v>3977</v>
      </c>
      <c r="E2465" t="s">
        <v>354</v>
      </c>
    </row>
    <row r="2466" spans="2:5">
      <c r="B2466" t="s">
        <v>3978</v>
      </c>
      <c r="C2466">
        <v>505850</v>
      </c>
      <c r="D2466" t="s">
        <v>3979</v>
      </c>
      <c r="E2466" t="s">
        <v>356</v>
      </c>
    </row>
    <row r="2467" spans="2:5">
      <c r="B2467" t="s">
        <v>3980</v>
      </c>
      <c r="C2467">
        <v>502157</v>
      </c>
      <c r="D2467" t="s">
        <v>3981</v>
      </c>
      <c r="E2467" t="s">
        <v>352</v>
      </c>
    </row>
    <row r="2468" spans="2:5">
      <c r="B2468" t="s">
        <v>3982</v>
      </c>
      <c r="C2468">
        <v>532637</v>
      </c>
      <c r="D2468" t="s">
        <v>3983</v>
      </c>
      <c r="E2468" t="s">
        <v>377</v>
      </c>
    </row>
    <row r="2469" spans="2:5">
      <c r="B2469" t="s">
        <v>3984</v>
      </c>
      <c r="C2469">
        <v>537800</v>
      </c>
      <c r="D2469" t="s">
        <v>339</v>
      </c>
      <c r="E2469" t="s">
        <v>356</v>
      </c>
    </row>
    <row r="2470" spans="2:5">
      <c r="B2470" t="s">
        <v>3985</v>
      </c>
      <c r="C2470">
        <v>514418</v>
      </c>
      <c r="D2470" t="s">
        <v>339</v>
      </c>
      <c r="E2470" t="s">
        <v>387</v>
      </c>
    </row>
    <row r="2471" spans="2:5">
      <c r="B2471" t="s">
        <v>3986</v>
      </c>
      <c r="C2471">
        <v>539275</v>
      </c>
      <c r="D2471" t="s">
        <v>339</v>
      </c>
      <c r="E2471" t="s">
        <v>537</v>
      </c>
    </row>
    <row r="2472" spans="2:5">
      <c r="B2472" t="s">
        <v>3987</v>
      </c>
      <c r="C2472">
        <v>516007</v>
      </c>
      <c r="D2472" t="s">
        <v>3988</v>
      </c>
      <c r="E2472" t="s">
        <v>834</v>
      </c>
    </row>
    <row r="2473" spans="2:5">
      <c r="B2473" t="s">
        <v>3989</v>
      </c>
      <c r="C2473">
        <v>530011</v>
      </c>
      <c r="D2473" t="s">
        <v>3990</v>
      </c>
      <c r="E2473" t="s">
        <v>847</v>
      </c>
    </row>
    <row r="2474" spans="2:5">
      <c r="B2474" t="s">
        <v>3991</v>
      </c>
      <c r="C2474">
        <v>500109</v>
      </c>
      <c r="D2474" t="s">
        <v>3992</v>
      </c>
      <c r="E2474" t="s">
        <v>1267</v>
      </c>
    </row>
    <row r="2475" spans="2:5">
      <c r="B2475" t="s">
        <v>3993</v>
      </c>
      <c r="C2475">
        <v>530243</v>
      </c>
      <c r="D2475" t="s">
        <v>339</v>
      </c>
      <c r="E2475" t="s">
        <v>432</v>
      </c>
    </row>
    <row r="2476" spans="2:5">
      <c r="B2476" t="s">
        <v>3994</v>
      </c>
      <c r="C2476">
        <v>507938</v>
      </c>
      <c r="D2476" t="s">
        <v>339</v>
      </c>
      <c r="E2476" t="s">
        <v>356</v>
      </c>
    </row>
    <row r="2477" spans="2:5">
      <c r="B2477" t="s">
        <v>3995</v>
      </c>
      <c r="C2477">
        <v>533078</v>
      </c>
      <c r="D2477" t="s">
        <v>339</v>
      </c>
      <c r="E2477" t="s">
        <v>425</v>
      </c>
    </row>
    <row r="2478" spans="2:5">
      <c r="B2478" t="s">
        <v>3996</v>
      </c>
      <c r="C2478">
        <v>540396</v>
      </c>
      <c r="D2478" t="s">
        <v>339</v>
      </c>
      <c r="E2478" t="s">
        <v>354</v>
      </c>
    </row>
    <row r="2479" spans="2:5">
      <c r="B2479" t="s">
        <v>3997</v>
      </c>
      <c r="C2479">
        <v>540396</v>
      </c>
      <c r="D2479" t="s">
        <v>339</v>
      </c>
      <c r="E2479" t="s">
        <v>354</v>
      </c>
    </row>
    <row r="2480" spans="2:5">
      <c r="B2480" t="s">
        <v>3998</v>
      </c>
      <c r="C2480">
        <v>541974</v>
      </c>
      <c r="D2480" t="s">
        <v>339</v>
      </c>
      <c r="E2480" t="s">
        <v>588</v>
      </c>
    </row>
    <row r="2481" spans="2:5">
      <c r="B2481" t="s">
        <v>3999</v>
      </c>
      <c r="C2481">
        <v>539207</v>
      </c>
      <c r="D2481" t="s">
        <v>4000</v>
      </c>
      <c r="E2481" t="s">
        <v>774</v>
      </c>
    </row>
    <row r="2482" spans="2:5">
      <c r="B2482" t="s">
        <v>4001</v>
      </c>
      <c r="C2482">
        <v>530537</v>
      </c>
      <c r="D2482" t="s">
        <v>339</v>
      </c>
      <c r="E2482" t="s">
        <v>397</v>
      </c>
    </row>
    <row r="2483" spans="2:5">
      <c r="B2483" t="s">
        <v>4002</v>
      </c>
      <c r="C2483">
        <v>511758</v>
      </c>
      <c r="D2483" t="s">
        <v>339</v>
      </c>
      <c r="E2483" t="s">
        <v>356</v>
      </c>
    </row>
    <row r="2484" spans="2:5">
      <c r="B2484" t="s">
        <v>4003</v>
      </c>
      <c r="C2484">
        <v>512303</v>
      </c>
      <c r="D2484" t="s">
        <v>339</v>
      </c>
      <c r="E2484" t="s">
        <v>760</v>
      </c>
    </row>
    <row r="2485" spans="2:5">
      <c r="B2485" t="s">
        <v>4004</v>
      </c>
      <c r="C2485">
        <v>505324</v>
      </c>
      <c r="D2485" t="s">
        <v>4005</v>
      </c>
      <c r="E2485" t="s">
        <v>347</v>
      </c>
    </row>
    <row r="2486" spans="2:5">
      <c r="B2486" t="s">
        <v>4006</v>
      </c>
      <c r="C2486">
        <v>505324</v>
      </c>
      <c r="D2486" t="s">
        <v>4005</v>
      </c>
      <c r="E2486" t="s">
        <v>347</v>
      </c>
    </row>
    <row r="2487" spans="2:5">
      <c r="B2487" t="s">
        <v>4007</v>
      </c>
      <c r="C2487">
        <v>538970</v>
      </c>
      <c r="D2487" t="s">
        <v>339</v>
      </c>
      <c r="E2487" t="s">
        <v>425</v>
      </c>
    </row>
    <row r="2488" spans="2:5">
      <c r="B2488" t="s">
        <v>4008</v>
      </c>
      <c r="C2488">
        <v>521018</v>
      </c>
      <c r="D2488" t="s">
        <v>4009</v>
      </c>
      <c r="E2488" t="s">
        <v>354</v>
      </c>
    </row>
    <row r="2489" spans="2:5">
      <c r="B2489" t="s">
        <v>4010</v>
      </c>
      <c r="C2489">
        <v>503101</v>
      </c>
      <c r="D2489" t="s">
        <v>4011</v>
      </c>
      <c r="E2489" t="s">
        <v>425</v>
      </c>
    </row>
    <row r="2490" spans="2:5">
      <c r="B2490" t="s">
        <v>4012</v>
      </c>
      <c r="C2490">
        <v>502250</v>
      </c>
      <c r="D2490" t="s">
        <v>339</v>
      </c>
      <c r="E2490" t="s">
        <v>867</v>
      </c>
    </row>
    <row r="2491" spans="2:5">
      <c r="B2491" t="s">
        <v>4013</v>
      </c>
      <c r="C2491">
        <v>513544</v>
      </c>
      <c r="D2491" t="s">
        <v>339</v>
      </c>
      <c r="E2491" t="s">
        <v>413</v>
      </c>
    </row>
    <row r="2492" spans="2:5">
      <c r="B2492" t="s">
        <v>4014</v>
      </c>
      <c r="C2492">
        <v>530543</v>
      </c>
      <c r="D2492" t="s">
        <v>339</v>
      </c>
      <c r="E2492" t="s">
        <v>425</v>
      </c>
    </row>
    <row r="2493" spans="2:5">
      <c r="B2493" t="s">
        <v>4015</v>
      </c>
      <c r="C2493">
        <v>540254</v>
      </c>
      <c r="D2493" t="s">
        <v>339</v>
      </c>
      <c r="E2493" t="s">
        <v>356</v>
      </c>
    </row>
    <row r="2494" spans="2:5">
      <c r="B2494" t="s">
        <v>4016</v>
      </c>
      <c r="C2494">
        <v>500206</v>
      </c>
      <c r="D2494" t="s">
        <v>339</v>
      </c>
      <c r="E2494" t="s">
        <v>356</v>
      </c>
    </row>
    <row r="2495" spans="2:5">
      <c r="B2495" t="s">
        <v>4017</v>
      </c>
      <c r="C2495">
        <v>531642</v>
      </c>
      <c r="D2495" t="s">
        <v>4018</v>
      </c>
      <c r="E2495" t="s">
        <v>521</v>
      </c>
    </row>
    <row r="2496" spans="2:5">
      <c r="B2496" t="s">
        <v>4019</v>
      </c>
      <c r="C2496" t="s">
        <v>339</v>
      </c>
      <c r="D2496" t="s">
        <v>4020</v>
      </c>
      <c r="E2496" t="s">
        <v>350</v>
      </c>
    </row>
    <row r="2497" spans="2:5">
      <c r="B2497" t="s">
        <v>4021</v>
      </c>
      <c r="C2497" t="s">
        <v>339</v>
      </c>
      <c r="D2497" t="s">
        <v>4020</v>
      </c>
      <c r="E2497" t="s">
        <v>350</v>
      </c>
    </row>
    <row r="2498" spans="2:5">
      <c r="B2498" t="s">
        <v>4022</v>
      </c>
      <c r="C2498">
        <v>531503</v>
      </c>
      <c r="D2498" t="s">
        <v>339</v>
      </c>
      <c r="E2498" t="s">
        <v>354</v>
      </c>
    </row>
    <row r="2499" spans="2:5">
      <c r="B2499" t="s">
        <v>4023</v>
      </c>
      <c r="C2499">
        <v>526891</v>
      </c>
      <c r="D2499" t="s">
        <v>339</v>
      </c>
      <c r="E2499" t="s">
        <v>322</v>
      </c>
    </row>
    <row r="2500" spans="2:5">
      <c r="B2500" t="s">
        <v>4024</v>
      </c>
      <c r="C2500">
        <v>524404</v>
      </c>
      <c r="D2500" t="s">
        <v>4025</v>
      </c>
      <c r="E2500" t="s">
        <v>377</v>
      </c>
    </row>
    <row r="2501" spans="2:5">
      <c r="B2501" t="s">
        <v>4026</v>
      </c>
      <c r="C2501" t="s">
        <v>339</v>
      </c>
      <c r="D2501" t="s">
        <v>4027</v>
      </c>
      <c r="E2501" t="s">
        <v>350</v>
      </c>
    </row>
    <row r="2502" spans="2:5">
      <c r="B2502" t="s">
        <v>4028</v>
      </c>
      <c r="C2502">
        <v>517467</v>
      </c>
      <c r="D2502" t="s">
        <v>339</v>
      </c>
      <c r="E2502" t="s">
        <v>637</v>
      </c>
    </row>
    <row r="2503" spans="2:5">
      <c r="B2503" t="s">
        <v>4029</v>
      </c>
      <c r="C2503">
        <v>523566</v>
      </c>
      <c r="D2503" t="s">
        <v>339</v>
      </c>
      <c r="E2503" t="s">
        <v>425</v>
      </c>
    </row>
    <row r="2504" spans="2:5">
      <c r="B2504" t="s">
        <v>4030</v>
      </c>
      <c r="C2504">
        <v>531540</v>
      </c>
      <c r="D2504" t="s">
        <v>339</v>
      </c>
      <c r="E2504" t="s">
        <v>737</v>
      </c>
    </row>
    <row r="2505" spans="2:5">
      <c r="B2505" t="s">
        <v>4031</v>
      </c>
      <c r="C2505">
        <v>531319</v>
      </c>
      <c r="D2505" t="s">
        <v>339</v>
      </c>
      <c r="E2505" t="s">
        <v>356</v>
      </c>
    </row>
    <row r="2506" spans="2:5">
      <c r="B2506" t="s">
        <v>4032</v>
      </c>
      <c r="C2506">
        <v>532500</v>
      </c>
      <c r="D2506" t="s">
        <v>4033</v>
      </c>
      <c r="E2506" t="s">
        <v>2268</v>
      </c>
    </row>
    <row r="2507" spans="2:5">
      <c r="B2507" t="s">
        <v>4034</v>
      </c>
      <c r="C2507">
        <v>532500</v>
      </c>
      <c r="D2507" t="s">
        <v>4033</v>
      </c>
      <c r="E2507" t="s">
        <v>2268</v>
      </c>
    </row>
    <row r="2508" spans="2:5">
      <c r="B2508" t="s">
        <v>4035</v>
      </c>
      <c r="C2508" t="s">
        <v>339</v>
      </c>
      <c r="D2508" t="s">
        <v>4036</v>
      </c>
      <c r="E2508" t="s">
        <v>350</v>
      </c>
    </row>
    <row r="2509" spans="2:5">
      <c r="B2509" t="s">
        <v>4037</v>
      </c>
      <c r="C2509">
        <v>540749</v>
      </c>
      <c r="D2509" t="s">
        <v>4038</v>
      </c>
      <c r="E2509" t="s">
        <v>356</v>
      </c>
    </row>
    <row r="2510" spans="2:5">
      <c r="B2510" t="s">
        <v>4039</v>
      </c>
      <c r="C2510" t="s">
        <v>339</v>
      </c>
      <c r="D2510" t="s">
        <v>4040</v>
      </c>
      <c r="E2510" t="s">
        <v>430</v>
      </c>
    </row>
    <row r="2511" spans="2:5">
      <c r="B2511" t="s">
        <v>4041</v>
      </c>
      <c r="C2511">
        <v>523704</v>
      </c>
      <c r="D2511" t="s">
        <v>4042</v>
      </c>
      <c r="E2511" t="s">
        <v>432</v>
      </c>
    </row>
    <row r="2512" spans="2:5">
      <c r="B2512" t="s">
        <v>4043</v>
      </c>
      <c r="C2512">
        <v>506867</v>
      </c>
      <c r="D2512" t="s">
        <v>339</v>
      </c>
      <c r="E2512" t="s">
        <v>354</v>
      </c>
    </row>
    <row r="2513" spans="2:5">
      <c r="B2513" t="s">
        <v>4044</v>
      </c>
      <c r="C2513">
        <v>511768</v>
      </c>
      <c r="D2513" t="s">
        <v>339</v>
      </c>
      <c r="E2513" t="s">
        <v>356</v>
      </c>
    </row>
    <row r="2514" spans="2:5">
      <c r="B2514" t="s">
        <v>4045</v>
      </c>
      <c r="C2514">
        <v>511688</v>
      </c>
      <c r="D2514" t="s">
        <v>339</v>
      </c>
      <c r="E2514" t="s">
        <v>356</v>
      </c>
    </row>
    <row r="2515" spans="2:5">
      <c r="B2515" t="s">
        <v>4046</v>
      </c>
      <c r="C2515">
        <v>540704</v>
      </c>
      <c r="D2515" t="s">
        <v>4047</v>
      </c>
      <c r="E2515" t="s">
        <v>345</v>
      </c>
    </row>
    <row r="2516" spans="2:5">
      <c r="B2516" t="s">
        <v>4048</v>
      </c>
      <c r="C2516">
        <v>539219</v>
      </c>
      <c r="D2516" t="s">
        <v>339</v>
      </c>
      <c r="E2516" t="s">
        <v>1258</v>
      </c>
    </row>
    <row r="2517" spans="2:5">
      <c r="B2517" t="s">
        <v>4049</v>
      </c>
      <c r="C2517">
        <v>500248</v>
      </c>
      <c r="D2517" t="s">
        <v>339</v>
      </c>
      <c r="E2517" t="s">
        <v>459</v>
      </c>
    </row>
    <row r="2518" spans="2:5">
      <c r="B2518" t="s">
        <v>4050</v>
      </c>
      <c r="C2518">
        <v>523371</v>
      </c>
      <c r="D2518" t="s">
        <v>4051</v>
      </c>
      <c r="E2518" t="s">
        <v>1037</v>
      </c>
    </row>
    <row r="2519" spans="2:5">
      <c r="B2519" t="s">
        <v>4052</v>
      </c>
      <c r="C2519">
        <v>539981</v>
      </c>
      <c r="D2519" t="s">
        <v>4053</v>
      </c>
      <c r="E2519" t="s">
        <v>505</v>
      </c>
    </row>
    <row r="2520" spans="2:5">
      <c r="B2520" t="s">
        <v>4054</v>
      </c>
      <c r="C2520">
        <v>534563</v>
      </c>
      <c r="D2520" t="s">
        <v>4055</v>
      </c>
      <c r="E2520" t="s">
        <v>347</v>
      </c>
    </row>
    <row r="2521" spans="2:5">
      <c r="B2521" t="s">
        <v>4056</v>
      </c>
      <c r="C2521">
        <v>500271</v>
      </c>
      <c r="D2521" t="s">
        <v>4057</v>
      </c>
      <c r="E2521" t="s">
        <v>2751</v>
      </c>
    </row>
    <row r="2522" spans="2:5">
      <c r="B2522" t="s">
        <v>4058</v>
      </c>
      <c r="C2522">
        <v>539981</v>
      </c>
      <c r="D2522" t="s">
        <v>4059</v>
      </c>
      <c r="E2522" t="s">
        <v>505</v>
      </c>
    </row>
    <row r="2523" spans="2:5">
      <c r="B2523" t="s">
        <v>4060</v>
      </c>
      <c r="C2523">
        <v>539940</v>
      </c>
      <c r="D2523" t="s">
        <v>4061</v>
      </c>
      <c r="E2523" t="s">
        <v>505</v>
      </c>
    </row>
    <row r="2524" spans="2:5">
      <c r="B2524" t="s">
        <v>4062</v>
      </c>
      <c r="C2524">
        <v>534338</v>
      </c>
      <c r="D2524" t="s">
        <v>339</v>
      </c>
      <c r="E2524" t="s">
        <v>425</v>
      </c>
    </row>
    <row r="2525" spans="2:5">
      <c r="B2525" t="s">
        <v>4063</v>
      </c>
      <c r="C2525">
        <v>526538</v>
      </c>
      <c r="D2525" t="s">
        <v>339</v>
      </c>
      <c r="E2525" t="s">
        <v>377</v>
      </c>
    </row>
    <row r="2526" spans="2:5">
      <c r="B2526" t="s">
        <v>4064</v>
      </c>
      <c r="C2526">
        <v>540401</v>
      </c>
      <c r="D2526" t="s">
        <v>339</v>
      </c>
      <c r="E2526" t="s">
        <v>361</v>
      </c>
    </row>
    <row r="2527" spans="2:5">
      <c r="B2527" t="s">
        <v>4065</v>
      </c>
      <c r="C2527">
        <v>539519</v>
      </c>
      <c r="D2527" t="s">
        <v>339</v>
      </c>
      <c r="E2527" t="s">
        <v>373</v>
      </c>
    </row>
    <row r="2528" spans="2:5">
      <c r="B2528" t="s">
        <v>4066</v>
      </c>
      <c r="C2528">
        <v>531221</v>
      </c>
      <c r="D2528" t="s">
        <v>339</v>
      </c>
      <c r="E2528" t="s">
        <v>867</v>
      </c>
    </row>
    <row r="2529" spans="2:5">
      <c r="B2529" t="s">
        <v>4067</v>
      </c>
      <c r="C2529">
        <v>531680</v>
      </c>
      <c r="D2529" t="s">
        <v>339</v>
      </c>
      <c r="E2529" t="s">
        <v>453</v>
      </c>
    </row>
    <row r="2530" spans="2:5">
      <c r="B2530" t="s">
        <v>4068</v>
      </c>
      <c r="C2530">
        <v>522249</v>
      </c>
      <c r="D2530" t="s">
        <v>4069</v>
      </c>
      <c r="E2530" t="s">
        <v>354</v>
      </c>
    </row>
    <row r="2531" spans="2:5">
      <c r="B2531" t="s">
        <v>4070</v>
      </c>
      <c r="C2531">
        <v>523792</v>
      </c>
      <c r="D2531" t="s">
        <v>4071</v>
      </c>
      <c r="E2531" t="s">
        <v>347</v>
      </c>
    </row>
    <row r="2532" spans="2:5">
      <c r="B2532" t="s">
        <v>4072</v>
      </c>
      <c r="C2532">
        <v>533152</v>
      </c>
      <c r="D2532" t="s">
        <v>4073</v>
      </c>
      <c r="E2532" t="s">
        <v>737</v>
      </c>
    </row>
    <row r="2533" spans="2:5">
      <c r="B2533" t="s">
        <v>4074</v>
      </c>
      <c r="C2533">
        <v>532852</v>
      </c>
      <c r="D2533" t="s">
        <v>4075</v>
      </c>
      <c r="E2533" t="s">
        <v>359</v>
      </c>
    </row>
    <row r="2534" spans="2:5">
      <c r="B2534" t="s">
        <v>4076</v>
      </c>
      <c r="C2534">
        <v>532654</v>
      </c>
      <c r="D2534" t="s">
        <v>4077</v>
      </c>
      <c r="E2534" t="s">
        <v>746</v>
      </c>
    </row>
    <row r="2535" spans="2:5">
      <c r="B2535" t="s">
        <v>4078</v>
      </c>
      <c r="C2535">
        <v>532654</v>
      </c>
      <c r="D2535" t="s">
        <v>4077</v>
      </c>
      <c r="E2535" t="s">
        <v>746</v>
      </c>
    </row>
    <row r="2536" spans="2:5">
      <c r="B2536" t="s">
        <v>4079</v>
      </c>
      <c r="C2536">
        <v>532629</v>
      </c>
      <c r="D2536" t="s">
        <v>4080</v>
      </c>
      <c r="E2536" t="s">
        <v>737</v>
      </c>
    </row>
    <row r="2537" spans="2:5">
      <c r="B2537" t="s">
        <v>4081</v>
      </c>
      <c r="C2537">
        <v>512267</v>
      </c>
      <c r="D2537" t="s">
        <v>339</v>
      </c>
      <c r="E2537" t="s">
        <v>342</v>
      </c>
    </row>
    <row r="2538" spans="2:5">
      <c r="B2538" t="s">
        <v>4082</v>
      </c>
      <c r="C2538">
        <v>531146</v>
      </c>
      <c r="D2538" t="s">
        <v>339</v>
      </c>
      <c r="E2538" t="s">
        <v>377</v>
      </c>
    </row>
    <row r="2539" spans="2:5">
      <c r="B2539" t="s">
        <v>4083</v>
      </c>
      <c r="C2539">
        <v>523144</v>
      </c>
      <c r="D2539" t="s">
        <v>339</v>
      </c>
      <c r="E2539" t="s">
        <v>377</v>
      </c>
    </row>
    <row r="2540" spans="2:5">
      <c r="B2540" t="s">
        <v>4084</v>
      </c>
      <c r="C2540">
        <v>539938</v>
      </c>
      <c r="D2540" t="s">
        <v>4085</v>
      </c>
      <c r="E2540" t="s">
        <v>322</v>
      </c>
    </row>
    <row r="2541" spans="2:5">
      <c r="B2541" t="s">
        <v>4086</v>
      </c>
      <c r="C2541">
        <v>540937</v>
      </c>
      <c r="D2541" t="s">
        <v>339</v>
      </c>
      <c r="E2541" t="s">
        <v>377</v>
      </c>
    </row>
    <row r="2542" spans="2:5">
      <c r="B2542" t="s">
        <v>4087</v>
      </c>
      <c r="C2542">
        <v>526301</v>
      </c>
      <c r="D2542" t="s">
        <v>339</v>
      </c>
      <c r="E2542" t="s">
        <v>528</v>
      </c>
    </row>
    <row r="2543" spans="2:5">
      <c r="B2543" t="s">
        <v>4088</v>
      </c>
      <c r="C2543">
        <v>538834</v>
      </c>
      <c r="D2543" t="s">
        <v>339</v>
      </c>
      <c r="E2543" t="s">
        <v>356</v>
      </c>
    </row>
    <row r="2544" spans="2:5">
      <c r="B2544" t="s">
        <v>4089</v>
      </c>
      <c r="C2544">
        <v>512505</v>
      </c>
      <c r="D2544" t="s">
        <v>339</v>
      </c>
      <c r="E2544" t="s">
        <v>662</v>
      </c>
    </row>
    <row r="2545" spans="2:5">
      <c r="B2545" t="s">
        <v>4090</v>
      </c>
      <c r="C2545">
        <v>540519</v>
      </c>
      <c r="D2545" t="s">
        <v>339</v>
      </c>
      <c r="E2545" t="s">
        <v>347</v>
      </c>
    </row>
    <row r="2546" spans="2:5">
      <c r="B2546" t="s">
        <v>4091</v>
      </c>
      <c r="C2546">
        <v>511276</v>
      </c>
      <c r="D2546" t="s">
        <v>339</v>
      </c>
      <c r="E2546" t="s">
        <v>537</v>
      </c>
    </row>
    <row r="2547" spans="2:5">
      <c r="B2547" t="s">
        <v>4092</v>
      </c>
      <c r="C2547">
        <v>531176</v>
      </c>
      <c r="D2547" t="s">
        <v>339</v>
      </c>
      <c r="E2547" t="s">
        <v>356</v>
      </c>
    </row>
    <row r="2548" spans="2:5">
      <c r="B2548" t="s">
        <v>4093</v>
      </c>
      <c r="C2548">
        <v>531417</v>
      </c>
      <c r="D2548" t="s">
        <v>339</v>
      </c>
      <c r="E2548" t="s">
        <v>356</v>
      </c>
    </row>
    <row r="2549" spans="2:5">
      <c r="B2549" t="s">
        <v>4094</v>
      </c>
      <c r="C2549">
        <v>532105</v>
      </c>
      <c r="D2549" t="s">
        <v>339</v>
      </c>
      <c r="E2549" t="s">
        <v>760</v>
      </c>
    </row>
    <row r="2550" spans="2:5">
      <c r="B2550" t="s">
        <v>4095</v>
      </c>
      <c r="C2550">
        <v>532105</v>
      </c>
      <c r="D2550" t="s">
        <v>339</v>
      </c>
      <c r="E2550" t="s">
        <v>760</v>
      </c>
    </row>
    <row r="2551" spans="2:5">
      <c r="B2551" t="s">
        <v>4096</v>
      </c>
      <c r="C2551">
        <v>539767</v>
      </c>
      <c r="D2551" t="s">
        <v>339</v>
      </c>
      <c r="E2551" t="s">
        <v>425</v>
      </c>
    </row>
    <row r="2552" spans="2:5">
      <c r="B2552" t="s">
        <v>4097</v>
      </c>
      <c r="C2552">
        <v>532408</v>
      </c>
      <c r="D2552" t="s">
        <v>4098</v>
      </c>
      <c r="E2552" t="s">
        <v>432</v>
      </c>
    </row>
    <row r="2553" spans="2:5">
      <c r="B2553" t="s">
        <v>4099</v>
      </c>
      <c r="C2553">
        <v>541352</v>
      </c>
      <c r="D2553" t="s">
        <v>339</v>
      </c>
      <c r="E2553" t="s">
        <v>419</v>
      </c>
    </row>
    <row r="2554" spans="2:5">
      <c r="B2554" t="s">
        <v>4100</v>
      </c>
      <c r="C2554">
        <v>532865</v>
      </c>
      <c r="D2554" t="s">
        <v>4101</v>
      </c>
      <c r="E2554" t="s">
        <v>499</v>
      </c>
    </row>
    <row r="2555" spans="2:5">
      <c r="B2555" t="s">
        <v>4102</v>
      </c>
      <c r="C2555">
        <v>511367</v>
      </c>
      <c r="D2555" t="s">
        <v>339</v>
      </c>
      <c r="E2555" t="s">
        <v>356</v>
      </c>
    </row>
    <row r="2556" spans="2:5">
      <c r="B2556" t="s">
        <v>4103</v>
      </c>
      <c r="C2556">
        <v>511367</v>
      </c>
      <c r="D2556" t="s">
        <v>339</v>
      </c>
      <c r="E2556" t="s">
        <v>356</v>
      </c>
    </row>
    <row r="2557" spans="2:5">
      <c r="B2557" t="s">
        <v>4104</v>
      </c>
      <c r="C2557">
        <v>539012</v>
      </c>
      <c r="D2557" t="s">
        <v>339</v>
      </c>
      <c r="E2557" t="s">
        <v>345</v>
      </c>
    </row>
    <row r="2558" spans="2:5">
      <c r="B2558" t="s">
        <v>4105</v>
      </c>
      <c r="C2558">
        <v>540730</v>
      </c>
      <c r="D2558" t="s">
        <v>339</v>
      </c>
      <c r="E2558" t="s">
        <v>361</v>
      </c>
    </row>
    <row r="2559" spans="2:5">
      <c r="B2559" t="s">
        <v>4106</v>
      </c>
      <c r="C2559">
        <v>511740</v>
      </c>
      <c r="D2559" t="s">
        <v>339</v>
      </c>
      <c r="E2559" t="s">
        <v>397</v>
      </c>
    </row>
    <row r="2560" spans="2:5">
      <c r="B2560" t="s">
        <v>4107</v>
      </c>
      <c r="C2560">
        <v>511377</v>
      </c>
      <c r="D2560" t="s">
        <v>339</v>
      </c>
      <c r="E2560" t="s">
        <v>356</v>
      </c>
    </row>
    <row r="2561" spans="2:5">
      <c r="B2561" t="s">
        <v>4108</v>
      </c>
      <c r="C2561">
        <v>511738</v>
      </c>
      <c r="D2561" t="s">
        <v>339</v>
      </c>
      <c r="E2561" t="s">
        <v>322</v>
      </c>
    </row>
    <row r="2562" spans="2:5">
      <c r="B2562" t="s">
        <v>4109</v>
      </c>
      <c r="C2562">
        <v>532307</v>
      </c>
      <c r="D2562" t="s">
        <v>4110</v>
      </c>
      <c r="E2562" t="s">
        <v>432</v>
      </c>
    </row>
    <row r="2563" spans="2:5">
      <c r="B2563" t="s">
        <v>4111</v>
      </c>
      <c r="C2563">
        <v>531127</v>
      </c>
      <c r="D2563" t="s">
        <v>339</v>
      </c>
      <c r="E2563" t="s">
        <v>356</v>
      </c>
    </row>
    <row r="2564" spans="2:5">
      <c r="B2564" t="s">
        <v>4112</v>
      </c>
      <c r="C2564">
        <v>523828</v>
      </c>
      <c r="D2564" t="s">
        <v>4113</v>
      </c>
      <c r="E2564" t="s">
        <v>694</v>
      </c>
    </row>
    <row r="2565" spans="2:5">
      <c r="B2565" t="s">
        <v>4114</v>
      </c>
      <c r="C2565">
        <v>531727</v>
      </c>
      <c r="D2565" t="s">
        <v>339</v>
      </c>
      <c r="E2565" t="s">
        <v>694</v>
      </c>
    </row>
    <row r="2566" spans="2:5">
      <c r="B2566" t="s">
        <v>4115</v>
      </c>
      <c r="C2566">
        <v>539126</v>
      </c>
      <c r="D2566" t="s">
        <v>4116</v>
      </c>
      <c r="E2566" t="s">
        <v>934</v>
      </c>
    </row>
    <row r="2567" spans="2:5">
      <c r="B2567" t="s">
        <v>4117</v>
      </c>
      <c r="C2567">
        <v>538942</v>
      </c>
      <c r="D2567" t="s">
        <v>339</v>
      </c>
      <c r="E2567" t="s">
        <v>760</v>
      </c>
    </row>
    <row r="2568" spans="2:5">
      <c r="B2568" t="s">
        <v>4118</v>
      </c>
      <c r="C2568">
        <v>526235</v>
      </c>
      <c r="D2568" t="s">
        <v>4119</v>
      </c>
      <c r="E2568" t="s">
        <v>328</v>
      </c>
    </row>
    <row r="2569" spans="2:5">
      <c r="B2569" t="s">
        <v>4120</v>
      </c>
      <c r="C2569">
        <v>500126</v>
      </c>
      <c r="D2569" t="s">
        <v>4121</v>
      </c>
      <c r="E2569" t="s">
        <v>377</v>
      </c>
    </row>
    <row r="2570" spans="2:5">
      <c r="B2570" t="s">
        <v>4122</v>
      </c>
      <c r="C2570">
        <v>538964</v>
      </c>
      <c r="D2570" t="s">
        <v>339</v>
      </c>
      <c r="E2570" t="s">
        <v>377</v>
      </c>
    </row>
    <row r="2571" spans="2:5">
      <c r="B2571" t="s">
        <v>4123</v>
      </c>
      <c r="C2571">
        <v>531357</v>
      </c>
      <c r="D2571" t="s">
        <v>339</v>
      </c>
      <c r="E2571" t="s">
        <v>361</v>
      </c>
    </row>
    <row r="2572" spans="2:5">
      <c r="B2572" t="s">
        <v>4124</v>
      </c>
      <c r="C2572">
        <v>512415</v>
      </c>
      <c r="D2572" t="s">
        <v>339</v>
      </c>
      <c r="E2572" t="s">
        <v>760</v>
      </c>
    </row>
    <row r="2573" spans="2:5">
      <c r="B2573" t="s">
        <v>4125</v>
      </c>
      <c r="C2573">
        <v>500274</v>
      </c>
      <c r="D2573" t="s">
        <v>339</v>
      </c>
      <c r="E2573" t="s">
        <v>377</v>
      </c>
    </row>
    <row r="2574" spans="2:5">
      <c r="B2574" t="s">
        <v>4126</v>
      </c>
      <c r="C2574">
        <v>531810</v>
      </c>
      <c r="D2574" t="s">
        <v>339</v>
      </c>
      <c r="E2574" t="s">
        <v>662</v>
      </c>
    </row>
    <row r="2575" spans="2:5">
      <c r="B2575" t="s">
        <v>4127</v>
      </c>
      <c r="C2575">
        <v>531810</v>
      </c>
      <c r="D2575" t="s">
        <v>339</v>
      </c>
      <c r="E2575" t="s">
        <v>662</v>
      </c>
    </row>
    <row r="2576" spans="2:5">
      <c r="B2576" t="s">
        <v>4128</v>
      </c>
      <c r="C2576">
        <v>513335</v>
      </c>
      <c r="D2576" t="s">
        <v>4129</v>
      </c>
      <c r="E2576" t="s">
        <v>1258</v>
      </c>
    </row>
    <row r="2577" spans="2:5">
      <c r="B2577" t="s">
        <v>4130</v>
      </c>
      <c r="C2577">
        <v>532990</v>
      </c>
      <c r="D2577" t="s">
        <v>4131</v>
      </c>
      <c r="E2577" t="s">
        <v>371</v>
      </c>
    </row>
    <row r="2578" spans="2:5">
      <c r="B2578" t="s">
        <v>4132</v>
      </c>
      <c r="C2578">
        <v>500159</v>
      </c>
      <c r="D2578" t="s">
        <v>339</v>
      </c>
      <c r="E2578" t="s">
        <v>333</v>
      </c>
    </row>
    <row r="2579" spans="2:5">
      <c r="B2579" t="s">
        <v>4133</v>
      </c>
      <c r="C2579">
        <v>542650</v>
      </c>
      <c r="D2579" t="s">
        <v>4134</v>
      </c>
      <c r="E2579" t="s">
        <v>528</v>
      </c>
    </row>
    <row r="2580" spans="2:5">
      <c r="B2580" t="s">
        <v>4135</v>
      </c>
      <c r="C2580">
        <v>540150</v>
      </c>
      <c r="D2580" t="s">
        <v>339</v>
      </c>
      <c r="E2580" t="s">
        <v>737</v>
      </c>
    </row>
    <row r="2581" spans="2:5">
      <c r="B2581" t="s">
        <v>4136</v>
      </c>
      <c r="C2581">
        <v>513496</v>
      </c>
      <c r="D2581" t="s">
        <v>339</v>
      </c>
      <c r="E2581" t="s">
        <v>2854</v>
      </c>
    </row>
    <row r="2582" spans="2:5">
      <c r="B2582" t="s">
        <v>4137</v>
      </c>
      <c r="C2582">
        <v>531613</v>
      </c>
      <c r="D2582" t="s">
        <v>4138</v>
      </c>
      <c r="E2582" t="s">
        <v>895</v>
      </c>
    </row>
    <row r="2583" spans="2:5">
      <c r="B2583" t="s">
        <v>4139</v>
      </c>
      <c r="C2583">
        <v>526622</v>
      </c>
      <c r="D2583" t="s">
        <v>339</v>
      </c>
      <c r="E2583" t="s">
        <v>660</v>
      </c>
    </row>
    <row r="2584" spans="2:5">
      <c r="B2584" t="s">
        <v>4140</v>
      </c>
      <c r="C2584">
        <v>526622</v>
      </c>
      <c r="D2584" t="s">
        <v>339</v>
      </c>
      <c r="E2584" t="s">
        <v>660</v>
      </c>
    </row>
    <row r="2585" spans="2:5">
      <c r="B2585" t="s">
        <v>4141</v>
      </c>
      <c r="C2585">
        <v>513721</v>
      </c>
      <c r="D2585" t="s">
        <v>339</v>
      </c>
      <c r="E2585" t="s">
        <v>371</v>
      </c>
    </row>
    <row r="2586" spans="2:5">
      <c r="B2586" t="s">
        <v>4142</v>
      </c>
      <c r="C2586">
        <v>532850</v>
      </c>
      <c r="D2586" t="s">
        <v>4143</v>
      </c>
      <c r="E2586" t="s">
        <v>881</v>
      </c>
    </row>
    <row r="2587" spans="2:5">
      <c r="B2587" t="s">
        <v>4144</v>
      </c>
      <c r="C2587">
        <v>523343</v>
      </c>
      <c r="D2587" t="s">
        <v>339</v>
      </c>
      <c r="E2587" t="s">
        <v>356</v>
      </c>
    </row>
    <row r="2588" spans="2:5">
      <c r="B2588" t="s">
        <v>4145</v>
      </c>
      <c r="C2588">
        <v>523343</v>
      </c>
      <c r="D2588" t="s">
        <v>339</v>
      </c>
      <c r="E2588" t="s">
        <v>356</v>
      </c>
    </row>
    <row r="2589" spans="2:5">
      <c r="B2589" t="s">
        <v>4146</v>
      </c>
      <c r="C2589">
        <v>526251</v>
      </c>
      <c r="D2589" t="s">
        <v>339</v>
      </c>
      <c r="E2589" t="s">
        <v>322</v>
      </c>
    </row>
    <row r="2590" spans="2:5">
      <c r="B2590" t="s">
        <v>4147</v>
      </c>
      <c r="C2590">
        <v>500277</v>
      </c>
      <c r="D2590" t="s">
        <v>339</v>
      </c>
      <c r="E2590" t="s">
        <v>354</v>
      </c>
    </row>
    <row r="2591" spans="2:5">
      <c r="B2591" t="s">
        <v>4148</v>
      </c>
      <c r="C2591">
        <v>531192</v>
      </c>
      <c r="D2591" t="s">
        <v>339</v>
      </c>
      <c r="E2591" t="s">
        <v>356</v>
      </c>
    </row>
    <row r="2592" spans="2:5">
      <c r="B2592" t="s">
        <v>4149</v>
      </c>
      <c r="C2592">
        <v>540744</v>
      </c>
      <c r="D2592" t="s">
        <v>339</v>
      </c>
      <c r="E2592" t="s">
        <v>371</v>
      </c>
    </row>
    <row r="2593" spans="2:5">
      <c r="B2593" t="s">
        <v>4150</v>
      </c>
      <c r="C2593">
        <v>533310</v>
      </c>
      <c r="D2593" t="s">
        <v>4151</v>
      </c>
      <c r="E2593" t="s">
        <v>4152</v>
      </c>
    </row>
    <row r="2594" spans="2:5">
      <c r="B2594" t="s">
        <v>4153</v>
      </c>
      <c r="C2594">
        <v>526570</v>
      </c>
      <c r="D2594" t="s">
        <v>339</v>
      </c>
      <c r="E2594" t="s">
        <v>867</v>
      </c>
    </row>
    <row r="2595" spans="2:5">
      <c r="B2595" t="s">
        <v>4154</v>
      </c>
      <c r="C2595">
        <v>538895</v>
      </c>
      <c r="D2595" t="s">
        <v>339</v>
      </c>
      <c r="E2595" t="s">
        <v>361</v>
      </c>
    </row>
    <row r="2596" spans="2:5">
      <c r="B2596" t="s">
        <v>4155</v>
      </c>
      <c r="C2596">
        <v>541337</v>
      </c>
      <c r="D2596" t="s">
        <v>339</v>
      </c>
      <c r="E2596" t="s">
        <v>616</v>
      </c>
    </row>
    <row r="2597" spans="2:5">
      <c r="B2597" t="s">
        <v>4156</v>
      </c>
      <c r="C2597">
        <v>531338</v>
      </c>
      <c r="D2597" t="s">
        <v>339</v>
      </c>
      <c r="E2597" t="s">
        <v>867</v>
      </c>
    </row>
    <row r="2598" spans="2:5">
      <c r="B2598" t="s">
        <v>4157</v>
      </c>
      <c r="C2598">
        <v>511018</v>
      </c>
      <c r="D2598" t="s">
        <v>339</v>
      </c>
      <c r="E2598" t="s">
        <v>760</v>
      </c>
    </row>
    <row r="2599" spans="2:5">
      <c r="B2599" t="s">
        <v>4158</v>
      </c>
      <c r="C2599">
        <v>507621</v>
      </c>
      <c r="D2599" t="s">
        <v>339</v>
      </c>
      <c r="E2599" t="s">
        <v>399</v>
      </c>
    </row>
    <row r="2600" spans="2:5">
      <c r="B2600" t="s">
        <v>4159</v>
      </c>
      <c r="C2600">
        <v>511187</v>
      </c>
      <c r="D2600" t="s">
        <v>339</v>
      </c>
      <c r="E2600" t="s">
        <v>760</v>
      </c>
    </row>
    <row r="2601" spans="2:5">
      <c r="B2601" t="s">
        <v>4160</v>
      </c>
      <c r="C2601" t="s">
        <v>339</v>
      </c>
      <c r="D2601" t="s">
        <v>4161</v>
      </c>
      <c r="E2601" t="s">
        <v>350</v>
      </c>
    </row>
    <row r="2602" spans="2:5">
      <c r="B2602" t="s">
        <v>4162</v>
      </c>
      <c r="C2602">
        <v>531456</v>
      </c>
      <c r="D2602" t="s">
        <v>339</v>
      </c>
      <c r="E2602" t="s">
        <v>354</v>
      </c>
    </row>
    <row r="2603" spans="2:5">
      <c r="B2603" t="s">
        <v>4163</v>
      </c>
      <c r="C2603">
        <v>538962</v>
      </c>
      <c r="D2603" t="s">
        <v>4164</v>
      </c>
      <c r="E2603" t="s">
        <v>694</v>
      </c>
    </row>
    <row r="2604" spans="2:5">
      <c r="B2604" t="s">
        <v>4165</v>
      </c>
      <c r="C2604">
        <v>539303</v>
      </c>
      <c r="D2604" t="s">
        <v>339</v>
      </c>
      <c r="E2604" t="s">
        <v>356</v>
      </c>
    </row>
    <row r="2605" spans="2:5">
      <c r="B2605" t="s">
        <v>4166</v>
      </c>
      <c r="C2605">
        <v>532539</v>
      </c>
      <c r="D2605" t="s">
        <v>4167</v>
      </c>
      <c r="E2605" t="s">
        <v>694</v>
      </c>
    </row>
    <row r="2606" spans="2:5">
      <c r="B2606" t="s">
        <v>4168</v>
      </c>
      <c r="C2606">
        <v>517344</v>
      </c>
      <c r="D2606" t="s">
        <v>4169</v>
      </c>
      <c r="E2606" t="s">
        <v>432</v>
      </c>
    </row>
    <row r="2607" spans="2:5">
      <c r="B2607" t="s">
        <v>4170</v>
      </c>
      <c r="C2607">
        <v>517344</v>
      </c>
      <c r="D2607" t="s">
        <v>4169</v>
      </c>
      <c r="E2607" t="s">
        <v>432</v>
      </c>
    </row>
    <row r="2608" spans="2:5">
      <c r="B2608" t="s">
        <v>4171</v>
      </c>
      <c r="C2608">
        <v>532819</v>
      </c>
      <c r="D2608" t="s">
        <v>4172</v>
      </c>
      <c r="E2608" t="s">
        <v>325</v>
      </c>
    </row>
    <row r="2609" spans="2:5">
      <c r="B2609" t="s">
        <v>4173</v>
      </c>
      <c r="C2609">
        <v>523373</v>
      </c>
      <c r="D2609" t="s">
        <v>339</v>
      </c>
      <c r="E2609" t="s">
        <v>453</v>
      </c>
    </row>
    <row r="2610" spans="2:5">
      <c r="B2610" t="s">
        <v>4174</v>
      </c>
      <c r="C2610">
        <v>523373</v>
      </c>
      <c r="D2610" t="s">
        <v>339</v>
      </c>
      <c r="E2610" t="s">
        <v>453</v>
      </c>
    </row>
    <row r="2611" spans="2:5">
      <c r="B2611" t="s">
        <v>4175</v>
      </c>
      <c r="C2611">
        <v>532164</v>
      </c>
      <c r="D2611" t="s">
        <v>339</v>
      </c>
      <c r="E2611" t="s">
        <v>356</v>
      </c>
    </row>
    <row r="2612" spans="2:5">
      <c r="B2612" t="s">
        <v>4176</v>
      </c>
      <c r="C2612">
        <v>505797</v>
      </c>
      <c r="D2612" t="s">
        <v>339</v>
      </c>
      <c r="E2612" t="s">
        <v>524</v>
      </c>
    </row>
    <row r="2613" spans="2:5">
      <c r="B2613" t="s">
        <v>4177</v>
      </c>
      <c r="C2613">
        <v>500279</v>
      </c>
      <c r="D2613" t="s">
        <v>4178</v>
      </c>
      <c r="E2613" t="s">
        <v>708</v>
      </c>
    </row>
    <row r="2614" spans="2:5">
      <c r="B2614" t="s">
        <v>4179</v>
      </c>
      <c r="C2614">
        <v>505336</v>
      </c>
      <c r="D2614" t="s">
        <v>339</v>
      </c>
      <c r="E2614" t="s">
        <v>347</v>
      </c>
    </row>
    <row r="2615" spans="2:5">
      <c r="B2615" t="s">
        <v>4180</v>
      </c>
      <c r="C2615">
        <v>505336</v>
      </c>
      <c r="D2615" t="s">
        <v>339</v>
      </c>
      <c r="E2615" t="s">
        <v>347</v>
      </c>
    </row>
    <row r="2616" spans="2:5">
      <c r="B2616" t="s">
        <v>4181</v>
      </c>
      <c r="C2616">
        <v>526642</v>
      </c>
      <c r="D2616" t="s">
        <v>4182</v>
      </c>
      <c r="E2616" t="s">
        <v>765</v>
      </c>
    </row>
    <row r="2617" spans="2:5">
      <c r="B2617" t="s">
        <v>4183</v>
      </c>
      <c r="C2617">
        <v>539220</v>
      </c>
      <c r="D2617" t="s">
        <v>339</v>
      </c>
      <c r="E2617" t="s">
        <v>453</v>
      </c>
    </row>
    <row r="2618" spans="2:5">
      <c r="B2618" t="s">
        <v>4184</v>
      </c>
      <c r="C2618">
        <v>541195</v>
      </c>
      <c r="D2618" t="s">
        <v>4185</v>
      </c>
      <c r="E2618" t="s">
        <v>662</v>
      </c>
    </row>
    <row r="2619" spans="2:5">
      <c r="B2619" t="s">
        <v>4186</v>
      </c>
      <c r="C2619">
        <v>539594</v>
      </c>
      <c r="D2619" t="s">
        <v>339</v>
      </c>
      <c r="E2619" t="s">
        <v>537</v>
      </c>
    </row>
    <row r="2620" spans="2:5">
      <c r="B2620" t="s">
        <v>4187</v>
      </c>
      <c r="C2620" t="s">
        <v>339</v>
      </c>
      <c r="D2620" t="s">
        <v>4188</v>
      </c>
      <c r="E2620" t="s">
        <v>350</v>
      </c>
    </row>
    <row r="2621" spans="2:5">
      <c r="B2621" t="s">
        <v>4189</v>
      </c>
      <c r="C2621">
        <v>523782</v>
      </c>
      <c r="D2621" t="s">
        <v>339</v>
      </c>
      <c r="E2621" t="s">
        <v>361</v>
      </c>
    </row>
    <row r="2622" spans="2:5">
      <c r="B2622" t="s">
        <v>4190</v>
      </c>
      <c r="C2622">
        <v>523782</v>
      </c>
      <c r="D2622" t="s">
        <v>339</v>
      </c>
      <c r="E2622" t="s">
        <v>361</v>
      </c>
    </row>
    <row r="2623" spans="2:5">
      <c r="B2623" t="s">
        <v>4191</v>
      </c>
      <c r="C2623">
        <v>540078</v>
      </c>
      <c r="D2623" t="s">
        <v>339</v>
      </c>
      <c r="E2623" t="s">
        <v>534</v>
      </c>
    </row>
    <row r="2624" spans="2:5">
      <c r="B2624" t="s">
        <v>4192</v>
      </c>
      <c r="C2624" t="s">
        <v>339</v>
      </c>
      <c r="D2624" t="s">
        <v>4193</v>
      </c>
      <c r="E2624" t="s">
        <v>350</v>
      </c>
    </row>
    <row r="2625" spans="2:5">
      <c r="B2625" t="s">
        <v>4194</v>
      </c>
      <c r="C2625">
        <v>522036</v>
      </c>
      <c r="D2625" t="s">
        <v>4195</v>
      </c>
      <c r="E2625" t="s">
        <v>524</v>
      </c>
    </row>
    <row r="2626" spans="2:5">
      <c r="B2626" t="s">
        <v>4196</v>
      </c>
      <c r="C2626">
        <v>522241</v>
      </c>
      <c r="D2626" t="s">
        <v>4197</v>
      </c>
      <c r="E2626" t="s">
        <v>1258</v>
      </c>
    </row>
    <row r="2627" spans="2:5">
      <c r="B2627" t="s">
        <v>4198</v>
      </c>
      <c r="C2627">
        <v>509196</v>
      </c>
      <c r="D2627" t="s">
        <v>4199</v>
      </c>
      <c r="E2627" t="s">
        <v>4200</v>
      </c>
    </row>
    <row r="2628" spans="2:5">
      <c r="B2628" t="s">
        <v>4201</v>
      </c>
      <c r="C2628" t="s">
        <v>339</v>
      </c>
      <c r="D2628" t="s">
        <v>4202</v>
      </c>
      <c r="E2628" t="s">
        <v>350</v>
      </c>
    </row>
    <row r="2629" spans="2:5">
      <c r="B2629" t="s">
        <v>4203</v>
      </c>
      <c r="C2629">
        <v>513377</v>
      </c>
      <c r="D2629" t="s">
        <v>4204</v>
      </c>
      <c r="E2629" t="s">
        <v>361</v>
      </c>
    </row>
    <row r="2630" spans="2:5">
      <c r="B2630" t="s">
        <v>4205</v>
      </c>
      <c r="C2630">
        <v>503772</v>
      </c>
      <c r="D2630" t="s">
        <v>339</v>
      </c>
      <c r="E2630" t="s">
        <v>361</v>
      </c>
    </row>
    <row r="2631" spans="2:5">
      <c r="B2631" t="s">
        <v>4206</v>
      </c>
      <c r="C2631">
        <v>503015</v>
      </c>
      <c r="D2631" t="s">
        <v>339</v>
      </c>
      <c r="E2631" t="s">
        <v>361</v>
      </c>
    </row>
    <row r="2632" spans="2:5">
      <c r="B2632" t="s">
        <v>4207</v>
      </c>
      <c r="C2632">
        <v>539762</v>
      </c>
      <c r="D2632" t="s">
        <v>339</v>
      </c>
      <c r="E2632" t="s">
        <v>537</v>
      </c>
    </row>
    <row r="2633" spans="2:5">
      <c r="B2633" t="s">
        <v>4208</v>
      </c>
      <c r="C2633">
        <v>519287</v>
      </c>
      <c r="D2633" t="s">
        <v>339</v>
      </c>
      <c r="E2633" t="s">
        <v>399</v>
      </c>
    </row>
    <row r="2634" spans="2:5">
      <c r="B2634" t="s">
        <v>4209</v>
      </c>
      <c r="C2634">
        <v>503015</v>
      </c>
      <c r="D2634" t="s">
        <v>339</v>
      </c>
      <c r="E2634" t="s">
        <v>361</v>
      </c>
    </row>
    <row r="2635" spans="2:5">
      <c r="B2635" t="s">
        <v>4210</v>
      </c>
      <c r="C2635">
        <v>509760</v>
      </c>
      <c r="D2635" t="s">
        <v>339</v>
      </c>
      <c r="E2635" t="s">
        <v>322</v>
      </c>
    </row>
    <row r="2636" spans="2:5">
      <c r="B2636" t="s">
        <v>4211</v>
      </c>
      <c r="C2636">
        <v>513303</v>
      </c>
      <c r="D2636" t="s">
        <v>4212</v>
      </c>
      <c r="E2636" t="s">
        <v>4213</v>
      </c>
    </row>
    <row r="2637" spans="2:5">
      <c r="B2637" t="s">
        <v>4214</v>
      </c>
      <c r="C2637">
        <v>537092</v>
      </c>
      <c r="D2637" t="s">
        <v>339</v>
      </c>
      <c r="E2637" t="s">
        <v>322</v>
      </c>
    </row>
    <row r="2638" spans="2:5">
      <c r="B2638" t="s">
        <v>4215</v>
      </c>
      <c r="C2638">
        <v>519003</v>
      </c>
      <c r="D2638" t="s">
        <v>339</v>
      </c>
      <c r="E2638" t="s">
        <v>537</v>
      </c>
    </row>
    <row r="2639" spans="2:5">
      <c r="B2639" t="s">
        <v>4216</v>
      </c>
      <c r="C2639">
        <v>500890</v>
      </c>
      <c r="D2639" t="s">
        <v>4217</v>
      </c>
      <c r="E2639" t="s">
        <v>819</v>
      </c>
    </row>
    <row r="2640" spans="2:5">
      <c r="B2640" t="s">
        <v>4218</v>
      </c>
      <c r="C2640">
        <v>503776</v>
      </c>
      <c r="D2640" t="s">
        <v>339</v>
      </c>
      <c r="E2640" t="s">
        <v>483</v>
      </c>
    </row>
    <row r="2641" spans="2:5">
      <c r="B2641" t="s">
        <v>4219</v>
      </c>
      <c r="C2641">
        <v>506261</v>
      </c>
      <c r="D2641" t="s">
        <v>339</v>
      </c>
      <c r="E2641" t="s">
        <v>637</v>
      </c>
    </row>
    <row r="2642" spans="2:5">
      <c r="B2642" t="s">
        <v>4220</v>
      </c>
      <c r="C2642" t="s">
        <v>339</v>
      </c>
      <c r="D2642" t="s">
        <v>4221</v>
      </c>
      <c r="E2642" t="s">
        <v>350</v>
      </c>
    </row>
    <row r="2643" spans="2:5">
      <c r="B2643" t="s">
        <v>4222</v>
      </c>
      <c r="C2643">
        <v>531453</v>
      </c>
      <c r="D2643" t="s">
        <v>4223</v>
      </c>
      <c r="E2643" t="s">
        <v>354</v>
      </c>
    </row>
    <row r="2644" spans="2:5">
      <c r="B2644" t="s">
        <v>4224</v>
      </c>
      <c r="C2644">
        <v>530169</v>
      </c>
      <c r="D2644" t="s">
        <v>339</v>
      </c>
      <c r="E2644" t="s">
        <v>333</v>
      </c>
    </row>
    <row r="2645" spans="2:5">
      <c r="B2645" t="s">
        <v>4225</v>
      </c>
      <c r="C2645">
        <v>532140</v>
      </c>
      <c r="D2645" t="s">
        <v>339</v>
      </c>
      <c r="E2645" t="s">
        <v>354</v>
      </c>
    </row>
    <row r="2646" spans="2:5">
      <c r="B2646" t="s">
        <v>4226</v>
      </c>
      <c r="C2646">
        <v>530047</v>
      </c>
      <c r="D2646" t="s">
        <v>4227</v>
      </c>
      <c r="E2646" t="s">
        <v>354</v>
      </c>
    </row>
    <row r="2647" spans="2:5">
      <c r="B2647" t="s">
        <v>4228</v>
      </c>
      <c r="C2647">
        <v>533286</v>
      </c>
      <c r="D2647" t="s">
        <v>4229</v>
      </c>
      <c r="E2647" t="s">
        <v>319</v>
      </c>
    </row>
    <row r="2648" spans="2:5">
      <c r="B2648" t="s">
        <v>4230</v>
      </c>
      <c r="C2648" t="s">
        <v>339</v>
      </c>
      <c r="D2648" t="s">
        <v>4231</v>
      </c>
      <c r="E2648" t="s">
        <v>350</v>
      </c>
    </row>
    <row r="2649" spans="2:5">
      <c r="B2649" t="s">
        <v>4232</v>
      </c>
      <c r="C2649">
        <v>533080</v>
      </c>
      <c r="D2649" t="s">
        <v>4233</v>
      </c>
      <c r="E2649" t="s">
        <v>534</v>
      </c>
    </row>
    <row r="2650" spans="2:5">
      <c r="B2650" t="s">
        <v>4234</v>
      </c>
      <c r="C2650">
        <v>526263</v>
      </c>
      <c r="D2650" t="s">
        <v>4235</v>
      </c>
      <c r="E2650" t="s">
        <v>669</v>
      </c>
    </row>
    <row r="2651" spans="2:5">
      <c r="B2651" t="s">
        <v>4236</v>
      </c>
      <c r="C2651">
        <v>511551</v>
      </c>
      <c r="D2651" t="s">
        <v>339</v>
      </c>
      <c r="E2651" t="s">
        <v>322</v>
      </c>
    </row>
    <row r="2652" spans="2:5">
      <c r="B2652" t="s">
        <v>4237</v>
      </c>
      <c r="C2652">
        <v>535910</v>
      </c>
      <c r="D2652" t="s">
        <v>339</v>
      </c>
      <c r="E2652" t="s">
        <v>356</v>
      </c>
    </row>
    <row r="2653" spans="2:5">
      <c r="B2653" t="s">
        <v>4238</v>
      </c>
      <c r="C2653">
        <v>532078</v>
      </c>
      <c r="D2653" t="s">
        <v>339</v>
      </c>
      <c r="E2653" t="s">
        <v>371</v>
      </c>
    </row>
    <row r="2654" spans="2:5">
      <c r="B2654" t="s">
        <v>4239</v>
      </c>
      <c r="C2654">
        <v>513446</v>
      </c>
      <c r="D2654" t="s">
        <v>4240</v>
      </c>
      <c r="E2654" t="s">
        <v>371</v>
      </c>
    </row>
    <row r="2655" spans="2:5">
      <c r="B2655" t="s">
        <v>4241</v>
      </c>
      <c r="C2655">
        <v>532723</v>
      </c>
      <c r="D2655" t="s">
        <v>339</v>
      </c>
      <c r="E2655" t="s">
        <v>425</v>
      </c>
    </row>
    <row r="2656" spans="2:5">
      <c r="B2656" t="s">
        <v>4242</v>
      </c>
      <c r="C2656">
        <v>505343</v>
      </c>
      <c r="D2656" t="s">
        <v>339</v>
      </c>
      <c r="E2656" t="s">
        <v>760</v>
      </c>
    </row>
    <row r="2657" spans="2:5">
      <c r="B2657" t="s">
        <v>4243</v>
      </c>
      <c r="C2657">
        <v>505343</v>
      </c>
      <c r="D2657" t="s">
        <v>339</v>
      </c>
      <c r="E2657" t="s">
        <v>760</v>
      </c>
    </row>
    <row r="2658" spans="2:5">
      <c r="B2658" t="s">
        <v>4244</v>
      </c>
      <c r="C2658">
        <v>524084</v>
      </c>
      <c r="D2658" t="s">
        <v>4245</v>
      </c>
      <c r="E2658" t="s">
        <v>483</v>
      </c>
    </row>
    <row r="2659" spans="2:5">
      <c r="B2659" t="s">
        <v>4246</v>
      </c>
      <c r="C2659">
        <v>524084</v>
      </c>
      <c r="D2659" t="s">
        <v>4245</v>
      </c>
      <c r="E2659" t="s">
        <v>483</v>
      </c>
    </row>
    <row r="2660" spans="2:5">
      <c r="B2660" t="s">
        <v>4247</v>
      </c>
      <c r="C2660">
        <v>538836</v>
      </c>
      <c r="D2660" t="s">
        <v>4248</v>
      </c>
      <c r="E2660" t="s">
        <v>453</v>
      </c>
    </row>
    <row r="2661" spans="2:5">
      <c r="B2661" t="s">
        <v>4249</v>
      </c>
      <c r="C2661">
        <v>530167</v>
      </c>
      <c r="D2661" t="s">
        <v>339</v>
      </c>
      <c r="E2661" t="s">
        <v>356</v>
      </c>
    </row>
    <row r="2662" spans="2:5">
      <c r="B2662" t="s">
        <v>4250</v>
      </c>
      <c r="C2662">
        <v>539199</v>
      </c>
      <c r="D2662" t="s">
        <v>339</v>
      </c>
      <c r="E2662" t="s">
        <v>322</v>
      </c>
    </row>
    <row r="2663" spans="2:5">
      <c r="B2663" t="s">
        <v>4251</v>
      </c>
      <c r="C2663">
        <v>532621</v>
      </c>
      <c r="D2663" t="s">
        <v>4252</v>
      </c>
      <c r="E2663" t="s">
        <v>354</v>
      </c>
    </row>
    <row r="2664" spans="2:5">
      <c r="B2664" t="s">
        <v>4253</v>
      </c>
      <c r="C2664">
        <v>511549</v>
      </c>
      <c r="D2664" t="s">
        <v>339</v>
      </c>
      <c r="E2664" t="s">
        <v>356</v>
      </c>
    </row>
    <row r="2665" spans="2:5">
      <c r="B2665" t="s">
        <v>4254</v>
      </c>
      <c r="C2665">
        <v>500288</v>
      </c>
      <c r="D2665" t="s">
        <v>4255</v>
      </c>
      <c r="E2665" t="s">
        <v>377</v>
      </c>
    </row>
    <row r="2666" spans="2:5">
      <c r="B2666" t="s">
        <v>4256</v>
      </c>
      <c r="C2666">
        <v>526237</v>
      </c>
      <c r="D2666" t="s">
        <v>339</v>
      </c>
      <c r="E2666" t="s">
        <v>356</v>
      </c>
    </row>
    <row r="2667" spans="2:5">
      <c r="B2667" t="s">
        <v>4257</v>
      </c>
      <c r="C2667">
        <v>523160</v>
      </c>
      <c r="D2667" t="s">
        <v>339</v>
      </c>
      <c r="E2667" t="s">
        <v>524</v>
      </c>
    </row>
    <row r="2668" spans="2:5">
      <c r="B2668" t="s">
        <v>4258</v>
      </c>
      <c r="C2668">
        <v>523160</v>
      </c>
      <c r="D2668" t="s">
        <v>339</v>
      </c>
      <c r="E2668" t="s">
        <v>524</v>
      </c>
    </row>
    <row r="2669" spans="2:5">
      <c r="B2669" t="s">
        <v>4259</v>
      </c>
      <c r="C2669">
        <v>513305</v>
      </c>
      <c r="D2669" t="s">
        <v>4260</v>
      </c>
      <c r="E2669" t="s">
        <v>760</v>
      </c>
    </row>
    <row r="2670" spans="2:5">
      <c r="B2670" t="s">
        <v>4261</v>
      </c>
      <c r="C2670">
        <v>532407</v>
      </c>
      <c r="D2670" t="s">
        <v>339</v>
      </c>
      <c r="E2670" t="s">
        <v>432</v>
      </c>
    </row>
    <row r="2671" spans="2:5">
      <c r="B2671" t="s">
        <v>4262</v>
      </c>
      <c r="C2671" t="s">
        <v>339</v>
      </c>
      <c r="D2671" t="s">
        <v>4263</v>
      </c>
      <c r="E2671" t="s">
        <v>430</v>
      </c>
    </row>
    <row r="2672" spans="2:5">
      <c r="B2672" t="s">
        <v>4264</v>
      </c>
      <c r="C2672">
        <v>517334</v>
      </c>
      <c r="D2672" t="s">
        <v>4265</v>
      </c>
      <c r="E2672" t="s">
        <v>694</v>
      </c>
    </row>
    <row r="2673" spans="2:5">
      <c r="B2673" t="s">
        <v>4266</v>
      </c>
      <c r="C2673">
        <v>532892</v>
      </c>
      <c r="D2673" t="s">
        <v>4267</v>
      </c>
      <c r="E2673" t="s">
        <v>356</v>
      </c>
    </row>
    <row r="2674" spans="2:5">
      <c r="B2674" t="s">
        <v>4268</v>
      </c>
      <c r="C2674">
        <v>590115</v>
      </c>
      <c r="D2674" t="s">
        <v>4269</v>
      </c>
      <c r="E2674" t="s">
        <v>322</v>
      </c>
    </row>
    <row r="2675" spans="2:5">
      <c r="B2675" t="s">
        <v>4270</v>
      </c>
      <c r="C2675">
        <v>533385</v>
      </c>
      <c r="D2675" t="s">
        <v>4271</v>
      </c>
      <c r="E2675" t="s">
        <v>322</v>
      </c>
    </row>
    <row r="2676" spans="2:5">
      <c r="B2676" t="s">
        <v>4272</v>
      </c>
      <c r="C2676">
        <v>507522</v>
      </c>
      <c r="D2676" t="s">
        <v>339</v>
      </c>
      <c r="E2676" t="s">
        <v>970</v>
      </c>
    </row>
    <row r="2677" spans="2:5">
      <c r="B2677" t="s">
        <v>4273</v>
      </c>
      <c r="C2677">
        <v>526299</v>
      </c>
      <c r="D2677" t="s">
        <v>4274</v>
      </c>
      <c r="E2677" t="s">
        <v>325</v>
      </c>
    </row>
    <row r="2678" spans="2:5">
      <c r="B2678" t="s">
        <v>4275</v>
      </c>
      <c r="C2678">
        <v>500450</v>
      </c>
      <c r="D2678" t="s">
        <v>339</v>
      </c>
      <c r="E2678" t="s">
        <v>322</v>
      </c>
    </row>
    <row r="2679" spans="2:5">
      <c r="B2679" t="s">
        <v>4276</v>
      </c>
      <c r="C2679">
        <v>526143</v>
      </c>
      <c r="D2679" t="s">
        <v>339</v>
      </c>
      <c r="E2679" t="s">
        <v>534</v>
      </c>
    </row>
    <row r="2680" spans="2:5">
      <c r="B2680" t="s">
        <v>4277</v>
      </c>
      <c r="C2680">
        <v>532440</v>
      </c>
      <c r="D2680" t="s">
        <v>4278</v>
      </c>
      <c r="E2680" t="s">
        <v>2331</v>
      </c>
    </row>
    <row r="2681" spans="2:5">
      <c r="B2681" t="s">
        <v>4279</v>
      </c>
      <c r="C2681">
        <v>540809</v>
      </c>
      <c r="D2681" t="s">
        <v>339</v>
      </c>
      <c r="E2681" t="s">
        <v>361</v>
      </c>
    </row>
    <row r="2682" spans="2:5">
      <c r="B2682" t="s">
        <v>4280</v>
      </c>
      <c r="C2682">
        <v>500290</v>
      </c>
      <c r="D2682" t="s">
        <v>4281</v>
      </c>
      <c r="E2682" t="s">
        <v>819</v>
      </c>
    </row>
    <row r="2683" spans="2:5">
      <c r="B2683" t="s">
        <v>4282</v>
      </c>
      <c r="C2683">
        <v>532376</v>
      </c>
      <c r="D2683" t="s">
        <v>4283</v>
      </c>
      <c r="E2683" t="s">
        <v>485</v>
      </c>
    </row>
    <row r="2684" spans="2:5">
      <c r="B2684" t="s">
        <v>4284</v>
      </c>
      <c r="C2684">
        <v>512065</v>
      </c>
      <c r="D2684" t="s">
        <v>339</v>
      </c>
      <c r="E2684" t="s">
        <v>356</v>
      </c>
    </row>
    <row r="2685" spans="2:5">
      <c r="B2685" t="s">
        <v>4285</v>
      </c>
      <c r="C2685">
        <v>532650</v>
      </c>
      <c r="D2685" t="s">
        <v>4286</v>
      </c>
      <c r="E2685" t="s">
        <v>662</v>
      </c>
    </row>
    <row r="2686" spans="2:5">
      <c r="B2686" t="s">
        <v>4287</v>
      </c>
      <c r="C2686">
        <v>508922</v>
      </c>
      <c r="D2686" t="s">
        <v>339</v>
      </c>
      <c r="E2686" t="s">
        <v>1384</v>
      </c>
    </row>
    <row r="2687" spans="2:5">
      <c r="B2687" t="s">
        <v>4288</v>
      </c>
      <c r="C2687">
        <v>508922</v>
      </c>
      <c r="D2687" t="s">
        <v>339</v>
      </c>
      <c r="E2687" t="s">
        <v>1384</v>
      </c>
    </row>
    <row r="2688" spans="2:5">
      <c r="B2688" t="s">
        <v>4289</v>
      </c>
      <c r="C2688" t="s">
        <v>339</v>
      </c>
      <c r="D2688" t="s">
        <v>4290</v>
      </c>
      <c r="E2688" t="s">
        <v>1384</v>
      </c>
    </row>
    <row r="2689" spans="2:5">
      <c r="B2689" t="s">
        <v>4291</v>
      </c>
      <c r="C2689">
        <v>542597</v>
      </c>
      <c r="D2689" t="s">
        <v>4292</v>
      </c>
      <c r="E2689" t="s">
        <v>705</v>
      </c>
    </row>
    <row r="2690" spans="2:5">
      <c r="B2690" t="s">
        <v>4293</v>
      </c>
      <c r="C2690">
        <v>534312</v>
      </c>
      <c r="D2690" t="s">
        <v>4294</v>
      </c>
      <c r="E2690" t="s">
        <v>444</v>
      </c>
    </row>
    <row r="2691" spans="2:5">
      <c r="B2691" t="s">
        <v>4295</v>
      </c>
      <c r="C2691">
        <v>531919</v>
      </c>
      <c r="D2691" t="s">
        <v>339</v>
      </c>
      <c r="E2691" t="s">
        <v>359</v>
      </c>
    </row>
    <row r="2692" spans="2:5">
      <c r="B2692" t="s">
        <v>4296</v>
      </c>
      <c r="C2692">
        <v>539819</v>
      </c>
      <c r="D2692" t="s">
        <v>339</v>
      </c>
      <c r="E2692" t="s">
        <v>322</v>
      </c>
    </row>
    <row r="2693" spans="2:5">
      <c r="B2693" t="s">
        <v>4297</v>
      </c>
      <c r="C2693">
        <v>538743</v>
      </c>
      <c r="D2693" t="s">
        <v>339</v>
      </c>
      <c r="E2693" t="s">
        <v>325</v>
      </c>
    </row>
    <row r="2694" spans="2:5">
      <c r="B2694" t="s">
        <v>4298</v>
      </c>
      <c r="C2694">
        <v>532097</v>
      </c>
      <c r="D2694" t="s">
        <v>4299</v>
      </c>
      <c r="E2694" t="s">
        <v>737</v>
      </c>
    </row>
    <row r="2695" spans="2:5">
      <c r="B2695" t="s">
        <v>4300</v>
      </c>
      <c r="C2695">
        <v>500460</v>
      </c>
      <c r="D2695" t="s">
        <v>4301</v>
      </c>
      <c r="E2695" t="s">
        <v>371</v>
      </c>
    </row>
    <row r="2696" spans="2:5">
      <c r="B2696" t="s">
        <v>4302</v>
      </c>
      <c r="C2696">
        <v>523832</v>
      </c>
      <c r="D2696" t="s">
        <v>4303</v>
      </c>
      <c r="E2696" t="s">
        <v>457</v>
      </c>
    </row>
    <row r="2697" spans="2:5">
      <c r="B2697" t="s">
        <v>4304</v>
      </c>
      <c r="C2697">
        <v>530341</v>
      </c>
      <c r="D2697" t="s">
        <v>339</v>
      </c>
      <c r="E2697" t="s">
        <v>322</v>
      </c>
    </row>
    <row r="2698" spans="2:5">
      <c r="B2698" t="s">
        <v>4305</v>
      </c>
      <c r="C2698">
        <v>535204</v>
      </c>
      <c r="D2698" t="s">
        <v>339</v>
      </c>
      <c r="E2698" t="s">
        <v>361</v>
      </c>
    </row>
    <row r="2699" spans="2:5">
      <c r="B2699" t="s">
        <v>4306</v>
      </c>
      <c r="C2699">
        <v>532357</v>
      </c>
      <c r="D2699" t="s">
        <v>4307</v>
      </c>
      <c r="E2699" t="s">
        <v>342</v>
      </c>
    </row>
    <row r="2700" spans="2:5">
      <c r="B2700" t="s">
        <v>4308</v>
      </c>
      <c r="C2700">
        <v>501477</v>
      </c>
      <c r="D2700" t="s">
        <v>339</v>
      </c>
      <c r="E2700" t="s">
        <v>361</v>
      </c>
    </row>
    <row r="2701" spans="2:5">
      <c r="B2701" t="s">
        <v>4309</v>
      </c>
      <c r="C2701">
        <v>501477</v>
      </c>
      <c r="D2701" t="s">
        <v>339</v>
      </c>
      <c r="E2701" t="s">
        <v>361</v>
      </c>
    </row>
    <row r="2702" spans="2:5">
      <c r="B2702" t="s">
        <v>4310</v>
      </c>
      <c r="C2702">
        <v>534091</v>
      </c>
      <c r="D2702" t="s">
        <v>4311</v>
      </c>
      <c r="E2702" t="s">
        <v>359</v>
      </c>
    </row>
    <row r="2703" spans="2:5">
      <c r="B2703" t="s">
        <v>4312</v>
      </c>
      <c r="C2703">
        <v>534091</v>
      </c>
      <c r="D2703" t="s">
        <v>4311</v>
      </c>
      <c r="E2703" t="s">
        <v>359</v>
      </c>
    </row>
    <row r="2704" spans="2:5">
      <c r="B2704" t="s">
        <v>4313</v>
      </c>
      <c r="C2704">
        <v>526169</v>
      </c>
      <c r="D2704" t="s">
        <v>339</v>
      </c>
      <c r="E2704" t="s">
        <v>819</v>
      </c>
    </row>
    <row r="2705" spans="2:5">
      <c r="B2705" t="s">
        <v>4314</v>
      </c>
      <c r="C2705">
        <v>526169</v>
      </c>
      <c r="D2705" t="s">
        <v>339</v>
      </c>
      <c r="E2705" t="s">
        <v>819</v>
      </c>
    </row>
    <row r="2706" spans="2:5">
      <c r="B2706" t="s">
        <v>4315</v>
      </c>
      <c r="C2706">
        <v>505594</v>
      </c>
      <c r="D2706" t="s">
        <v>339</v>
      </c>
      <c r="E2706" t="s">
        <v>760</v>
      </c>
    </row>
    <row r="2707" spans="2:5">
      <c r="B2707" t="s">
        <v>4316</v>
      </c>
      <c r="C2707">
        <v>504356</v>
      </c>
      <c r="D2707" t="s">
        <v>339</v>
      </c>
      <c r="E2707" t="s">
        <v>760</v>
      </c>
    </row>
    <row r="2708" spans="2:5">
      <c r="B2708" t="s">
        <v>4317</v>
      </c>
      <c r="C2708">
        <v>520059</v>
      </c>
      <c r="D2708" t="s">
        <v>4318</v>
      </c>
      <c r="E2708" t="s">
        <v>694</v>
      </c>
    </row>
    <row r="2709" spans="2:5">
      <c r="B2709" t="s">
        <v>4319</v>
      </c>
      <c r="C2709">
        <v>520043</v>
      </c>
      <c r="D2709" t="s">
        <v>4320</v>
      </c>
      <c r="E2709" t="s">
        <v>694</v>
      </c>
    </row>
    <row r="2710" spans="2:5">
      <c r="B2710" t="s">
        <v>4321</v>
      </c>
      <c r="C2710">
        <v>511200</v>
      </c>
      <c r="D2710" t="s">
        <v>339</v>
      </c>
      <c r="E2710" t="s">
        <v>760</v>
      </c>
    </row>
    <row r="2711" spans="2:5">
      <c r="B2711" t="s">
        <v>4322</v>
      </c>
      <c r="C2711">
        <v>511401</v>
      </c>
      <c r="D2711" t="s">
        <v>4323</v>
      </c>
      <c r="E2711" t="s">
        <v>322</v>
      </c>
    </row>
    <row r="2712" spans="2:5">
      <c r="B2712" t="s">
        <v>4324</v>
      </c>
      <c r="C2712">
        <v>531821</v>
      </c>
      <c r="D2712" t="s">
        <v>339</v>
      </c>
      <c r="E2712" t="s">
        <v>322</v>
      </c>
    </row>
    <row r="2713" spans="2:5">
      <c r="B2713" t="s">
        <v>4325</v>
      </c>
      <c r="C2713">
        <v>515037</v>
      </c>
      <c r="D2713" t="s">
        <v>4326</v>
      </c>
      <c r="E2713" t="s">
        <v>616</v>
      </c>
    </row>
    <row r="2714" spans="2:5">
      <c r="B2714" t="s">
        <v>4327</v>
      </c>
      <c r="C2714">
        <v>540366</v>
      </c>
      <c r="D2714" t="s">
        <v>4328</v>
      </c>
      <c r="E2714" t="s">
        <v>1077</v>
      </c>
    </row>
    <row r="2715" spans="2:5">
      <c r="B2715" t="s">
        <v>4329</v>
      </c>
      <c r="C2715">
        <v>511766</v>
      </c>
      <c r="D2715" t="s">
        <v>4330</v>
      </c>
      <c r="E2715" t="s">
        <v>356</v>
      </c>
    </row>
    <row r="2716" spans="2:5">
      <c r="B2716" t="s">
        <v>4331</v>
      </c>
      <c r="C2716">
        <v>533398</v>
      </c>
      <c r="D2716" t="s">
        <v>4332</v>
      </c>
      <c r="E2716" t="s">
        <v>356</v>
      </c>
    </row>
    <row r="2717" spans="2:5">
      <c r="B2717" t="s">
        <v>4333</v>
      </c>
      <c r="C2717">
        <v>532991</v>
      </c>
      <c r="D2717" t="s">
        <v>4334</v>
      </c>
      <c r="E2717" t="s">
        <v>425</v>
      </c>
    </row>
    <row r="2718" spans="2:5">
      <c r="B2718" t="s">
        <v>4335</v>
      </c>
      <c r="C2718">
        <v>538862</v>
      </c>
      <c r="D2718" t="s">
        <v>339</v>
      </c>
      <c r="E2718" t="s">
        <v>322</v>
      </c>
    </row>
    <row r="2719" spans="2:5">
      <c r="B2719" t="s">
        <v>4336</v>
      </c>
      <c r="C2719">
        <v>506734</v>
      </c>
      <c r="D2719" t="s">
        <v>339</v>
      </c>
      <c r="E2719" t="s">
        <v>387</v>
      </c>
    </row>
    <row r="2720" spans="2:5">
      <c r="B2720" t="s">
        <v>4337</v>
      </c>
      <c r="C2720">
        <v>535205</v>
      </c>
      <c r="D2720" t="s">
        <v>339</v>
      </c>
      <c r="E2720" t="s">
        <v>361</v>
      </c>
    </row>
    <row r="2721" spans="2:5">
      <c r="B2721" t="s">
        <v>4338</v>
      </c>
      <c r="C2721" t="s">
        <v>339</v>
      </c>
      <c r="D2721" t="s">
        <v>4339</v>
      </c>
      <c r="E2721" t="s">
        <v>430</v>
      </c>
    </row>
    <row r="2722" spans="2:5">
      <c r="B2722" t="s">
        <v>4340</v>
      </c>
      <c r="C2722">
        <v>512024</v>
      </c>
      <c r="D2722" t="s">
        <v>339</v>
      </c>
      <c r="E2722" t="s">
        <v>413</v>
      </c>
    </row>
    <row r="2723" spans="2:5">
      <c r="B2723" t="s">
        <v>4341</v>
      </c>
      <c r="C2723">
        <v>530897</v>
      </c>
      <c r="D2723" t="s">
        <v>339</v>
      </c>
      <c r="E2723" t="s">
        <v>528</v>
      </c>
    </row>
    <row r="2724" spans="2:5">
      <c r="B2724" t="s">
        <v>4342</v>
      </c>
      <c r="C2724">
        <v>516082</v>
      </c>
      <c r="D2724" t="s">
        <v>4343</v>
      </c>
      <c r="E2724" t="s">
        <v>333</v>
      </c>
    </row>
    <row r="2725" spans="2:5">
      <c r="B2725" t="s">
        <v>4344</v>
      </c>
      <c r="C2725">
        <v>532623</v>
      </c>
      <c r="D2725" t="s">
        <v>339</v>
      </c>
      <c r="E2725" t="s">
        <v>361</v>
      </c>
    </row>
    <row r="2726" spans="2:5">
      <c r="B2726" t="s">
        <v>4345</v>
      </c>
      <c r="C2726">
        <v>512279</v>
      </c>
      <c r="D2726" t="s">
        <v>339</v>
      </c>
      <c r="E2726" t="s">
        <v>760</v>
      </c>
    </row>
    <row r="2727" spans="2:5">
      <c r="B2727" t="s">
        <v>4346</v>
      </c>
      <c r="C2727">
        <v>524709</v>
      </c>
      <c r="D2727" t="s">
        <v>4347</v>
      </c>
      <c r="E2727" t="s">
        <v>483</v>
      </c>
    </row>
    <row r="2728" spans="2:5">
      <c r="B2728" t="s">
        <v>4348</v>
      </c>
      <c r="C2728" t="s">
        <v>339</v>
      </c>
      <c r="D2728" t="s">
        <v>4349</v>
      </c>
      <c r="E2728" t="s">
        <v>430</v>
      </c>
    </row>
    <row r="2729" spans="2:5">
      <c r="B2729" t="s">
        <v>4350</v>
      </c>
      <c r="C2729">
        <v>531832</v>
      </c>
      <c r="D2729" t="s">
        <v>339</v>
      </c>
      <c r="E2729" t="s">
        <v>537</v>
      </c>
    </row>
    <row r="2730" spans="2:5">
      <c r="B2730" t="s">
        <v>4351</v>
      </c>
      <c r="C2730">
        <v>539917</v>
      </c>
      <c r="D2730" t="s">
        <v>4352</v>
      </c>
      <c r="E2730" t="s">
        <v>847</v>
      </c>
    </row>
    <row r="2731" spans="2:5">
      <c r="B2731" t="s">
        <v>4353</v>
      </c>
      <c r="C2731">
        <v>534184</v>
      </c>
      <c r="D2731" t="s">
        <v>4354</v>
      </c>
      <c r="E2731" t="s">
        <v>402</v>
      </c>
    </row>
    <row r="2732" spans="2:5">
      <c r="B2732" t="s">
        <v>4355</v>
      </c>
      <c r="C2732">
        <v>532362</v>
      </c>
      <c r="D2732" t="s">
        <v>339</v>
      </c>
      <c r="E2732" t="s">
        <v>371</v>
      </c>
    </row>
    <row r="2733" spans="2:5">
      <c r="B2733" t="s">
        <v>4356</v>
      </c>
      <c r="C2733">
        <v>532895</v>
      </c>
      <c r="D2733" t="s">
        <v>4357</v>
      </c>
      <c r="E2733" t="s">
        <v>359</v>
      </c>
    </row>
    <row r="2734" spans="2:5">
      <c r="B2734" t="s">
        <v>4358</v>
      </c>
      <c r="C2734">
        <v>521109</v>
      </c>
      <c r="D2734" t="s">
        <v>4359</v>
      </c>
      <c r="E2734" t="s">
        <v>354</v>
      </c>
    </row>
    <row r="2735" spans="2:5">
      <c r="B2735" t="s">
        <v>4360</v>
      </c>
      <c r="C2735">
        <v>532952</v>
      </c>
      <c r="D2735" t="s">
        <v>4361</v>
      </c>
      <c r="E2735" t="s">
        <v>359</v>
      </c>
    </row>
    <row r="2736" spans="2:5">
      <c r="B2736" t="s">
        <v>4362</v>
      </c>
      <c r="C2736">
        <v>519136</v>
      </c>
      <c r="D2736" t="s">
        <v>4363</v>
      </c>
      <c r="E2736" t="s">
        <v>354</v>
      </c>
    </row>
    <row r="2737" spans="2:5">
      <c r="B2737" t="s">
        <v>4364</v>
      </c>
      <c r="C2737">
        <v>523391</v>
      </c>
      <c r="D2737" t="s">
        <v>4365</v>
      </c>
      <c r="E2737" t="s">
        <v>354</v>
      </c>
    </row>
    <row r="2738" spans="2:5">
      <c r="B2738" t="s">
        <v>4366</v>
      </c>
      <c r="C2738">
        <v>500296</v>
      </c>
      <c r="D2738" t="s">
        <v>4367</v>
      </c>
      <c r="E2738" t="s">
        <v>354</v>
      </c>
    </row>
    <row r="2739" spans="2:5">
      <c r="B2739" t="s">
        <v>4368</v>
      </c>
      <c r="C2739">
        <v>541418</v>
      </c>
      <c r="D2739" t="s">
        <v>339</v>
      </c>
      <c r="E2739" t="s">
        <v>399</v>
      </c>
    </row>
    <row r="2740" spans="2:5">
      <c r="B2740" t="s">
        <v>4369</v>
      </c>
      <c r="C2740">
        <v>531212</v>
      </c>
      <c r="D2740" t="s">
        <v>339</v>
      </c>
      <c r="E2740" t="s">
        <v>356</v>
      </c>
    </row>
    <row r="2741" spans="2:5">
      <c r="B2741" t="s">
        <v>4370</v>
      </c>
      <c r="C2741">
        <v>532256</v>
      </c>
      <c r="D2741" t="s">
        <v>4371</v>
      </c>
      <c r="E2741" t="s">
        <v>356</v>
      </c>
    </row>
    <row r="2742" spans="2:5">
      <c r="B2742" t="s">
        <v>4372</v>
      </c>
      <c r="C2742">
        <v>538395</v>
      </c>
      <c r="D2742" t="s">
        <v>339</v>
      </c>
      <c r="E2742" t="s">
        <v>322</v>
      </c>
    </row>
    <row r="2743" spans="2:5">
      <c r="B2743" t="s">
        <v>4373</v>
      </c>
      <c r="C2743">
        <v>532641</v>
      </c>
      <c r="D2743" t="s">
        <v>4374</v>
      </c>
      <c r="E2743" t="s">
        <v>354</v>
      </c>
    </row>
    <row r="2744" spans="2:5">
      <c r="B2744" t="s">
        <v>4375</v>
      </c>
      <c r="C2744" t="s">
        <v>339</v>
      </c>
      <c r="D2744" t="s">
        <v>4376</v>
      </c>
      <c r="E2744" t="s">
        <v>350</v>
      </c>
    </row>
    <row r="2745" spans="2:5">
      <c r="B2745" t="s">
        <v>4377</v>
      </c>
      <c r="C2745">
        <v>539551</v>
      </c>
      <c r="D2745" t="s">
        <v>4378</v>
      </c>
      <c r="E2745" t="s">
        <v>809</v>
      </c>
    </row>
    <row r="2746" spans="2:5">
      <c r="B2746" t="s">
        <v>4379</v>
      </c>
      <c r="C2746">
        <v>540080</v>
      </c>
      <c r="D2746" t="s">
        <v>339</v>
      </c>
      <c r="E2746" t="s">
        <v>371</v>
      </c>
    </row>
    <row r="2747" spans="2:5">
      <c r="B2747" t="s">
        <v>4380</v>
      </c>
      <c r="C2747">
        <v>519455</v>
      </c>
      <c r="D2747" t="s">
        <v>339</v>
      </c>
      <c r="E2747" t="s">
        <v>453</v>
      </c>
    </row>
    <row r="2748" spans="2:5">
      <c r="B2748" t="s">
        <v>4381</v>
      </c>
      <c r="C2748">
        <v>540204</v>
      </c>
      <c r="D2748" t="s">
        <v>4382</v>
      </c>
      <c r="E2748" t="s">
        <v>423</v>
      </c>
    </row>
    <row r="2749" spans="2:5">
      <c r="B2749" t="s">
        <v>4383</v>
      </c>
      <c r="C2749">
        <v>531416</v>
      </c>
      <c r="D2749" t="s">
        <v>339</v>
      </c>
      <c r="E2749" t="s">
        <v>425</v>
      </c>
    </row>
    <row r="2750" spans="2:5">
      <c r="B2750" t="s">
        <v>4384</v>
      </c>
      <c r="C2750" t="s">
        <v>339</v>
      </c>
      <c r="D2750" t="s">
        <v>4385</v>
      </c>
      <c r="E2750" t="s">
        <v>350</v>
      </c>
    </row>
    <row r="2751" spans="2:5">
      <c r="B2751" t="s">
        <v>4386</v>
      </c>
      <c r="C2751">
        <v>526739</v>
      </c>
      <c r="D2751" t="s">
        <v>339</v>
      </c>
      <c r="E2751" t="s">
        <v>499</v>
      </c>
    </row>
    <row r="2752" spans="2:5">
      <c r="B2752" t="s">
        <v>4387</v>
      </c>
      <c r="C2752">
        <v>517431</v>
      </c>
      <c r="D2752" t="s">
        <v>4388</v>
      </c>
      <c r="E2752" t="s">
        <v>459</v>
      </c>
    </row>
    <row r="2753" spans="2:5">
      <c r="B2753" t="s">
        <v>4389</v>
      </c>
      <c r="C2753">
        <v>539595</v>
      </c>
      <c r="D2753" t="s">
        <v>339</v>
      </c>
      <c r="E2753" t="s">
        <v>322</v>
      </c>
    </row>
    <row r="2754" spans="2:5">
      <c r="B2754" t="s">
        <v>4390</v>
      </c>
      <c r="C2754">
        <v>524816</v>
      </c>
      <c r="D2754" t="s">
        <v>4391</v>
      </c>
      <c r="E2754" t="s">
        <v>377</v>
      </c>
    </row>
    <row r="2755" spans="2:5">
      <c r="B2755" t="s">
        <v>4392</v>
      </c>
      <c r="C2755">
        <v>537291</v>
      </c>
      <c r="D2755" t="s">
        <v>4393</v>
      </c>
      <c r="E2755" t="s">
        <v>537</v>
      </c>
    </row>
    <row r="2756" spans="2:5">
      <c r="B2756" t="s">
        <v>4394</v>
      </c>
      <c r="C2756">
        <v>537291</v>
      </c>
      <c r="D2756" t="s">
        <v>4393</v>
      </c>
      <c r="E2756" t="s">
        <v>537</v>
      </c>
    </row>
    <row r="2757" spans="2:5">
      <c r="B2757" t="s">
        <v>4395</v>
      </c>
      <c r="C2757">
        <v>502407</v>
      </c>
      <c r="D2757" t="s">
        <v>339</v>
      </c>
      <c r="E2757" t="s">
        <v>333</v>
      </c>
    </row>
    <row r="2758" spans="2:5">
      <c r="B2758" t="s">
        <v>4396</v>
      </c>
      <c r="C2758">
        <v>532234</v>
      </c>
      <c r="D2758" t="s">
        <v>4397</v>
      </c>
      <c r="E2758" t="s">
        <v>644</v>
      </c>
    </row>
    <row r="2759" spans="2:5">
      <c r="B2759" t="s">
        <v>4398</v>
      </c>
      <c r="C2759">
        <v>523630</v>
      </c>
      <c r="D2759" t="s">
        <v>4399</v>
      </c>
      <c r="E2759" t="s">
        <v>847</v>
      </c>
    </row>
    <row r="2760" spans="2:5">
      <c r="B2760" t="s">
        <v>4400</v>
      </c>
      <c r="C2760">
        <v>531289</v>
      </c>
      <c r="D2760" t="s">
        <v>339</v>
      </c>
      <c r="E2760" t="s">
        <v>662</v>
      </c>
    </row>
    <row r="2761" spans="2:5">
      <c r="B2761" t="s">
        <v>4401</v>
      </c>
      <c r="C2761">
        <v>531651</v>
      </c>
      <c r="D2761" t="s">
        <v>339</v>
      </c>
      <c r="E2761" t="s">
        <v>371</v>
      </c>
    </row>
    <row r="2762" spans="2:5">
      <c r="B2762" t="s">
        <v>4402</v>
      </c>
      <c r="C2762">
        <v>507813</v>
      </c>
      <c r="D2762" t="s">
        <v>339</v>
      </c>
      <c r="E2762" t="s">
        <v>1374</v>
      </c>
    </row>
    <row r="2763" spans="2:5">
      <c r="B2763" t="s">
        <v>4403</v>
      </c>
      <c r="C2763">
        <v>500298</v>
      </c>
      <c r="D2763" t="s">
        <v>339</v>
      </c>
      <c r="E2763" t="s">
        <v>387</v>
      </c>
    </row>
    <row r="2764" spans="2:5">
      <c r="B2764" t="s">
        <v>4404</v>
      </c>
      <c r="C2764">
        <v>526616</v>
      </c>
      <c r="D2764" t="s">
        <v>339</v>
      </c>
      <c r="E2764" t="s">
        <v>459</v>
      </c>
    </row>
    <row r="2765" spans="2:5">
      <c r="B2765" t="s">
        <v>4405</v>
      </c>
      <c r="C2765">
        <v>531287</v>
      </c>
      <c r="D2765" t="s">
        <v>339</v>
      </c>
      <c r="E2765" t="s">
        <v>459</v>
      </c>
    </row>
    <row r="2766" spans="2:5">
      <c r="B2766" t="s">
        <v>4406</v>
      </c>
      <c r="C2766">
        <v>516062</v>
      </c>
      <c r="D2766" t="s">
        <v>339</v>
      </c>
      <c r="E2766" t="s">
        <v>834</v>
      </c>
    </row>
    <row r="2767" spans="2:5">
      <c r="B2767" t="s">
        <v>4407</v>
      </c>
      <c r="C2767">
        <v>504882</v>
      </c>
      <c r="D2767" t="s">
        <v>339</v>
      </c>
      <c r="E2767" t="s">
        <v>425</v>
      </c>
    </row>
    <row r="2768" spans="2:5">
      <c r="B2768" t="s">
        <v>4408</v>
      </c>
      <c r="C2768">
        <v>504882</v>
      </c>
      <c r="D2768" t="s">
        <v>339</v>
      </c>
      <c r="E2768" t="s">
        <v>425</v>
      </c>
    </row>
    <row r="2769" spans="2:5">
      <c r="B2769" t="s">
        <v>4409</v>
      </c>
      <c r="C2769">
        <v>513179</v>
      </c>
      <c r="D2769" t="s">
        <v>4410</v>
      </c>
      <c r="E2769" t="s">
        <v>371</v>
      </c>
    </row>
    <row r="2770" spans="2:5">
      <c r="B2770" t="s">
        <v>4411</v>
      </c>
      <c r="C2770">
        <v>530119</v>
      </c>
      <c r="D2770" t="s">
        <v>339</v>
      </c>
      <c r="E2770" t="s">
        <v>588</v>
      </c>
    </row>
    <row r="2771" spans="2:5">
      <c r="B2771" t="s">
        <v>4412</v>
      </c>
      <c r="C2771">
        <v>531834</v>
      </c>
      <c r="D2771" t="s">
        <v>339</v>
      </c>
      <c r="E2771" t="s">
        <v>537</v>
      </c>
    </row>
    <row r="2772" spans="2:5">
      <c r="B2772" t="s">
        <v>4413</v>
      </c>
      <c r="C2772">
        <v>524654</v>
      </c>
      <c r="D2772" t="s">
        <v>339</v>
      </c>
      <c r="E2772" t="s">
        <v>377</v>
      </c>
    </row>
    <row r="2773" spans="2:5">
      <c r="B2773" t="s">
        <v>4414</v>
      </c>
      <c r="C2773">
        <v>538926</v>
      </c>
      <c r="D2773" t="s">
        <v>339</v>
      </c>
      <c r="E2773" t="s">
        <v>537</v>
      </c>
    </row>
    <row r="2774" spans="2:5">
      <c r="B2774" t="s">
        <v>4415</v>
      </c>
      <c r="C2774">
        <v>513023</v>
      </c>
      <c r="D2774" t="s">
        <v>4416</v>
      </c>
      <c r="E2774" t="s">
        <v>478</v>
      </c>
    </row>
    <row r="2775" spans="2:5">
      <c r="B2775" t="s">
        <v>4417</v>
      </c>
      <c r="C2775">
        <v>539521</v>
      </c>
      <c r="D2775" t="s">
        <v>339</v>
      </c>
      <c r="E2775" t="s">
        <v>322</v>
      </c>
    </row>
    <row r="2776" spans="2:5">
      <c r="B2776" t="s">
        <v>4418</v>
      </c>
      <c r="C2776">
        <v>532504</v>
      </c>
      <c r="D2776" t="s">
        <v>4419</v>
      </c>
      <c r="E2776" t="s">
        <v>387</v>
      </c>
    </row>
    <row r="2777" spans="2:5">
      <c r="B2777" t="s">
        <v>4420</v>
      </c>
      <c r="C2777">
        <v>531494</v>
      </c>
      <c r="D2777" t="s">
        <v>339</v>
      </c>
      <c r="E2777" t="s">
        <v>425</v>
      </c>
    </row>
    <row r="2778" spans="2:5">
      <c r="B2778" t="s">
        <v>4421</v>
      </c>
      <c r="C2778">
        <v>539332</v>
      </c>
      <c r="D2778" t="s">
        <v>4422</v>
      </c>
      <c r="E2778" t="s">
        <v>462</v>
      </c>
    </row>
    <row r="2779" spans="2:5">
      <c r="B2779" t="s">
        <v>4423</v>
      </c>
      <c r="C2779">
        <v>539525</v>
      </c>
      <c r="D2779" t="s">
        <v>339</v>
      </c>
      <c r="E2779" t="s">
        <v>373</v>
      </c>
    </row>
    <row r="2780" spans="2:5">
      <c r="B2780" t="s">
        <v>4424</v>
      </c>
      <c r="C2780">
        <v>508989</v>
      </c>
      <c r="D2780" t="s">
        <v>4425</v>
      </c>
      <c r="E2780" t="s">
        <v>863</v>
      </c>
    </row>
    <row r="2781" spans="2:5">
      <c r="B2781" t="s">
        <v>4426</v>
      </c>
      <c r="C2781">
        <v>538668</v>
      </c>
      <c r="D2781" t="s">
        <v>339</v>
      </c>
      <c r="E2781" t="s">
        <v>356</v>
      </c>
    </row>
    <row r="2782" spans="2:5">
      <c r="B2782" t="s">
        <v>4427</v>
      </c>
      <c r="C2782">
        <v>523242</v>
      </c>
      <c r="D2782" t="s">
        <v>339</v>
      </c>
      <c r="E2782" t="s">
        <v>765</v>
      </c>
    </row>
    <row r="2783" spans="2:5">
      <c r="B2783" t="s">
        <v>4428</v>
      </c>
      <c r="C2783">
        <v>534309</v>
      </c>
      <c r="D2783" t="s">
        <v>4429</v>
      </c>
      <c r="E2783" t="s">
        <v>737</v>
      </c>
    </row>
    <row r="2784" spans="2:5">
      <c r="B2784" t="s">
        <v>4430</v>
      </c>
      <c r="C2784">
        <v>534309</v>
      </c>
      <c r="D2784" t="s">
        <v>4429</v>
      </c>
      <c r="E2784" t="s">
        <v>737</v>
      </c>
    </row>
    <row r="2785" spans="2:5">
      <c r="B2785" t="s">
        <v>4431</v>
      </c>
      <c r="C2785">
        <v>519506</v>
      </c>
      <c r="D2785" t="s">
        <v>339</v>
      </c>
      <c r="E2785" t="s">
        <v>399</v>
      </c>
    </row>
    <row r="2786" spans="2:5">
      <c r="B2786" t="s">
        <v>4432</v>
      </c>
      <c r="C2786">
        <v>531452</v>
      </c>
      <c r="D2786" t="s">
        <v>339</v>
      </c>
      <c r="E2786" t="s">
        <v>356</v>
      </c>
    </row>
    <row r="2787" spans="2:5">
      <c r="B2787" t="s">
        <v>4433</v>
      </c>
      <c r="C2787">
        <v>500294</v>
      </c>
      <c r="D2787" t="s">
        <v>4434</v>
      </c>
      <c r="E2787" t="s">
        <v>737</v>
      </c>
    </row>
    <row r="2788" spans="2:5">
      <c r="B2788" t="s">
        <v>4435</v>
      </c>
      <c r="C2788">
        <v>502168</v>
      </c>
      <c r="D2788" t="s">
        <v>4436</v>
      </c>
      <c r="E2788" t="s">
        <v>352</v>
      </c>
    </row>
    <row r="2789" spans="2:5">
      <c r="B2789" t="s">
        <v>4437</v>
      </c>
      <c r="C2789">
        <v>530557</v>
      </c>
      <c r="D2789" t="s">
        <v>339</v>
      </c>
      <c r="E2789" t="s">
        <v>322</v>
      </c>
    </row>
    <row r="2790" spans="2:5">
      <c r="B2790" t="s">
        <v>4438</v>
      </c>
      <c r="C2790">
        <v>511535</v>
      </c>
      <c r="D2790" t="s">
        <v>339</v>
      </c>
      <c r="E2790" t="s">
        <v>322</v>
      </c>
    </row>
    <row r="2791" spans="2:5">
      <c r="B2791" t="s">
        <v>4439</v>
      </c>
      <c r="C2791">
        <v>532649</v>
      </c>
      <c r="D2791" t="s">
        <v>4440</v>
      </c>
      <c r="E2791" t="s">
        <v>377</v>
      </c>
    </row>
    <row r="2792" spans="2:5">
      <c r="B2792" t="s">
        <v>4441</v>
      </c>
      <c r="C2792">
        <v>508670</v>
      </c>
      <c r="D2792" t="s">
        <v>339</v>
      </c>
      <c r="E2792" t="s">
        <v>746</v>
      </c>
    </row>
    <row r="2793" spans="2:5">
      <c r="B2793" t="s">
        <v>4442</v>
      </c>
      <c r="C2793">
        <v>531049</v>
      </c>
      <c r="D2793" t="s">
        <v>339</v>
      </c>
      <c r="E2793" t="s">
        <v>867</v>
      </c>
    </row>
    <row r="2794" spans="2:5">
      <c r="B2794" t="s">
        <v>4443</v>
      </c>
      <c r="C2794">
        <v>539409</v>
      </c>
      <c r="D2794" t="s">
        <v>339</v>
      </c>
      <c r="E2794" t="s">
        <v>361</v>
      </c>
    </row>
    <row r="2795" spans="2:5">
      <c r="B2795" t="s">
        <v>4444</v>
      </c>
      <c r="C2795">
        <v>537838</v>
      </c>
      <c r="D2795" t="s">
        <v>339</v>
      </c>
      <c r="E2795" t="s">
        <v>361</v>
      </c>
    </row>
    <row r="2796" spans="2:5">
      <c r="B2796" t="s">
        <v>4445</v>
      </c>
      <c r="C2796">
        <v>519560</v>
      </c>
      <c r="D2796" t="s">
        <v>339</v>
      </c>
      <c r="E2796" t="s">
        <v>537</v>
      </c>
    </row>
    <row r="2797" spans="2:5">
      <c r="B2797" t="s">
        <v>4446</v>
      </c>
      <c r="C2797">
        <v>539016</v>
      </c>
      <c r="D2797" t="s">
        <v>339</v>
      </c>
      <c r="E2797" t="s">
        <v>356</v>
      </c>
    </row>
    <row r="2798" spans="2:5">
      <c r="B2798" t="s">
        <v>4447</v>
      </c>
      <c r="C2798">
        <v>532864</v>
      </c>
      <c r="D2798" t="s">
        <v>4448</v>
      </c>
      <c r="E2798" t="s">
        <v>1258</v>
      </c>
    </row>
    <row r="2799" spans="2:5">
      <c r="B2799" t="s">
        <v>4449</v>
      </c>
      <c r="C2799">
        <v>504112</v>
      </c>
      <c r="D2799" t="s">
        <v>4450</v>
      </c>
      <c r="E2799" t="s">
        <v>1965</v>
      </c>
    </row>
    <row r="2800" spans="2:5">
      <c r="B2800" t="s">
        <v>4451</v>
      </c>
      <c r="C2800">
        <v>514332</v>
      </c>
      <c r="D2800" t="s">
        <v>339</v>
      </c>
      <c r="E2800" t="s">
        <v>425</v>
      </c>
    </row>
    <row r="2801" spans="2:5">
      <c r="B2801" t="s">
        <v>4452</v>
      </c>
      <c r="C2801">
        <v>526195</v>
      </c>
      <c r="D2801" t="s">
        <v>339</v>
      </c>
      <c r="E2801" t="s">
        <v>453</v>
      </c>
    </row>
    <row r="2802" spans="2:5">
      <c r="B2802" t="s">
        <v>4453</v>
      </c>
      <c r="C2802">
        <v>526195</v>
      </c>
      <c r="D2802" t="s">
        <v>339</v>
      </c>
      <c r="E2802" t="s">
        <v>453</v>
      </c>
    </row>
    <row r="2803" spans="2:5">
      <c r="B2803" t="s">
        <v>4454</v>
      </c>
      <c r="C2803">
        <v>542665</v>
      </c>
      <c r="D2803" t="s">
        <v>4455</v>
      </c>
      <c r="E2803" t="s">
        <v>499</v>
      </c>
    </row>
    <row r="2804" spans="2:5">
      <c r="B2804" t="s">
        <v>4456</v>
      </c>
      <c r="C2804">
        <v>512522</v>
      </c>
      <c r="D2804" t="s">
        <v>339</v>
      </c>
      <c r="E2804" t="s">
        <v>361</v>
      </c>
    </row>
    <row r="2805" spans="2:5">
      <c r="B2805" t="s">
        <v>4457</v>
      </c>
      <c r="C2805">
        <v>505355</v>
      </c>
      <c r="D2805" t="s">
        <v>4458</v>
      </c>
      <c r="E2805" t="s">
        <v>760</v>
      </c>
    </row>
    <row r="2806" spans="2:5">
      <c r="B2806" t="s">
        <v>4459</v>
      </c>
      <c r="C2806">
        <v>500790</v>
      </c>
      <c r="D2806" t="s">
        <v>4460</v>
      </c>
      <c r="E2806" t="s">
        <v>399</v>
      </c>
    </row>
    <row r="2807" spans="2:5">
      <c r="B2807" t="s">
        <v>4461</v>
      </c>
      <c r="C2807">
        <v>500790</v>
      </c>
      <c r="D2807" t="s">
        <v>4460</v>
      </c>
      <c r="E2807" t="s">
        <v>399</v>
      </c>
    </row>
    <row r="2808" spans="2:5">
      <c r="B2808" t="s">
        <v>4462</v>
      </c>
      <c r="C2808">
        <v>509040</v>
      </c>
      <c r="D2808" t="s">
        <v>339</v>
      </c>
      <c r="E2808" t="s">
        <v>432</v>
      </c>
    </row>
    <row r="2809" spans="2:5">
      <c r="B2809" t="s">
        <v>4463</v>
      </c>
      <c r="C2809">
        <v>509040</v>
      </c>
      <c r="D2809" t="s">
        <v>339</v>
      </c>
      <c r="E2809" t="s">
        <v>432</v>
      </c>
    </row>
    <row r="2810" spans="2:5">
      <c r="B2810" t="s">
        <v>4464</v>
      </c>
      <c r="C2810">
        <v>542117</v>
      </c>
      <c r="D2810" t="s">
        <v>339</v>
      </c>
      <c r="E2810" t="s">
        <v>430</v>
      </c>
    </row>
    <row r="2811" spans="2:5">
      <c r="B2811" t="s">
        <v>4465</v>
      </c>
      <c r="C2811">
        <v>511658</v>
      </c>
      <c r="D2811" t="s">
        <v>339</v>
      </c>
      <c r="E2811" t="s">
        <v>432</v>
      </c>
    </row>
    <row r="2812" spans="2:5">
      <c r="B2812" t="s">
        <v>4466</v>
      </c>
      <c r="C2812">
        <v>523558</v>
      </c>
      <c r="D2812" t="s">
        <v>339</v>
      </c>
      <c r="E2812" t="s">
        <v>881</v>
      </c>
    </row>
    <row r="2813" spans="2:5">
      <c r="B2813" t="s">
        <v>4467</v>
      </c>
      <c r="C2813">
        <v>532798</v>
      </c>
      <c r="D2813" t="s">
        <v>4468</v>
      </c>
      <c r="E2813" t="s">
        <v>505</v>
      </c>
    </row>
    <row r="2814" spans="2:5">
      <c r="B2814" t="s">
        <v>4469</v>
      </c>
      <c r="C2814">
        <v>532887</v>
      </c>
      <c r="D2814" t="s">
        <v>4470</v>
      </c>
      <c r="E2814" t="s">
        <v>382</v>
      </c>
    </row>
    <row r="2815" spans="2:5">
      <c r="B2815" t="s">
        <v>4471</v>
      </c>
      <c r="C2815">
        <v>524558</v>
      </c>
      <c r="D2815" t="s">
        <v>4472</v>
      </c>
      <c r="E2815" t="s">
        <v>377</v>
      </c>
    </row>
    <row r="2816" spans="2:5">
      <c r="B2816" t="s">
        <v>4473</v>
      </c>
      <c r="C2816">
        <v>532529</v>
      </c>
      <c r="D2816" t="s">
        <v>4474</v>
      </c>
      <c r="E2816" t="s">
        <v>1077</v>
      </c>
    </row>
    <row r="2817" spans="2:5">
      <c r="B2817" t="s">
        <v>4475</v>
      </c>
      <c r="C2817">
        <v>540243</v>
      </c>
      <c r="D2817" t="s">
        <v>339</v>
      </c>
      <c r="E2817" t="s">
        <v>361</v>
      </c>
    </row>
    <row r="2818" spans="2:5">
      <c r="B2818" t="s">
        <v>4476</v>
      </c>
      <c r="C2818">
        <v>508867</v>
      </c>
      <c r="D2818" t="s">
        <v>339</v>
      </c>
      <c r="E2818" t="s">
        <v>432</v>
      </c>
    </row>
    <row r="2819" spans="2:5">
      <c r="B2819" t="s">
        <v>4477</v>
      </c>
      <c r="C2819">
        <v>501479</v>
      </c>
      <c r="D2819" t="s">
        <v>339</v>
      </c>
      <c r="E2819" t="s">
        <v>361</v>
      </c>
    </row>
    <row r="2820" spans="2:5">
      <c r="B2820" t="s">
        <v>4478</v>
      </c>
      <c r="C2820">
        <v>536644</v>
      </c>
      <c r="D2820" t="s">
        <v>339</v>
      </c>
      <c r="E2820" t="s">
        <v>361</v>
      </c>
    </row>
    <row r="2821" spans="2:5">
      <c r="B2821" t="s">
        <v>4479</v>
      </c>
      <c r="C2821">
        <v>540900</v>
      </c>
      <c r="D2821" t="s">
        <v>4480</v>
      </c>
      <c r="E2821" t="s">
        <v>325</v>
      </c>
    </row>
    <row r="2822" spans="2:5">
      <c r="B2822" t="s">
        <v>4481</v>
      </c>
      <c r="C2822">
        <v>532416</v>
      </c>
      <c r="D2822" t="s">
        <v>4482</v>
      </c>
      <c r="E2822" t="s">
        <v>863</v>
      </c>
    </row>
    <row r="2823" spans="2:5">
      <c r="B2823" t="s">
        <v>4483</v>
      </c>
      <c r="C2823">
        <v>538874</v>
      </c>
      <c r="D2823" t="s">
        <v>339</v>
      </c>
      <c r="E2823" t="s">
        <v>322</v>
      </c>
    </row>
    <row r="2824" spans="2:5">
      <c r="B2824" t="s">
        <v>4484</v>
      </c>
      <c r="C2824">
        <v>524774</v>
      </c>
      <c r="D2824" t="s">
        <v>339</v>
      </c>
      <c r="E2824" t="s">
        <v>377</v>
      </c>
    </row>
    <row r="2825" spans="2:5">
      <c r="B2825" t="s">
        <v>4485</v>
      </c>
      <c r="C2825">
        <v>517554</v>
      </c>
      <c r="D2825" t="s">
        <v>339</v>
      </c>
      <c r="E2825" t="s">
        <v>419</v>
      </c>
    </row>
    <row r="2826" spans="2:5">
      <c r="B2826" t="s">
        <v>4486</v>
      </c>
      <c r="C2826">
        <v>533098</v>
      </c>
      <c r="D2826" t="s">
        <v>4487</v>
      </c>
      <c r="E2826" t="s">
        <v>478</v>
      </c>
    </row>
    <row r="2827" spans="2:5">
      <c r="B2827" t="s">
        <v>4488</v>
      </c>
      <c r="C2827">
        <v>526721</v>
      </c>
      <c r="D2827" t="s">
        <v>339</v>
      </c>
      <c r="E2827" t="s">
        <v>517</v>
      </c>
    </row>
    <row r="2828" spans="2:5">
      <c r="B2828" t="s">
        <v>4489</v>
      </c>
      <c r="C2828">
        <v>523209</v>
      </c>
      <c r="D2828" t="s">
        <v>339</v>
      </c>
      <c r="E2828" t="s">
        <v>356</v>
      </c>
    </row>
    <row r="2829" spans="2:5">
      <c r="B2829" t="s">
        <v>4490</v>
      </c>
      <c r="C2829">
        <v>512103</v>
      </c>
      <c r="D2829" t="s">
        <v>339</v>
      </c>
      <c r="E2829" t="s">
        <v>867</v>
      </c>
    </row>
    <row r="2830" spans="2:5">
      <c r="B2830" t="s">
        <v>4491</v>
      </c>
      <c r="C2830">
        <v>531083</v>
      </c>
      <c r="D2830" t="s">
        <v>339</v>
      </c>
      <c r="E2830" t="s">
        <v>432</v>
      </c>
    </row>
    <row r="2831" spans="2:5">
      <c r="B2831" t="s">
        <v>4492</v>
      </c>
      <c r="C2831">
        <v>500304</v>
      </c>
      <c r="D2831" t="s">
        <v>4493</v>
      </c>
      <c r="E2831" t="s">
        <v>824</v>
      </c>
    </row>
    <row r="2832" spans="2:5">
      <c r="B2832" t="s">
        <v>4494</v>
      </c>
      <c r="C2832">
        <v>532541</v>
      </c>
      <c r="D2832" t="s">
        <v>4495</v>
      </c>
      <c r="E2832" t="s">
        <v>325</v>
      </c>
    </row>
    <row r="2833" spans="2:5">
      <c r="B2833" t="s">
        <v>4496</v>
      </c>
      <c r="C2833">
        <v>526159</v>
      </c>
      <c r="D2833" t="s">
        <v>339</v>
      </c>
      <c r="E2833" t="s">
        <v>361</v>
      </c>
    </row>
    <row r="2834" spans="2:5">
      <c r="B2834" t="s">
        <v>4497</v>
      </c>
      <c r="C2834">
        <v>531272</v>
      </c>
      <c r="D2834" t="s">
        <v>339</v>
      </c>
      <c r="E2834" t="s">
        <v>356</v>
      </c>
    </row>
    <row r="2835" spans="2:5">
      <c r="B2835" t="s">
        <v>4498</v>
      </c>
      <c r="C2835">
        <v>530377</v>
      </c>
      <c r="D2835" t="s">
        <v>4499</v>
      </c>
      <c r="E2835" t="s">
        <v>425</v>
      </c>
    </row>
    <row r="2836" spans="2:5">
      <c r="B2836" t="s">
        <v>4500</v>
      </c>
      <c r="C2836">
        <v>542231</v>
      </c>
      <c r="D2836" t="s">
        <v>4501</v>
      </c>
      <c r="E2836" t="s">
        <v>425</v>
      </c>
    </row>
    <row r="2837" spans="2:5">
      <c r="B2837" t="s">
        <v>4502</v>
      </c>
      <c r="C2837">
        <v>502294</v>
      </c>
      <c r="D2837" t="s">
        <v>339</v>
      </c>
      <c r="E2837" t="s">
        <v>867</v>
      </c>
    </row>
    <row r="2838" spans="2:5">
      <c r="B2838" t="s">
        <v>4503</v>
      </c>
      <c r="C2838">
        <v>530129</v>
      </c>
      <c r="D2838" t="s">
        <v>339</v>
      </c>
      <c r="E2838" t="s">
        <v>662</v>
      </c>
    </row>
    <row r="2839" spans="2:5">
      <c r="B2839" t="s">
        <v>4504</v>
      </c>
      <c r="C2839">
        <v>523385</v>
      </c>
      <c r="D2839" t="s">
        <v>4505</v>
      </c>
      <c r="E2839" t="s">
        <v>459</v>
      </c>
    </row>
    <row r="2840" spans="2:5">
      <c r="B2840" t="s">
        <v>4506</v>
      </c>
      <c r="C2840">
        <v>512004</v>
      </c>
      <c r="D2840" t="s">
        <v>339</v>
      </c>
      <c r="E2840" t="s">
        <v>760</v>
      </c>
    </row>
    <row r="2841" spans="2:5">
      <c r="B2841" t="s">
        <v>4507</v>
      </c>
      <c r="C2841">
        <v>531598</v>
      </c>
      <c r="D2841" t="s">
        <v>339</v>
      </c>
      <c r="E2841" t="s">
        <v>399</v>
      </c>
    </row>
    <row r="2842" spans="2:5">
      <c r="B2842" t="s">
        <v>4508</v>
      </c>
      <c r="C2842">
        <v>530971</v>
      </c>
      <c r="D2842" t="s">
        <v>339</v>
      </c>
      <c r="E2842" t="s">
        <v>361</v>
      </c>
    </row>
    <row r="2843" spans="2:5">
      <c r="B2843" t="s">
        <v>4509</v>
      </c>
      <c r="C2843">
        <v>511714</v>
      </c>
      <c r="D2843" t="s">
        <v>339</v>
      </c>
      <c r="E2843" t="s">
        <v>425</v>
      </c>
    </row>
    <row r="2844" spans="2:5">
      <c r="B2844" t="s">
        <v>4510</v>
      </c>
      <c r="C2844">
        <v>539843</v>
      </c>
      <c r="D2844" t="s">
        <v>339</v>
      </c>
      <c r="E2844" t="s">
        <v>325</v>
      </c>
    </row>
    <row r="2845" spans="2:5">
      <c r="B2845" t="s">
        <v>4511</v>
      </c>
      <c r="C2845">
        <v>532986</v>
      </c>
      <c r="D2845" t="s">
        <v>339</v>
      </c>
      <c r="E2845" t="s">
        <v>737</v>
      </c>
    </row>
    <row r="2846" spans="2:5">
      <c r="B2846" t="s">
        <v>4512</v>
      </c>
      <c r="C2846" t="s">
        <v>339</v>
      </c>
      <c r="D2846" t="s">
        <v>4513</v>
      </c>
      <c r="E2846" t="s">
        <v>430</v>
      </c>
    </row>
    <row r="2847" spans="2:5">
      <c r="B2847" t="s">
        <v>4514</v>
      </c>
      <c r="C2847">
        <v>512425</v>
      </c>
      <c r="D2847" t="s">
        <v>339</v>
      </c>
      <c r="E2847" t="s">
        <v>361</v>
      </c>
    </row>
    <row r="2848" spans="2:5">
      <c r="B2848" t="s">
        <v>4515</v>
      </c>
      <c r="C2848">
        <v>500307</v>
      </c>
      <c r="D2848" t="s">
        <v>339</v>
      </c>
      <c r="E2848" t="s">
        <v>760</v>
      </c>
    </row>
    <row r="2849" spans="2:5">
      <c r="B2849" t="s">
        <v>4516</v>
      </c>
      <c r="C2849">
        <v>539311</v>
      </c>
      <c r="D2849" t="s">
        <v>339</v>
      </c>
      <c r="E2849" t="s">
        <v>322</v>
      </c>
    </row>
    <row r="2850" spans="2:5">
      <c r="B2850" t="s">
        <v>4517</v>
      </c>
      <c r="C2850">
        <v>539311</v>
      </c>
      <c r="D2850" t="s">
        <v>339</v>
      </c>
      <c r="E2850" t="s">
        <v>322</v>
      </c>
    </row>
    <row r="2851" spans="2:5">
      <c r="B2851" t="s">
        <v>4518</v>
      </c>
      <c r="C2851">
        <v>532722</v>
      </c>
      <c r="D2851" t="s">
        <v>4519</v>
      </c>
      <c r="E2851" t="s">
        <v>616</v>
      </c>
    </row>
    <row r="2852" spans="2:5">
      <c r="B2852" t="s">
        <v>4520</v>
      </c>
      <c r="C2852">
        <v>533202</v>
      </c>
      <c r="D2852" t="s">
        <v>4521</v>
      </c>
      <c r="E2852" t="s">
        <v>425</v>
      </c>
    </row>
    <row r="2853" spans="2:5">
      <c r="B2853" t="s">
        <v>4522</v>
      </c>
      <c r="C2853">
        <v>508875</v>
      </c>
      <c r="D2853" t="s">
        <v>339</v>
      </c>
      <c r="E2853" t="s">
        <v>760</v>
      </c>
    </row>
    <row r="2854" spans="2:5">
      <c r="B2854" t="s">
        <v>4523</v>
      </c>
      <c r="C2854">
        <v>532854</v>
      </c>
      <c r="D2854" t="s">
        <v>4524</v>
      </c>
      <c r="E2854" t="s">
        <v>347</v>
      </c>
    </row>
    <row r="2855" spans="2:5">
      <c r="B2855" t="s">
        <v>4525</v>
      </c>
      <c r="C2855">
        <v>532698</v>
      </c>
      <c r="D2855" t="s">
        <v>4526</v>
      </c>
      <c r="E2855" t="s">
        <v>354</v>
      </c>
    </row>
    <row r="2856" spans="2:5">
      <c r="B2856" t="s">
        <v>4527</v>
      </c>
      <c r="C2856" t="s">
        <v>339</v>
      </c>
      <c r="D2856" t="s">
        <v>4528</v>
      </c>
      <c r="E2856" t="s">
        <v>350</v>
      </c>
    </row>
    <row r="2857" spans="2:5">
      <c r="B2857" t="s">
        <v>4529</v>
      </c>
      <c r="C2857">
        <v>506532</v>
      </c>
      <c r="D2857" t="s">
        <v>339</v>
      </c>
      <c r="E2857" t="s">
        <v>499</v>
      </c>
    </row>
    <row r="2858" spans="2:5">
      <c r="B2858" t="s">
        <v>4530</v>
      </c>
      <c r="C2858">
        <v>506532</v>
      </c>
      <c r="D2858" t="s">
        <v>339</v>
      </c>
      <c r="E2858" t="s">
        <v>499</v>
      </c>
    </row>
    <row r="2859" spans="2:5">
      <c r="B2859" t="s">
        <v>4531</v>
      </c>
      <c r="C2859">
        <v>512381</v>
      </c>
      <c r="D2859" t="s">
        <v>339</v>
      </c>
      <c r="E2859" t="s">
        <v>361</v>
      </c>
    </row>
    <row r="2860" spans="2:5">
      <c r="B2860" t="s">
        <v>4532</v>
      </c>
      <c r="C2860">
        <v>512245</v>
      </c>
      <c r="D2860" t="s">
        <v>339</v>
      </c>
      <c r="E2860" t="s">
        <v>760</v>
      </c>
    </row>
    <row r="2861" spans="2:5">
      <c r="B2861" t="s">
        <v>4533</v>
      </c>
      <c r="C2861">
        <v>538772</v>
      </c>
      <c r="D2861" t="s">
        <v>339</v>
      </c>
      <c r="E2861" t="s">
        <v>356</v>
      </c>
    </row>
    <row r="2862" spans="2:5">
      <c r="B2862" t="s">
        <v>4534</v>
      </c>
      <c r="C2862">
        <v>519494</v>
      </c>
      <c r="D2862" t="s">
        <v>4535</v>
      </c>
      <c r="E2862" t="s">
        <v>588</v>
      </c>
    </row>
    <row r="2863" spans="2:5">
      <c r="B2863" t="s">
        <v>4536</v>
      </c>
      <c r="C2863">
        <v>513683</v>
      </c>
      <c r="D2863" t="s">
        <v>4537</v>
      </c>
      <c r="E2863" t="s">
        <v>478</v>
      </c>
    </row>
    <row r="2864" spans="2:5">
      <c r="B2864" t="s">
        <v>4538</v>
      </c>
      <c r="C2864">
        <v>513683</v>
      </c>
      <c r="D2864" t="s">
        <v>4539</v>
      </c>
      <c r="E2864" t="s">
        <v>478</v>
      </c>
    </row>
    <row r="2865" spans="2:5">
      <c r="B2865" t="s">
        <v>4540</v>
      </c>
      <c r="C2865">
        <v>526371</v>
      </c>
      <c r="D2865" t="s">
        <v>4541</v>
      </c>
      <c r="E2865" t="s">
        <v>319</v>
      </c>
    </row>
    <row r="2866" spans="2:5">
      <c r="B2866" t="s">
        <v>4542</v>
      </c>
      <c r="C2866">
        <v>500730</v>
      </c>
      <c r="D2866" t="s">
        <v>4543</v>
      </c>
      <c r="E2866" t="s">
        <v>499</v>
      </c>
    </row>
    <row r="2867" spans="2:5">
      <c r="B2867" t="s">
        <v>4544</v>
      </c>
      <c r="C2867">
        <v>532481</v>
      </c>
      <c r="D2867" t="s">
        <v>4545</v>
      </c>
      <c r="E2867" t="s">
        <v>934</v>
      </c>
    </row>
    <row r="2868" spans="2:5">
      <c r="B2868" t="s">
        <v>4546</v>
      </c>
      <c r="C2868" t="s">
        <v>339</v>
      </c>
      <c r="D2868" t="s">
        <v>4547</v>
      </c>
      <c r="E2868" t="s">
        <v>430</v>
      </c>
    </row>
    <row r="2869" spans="2:5">
      <c r="B2869" t="s">
        <v>4548</v>
      </c>
      <c r="C2869">
        <v>524414</v>
      </c>
      <c r="D2869" t="s">
        <v>339</v>
      </c>
      <c r="E2869" t="s">
        <v>361</v>
      </c>
    </row>
    <row r="2870" spans="2:5">
      <c r="B2870" t="s">
        <v>4549</v>
      </c>
      <c r="C2870">
        <v>534615</v>
      </c>
      <c r="D2870" t="s">
        <v>4550</v>
      </c>
      <c r="E2870" t="s">
        <v>660</v>
      </c>
    </row>
    <row r="2871" spans="2:5">
      <c r="B2871" t="s">
        <v>4551</v>
      </c>
      <c r="C2871">
        <v>542628</v>
      </c>
      <c r="D2871" t="s">
        <v>4552</v>
      </c>
      <c r="E2871" t="s">
        <v>705</v>
      </c>
    </row>
    <row r="2872" spans="2:5">
      <c r="B2872" t="s">
        <v>4553</v>
      </c>
      <c r="C2872">
        <v>539110</v>
      </c>
      <c r="D2872" t="s">
        <v>339</v>
      </c>
      <c r="E2872" t="s">
        <v>356</v>
      </c>
    </row>
    <row r="2873" spans="2:5">
      <c r="B2873" t="s">
        <v>4554</v>
      </c>
      <c r="C2873">
        <v>540698</v>
      </c>
      <c r="D2873" t="s">
        <v>339</v>
      </c>
      <c r="E2873" t="s">
        <v>361</v>
      </c>
    </row>
    <row r="2874" spans="2:5">
      <c r="B2874" t="s">
        <v>4555</v>
      </c>
      <c r="C2874">
        <v>531465</v>
      </c>
      <c r="D2874" t="s">
        <v>339</v>
      </c>
      <c r="E2874" t="s">
        <v>361</v>
      </c>
    </row>
    <row r="2875" spans="2:5">
      <c r="B2875" t="s">
        <v>4556</v>
      </c>
      <c r="C2875">
        <v>513566</v>
      </c>
      <c r="D2875" t="s">
        <v>339</v>
      </c>
      <c r="E2875" t="s">
        <v>371</v>
      </c>
    </row>
    <row r="2876" spans="2:5">
      <c r="B2876" t="s">
        <v>4557</v>
      </c>
      <c r="C2876">
        <v>530733</v>
      </c>
      <c r="D2876" t="s">
        <v>339</v>
      </c>
      <c r="E2876" t="s">
        <v>863</v>
      </c>
    </row>
    <row r="2877" spans="2:5">
      <c r="B2877" t="s">
        <v>4558</v>
      </c>
      <c r="C2877">
        <v>530733</v>
      </c>
      <c r="D2877" t="s">
        <v>339</v>
      </c>
      <c r="E2877" t="s">
        <v>863</v>
      </c>
    </row>
    <row r="2878" spans="2:5">
      <c r="B2878" t="s">
        <v>4559</v>
      </c>
      <c r="C2878">
        <v>500672</v>
      </c>
      <c r="D2878" t="s">
        <v>339</v>
      </c>
      <c r="E2878" t="s">
        <v>377</v>
      </c>
    </row>
    <row r="2879" spans="2:5">
      <c r="B2879" t="s">
        <v>4560</v>
      </c>
      <c r="C2879">
        <v>500672</v>
      </c>
      <c r="D2879" t="s">
        <v>339</v>
      </c>
      <c r="E2879" t="s">
        <v>377</v>
      </c>
    </row>
    <row r="2880" spans="2:5">
      <c r="B2880" t="s">
        <v>4561</v>
      </c>
      <c r="C2880">
        <v>530127</v>
      </c>
      <c r="D2880" t="s">
        <v>339</v>
      </c>
      <c r="E2880" t="s">
        <v>322</v>
      </c>
    </row>
    <row r="2881" spans="2:5">
      <c r="B2881" t="s">
        <v>4562</v>
      </c>
      <c r="C2881">
        <v>530367</v>
      </c>
      <c r="D2881" t="s">
        <v>4563</v>
      </c>
      <c r="E2881" t="s">
        <v>347</v>
      </c>
    </row>
    <row r="2882" spans="2:5">
      <c r="B2882" t="s">
        <v>4564</v>
      </c>
      <c r="C2882">
        <v>535458</v>
      </c>
      <c r="D2882" t="s">
        <v>4565</v>
      </c>
      <c r="E2882" t="s">
        <v>524</v>
      </c>
    </row>
    <row r="2883" spans="2:5">
      <c r="B2883" t="s">
        <v>4566</v>
      </c>
      <c r="C2883">
        <v>526723</v>
      </c>
      <c r="D2883" t="s">
        <v>339</v>
      </c>
      <c r="E2883" t="s">
        <v>2509</v>
      </c>
    </row>
    <row r="2884" spans="2:5">
      <c r="B2884" t="s">
        <v>4567</v>
      </c>
      <c r="C2884">
        <v>532555</v>
      </c>
      <c r="D2884" t="s">
        <v>4568</v>
      </c>
      <c r="E2884" t="s">
        <v>478</v>
      </c>
    </row>
    <row r="2885" spans="2:5">
      <c r="B2885" t="s">
        <v>4569</v>
      </c>
      <c r="C2885">
        <v>533015</v>
      </c>
      <c r="D2885" t="s">
        <v>4570</v>
      </c>
      <c r="E2885" t="s">
        <v>1285</v>
      </c>
    </row>
    <row r="2886" spans="2:5">
      <c r="B2886" t="s">
        <v>4571</v>
      </c>
      <c r="C2886">
        <v>533015</v>
      </c>
      <c r="D2886" t="s">
        <v>4570</v>
      </c>
      <c r="E2886" t="s">
        <v>1285</v>
      </c>
    </row>
    <row r="2887" spans="2:5">
      <c r="B2887" t="s">
        <v>4572</v>
      </c>
      <c r="C2887">
        <v>531209</v>
      </c>
      <c r="D2887" t="s">
        <v>4573</v>
      </c>
      <c r="E2887" t="s">
        <v>432</v>
      </c>
    </row>
    <row r="2888" spans="2:5">
      <c r="B2888" t="s">
        <v>4574</v>
      </c>
      <c r="C2888">
        <v>531304</v>
      </c>
      <c r="D2888" t="s">
        <v>339</v>
      </c>
      <c r="E2888" t="s">
        <v>354</v>
      </c>
    </row>
    <row r="2889" spans="2:5">
      <c r="B2889" t="s">
        <v>4575</v>
      </c>
      <c r="C2889">
        <v>524764</v>
      </c>
      <c r="D2889" t="s">
        <v>339</v>
      </c>
      <c r="E2889" t="s">
        <v>387</v>
      </c>
    </row>
    <row r="2890" spans="2:5">
      <c r="B2890" t="s">
        <v>4576</v>
      </c>
      <c r="C2890">
        <v>524764</v>
      </c>
      <c r="D2890" t="s">
        <v>339</v>
      </c>
      <c r="E2890" t="s">
        <v>387</v>
      </c>
    </row>
    <row r="2891" spans="2:5">
      <c r="B2891" t="s">
        <v>4577</v>
      </c>
      <c r="C2891">
        <v>530219</v>
      </c>
      <c r="D2891" t="s">
        <v>339</v>
      </c>
      <c r="E2891" t="s">
        <v>453</v>
      </c>
    </row>
    <row r="2892" spans="2:5">
      <c r="B2892" t="s">
        <v>4578</v>
      </c>
      <c r="C2892">
        <v>531819</v>
      </c>
      <c r="D2892" t="s">
        <v>339</v>
      </c>
      <c r="E2892" t="s">
        <v>361</v>
      </c>
    </row>
    <row r="2893" spans="2:5">
      <c r="B2893" t="s">
        <v>4579</v>
      </c>
      <c r="C2893">
        <v>531819</v>
      </c>
      <c r="D2893" t="s">
        <v>339</v>
      </c>
      <c r="E2893" t="s">
        <v>361</v>
      </c>
    </row>
    <row r="2894" spans="2:5">
      <c r="B2894" t="s">
        <v>4580</v>
      </c>
      <c r="C2894">
        <v>504378</v>
      </c>
      <c r="D2894" t="s">
        <v>339</v>
      </c>
      <c r="E2894" t="s">
        <v>361</v>
      </c>
    </row>
    <row r="2895" spans="2:5">
      <c r="B2895" t="s">
        <v>4581</v>
      </c>
      <c r="C2895">
        <v>539116</v>
      </c>
      <c r="D2895" t="s">
        <v>339</v>
      </c>
      <c r="E2895" t="s">
        <v>361</v>
      </c>
    </row>
    <row r="2896" spans="2:5">
      <c r="B2896" t="s">
        <v>4582</v>
      </c>
      <c r="C2896">
        <v>512489</v>
      </c>
      <c r="D2896" t="s">
        <v>339</v>
      </c>
      <c r="E2896" t="s">
        <v>356</v>
      </c>
    </row>
    <row r="2897" spans="2:5">
      <c r="B2897" t="s">
        <v>4583</v>
      </c>
      <c r="C2897">
        <v>538547</v>
      </c>
      <c r="D2897" t="s">
        <v>339</v>
      </c>
      <c r="E2897" t="s">
        <v>588</v>
      </c>
    </row>
    <row r="2898" spans="2:5">
      <c r="B2898" t="s">
        <v>4584</v>
      </c>
      <c r="C2898">
        <v>533273</v>
      </c>
      <c r="D2898" t="s">
        <v>4585</v>
      </c>
      <c r="E2898" t="s">
        <v>425</v>
      </c>
    </row>
    <row r="2899" spans="2:5">
      <c r="B2899" t="s">
        <v>4586</v>
      </c>
      <c r="C2899">
        <v>535657</v>
      </c>
      <c r="D2899" t="s">
        <v>339</v>
      </c>
      <c r="E2899" t="s">
        <v>325</v>
      </c>
    </row>
    <row r="2900" spans="2:5">
      <c r="B2900" t="s">
        <v>4587</v>
      </c>
      <c r="C2900">
        <v>519491</v>
      </c>
      <c r="D2900" t="s">
        <v>339</v>
      </c>
      <c r="E2900" t="s">
        <v>534</v>
      </c>
    </row>
    <row r="2901" spans="2:5">
      <c r="B2901" t="s">
        <v>4588</v>
      </c>
      <c r="C2901">
        <v>519491</v>
      </c>
      <c r="D2901" t="s">
        <v>339</v>
      </c>
      <c r="E2901" t="s">
        <v>534</v>
      </c>
    </row>
    <row r="2902" spans="2:5">
      <c r="B2902" t="s">
        <v>4589</v>
      </c>
      <c r="C2902">
        <v>538019</v>
      </c>
      <c r="D2902" t="s">
        <v>339</v>
      </c>
      <c r="E2902" t="s">
        <v>419</v>
      </c>
    </row>
    <row r="2903" spans="2:5">
      <c r="B2903" t="s">
        <v>4590</v>
      </c>
      <c r="C2903">
        <v>540405</v>
      </c>
      <c r="D2903" t="s">
        <v>339</v>
      </c>
      <c r="E2903" t="s">
        <v>419</v>
      </c>
    </row>
    <row r="2904" spans="2:5">
      <c r="B2904" t="s">
        <v>4591</v>
      </c>
      <c r="C2904">
        <v>533008</v>
      </c>
      <c r="D2904" t="s">
        <v>4592</v>
      </c>
      <c r="E2904" t="s">
        <v>371</v>
      </c>
    </row>
    <row r="2905" spans="2:5">
      <c r="B2905" t="s">
        <v>4593</v>
      </c>
      <c r="C2905">
        <v>538894</v>
      </c>
      <c r="D2905" t="s">
        <v>339</v>
      </c>
      <c r="E2905" t="s">
        <v>322</v>
      </c>
    </row>
    <row r="2906" spans="2:5">
      <c r="B2906" t="s">
        <v>4594</v>
      </c>
      <c r="C2906">
        <v>540416</v>
      </c>
      <c r="D2906" t="s">
        <v>339</v>
      </c>
      <c r="E2906" t="s">
        <v>345</v>
      </c>
    </row>
    <row r="2907" spans="2:5">
      <c r="B2907" t="s">
        <v>4595</v>
      </c>
      <c r="C2907">
        <v>531996</v>
      </c>
      <c r="D2907" t="s">
        <v>339</v>
      </c>
      <c r="E2907" t="s">
        <v>356</v>
      </c>
    </row>
    <row r="2908" spans="2:5">
      <c r="B2908" t="s">
        <v>4596</v>
      </c>
      <c r="C2908">
        <v>530175</v>
      </c>
      <c r="D2908" t="s">
        <v>339</v>
      </c>
      <c r="E2908" t="s">
        <v>432</v>
      </c>
    </row>
    <row r="2909" spans="2:5">
      <c r="B2909" t="s">
        <v>4597</v>
      </c>
      <c r="C2909">
        <v>539570</v>
      </c>
      <c r="D2909" t="s">
        <v>339</v>
      </c>
      <c r="E2909" t="s">
        <v>325</v>
      </c>
    </row>
    <row r="2910" spans="2:5">
      <c r="B2910" t="s">
        <v>4598</v>
      </c>
      <c r="C2910">
        <v>500312</v>
      </c>
      <c r="D2910" t="s">
        <v>4599</v>
      </c>
      <c r="E2910" t="s">
        <v>402</v>
      </c>
    </row>
    <row r="2911" spans="2:5">
      <c r="B2911" t="s">
        <v>4600</v>
      </c>
      <c r="C2911">
        <v>533106</v>
      </c>
      <c r="D2911" t="s">
        <v>4601</v>
      </c>
      <c r="E2911" t="s">
        <v>402</v>
      </c>
    </row>
    <row r="2912" spans="2:5">
      <c r="B2912" t="s">
        <v>4602</v>
      </c>
      <c r="C2912">
        <v>500313</v>
      </c>
      <c r="D2912" t="s">
        <v>4603</v>
      </c>
      <c r="E2912" t="s">
        <v>680</v>
      </c>
    </row>
    <row r="2913" spans="2:5">
      <c r="B2913" t="s">
        <v>4604</v>
      </c>
      <c r="C2913">
        <v>533106</v>
      </c>
      <c r="D2913" t="s">
        <v>4601</v>
      </c>
      <c r="E2913" t="s">
        <v>402</v>
      </c>
    </row>
    <row r="2914" spans="2:5">
      <c r="B2914" t="s">
        <v>4605</v>
      </c>
      <c r="C2914">
        <v>526415</v>
      </c>
      <c r="D2914" t="s">
        <v>339</v>
      </c>
      <c r="E2914" t="s">
        <v>837</v>
      </c>
    </row>
    <row r="2915" spans="2:5">
      <c r="B2915" t="s">
        <v>4606</v>
      </c>
      <c r="C2915">
        <v>526415</v>
      </c>
      <c r="D2915" t="s">
        <v>339</v>
      </c>
      <c r="E2915" t="s">
        <v>837</v>
      </c>
    </row>
    <row r="2916" spans="2:5">
      <c r="B2916" t="s">
        <v>4607</v>
      </c>
      <c r="C2916">
        <v>532439</v>
      </c>
      <c r="D2916" t="s">
        <v>4608</v>
      </c>
      <c r="E2916" t="s">
        <v>347</v>
      </c>
    </row>
    <row r="2917" spans="2:5">
      <c r="B2917" t="s">
        <v>4609</v>
      </c>
      <c r="C2917">
        <v>521105</v>
      </c>
      <c r="D2917" t="s">
        <v>339</v>
      </c>
      <c r="E2917" t="s">
        <v>3098</v>
      </c>
    </row>
    <row r="2918" spans="2:5">
      <c r="B2918" t="s">
        <v>4610</v>
      </c>
      <c r="C2918">
        <v>534190</v>
      </c>
      <c r="D2918" t="s">
        <v>339</v>
      </c>
      <c r="E2918" t="s">
        <v>837</v>
      </c>
    </row>
    <row r="2919" spans="2:5">
      <c r="B2919" t="s">
        <v>4611</v>
      </c>
      <c r="C2919">
        <v>507609</v>
      </c>
      <c r="D2919" t="s">
        <v>339</v>
      </c>
      <c r="E2919" t="s">
        <v>537</v>
      </c>
    </row>
    <row r="2920" spans="2:5">
      <c r="B2920" t="s">
        <v>4612</v>
      </c>
      <c r="C2920">
        <v>531092</v>
      </c>
      <c r="D2920" t="s">
        <v>4613</v>
      </c>
      <c r="E2920" t="s">
        <v>737</v>
      </c>
    </row>
    <row r="2921" spans="2:5">
      <c r="B2921" t="s">
        <v>4614</v>
      </c>
      <c r="C2921">
        <v>538537</v>
      </c>
      <c r="D2921" t="s">
        <v>339</v>
      </c>
      <c r="E2921" t="s">
        <v>361</v>
      </c>
    </row>
    <row r="2922" spans="2:5">
      <c r="B2922" t="s">
        <v>4615</v>
      </c>
      <c r="C2922">
        <v>520021</v>
      </c>
      <c r="D2922" t="s">
        <v>4616</v>
      </c>
      <c r="E2922" t="s">
        <v>694</v>
      </c>
    </row>
    <row r="2923" spans="2:5">
      <c r="B2923" t="s">
        <v>4617</v>
      </c>
      <c r="C2923">
        <v>532880</v>
      </c>
      <c r="D2923" t="s">
        <v>4618</v>
      </c>
      <c r="E2923" t="s">
        <v>425</v>
      </c>
    </row>
    <row r="2924" spans="2:5">
      <c r="B2924" t="s">
        <v>4619</v>
      </c>
      <c r="C2924" t="s">
        <v>339</v>
      </c>
      <c r="D2924" t="s">
        <v>4620</v>
      </c>
      <c r="E2924" t="s">
        <v>350</v>
      </c>
    </row>
    <row r="2925" spans="2:5">
      <c r="B2925" t="s">
        <v>4621</v>
      </c>
      <c r="C2925" t="s">
        <v>339</v>
      </c>
      <c r="D2925" t="s">
        <v>4620</v>
      </c>
      <c r="E2925" t="s">
        <v>350</v>
      </c>
    </row>
    <row r="2926" spans="2:5">
      <c r="B2926" t="s">
        <v>4622</v>
      </c>
      <c r="C2926">
        <v>531496</v>
      </c>
      <c r="D2926" t="s">
        <v>339</v>
      </c>
      <c r="E2926" t="s">
        <v>354</v>
      </c>
    </row>
    <row r="2927" spans="2:5">
      <c r="B2927" t="s">
        <v>4623</v>
      </c>
      <c r="C2927">
        <v>532167</v>
      </c>
      <c r="D2927" t="s">
        <v>339</v>
      </c>
      <c r="E2927" t="s">
        <v>387</v>
      </c>
    </row>
    <row r="2928" spans="2:5">
      <c r="B2928" t="s">
        <v>4624</v>
      </c>
      <c r="C2928">
        <v>533317</v>
      </c>
      <c r="D2928" t="s">
        <v>4625</v>
      </c>
      <c r="E2928" t="s">
        <v>499</v>
      </c>
    </row>
    <row r="2929" spans="2:5">
      <c r="B2929" t="s">
        <v>4626</v>
      </c>
      <c r="C2929">
        <v>532340</v>
      </c>
      <c r="D2929" t="s">
        <v>339</v>
      </c>
      <c r="E2929" t="s">
        <v>432</v>
      </c>
    </row>
    <row r="2930" spans="2:5">
      <c r="B2930" t="s">
        <v>4627</v>
      </c>
      <c r="C2930">
        <v>514324</v>
      </c>
      <c r="D2930" t="s">
        <v>339</v>
      </c>
      <c r="E2930" t="s">
        <v>354</v>
      </c>
    </row>
    <row r="2931" spans="2:5">
      <c r="B2931" t="s">
        <v>4628</v>
      </c>
      <c r="C2931">
        <v>514324</v>
      </c>
      <c r="D2931" t="s">
        <v>339</v>
      </c>
      <c r="E2931" t="s">
        <v>354</v>
      </c>
    </row>
    <row r="2932" spans="2:5">
      <c r="B2932" t="s">
        <v>4629</v>
      </c>
      <c r="C2932" t="s">
        <v>339</v>
      </c>
      <c r="D2932" t="s">
        <v>4630</v>
      </c>
      <c r="E2932" t="s">
        <v>350</v>
      </c>
    </row>
    <row r="2933" spans="2:5">
      <c r="B2933" t="s">
        <v>4631</v>
      </c>
      <c r="C2933">
        <v>533632</v>
      </c>
      <c r="D2933" t="s">
        <v>4632</v>
      </c>
      <c r="E2933" t="s">
        <v>359</v>
      </c>
    </row>
    <row r="2934" spans="2:5">
      <c r="B2934" t="s">
        <v>4633</v>
      </c>
      <c r="C2934">
        <v>530805</v>
      </c>
      <c r="D2934" t="s">
        <v>339</v>
      </c>
      <c r="E2934" t="s">
        <v>423</v>
      </c>
    </row>
    <row r="2935" spans="2:5">
      <c r="B2935" t="s">
        <v>4634</v>
      </c>
      <c r="C2935">
        <v>535647</v>
      </c>
      <c r="D2935" t="s">
        <v>339</v>
      </c>
      <c r="E2935" t="s">
        <v>342</v>
      </c>
    </row>
    <row r="2936" spans="2:5">
      <c r="B2936" t="s">
        <v>4635</v>
      </c>
      <c r="C2936">
        <v>532944</v>
      </c>
      <c r="D2936" t="s">
        <v>4636</v>
      </c>
      <c r="E2936" t="s">
        <v>1285</v>
      </c>
    </row>
    <row r="2937" spans="2:5">
      <c r="B2937" t="s">
        <v>4637</v>
      </c>
      <c r="C2937">
        <v>540386</v>
      </c>
      <c r="D2937" t="s">
        <v>339</v>
      </c>
      <c r="E2937" t="s">
        <v>322</v>
      </c>
    </row>
    <row r="2938" spans="2:5">
      <c r="B2938" t="s">
        <v>4638</v>
      </c>
      <c r="C2938">
        <v>517536</v>
      </c>
      <c r="D2938" t="s">
        <v>4639</v>
      </c>
      <c r="E2938" t="s">
        <v>325</v>
      </c>
    </row>
    <row r="2939" spans="2:5">
      <c r="B2939" t="s">
        <v>4640</v>
      </c>
      <c r="C2939" t="s">
        <v>339</v>
      </c>
      <c r="D2939" t="s">
        <v>4641</v>
      </c>
      <c r="E2939" t="s">
        <v>350</v>
      </c>
    </row>
    <row r="2940" spans="2:5">
      <c r="B2940" t="s">
        <v>4642</v>
      </c>
      <c r="C2940">
        <v>530135</v>
      </c>
      <c r="D2940" t="s">
        <v>4643</v>
      </c>
      <c r="E2940" t="s">
        <v>373</v>
      </c>
    </row>
    <row r="2941" spans="2:5">
      <c r="B2941" t="s">
        <v>4644</v>
      </c>
      <c r="C2941">
        <v>531254</v>
      </c>
      <c r="D2941" t="s">
        <v>339</v>
      </c>
      <c r="E2941" t="s">
        <v>356</v>
      </c>
    </row>
    <row r="2942" spans="2:5">
      <c r="B2942" t="s">
        <v>4645</v>
      </c>
      <c r="C2942">
        <v>532391</v>
      </c>
      <c r="D2942" t="s">
        <v>4646</v>
      </c>
      <c r="E2942" t="s">
        <v>1505</v>
      </c>
    </row>
    <row r="2943" spans="2:5">
      <c r="B2943" t="s">
        <v>4647</v>
      </c>
      <c r="C2943">
        <v>532391</v>
      </c>
      <c r="D2943" t="s">
        <v>4646</v>
      </c>
      <c r="E2943" t="s">
        <v>1505</v>
      </c>
    </row>
    <row r="2944" spans="2:5">
      <c r="B2944" t="s">
        <v>4648</v>
      </c>
      <c r="C2944">
        <v>539598</v>
      </c>
      <c r="D2944" t="s">
        <v>339</v>
      </c>
      <c r="E2944" t="s">
        <v>356</v>
      </c>
    </row>
    <row r="2945" spans="2:5">
      <c r="B2945" t="s">
        <v>4649</v>
      </c>
      <c r="C2945">
        <v>532466</v>
      </c>
      <c r="D2945" t="s">
        <v>4650</v>
      </c>
      <c r="E2945" t="s">
        <v>325</v>
      </c>
    </row>
    <row r="2946" spans="2:5">
      <c r="B2946" t="s">
        <v>4651</v>
      </c>
      <c r="C2946">
        <v>512626</v>
      </c>
      <c r="D2946" t="s">
        <v>4652</v>
      </c>
      <c r="E2946" t="s">
        <v>354</v>
      </c>
    </row>
    <row r="2947" spans="2:5">
      <c r="B2947" t="s">
        <v>4653</v>
      </c>
      <c r="C2947">
        <v>524372</v>
      </c>
      <c r="D2947" t="s">
        <v>4654</v>
      </c>
      <c r="E2947" t="s">
        <v>377</v>
      </c>
    </row>
    <row r="2948" spans="2:5">
      <c r="B2948" t="s">
        <v>4655</v>
      </c>
      <c r="C2948">
        <v>531157</v>
      </c>
      <c r="D2948" t="s">
        <v>339</v>
      </c>
      <c r="E2948" t="s">
        <v>499</v>
      </c>
    </row>
    <row r="2949" spans="2:5">
      <c r="B2949" t="s">
        <v>4656</v>
      </c>
      <c r="C2949">
        <v>513121</v>
      </c>
      <c r="D2949" t="s">
        <v>4657</v>
      </c>
      <c r="E2949" t="s">
        <v>499</v>
      </c>
    </row>
    <row r="2950" spans="2:5">
      <c r="B2950" t="s">
        <v>4658</v>
      </c>
      <c r="C2950">
        <v>504879</v>
      </c>
      <c r="D2950" t="s">
        <v>4659</v>
      </c>
      <c r="E2950" t="s">
        <v>1258</v>
      </c>
    </row>
    <row r="2951" spans="2:5">
      <c r="B2951" t="s">
        <v>4660</v>
      </c>
      <c r="C2951">
        <v>530365</v>
      </c>
      <c r="D2951" t="s">
        <v>4661</v>
      </c>
      <c r="E2951" t="s">
        <v>616</v>
      </c>
    </row>
    <row r="2952" spans="2:5">
      <c r="B2952" t="s">
        <v>4662</v>
      </c>
      <c r="C2952">
        <v>507690</v>
      </c>
      <c r="D2952" t="s">
        <v>339</v>
      </c>
      <c r="E2952" t="s">
        <v>774</v>
      </c>
    </row>
    <row r="2953" spans="2:5">
      <c r="B2953" t="s">
        <v>4663</v>
      </c>
      <c r="C2953">
        <v>535754</v>
      </c>
      <c r="D2953" t="s">
        <v>4664</v>
      </c>
      <c r="E2953" t="s">
        <v>352</v>
      </c>
    </row>
    <row r="2954" spans="2:5">
      <c r="B2954" t="s">
        <v>4665</v>
      </c>
      <c r="C2954">
        <v>541301</v>
      </c>
      <c r="D2954" t="s">
        <v>4666</v>
      </c>
      <c r="E2954" t="s">
        <v>708</v>
      </c>
    </row>
    <row r="2955" spans="2:5">
      <c r="B2955" t="s">
        <v>4667</v>
      </c>
      <c r="C2955">
        <v>533263</v>
      </c>
      <c r="D2955" t="s">
        <v>4668</v>
      </c>
      <c r="E2955" t="s">
        <v>478</v>
      </c>
    </row>
    <row r="2956" spans="2:5">
      <c r="B2956" t="s">
        <v>4669</v>
      </c>
      <c r="C2956">
        <v>502420</v>
      </c>
      <c r="D2956" t="s">
        <v>4670</v>
      </c>
      <c r="E2956" t="s">
        <v>333</v>
      </c>
    </row>
    <row r="2957" spans="2:5">
      <c r="B2957" t="s">
        <v>4671</v>
      </c>
      <c r="C2957">
        <v>526325</v>
      </c>
      <c r="D2957" t="s">
        <v>4672</v>
      </c>
      <c r="E2957" t="s">
        <v>534</v>
      </c>
    </row>
    <row r="2958" spans="2:5">
      <c r="B2958" t="s">
        <v>4673</v>
      </c>
      <c r="C2958">
        <v>534076</v>
      </c>
      <c r="D2958" t="s">
        <v>4674</v>
      </c>
      <c r="E2958" t="s">
        <v>524</v>
      </c>
    </row>
    <row r="2959" spans="2:5">
      <c r="B2959" t="s">
        <v>4675</v>
      </c>
      <c r="C2959">
        <v>531512</v>
      </c>
      <c r="D2959" t="s">
        <v>339</v>
      </c>
      <c r="E2959" t="s">
        <v>342</v>
      </c>
    </row>
    <row r="2960" spans="2:5">
      <c r="B2960" t="s">
        <v>4676</v>
      </c>
      <c r="C2960">
        <v>500078</v>
      </c>
      <c r="D2960" t="s">
        <v>339</v>
      </c>
      <c r="E2960" t="s">
        <v>387</v>
      </c>
    </row>
    <row r="2961" spans="2:5">
      <c r="B2961" t="s">
        <v>4677</v>
      </c>
      <c r="C2961">
        <v>500315</v>
      </c>
      <c r="D2961" t="s">
        <v>4678</v>
      </c>
      <c r="E2961" t="s">
        <v>657</v>
      </c>
    </row>
    <row r="2962" spans="2:5">
      <c r="B2962" t="s">
        <v>4679</v>
      </c>
      <c r="C2962">
        <v>506579</v>
      </c>
      <c r="D2962" t="s">
        <v>4680</v>
      </c>
      <c r="E2962" t="s">
        <v>387</v>
      </c>
    </row>
    <row r="2963" spans="2:5">
      <c r="B2963" t="s">
        <v>4681</v>
      </c>
      <c r="C2963">
        <v>500314</v>
      </c>
      <c r="D2963" t="s">
        <v>4682</v>
      </c>
      <c r="E2963" t="s">
        <v>540</v>
      </c>
    </row>
    <row r="2964" spans="2:5">
      <c r="B2964" t="s">
        <v>4683</v>
      </c>
      <c r="C2964">
        <v>532817</v>
      </c>
      <c r="D2964" t="s">
        <v>4684</v>
      </c>
      <c r="E2964" t="s">
        <v>867</v>
      </c>
    </row>
    <row r="2965" spans="2:5">
      <c r="B2965" t="s">
        <v>4685</v>
      </c>
      <c r="C2965">
        <v>531859</v>
      </c>
      <c r="D2965" t="s">
        <v>339</v>
      </c>
      <c r="E2965" t="s">
        <v>1258</v>
      </c>
    </row>
    <row r="2966" spans="2:5">
      <c r="B2966" t="s">
        <v>4686</v>
      </c>
      <c r="C2966">
        <v>541206</v>
      </c>
      <c r="D2966" t="s">
        <v>339</v>
      </c>
      <c r="E2966" t="s">
        <v>660</v>
      </c>
    </row>
    <row r="2967" spans="2:5">
      <c r="B2967" t="s">
        <v>4687</v>
      </c>
      <c r="C2967">
        <v>531626</v>
      </c>
      <c r="D2967" t="s">
        <v>339</v>
      </c>
      <c r="E2967" t="s">
        <v>453</v>
      </c>
    </row>
    <row r="2968" spans="2:5">
      <c r="B2968" t="s">
        <v>4688</v>
      </c>
      <c r="C2968">
        <v>531626</v>
      </c>
      <c r="D2968" t="s">
        <v>339</v>
      </c>
      <c r="E2968" t="s">
        <v>453</v>
      </c>
    </row>
    <row r="2969" spans="2:5">
      <c r="B2969" t="s">
        <v>4689</v>
      </c>
      <c r="C2969">
        <v>539015</v>
      </c>
      <c r="D2969" t="s">
        <v>4690</v>
      </c>
      <c r="E2969" t="s">
        <v>1077</v>
      </c>
    </row>
    <row r="2970" spans="2:5">
      <c r="B2970" t="s">
        <v>4691</v>
      </c>
      <c r="C2970">
        <v>539287</v>
      </c>
      <c r="D2970" t="s">
        <v>4692</v>
      </c>
      <c r="E2970" t="s">
        <v>377</v>
      </c>
    </row>
    <row r="2971" spans="2:5">
      <c r="B2971" t="s">
        <v>4693</v>
      </c>
      <c r="C2971">
        <v>530173</v>
      </c>
      <c r="D2971" t="s">
        <v>339</v>
      </c>
      <c r="E2971" t="s">
        <v>453</v>
      </c>
    </row>
    <row r="2972" spans="2:5">
      <c r="B2972" t="s">
        <v>4694</v>
      </c>
      <c r="C2972">
        <v>501179</v>
      </c>
      <c r="D2972" t="s">
        <v>339</v>
      </c>
      <c r="E2972" t="s">
        <v>359</v>
      </c>
    </row>
    <row r="2973" spans="2:5">
      <c r="B2973" t="s">
        <v>4695</v>
      </c>
      <c r="C2973">
        <v>509782</v>
      </c>
      <c r="D2973" t="s">
        <v>339</v>
      </c>
      <c r="E2973" t="s">
        <v>760</v>
      </c>
    </row>
    <row r="2974" spans="2:5">
      <c r="B2974" t="s">
        <v>4696</v>
      </c>
      <c r="C2974">
        <v>540198</v>
      </c>
      <c r="D2974" t="s">
        <v>339</v>
      </c>
      <c r="E2974" t="s">
        <v>354</v>
      </c>
    </row>
    <row r="2975" spans="2:5">
      <c r="B2975" t="s">
        <v>4697</v>
      </c>
      <c r="C2975">
        <v>500317</v>
      </c>
      <c r="D2975" t="s">
        <v>4698</v>
      </c>
      <c r="E2975" t="s">
        <v>359</v>
      </c>
    </row>
    <row r="2976" spans="2:5">
      <c r="B2976" t="s">
        <v>4699</v>
      </c>
      <c r="C2976">
        <v>539290</v>
      </c>
      <c r="D2976" t="s">
        <v>4700</v>
      </c>
      <c r="E2976" t="s">
        <v>359</v>
      </c>
    </row>
    <row r="2977" spans="2:5">
      <c r="B2977" t="s">
        <v>4701</v>
      </c>
      <c r="C2977">
        <v>509099</v>
      </c>
      <c r="D2977" t="s">
        <v>339</v>
      </c>
      <c r="E2977" t="s">
        <v>760</v>
      </c>
    </row>
    <row r="2978" spans="2:5">
      <c r="B2978" t="s">
        <v>4702</v>
      </c>
      <c r="C2978">
        <v>531065</v>
      </c>
      <c r="D2978" t="s">
        <v>339</v>
      </c>
      <c r="E2978" t="s">
        <v>1037</v>
      </c>
    </row>
    <row r="2979" spans="2:5">
      <c r="B2979" t="s">
        <v>4703</v>
      </c>
      <c r="C2979">
        <v>514460</v>
      </c>
      <c r="D2979" t="s">
        <v>339</v>
      </c>
      <c r="E2979" t="s">
        <v>361</v>
      </c>
    </row>
    <row r="2980" spans="2:5">
      <c r="B2980" t="s">
        <v>4704</v>
      </c>
      <c r="C2980">
        <v>523151</v>
      </c>
      <c r="D2980" t="s">
        <v>339</v>
      </c>
      <c r="E2980" t="s">
        <v>423</v>
      </c>
    </row>
    <row r="2981" spans="2:5">
      <c r="B2981" t="s">
        <v>4705</v>
      </c>
      <c r="C2981">
        <v>514330</v>
      </c>
      <c r="D2981" t="s">
        <v>339</v>
      </c>
      <c r="E2981" t="s">
        <v>354</v>
      </c>
    </row>
    <row r="2982" spans="2:5">
      <c r="B2982" t="s">
        <v>4706</v>
      </c>
      <c r="C2982">
        <v>530741</v>
      </c>
      <c r="D2982" t="s">
        <v>339</v>
      </c>
      <c r="E2982" t="s">
        <v>419</v>
      </c>
    </row>
    <row r="2983" spans="2:5">
      <c r="B2983" t="s">
        <v>4707</v>
      </c>
      <c r="C2983">
        <v>539291</v>
      </c>
      <c r="D2983" t="s">
        <v>339</v>
      </c>
      <c r="E2983" t="s">
        <v>537</v>
      </c>
    </row>
    <row r="2984" spans="2:5">
      <c r="B2984" t="s">
        <v>4708</v>
      </c>
      <c r="C2984">
        <v>539352</v>
      </c>
      <c r="D2984" t="s">
        <v>339</v>
      </c>
      <c r="E2984" t="s">
        <v>342</v>
      </c>
    </row>
    <row r="2985" spans="2:5">
      <c r="B2985" t="s">
        <v>4709</v>
      </c>
      <c r="C2985">
        <v>513403</v>
      </c>
      <c r="D2985" t="s">
        <v>339</v>
      </c>
      <c r="E2985" t="s">
        <v>371</v>
      </c>
    </row>
    <row r="2986" spans="2:5">
      <c r="B2986" t="s">
        <v>4710</v>
      </c>
      <c r="C2986">
        <v>523862</v>
      </c>
      <c r="D2986" t="s">
        <v>339</v>
      </c>
      <c r="E2986" t="s">
        <v>356</v>
      </c>
    </row>
    <row r="2987" spans="2:5">
      <c r="B2987" t="s">
        <v>4711</v>
      </c>
      <c r="C2987">
        <v>523483</v>
      </c>
      <c r="D2987" t="s">
        <v>339</v>
      </c>
      <c r="E2987" t="s">
        <v>867</v>
      </c>
    </row>
    <row r="2988" spans="2:5">
      <c r="B2988" t="s">
        <v>4712</v>
      </c>
      <c r="C2988">
        <v>538963</v>
      </c>
      <c r="D2988" t="s">
        <v>339</v>
      </c>
      <c r="E2988" t="s">
        <v>662</v>
      </c>
    </row>
    <row r="2989" spans="2:5">
      <c r="B2989" t="s">
        <v>4713</v>
      </c>
      <c r="C2989">
        <v>531395</v>
      </c>
      <c r="D2989" t="s">
        <v>339</v>
      </c>
      <c r="E2989" t="s">
        <v>354</v>
      </c>
    </row>
    <row r="2990" spans="2:5">
      <c r="B2990" t="s">
        <v>4714</v>
      </c>
      <c r="C2990">
        <v>532350</v>
      </c>
      <c r="D2990" t="s">
        <v>339</v>
      </c>
      <c r="E2990" t="s">
        <v>342</v>
      </c>
    </row>
    <row r="2991" spans="2:5">
      <c r="B2991" t="s">
        <v>4715</v>
      </c>
      <c r="C2991">
        <v>526905</v>
      </c>
      <c r="D2991" t="s">
        <v>339</v>
      </c>
      <c r="E2991" t="s">
        <v>387</v>
      </c>
    </row>
    <row r="2992" spans="2:5">
      <c r="B2992" t="s">
        <v>4716</v>
      </c>
      <c r="C2992">
        <v>517230</v>
      </c>
      <c r="D2992" t="s">
        <v>4717</v>
      </c>
      <c r="E2992" t="s">
        <v>361</v>
      </c>
    </row>
    <row r="2993" spans="2:5">
      <c r="B2993" t="s">
        <v>4718</v>
      </c>
      <c r="C2993">
        <v>532827</v>
      </c>
      <c r="D2993" t="s">
        <v>4719</v>
      </c>
      <c r="E2993" t="s">
        <v>453</v>
      </c>
    </row>
    <row r="2994" spans="2:5">
      <c r="B2994" t="s">
        <v>4720</v>
      </c>
      <c r="C2994">
        <v>532900</v>
      </c>
      <c r="D2994" t="s">
        <v>4721</v>
      </c>
      <c r="E2994" t="s">
        <v>356</v>
      </c>
    </row>
    <row r="2995" spans="2:5">
      <c r="B2995" t="s">
        <v>4722</v>
      </c>
      <c r="C2995">
        <v>540648</v>
      </c>
      <c r="D2995" t="s">
        <v>4723</v>
      </c>
      <c r="E2995" t="s">
        <v>359</v>
      </c>
    </row>
    <row r="2996" spans="2:5">
      <c r="B2996" t="s">
        <v>4724</v>
      </c>
      <c r="C2996">
        <v>539121</v>
      </c>
      <c r="D2996" t="s">
        <v>339</v>
      </c>
      <c r="E2996" t="s">
        <v>644</v>
      </c>
    </row>
    <row r="2997" spans="2:5">
      <c r="B2997" t="s">
        <v>4725</v>
      </c>
      <c r="C2997">
        <v>541444</v>
      </c>
      <c r="D2997" t="s">
        <v>339</v>
      </c>
      <c r="E2997" t="s">
        <v>453</v>
      </c>
    </row>
    <row r="2998" spans="2:5">
      <c r="B2998" t="s">
        <v>4726</v>
      </c>
      <c r="C2998">
        <v>532521</v>
      </c>
      <c r="D2998" t="s">
        <v>4727</v>
      </c>
      <c r="E2998" t="s">
        <v>432</v>
      </c>
    </row>
    <row r="2999" spans="2:5">
      <c r="B2999" t="s">
        <v>4728</v>
      </c>
      <c r="C2999">
        <v>511597</v>
      </c>
      <c r="D2999" t="s">
        <v>339</v>
      </c>
      <c r="E2999" t="s">
        <v>356</v>
      </c>
    </row>
    <row r="3000" spans="2:5">
      <c r="B3000" t="s">
        <v>4729</v>
      </c>
      <c r="C3000">
        <v>517397</v>
      </c>
      <c r="D3000" t="s">
        <v>339</v>
      </c>
      <c r="E3000" t="s">
        <v>881</v>
      </c>
    </row>
    <row r="3001" spans="2:5">
      <c r="B3001" t="s">
        <v>4730</v>
      </c>
      <c r="C3001">
        <v>517397</v>
      </c>
      <c r="D3001" t="s">
        <v>339</v>
      </c>
      <c r="E3001" t="s">
        <v>881</v>
      </c>
    </row>
    <row r="3002" spans="2:5">
      <c r="B3002" t="s">
        <v>4731</v>
      </c>
      <c r="C3002">
        <v>511525</v>
      </c>
      <c r="D3002" t="s">
        <v>339</v>
      </c>
      <c r="E3002" t="s">
        <v>432</v>
      </c>
    </row>
    <row r="3003" spans="2:5">
      <c r="B3003" t="s">
        <v>4732</v>
      </c>
      <c r="C3003">
        <v>531349</v>
      </c>
      <c r="D3003" t="s">
        <v>4733</v>
      </c>
      <c r="E3003" t="s">
        <v>677</v>
      </c>
    </row>
    <row r="3004" spans="2:5">
      <c r="B3004" t="s">
        <v>4734</v>
      </c>
      <c r="C3004" t="s">
        <v>339</v>
      </c>
      <c r="D3004" t="s">
        <v>4735</v>
      </c>
      <c r="E3004" t="s">
        <v>350</v>
      </c>
    </row>
    <row r="3005" spans="2:5">
      <c r="B3005" t="s">
        <v>4736</v>
      </c>
      <c r="C3005">
        <v>538742</v>
      </c>
      <c r="D3005" t="s">
        <v>339</v>
      </c>
      <c r="E3005" t="s">
        <v>361</v>
      </c>
    </row>
    <row r="3006" spans="2:5">
      <c r="B3006" t="s">
        <v>4737</v>
      </c>
      <c r="C3006">
        <v>538860</v>
      </c>
      <c r="D3006" t="s">
        <v>339</v>
      </c>
      <c r="E3006" t="s">
        <v>356</v>
      </c>
    </row>
    <row r="3007" spans="2:5">
      <c r="B3007" t="s">
        <v>4738</v>
      </c>
      <c r="C3007">
        <v>524820</v>
      </c>
      <c r="D3007" t="s">
        <v>4739</v>
      </c>
      <c r="E3007" t="s">
        <v>549</v>
      </c>
    </row>
    <row r="3008" spans="2:5">
      <c r="B3008" t="s">
        <v>4740</v>
      </c>
      <c r="C3008">
        <v>508941</v>
      </c>
      <c r="D3008" t="s">
        <v>339</v>
      </c>
      <c r="E3008" t="s">
        <v>524</v>
      </c>
    </row>
    <row r="3009" spans="2:5">
      <c r="B3009" t="s">
        <v>4741</v>
      </c>
      <c r="C3009">
        <v>504093</v>
      </c>
      <c r="D3009" t="s">
        <v>339</v>
      </c>
      <c r="E3009" t="s">
        <v>885</v>
      </c>
    </row>
    <row r="3010" spans="2:5">
      <c r="B3010" t="s">
        <v>4742</v>
      </c>
      <c r="C3010">
        <v>513511</v>
      </c>
      <c r="D3010" t="s">
        <v>339</v>
      </c>
      <c r="E3010" t="s">
        <v>371</v>
      </c>
    </row>
    <row r="3011" spans="2:5">
      <c r="B3011" t="s">
        <v>4743</v>
      </c>
      <c r="C3011">
        <v>531726</v>
      </c>
      <c r="D3011" t="s">
        <v>339</v>
      </c>
      <c r="E3011" t="s">
        <v>377</v>
      </c>
    </row>
    <row r="3012" spans="2:5">
      <c r="B3012" t="s">
        <v>4744</v>
      </c>
      <c r="C3012">
        <v>506122</v>
      </c>
      <c r="D3012" t="s">
        <v>339</v>
      </c>
      <c r="E3012" t="s">
        <v>694</v>
      </c>
    </row>
    <row r="3013" spans="2:5">
      <c r="B3013" t="s">
        <v>4745</v>
      </c>
      <c r="C3013">
        <v>531280</v>
      </c>
      <c r="D3013" t="s">
        <v>339</v>
      </c>
      <c r="E3013" t="s">
        <v>534</v>
      </c>
    </row>
    <row r="3014" spans="2:5">
      <c r="B3014" t="s">
        <v>4746</v>
      </c>
      <c r="C3014">
        <v>534796</v>
      </c>
      <c r="D3014" t="s">
        <v>339</v>
      </c>
      <c r="E3014" t="s">
        <v>459</v>
      </c>
    </row>
    <row r="3015" spans="2:5">
      <c r="B3015" t="s">
        <v>4747</v>
      </c>
      <c r="C3015" t="s">
        <v>339</v>
      </c>
      <c r="D3015" t="s">
        <v>4748</v>
      </c>
      <c r="E3015" t="s">
        <v>350</v>
      </c>
    </row>
    <row r="3016" spans="2:5">
      <c r="B3016" t="s">
        <v>4749</v>
      </c>
      <c r="C3016">
        <v>539143</v>
      </c>
      <c r="D3016" t="s">
        <v>339</v>
      </c>
      <c r="E3016" t="s">
        <v>328</v>
      </c>
    </row>
    <row r="3017" spans="2:5">
      <c r="B3017" t="s">
        <v>4750</v>
      </c>
      <c r="C3017">
        <v>500322</v>
      </c>
      <c r="D3017" t="s">
        <v>339</v>
      </c>
      <c r="E3017" t="s">
        <v>352</v>
      </c>
    </row>
    <row r="3018" spans="2:5">
      <c r="B3018" t="s">
        <v>4751</v>
      </c>
      <c r="C3018">
        <v>513359</v>
      </c>
      <c r="D3018" t="s">
        <v>4752</v>
      </c>
      <c r="E3018" t="s">
        <v>616</v>
      </c>
    </row>
    <row r="3019" spans="2:5">
      <c r="B3019" t="s">
        <v>4753</v>
      </c>
      <c r="C3019">
        <v>533211</v>
      </c>
      <c r="D3019" t="s">
        <v>4754</v>
      </c>
      <c r="E3019" t="s">
        <v>377</v>
      </c>
    </row>
    <row r="3020" spans="2:5">
      <c r="B3020" t="s">
        <v>4755</v>
      </c>
      <c r="C3020">
        <v>539889</v>
      </c>
      <c r="D3020" t="s">
        <v>4756</v>
      </c>
      <c r="E3020" t="s">
        <v>399</v>
      </c>
    </row>
    <row r="3021" spans="2:5">
      <c r="B3021" t="s">
        <v>4757</v>
      </c>
      <c r="C3021">
        <v>531255</v>
      </c>
      <c r="D3021" t="s">
        <v>339</v>
      </c>
      <c r="E3021" t="s">
        <v>356</v>
      </c>
    </row>
    <row r="3022" spans="2:5">
      <c r="B3022" t="s">
        <v>4758</v>
      </c>
      <c r="C3022">
        <v>530555</v>
      </c>
      <c r="D3022" t="s">
        <v>4759</v>
      </c>
      <c r="E3022" t="s">
        <v>637</v>
      </c>
    </row>
    <row r="3023" spans="2:5">
      <c r="B3023" t="s">
        <v>4760</v>
      </c>
      <c r="C3023">
        <v>507970</v>
      </c>
      <c r="D3023" t="s">
        <v>339</v>
      </c>
      <c r="E3023" t="s">
        <v>521</v>
      </c>
    </row>
    <row r="3024" spans="2:5">
      <c r="B3024" t="s">
        <v>4761</v>
      </c>
      <c r="C3024">
        <v>507970</v>
      </c>
      <c r="D3024" t="s">
        <v>339</v>
      </c>
      <c r="E3024" t="s">
        <v>521</v>
      </c>
    </row>
    <row r="3025" spans="2:5">
      <c r="B3025" t="s">
        <v>4762</v>
      </c>
      <c r="C3025">
        <v>524689</v>
      </c>
      <c r="D3025" t="s">
        <v>4763</v>
      </c>
      <c r="E3025" t="s">
        <v>377</v>
      </c>
    </row>
    <row r="3026" spans="2:5">
      <c r="B3026" t="s">
        <v>4764</v>
      </c>
      <c r="C3026">
        <v>524689</v>
      </c>
      <c r="D3026" t="s">
        <v>4763</v>
      </c>
      <c r="E3026" t="s">
        <v>377</v>
      </c>
    </row>
    <row r="3027" spans="2:5">
      <c r="B3027" t="s">
        <v>4765</v>
      </c>
      <c r="C3027">
        <v>539481</v>
      </c>
      <c r="D3027" t="s">
        <v>339</v>
      </c>
      <c r="E3027" t="s">
        <v>356</v>
      </c>
    </row>
    <row r="3028" spans="2:5">
      <c r="B3028" t="s">
        <v>4766</v>
      </c>
      <c r="C3028" t="s">
        <v>339</v>
      </c>
      <c r="D3028" t="s">
        <v>4767</v>
      </c>
      <c r="E3028" t="s">
        <v>350</v>
      </c>
    </row>
    <row r="3029" spans="2:5">
      <c r="B3029" t="s">
        <v>4768</v>
      </c>
      <c r="C3029">
        <v>524628</v>
      </c>
      <c r="D3029" t="s">
        <v>339</v>
      </c>
      <c r="E3029" t="s">
        <v>361</v>
      </c>
    </row>
    <row r="3030" spans="2:5">
      <c r="B3030" t="s">
        <v>4769</v>
      </c>
      <c r="C3030">
        <v>532911</v>
      </c>
      <c r="D3030" t="s">
        <v>339</v>
      </c>
      <c r="E3030" t="s">
        <v>425</v>
      </c>
    </row>
    <row r="3031" spans="2:5">
      <c r="B3031" t="s">
        <v>4770</v>
      </c>
      <c r="C3031">
        <v>540359</v>
      </c>
      <c r="D3031" t="s">
        <v>339</v>
      </c>
      <c r="E3031" t="s">
        <v>377</v>
      </c>
    </row>
    <row r="3032" spans="2:5">
      <c r="B3032" t="s">
        <v>4771</v>
      </c>
      <c r="C3032">
        <v>540467</v>
      </c>
      <c r="D3032" t="s">
        <v>339</v>
      </c>
      <c r="E3032" t="s">
        <v>453</v>
      </c>
    </row>
    <row r="3033" spans="2:5">
      <c r="B3033" t="s">
        <v>4772</v>
      </c>
      <c r="C3033">
        <v>780017</v>
      </c>
      <c r="D3033" t="s">
        <v>339</v>
      </c>
      <c r="E3033" t="s">
        <v>430</v>
      </c>
    </row>
    <row r="3034" spans="2:5">
      <c r="B3034" t="s">
        <v>4773</v>
      </c>
      <c r="C3034">
        <v>506128</v>
      </c>
      <c r="D3034" t="s">
        <v>339</v>
      </c>
      <c r="E3034" t="s">
        <v>377</v>
      </c>
    </row>
    <row r="3035" spans="2:5">
      <c r="B3035" t="s">
        <v>4774</v>
      </c>
      <c r="C3035">
        <v>511702</v>
      </c>
      <c r="D3035" t="s">
        <v>339</v>
      </c>
      <c r="E3035" t="s">
        <v>356</v>
      </c>
    </row>
    <row r="3036" spans="2:5">
      <c r="B3036" t="s">
        <v>4775</v>
      </c>
      <c r="C3036">
        <v>511176</v>
      </c>
      <c r="D3036" t="s">
        <v>339</v>
      </c>
      <c r="E3036" t="s">
        <v>425</v>
      </c>
    </row>
    <row r="3037" spans="2:5">
      <c r="B3037" t="s">
        <v>4776</v>
      </c>
      <c r="C3037">
        <v>532780</v>
      </c>
      <c r="D3037" t="s">
        <v>4777</v>
      </c>
      <c r="E3037" t="s">
        <v>425</v>
      </c>
    </row>
    <row r="3038" spans="2:5">
      <c r="B3038" t="s">
        <v>4778</v>
      </c>
      <c r="C3038">
        <v>526349</v>
      </c>
      <c r="D3038" t="s">
        <v>339</v>
      </c>
      <c r="E3038" t="s">
        <v>694</v>
      </c>
    </row>
    <row r="3039" spans="2:5">
      <c r="B3039" t="s">
        <v>4779</v>
      </c>
      <c r="C3039">
        <v>541347</v>
      </c>
      <c r="D3039" t="s">
        <v>339</v>
      </c>
      <c r="E3039" t="s">
        <v>1037</v>
      </c>
    </row>
    <row r="3040" spans="2:5">
      <c r="B3040" t="s">
        <v>4780</v>
      </c>
      <c r="C3040">
        <v>521080</v>
      </c>
      <c r="D3040" t="s">
        <v>339</v>
      </c>
      <c r="E3040" t="s">
        <v>354</v>
      </c>
    </row>
    <row r="3041" spans="2:5">
      <c r="B3041" t="s">
        <v>4781</v>
      </c>
      <c r="C3041" t="s">
        <v>339</v>
      </c>
      <c r="D3041" t="s">
        <v>4782</v>
      </c>
      <c r="E3041" t="s">
        <v>350</v>
      </c>
    </row>
    <row r="3042" spans="2:5">
      <c r="B3042" t="s">
        <v>4783</v>
      </c>
      <c r="C3042">
        <v>500456</v>
      </c>
      <c r="D3042" t="s">
        <v>339</v>
      </c>
      <c r="E3042" t="s">
        <v>716</v>
      </c>
    </row>
    <row r="3043" spans="2:5">
      <c r="B3043" t="s">
        <v>4784</v>
      </c>
      <c r="C3043">
        <v>511734</v>
      </c>
      <c r="D3043" t="s">
        <v>339</v>
      </c>
      <c r="E3043" t="s">
        <v>356</v>
      </c>
    </row>
    <row r="3044" spans="2:5">
      <c r="B3044" t="s">
        <v>4785</v>
      </c>
      <c r="C3044">
        <v>503092</v>
      </c>
      <c r="D3044" t="s">
        <v>339</v>
      </c>
      <c r="E3044" t="s">
        <v>354</v>
      </c>
    </row>
    <row r="3045" spans="2:5">
      <c r="B3045" t="s">
        <v>4786</v>
      </c>
      <c r="C3045">
        <v>539401</v>
      </c>
      <c r="D3045" t="s">
        <v>339</v>
      </c>
      <c r="E3045" t="s">
        <v>453</v>
      </c>
    </row>
    <row r="3046" spans="2:5">
      <c r="B3046" t="s">
        <v>4787</v>
      </c>
      <c r="C3046">
        <v>531120</v>
      </c>
      <c r="D3046" t="s">
        <v>4788</v>
      </c>
      <c r="E3046" t="s">
        <v>737</v>
      </c>
    </row>
    <row r="3047" spans="2:5">
      <c r="B3047" t="s">
        <v>4789</v>
      </c>
      <c r="C3047">
        <v>526381</v>
      </c>
      <c r="D3047" t="s">
        <v>4790</v>
      </c>
      <c r="E3047" t="s">
        <v>411</v>
      </c>
    </row>
    <row r="3048" spans="2:5">
      <c r="B3048" t="s">
        <v>4791</v>
      </c>
      <c r="C3048">
        <v>517417</v>
      </c>
      <c r="D3048" t="s">
        <v>339</v>
      </c>
      <c r="E3048" t="s">
        <v>347</v>
      </c>
    </row>
    <row r="3049" spans="2:5">
      <c r="B3049" t="s">
        <v>4792</v>
      </c>
      <c r="C3049">
        <v>517417</v>
      </c>
      <c r="D3049" t="s">
        <v>339</v>
      </c>
      <c r="E3049" t="s">
        <v>347</v>
      </c>
    </row>
    <row r="3050" spans="2:5">
      <c r="B3050" t="s">
        <v>4793</v>
      </c>
      <c r="C3050">
        <v>524031</v>
      </c>
      <c r="D3050" t="s">
        <v>339</v>
      </c>
      <c r="E3050" t="s">
        <v>425</v>
      </c>
    </row>
    <row r="3051" spans="2:5">
      <c r="B3051" t="s">
        <v>4794</v>
      </c>
      <c r="C3051">
        <v>514326</v>
      </c>
      <c r="D3051" t="s">
        <v>4795</v>
      </c>
      <c r="E3051" t="s">
        <v>354</v>
      </c>
    </row>
    <row r="3052" spans="2:5">
      <c r="B3052" t="s">
        <v>4796</v>
      </c>
      <c r="C3052">
        <v>514326</v>
      </c>
      <c r="D3052" t="s">
        <v>4795</v>
      </c>
      <c r="E3052" t="s">
        <v>354</v>
      </c>
    </row>
    <row r="3053" spans="2:5">
      <c r="B3053" t="s">
        <v>4797</v>
      </c>
      <c r="C3053">
        <v>539113</v>
      </c>
      <c r="D3053" t="s">
        <v>339</v>
      </c>
      <c r="E3053" t="s">
        <v>356</v>
      </c>
    </row>
    <row r="3054" spans="2:5">
      <c r="B3054" t="s">
        <v>4798</v>
      </c>
      <c r="C3054">
        <v>532742</v>
      </c>
      <c r="D3054" t="s">
        <v>339</v>
      </c>
      <c r="E3054" t="s">
        <v>499</v>
      </c>
    </row>
    <row r="3055" spans="2:5">
      <c r="B3055" t="s">
        <v>4799</v>
      </c>
      <c r="C3055">
        <v>535658</v>
      </c>
      <c r="D3055" t="s">
        <v>339</v>
      </c>
      <c r="E3055" t="s">
        <v>356</v>
      </c>
    </row>
    <row r="3056" spans="2:5">
      <c r="B3056" t="s">
        <v>4800</v>
      </c>
      <c r="C3056">
        <v>532676</v>
      </c>
      <c r="D3056" t="s">
        <v>4801</v>
      </c>
      <c r="E3056" t="s">
        <v>737</v>
      </c>
    </row>
    <row r="3057" spans="2:5">
      <c r="B3057" t="s">
        <v>4802</v>
      </c>
      <c r="C3057">
        <v>514087</v>
      </c>
      <c r="D3057" t="s">
        <v>339</v>
      </c>
      <c r="E3057" t="s">
        <v>354</v>
      </c>
    </row>
    <row r="3058" spans="2:5">
      <c r="B3058" t="s">
        <v>4803</v>
      </c>
      <c r="C3058">
        <v>534809</v>
      </c>
      <c r="D3058" t="s">
        <v>4804</v>
      </c>
      <c r="E3058" t="s">
        <v>453</v>
      </c>
    </row>
    <row r="3059" spans="2:5">
      <c r="B3059" t="s">
        <v>4805</v>
      </c>
      <c r="C3059">
        <v>517119</v>
      </c>
      <c r="D3059" t="s">
        <v>339</v>
      </c>
      <c r="E3059" t="s">
        <v>664</v>
      </c>
    </row>
    <row r="3060" spans="2:5">
      <c r="B3060" t="s">
        <v>4806</v>
      </c>
      <c r="C3060">
        <v>538730</v>
      </c>
      <c r="D3060" t="s">
        <v>4807</v>
      </c>
      <c r="E3060" t="s">
        <v>361</v>
      </c>
    </row>
    <row r="3061" spans="2:5">
      <c r="B3061" t="s">
        <v>4808</v>
      </c>
      <c r="C3061">
        <v>532808</v>
      </c>
      <c r="D3061" t="s">
        <v>4809</v>
      </c>
      <c r="E3061" t="s">
        <v>453</v>
      </c>
    </row>
    <row r="3062" spans="2:5">
      <c r="B3062" t="s">
        <v>4810</v>
      </c>
      <c r="C3062">
        <v>523260</v>
      </c>
      <c r="D3062" t="s">
        <v>4811</v>
      </c>
      <c r="E3062" t="s">
        <v>534</v>
      </c>
    </row>
    <row r="3063" spans="2:5">
      <c r="B3063" t="s">
        <v>4812</v>
      </c>
      <c r="C3063">
        <v>539273</v>
      </c>
      <c r="D3063" t="s">
        <v>339</v>
      </c>
      <c r="E3063" t="s">
        <v>828</v>
      </c>
    </row>
    <row r="3064" spans="2:5">
      <c r="B3064" t="s">
        <v>4813</v>
      </c>
      <c r="C3064">
        <v>524136</v>
      </c>
      <c r="D3064" t="s">
        <v>339</v>
      </c>
      <c r="E3064" t="s">
        <v>2157</v>
      </c>
    </row>
    <row r="3065" spans="2:5">
      <c r="B3065" t="s">
        <v>4814</v>
      </c>
      <c r="C3065">
        <v>531352</v>
      </c>
      <c r="D3065" t="s">
        <v>339</v>
      </c>
      <c r="E3065" t="s">
        <v>354</v>
      </c>
    </row>
    <row r="3066" spans="2:5">
      <c r="B3066" t="s">
        <v>4815</v>
      </c>
      <c r="C3066">
        <v>503031</v>
      </c>
      <c r="D3066" t="s">
        <v>4816</v>
      </c>
      <c r="E3066" t="s">
        <v>425</v>
      </c>
    </row>
    <row r="3067" spans="2:5">
      <c r="B3067" t="s">
        <v>4817</v>
      </c>
      <c r="C3067">
        <v>539333</v>
      </c>
      <c r="D3067" t="s">
        <v>4818</v>
      </c>
      <c r="E3067" t="s">
        <v>425</v>
      </c>
    </row>
    <row r="3068" spans="2:5">
      <c r="B3068" t="s">
        <v>4819</v>
      </c>
      <c r="C3068">
        <v>513228</v>
      </c>
      <c r="D3068" t="s">
        <v>4820</v>
      </c>
      <c r="E3068" t="s">
        <v>371</v>
      </c>
    </row>
    <row r="3069" spans="2:5">
      <c r="B3069" t="s">
        <v>4821</v>
      </c>
      <c r="C3069" t="s">
        <v>339</v>
      </c>
      <c r="D3069" t="s">
        <v>4822</v>
      </c>
      <c r="E3069" t="s">
        <v>350</v>
      </c>
    </row>
    <row r="3070" spans="2:5">
      <c r="B3070" t="s">
        <v>4823</v>
      </c>
      <c r="C3070">
        <v>500329</v>
      </c>
      <c r="D3070" t="s">
        <v>339</v>
      </c>
      <c r="E3070" t="s">
        <v>342</v>
      </c>
    </row>
    <row r="3071" spans="2:5">
      <c r="B3071" t="s">
        <v>4824</v>
      </c>
      <c r="C3071">
        <v>524210</v>
      </c>
      <c r="D3071" t="s">
        <v>339</v>
      </c>
      <c r="E3071" t="s">
        <v>387</v>
      </c>
    </row>
    <row r="3072" spans="2:5">
      <c r="B3072" t="s">
        <v>4825</v>
      </c>
      <c r="C3072">
        <v>524210</v>
      </c>
      <c r="D3072" t="s">
        <v>339</v>
      </c>
      <c r="E3072" t="s">
        <v>387</v>
      </c>
    </row>
    <row r="3073" spans="2:5">
      <c r="B3073" t="s">
        <v>4826</v>
      </c>
      <c r="C3073">
        <v>501144</v>
      </c>
      <c r="D3073" t="s">
        <v>339</v>
      </c>
      <c r="E3073" t="s">
        <v>760</v>
      </c>
    </row>
    <row r="3074" spans="2:5">
      <c r="B3074" t="s">
        <v>4827</v>
      </c>
      <c r="C3074" t="s">
        <v>339</v>
      </c>
      <c r="D3074" t="s">
        <v>4828</v>
      </c>
      <c r="E3074" t="s">
        <v>350</v>
      </c>
    </row>
    <row r="3075" spans="2:5">
      <c r="B3075" t="s">
        <v>4829</v>
      </c>
      <c r="C3075">
        <v>521062</v>
      </c>
      <c r="D3075" t="s">
        <v>339</v>
      </c>
      <c r="E3075" t="s">
        <v>1077</v>
      </c>
    </row>
    <row r="3076" spans="2:5">
      <c r="B3076" t="s">
        <v>4830</v>
      </c>
      <c r="C3076">
        <v>526435</v>
      </c>
      <c r="D3076" t="s">
        <v>339</v>
      </c>
      <c r="E3076" t="s">
        <v>333</v>
      </c>
    </row>
    <row r="3077" spans="2:5">
      <c r="B3077" t="s">
        <v>4831</v>
      </c>
      <c r="C3077">
        <v>504132</v>
      </c>
      <c r="D3077" t="s">
        <v>339</v>
      </c>
      <c r="E3077" t="s">
        <v>524</v>
      </c>
    </row>
    <row r="3078" spans="2:5">
      <c r="B3078" t="s">
        <v>4832</v>
      </c>
      <c r="C3078">
        <v>533179</v>
      </c>
      <c r="D3078" t="s">
        <v>4833</v>
      </c>
      <c r="E3078" t="s">
        <v>325</v>
      </c>
    </row>
    <row r="3079" spans="2:5">
      <c r="B3079" t="s">
        <v>4834</v>
      </c>
      <c r="C3079">
        <v>517172</v>
      </c>
      <c r="D3079" t="s">
        <v>339</v>
      </c>
      <c r="E3079" t="s">
        <v>881</v>
      </c>
    </row>
    <row r="3080" spans="2:5">
      <c r="B3080" t="s">
        <v>4835</v>
      </c>
      <c r="C3080">
        <v>530381</v>
      </c>
      <c r="D3080" t="s">
        <v>4836</v>
      </c>
      <c r="E3080" t="s">
        <v>737</v>
      </c>
    </row>
    <row r="3081" spans="2:5">
      <c r="B3081" t="s">
        <v>4837</v>
      </c>
      <c r="C3081">
        <v>532522</v>
      </c>
      <c r="D3081" t="s">
        <v>4838</v>
      </c>
      <c r="E3081" t="s">
        <v>549</v>
      </c>
    </row>
    <row r="3082" spans="2:5">
      <c r="B3082" t="s">
        <v>4839</v>
      </c>
      <c r="C3082">
        <v>500680</v>
      </c>
      <c r="D3082" t="s">
        <v>4840</v>
      </c>
      <c r="E3082" t="s">
        <v>377</v>
      </c>
    </row>
    <row r="3083" spans="2:5">
      <c r="B3083" t="s">
        <v>4841</v>
      </c>
      <c r="C3083">
        <v>531769</v>
      </c>
      <c r="D3083" t="s">
        <v>339</v>
      </c>
      <c r="E3083" t="s">
        <v>432</v>
      </c>
    </row>
    <row r="3084" spans="2:5">
      <c r="B3084" t="s">
        <v>4842</v>
      </c>
      <c r="C3084">
        <v>533581</v>
      </c>
      <c r="D3084" t="s">
        <v>4843</v>
      </c>
      <c r="E3084" t="s">
        <v>708</v>
      </c>
    </row>
    <row r="3085" spans="2:5">
      <c r="B3085" t="s">
        <v>4844</v>
      </c>
      <c r="C3085">
        <v>526747</v>
      </c>
      <c r="D3085" t="s">
        <v>339</v>
      </c>
      <c r="E3085" t="s">
        <v>644</v>
      </c>
    </row>
    <row r="3086" spans="2:5">
      <c r="B3086" t="s">
        <v>4845</v>
      </c>
      <c r="C3086">
        <v>531281</v>
      </c>
      <c r="D3086" t="s">
        <v>339</v>
      </c>
      <c r="E3086" t="s">
        <v>867</v>
      </c>
    </row>
    <row r="3087" spans="2:5">
      <c r="B3087" t="s">
        <v>4846</v>
      </c>
      <c r="C3087">
        <v>500143</v>
      </c>
      <c r="D3087" t="s">
        <v>339</v>
      </c>
      <c r="E3087" t="s">
        <v>361</v>
      </c>
    </row>
    <row r="3088" spans="2:5">
      <c r="B3088" t="s">
        <v>4847</v>
      </c>
      <c r="C3088">
        <v>512026</v>
      </c>
      <c r="D3088" t="s">
        <v>339</v>
      </c>
      <c r="E3088" t="s">
        <v>361</v>
      </c>
    </row>
    <row r="3089" spans="2:5">
      <c r="B3089" t="s">
        <v>4848</v>
      </c>
      <c r="C3089">
        <v>523620</v>
      </c>
      <c r="D3089" t="s">
        <v>339</v>
      </c>
      <c r="E3089" t="s">
        <v>377</v>
      </c>
    </row>
    <row r="3090" spans="2:5">
      <c r="B3090" t="s">
        <v>4849</v>
      </c>
      <c r="C3090">
        <v>506590</v>
      </c>
      <c r="D3090" t="s">
        <v>4850</v>
      </c>
      <c r="E3090" t="s">
        <v>4851</v>
      </c>
    </row>
    <row r="3091" spans="2:5">
      <c r="B3091" t="s">
        <v>4852</v>
      </c>
      <c r="C3091">
        <v>526481</v>
      </c>
      <c r="D3091" t="s">
        <v>339</v>
      </c>
      <c r="E3091" t="s">
        <v>453</v>
      </c>
    </row>
    <row r="3092" spans="2:5">
      <c r="B3092" t="s">
        <v>4853</v>
      </c>
      <c r="C3092">
        <v>537839</v>
      </c>
      <c r="D3092" t="s">
        <v>339</v>
      </c>
      <c r="E3092" t="s">
        <v>540</v>
      </c>
    </row>
    <row r="3093" spans="2:5">
      <c r="B3093" t="s">
        <v>4854</v>
      </c>
      <c r="C3093">
        <v>509084</v>
      </c>
      <c r="D3093" t="s">
        <v>339</v>
      </c>
      <c r="E3093" t="s">
        <v>760</v>
      </c>
    </row>
    <row r="3094" spans="2:5">
      <c r="B3094" t="s">
        <v>4855</v>
      </c>
      <c r="C3094">
        <v>526588</v>
      </c>
      <c r="D3094" t="s">
        <v>339</v>
      </c>
      <c r="E3094" t="s">
        <v>1577</v>
      </c>
    </row>
    <row r="3095" spans="2:5">
      <c r="B3095" t="s">
        <v>4856</v>
      </c>
      <c r="C3095">
        <v>526588</v>
      </c>
      <c r="D3095" t="s">
        <v>339</v>
      </c>
      <c r="E3095" t="s">
        <v>1577</v>
      </c>
    </row>
    <row r="3096" spans="2:5">
      <c r="B3096" t="s">
        <v>4857</v>
      </c>
      <c r="C3096">
        <v>524808</v>
      </c>
      <c r="D3096" t="s">
        <v>339</v>
      </c>
      <c r="E3096" t="s">
        <v>483</v>
      </c>
    </row>
    <row r="3097" spans="2:5">
      <c r="B3097" t="s">
        <v>4858</v>
      </c>
      <c r="C3097">
        <v>524808</v>
      </c>
      <c r="D3097" t="s">
        <v>339</v>
      </c>
      <c r="E3097" t="s">
        <v>483</v>
      </c>
    </row>
    <row r="3098" spans="2:5">
      <c r="B3098" t="s">
        <v>4859</v>
      </c>
      <c r="C3098">
        <v>523642</v>
      </c>
      <c r="D3098" t="s">
        <v>4860</v>
      </c>
      <c r="E3098" t="s">
        <v>483</v>
      </c>
    </row>
    <row r="3099" spans="2:5">
      <c r="B3099" t="s">
        <v>4861</v>
      </c>
      <c r="C3099">
        <v>530305</v>
      </c>
      <c r="D3099" t="s">
        <v>339</v>
      </c>
      <c r="E3099" t="s">
        <v>1037</v>
      </c>
    </row>
    <row r="3100" spans="2:5">
      <c r="B3100" t="s">
        <v>4862</v>
      </c>
      <c r="C3100">
        <v>507498</v>
      </c>
      <c r="D3100" t="s">
        <v>339</v>
      </c>
      <c r="E3100" t="s">
        <v>1037</v>
      </c>
    </row>
    <row r="3101" spans="2:5">
      <c r="B3101" t="s">
        <v>4863</v>
      </c>
      <c r="C3101">
        <v>532355</v>
      </c>
      <c r="D3101" t="s">
        <v>339</v>
      </c>
      <c r="E3101" t="s">
        <v>342</v>
      </c>
    </row>
    <row r="3102" spans="2:5">
      <c r="B3102" t="s">
        <v>4864</v>
      </c>
      <c r="C3102">
        <v>500331</v>
      </c>
      <c r="D3102" t="s">
        <v>4865</v>
      </c>
      <c r="E3102" t="s">
        <v>499</v>
      </c>
    </row>
    <row r="3103" spans="2:5">
      <c r="B3103" t="s">
        <v>4866</v>
      </c>
      <c r="C3103">
        <v>500327</v>
      </c>
      <c r="D3103" t="s">
        <v>4867</v>
      </c>
      <c r="E3103" t="s">
        <v>459</v>
      </c>
    </row>
    <row r="3104" spans="2:5">
      <c r="B3104" t="s">
        <v>4868</v>
      </c>
      <c r="C3104">
        <v>539883</v>
      </c>
      <c r="D3104" t="s">
        <v>4869</v>
      </c>
      <c r="E3104" t="s">
        <v>505</v>
      </c>
    </row>
    <row r="3105" spans="2:5">
      <c r="B3105" t="s">
        <v>4870</v>
      </c>
      <c r="C3105">
        <v>519439</v>
      </c>
      <c r="D3105" t="s">
        <v>339</v>
      </c>
      <c r="E3105" t="s">
        <v>588</v>
      </c>
    </row>
    <row r="3106" spans="2:5">
      <c r="B3106" t="s">
        <v>4871</v>
      </c>
      <c r="C3106">
        <v>531879</v>
      </c>
      <c r="D3106" t="s">
        <v>4872</v>
      </c>
      <c r="E3106" t="s">
        <v>970</v>
      </c>
    </row>
    <row r="3107" spans="2:5">
      <c r="B3107" t="s">
        <v>4873</v>
      </c>
      <c r="C3107">
        <v>514300</v>
      </c>
      <c r="D3107" t="s">
        <v>4874</v>
      </c>
      <c r="E3107" t="s">
        <v>354</v>
      </c>
    </row>
    <row r="3108" spans="2:5">
      <c r="B3108" t="s">
        <v>4875</v>
      </c>
      <c r="C3108">
        <v>507864</v>
      </c>
      <c r="D3108" t="s">
        <v>339</v>
      </c>
      <c r="E3108" t="s">
        <v>322</v>
      </c>
    </row>
    <row r="3109" spans="2:5">
      <c r="B3109" t="s">
        <v>4876</v>
      </c>
      <c r="C3109">
        <v>500302</v>
      </c>
      <c r="D3109" t="s">
        <v>4877</v>
      </c>
      <c r="E3109" t="s">
        <v>377</v>
      </c>
    </row>
    <row r="3110" spans="2:5">
      <c r="B3110" t="s">
        <v>4878</v>
      </c>
      <c r="C3110">
        <v>532979</v>
      </c>
      <c r="D3110" t="s">
        <v>4879</v>
      </c>
      <c r="E3110" t="s">
        <v>377</v>
      </c>
    </row>
    <row r="3111" spans="2:5">
      <c r="B3111" t="s">
        <v>4880</v>
      </c>
      <c r="C3111">
        <v>530683</v>
      </c>
      <c r="D3111" t="s">
        <v>339</v>
      </c>
      <c r="E3111" t="s">
        <v>534</v>
      </c>
    </row>
    <row r="3112" spans="2:5">
      <c r="B3112" t="s">
        <v>4881</v>
      </c>
      <c r="C3112">
        <v>513519</v>
      </c>
      <c r="D3112" t="s">
        <v>4882</v>
      </c>
      <c r="E3112" t="s">
        <v>637</v>
      </c>
    </row>
    <row r="3113" spans="2:5">
      <c r="B3113" t="s">
        <v>4883</v>
      </c>
      <c r="C3113">
        <v>500333</v>
      </c>
      <c r="D3113" t="s">
        <v>339</v>
      </c>
      <c r="E3113" t="s">
        <v>819</v>
      </c>
    </row>
    <row r="3114" spans="2:5">
      <c r="B3114" t="s">
        <v>4884</v>
      </c>
      <c r="C3114">
        <v>523105</v>
      </c>
      <c r="D3114" t="s">
        <v>339</v>
      </c>
      <c r="E3114" t="s">
        <v>534</v>
      </c>
    </row>
    <row r="3115" spans="2:5">
      <c r="B3115" t="s">
        <v>4885</v>
      </c>
      <c r="C3115">
        <v>523648</v>
      </c>
      <c r="D3115" t="s">
        <v>4886</v>
      </c>
      <c r="E3115" t="s">
        <v>499</v>
      </c>
    </row>
    <row r="3116" spans="2:5">
      <c r="B3116" t="s">
        <v>4887</v>
      </c>
      <c r="C3116">
        <v>523648</v>
      </c>
      <c r="D3116" t="s">
        <v>4886</v>
      </c>
      <c r="E3116" t="s">
        <v>499</v>
      </c>
    </row>
    <row r="3117" spans="2:5">
      <c r="B3117" t="s">
        <v>4888</v>
      </c>
      <c r="C3117">
        <v>534060</v>
      </c>
      <c r="D3117" t="s">
        <v>339</v>
      </c>
      <c r="E3117" t="s">
        <v>356</v>
      </c>
    </row>
    <row r="3118" spans="2:5">
      <c r="B3118" t="s">
        <v>4889</v>
      </c>
      <c r="C3118">
        <v>532366</v>
      </c>
      <c r="D3118" t="s">
        <v>4890</v>
      </c>
      <c r="E3118" t="s">
        <v>356</v>
      </c>
    </row>
    <row r="3119" spans="2:5">
      <c r="B3119" t="s">
        <v>4891</v>
      </c>
      <c r="C3119">
        <v>540173</v>
      </c>
      <c r="D3119" t="s">
        <v>4892</v>
      </c>
      <c r="E3119" t="s">
        <v>397</v>
      </c>
    </row>
    <row r="3120" spans="2:5">
      <c r="B3120" t="s">
        <v>4893</v>
      </c>
      <c r="C3120">
        <v>539150</v>
      </c>
      <c r="D3120" t="s">
        <v>4894</v>
      </c>
      <c r="E3120" t="s">
        <v>934</v>
      </c>
    </row>
    <row r="3121" spans="2:5">
      <c r="B3121" t="s">
        <v>4895</v>
      </c>
      <c r="C3121">
        <v>532803</v>
      </c>
      <c r="D3121" t="s">
        <v>4896</v>
      </c>
      <c r="E3121" t="s">
        <v>537</v>
      </c>
    </row>
    <row r="3122" spans="2:5">
      <c r="B3122" t="s">
        <v>4897</v>
      </c>
      <c r="C3122">
        <v>539195</v>
      </c>
      <c r="D3122" t="s">
        <v>339</v>
      </c>
      <c r="E3122" t="s">
        <v>387</v>
      </c>
    </row>
    <row r="3123" spans="2:5">
      <c r="B3123" t="s">
        <v>4898</v>
      </c>
      <c r="C3123">
        <v>523628</v>
      </c>
      <c r="D3123" t="s">
        <v>4899</v>
      </c>
      <c r="E3123" t="s">
        <v>425</v>
      </c>
    </row>
    <row r="3124" spans="2:5">
      <c r="B3124" t="s">
        <v>4900</v>
      </c>
      <c r="C3124">
        <v>524570</v>
      </c>
      <c r="D3124" t="s">
        <v>4901</v>
      </c>
      <c r="E3124" t="s">
        <v>499</v>
      </c>
    </row>
    <row r="3125" spans="2:5">
      <c r="B3125" t="s">
        <v>4902</v>
      </c>
      <c r="C3125">
        <v>532486</v>
      </c>
      <c r="D3125" t="s">
        <v>4903</v>
      </c>
      <c r="E3125" t="s">
        <v>867</v>
      </c>
    </row>
    <row r="3126" spans="2:5">
      <c r="B3126" t="s">
        <v>4904</v>
      </c>
      <c r="C3126">
        <v>526687</v>
      </c>
      <c r="D3126" t="s">
        <v>339</v>
      </c>
      <c r="E3126" t="s">
        <v>540</v>
      </c>
    </row>
    <row r="3127" spans="2:5">
      <c r="B3127" t="s">
        <v>4905</v>
      </c>
      <c r="C3127">
        <v>540717</v>
      </c>
      <c r="D3127" t="s">
        <v>339</v>
      </c>
      <c r="E3127" t="s">
        <v>361</v>
      </c>
    </row>
    <row r="3128" spans="2:5">
      <c r="B3128" t="s">
        <v>4906</v>
      </c>
      <c r="C3128">
        <v>507645</v>
      </c>
      <c r="D3128" t="s">
        <v>339</v>
      </c>
      <c r="E3128" t="s">
        <v>499</v>
      </c>
    </row>
    <row r="3129" spans="2:5">
      <c r="B3129" t="s">
        <v>4907</v>
      </c>
      <c r="C3129">
        <v>531768</v>
      </c>
      <c r="D3129" t="s">
        <v>4908</v>
      </c>
      <c r="E3129" t="s">
        <v>1505</v>
      </c>
    </row>
    <row r="3130" spans="2:5">
      <c r="B3130" t="s">
        <v>4909</v>
      </c>
      <c r="C3130">
        <v>542652</v>
      </c>
      <c r="D3130" t="s">
        <v>4910</v>
      </c>
      <c r="E3130" t="s">
        <v>637</v>
      </c>
    </row>
    <row r="3131" spans="2:5">
      <c r="B3131" t="s">
        <v>4911</v>
      </c>
      <c r="C3131">
        <v>506605</v>
      </c>
      <c r="D3131" t="s">
        <v>339</v>
      </c>
      <c r="E3131" t="s">
        <v>387</v>
      </c>
    </row>
    <row r="3132" spans="2:5">
      <c r="B3132" t="s">
        <v>4912</v>
      </c>
      <c r="C3132">
        <v>531397</v>
      </c>
      <c r="D3132" t="s">
        <v>339</v>
      </c>
      <c r="E3132" t="s">
        <v>534</v>
      </c>
    </row>
    <row r="3133" spans="2:5">
      <c r="B3133" t="s">
        <v>4913</v>
      </c>
      <c r="C3133">
        <v>514486</v>
      </c>
      <c r="D3133" t="s">
        <v>339</v>
      </c>
      <c r="E3133" t="s">
        <v>354</v>
      </c>
    </row>
    <row r="3134" spans="2:5">
      <c r="B3134" t="s">
        <v>4914</v>
      </c>
      <c r="C3134">
        <v>531454</v>
      </c>
      <c r="D3134" t="s">
        <v>339</v>
      </c>
      <c r="E3134" t="s">
        <v>716</v>
      </c>
    </row>
    <row r="3135" spans="2:5">
      <c r="B3135" t="s">
        <v>4915</v>
      </c>
      <c r="C3135">
        <v>531454</v>
      </c>
      <c r="D3135" t="s">
        <v>339</v>
      </c>
      <c r="E3135" t="s">
        <v>716</v>
      </c>
    </row>
    <row r="3136" spans="2:5">
      <c r="B3136" t="s">
        <v>4916</v>
      </c>
      <c r="C3136">
        <v>537573</v>
      </c>
      <c r="D3136" t="s">
        <v>339</v>
      </c>
      <c r="E3136" t="s">
        <v>459</v>
      </c>
    </row>
    <row r="3137" spans="2:5">
      <c r="B3137" t="s">
        <v>4917</v>
      </c>
      <c r="C3137">
        <v>526043</v>
      </c>
      <c r="D3137" t="s">
        <v>339</v>
      </c>
      <c r="E3137" t="s">
        <v>347</v>
      </c>
    </row>
    <row r="3138" spans="2:5">
      <c r="B3138" t="s">
        <v>4918</v>
      </c>
      <c r="C3138">
        <v>524051</v>
      </c>
      <c r="D3138" t="s">
        <v>4919</v>
      </c>
      <c r="E3138" t="s">
        <v>387</v>
      </c>
    </row>
    <row r="3139" spans="2:5">
      <c r="B3139" t="s">
        <v>4920</v>
      </c>
      <c r="C3139">
        <v>539354</v>
      </c>
      <c r="D3139" t="s">
        <v>339</v>
      </c>
      <c r="E3139" t="s">
        <v>534</v>
      </c>
    </row>
    <row r="3140" spans="2:5">
      <c r="B3140" t="s">
        <v>4921</v>
      </c>
      <c r="C3140">
        <v>512481</v>
      </c>
      <c r="D3140" t="s">
        <v>339</v>
      </c>
      <c r="E3140" t="s">
        <v>356</v>
      </c>
    </row>
    <row r="3141" spans="2:5">
      <c r="B3141" t="s">
        <v>4922</v>
      </c>
      <c r="C3141">
        <v>512481</v>
      </c>
      <c r="D3141" t="s">
        <v>339</v>
      </c>
      <c r="E3141" t="s">
        <v>356</v>
      </c>
    </row>
    <row r="3142" spans="2:5">
      <c r="B3142" t="s">
        <v>4923</v>
      </c>
      <c r="C3142">
        <v>532626</v>
      </c>
      <c r="D3142" t="s">
        <v>339</v>
      </c>
      <c r="E3142" t="s">
        <v>2586</v>
      </c>
    </row>
    <row r="3143" spans="2:5">
      <c r="B3143" t="s">
        <v>4924</v>
      </c>
      <c r="C3143">
        <v>532460</v>
      </c>
      <c r="D3143" t="s">
        <v>4925</v>
      </c>
      <c r="E3143" t="s">
        <v>1037</v>
      </c>
    </row>
    <row r="3144" spans="2:5">
      <c r="B3144" t="s">
        <v>4926</v>
      </c>
      <c r="C3144">
        <v>532011</v>
      </c>
      <c r="D3144" t="s">
        <v>339</v>
      </c>
      <c r="E3144" t="s">
        <v>342</v>
      </c>
    </row>
    <row r="3145" spans="2:5">
      <c r="B3145" t="s">
        <v>4927</v>
      </c>
      <c r="C3145">
        <v>540727</v>
      </c>
      <c r="D3145" t="s">
        <v>339</v>
      </c>
      <c r="E3145" t="s">
        <v>1258</v>
      </c>
    </row>
    <row r="3146" spans="2:5">
      <c r="B3146" t="s">
        <v>4928</v>
      </c>
      <c r="C3146">
        <v>519359</v>
      </c>
      <c r="D3146" t="s">
        <v>339</v>
      </c>
      <c r="E3146" t="s">
        <v>588</v>
      </c>
    </row>
    <row r="3147" spans="2:5">
      <c r="B3147" t="s">
        <v>4929</v>
      </c>
      <c r="C3147">
        <v>531870</v>
      </c>
      <c r="D3147" t="s">
        <v>339</v>
      </c>
      <c r="E3147" t="s">
        <v>737</v>
      </c>
    </row>
    <row r="3148" spans="2:5">
      <c r="B3148" t="s">
        <v>4930</v>
      </c>
      <c r="C3148">
        <v>532933</v>
      </c>
      <c r="D3148" t="s">
        <v>339</v>
      </c>
      <c r="E3148" t="s">
        <v>694</v>
      </c>
    </row>
    <row r="3149" spans="2:5">
      <c r="B3149" t="s">
        <v>4931</v>
      </c>
      <c r="C3149" t="s">
        <v>339</v>
      </c>
      <c r="D3149" t="s">
        <v>4932</v>
      </c>
      <c r="E3149" t="s">
        <v>350</v>
      </c>
    </row>
    <row r="3150" spans="2:5">
      <c r="B3150" t="s">
        <v>4933</v>
      </c>
      <c r="C3150">
        <v>532810</v>
      </c>
      <c r="D3150" t="s">
        <v>4934</v>
      </c>
      <c r="E3150" t="s">
        <v>356</v>
      </c>
    </row>
    <row r="3151" spans="2:5">
      <c r="B3151" t="s">
        <v>4935</v>
      </c>
      <c r="C3151">
        <v>532898</v>
      </c>
      <c r="D3151" t="s">
        <v>4936</v>
      </c>
      <c r="E3151" t="s">
        <v>478</v>
      </c>
    </row>
    <row r="3152" spans="2:5">
      <c r="B3152" t="s">
        <v>4937</v>
      </c>
      <c r="C3152">
        <v>532898</v>
      </c>
      <c r="D3152" t="s">
        <v>4936</v>
      </c>
      <c r="E3152" t="s">
        <v>478</v>
      </c>
    </row>
    <row r="3153" spans="2:5">
      <c r="B3153" t="s">
        <v>4938</v>
      </c>
      <c r="C3153">
        <v>539302</v>
      </c>
      <c r="D3153" t="s">
        <v>4939</v>
      </c>
      <c r="E3153" t="s">
        <v>737</v>
      </c>
    </row>
    <row r="3154" spans="2:5">
      <c r="B3154" t="s">
        <v>4940</v>
      </c>
      <c r="C3154" t="s">
        <v>339</v>
      </c>
      <c r="D3154" t="s">
        <v>4941</v>
      </c>
      <c r="E3154" t="s">
        <v>350</v>
      </c>
    </row>
    <row r="3155" spans="2:5">
      <c r="B3155" t="s">
        <v>4942</v>
      </c>
      <c r="C3155">
        <v>538731</v>
      </c>
      <c r="D3155" t="s">
        <v>339</v>
      </c>
      <c r="E3155" t="s">
        <v>517</v>
      </c>
    </row>
    <row r="3156" spans="2:5">
      <c r="B3156" t="s">
        <v>4943</v>
      </c>
      <c r="C3156">
        <v>532934</v>
      </c>
      <c r="D3156" t="s">
        <v>4944</v>
      </c>
      <c r="E3156" t="s">
        <v>694</v>
      </c>
    </row>
    <row r="3157" spans="2:5">
      <c r="B3157" t="s">
        <v>4945</v>
      </c>
      <c r="C3157">
        <v>539351</v>
      </c>
      <c r="D3157" t="s">
        <v>4946</v>
      </c>
      <c r="E3157" t="s">
        <v>399</v>
      </c>
    </row>
    <row r="3158" spans="2:5">
      <c r="B3158" t="s">
        <v>4947</v>
      </c>
      <c r="C3158">
        <v>540027</v>
      </c>
      <c r="D3158" t="s">
        <v>339</v>
      </c>
      <c r="E3158" t="s">
        <v>340</v>
      </c>
    </row>
    <row r="3159" spans="2:5">
      <c r="B3159" t="s">
        <v>4948</v>
      </c>
      <c r="C3159">
        <v>540027</v>
      </c>
      <c r="D3159" t="s">
        <v>339</v>
      </c>
      <c r="E3159" t="s">
        <v>340</v>
      </c>
    </row>
    <row r="3160" spans="2:5">
      <c r="B3160" t="s">
        <v>4949</v>
      </c>
      <c r="C3160">
        <v>531855</v>
      </c>
      <c r="D3160" t="s">
        <v>339</v>
      </c>
      <c r="E3160" t="s">
        <v>371</v>
      </c>
    </row>
    <row r="3161" spans="2:5">
      <c r="B3161" t="s">
        <v>4950</v>
      </c>
      <c r="C3161">
        <v>506042</v>
      </c>
      <c r="D3161" t="s">
        <v>339</v>
      </c>
      <c r="E3161" t="s">
        <v>371</v>
      </c>
    </row>
    <row r="3162" spans="2:5">
      <c r="B3162" t="s">
        <v>4951</v>
      </c>
      <c r="C3162">
        <v>513532</v>
      </c>
      <c r="D3162" t="s">
        <v>339</v>
      </c>
      <c r="E3162" t="s">
        <v>694</v>
      </c>
    </row>
    <row r="3163" spans="2:5">
      <c r="B3163" t="s">
        <v>4952</v>
      </c>
      <c r="C3163">
        <v>530095</v>
      </c>
      <c r="D3163" t="s">
        <v>339</v>
      </c>
      <c r="E3163" t="s">
        <v>371</v>
      </c>
    </row>
    <row r="3164" spans="2:5">
      <c r="B3164" t="s">
        <v>4953</v>
      </c>
      <c r="C3164">
        <v>533178</v>
      </c>
      <c r="D3164" t="s">
        <v>4954</v>
      </c>
      <c r="E3164" t="s">
        <v>354</v>
      </c>
    </row>
    <row r="3165" spans="2:5">
      <c r="B3165" t="s">
        <v>4955</v>
      </c>
      <c r="C3165">
        <v>500192</v>
      </c>
      <c r="D3165" t="s">
        <v>339</v>
      </c>
      <c r="E3165" t="s">
        <v>354</v>
      </c>
    </row>
    <row r="3166" spans="2:5">
      <c r="B3166" t="s">
        <v>4956</v>
      </c>
      <c r="C3166">
        <v>522205</v>
      </c>
      <c r="D3166" t="s">
        <v>4957</v>
      </c>
      <c r="E3166" t="s">
        <v>737</v>
      </c>
    </row>
    <row r="3167" spans="2:5">
      <c r="B3167" t="s">
        <v>4958</v>
      </c>
      <c r="C3167">
        <v>531746</v>
      </c>
      <c r="D3167" t="s">
        <v>4959</v>
      </c>
      <c r="E3167" t="s">
        <v>425</v>
      </c>
    </row>
    <row r="3168" spans="2:5">
      <c r="B3168" t="s">
        <v>4960</v>
      </c>
      <c r="C3168">
        <v>533605</v>
      </c>
      <c r="D3168" t="s">
        <v>4961</v>
      </c>
      <c r="E3168" t="s">
        <v>737</v>
      </c>
    </row>
    <row r="3169" spans="2:5">
      <c r="B3169" t="s">
        <v>4962</v>
      </c>
      <c r="C3169">
        <v>506022</v>
      </c>
      <c r="D3169" t="s">
        <v>4963</v>
      </c>
      <c r="E3169" t="s">
        <v>371</v>
      </c>
    </row>
    <row r="3170" spans="2:5">
      <c r="B3170" t="s">
        <v>4964</v>
      </c>
      <c r="C3170">
        <v>542684</v>
      </c>
      <c r="D3170" t="s">
        <v>4965</v>
      </c>
      <c r="E3170" t="s">
        <v>459</v>
      </c>
    </row>
    <row r="3171" spans="2:5">
      <c r="B3171" t="s">
        <v>4966</v>
      </c>
      <c r="C3171">
        <v>533239</v>
      </c>
      <c r="D3171" t="s">
        <v>4967</v>
      </c>
      <c r="E3171" t="s">
        <v>737</v>
      </c>
    </row>
    <row r="3172" spans="2:5">
      <c r="B3172" t="s">
        <v>4968</v>
      </c>
      <c r="C3172">
        <v>531437</v>
      </c>
      <c r="D3172" t="s">
        <v>339</v>
      </c>
      <c r="E3172" t="s">
        <v>354</v>
      </c>
    </row>
    <row r="3173" spans="2:5">
      <c r="B3173" t="s">
        <v>4969</v>
      </c>
      <c r="C3173">
        <v>531172</v>
      </c>
      <c r="D3173" t="s">
        <v>339</v>
      </c>
      <c r="E3173" t="s">
        <v>354</v>
      </c>
    </row>
    <row r="3174" spans="2:5">
      <c r="B3174" t="s">
        <v>4970</v>
      </c>
      <c r="C3174">
        <v>519014</v>
      </c>
      <c r="D3174" t="s">
        <v>339</v>
      </c>
      <c r="E3174" t="s">
        <v>354</v>
      </c>
    </row>
    <row r="3175" spans="2:5">
      <c r="B3175" t="s">
        <v>4971</v>
      </c>
      <c r="C3175">
        <v>519014</v>
      </c>
      <c r="D3175" t="s">
        <v>339</v>
      </c>
      <c r="E3175" t="s">
        <v>354</v>
      </c>
    </row>
    <row r="3176" spans="2:5">
      <c r="B3176" t="s">
        <v>4972</v>
      </c>
      <c r="C3176">
        <v>540724</v>
      </c>
      <c r="D3176" t="s">
        <v>4973</v>
      </c>
      <c r="E3176" t="s">
        <v>399</v>
      </c>
    </row>
    <row r="3177" spans="2:5">
      <c r="B3177" t="s">
        <v>4974</v>
      </c>
      <c r="C3177">
        <v>526490</v>
      </c>
      <c r="D3177" t="s">
        <v>339</v>
      </c>
      <c r="E3177" t="s">
        <v>834</v>
      </c>
    </row>
    <row r="3178" spans="2:5">
      <c r="B3178" t="s">
        <v>4975</v>
      </c>
      <c r="C3178">
        <v>531257</v>
      </c>
      <c r="D3178" t="s">
        <v>339</v>
      </c>
      <c r="E3178" t="s">
        <v>499</v>
      </c>
    </row>
    <row r="3179" spans="2:5">
      <c r="B3179" t="s">
        <v>4976</v>
      </c>
      <c r="C3179">
        <v>540901</v>
      </c>
      <c r="D3179" t="s">
        <v>4977</v>
      </c>
      <c r="E3179" t="s">
        <v>340</v>
      </c>
    </row>
    <row r="3180" spans="2:5">
      <c r="B3180" t="s">
        <v>4978</v>
      </c>
      <c r="C3180">
        <v>506107</v>
      </c>
      <c r="D3180" t="s">
        <v>339</v>
      </c>
      <c r="E3180" t="s">
        <v>760</v>
      </c>
    </row>
    <row r="3181" spans="2:5">
      <c r="B3181" t="s">
        <v>4979</v>
      </c>
      <c r="C3181">
        <v>539636</v>
      </c>
      <c r="D3181" t="s">
        <v>4980</v>
      </c>
      <c r="E3181" t="s">
        <v>694</v>
      </c>
    </row>
    <row r="3182" spans="2:5">
      <c r="B3182" t="s">
        <v>4981</v>
      </c>
      <c r="C3182">
        <v>523874</v>
      </c>
      <c r="D3182" t="s">
        <v>339</v>
      </c>
      <c r="E3182" t="s">
        <v>361</v>
      </c>
    </row>
    <row r="3183" spans="2:5">
      <c r="B3183" t="s">
        <v>4982</v>
      </c>
      <c r="C3183">
        <v>517258</v>
      </c>
      <c r="D3183" t="s">
        <v>339</v>
      </c>
      <c r="E3183" t="s">
        <v>881</v>
      </c>
    </row>
    <row r="3184" spans="2:5">
      <c r="B3184" t="s">
        <v>4983</v>
      </c>
      <c r="C3184">
        <v>523539</v>
      </c>
      <c r="D3184" t="s">
        <v>4984</v>
      </c>
      <c r="E3184" t="s">
        <v>1258</v>
      </c>
    </row>
    <row r="3185" spans="2:5">
      <c r="B3185" t="s">
        <v>4985</v>
      </c>
      <c r="C3185">
        <v>523539</v>
      </c>
      <c r="D3185" t="s">
        <v>4984</v>
      </c>
      <c r="E3185" t="s">
        <v>1258</v>
      </c>
    </row>
    <row r="3186" spans="2:5">
      <c r="B3186" t="s">
        <v>4986</v>
      </c>
      <c r="C3186" t="s">
        <v>339</v>
      </c>
      <c r="D3186" t="s">
        <v>4987</v>
      </c>
      <c r="E3186" t="s">
        <v>430</v>
      </c>
    </row>
    <row r="3187" spans="2:5">
      <c r="B3187" t="s">
        <v>4988</v>
      </c>
      <c r="C3187">
        <v>530669</v>
      </c>
      <c r="D3187" t="s">
        <v>339</v>
      </c>
      <c r="E3187" t="s">
        <v>322</v>
      </c>
    </row>
    <row r="3188" spans="2:5">
      <c r="B3188" t="s">
        <v>4989</v>
      </c>
      <c r="C3188">
        <v>530331</v>
      </c>
      <c r="D3188" t="s">
        <v>339</v>
      </c>
      <c r="E3188" t="s">
        <v>354</v>
      </c>
    </row>
    <row r="3189" spans="2:5">
      <c r="B3189" t="s">
        <v>4990</v>
      </c>
      <c r="C3189">
        <v>780007</v>
      </c>
      <c r="D3189" t="s">
        <v>339</v>
      </c>
      <c r="E3189" t="s">
        <v>430</v>
      </c>
    </row>
    <row r="3190" spans="2:5">
      <c r="B3190" t="s">
        <v>4991</v>
      </c>
      <c r="C3190">
        <v>526247</v>
      </c>
      <c r="D3190" t="s">
        <v>4992</v>
      </c>
      <c r="E3190" t="s">
        <v>499</v>
      </c>
    </row>
    <row r="3191" spans="2:5">
      <c r="B3191" t="s">
        <v>4993</v>
      </c>
      <c r="C3191">
        <v>500540</v>
      </c>
      <c r="D3191" t="s">
        <v>4994</v>
      </c>
      <c r="E3191" t="s">
        <v>347</v>
      </c>
    </row>
    <row r="3192" spans="2:5">
      <c r="B3192" t="s">
        <v>4995</v>
      </c>
      <c r="C3192">
        <v>513291</v>
      </c>
      <c r="D3192" t="s">
        <v>339</v>
      </c>
      <c r="E3192" t="s">
        <v>662</v>
      </c>
    </row>
    <row r="3193" spans="2:5">
      <c r="B3193" t="s">
        <v>4996</v>
      </c>
      <c r="C3193">
        <v>514354</v>
      </c>
      <c r="D3193" t="s">
        <v>4997</v>
      </c>
      <c r="E3193" t="s">
        <v>387</v>
      </c>
    </row>
    <row r="3194" spans="2:5">
      <c r="B3194" t="s">
        <v>4998</v>
      </c>
      <c r="C3194">
        <v>509835</v>
      </c>
      <c r="D3194" t="s">
        <v>339</v>
      </c>
      <c r="E3194" t="s">
        <v>354</v>
      </c>
    </row>
    <row r="3195" spans="2:5">
      <c r="B3195" t="s">
        <v>4999</v>
      </c>
      <c r="C3195">
        <v>531802</v>
      </c>
      <c r="D3195" t="s">
        <v>339</v>
      </c>
      <c r="E3195" t="s">
        <v>425</v>
      </c>
    </row>
    <row r="3196" spans="2:5">
      <c r="B3196" t="s">
        <v>5000</v>
      </c>
      <c r="C3196">
        <v>509077</v>
      </c>
      <c r="D3196" t="s">
        <v>5001</v>
      </c>
      <c r="E3196" t="s">
        <v>1941</v>
      </c>
    </row>
    <row r="3197" spans="2:5">
      <c r="B3197" t="s">
        <v>5002</v>
      </c>
      <c r="C3197">
        <v>533274</v>
      </c>
      <c r="D3197" t="s">
        <v>5003</v>
      </c>
      <c r="E3197" t="s">
        <v>425</v>
      </c>
    </row>
    <row r="3198" spans="2:5">
      <c r="B3198" t="s">
        <v>5004</v>
      </c>
      <c r="C3198">
        <v>540293</v>
      </c>
      <c r="D3198" t="s">
        <v>5005</v>
      </c>
      <c r="E3198" t="s">
        <v>694</v>
      </c>
    </row>
    <row r="3199" spans="2:5">
      <c r="B3199" t="s">
        <v>5006</v>
      </c>
      <c r="C3199">
        <v>519262</v>
      </c>
      <c r="D3199" t="s">
        <v>339</v>
      </c>
      <c r="E3199" t="s">
        <v>537</v>
      </c>
    </row>
    <row r="3200" spans="2:5">
      <c r="B3200" t="s">
        <v>5007</v>
      </c>
      <c r="C3200">
        <v>531246</v>
      </c>
      <c r="D3200" t="s">
        <v>339</v>
      </c>
      <c r="E3200" t="s">
        <v>588</v>
      </c>
    </row>
    <row r="3201" spans="2:5">
      <c r="B3201" t="s">
        <v>5008</v>
      </c>
      <c r="C3201">
        <v>530589</v>
      </c>
      <c r="D3201" t="s">
        <v>339</v>
      </c>
      <c r="E3201" t="s">
        <v>459</v>
      </c>
    </row>
    <row r="3202" spans="2:5">
      <c r="B3202" t="s">
        <v>5009</v>
      </c>
      <c r="C3202">
        <v>535514</v>
      </c>
      <c r="D3202" t="s">
        <v>339</v>
      </c>
      <c r="E3202" t="s">
        <v>356</v>
      </c>
    </row>
    <row r="3203" spans="2:5">
      <c r="B3203" t="s">
        <v>5010</v>
      </c>
      <c r="C3203">
        <v>540404</v>
      </c>
      <c r="D3203" t="s">
        <v>339</v>
      </c>
      <c r="E3203" t="s">
        <v>537</v>
      </c>
    </row>
    <row r="3204" spans="2:5">
      <c r="B3204" t="s">
        <v>5011</v>
      </c>
      <c r="C3204">
        <v>532748</v>
      </c>
      <c r="D3204" t="s">
        <v>5012</v>
      </c>
      <c r="E3204" t="s">
        <v>342</v>
      </c>
    </row>
    <row r="3205" spans="2:5">
      <c r="B3205" t="s">
        <v>5013</v>
      </c>
      <c r="C3205">
        <v>519299</v>
      </c>
      <c r="D3205" t="s">
        <v>339</v>
      </c>
      <c r="E3205" t="s">
        <v>588</v>
      </c>
    </row>
    <row r="3206" spans="2:5">
      <c r="B3206" t="s">
        <v>5014</v>
      </c>
      <c r="C3206">
        <v>530695</v>
      </c>
      <c r="D3206" t="s">
        <v>339</v>
      </c>
      <c r="E3206" t="s">
        <v>425</v>
      </c>
    </row>
    <row r="3207" spans="2:5">
      <c r="B3207" t="s">
        <v>5015</v>
      </c>
      <c r="C3207">
        <v>500337</v>
      </c>
      <c r="D3207" t="s">
        <v>5016</v>
      </c>
      <c r="E3207" t="s">
        <v>322</v>
      </c>
    </row>
    <row r="3208" spans="2:5">
      <c r="B3208" t="s">
        <v>5017</v>
      </c>
      <c r="C3208">
        <v>521149</v>
      </c>
      <c r="D3208" t="s">
        <v>339</v>
      </c>
      <c r="E3208" t="s">
        <v>425</v>
      </c>
    </row>
    <row r="3209" spans="2:5">
      <c r="B3209" t="s">
        <v>5018</v>
      </c>
      <c r="C3209">
        <v>521149</v>
      </c>
      <c r="D3209" t="s">
        <v>339</v>
      </c>
      <c r="E3209" t="s">
        <v>425</v>
      </c>
    </row>
    <row r="3210" spans="2:5">
      <c r="B3210" t="s">
        <v>5019</v>
      </c>
      <c r="C3210">
        <v>531735</v>
      </c>
      <c r="D3210" t="s">
        <v>339</v>
      </c>
      <c r="E3210" t="s">
        <v>356</v>
      </c>
    </row>
    <row r="3211" spans="2:5">
      <c r="B3211" t="s">
        <v>5020</v>
      </c>
      <c r="C3211">
        <v>500338</v>
      </c>
      <c r="D3211" t="s">
        <v>5021</v>
      </c>
      <c r="E3211" t="s">
        <v>352</v>
      </c>
    </row>
    <row r="3212" spans="2:5">
      <c r="B3212" t="s">
        <v>5022</v>
      </c>
      <c r="C3212">
        <v>512217</v>
      </c>
      <c r="D3212" t="s">
        <v>339</v>
      </c>
      <c r="E3212" t="s">
        <v>356</v>
      </c>
    </row>
    <row r="3213" spans="2:5">
      <c r="B3213" t="s">
        <v>5023</v>
      </c>
      <c r="C3213">
        <v>531688</v>
      </c>
      <c r="D3213" t="s">
        <v>339</v>
      </c>
      <c r="E3213" t="s">
        <v>432</v>
      </c>
    </row>
    <row r="3214" spans="2:5">
      <c r="B3214" t="s">
        <v>5024</v>
      </c>
      <c r="C3214">
        <v>531688</v>
      </c>
      <c r="D3214" t="s">
        <v>339</v>
      </c>
      <c r="E3214" t="s">
        <v>432</v>
      </c>
    </row>
    <row r="3215" spans="2:5">
      <c r="B3215" t="s">
        <v>5025</v>
      </c>
      <c r="C3215" t="s">
        <v>339</v>
      </c>
      <c r="D3215" t="s">
        <v>5026</v>
      </c>
      <c r="E3215" t="s">
        <v>350</v>
      </c>
    </row>
    <row r="3216" spans="2:5">
      <c r="B3216" t="s">
        <v>5027</v>
      </c>
      <c r="C3216">
        <v>539359</v>
      </c>
      <c r="D3216" t="s">
        <v>339</v>
      </c>
      <c r="E3216" t="s">
        <v>1258</v>
      </c>
    </row>
    <row r="3217" spans="2:5">
      <c r="B3217" t="s">
        <v>5028</v>
      </c>
      <c r="C3217">
        <v>532387</v>
      </c>
      <c r="D3217" t="s">
        <v>5029</v>
      </c>
      <c r="E3217" t="s">
        <v>342</v>
      </c>
    </row>
    <row r="3218" spans="2:5">
      <c r="B3218" t="s">
        <v>5030</v>
      </c>
      <c r="C3218">
        <v>524580</v>
      </c>
      <c r="D3218" t="s">
        <v>339</v>
      </c>
      <c r="E3218" t="s">
        <v>361</v>
      </c>
    </row>
    <row r="3219" spans="2:5">
      <c r="B3219" t="s">
        <v>5031</v>
      </c>
      <c r="C3219">
        <v>511557</v>
      </c>
      <c r="D3219" t="s">
        <v>339</v>
      </c>
      <c r="E3219" t="s">
        <v>760</v>
      </c>
    </row>
    <row r="3220" spans="2:5">
      <c r="B3220" t="s">
        <v>5032</v>
      </c>
      <c r="C3220">
        <v>512105</v>
      </c>
      <c r="D3220" t="s">
        <v>339</v>
      </c>
      <c r="E3220" t="s">
        <v>760</v>
      </c>
    </row>
    <row r="3221" spans="2:5">
      <c r="B3221" t="s">
        <v>5033</v>
      </c>
      <c r="C3221">
        <v>526009</v>
      </c>
      <c r="D3221" t="s">
        <v>339</v>
      </c>
      <c r="E3221" t="s">
        <v>361</v>
      </c>
    </row>
    <row r="3222" spans="2:5">
      <c r="B3222" t="s">
        <v>5034</v>
      </c>
      <c r="C3222">
        <v>526009</v>
      </c>
      <c r="D3222" t="s">
        <v>339</v>
      </c>
      <c r="E3222" t="s">
        <v>361</v>
      </c>
    </row>
    <row r="3223" spans="2:5">
      <c r="B3223" t="s">
        <v>5035</v>
      </c>
      <c r="C3223" t="s">
        <v>339</v>
      </c>
      <c r="D3223" t="s">
        <v>5036</v>
      </c>
      <c r="E3223" t="s">
        <v>361</v>
      </c>
    </row>
    <row r="3224" spans="2:5">
      <c r="B3224" t="s">
        <v>5037</v>
      </c>
      <c r="C3224">
        <v>500459</v>
      </c>
      <c r="D3224" t="s">
        <v>5038</v>
      </c>
      <c r="E3224" t="s">
        <v>521</v>
      </c>
    </row>
    <row r="3225" spans="2:5">
      <c r="B3225" t="s">
        <v>5039</v>
      </c>
      <c r="C3225">
        <v>531265</v>
      </c>
      <c r="D3225" t="s">
        <v>339</v>
      </c>
      <c r="E3225" t="s">
        <v>419</v>
      </c>
    </row>
    <row r="3226" spans="2:5">
      <c r="B3226" t="s">
        <v>5040</v>
      </c>
      <c r="C3226" t="s">
        <v>339</v>
      </c>
      <c r="D3226" t="s">
        <v>5041</v>
      </c>
      <c r="E3226" t="s">
        <v>350</v>
      </c>
    </row>
    <row r="3227" spans="2:5">
      <c r="B3227" t="s">
        <v>5042</v>
      </c>
      <c r="C3227">
        <v>526494</v>
      </c>
      <c r="D3227" t="s">
        <v>339</v>
      </c>
      <c r="E3227" t="s">
        <v>534</v>
      </c>
    </row>
    <row r="3228" spans="2:5">
      <c r="B3228" t="s">
        <v>5043</v>
      </c>
      <c r="C3228">
        <v>590057</v>
      </c>
      <c r="D3228" t="s">
        <v>5044</v>
      </c>
      <c r="E3228" t="s">
        <v>432</v>
      </c>
    </row>
    <row r="3229" spans="2:5">
      <c r="B3229" t="s">
        <v>5045</v>
      </c>
      <c r="C3229">
        <v>590057</v>
      </c>
      <c r="D3229" t="s">
        <v>5044</v>
      </c>
      <c r="E3229" t="s">
        <v>432</v>
      </c>
    </row>
    <row r="3230" spans="2:5">
      <c r="B3230" t="s">
        <v>5046</v>
      </c>
      <c r="C3230">
        <v>540703</v>
      </c>
      <c r="D3230" t="s">
        <v>339</v>
      </c>
      <c r="E3230" t="s">
        <v>423</v>
      </c>
    </row>
    <row r="3231" spans="2:5">
      <c r="B3231" t="s">
        <v>5047</v>
      </c>
      <c r="C3231">
        <v>532647</v>
      </c>
      <c r="D3231" t="s">
        <v>5048</v>
      </c>
      <c r="E3231" t="s">
        <v>453</v>
      </c>
    </row>
    <row r="3232" spans="2:5">
      <c r="B3232" t="s">
        <v>5049</v>
      </c>
      <c r="C3232">
        <v>532647</v>
      </c>
      <c r="D3232" t="s">
        <v>5048</v>
      </c>
      <c r="E3232" t="s">
        <v>453</v>
      </c>
    </row>
    <row r="3233" spans="2:5">
      <c r="B3233" t="s">
        <v>5050</v>
      </c>
      <c r="C3233">
        <v>534675</v>
      </c>
      <c r="D3233" t="s">
        <v>5051</v>
      </c>
      <c r="E3233" t="s">
        <v>425</v>
      </c>
    </row>
    <row r="3234" spans="2:5">
      <c r="B3234" t="s">
        <v>5052</v>
      </c>
      <c r="C3234">
        <v>505502</v>
      </c>
      <c r="D3234" t="s">
        <v>339</v>
      </c>
      <c r="E3234" t="s">
        <v>322</v>
      </c>
    </row>
    <row r="3235" spans="2:5">
      <c r="B3235" t="s">
        <v>5053</v>
      </c>
      <c r="C3235">
        <v>526801</v>
      </c>
      <c r="D3235" t="s">
        <v>5054</v>
      </c>
      <c r="E3235" t="s">
        <v>737</v>
      </c>
    </row>
    <row r="3236" spans="2:5">
      <c r="B3236" t="s">
        <v>5055</v>
      </c>
      <c r="C3236">
        <v>540544</v>
      </c>
      <c r="D3236" t="s">
        <v>5056</v>
      </c>
      <c r="E3236" t="s">
        <v>737</v>
      </c>
    </row>
    <row r="3237" spans="2:5">
      <c r="B3237" t="s">
        <v>5057</v>
      </c>
      <c r="C3237">
        <v>532524</v>
      </c>
      <c r="D3237" t="s">
        <v>5058</v>
      </c>
      <c r="E3237" t="s">
        <v>478</v>
      </c>
    </row>
    <row r="3238" spans="2:5">
      <c r="B3238" t="s">
        <v>5059</v>
      </c>
      <c r="C3238">
        <v>533344</v>
      </c>
      <c r="D3238" t="s">
        <v>5060</v>
      </c>
      <c r="E3238" t="s">
        <v>356</v>
      </c>
    </row>
    <row r="3239" spans="2:5">
      <c r="B3239" t="s">
        <v>5061</v>
      </c>
      <c r="C3239">
        <v>532524</v>
      </c>
      <c r="D3239" t="s">
        <v>5058</v>
      </c>
      <c r="E3239" t="s">
        <v>478</v>
      </c>
    </row>
    <row r="3240" spans="2:5">
      <c r="B3240" t="s">
        <v>5062</v>
      </c>
      <c r="C3240">
        <v>539006</v>
      </c>
      <c r="D3240" t="s">
        <v>339</v>
      </c>
      <c r="E3240" t="s">
        <v>1258</v>
      </c>
    </row>
    <row r="3241" spans="2:5">
      <c r="B3241" t="s">
        <v>5063</v>
      </c>
      <c r="C3241">
        <v>509220</v>
      </c>
      <c r="D3241" t="s">
        <v>5064</v>
      </c>
      <c r="E3241" t="s">
        <v>361</v>
      </c>
    </row>
    <row r="3242" spans="2:5">
      <c r="B3242" t="s">
        <v>5065</v>
      </c>
      <c r="C3242">
        <v>539785</v>
      </c>
      <c r="D3242" t="s">
        <v>5066</v>
      </c>
      <c r="E3242" t="s">
        <v>333</v>
      </c>
    </row>
    <row r="3243" spans="2:5">
      <c r="B3243" t="s">
        <v>5067</v>
      </c>
      <c r="C3243">
        <v>512591</v>
      </c>
      <c r="D3243" t="s">
        <v>339</v>
      </c>
      <c r="E3243" t="s">
        <v>361</v>
      </c>
    </row>
    <row r="3244" spans="2:5">
      <c r="B3244" t="s">
        <v>5068</v>
      </c>
      <c r="C3244" t="s">
        <v>339</v>
      </c>
      <c r="D3244" t="s">
        <v>5069</v>
      </c>
      <c r="E3244" t="s">
        <v>350</v>
      </c>
    </row>
    <row r="3245" spans="2:5">
      <c r="B3245" t="s">
        <v>5070</v>
      </c>
      <c r="C3245">
        <v>512461</v>
      </c>
      <c r="D3245" t="s">
        <v>339</v>
      </c>
      <c r="E3245" t="s">
        <v>361</v>
      </c>
    </row>
    <row r="3246" spans="2:5">
      <c r="B3246" t="s">
        <v>5071</v>
      </c>
      <c r="C3246">
        <v>512099</v>
      </c>
      <c r="D3246" t="s">
        <v>339</v>
      </c>
      <c r="E3246" t="s">
        <v>453</v>
      </c>
    </row>
    <row r="3247" spans="2:5">
      <c r="B3247" t="s">
        <v>5072</v>
      </c>
      <c r="C3247">
        <v>532693</v>
      </c>
      <c r="D3247" t="s">
        <v>5073</v>
      </c>
      <c r="E3247" t="s">
        <v>737</v>
      </c>
    </row>
    <row r="3248" spans="2:5">
      <c r="B3248" t="s">
        <v>5074</v>
      </c>
      <c r="C3248">
        <v>533295</v>
      </c>
      <c r="D3248" t="s">
        <v>5075</v>
      </c>
      <c r="E3248" t="s">
        <v>657</v>
      </c>
    </row>
    <row r="3249" spans="2:5">
      <c r="B3249" t="s">
        <v>5076</v>
      </c>
      <c r="C3249">
        <v>506852</v>
      </c>
      <c r="D3249" t="s">
        <v>339</v>
      </c>
      <c r="E3249" t="s">
        <v>387</v>
      </c>
    </row>
    <row r="3250" spans="2:5">
      <c r="B3250" t="s">
        <v>5077</v>
      </c>
      <c r="C3250">
        <v>506618</v>
      </c>
      <c r="D3250" t="s">
        <v>5078</v>
      </c>
      <c r="E3250" t="s">
        <v>483</v>
      </c>
    </row>
    <row r="3251" spans="2:5">
      <c r="B3251" t="s">
        <v>5079</v>
      </c>
      <c r="C3251">
        <v>500346</v>
      </c>
      <c r="D3251" t="s">
        <v>339</v>
      </c>
      <c r="E3251" t="s">
        <v>485</v>
      </c>
    </row>
    <row r="3252" spans="2:5">
      <c r="B3252" t="s">
        <v>5080</v>
      </c>
      <c r="C3252">
        <v>532461</v>
      </c>
      <c r="D3252" t="s">
        <v>5081</v>
      </c>
      <c r="E3252" t="s">
        <v>657</v>
      </c>
    </row>
    <row r="3253" spans="2:5">
      <c r="B3253" t="s">
        <v>5082</v>
      </c>
      <c r="C3253">
        <v>532891</v>
      </c>
      <c r="D3253" t="s">
        <v>5083</v>
      </c>
      <c r="E3253" t="s">
        <v>425</v>
      </c>
    </row>
    <row r="3254" spans="2:5">
      <c r="B3254" t="s">
        <v>5084</v>
      </c>
      <c r="C3254">
        <v>540492</v>
      </c>
      <c r="D3254" t="s">
        <v>339</v>
      </c>
      <c r="E3254" t="s">
        <v>361</v>
      </c>
    </row>
    <row r="3255" spans="2:5">
      <c r="B3255" t="s">
        <v>5085</v>
      </c>
      <c r="C3255">
        <v>523315</v>
      </c>
      <c r="D3255" t="s">
        <v>339</v>
      </c>
      <c r="E3255" t="s">
        <v>333</v>
      </c>
    </row>
    <row r="3256" spans="2:5">
      <c r="B3256" t="s">
        <v>5086</v>
      </c>
      <c r="C3256">
        <v>538993</v>
      </c>
      <c r="D3256" t="s">
        <v>339</v>
      </c>
      <c r="E3256" t="s">
        <v>425</v>
      </c>
    </row>
    <row r="3257" spans="2:5">
      <c r="B3257" t="s">
        <v>5087</v>
      </c>
      <c r="C3257">
        <v>540159</v>
      </c>
      <c r="D3257" t="s">
        <v>339</v>
      </c>
      <c r="E3257" t="s">
        <v>342</v>
      </c>
    </row>
    <row r="3258" spans="2:5">
      <c r="B3258" t="s">
        <v>5088</v>
      </c>
      <c r="C3258">
        <v>538647</v>
      </c>
      <c r="D3258" t="s">
        <v>339</v>
      </c>
      <c r="E3258" t="s">
        <v>356</v>
      </c>
    </row>
    <row r="3259" spans="2:5">
      <c r="B3259" t="s">
        <v>5089</v>
      </c>
      <c r="C3259" t="s">
        <v>339</v>
      </c>
      <c r="D3259" t="s">
        <v>5090</v>
      </c>
      <c r="E3259" t="s">
        <v>350</v>
      </c>
    </row>
    <row r="3260" spans="2:5">
      <c r="B3260" t="s">
        <v>5091</v>
      </c>
      <c r="C3260">
        <v>531562</v>
      </c>
      <c r="D3260" t="s">
        <v>339</v>
      </c>
      <c r="E3260" t="s">
        <v>354</v>
      </c>
    </row>
    <row r="3261" spans="2:5">
      <c r="B3261" t="s">
        <v>5092</v>
      </c>
      <c r="C3261">
        <v>517556</v>
      </c>
      <c r="D3261" t="s">
        <v>5093</v>
      </c>
      <c r="E3261" t="s">
        <v>425</v>
      </c>
    </row>
    <row r="3262" spans="2:5">
      <c r="B3262" t="s">
        <v>5094</v>
      </c>
      <c r="C3262">
        <v>532689</v>
      </c>
      <c r="D3262" t="s">
        <v>5095</v>
      </c>
      <c r="E3262" t="s">
        <v>340</v>
      </c>
    </row>
    <row r="3263" spans="2:5">
      <c r="B3263" t="s">
        <v>5096</v>
      </c>
      <c r="C3263">
        <v>536659</v>
      </c>
      <c r="D3263" t="s">
        <v>339</v>
      </c>
      <c r="E3263" t="s">
        <v>737</v>
      </c>
    </row>
    <row r="3264" spans="2:5">
      <c r="B3264" t="s">
        <v>5097</v>
      </c>
      <c r="C3264">
        <v>534109</v>
      </c>
      <c r="D3264" t="s">
        <v>339</v>
      </c>
      <c r="E3264" t="s">
        <v>356</v>
      </c>
    </row>
    <row r="3265" spans="2:5">
      <c r="B3265" t="s">
        <v>5098</v>
      </c>
      <c r="C3265">
        <v>511116</v>
      </c>
      <c r="D3265" t="s">
        <v>339</v>
      </c>
      <c r="E3265" t="s">
        <v>1282</v>
      </c>
    </row>
    <row r="3266" spans="2:5">
      <c r="B3266" t="s">
        <v>5099</v>
      </c>
      <c r="C3266">
        <v>538596</v>
      </c>
      <c r="D3266" t="s">
        <v>339</v>
      </c>
      <c r="E3266" t="s">
        <v>425</v>
      </c>
    </row>
    <row r="3267" spans="2:5">
      <c r="B3267" t="s">
        <v>5100</v>
      </c>
      <c r="C3267">
        <v>530281</v>
      </c>
      <c r="D3267" t="s">
        <v>339</v>
      </c>
      <c r="E3267" t="s">
        <v>534</v>
      </c>
    </row>
    <row r="3268" spans="2:5">
      <c r="B3268" t="s">
        <v>5101</v>
      </c>
      <c r="C3268">
        <v>530281</v>
      </c>
      <c r="D3268" t="s">
        <v>339</v>
      </c>
      <c r="E3268" t="s">
        <v>534</v>
      </c>
    </row>
    <row r="3269" spans="2:5">
      <c r="B3269" t="s">
        <v>5102</v>
      </c>
      <c r="C3269">
        <v>590099</v>
      </c>
      <c r="D3269" t="s">
        <v>5103</v>
      </c>
      <c r="E3269" t="s">
        <v>322</v>
      </c>
    </row>
    <row r="3270" spans="2:5">
      <c r="B3270" t="s">
        <v>5104</v>
      </c>
      <c r="C3270">
        <v>590110</v>
      </c>
      <c r="D3270" t="s">
        <v>5105</v>
      </c>
      <c r="E3270" t="s">
        <v>322</v>
      </c>
    </row>
    <row r="3271" spans="2:5">
      <c r="B3271" t="s">
        <v>5106</v>
      </c>
      <c r="C3271">
        <v>539978</v>
      </c>
      <c r="D3271" t="s">
        <v>5107</v>
      </c>
      <c r="E3271" t="s">
        <v>328</v>
      </c>
    </row>
    <row r="3272" spans="2:5">
      <c r="B3272" t="s">
        <v>5108</v>
      </c>
      <c r="C3272">
        <v>539962</v>
      </c>
      <c r="D3272" t="s">
        <v>339</v>
      </c>
      <c r="E3272" t="s">
        <v>356</v>
      </c>
    </row>
    <row r="3273" spans="2:5">
      <c r="B3273" t="s">
        <v>5109</v>
      </c>
      <c r="C3273">
        <v>535719</v>
      </c>
      <c r="D3273" t="s">
        <v>339</v>
      </c>
      <c r="E3273" t="s">
        <v>325</v>
      </c>
    </row>
    <row r="3274" spans="2:5">
      <c r="B3274" t="s">
        <v>5110</v>
      </c>
      <c r="C3274">
        <v>535719</v>
      </c>
      <c r="D3274" t="s">
        <v>339</v>
      </c>
      <c r="E3274" t="s">
        <v>325</v>
      </c>
    </row>
    <row r="3275" spans="2:5">
      <c r="B3275" t="s">
        <v>5111</v>
      </c>
      <c r="C3275">
        <v>539678</v>
      </c>
      <c r="D3275" t="s">
        <v>5112</v>
      </c>
      <c r="E3275" t="s">
        <v>432</v>
      </c>
    </row>
    <row r="3276" spans="2:5">
      <c r="B3276" t="s">
        <v>5113</v>
      </c>
      <c r="C3276">
        <v>532866</v>
      </c>
      <c r="D3276" t="s">
        <v>5114</v>
      </c>
      <c r="E3276" t="s">
        <v>325</v>
      </c>
    </row>
    <row r="3277" spans="2:5">
      <c r="B3277" t="s">
        <v>5115</v>
      </c>
      <c r="C3277">
        <v>532024</v>
      </c>
      <c r="D3277" t="s">
        <v>339</v>
      </c>
      <c r="E3277" t="s">
        <v>322</v>
      </c>
    </row>
    <row r="3278" spans="2:5">
      <c r="B3278" t="s">
        <v>5116</v>
      </c>
      <c r="C3278">
        <v>536456</v>
      </c>
      <c r="D3278" t="s">
        <v>339</v>
      </c>
      <c r="E3278" t="s">
        <v>537</v>
      </c>
    </row>
    <row r="3279" spans="2:5">
      <c r="B3279" t="s">
        <v>5117</v>
      </c>
      <c r="C3279">
        <v>509845</v>
      </c>
      <c r="D3279" t="s">
        <v>339</v>
      </c>
      <c r="E3279" t="s">
        <v>425</v>
      </c>
    </row>
    <row r="3280" spans="2:5">
      <c r="B3280" t="s">
        <v>5118</v>
      </c>
      <c r="C3280" t="s">
        <v>339</v>
      </c>
      <c r="D3280" t="s">
        <v>5119</v>
      </c>
      <c r="E3280" t="s">
        <v>350</v>
      </c>
    </row>
    <row r="3281" spans="2:5">
      <c r="B3281" t="s">
        <v>5120</v>
      </c>
      <c r="C3281">
        <v>533284</v>
      </c>
      <c r="D3281" t="s">
        <v>5121</v>
      </c>
      <c r="E3281" t="s">
        <v>737</v>
      </c>
    </row>
    <row r="3282" spans="2:5">
      <c r="B3282" t="s">
        <v>5122</v>
      </c>
      <c r="C3282">
        <v>530917</v>
      </c>
      <c r="D3282" t="s">
        <v>339</v>
      </c>
      <c r="E3282" t="s">
        <v>760</v>
      </c>
    </row>
    <row r="3283" spans="2:5">
      <c r="B3283" t="s">
        <v>5123</v>
      </c>
      <c r="C3283">
        <v>517447</v>
      </c>
      <c r="D3283" t="s">
        <v>5124</v>
      </c>
      <c r="E3283" t="s">
        <v>432</v>
      </c>
    </row>
    <row r="3284" spans="2:5">
      <c r="B3284" t="s">
        <v>5125</v>
      </c>
      <c r="C3284">
        <v>517447</v>
      </c>
      <c r="D3284" t="s">
        <v>5124</v>
      </c>
      <c r="E3284" t="s">
        <v>432</v>
      </c>
    </row>
    <row r="3285" spans="2:5">
      <c r="B3285" t="s">
        <v>5126</v>
      </c>
      <c r="C3285">
        <v>532735</v>
      </c>
      <c r="D3285" t="s">
        <v>5127</v>
      </c>
      <c r="E3285" t="s">
        <v>325</v>
      </c>
    </row>
    <row r="3286" spans="2:5">
      <c r="B3286" t="s">
        <v>5128</v>
      </c>
      <c r="C3286">
        <v>512565</v>
      </c>
      <c r="D3286" t="s">
        <v>339</v>
      </c>
      <c r="E3286" t="s">
        <v>537</v>
      </c>
    </row>
    <row r="3287" spans="2:5">
      <c r="B3287" t="s">
        <v>5129</v>
      </c>
      <c r="C3287">
        <v>538119</v>
      </c>
      <c r="D3287" t="s">
        <v>339</v>
      </c>
      <c r="E3287" t="s">
        <v>354</v>
      </c>
    </row>
    <row r="3288" spans="2:5">
      <c r="B3288" t="s">
        <v>5130</v>
      </c>
      <c r="C3288">
        <v>524502</v>
      </c>
      <c r="D3288" t="s">
        <v>339</v>
      </c>
      <c r="E3288" t="s">
        <v>1505</v>
      </c>
    </row>
    <row r="3289" spans="2:5">
      <c r="B3289" t="s">
        <v>5131</v>
      </c>
      <c r="C3289">
        <v>524502</v>
      </c>
      <c r="D3289" t="s">
        <v>339</v>
      </c>
      <c r="E3289" t="s">
        <v>1505</v>
      </c>
    </row>
    <row r="3290" spans="2:5">
      <c r="B3290" t="s">
        <v>5132</v>
      </c>
      <c r="C3290">
        <v>502271</v>
      </c>
      <c r="D3290" t="s">
        <v>339</v>
      </c>
      <c r="E3290" t="s">
        <v>524</v>
      </c>
    </row>
    <row r="3291" spans="2:5">
      <c r="B3291" t="s">
        <v>5133</v>
      </c>
      <c r="C3291">
        <v>520073</v>
      </c>
      <c r="D3291" t="s">
        <v>339</v>
      </c>
      <c r="E3291" t="s">
        <v>694</v>
      </c>
    </row>
    <row r="3292" spans="2:5">
      <c r="B3292" t="s">
        <v>5134</v>
      </c>
      <c r="C3292">
        <v>590070</v>
      </c>
      <c r="D3292" t="s">
        <v>5135</v>
      </c>
      <c r="E3292" t="s">
        <v>342</v>
      </c>
    </row>
    <row r="3293" spans="2:5">
      <c r="B3293" t="s">
        <v>5136</v>
      </c>
      <c r="C3293">
        <v>590070</v>
      </c>
      <c r="D3293" t="s">
        <v>5135</v>
      </c>
      <c r="E3293" t="s">
        <v>342</v>
      </c>
    </row>
    <row r="3294" spans="2:5">
      <c r="B3294" t="s">
        <v>5137</v>
      </c>
      <c r="C3294">
        <v>532692</v>
      </c>
      <c r="D3294" t="s">
        <v>5138</v>
      </c>
      <c r="E3294" t="s">
        <v>534</v>
      </c>
    </row>
    <row r="3295" spans="2:5">
      <c r="B3295" t="s">
        <v>5139</v>
      </c>
      <c r="C3295">
        <v>539673</v>
      </c>
      <c r="D3295" t="s">
        <v>339</v>
      </c>
      <c r="E3295" t="s">
        <v>373</v>
      </c>
    </row>
    <row r="3296" spans="2:5">
      <c r="B3296" t="s">
        <v>5140</v>
      </c>
      <c r="C3296">
        <v>531273</v>
      </c>
      <c r="D3296" t="s">
        <v>339</v>
      </c>
      <c r="E3296" t="s">
        <v>425</v>
      </c>
    </row>
    <row r="3297" spans="2:5">
      <c r="B3297" t="s">
        <v>5141</v>
      </c>
      <c r="C3297">
        <v>531273</v>
      </c>
      <c r="D3297" t="s">
        <v>339</v>
      </c>
      <c r="E3297" t="s">
        <v>425</v>
      </c>
    </row>
    <row r="3298" spans="2:5">
      <c r="B3298" t="s">
        <v>5142</v>
      </c>
      <c r="C3298">
        <v>539814</v>
      </c>
      <c r="D3298" t="s">
        <v>339</v>
      </c>
      <c r="E3298" t="s">
        <v>361</v>
      </c>
    </row>
    <row r="3299" spans="2:5">
      <c r="B3299" t="s">
        <v>5143</v>
      </c>
      <c r="C3299">
        <v>540125</v>
      </c>
      <c r="D3299" t="s">
        <v>339</v>
      </c>
      <c r="E3299" t="s">
        <v>453</v>
      </c>
    </row>
    <row r="3300" spans="2:5">
      <c r="B3300" t="s">
        <v>5144</v>
      </c>
      <c r="C3300">
        <v>532497</v>
      </c>
      <c r="D3300" t="s">
        <v>5145</v>
      </c>
      <c r="E3300" t="s">
        <v>970</v>
      </c>
    </row>
    <row r="3301" spans="2:5">
      <c r="B3301" t="s">
        <v>5146</v>
      </c>
      <c r="C3301">
        <v>531412</v>
      </c>
      <c r="D3301" t="s">
        <v>339</v>
      </c>
      <c r="E3301" t="s">
        <v>521</v>
      </c>
    </row>
    <row r="3302" spans="2:5">
      <c r="B3302" t="s">
        <v>5147</v>
      </c>
      <c r="C3302">
        <v>531412</v>
      </c>
      <c r="D3302" t="s">
        <v>339</v>
      </c>
      <c r="E3302" t="s">
        <v>521</v>
      </c>
    </row>
    <row r="3303" spans="2:5">
      <c r="B3303" t="s">
        <v>5148</v>
      </c>
      <c r="C3303">
        <v>539837</v>
      </c>
      <c r="D3303" t="s">
        <v>339</v>
      </c>
      <c r="E3303" t="s">
        <v>524</v>
      </c>
    </row>
    <row r="3304" spans="2:5">
      <c r="B3304" t="s">
        <v>5149</v>
      </c>
      <c r="C3304">
        <v>526813</v>
      </c>
      <c r="D3304" t="s">
        <v>339</v>
      </c>
      <c r="E3304" t="s">
        <v>2509</v>
      </c>
    </row>
    <row r="3305" spans="2:5">
      <c r="B3305" t="s">
        <v>5150</v>
      </c>
      <c r="C3305">
        <v>531552</v>
      </c>
      <c r="D3305" t="s">
        <v>339</v>
      </c>
      <c r="E3305" t="s">
        <v>425</v>
      </c>
    </row>
    <row r="3306" spans="2:5">
      <c r="B3306" t="s">
        <v>5151</v>
      </c>
      <c r="C3306">
        <v>538921</v>
      </c>
      <c r="D3306" t="s">
        <v>339</v>
      </c>
      <c r="E3306" t="s">
        <v>537</v>
      </c>
    </row>
    <row r="3307" spans="2:5">
      <c r="B3307" t="s">
        <v>5152</v>
      </c>
      <c r="C3307">
        <v>514316</v>
      </c>
      <c r="D3307" t="s">
        <v>339</v>
      </c>
      <c r="E3307" t="s">
        <v>354</v>
      </c>
    </row>
    <row r="3308" spans="2:5">
      <c r="B3308" t="s">
        <v>5153</v>
      </c>
      <c r="C3308">
        <v>531887</v>
      </c>
      <c r="D3308" t="s">
        <v>339</v>
      </c>
      <c r="E3308" t="s">
        <v>453</v>
      </c>
    </row>
    <row r="3309" spans="2:5">
      <c r="B3309" t="s">
        <v>5154</v>
      </c>
      <c r="C3309">
        <v>540270</v>
      </c>
      <c r="D3309" t="s">
        <v>339</v>
      </c>
      <c r="E3309" t="s">
        <v>361</v>
      </c>
    </row>
    <row r="3310" spans="2:5">
      <c r="B3310" t="s">
        <v>5155</v>
      </c>
      <c r="C3310">
        <v>542649</v>
      </c>
      <c r="D3310" t="s">
        <v>5156</v>
      </c>
      <c r="E3310" t="s">
        <v>5157</v>
      </c>
    </row>
    <row r="3311" spans="2:5">
      <c r="B3311" t="s">
        <v>5158</v>
      </c>
      <c r="C3311">
        <v>500339</v>
      </c>
      <c r="D3311" t="s">
        <v>5159</v>
      </c>
      <c r="E3311" t="s">
        <v>553</v>
      </c>
    </row>
    <row r="3312" spans="2:5">
      <c r="B3312" t="s">
        <v>5160</v>
      </c>
      <c r="C3312">
        <v>532441</v>
      </c>
      <c r="D3312" t="s">
        <v>339</v>
      </c>
      <c r="E3312" t="s">
        <v>354</v>
      </c>
    </row>
    <row r="3313" spans="2:5">
      <c r="B3313" t="s">
        <v>5161</v>
      </c>
      <c r="C3313">
        <v>531694</v>
      </c>
      <c r="D3313" t="s">
        <v>339</v>
      </c>
      <c r="E3313" t="s">
        <v>425</v>
      </c>
    </row>
    <row r="3314" spans="2:5">
      <c r="B3314" t="s">
        <v>5162</v>
      </c>
      <c r="C3314">
        <v>523523</v>
      </c>
      <c r="D3314" t="s">
        <v>5163</v>
      </c>
      <c r="E3314" t="s">
        <v>333</v>
      </c>
    </row>
    <row r="3315" spans="2:5">
      <c r="B3315" t="s">
        <v>5164</v>
      </c>
      <c r="C3315">
        <v>530111</v>
      </c>
      <c r="D3315" t="s">
        <v>339</v>
      </c>
      <c r="E3315" t="s">
        <v>534</v>
      </c>
    </row>
    <row r="3316" spans="2:5">
      <c r="B3316" t="s">
        <v>5165</v>
      </c>
      <c r="C3316">
        <v>530699</v>
      </c>
      <c r="D3316" t="s">
        <v>5166</v>
      </c>
      <c r="E3316" t="s">
        <v>354</v>
      </c>
    </row>
    <row r="3317" spans="2:5">
      <c r="B3317" t="s">
        <v>5167</v>
      </c>
      <c r="C3317">
        <v>532826</v>
      </c>
      <c r="D3317" t="s">
        <v>5168</v>
      </c>
      <c r="E3317" t="s">
        <v>1077</v>
      </c>
    </row>
    <row r="3318" spans="2:5">
      <c r="B3318" t="s">
        <v>5169</v>
      </c>
      <c r="C3318">
        <v>503127</v>
      </c>
      <c r="D3318" t="s">
        <v>339</v>
      </c>
      <c r="E3318" t="s">
        <v>328</v>
      </c>
    </row>
    <row r="3319" spans="2:5">
      <c r="B3319" t="s">
        <v>5170</v>
      </c>
      <c r="C3319">
        <v>532503</v>
      </c>
      <c r="D3319" t="s">
        <v>339</v>
      </c>
      <c r="E3319" t="s">
        <v>354</v>
      </c>
    </row>
    <row r="3320" spans="2:5">
      <c r="B3320" t="s">
        <v>5171</v>
      </c>
      <c r="C3320">
        <v>538707</v>
      </c>
      <c r="D3320" t="s">
        <v>339</v>
      </c>
      <c r="E3320" t="s">
        <v>534</v>
      </c>
    </row>
    <row r="3321" spans="2:5">
      <c r="B3321" t="s">
        <v>5172</v>
      </c>
      <c r="C3321">
        <v>526873</v>
      </c>
      <c r="D3321" t="s">
        <v>339</v>
      </c>
      <c r="E3321" t="s">
        <v>549</v>
      </c>
    </row>
    <row r="3322" spans="2:5">
      <c r="B3322" t="s">
        <v>5173</v>
      </c>
      <c r="C3322">
        <v>530253</v>
      </c>
      <c r="D3322" t="s">
        <v>339</v>
      </c>
      <c r="E3322" t="s">
        <v>662</v>
      </c>
    </row>
    <row r="3323" spans="2:5">
      <c r="B3323" t="s">
        <v>5174</v>
      </c>
      <c r="C3323">
        <v>507962</v>
      </c>
      <c r="D3323" t="s">
        <v>339</v>
      </c>
      <c r="E3323" t="s">
        <v>356</v>
      </c>
    </row>
    <row r="3324" spans="2:5">
      <c r="B3324" t="s">
        <v>5175</v>
      </c>
      <c r="C3324">
        <v>526662</v>
      </c>
      <c r="D3324" t="s">
        <v>5176</v>
      </c>
      <c r="E3324" t="s">
        <v>737</v>
      </c>
    </row>
    <row r="3325" spans="2:5">
      <c r="B3325" t="s">
        <v>5177</v>
      </c>
      <c r="C3325">
        <v>531500</v>
      </c>
      <c r="D3325" t="s">
        <v>5178</v>
      </c>
      <c r="E3325" t="s">
        <v>453</v>
      </c>
    </row>
    <row r="3326" spans="2:5">
      <c r="B3326" t="s">
        <v>5179</v>
      </c>
      <c r="C3326">
        <v>526823</v>
      </c>
      <c r="D3326" t="s">
        <v>339</v>
      </c>
      <c r="E3326" t="s">
        <v>425</v>
      </c>
    </row>
    <row r="3327" spans="2:5">
      <c r="B3327" t="s">
        <v>5180</v>
      </c>
      <c r="C3327">
        <v>514028</v>
      </c>
      <c r="D3327" t="s">
        <v>339</v>
      </c>
      <c r="E3327" t="s">
        <v>354</v>
      </c>
    </row>
    <row r="3328" spans="2:5">
      <c r="B3328" t="s">
        <v>5181</v>
      </c>
      <c r="C3328">
        <v>539495</v>
      </c>
      <c r="D3328" t="s">
        <v>339</v>
      </c>
      <c r="E3328" t="s">
        <v>356</v>
      </c>
    </row>
    <row r="3329" spans="2:5">
      <c r="B3329" t="s">
        <v>5182</v>
      </c>
      <c r="C3329">
        <v>513369</v>
      </c>
      <c r="D3329" t="s">
        <v>339</v>
      </c>
      <c r="E3329" t="s">
        <v>1258</v>
      </c>
    </row>
    <row r="3330" spans="2:5">
      <c r="B3330" t="s">
        <v>5183</v>
      </c>
      <c r="C3330" t="s">
        <v>339</v>
      </c>
      <c r="D3330" t="s">
        <v>5184</v>
      </c>
      <c r="E3330" t="s">
        <v>350</v>
      </c>
    </row>
    <row r="3331" spans="2:5">
      <c r="B3331" t="s">
        <v>5185</v>
      </c>
      <c r="C3331">
        <v>541601</v>
      </c>
      <c r="D3331" t="s">
        <v>339</v>
      </c>
      <c r="E3331" t="s">
        <v>377</v>
      </c>
    </row>
    <row r="3332" spans="2:5">
      <c r="B3332" t="s">
        <v>5186</v>
      </c>
      <c r="C3332">
        <v>522257</v>
      </c>
      <c r="D3332" t="s">
        <v>339</v>
      </c>
      <c r="E3332" t="s">
        <v>347</v>
      </c>
    </row>
    <row r="3333" spans="2:5">
      <c r="B3333" t="s">
        <v>5187</v>
      </c>
      <c r="C3333">
        <v>517522</v>
      </c>
      <c r="D3333" t="s">
        <v>339</v>
      </c>
      <c r="E3333" t="s">
        <v>694</v>
      </c>
    </row>
    <row r="3334" spans="2:5">
      <c r="B3334" t="s">
        <v>5188</v>
      </c>
      <c r="C3334">
        <v>512409</v>
      </c>
      <c r="D3334" t="s">
        <v>339</v>
      </c>
      <c r="E3334" t="s">
        <v>356</v>
      </c>
    </row>
    <row r="3335" spans="2:5">
      <c r="B3335" t="s">
        <v>5189</v>
      </c>
      <c r="C3335" t="s">
        <v>339</v>
      </c>
      <c r="D3335" t="s">
        <v>5190</v>
      </c>
      <c r="E3335" t="s">
        <v>350</v>
      </c>
    </row>
    <row r="3336" spans="2:5">
      <c r="B3336" t="s">
        <v>5191</v>
      </c>
      <c r="C3336">
        <v>500354</v>
      </c>
      <c r="D3336" t="s">
        <v>5192</v>
      </c>
      <c r="E3336" t="s">
        <v>1037</v>
      </c>
    </row>
    <row r="3337" spans="2:5">
      <c r="B3337" t="s">
        <v>5193</v>
      </c>
      <c r="C3337">
        <v>532665</v>
      </c>
      <c r="D3337" t="s">
        <v>5194</v>
      </c>
      <c r="E3337" t="s">
        <v>354</v>
      </c>
    </row>
    <row r="3338" spans="2:5">
      <c r="B3338" t="s">
        <v>5195</v>
      </c>
      <c r="C3338">
        <v>500355</v>
      </c>
      <c r="D3338" t="s">
        <v>5196</v>
      </c>
      <c r="E3338" t="s">
        <v>483</v>
      </c>
    </row>
    <row r="3339" spans="2:5">
      <c r="B3339" t="s">
        <v>5197</v>
      </c>
      <c r="C3339">
        <v>500355</v>
      </c>
      <c r="D3339" t="s">
        <v>5196</v>
      </c>
      <c r="E3339" t="s">
        <v>483</v>
      </c>
    </row>
    <row r="3340" spans="2:5">
      <c r="B3340" t="s">
        <v>5198</v>
      </c>
      <c r="C3340">
        <v>534734</v>
      </c>
      <c r="D3340" t="s">
        <v>339</v>
      </c>
      <c r="E3340" t="s">
        <v>499</v>
      </c>
    </row>
    <row r="3341" spans="2:5">
      <c r="B3341" t="s">
        <v>5199</v>
      </c>
      <c r="C3341">
        <v>522281</v>
      </c>
      <c r="D3341" t="s">
        <v>339</v>
      </c>
      <c r="E3341" t="s">
        <v>637</v>
      </c>
    </row>
    <row r="3342" spans="2:5">
      <c r="B3342" t="s">
        <v>5200</v>
      </c>
      <c r="C3342">
        <v>500357</v>
      </c>
      <c r="D3342" t="s">
        <v>339</v>
      </c>
      <c r="E3342" t="s">
        <v>333</v>
      </c>
    </row>
    <row r="3343" spans="2:5">
      <c r="B3343" t="s">
        <v>5201</v>
      </c>
      <c r="C3343">
        <v>500358</v>
      </c>
      <c r="D3343" t="s">
        <v>339</v>
      </c>
      <c r="E3343" t="s">
        <v>356</v>
      </c>
    </row>
    <row r="3344" spans="2:5">
      <c r="B3344" t="s">
        <v>5202</v>
      </c>
      <c r="C3344">
        <v>524037</v>
      </c>
      <c r="D3344" t="s">
        <v>339</v>
      </c>
      <c r="E3344" t="s">
        <v>847</v>
      </c>
    </row>
    <row r="3345" spans="2:5">
      <c r="B3345" t="s">
        <v>5203</v>
      </c>
      <c r="C3345">
        <v>502587</v>
      </c>
      <c r="D3345" t="s">
        <v>339</v>
      </c>
      <c r="E3345" t="s">
        <v>333</v>
      </c>
    </row>
    <row r="3346" spans="2:5">
      <c r="B3346" t="s">
        <v>5204</v>
      </c>
      <c r="C3346">
        <v>539309</v>
      </c>
      <c r="D3346" t="s">
        <v>5205</v>
      </c>
      <c r="E3346" t="s">
        <v>662</v>
      </c>
    </row>
    <row r="3347" spans="2:5">
      <c r="B3347" t="s">
        <v>5206</v>
      </c>
      <c r="C3347">
        <v>523289</v>
      </c>
      <c r="D3347" t="s">
        <v>339</v>
      </c>
      <c r="E3347" t="s">
        <v>361</v>
      </c>
    </row>
    <row r="3348" spans="2:5">
      <c r="B3348" t="s">
        <v>5207</v>
      </c>
      <c r="C3348">
        <v>515127</v>
      </c>
      <c r="D3348" t="s">
        <v>339</v>
      </c>
      <c r="E3348" t="s">
        <v>361</v>
      </c>
    </row>
    <row r="3349" spans="2:5">
      <c r="B3349" t="s">
        <v>5208</v>
      </c>
      <c r="C3349">
        <v>538540</v>
      </c>
      <c r="D3349" t="s">
        <v>339</v>
      </c>
      <c r="E3349" t="s">
        <v>356</v>
      </c>
    </row>
    <row r="3350" spans="2:5">
      <c r="B3350" t="s">
        <v>5209</v>
      </c>
      <c r="C3350">
        <v>532369</v>
      </c>
      <c r="D3350" t="s">
        <v>5210</v>
      </c>
      <c r="E3350" t="s">
        <v>867</v>
      </c>
    </row>
    <row r="3351" spans="2:5">
      <c r="B3351" t="s">
        <v>5211</v>
      </c>
      <c r="C3351">
        <v>532370</v>
      </c>
      <c r="D3351" t="s">
        <v>5212</v>
      </c>
      <c r="E3351" t="s">
        <v>325</v>
      </c>
    </row>
    <row r="3352" spans="2:5">
      <c r="B3352" t="s">
        <v>5213</v>
      </c>
      <c r="C3352">
        <v>514223</v>
      </c>
      <c r="D3352" t="s">
        <v>5214</v>
      </c>
      <c r="E3352" t="s">
        <v>361</v>
      </c>
    </row>
    <row r="3353" spans="2:5">
      <c r="B3353" t="s">
        <v>5215</v>
      </c>
      <c r="C3353">
        <v>530951</v>
      </c>
      <c r="D3353" t="s">
        <v>339</v>
      </c>
      <c r="E3353" t="s">
        <v>432</v>
      </c>
    </row>
    <row r="3354" spans="2:5">
      <c r="B3354" t="s">
        <v>5216</v>
      </c>
      <c r="C3354">
        <v>532527</v>
      </c>
      <c r="D3354" t="s">
        <v>5217</v>
      </c>
      <c r="E3354" t="s">
        <v>1258</v>
      </c>
    </row>
    <row r="3355" spans="2:5">
      <c r="B3355" t="s">
        <v>5218</v>
      </c>
      <c r="C3355">
        <v>533262</v>
      </c>
      <c r="D3355" t="s">
        <v>5219</v>
      </c>
      <c r="E3355" t="s">
        <v>737</v>
      </c>
    </row>
    <row r="3356" spans="2:5">
      <c r="B3356" t="s">
        <v>5220</v>
      </c>
      <c r="C3356">
        <v>532690</v>
      </c>
      <c r="D3356" t="s">
        <v>5221</v>
      </c>
      <c r="E3356" t="s">
        <v>371</v>
      </c>
    </row>
    <row r="3357" spans="2:5">
      <c r="B3357" t="s">
        <v>5222</v>
      </c>
      <c r="C3357">
        <v>530925</v>
      </c>
      <c r="D3357" t="s">
        <v>339</v>
      </c>
      <c r="E3357" t="s">
        <v>356</v>
      </c>
    </row>
    <row r="3358" spans="2:5">
      <c r="B3358" t="s">
        <v>5223</v>
      </c>
      <c r="C3358">
        <v>507490</v>
      </c>
      <c r="D3358" t="s">
        <v>5224</v>
      </c>
      <c r="E3358" t="s">
        <v>1037</v>
      </c>
    </row>
    <row r="3359" spans="2:5">
      <c r="B3359" t="s">
        <v>5225</v>
      </c>
      <c r="C3359">
        <v>531228</v>
      </c>
      <c r="D3359" t="s">
        <v>339</v>
      </c>
      <c r="E3359" t="s">
        <v>356</v>
      </c>
    </row>
    <row r="3360" spans="2:5">
      <c r="B3360" t="s">
        <v>5226</v>
      </c>
      <c r="C3360">
        <v>532987</v>
      </c>
      <c r="D3360" t="s">
        <v>5227</v>
      </c>
      <c r="E3360" t="s">
        <v>694</v>
      </c>
    </row>
    <row r="3361" spans="2:5">
      <c r="B3361" t="s">
        <v>5228</v>
      </c>
      <c r="C3361">
        <v>532988</v>
      </c>
      <c r="D3361" t="s">
        <v>5229</v>
      </c>
      <c r="E3361" t="s">
        <v>694</v>
      </c>
    </row>
    <row r="3362" spans="2:5">
      <c r="B3362" t="s">
        <v>5230</v>
      </c>
      <c r="C3362">
        <v>505800</v>
      </c>
      <c r="D3362" t="s">
        <v>5231</v>
      </c>
      <c r="E3362" t="s">
        <v>694</v>
      </c>
    </row>
    <row r="3363" spans="2:5">
      <c r="B3363" t="s">
        <v>5232</v>
      </c>
      <c r="C3363">
        <v>532661</v>
      </c>
      <c r="D3363" t="s">
        <v>5233</v>
      </c>
      <c r="E3363" t="s">
        <v>694</v>
      </c>
    </row>
    <row r="3364" spans="2:5">
      <c r="B3364" t="s">
        <v>5234</v>
      </c>
      <c r="C3364">
        <v>541945</v>
      </c>
      <c r="D3364" t="s">
        <v>339</v>
      </c>
      <c r="E3364" t="s">
        <v>737</v>
      </c>
    </row>
    <row r="3365" spans="2:5">
      <c r="B3365" t="s">
        <v>5235</v>
      </c>
      <c r="C3365">
        <v>531583</v>
      </c>
      <c r="D3365" t="s">
        <v>339</v>
      </c>
      <c r="E3365" t="s">
        <v>356</v>
      </c>
    </row>
    <row r="3366" spans="2:5">
      <c r="B3366" t="s">
        <v>5236</v>
      </c>
      <c r="C3366">
        <v>500360</v>
      </c>
      <c r="D3366" t="s">
        <v>339</v>
      </c>
      <c r="E3366" t="s">
        <v>347</v>
      </c>
    </row>
    <row r="3367" spans="2:5">
      <c r="B3367" t="s">
        <v>5237</v>
      </c>
      <c r="C3367">
        <v>501351</v>
      </c>
      <c r="D3367" t="s">
        <v>339</v>
      </c>
      <c r="E3367" t="s">
        <v>760</v>
      </c>
    </row>
    <row r="3368" spans="2:5">
      <c r="B3368" t="s">
        <v>5238</v>
      </c>
      <c r="C3368">
        <v>507966</v>
      </c>
      <c r="D3368" t="s">
        <v>339</v>
      </c>
      <c r="E3368" t="s">
        <v>540</v>
      </c>
    </row>
    <row r="3369" spans="2:5">
      <c r="B3369" t="s">
        <v>5239</v>
      </c>
      <c r="C3369">
        <v>522207</v>
      </c>
      <c r="D3369" t="s">
        <v>339</v>
      </c>
      <c r="E3369" t="s">
        <v>694</v>
      </c>
    </row>
    <row r="3370" spans="2:5">
      <c r="B3370" t="s">
        <v>5240</v>
      </c>
      <c r="C3370">
        <v>522207</v>
      </c>
      <c r="D3370" t="s">
        <v>339</v>
      </c>
      <c r="E3370" t="s">
        <v>694</v>
      </c>
    </row>
    <row r="3371" spans="2:5">
      <c r="B3371" t="s">
        <v>5241</v>
      </c>
      <c r="C3371">
        <v>524230</v>
      </c>
      <c r="D3371" t="s">
        <v>5242</v>
      </c>
      <c r="E3371" t="s">
        <v>847</v>
      </c>
    </row>
    <row r="3372" spans="2:5">
      <c r="B3372" t="s">
        <v>5243</v>
      </c>
      <c r="C3372">
        <v>531233</v>
      </c>
      <c r="D3372" t="s">
        <v>339</v>
      </c>
      <c r="E3372" t="s">
        <v>524</v>
      </c>
    </row>
    <row r="3373" spans="2:5">
      <c r="B3373" t="s">
        <v>5244</v>
      </c>
      <c r="C3373">
        <v>507649</v>
      </c>
      <c r="D3373" t="s">
        <v>339</v>
      </c>
      <c r="E3373" t="s">
        <v>588</v>
      </c>
    </row>
    <row r="3374" spans="2:5">
      <c r="B3374" t="s">
        <v>5245</v>
      </c>
      <c r="C3374">
        <v>532918</v>
      </c>
      <c r="D3374" t="s">
        <v>339</v>
      </c>
      <c r="E3374" t="s">
        <v>662</v>
      </c>
    </row>
    <row r="3375" spans="2:5">
      <c r="B3375" t="s">
        <v>5246</v>
      </c>
      <c r="C3375">
        <v>524610</v>
      </c>
      <c r="D3375" t="s">
        <v>339</v>
      </c>
      <c r="E3375" t="s">
        <v>499</v>
      </c>
    </row>
    <row r="3376" spans="2:5">
      <c r="B3376" t="s">
        <v>5247</v>
      </c>
      <c r="C3376">
        <v>540796</v>
      </c>
      <c r="D3376" t="s">
        <v>339</v>
      </c>
      <c r="E3376" t="s">
        <v>425</v>
      </c>
    </row>
    <row r="3377" spans="2:5">
      <c r="B3377" t="s">
        <v>5248</v>
      </c>
      <c r="C3377">
        <v>520111</v>
      </c>
      <c r="D3377" t="s">
        <v>5249</v>
      </c>
      <c r="E3377" t="s">
        <v>737</v>
      </c>
    </row>
    <row r="3378" spans="2:5">
      <c r="B3378" t="s">
        <v>5250</v>
      </c>
      <c r="C3378">
        <v>534597</v>
      </c>
      <c r="D3378" t="s">
        <v>5251</v>
      </c>
      <c r="E3378" t="s">
        <v>478</v>
      </c>
    </row>
    <row r="3379" spans="2:5">
      <c r="B3379" t="s">
        <v>5252</v>
      </c>
      <c r="C3379">
        <v>533122</v>
      </c>
      <c r="D3379" t="s">
        <v>5253</v>
      </c>
      <c r="E3379" t="s">
        <v>478</v>
      </c>
    </row>
    <row r="3380" spans="2:5">
      <c r="B3380" t="s">
        <v>5254</v>
      </c>
      <c r="C3380">
        <v>537840</v>
      </c>
      <c r="D3380" t="s">
        <v>339</v>
      </c>
      <c r="E3380" t="s">
        <v>737</v>
      </c>
    </row>
    <row r="3381" spans="2:5">
      <c r="B3381" t="s">
        <v>5255</v>
      </c>
      <c r="C3381">
        <v>507300</v>
      </c>
      <c r="D3381" t="s">
        <v>339</v>
      </c>
      <c r="E3381" t="s">
        <v>1037</v>
      </c>
    </row>
    <row r="3382" spans="2:5">
      <c r="B3382" t="s">
        <v>5256</v>
      </c>
      <c r="C3382">
        <v>533294</v>
      </c>
      <c r="D3382" t="s">
        <v>5257</v>
      </c>
      <c r="E3382" t="s">
        <v>970</v>
      </c>
    </row>
    <row r="3383" spans="2:5">
      <c r="B3383" t="s">
        <v>5258</v>
      </c>
      <c r="C3383">
        <v>526095</v>
      </c>
      <c r="D3383" t="s">
        <v>339</v>
      </c>
      <c r="E3383" t="s">
        <v>867</v>
      </c>
    </row>
    <row r="3384" spans="2:5">
      <c r="B3384" t="s">
        <v>5259</v>
      </c>
      <c r="C3384">
        <v>504341</v>
      </c>
      <c r="D3384" t="s">
        <v>339</v>
      </c>
      <c r="E3384" t="s">
        <v>322</v>
      </c>
    </row>
    <row r="3385" spans="2:5">
      <c r="B3385" t="s">
        <v>5260</v>
      </c>
      <c r="C3385">
        <v>541634</v>
      </c>
      <c r="D3385" t="s">
        <v>339</v>
      </c>
      <c r="E3385" t="s">
        <v>867</v>
      </c>
    </row>
    <row r="3386" spans="2:5">
      <c r="B3386" t="s">
        <v>5261</v>
      </c>
      <c r="C3386">
        <v>531207</v>
      </c>
      <c r="D3386" t="s">
        <v>339</v>
      </c>
      <c r="E3386" t="s">
        <v>377</v>
      </c>
    </row>
    <row r="3387" spans="2:5">
      <c r="B3387" t="s">
        <v>5262</v>
      </c>
      <c r="C3387">
        <v>500330</v>
      </c>
      <c r="D3387" t="s">
        <v>5263</v>
      </c>
      <c r="E3387" t="s">
        <v>354</v>
      </c>
    </row>
    <row r="3388" spans="2:5">
      <c r="B3388" t="s">
        <v>5264</v>
      </c>
      <c r="C3388">
        <v>540065</v>
      </c>
      <c r="D3388" t="s">
        <v>5265</v>
      </c>
      <c r="E3388" t="s">
        <v>657</v>
      </c>
    </row>
    <row r="3389" spans="2:5">
      <c r="B3389" t="s">
        <v>5266</v>
      </c>
      <c r="C3389">
        <v>531825</v>
      </c>
      <c r="D3389" t="s">
        <v>339</v>
      </c>
      <c r="E3389" t="s">
        <v>325</v>
      </c>
    </row>
    <row r="3390" spans="2:5">
      <c r="B3390" t="s">
        <v>5267</v>
      </c>
      <c r="C3390">
        <v>537254</v>
      </c>
      <c r="D3390" t="s">
        <v>339</v>
      </c>
      <c r="E3390" t="s">
        <v>361</v>
      </c>
    </row>
    <row r="3391" spans="2:5">
      <c r="B3391" t="s">
        <v>5268</v>
      </c>
      <c r="C3391">
        <v>534708</v>
      </c>
      <c r="D3391" t="s">
        <v>339</v>
      </c>
      <c r="E3391" t="s">
        <v>508</v>
      </c>
    </row>
    <row r="3392" spans="2:5">
      <c r="B3392" t="s">
        <v>5269</v>
      </c>
      <c r="C3392">
        <v>533608</v>
      </c>
      <c r="D3392" t="s">
        <v>339</v>
      </c>
      <c r="E3392" t="s">
        <v>459</v>
      </c>
    </row>
    <row r="3393" spans="2:5">
      <c r="B3393" t="s">
        <v>5270</v>
      </c>
      <c r="C3393">
        <v>533285</v>
      </c>
      <c r="D3393" t="s">
        <v>339</v>
      </c>
      <c r="E3393" t="s">
        <v>425</v>
      </c>
    </row>
    <row r="3394" spans="2:5">
      <c r="B3394" t="s">
        <v>5271</v>
      </c>
      <c r="C3394">
        <v>539691</v>
      </c>
      <c r="D3394" t="s">
        <v>339</v>
      </c>
      <c r="E3394" t="s">
        <v>361</v>
      </c>
    </row>
    <row r="3395" spans="2:5">
      <c r="B3395" t="s">
        <v>5272</v>
      </c>
      <c r="C3395">
        <v>530053</v>
      </c>
      <c r="D3395" t="s">
        <v>339</v>
      </c>
      <c r="E3395" t="s">
        <v>425</v>
      </c>
    </row>
    <row r="3396" spans="2:5">
      <c r="B3396" t="s">
        <v>5273</v>
      </c>
      <c r="C3396">
        <v>513558</v>
      </c>
      <c r="D3396" t="s">
        <v>339</v>
      </c>
      <c r="E3396" t="s">
        <v>371</v>
      </c>
    </row>
    <row r="3397" spans="2:5">
      <c r="B3397" t="s">
        <v>5274</v>
      </c>
      <c r="C3397">
        <v>538611</v>
      </c>
      <c r="D3397" t="s">
        <v>339</v>
      </c>
      <c r="E3397" t="s">
        <v>322</v>
      </c>
    </row>
    <row r="3398" spans="2:5">
      <c r="B3398" t="s">
        <v>5275</v>
      </c>
      <c r="C3398">
        <v>532955</v>
      </c>
      <c r="D3398" t="s">
        <v>5276</v>
      </c>
      <c r="E3398" t="s">
        <v>356</v>
      </c>
    </row>
    <row r="3399" spans="2:5">
      <c r="B3399" t="s">
        <v>5277</v>
      </c>
      <c r="C3399">
        <v>523650</v>
      </c>
      <c r="D3399" t="s">
        <v>339</v>
      </c>
      <c r="E3399" t="s">
        <v>347</v>
      </c>
    </row>
    <row r="3400" spans="2:5">
      <c r="B3400" t="s">
        <v>5278</v>
      </c>
      <c r="C3400">
        <v>532805</v>
      </c>
      <c r="D3400" t="s">
        <v>5279</v>
      </c>
      <c r="E3400" t="s">
        <v>361</v>
      </c>
    </row>
    <row r="3401" spans="2:5">
      <c r="B3401" t="s">
        <v>5280</v>
      </c>
      <c r="C3401">
        <v>532805</v>
      </c>
      <c r="D3401" t="s">
        <v>5279</v>
      </c>
      <c r="E3401" t="s">
        <v>361</v>
      </c>
    </row>
    <row r="3402" spans="2:5">
      <c r="B3402" t="s">
        <v>5281</v>
      </c>
      <c r="C3402">
        <v>532884</v>
      </c>
      <c r="D3402" t="s">
        <v>5282</v>
      </c>
      <c r="E3402" t="s">
        <v>1374</v>
      </c>
    </row>
    <row r="3403" spans="2:5">
      <c r="B3403" t="s">
        <v>5283</v>
      </c>
      <c r="C3403">
        <v>530815</v>
      </c>
      <c r="D3403" t="s">
        <v>339</v>
      </c>
      <c r="E3403" t="s">
        <v>387</v>
      </c>
    </row>
    <row r="3404" spans="2:5">
      <c r="B3404" t="s">
        <v>5284</v>
      </c>
      <c r="C3404">
        <v>531033</v>
      </c>
      <c r="D3404" t="s">
        <v>339</v>
      </c>
      <c r="E3404" t="s">
        <v>356</v>
      </c>
    </row>
    <row r="3405" spans="2:5">
      <c r="B3405" t="s">
        <v>5285</v>
      </c>
      <c r="C3405">
        <v>530807</v>
      </c>
      <c r="D3405" t="s">
        <v>339</v>
      </c>
      <c r="E3405" t="s">
        <v>425</v>
      </c>
    </row>
    <row r="3406" spans="2:5">
      <c r="B3406" t="s">
        <v>5286</v>
      </c>
      <c r="C3406">
        <v>515018</v>
      </c>
      <c r="D3406" t="s">
        <v>5287</v>
      </c>
      <c r="E3406" t="s">
        <v>616</v>
      </c>
    </row>
    <row r="3407" spans="2:5">
      <c r="B3407" t="s">
        <v>5288</v>
      </c>
      <c r="C3407">
        <v>540175</v>
      </c>
      <c r="D3407" t="s">
        <v>339</v>
      </c>
      <c r="E3407" t="s">
        <v>322</v>
      </c>
    </row>
    <row r="3408" spans="2:5">
      <c r="B3408" t="s">
        <v>5289</v>
      </c>
      <c r="C3408">
        <v>511585</v>
      </c>
      <c r="D3408" t="s">
        <v>339</v>
      </c>
      <c r="E3408" t="s">
        <v>356</v>
      </c>
    </row>
    <row r="3409" spans="2:5">
      <c r="B3409" t="s">
        <v>5290</v>
      </c>
      <c r="C3409">
        <v>512624</v>
      </c>
      <c r="D3409" t="s">
        <v>339</v>
      </c>
      <c r="E3409" t="s">
        <v>361</v>
      </c>
    </row>
    <row r="3410" spans="2:5">
      <c r="B3410" t="s">
        <v>5291</v>
      </c>
      <c r="C3410">
        <v>505817</v>
      </c>
      <c r="D3410" t="s">
        <v>339</v>
      </c>
      <c r="E3410" t="s">
        <v>694</v>
      </c>
    </row>
    <row r="3411" spans="2:5">
      <c r="B3411" t="s">
        <v>5292</v>
      </c>
      <c r="C3411">
        <v>505817</v>
      </c>
      <c r="D3411" t="s">
        <v>339</v>
      </c>
      <c r="E3411" t="s">
        <v>694</v>
      </c>
    </row>
    <row r="3412" spans="2:5">
      <c r="B3412" t="s">
        <v>5293</v>
      </c>
      <c r="C3412">
        <v>526075</v>
      </c>
      <c r="D3412" t="s">
        <v>339</v>
      </c>
      <c r="E3412" t="s">
        <v>377</v>
      </c>
    </row>
    <row r="3413" spans="2:5">
      <c r="B3413" t="s">
        <v>5294</v>
      </c>
      <c r="C3413">
        <v>530517</v>
      </c>
      <c r="D3413" t="s">
        <v>5295</v>
      </c>
      <c r="E3413" t="s">
        <v>765</v>
      </c>
    </row>
    <row r="3414" spans="2:5">
      <c r="B3414" t="s">
        <v>5296</v>
      </c>
      <c r="C3414" t="s">
        <v>339</v>
      </c>
      <c r="D3414" t="s">
        <v>5297</v>
      </c>
      <c r="E3414" t="s">
        <v>350</v>
      </c>
    </row>
    <row r="3415" spans="2:5">
      <c r="B3415" t="s">
        <v>5298</v>
      </c>
      <c r="C3415">
        <v>532124</v>
      </c>
      <c r="D3415" t="s">
        <v>339</v>
      </c>
      <c r="E3415" t="s">
        <v>540</v>
      </c>
    </row>
    <row r="3416" spans="2:5">
      <c r="B3416" t="s">
        <v>5299</v>
      </c>
      <c r="C3416">
        <v>532124</v>
      </c>
      <c r="D3416" t="s">
        <v>339</v>
      </c>
      <c r="E3416" t="s">
        <v>540</v>
      </c>
    </row>
    <row r="3417" spans="2:5">
      <c r="B3417" t="s">
        <v>5300</v>
      </c>
      <c r="C3417">
        <v>500111</v>
      </c>
      <c r="D3417" t="s">
        <v>5301</v>
      </c>
      <c r="E3417" t="s">
        <v>356</v>
      </c>
    </row>
    <row r="3418" spans="2:5">
      <c r="B3418" t="s">
        <v>5302</v>
      </c>
      <c r="C3418">
        <v>503162</v>
      </c>
      <c r="D3418" t="s">
        <v>339</v>
      </c>
      <c r="E3418" t="s">
        <v>354</v>
      </c>
    </row>
    <row r="3419" spans="2:5">
      <c r="B3419" t="s">
        <v>5303</v>
      </c>
      <c r="C3419">
        <v>532712</v>
      </c>
      <c r="D3419" t="s">
        <v>5304</v>
      </c>
      <c r="E3419" t="s">
        <v>1282</v>
      </c>
    </row>
    <row r="3420" spans="2:5">
      <c r="B3420" t="s">
        <v>5305</v>
      </c>
      <c r="C3420">
        <v>590106</v>
      </c>
      <c r="D3420" t="s">
        <v>5306</v>
      </c>
      <c r="E3420" t="s">
        <v>322</v>
      </c>
    </row>
    <row r="3421" spans="2:5">
      <c r="B3421" t="s">
        <v>5307</v>
      </c>
      <c r="C3421">
        <v>590095</v>
      </c>
      <c r="D3421" t="s">
        <v>5308</v>
      </c>
      <c r="E3421" t="s">
        <v>322</v>
      </c>
    </row>
    <row r="3422" spans="2:5">
      <c r="B3422" t="s">
        <v>5309</v>
      </c>
      <c r="C3422">
        <v>590113</v>
      </c>
      <c r="D3422" t="s">
        <v>5310</v>
      </c>
      <c r="E3422" t="s">
        <v>322</v>
      </c>
    </row>
    <row r="3423" spans="2:5">
      <c r="B3423" t="s">
        <v>5311</v>
      </c>
      <c r="C3423">
        <v>590104</v>
      </c>
      <c r="D3423" t="s">
        <v>5312</v>
      </c>
      <c r="E3423" t="s">
        <v>322</v>
      </c>
    </row>
    <row r="3424" spans="2:5">
      <c r="B3424" t="s">
        <v>5313</v>
      </c>
      <c r="C3424">
        <v>590103</v>
      </c>
      <c r="D3424" t="s">
        <v>5314</v>
      </c>
      <c r="E3424" t="s">
        <v>322</v>
      </c>
    </row>
    <row r="3425" spans="2:5">
      <c r="B3425" t="s">
        <v>5315</v>
      </c>
      <c r="C3425">
        <v>590108</v>
      </c>
      <c r="D3425" t="s">
        <v>5316</v>
      </c>
      <c r="E3425" t="s">
        <v>322</v>
      </c>
    </row>
    <row r="3426" spans="2:5">
      <c r="B3426" t="s">
        <v>5317</v>
      </c>
      <c r="C3426">
        <v>590109</v>
      </c>
      <c r="D3426" t="s">
        <v>5318</v>
      </c>
      <c r="E3426" t="s">
        <v>322</v>
      </c>
    </row>
    <row r="3427" spans="2:5">
      <c r="B3427" t="s">
        <v>5319</v>
      </c>
      <c r="C3427">
        <v>540709</v>
      </c>
      <c r="D3427" t="s">
        <v>5320</v>
      </c>
      <c r="E3427" t="s">
        <v>397</v>
      </c>
    </row>
    <row r="3428" spans="2:5">
      <c r="B3428" t="s">
        <v>5321</v>
      </c>
      <c r="C3428">
        <v>523445</v>
      </c>
      <c r="D3428" t="s">
        <v>5322</v>
      </c>
      <c r="E3428" t="s">
        <v>737</v>
      </c>
    </row>
    <row r="3429" spans="2:5">
      <c r="B3429" t="s">
        <v>5323</v>
      </c>
      <c r="C3429">
        <v>500325</v>
      </c>
      <c r="D3429" t="s">
        <v>5324</v>
      </c>
      <c r="E3429" t="s">
        <v>470</v>
      </c>
    </row>
    <row r="3430" spans="2:5">
      <c r="B3430" t="s">
        <v>5325</v>
      </c>
      <c r="C3430">
        <v>500390</v>
      </c>
      <c r="D3430" t="s">
        <v>5326</v>
      </c>
      <c r="E3430" t="s">
        <v>478</v>
      </c>
    </row>
    <row r="3431" spans="2:5">
      <c r="B3431" t="s">
        <v>5327</v>
      </c>
      <c r="C3431">
        <v>533107</v>
      </c>
      <c r="D3431" t="s">
        <v>5328</v>
      </c>
      <c r="E3431" t="s">
        <v>812</v>
      </c>
    </row>
    <row r="3432" spans="2:5">
      <c r="B3432" t="s">
        <v>5329</v>
      </c>
      <c r="C3432">
        <v>540767</v>
      </c>
      <c r="D3432" t="s">
        <v>5330</v>
      </c>
      <c r="E3432" t="s">
        <v>2744</v>
      </c>
    </row>
    <row r="3433" spans="2:5">
      <c r="B3433" t="s">
        <v>5331</v>
      </c>
      <c r="C3433">
        <v>532939</v>
      </c>
      <c r="D3433" t="s">
        <v>5332</v>
      </c>
      <c r="E3433" t="s">
        <v>478</v>
      </c>
    </row>
    <row r="3434" spans="2:5">
      <c r="B3434" t="s">
        <v>5333</v>
      </c>
      <c r="C3434">
        <v>511712</v>
      </c>
      <c r="D3434" t="s">
        <v>339</v>
      </c>
      <c r="E3434" t="s">
        <v>322</v>
      </c>
    </row>
    <row r="3435" spans="2:5">
      <c r="B3435" t="s">
        <v>5334</v>
      </c>
      <c r="C3435">
        <v>539760</v>
      </c>
      <c r="D3435" t="s">
        <v>339</v>
      </c>
      <c r="E3435" t="s">
        <v>637</v>
      </c>
    </row>
    <row r="3436" spans="2:5">
      <c r="B3436" t="s">
        <v>5335</v>
      </c>
      <c r="C3436">
        <v>532915</v>
      </c>
      <c r="D3436" t="s">
        <v>5336</v>
      </c>
      <c r="E3436" t="s">
        <v>322</v>
      </c>
    </row>
    <row r="3437" spans="2:5">
      <c r="B3437" t="s">
        <v>5337</v>
      </c>
      <c r="C3437">
        <v>540426</v>
      </c>
      <c r="D3437" t="s">
        <v>339</v>
      </c>
      <c r="E3437" t="s">
        <v>425</v>
      </c>
    </row>
    <row r="3438" spans="2:5">
      <c r="B3438" t="s">
        <v>5338</v>
      </c>
      <c r="C3438">
        <v>513043</v>
      </c>
      <c r="D3438" t="s">
        <v>339</v>
      </c>
      <c r="E3438" t="s">
        <v>662</v>
      </c>
    </row>
    <row r="3439" spans="2:5">
      <c r="B3439" t="s">
        <v>5339</v>
      </c>
      <c r="C3439">
        <v>512487</v>
      </c>
      <c r="D3439" t="s">
        <v>339</v>
      </c>
      <c r="E3439" t="s">
        <v>361</v>
      </c>
    </row>
    <row r="3440" spans="2:5">
      <c r="B3440" t="s">
        <v>5340</v>
      </c>
      <c r="C3440">
        <v>505658</v>
      </c>
      <c r="D3440" t="s">
        <v>339</v>
      </c>
      <c r="E3440" t="s">
        <v>347</v>
      </c>
    </row>
    <row r="3441" spans="2:5">
      <c r="B3441" t="s">
        <v>5341</v>
      </c>
      <c r="C3441">
        <v>504360</v>
      </c>
      <c r="D3441" t="s">
        <v>339</v>
      </c>
      <c r="E3441" t="s">
        <v>361</v>
      </c>
    </row>
    <row r="3442" spans="2:5">
      <c r="B3442" t="s">
        <v>5342</v>
      </c>
      <c r="C3442">
        <v>511149</v>
      </c>
      <c r="D3442" t="s">
        <v>339</v>
      </c>
      <c r="E3442" t="s">
        <v>760</v>
      </c>
    </row>
    <row r="3443" spans="2:5">
      <c r="B3443" t="s">
        <v>5343</v>
      </c>
      <c r="C3443">
        <v>530919</v>
      </c>
      <c r="D3443" t="s">
        <v>5344</v>
      </c>
      <c r="E3443" t="s">
        <v>3678</v>
      </c>
    </row>
    <row r="3444" spans="2:5">
      <c r="B3444" t="s">
        <v>5345</v>
      </c>
      <c r="C3444" t="s">
        <v>339</v>
      </c>
      <c r="D3444" t="s">
        <v>5346</v>
      </c>
      <c r="E3444" t="s">
        <v>3678</v>
      </c>
    </row>
    <row r="3445" spans="2:5">
      <c r="B3445" t="s">
        <v>5347</v>
      </c>
      <c r="C3445">
        <v>532923</v>
      </c>
      <c r="D3445" t="s">
        <v>5348</v>
      </c>
      <c r="E3445" t="s">
        <v>453</v>
      </c>
    </row>
    <row r="3446" spans="2:5">
      <c r="B3446" t="s">
        <v>5349</v>
      </c>
      <c r="C3446">
        <v>535322</v>
      </c>
      <c r="D3446" t="s">
        <v>5350</v>
      </c>
      <c r="E3446" t="s">
        <v>397</v>
      </c>
    </row>
    <row r="3447" spans="2:5">
      <c r="B3447" t="s">
        <v>5351</v>
      </c>
      <c r="C3447">
        <v>532687</v>
      </c>
      <c r="D3447" t="s">
        <v>5352</v>
      </c>
      <c r="E3447" t="s">
        <v>2331</v>
      </c>
    </row>
    <row r="3448" spans="2:5">
      <c r="B3448" t="s">
        <v>5353</v>
      </c>
      <c r="C3448">
        <v>532687</v>
      </c>
      <c r="D3448" t="s">
        <v>5352</v>
      </c>
      <c r="E3448" t="s">
        <v>2331</v>
      </c>
    </row>
    <row r="3449" spans="2:5">
      <c r="B3449" t="s">
        <v>5354</v>
      </c>
      <c r="C3449">
        <v>524218</v>
      </c>
      <c r="D3449" t="s">
        <v>339</v>
      </c>
      <c r="E3449" t="s">
        <v>377</v>
      </c>
    </row>
    <row r="3450" spans="2:5">
      <c r="B3450" t="s">
        <v>5355</v>
      </c>
      <c r="C3450">
        <v>505509</v>
      </c>
      <c r="D3450" t="s">
        <v>5356</v>
      </c>
      <c r="E3450" t="s">
        <v>459</v>
      </c>
    </row>
    <row r="3451" spans="2:5">
      <c r="B3451" t="s">
        <v>5357</v>
      </c>
      <c r="C3451">
        <v>515085</v>
      </c>
      <c r="D3451" t="s">
        <v>339</v>
      </c>
      <c r="E3451" t="s">
        <v>616</v>
      </c>
    </row>
    <row r="3452" spans="2:5">
      <c r="B3452" t="s">
        <v>5358</v>
      </c>
      <c r="C3452">
        <v>519191</v>
      </c>
      <c r="D3452" t="s">
        <v>5359</v>
      </c>
      <c r="E3452" t="s">
        <v>5360</v>
      </c>
    </row>
    <row r="3453" spans="2:5">
      <c r="B3453" t="s">
        <v>5361</v>
      </c>
      <c r="C3453">
        <v>505368</v>
      </c>
      <c r="D3453" t="s">
        <v>5362</v>
      </c>
      <c r="E3453" t="s">
        <v>347</v>
      </c>
    </row>
    <row r="3454" spans="2:5">
      <c r="B3454" t="s">
        <v>5363</v>
      </c>
      <c r="C3454">
        <v>531888</v>
      </c>
      <c r="D3454" t="s">
        <v>339</v>
      </c>
      <c r="E3454" t="s">
        <v>347</v>
      </c>
    </row>
    <row r="3455" spans="2:5">
      <c r="B3455" t="s">
        <v>5364</v>
      </c>
      <c r="C3455">
        <v>539669</v>
      </c>
      <c r="D3455" t="s">
        <v>339</v>
      </c>
      <c r="E3455" t="s">
        <v>356</v>
      </c>
    </row>
    <row r="3456" spans="2:5">
      <c r="B3456" t="s">
        <v>5365</v>
      </c>
      <c r="C3456">
        <v>531952</v>
      </c>
      <c r="D3456" t="s">
        <v>339</v>
      </c>
      <c r="E3456" t="s">
        <v>354</v>
      </c>
    </row>
    <row r="3457" spans="2:5">
      <c r="B3457" t="s">
        <v>5366</v>
      </c>
      <c r="C3457">
        <v>530271</v>
      </c>
      <c r="D3457" t="s">
        <v>339</v>
      </c>
      <c r="E3457" t="s">
        <v>356</v>
      </c>
    </row>
    <row r="3458" spans="2:5">
      <c r="B3458" t="s">
        <v>5367</v>
      </c>
      <c r="C3458">
        <v>532766</v>
      </c>
      <c r="D3458" t="s">
        <v>339</v>
      </c>
      <c r="E3458" t="s">
        <v>737</v>
      </c>
    </row>
    <row r="3459" spans="2:5">
      <c r="B3459" t="s">
        <v>5368</v>
      </c>
      <c r="C3459">
        <v>539435</v>
      </c>
      <c r="D3459" t="s">
        <v>339</v>
      </c>
      <c r="E3459" t="s">
        <v>322</v>
      </c>
    </row>
    <row r="3460" spans="2:5">
      <c r="B3460" t="s">
        <v>5369</v>
      </c>
      <c r="C3460">
        <v>519230</v>
      </c>
      <c r="D3460" t="s">
        <v>339</v>
      </c>
      <c r="E3460" t="s">
        <v>361</v>
      </c>
    </row>
    <row r="3461" spans="2:5">
      <c r="B3461" t="s">
        <v>5370</v>
      </c>
      <c r="C3461">
        <v>520008</v>
      </c>
      <c r="D3461" t="s">
        <v>5371</v>
      </c>
      <c r="E3461" t="s">
        <v>694</v>
      </c>
    </row>
    <row r="3462" spans="2:5">
      <c r="B3462" t="s">
        <v>5372</v>
      </c>
      <c r="C3462">
        <v>540590</v>
      </c>
      <c r="D3462" t="s">
        <v>339</v>
      </c>
      <c r="E3462" t="s">
        <v>669</v>
      </c>
    </row>
    <row r="3463" spans="2:5">
      <c r="B3463" t="s">
        <v>5373</v>
      </c>
      <c r="C3463">
        <v>524480</v>
      </c>
      <c r="D3463" t="s">
        <v>339</v>
      </c>
      <c r="E3463" t="s">
        <v>387</v>
      </c>
    </row>
    <row r="3464" spans="2:5">
      <c r="B3464" t="s">
        <v>5374</v>
      </c>
      <c r="C3464">
        <v>540082</v>
      </c>
      <c r="D3464" t="s">
        <v>339</v>
      </c>
      <c r="E3464" t="s">
        <v>662</v>
      </c>
    </row>
    <row r="3465" spans="2:5">
      <c r="B3465" t="s">
        <v>5375</v>
      </c>
      <c r="C3465">
        <v>504365</v>
      </c>
      <c r="D3465" t="s">
        <v>339</v>
      </c>
      <c r="E3465" t="s">
        <v>322</v>
      </c>
    </row>
    <row r="3466" spans="2:5">
      <c r="B3466" t="s">
        <v>5376</v>
      </c>
      <c r="C3466">
        <v>541151</v>
      </c>
      <c r="D3466" t="s">
        <v>339</v>
      </c>
      <c r="E3466" t="s">
        <v>423</v>
      </c>
    </row>
    <row r="3467" spans="2:5">
      <c r="B3467" t="s">
        <v>5377</v>
      </c>
      <c r="C3467">
        <v>541151</v>
      </c>
      <c r="D3467" t="s">
        <v>339</v>
      </c>
      <c r="E3467" t="s">
        <v>423</v>
      </c>
    </row>
    <row r="3468" spans="2:5">
      <c r="B3468" t="s">
        <v>5378</v>
      </c>
      <c r="C3468">
        <v>507508</v>
      </c>
      <c r="D3468" t="s">
        <v>339</v>
      </c>
      <c r="E3468" t="s">
        <v>1037</v>
      </c>
    </row>
    <row r="3469" spans="2:5">
      <c r="B3469" t="s">
        <v>5379</v>
      </c>
      <c r="C3469">
        <v>530251</v>
      </c>
      <c r="D3469" t="s">
        <v>339</v>
      </c>
      <c r="E3469" t="s">
        <v>361</v>
      </c>
    </row>
    <row r="3470" spans="2:5">
      <c r="B3470" t="s">
        <v>5380</v>
      </c>
      <c r="C3470">
        <v>514177</v>
      </c>
      <c r="D3470" t="s">
        <v>339</v>
      </c>
      <c r="E3470" t="s">
        <v>354</v>
      </c>
    </row>
    <row r="3471" spans="2:5">
      <c r="B3471" t="s">
        <v>5381</v>
      </c>
      <c r="C3471">
        <v>531539</v>
      </c>
      <c r="D3471" t="s">
        <v>339</v>
      </c>
      <c r="E3471" t="s">
        <v>371</v>
      </c>
    </row>
    <row r="3472" spans="2:5">
      <c r="B3472" t="s">
        <v>5382</v>
      </c>
      <c r="C3472">
        <v>526861</v>
      </c>
      <c r="D3472" t="s">
        <v>339</v>
      </c>
      <c r="E3472" t="s">
        <v>347</v>
      </c>
    </row>
    <row r="3473" spans="2:5">
      <c r="B3473" t="s">
        <v>5383</v>
      </c>
      <c r="C3473">
        <v>523021</v>
      </c>
      <c r="D3473" t="s">
        <v>339</v>
      </c>
      <c r="E3473" t="s">
        <v>534</v>
      </c>
    </row>
    <row r="3474" spans="2:5">
      <c r="B3474" t="s">
        <v>5384</v>
      </c>
      <c r="C3474">
        <v>526492</v>
      </c>
      <c r="D3474" t="s">
        <v>339</v>
      </c>
      <c r="E3474" t="s">
        <v>1258</v>
      </c>
    </row>
    <row r="3475" spans="2:5">
      <c r="B3475" t="s">
        <v>5385</v>
      </c>
      <c r="C3475">
        <v>542383</v>
      </c>
      <c r="D3475" t="s">
        <v>5386</v>
      </c>
      <c r="E3475" t="s">
        <v>660</v>
      </c>
    </row>
    <row r="3476" spans="2:5">
      <c r="B3476" t="s">
        <v>5387</v>
      </c>
      <c r="C3476">
        <v>541556</v>
      </c>
      <c r="D3476" t="s">
        <v>5388</v>
      </c>
      <c r="E3476" t="s">
        <v>737</v>
      </c>
    </row>
    <row r="3477" spans="2:5">
      <c r="B3477" t="s">
        <v>5389</v>
      </c>
      <c r="C3477">
        <v>519097</v>
      </c>
      <c r="D3477" t="s">
        <v>339</v>
      </c>
      <c r="E3477" t="s">
        <v>387</v>
      </c>
    </row>
    <row r="3478" spans="2:5">
      <c r="B3478" t="s">
        <v>5390</v>
      </c>
      <c r="C3478">
        <v>526407</v>
      </c>
      <c r="D3478" t="s">
        <v>339</v>
      </c>
      <c r="E3478" t="s">
        <v>453</v>
      </c>
    </row>
    <row r="3479" spans="2:5">
      <c r="B3479" t="s">
        <v>5391</v>
      </c>
      <c r="C3479">
        <v>540843</v>
      </c>
      <c r="D3479" t="s">
        <v>339</v>
      </c>
      <c r="E3479" t="s">
        <v>3119</v>
      </c>
    </row>
    <row r="3480" spans="2:5">
      <c r="B3480" t="s">
        <v>5392</v>
      </c>
      <c r="C3480" t="s">
        <v>339</v>
      </c>
      <c r="D3480" t="s">
        <v>5393</v>
      </c>
      <c r="E3480" t="s">
        <v>350</v>
      </c>
    </row>
    <row r="3481" spans="2:5">
      <c r="B3481" t="s">
        <v>5394</v>
      </c>
      <c r="C3481">
        <v>512618</v>
      </c>
      <c r="D3481" t="s">
        <v>339</v>
      </c>
      <c r="E3481" t="s">
        <v>354</v>
      </c>
    </row>
    <row r="3482" spans="2:5">
      <c r="B3482" t="s">
        <v>5395</v>
      </c>
      <c r="C3482">
        <v>540358</v>
      </c>
      <c r="D3482" t="s">
        <v>339</v>
      </c>
      <c r="E3482" t="s">
        <v>637</v>
      </c>
    </row>
    <row r="3483" spans="2:5">
      <c r="B3483" t="s">
        <v>5396</v>
      </c>
      <c r="C3483">
        <v>500365</v>
      </c>
      <c r="D3483" t="s">
        <v>339</v>
      </c>
      <c r="E3483" t="s">
        <v>371</v>
      </c>
    </row>
    <row r="3484" spans="2:5">
      <c r="B3484" t="s">
        <v>5397</v>
      </c>
      <c r="C3484">
        <v>531447</v>
      </c>
      <c r="D3484" t="s">
        <v>339</v>
      </c>
      <c r="E3484" t="s">
        <v>361</v>
      </c>
    </row>
    <row r="3485" spans="2:5">
      <c r="B3485" t="s">
        <v>5398</v>
      </c>
      <c r="C3485">
        <v>531822</v>
      </c>
      <c r="D3485" t="s">
        <v>339</v>
      </c>
      <c r="E3485" t="s">
        <v>425</v>
      </c>
    </row>
    <row r="3486" spans="2:5">
      <c r="B3486" t="s">
        <v>5399</v>
      </c>
      <c r="C3486">
        <v>532731</v>
      </c>
      <c r="D3486" t="s">
        <v>5400</v>
      </c>
      <c r="E3486" t="s">
        <v>371</v>
      </c>
    </row>
    <row r="3487" spans="2:5">
      <c r="B3487" t="s">
        <v>5401</v>
      </c>
      <c r="C3487">
        <v>505807</v>
      </c>
      <c r="D3487" t="s">
        <v>339</v>
      </c>
      <c r="E3487" t="s">
        <v>1258</v>
      </c>
    </row>
    <row r="3488" spans="2:5">
      <c r="B3488" t="s">
        <v>5402</v>
      </c>
      <c r="C3488">
        <v>502448</v>
      </c>
      <c r="D3488" t="s">
        <v>5403</v>
      </c>
      <c r="E3488" t="s">
        <v>534</v>
      </c>
    </row>
    <row r="3489" spans="2:5">
      <c r="B3489" t="s">
        <v>5404</v>
      </c>
      <c r="C3489">
        <v>500366</v>
      </c>
      <c r="D3489" t="s">
        <v>5405</v>
      </c>
      <c r="E3489" t="s">
        <v>345</v>
      </c>
    </row>
    <row r="3490" spans="2:5">
      <c r="B3490" t="s">
        <v>5406</v>
      </c>
      <c r="C3490">
        <v>500366</v>
      </c>
      <c r="D3490" t="s">
        <v>5405</v>
      </c>
      <c r="E3490" t="s">
        <v>345</v>
      </c>
    </row>
    <row r="3491" spans="2:5">
      <c r="B3491" t="s">
        <v>5407</v>
      </c>
      <c r="C3491">
        <v>542145</v>
      </c>
      <c r="D3491" t="s">
        <v>339</v>
      </c>
      <c r="E3491" t="s">
        <v>361</v>
      </c>
    </row>
    <row r="3492" spans="2:5">
      <c r="B3492" t="s">
        <v>5408</v>
      </c>
      <c r="C3492">
        <v>530991</v>
      </c>
      <c r="D3492" t="s">
        <v>339</v>
      </c>
      <c r="E3492" t="s">
        <v>377</v>
      </c>
    </row>
    <row r="3493" spans="2:5">
      <c r="B3493" t="s">
        <v>5409</v>
      </c>
      <c r="C3493">
        <v>542599</v>
      </c>
      <c r="D3493" t="s">
        <v>5410</v>
      </c>
      <c r="E3493" t="s">
        <v>540</v>
      </c>
    </row>
    <row r="3494" spans="2:5">
      <c r="B3494" t="s">
        <v>5411</v>
      </c>
      <c r="C3494">
        <v>531324</v>
      </c>
      <c r="D3494" t="s">
        <v>339</v>
      </c>
      <c r="E3494" t="s">
        <v>322</v>
      </c>
    </row>
    <row r="3495" spans="2:5">
      <c r="B3495" t="s">
        <v>5412</v>
      </c>
      <c r="C3495">
        <v>533168</v>
      </c>
      <c r="D3495" t="s">
        <v>5413</v>
      </c>
      <c r="E3495" t="s">
        <v>746</v>
      </c>
    </row>
    <row r="3496" spans="2:5">
      <c r="B3496" t="s">
        <v>5414</v>
      </c>
      <c r="C3496">
        <v>533168</v>
      </c>
      <c r="D3496" t="s">
        <v>5413</v>
      </c>
      <c r="E3496" t="s">
        <v>746</v>
      </c>
    </row>
    <row r="3497" spans="2:5">
      <c r="B3497" t="s">
        <v>5415</v>
      </c>
      <c r="C3497">
        <v>517500</v>
      </c>
      <c r="D3497" t="s">
        <v>339</v>
      </c>
      <c r="E3497" t="s">
        <v>347</v>
      </c>
    </row>
    <row r="3498" spans="2:5">
      <c r="B3498" t="s">
        <v>5416</v>
      </c>
      <c r="C3498">
        <v>539922</v>
      </c>
      <c r="D3498" t="s">
        <v>339</v>
      </c>
      <c r="E3498" t="s">
        <v>361</v>
      </c>
    </row>
    <row r="3499" spans="2:5">
      <c r="B3499" t="s">
        <v>5417</v>
      </c>
      <c r="C3499">
        <v>539922</v>
      </c>
      <c r="D3499" t="s">
        <v>339</v>
      </c>
      <c r="E3499" t="s">
        <v>361</v>
      </c>
    </row>
    <row r="3500" spans="2:5">
      <c r="B3500" t="s">
        <v>5418</v>
      </c>
      <c r="C3500">
        <v>526193</v>
      </c>
      <c r="D3500" t="s">
        <v>339</v>
      </c>
      <c r="E3500" t="s">
        <v>616</v>
      </c>
    </row>
    <row r="3501" spans="2:5">
      <c r="B3501" t="s">
        <v>5419</v>
      </c>
      <c r="C3501">
        <v>512047</v>
      </c>
      <c r="D3501" t="s">
        <v>339</v>
      </c>
      <c r="E3501" t="s">
        <v>453</v>
      </c>
    </row>
    <row r="3502" spans="2:5">
      <c r="B3502" t="s">
        <v>5420</v>
      </c>
      <c r="C3502">
        <v>532699</v>
      </c>
      <c r="D3502" t="s">
        <v>5421</v>
      </c>
      <c r="E3502" t="s">
        <v>540</v>
      </c>
    </row>
    <row r="3503" spans="2:5">
      <c r="B3503" t="s">
        <v>5422</v>
      </c>
      <c r="C3503">
        <v>526640</v>
      </c>
      <c r="D3503" t="s">
        <v>339</v>
      </c>
      <c r="E3503" t="s">
        <v>540</v>
      </c>
    </row>
    <row r="3504" spans="2:5">
      <c r="B3504" t="s">
        <v>5423</v>
      </c>
      <c r="C3504">
        <v>532983</v>
      </c>
      <c r="D3504" t="s">
        <v>5424</v>
      </c>
      <c r="E3504" t="s">
        <v>377</v>
      </c>
    </row>
    <row r="3505" spans="2:5">
      <c r="B3505" t="s">
        <v>5425</v>
      </c>
      <c r="C3505">
        <v>511626</v>
      </c>
      <c r="D3505" t="s">
        <v>339</v>
      </c>
      <c r="E3505" t="s">
        <v>356</v>
      </c>
    </row>
    <row r="3506" spans="2:5">
      <c r="B3506" t="s">
        <v>5426</v>
      </c>
      <c r="C3506">
        <v>530179</v>
      </c>
      <c r="D3506" t="s">
        <v>339</v>
      </c>
      <c r="E3506" t="s">
        <v>354</v>
      </c>
    </row>
    <row r="3507" spans="2:5">
      <c r="B3507" t="s">
        <v>5427</v>
      </c>
      <c r="C3507">
        <v>539875</v>
      </c>
      <c r="D3507" t="s">
        <v>339</v>
      </c>
      <c r="E3507" t="s">
        <v>359</v>
      </c>
    </row>
    <row r="3508" spans="2:5">
      <c r="B3508" t="s">
        <v>5428</v>
      </c>
      <c r="C3508">
        <v>500350</v>
      </c>
      <c r="D3508" t="s">
        <v>5429</v>
      </c>
      <c r="E3508" t="s">
        <v>354</v>
      </c>
    </row>
    <row r="3509" spans="2:5">
      <c r="B3509" t="s">
        <v>5430</v>
      </c>
      <c r="C3509">
        <v>531215</v>
      </c>
      <c r="D3509" t="s">
        <v>339</v>
      </c>
      <c r="E3509" t="s">
        <v>637</v>
      </c>
    </row>
    <row r="3510" spans="2:5">
      <c r="B3510" t="s">
        <v>5431</v>
      </c>
      <c r="C3510">
        <v>500367</v>
      </c>
      <c r="D3510" t="s">
        <v>339</v>
      </c>
      <c r="E3510" t="s">
        <v>819</v>
      </c>
    </row>
    <row r="3511" spans="2:5">
      <c r="B3511" t="s">
        <v>5432</v>
      </c>
      <c r="C3511">
        <v>531099</v>
      </c>
      <c r="D3511" t="s">
        <v>339</v>
      </c>
      <c r="E3511" t="s">
        <v>377</v>
      </c>
    </row>
    <row r="3512" spans="2:5">
      <c r="B3512" t="s">
        <v>5433</v>
      </c>
      <c r="C3512">
        <v>509020</v>
      </c>
      <c r="D3512" t="s">
        <v>5434</v>
      </c>
      <c r="E3512" t="s">
        <v>588</v>
      </c>
    </row>
    <row r="3513" spans="2:5">
      <c r="B3513" t="s">
        <v>5435</v>
      </c>
      <c r="C3513">
        <v>500368</v>
      </c>
      <c r="D3513" t="s">
        <v>5436</v>
      </c>
      <c r="E3513" t="s">
        <v>588</v>
      </c>
    </row>
    <row r="3514" spans="2:5">
      <c r="B3514" t="s">
        <v>5437</v>
      </c>
      <c r="C3514">
        <v>540696</v>
      </c>
      <c r="D3514" t="s">
        <v>339</v>
      </c>
      <c r="E3514" t="s">
        <v>361</v>
      </c>
    </row>
    <row r="3515" spans="2:5">
      <c r="B3515" t="s">
        <v>5438</v>
      </c>
      <c r="C3515">
        <v>540696</v>
      </c>
      <c r="D3515" t="s">
        <v>339</v>
      </c>
      <c r="E3515" t="s">
        <v>361</v>
      </c>
    </row>
    <row r="3516" spans="2:5">
      <c r="B3516" t="s">
        <v>5439</v>
      </c>
      <c r="C3516">
        <v>532785</v>
      </c>
      <c r="D3516" t="s">
        <v>5440</v>
      </c>
      <c r="E3516" t="s">
        <v>333</v>
      </c>
    </row>
    <row r="3517" spans="2:5">
      <c r="B3517" t="s">
        <v>5441</v>
      </c>
      <c r="C3517">
        <v>539226</v>
      </c>
      <c r="D3517" t="s">
        <v>339</v>
      </c>
      <c r="E3517" t="s">
        <v>371</v>
      </c>
    </row>
    <row r="3518" spans="2:5">
      <c r="B3518" t="s">
        <v>5442</v>
      </c>
      <c r="C3518" t="s">
        <v>339</v>
      </c>
      <c r="D3518" t="s">
        <v>5443</v>
      </c>
      <c r="E3518" t="s">
        <v>350</v>
      </c>
    </row>
    <row r="3519" spans="2:5">
      <c r="B3519" t="s">
        <v>5444</v>
      </c>
      <c r="C3519">
        <v>519413</v>
      </c>
      <c r="D3519" t="s">
        <v>339</v>
      </c>
      <c r="E3519" t="s">
        <v>361</v>
      </c>
    </row>
    <row r="3520" spans="2:5">
      <c r="B3520" t="s">
        <v>5445</v>
      </c>
      <c r="C3520">
        <v>530449</v>
      </c>
      <c r="D3520" t="s">
        <v>339</v>
      </c>
      <c r="E3520" t="s">
        <v>459</v>
      </c>
    </row>
    <row r="3521" spans="2:5">
      <c r="B3521" t="s">
        <v>5446</v>
      </c>
      <c r="C3521">
        <v>533552</v>
      </c>
      <c r="D3521" t="s">
        <v>5447</v>
      </c>
      <c r="E3521" t="s">
        <v>453</v>
      </c>
    </row>
    <row r="3522" spans="2:5">
      <c r="B3522" t="s">
        <v>5448</v>
      </c>
      <c r="C3522">
        <v>533470</v>
      </c>
      <c r="D3522" t="s">
        <v>5449</v>
      </c>
      <c r="E3522" t="s">
        <v>834</v>
      </c>
    </row>
    <row r="3523" spans="2:5">
      <c r="B3523" t="s">
        <v>5450</v>
      </c>
      <c r="C3523">
        <v>504335</v>
      </c>
      <c r="D3523" t="s">
        <v>339</v>
      </c>
      <c r="E3523" t="s">
        <v>361</v>
      </c>
    </row>
    <row r="3524" spans="2:5">
      <c r="B3524" t="s">
        <v>5451</v>
      </c>
      <c r="C3524">
        <v>517035</v>
      </c>
      <c r="D3524" t="s">
        <v>339</v>
      </c>
      <c r="E3524" t="s">
        <v>881</v>
      </c>
    </row>
    <row r="3525" spans="2:5">
      <c r="B3525" t="s">
        <v>5452</v>
      </c>
      <c r="C3525">
        <v>542034</v>
      </c>
      <c r="D3525" t="s">
        <v>339</v>
      </c>
      <c r="E3525" t="s">
        <v>453</v>
      </c>
    </row>
    <row r="3526" spans="2:5">
      <c r="B3526" t="s">
        <v>5453</v>
      </c>
      <c r="C3526">
        <v>532604</v>
      </c>
      <c r="D3526" t="s">
        <v>5454</v>
      </c>
      <c r="E3526" t="s">
        <v>371</v>
      </c>
    </row>
    <row r="3527" spans="2:5">
      <c r="B3527" t="s">
        <v>5455</v>
      </c>
      <c r="C3527">
        <v>540497</v>
      </c>
      <c r="D3527" t="s">
        <v>5456</v>
      </c>
      <c r="E3527" t="s">
        <v>863</v>
      </c>
    </row>
    <row r="3528" spans="2:5">
      <c r="B3528" t="s">
        <v>5457</v>
      </c>
      <c r="C3528">
        <v>534598</v>
      </c>
      <c r="D3528" t="s">
        <v>5458</v>
      </c>
      <c r="E3528" t="s">
        <v>478</v>
      </c>
    </row>
    <row r="3529" spans="2:5">
      <c r="B3529" t="s">
        <v>5459</v>
      </c>
      <c r="C3529">
        <v>539450</v>
      </c>
      <c r="D3529" t="s">
        <v>5460</v>
      </c>
      <c r="E3529" t="s">
        <v>521</v>
      </c>
    </row>
    <row r="3530" spans="2:5">
      <c r="B3530" t="s">
        <v>5461</v>
      </c>
      <c r="C3530">
        <v>532316</v>
      </c>
      <c r="D3530" t="s">
        <v>5462</v>
      </c>
      <c r="E3530" t="s">
        <v>5463</v>
      </c>
    </row>
    <row r="3531" spans="2:5">
      <c r="B3531" t="s">
        <v>5464</v>
      </c>
      <c r="C3531">
        <v>540048</v>
      </c>
      <c r="D3531" t="s">
        <v>5465</v>
      </c>
      <c r="E3531" t="s">
        <v>453</v>
      </c>
    </row>
    <row r="3532" spans="2:5">
      <c r="B3532" t="s">
        <v>5466</v>
      </c>
      <c r="C3532">
        <v>536710</v>
      </c>
      <c r="D3532" t="s">
        <v>339</v>
      </c>
      <c r="E3532" t="s">
        <v>356</v>
      </c>
    </row>
    <row r="3533" spans="2:5">
      <c r="B3533" t="s">
        <v>5467</v>
      </c>
      <c r="C3533">
        <v>513515</v>
      </c>
      <c r="D3533" t="s">
        <v>339</v>
      </c>
      <c r="E3533" t="s">
        <v>354</v>
      </c>
    </row>
    <row r="3534" spans="2:5">
      <c r="B3534" t="s">
        <v>5468</v>
      </c>
      <c r="C3534">
        <v>531307</v>
      </c>
      <c r="D3534" t="s">
        <v>339</v>
      </c>
      <c r="E3534" t="s">
        <v>354</v>
      </c>
    </row>
    <row r="3535" spans="2:5">
      <c r="B3535" t="s">
        <v>5469</v>
      </c>
      <c r="C3535" t="s">
        <v>339</v>
      </c>
      <c r="D3535" t="s">
        <v>5470</v>
      </c>
      <c r="E3535" t="s">
        <v>350</v>
      </c>
    </row>
    <row r="3536" spans="2:5">
      <c r="B3536" t="s">
        <v>5471</v>
      </c>
      <c r="C3536">
        <v>538876</v>
      </c>
      <c r="D3536" t="s">
        <v>339</v>
      </c>
      <c r="E3536" t="s">
        <v>356</v>
      </c>
    </row>
    <row r="3537" spans="2:5">
      <c r="B3537" t="s">
        <v>5472</v>
      </c>
      <c r="C3537">
        <v>535621</v>
      </c>
      <c r="D3537" t="s">
        <v>339</v>
      </c>
      <c r="E3537" t="s">
        <v>425</v>
      </c>
    </row>
    <row r="3538" spans="2:5">
      <c r="B3538" t="s">
        <v>5473</v>
      </c>
      <c r="C3538">
        <v>503622</v>
      </c>
      <c r="D3538" t="s">
        <v>339</v>
      </c>
      <c r="E3538" t="s">
        <v>322</v>
      </c>
    </row>
    <row r="3539" spans="2:5">
      <c r="B3539" t="s">
        <v>5474</v>
      </c>
      <c r="C3539">
        <v>514197</v>
      </c>
      <c r="D3539" t="s">
        <v>339</v>
      </c>
      <c r="E3539" t="s">
        <v>354</v>
      </c>
    </row>
    <row r="3540" spans="2:5">
      <c r="B3540" t="s">
        <v>5475</v>
      </c>
      <c r="C3540">
        <v>540081</v>
      </c>
      <c r="D3540" t="s">
        <v>5476</v>
      </c>
      <c r="E3540" t="s">
        <v>863</v>
      </c>
    </row>
    <row r="3541" spans="2:5">
      <c r="B3541" t="s">
        <v>5477</v>
      </c>
      <c r="C3541">
        <v>539112</v>
      </c>
      <c r="D3541" t="s">
        <v>339</v>
      </c>
      <c r="E3541" t="s">
        <v>425</v>
      </c>
    </row>
    <row r="3542" spans="2:5">
      <c r="B3542" t="s">
        <v>5478</v>
      </c>
      <c r="C3542">
        <v>530267</v>
      </c>
      <c r="D3542" t="s">
        <v>339</v>
      </c>
      <c r="E3542" t="s">
        <v>347</v>
      </c>
    </row>
    <row r="3543" spans="2:5">
      <c r="B3543" t="s">
        <v>5479</v>
      </c>
      <c r="C3543">
        <v>530461</v>
      </c>
      <c r="D3543" t="s">
        <v>339</v>
      </c>
      <c r="E3543" t="s">
        <v>419</v>
      </c>
    </row>
    <row r="3544" spans="2:5">
      <c r="B3544" t="s">
        <v>5480</v>
      </c>
      <c r="C3544">
        <v>540132</v>
      </c>
      <c r="D3544" t="s">
        <v>339</v>
      </c>
      <c r="E3544" t="s">
        <v>361</v>
      </c>
    </row>
    <row r="3545" spans="2:5">
      <c r="B3545" t="s">
        <v>5481</v>
      </c>
      <c r="C3545">
        <v>540132</v>
      </c>
      <c r="D3545" t="s">
        <v>339</v>
      </c>
      <c r="E3545" t="s">
        <v>361</v>
      </c>
    </row>
    <row r="3546" spans="2:5">
      <c r="B3546" t="s">
        <v>5482</v>
      </c>
      <c r="C3546">
        <v>531869</v>
      </c>
      <c r="D3546" t="s">
        <v>339</v>
      </c>
      <c r="E3546" t="s">
        <v>644</v>
      </c>
    </row>
    <row r="3547" spans="2:5">
      <c r="B3547" t="s">
        <v>5483</v>
      </c>
      <c r="C3547">
        <v>532710</v>
      </c>
      <c r="D3547" t="s">
        <v>5484</v>
      </c>
      <c r="E3547" t="s">
        <v>737</v>
      </c>
    </row>
    <row r="3548" spans="2:5">
      <c r="B3548" t="s">
        <v>5485</v>
      </c>
      <c r="C3548">
        <v>539346</v>
      </c>
      <c r="D3548" t="s">
        <v>5486</v>
      </c>
      <c r="E3548" t="s">
        <v>934</v>
      </c>
    </row>
    <row r="3549" spans="2:5">
      <c r="B3549" t="s">
        <v>5487</v>
      </c>
      <c r="C3549">
        <v>506642</v>
      </c>
      <c r="D3549" t="s">
        <v>339</v>
      </c>
      <c r="E3549" t="s">
        <v>387</v>
      </c>
    </row>
    <row r="3550" spans="2:5">
      <c r="B3550" t="s">
        <v>5488</v>
      </c>
      <c r="C3550">
        <v>540821</v>
      </c>
      <c r="D3550" t="s">
        <v>339</v>
      </c>
      <c r="E3550" t="s">
        <v>1077</v>
      </c>
    </row>
    <row r="3551" spans="2:5">
      <c r="B3551" t="s">
        <v>5489</v>
      </c>
      <c r="C3551">
        <v>532034</v>
      </c>
      <c r="D3551" t="s">
        <v>339</v>
      </c>
      <c r="E3551" t="s">
        <v>521</v>
      </c>
    </row>
    <row r="3552" spans="2:5">
      <c r="B3552" t="s">
        <v>5490</v>
      </c>
      <c r="C3552">
        <v>531448</v>
      </c>
      <c r="D3552" t="s">
        <v>339</v>
      </c>
      <c r="E3552" t="s">
        <v>760</v>
      </c>
    </row>
    <row r="3553" spans="2:5">
      <c r="B3553" t="s">
        <v>5491</v>
      </c>
      <c r="C3553">
        <v>523025</v>
      </c>
      <c r="D3553" t="s">
        <v>339</v>
      </c>
      <c r="E3553" t="s">
        <v>453</v>
      </c>
    </row>
    <row r="3554" spans="2:5">
      <c r="B3554" t="s">
        <v>5492</v>
      </c>
      <c r="C3554">
        <v>523025</v>
      </c>
      <c r="D3554" t="s">
        <v>339</v>
      </c>
      <c r="E3554" t="s">
        <v>453</v>
      </c>
    </row>
    <row r="3555" spans="2:5">
      <c r="B3555" t="s">
        <v>5493</v>
      </c>
      <c r="C3555">
        <v>502090</v>
      </c>
      <c r="D3555" t="s">
        <v>5494</v>
      </c>
      <c r="E3555" t="s">
        <v>352</v>
      </c>
    </row>
    <row r="3556" spans="2:5">
      <c r="B3556" t="s">
        <v>5495</v>
      </c>
      <c r="C3556">
        <v>540715</v>
      </c>
      <c r="D3556" t="s">
        <v>339</v>
      </c>
      <c r="E3556" t="s">
        <v>453</v>
      </c>
    </row>
    <row r="3557" spans="2:5">
      <c r="B3557" t="s">
        <v>5496</v>
      </c>
      <c r="C3557">
        <v>532092</v>
      </c>
      <c r="D3557" t="s">
        <v>339</v>
      </c>
      <c r="E3557" t="s">
        <v>356</v>
      </c>
    </row>
    <row r="3558" spans="2:5">
      <c r="B3558" t="s">
        <v>5497</v>
      </c>
      <c r="C3558">
        <v>507663</v>
      </c>
      <c r="D3558" t="s">
        <v>339</v>
      </c>
      <c r="E3558" t="s">
        <v>588</v>
      </c>
    </row>
    <row r="3559" spans="2:5">
      <c r="B3559" t="s">
        <v>5498</v>
      </c>
      <c r="C3559">
        <v>511254</v>
      </c>
      <c r="D3559" t="s">
        <v>339</v>
      </c>
      <c r="E3559" t="s">
        <v>356</v>
      </c>
    </row>
    <row r="3560" spans="2:5">
      <c r="B3560" t="s">
        <v>5499</v>
      </c>
      <c r="C3560">
        <v>526085</v>
      </c>
      <c r="D3560" t="s">
        <v>339</v>
      </c>
      <c r="E3560" t="s">
        <v>540</v>
      </c>
    </row>
    <row r="3561" spans="2:5">
      <c r="B3561" t="s">
        <v>5500</v>
      </c>
      <c r="C3561" t="s">
        <v>339</v>
      </c>
      <c r="D3561" t="s">
        <v>5501</v>
      </c>
      <c r="E3561" t="s">
        <v>350</v>
      </c>
    </row>
    <row r="3562" spans="2:5">
      <c r="B3562" t="s">
        <v>5502</v>
      </c>
      <c r="C3562">
        <v>540143</v>
      </c>
      <c r="D3562" t="s">
        <v>339</v>
      </c>
      <c r="E3562" t="s">
        <v>325</v>
      </c>
    </row>
    <row r="3563" spans="2:5">
      <c r="B3563" t="s">
        <v>5503</v>
      </c>
      <c r="C3563">
        <v>540143</v>
      </c>
      <c r="D3563" t="s">
        <v>339</v>
      </c>
      <c r="E3563" t="s">
        <v>325</v>
      </c>
    </row>
    <row r="3564" spans="2:5">
      <c r="B3564" t="s">
        <v>5504</v>
      </c>
      <c r="C3564">
        <v>511533</v>
      </c>
      <c r="D3564" t="s">
        <v>339</v>
      </c>
      <c r="E3564" t="s">
        <v>397</v>
      </c>
    </row>
    <row r="3565" spans="2:5">
      <c r="B3565" t="s">
        <v>5505</v>
      </c>
      <c r="C3565">
        <v>503691</v>
      </c>
      <c r="D3565" t="s">
        <v>339</v>
      </c>
      <c r="E3565" t="s">
        <v>1077</v>
      </c>
    </row>
    <row r="3566" spans="2:5">
      <c r="B3566" t="s">
        <v>5506</v>
      </c>
      <c r="C3566">
        <v>532841</v>
      </c>
      <c r="D3566" t="s">
        <v>339</v>
      </c>
      <c r="E3566" t="s">
        <v>352</v>
      </c>
    </row>
    <row r="3567" spans="2:5">
      <c r="B3567" t="s">
        <v>5507</v>
      </c>
      <c r="C3567">
        <v>539660</v>
      </c>
      <c r="D3567" t="s">
        <v>339</v>
      </c>
      <c r="E3567" t="s">
        <v>322</v>
      </c>
    </row>
    <row r="3568" spans="2:5">
      <c r="B3568" t="s">
        <v>5508</v>
      </c>
      <c r="C3568">
        <v>538557</v>
      </c>
      <c r="D3568" t="s">
        <v>339</v>
      </c>
      <c r="E3568" t="s">
        <v>361</v>
      </c>
    </row>
    <row r="3569" spans="2:5">
      <c r="B3569" t="s">
        <v>5509</v>
      </c>
      <c r="C3569">
        <v>531931</v>
      </c>
      <c r="D3569" t="s">
        <v>339</v>
      </c>
      <c r="E3569" t="s">
        <v>760</v>
      </c>
    </row>
    <row r="3570" spans="2:5">
      <c r="B3570" t="s">
        <v>5510</v>
      </c>
      <c r="C3570">
        <v>530905</v>
      </c>
      <c r="D3570" t="s">
        <v>339</v>
      </c>
      <c r="E3570" t="s">
        <v>356</v>
      </c>
    </row>
    <row r="3571" spans="2:5">
      <c r="B3571" t="s">
        <v>5511</v>
      </c>
      <c r="C3571">
        <v>540066</v>
      </c>
      <c r="D3571" t="s">
        <v>339</v>
      </c>
      <c r="E3571" t="s">
        <v>694</v>
      </c>
    </row>
    <row r="3572" spans="2:5">
      <c r="B3572" t="s">
        <v>5512</v>
      </c>
      <c r="C3572">
        <v>530265</v>
      </c>
      <c r="D3572" t="s">
        <v>339</v>
      </c>
      <c r="E3572" t="s">
        <v>352</v>
      </c>
    </row>
    <row r="3573" spans="2:5">
      <c r="B3573" t="s">
        <v>5513</v>
      </c>
      <c r="C3573">
        <v>515043</v>
      </c>
      <c r="D3573" t="s">
        <v>339</v>
      </c>
      <c r="E3573" t="s">
        <v>616</v>
      </c>
    </row>
    <row r="3574" spans="2:5">
      <c r="B3574" t="s">
        <v>5514</v>
      </c>
      <c r="C3574">
        <v>515043</v>
      </c>
      <c r="D3574" t="s">
        <v>339</v>
      </c>
      <c r="E3574" t="s">
        <v>616</v>
      </c>
    </row>
    <row r="3575" spans="2:5">
      <c r="B3575" t="s">
        <v>5515</v>
      </c>
      <c r="C3575" t="s">
        <v>339</v>
      </c>
      <c r="D3575" t="s">
        <v>5516</v>
      </c>
      <c r="E3575" t="s">
        <v>350</v>
      </c>
    </row>
    <row r="3576" spans="2:5">
      <c r="B3576" t="s">
        <v>5517</v>
      </c>
      <c r="C3576" t="s">
        <v>339</v>
      </c>
      <c r="D3576" t="s">
        <v>5518</v>
      </c>
      <c r="E3576" t="s">
        <v>350</v>
      </c>
    </row>
    <row r="3577" spans="2:5">
      <c r="B3577" t="s">
        <v>5519</v>
      </c>
      <c r="C3577">
        <v>590051</v>
      </c>
      <c r="D3577" t="s">
        <v>5520</v>
      </c>
      <c r="E3577" t="s">
        <v>432</v>
      </c>
    </row>
    <row r="3578" spans="2:5">
      <c r="B3578" t="s">
        <v>5521</v>
      </c>
      <c r="C3578">
        <v>511066</v>
      </c>
      <c r="D3578" t="s">
        <v>339</v>
      </c>
      <c r="E3578" t="s">
        <v>356</v>
      </c>
    </row>
    <row r="3579" spans="2:5">
      <c r="B3579" t="s">
        <v>5522</v>
      </c>
      <c r="C3579">
        <v>507315</v>
      </c>
      <c r="D3579" t="s">
        <v>5523</v>
      </c>
      <c r="E3579" t="s">
        <v>1037</v>
      </c>
    </row>
    <row r="3580" spans="2:5">
      <c r="B3580" t="s">
        <v>5524</v>
      </c>
      <c r="C3580">
        <v>532713</v>
      </c>
      <c r="D3580" t="s">
        <v>5525</v>
      </c>
      <c r="E3580" t="s">
        <v>361</v>
      </c>
    </row>
    <row r="3581" spans="2:5">
      <c r="B3581" t="s">
        <v>5526</v>
      </c>
      <c r="C3581">
        <v>540642</v>
      </c>
      <c r="D3581" t="s">
        <v>5527</v>
      </c>
      <c r="E3581" t="s">
        <v>737</v>
      </c>
    </row>
    <row r="3582" spans="2:5">
      <c r="B3582" t="s">
        <v>5528</v>
      </c>
      <c r="C3582">
        <v>540181</v>
      </c>
      <c r="D3582" t="s">
        <v>339</v>
      </c>
      <c r="E3582" t="s">
        <v>356</v>
      </c>
    </row>
    <row r="3583" spans="2:5">
      <c r="B3583" t="s">
        <v>5529</v>
      </c>
      <c r="C3583">
        <v>526554</v>
      </c>
      <c r="D3583" t="s">
        <v>339</v>
      </c>
      <c r="E3583" t="s">
        <v>534</v>
      </c>
    </row>
    <row r="3584" spans="2:5">
      <c r="B3584" t="s">
        <v>5530</v>
      </c>
      <c r="C3584">
        <v>590056</v>
      </c>
      <c r="D3584" t="s">
        <v>5531</v>
      </c>
      <c r="E3584" t="s">
        <v>354</v>
      </c>
    </row>
    <row r="3585" spans="2:5">
      <c r="B3585" t="s">
        <v>5532</v>
      </c>
      <c r="C3585">
        <v>500370</v>
      </c>
      <c r="D3585" t="s">
        <v>5533</v>
      </c>
      <c r="E3585" t="s">
        <v>361</v>
      </c>
    </row>
    <row r="3586" spans="2:5">
      <c r="B3586" t="s">
        <v>5534</v>
      </c>
      <c r="C3586">
        <v>517059</v>
      </c>
      <c r="D3586" t="s">
        <v>5535</v>
      </c>
      <c r="E3586" t="s">
        <v>637</v>
      </c>
    </row>
    <row r="3587" spans="2:5">
      <c r="B3587" t="s">
        <v>5536</v>
      </c>
      <c r="C3587">
        <v>532005</v>
      </c>
      <c r="D3587" t="s">
        <v>339</v>
      </c>
      <c r="E3587" t="s">
        <v>524</v>
      </c>
    </row>
    <row r="3588" spans="2:5">
      <c r="B3588" t="s">
        <v>5537</v>
      </c>
      <c r="C3588">
        <v>521240</v>
      </c>
      <c r="D3588" t="s">
        <v>339</v>
      </c>
      <c r="E3588" t="s">
        <v>354</v>
      </c>
    </row>
    <row r="3589" spans="2:5">
      <c r="B3589" t="s">
        <v>5538</v>
      </c>
      <c r="C3589">
        <v>511630</v>
      </c>
      <c r="D3589" t="s">
        <v>5539</v>
      </c>
      <c r="E3589" t="s">
        <v>863</v>
      </c>
    </row>
    <row r="3590" spans="2:5">
      <c r="B3590" t="s">
        <v>5540</v>
      </c>
      <c r="C3590">
        <v>520075</v>
      </c>
      <c r="D3590" t="s">
        <v>339</v>
      </c>
      <c r="E3590" t="s">
        <v>694</v>
      </c>
    </row>
    <row r="3591" spans="2:5">
      <c r="B3591" t="s">
        <v>5541</v>
      </c>
      <c r="C3591">
        <v>530617</v>
      </c>
      <c r="D3591" t="s">
        <v>339</v>
      </c>
      <c r="E3591" t="s">
        <v>399</v>
      </c>
    </row>
    <row r="3592" spans="2:5">
      <c r="B3592" t="s">
        <v>5542</v>
      </c>
      <c r="C3592">
        <v>530125</v>
      </c>
      <c r="D3592" t="s">
        <v>339</v>
      </c>
      <c r="E3592" t="s">
        <v>377</v>
      </c>
    </row>
    <row r="3593" spans="2:5">
      <c r="B3593" t="s">
        <v>5543</v>
      </c>
      <c r="C3593">
        <v>500371</v>
      </c>
      <c r="D3593" t="s">
        <v>339</v>
      </c>
      <c r="E3593" t="s">
        <v>708</v>
      </c>
    </row>
    <row r="3594" spans="2:5">
      <c r="B3594" t="s">
        <v>5544</v>
      </c>
      <c r="C3594">
        <v>500371</v>
      </c>
      <c r="D3594" t="s">
        <v>339</v>
      </c>
      <c r="E3594" t="s">
        <v>708</v>
      </c>
    </row>
    <row r="3595" spans="2:5">
      <c r="B3595" t="s">
        <v>5545</v>
      </c>
      <c r="C3595">
        <v>521206</v>
      </c>
      <c r="D3595" t="s">
        <v>339</v>
      </c>
      <c r="E3595" t="s">
        <v>453</v>
      </c>
    </row>
    <row r="3596" spans="2:5">
      <c r="B3596" t="s">
        <v>5546</v>
      </c>
      <c r="C3596">
        <v>530025</v>
      </c>
      <c r="D3596" t="s">
        <v>339</v>
      </c>
      <c r="E3596" t="s">
        <v>760</v>
      </c>
    </row>
    <row r="3597" spans="2:5">
      <c r="B3597" t="s">
        <v>5547</v>
      </c>
      <c r="C3597">
        <v>780015</v>
      </c>
      <c r="D3597" t="s">
        <v>339</v>
      </c>
      <c r="E3597" t="s">
        <v>430</v>
      </c>
    </row>
    <row r="3598" spans="2:5">
      <c r="B3598" t="s">
        <v>5548</v>
      </c>
      <c r="C3598">
        <v>509423</v>
      </c>
      <c r="D3598" t="s">
        <v>339</v>
      </c>
      <c r="E3598" t="s">
        <v>387</v>
      </c>
    </row>
    <row r="3599" spans="2:5">
      <c r="B3599" t="s">
        <v>5549</v>
      </c>
      <c r="C3599">
        <v>521222</v>
      </c>
      <c r="D3599" t="s">
        <v>339</v>
      </c>
      <c r="E3599" t="s">
        <v>453</v>
      </c>
    </row>
    <row r="3600" spans="2:5">
      <c r="B3600" t="s">
        <v>5550</v>
      </c>
      <c r="C3600" t="s">
        <v>339</v>
      </c>
      <c r="D3600" t="s">
        <v>5551</v>
      </c>
      <c r="E3600" t="s">
        <v>430</v>
      </c>
    </row>
    <row r="3601" spans="2:5">
      <c r="B3601" t="s">
        <v>5552</v>
      </c>
      <c r="C3601">
        <v>523116</v>
      </c>
      <c r="D3601" t="s">
        <v>339</v>
      </c>
      <c r="E3601" t="s">
        <v>462</v>
      </c>
    </row>
    <row r="3602" spans="2:5">
      <c r="B3602" t="s">
        <v>5553</v>
      </c>
      <c r="C3602">
        <v>541163</v>
      </c>
      <c r="D3602" t="s">
        <v>5554</v>
      </c>
      <c r="E3602" t="s">
        <v>694</v>
      </c>
    </row>
    <row r="3603" spans="2:5">
      <c r="B3603" t="s">
        <v>5555</v>
      </c>
      <c r="C3603">
        <v>524703</v>
      </c>
      <c r="D3603" t="s">
        <v>339</v>
      </c>
      <c r="E3603" t="s">
        <v>377</v>
      </c>
    </row>
    <row r="3604" spans="2:5">
      <c r="B3604" t="s">
        <v>5556</v>
      </c>
      <c r="C3604">
        <v>504918</v>
      </c>
      <c r="D3604" t="s">
        <v>339</v>
      </c>
      <c r="E3604" t="s">
        <v>319</v>
      </c>
    </row>
    <row r="3605" spans="2:5">
      <c r="B3605" t="s">
        <v>5557</v>
      </c>
      <c r="C3605">
        <v>539392</v>
      </c>
      <c r="D3605" t="s">
        <v>339</v>
      </c>
      <c r="E3605" t="s">
        <v>361</v>
      </c>
    </row>
    <row r="3606" spans="2:5">
      <c r="B3606" t="s">
        <v>5558</v>
      </c>
      <c r="C3606">
        <v>539392</v>
      </c>
      <c r="D3606" t="s">
        <v>339</v>
      </c>
      <c r="E3606" t="s">
        <v>361</v>
      </c>
    </row>
    <row r="3607" spans="2:5">
      <c r="B3607" t="s">
        <v>5559</v>
      </c>
      <c r="C3607">
        <v>516096</v>
      </c>
      <c r="D3607" t="s">
        <v>339</v>
      </c>
      <c r="E3607" t="s">
        <v>333</v>
      </c>
    </row>
    <row r="3608" spans="2:5">
      <c r="B3608" t="s">
        <v>5560</v>
      </c>
      <c r="C3608">
        <v>514234</v>
      </c>
      <c r="D3608" t="s">
        <v>5561</v>
      </c>
      <c r="E3608" t="s">
        <v>354</v>
      </c>
    </row>
    <row r="3609" spans="2:5">
      <c r="B3609" t="s">
        <v>5562</v>
      </c>
      <c r="C3609">
        <v>514234</v>
      </c>
      <c r="D3609" t="s">
        <v>5561</v>
      </c>
      <c r="E3609" t="s">
        <v>354</v>
      </c>
    </row>
    <row r="3610" spans="2:5">
      <c r="B3610" t="s">
        <v>5563</v>
      </c>
      <c r="C3610">
        <v>534618</v>
      </c>
      <c r="D3610" t="s">
        <v>339</v>
      </c>
      <c r="E3610" t="s">
        <v>478</v>
      </c>
    </row>
    <row r="3611" spans="2:5">
      <c r="B3611" t="s">
        <v>5564</v>
      </c>
      <c r="C3611">
        <v>511640</v>
      </c>
      <c r="D3611" t="s">
        <v>339</v>
      </c>
      <c r="E3611" t="s">
        <v>356</v>
      </c>
    </row>
    <row r="3612" spans="2:5">
      <c r="B3612" t="s">
        <v>5565</v>
      </c>
      <c r="C3612">
        <v>526521</v>
      </c>
      <c r="D3612" t="s">
        <v>5566</v>
      </c>
      <c r="E3612" t="s">
        <v>352</v>
      </c>
    </row>
    <row r="3613" spans="2:5">
      <c r="B3613" t="s">
        <v>5567</v>
      </c>
      <c r="C3613">
        <v>540782</v>
      </c>
      <c r="D3613" t="s">
        <v>339</v>
      </c>
      <c r="E3613" t="s">
        <v>540</v>
      </c>
    </row>
    <row r="3614" spans="2:5">
      <c r="B3614" t="s">
        <v>5568</v>
      </c>
      <c r="C3614">
        <v>533411</v>
      </c>
      <c r="D3614" t="s">
        <v>5569</v>
      </c>
      <c r="E3614" t="s">
        <v>1258</v>
      </c>
    </row>
    <row r="3615" spans="2:5">
      <c r="B3615" t="s">
        <v>5570</v>
      </c>
      <c r="C3615">
        <v>530073</v>
      </c>
      <c r="D3615" t="s">
        <v>5571</v>
      </c>
      <c r="E3615" t="s">
        <v>462</v>
      </c>
    </row>
    <row r="3616" spans="2:5">
      <c r="B3616" t="s">
        <v>5572</v>
      </c>
      <c r="C3616" t="s">
        <v>339</v>
      </c>
      <c r="D3616" t="s">
        <v>5573</v>
      </c>
      <c r="E3616" t="s">
        <v>350</v>
      </c>
    </row>
    <row r="3617" spans="2:5">
      <c r="B3617" t="s">
        <v>5574</v>
      </c>
      <c r="C3617">
        <v>531898</v>
      </c>
      <c r="D3617" t="s">
        <v>339</v>
      </c>
      <c r="E3617" t="s">
        <v>342</v>
      </c>
    </row>
    <row r="3618" spans="2:5">
      <c r="B3618" t="s">
        <v>5575</v>
      </c>
      <c r="C3618">
        <v>531569</v>
      </c>
      <c r="D3618" t="s">
        <v>339</v>
      </c>
      <c r="E3618" t="s">
        <v>377</v>
      </c>
    </row>
    <row r="3619" spans="2:5">
      <c r="B3619" t="s">
        <v>5576</v>
      </c>
      <c r="C3619">
        <v>532972</v>
      </c>
      <c r="D3619" t="s">
        <v>339</v>
      </c>
      <c r="E3619" t="s">
        <v>432</v>
      </c>
    </row>
    <row r="3620" spans="2:5">
      <c r="B3620" t="s">
        <v>5577</v>
      </c>
      <c r="C3620">
        <v>532435</v>
      </c>
      <c r="D3620" t="s">
        <v>339</v>
      </c>
      <c r="E3620" t="s">
        <v>425</v>
      </c>
    </row>
    <row r="3621" spans="2:5">
      <c r="B3621" t="s">
        <v>5578</v>
      </c>
      <c r="C3621">
        <v>512062</v>
      </c>
      <c r="D3621" t="s">
        <v>339</v>
      </c>
      <c r="E3621" t="s">
        <v>760</v>
      </c>
    </row>
    <row r="3622" spans="2:5">
      <c r="B3622" t="s">
        <v>5579</v>
      </c>
      <c r="C3622">
        <v>500674</v>
      </c>
      <c r="D3622" t="s">
        <v>5580</v>
      </c>
      <c r="E3622" t="s">
        <v>377</v>
      </c>
    </row>
    <row r="3623" spans="2:5">
      <c r="B3623" t="s">
        <v>5581</v>
      </c>
      <c r="C3623">
        <v>500674</v>
      </c>
      <c r="D3623" t="s">
        <v>5580</v>
      </c>
      <c r="E3623" t="s">
        <v>377</v>
      </c>
    </row>
    <row r="3624" spans="2:5">
      <c r="B3624" t="s">
        <v>5582</v>
      </c>
      <c r="C3624">
        <v>514280</v>
      </c>
      <c r="D3624" t="s">
        <v>339</v>
      </c>
      <c r="E3624" t="s">
        <v>354</v>
      </c>
    </row>
    <row r="3625" spans="2:5">
      <c r="B3625" t="s">
        <v>5583</v>
      </c>
      <c r="C3625">
        <v>530035</v>
      </c>
      <c r="D3625" t="s">
        <v>339</v>
      </c>
      <c r="E3625" t="s">
        <v>354</v>
      </c>
    </row>
    <row r="3626" spans="2:5">
      <c r="B3626" t="s">
        <v>5584</v>
      </c>
      <c r="C3626">
        <v>540822</v>
      </c>
      <c r="D3626" t="s">
        <v>339</v>
      </c>
      <c r="E3626" t="s">
        <v>356</v>
      </c>
    </row>
    <row r="3627" spans="2:5">
      <c r="B3627" t="s">
        <v>5585</v>
      </c>
      <c r="C3627">
        <v>519260</v>
      </c>
      <c r="D3627" t="s">
        <v>5586</v>
      </c>
      <c r="E3627" t="s">
        <v>588</v>
      </c>
    </row>
    <row r="3628" spans="2:5">
      <c r="B3628" t="s">
        <v>5587</v>
      </c>
      <c r="C3628">
        <v>506906</v>
      </c>
      <c r="D3628" t="s">
        <v>339</v>
      </c>
      <c r="E3628" t="s">
        <v>361</v>
      </c>
    </row>
    <row r="3629" spans="2:5">
      <c r="B3629" t="s">
        <v>5588</v>
      </c>
      <c r="C3629">
        <v>519238</v>
      </c>
      <c r="D3629" t="s">
        <v>339</v>
      </c>
      <c r="E3629" t="s">
        <v>537</v>
      </c>
    </row>
    <row r="3630" spans="2:5">
      <c r="B3630" t="s">
        <v>5589</v>
      </c>
      <c r="C3630">
        <v>538992</v>
      </c>
      <c r="D3630" t="s">
        <v>339</v>
      </c>
      <c r="E3630" t="s">
        <v>694</v>
      </c>
    </row>
    <row r="3631" spans="2:5">
      <c r="B3631" t="s">
        <v>5590</v>
      </c>
      <c r="C3631">
        <v>512020</v>
      </c>
      <c r="D3631" t="s">
        <v>339</v>
      </c>
      <c r="E3631" t="s">
        <v>356</v>
      </c>
    </row>
    <row r="3632" spans="2:5">
      <c r="B3632" t="s">
        <v>5591</v>
      </c>
      <c r="C3632">
        <v>512020</v>
      </c>
      <c r="D3632" t="s">
        <v>339</v>
      </c>
      <c r="E3632" t="s">
        <v>356</v>
      </c>
    </row>
    <row r="3633" spans="2:5">
      <c r="B3633" t="s">
        <v>5592</v>
      </c>
      <c r="C3633">
        <v>504614</v>
      </c>
      <c r="D3633" t="s">
        <v>5593</v>
      </c>
      <c r="E3633" t="s">
        <v>371</v>
      </c>
    </row>
    <row r="3634" spans="2:5">
      <c r="B3634" t="s">
        <v>5594</v>
      </c>
      <c r="C3634">
        <v>516032</v>
      </c>
      <c r="D3634" t="s">
        <v>339</v>
      </c>
      <c r="E3634" t="s">
        <v>333</v>
      </c>
    </row>
    <row r="3635" spans="2:5">
      <c r="B3635" t="s">
        <v>5595</v>
      </c>
      <c r="C3635">
        <v>516003</v>
      </c>
      <c r="D3635" t="s">
        <v>339</v>
      </c>
      <c r="E3635" t="s">
        <v>834</v>
      </c>
    </row>
    <row r="3636" spans="2:5">
      <c r="B3636" t="s">
        <v>5596</v>
      </c>
      <c r="C3636">
        <v>519242</v>
      </c>
      <c r="D3636" t="s">
        <v>339</v>
      </c>
      <c r="E3636" t="s">
        <v>588</v>
      </c>
    </row>
    <row r="3637" spans="2:5">
      <c r="B3637" t="s">
        <v>5597</v>
      </c>
      <c r="C3637">
        <v>532163</v>
      </c>
      <c r="D3637" t="s">
        <v>5598</v>
      </c>
      <c r="E3637" t="s">
        <v>342</v>
      </c>
    </row>
    <row r="3638" spans="2:5">
      <c r="B3638" t="s">
        <v>5599</v>
      </c>
      <c r="C3638">
        <v>532163</v>
      </c>
      <c r="D3638" t="s">
        <v>5598</v>
      </c>
      <c r="E3638" t="s">
        <v>342</v>
      </c>
    </row>
    <row r="3639" spans="2:5">
      <c r="B3639" t="s">
        <v>5600</v>
      </c>
      <c r="C3639">
        <v>526885</v>
      </c>
      <c r="D3639" t="s">
        <v>5601</v>
      </c>
      <c r="E3639" t="s">
        <v>354</v>
      </c>
    </row>
    <row r="3640" spans="2:5">
      <c r="B3640" t="s">
        <v>5602</v>
      </c>
      <c r="C3640">
        <v>530993</v>
      </c>
      <c r="D3640" t="s">
        <v>339</v>
      </c>
      <c r="E3640" t="s">
        <v>361</v>
      </c>
    </row>
    <row r="3641" spans="2:5">
      <c r="B3641" t="s">
        <v>5603</v>
      </c>
      <c r="C3641">
        <v>531930</v>
      </c>
      <c r="D3641" t="s">
        <v>339</v>
      </c>
      <c r="E3641" t="s">
        <v>1258</v>
      </c>
    </row>
    <row r="3642" spans="2:5">
      <c r="B3642" t="s">
        <v>5604</v>
      </c>
      <c r="C3642">
        <v>540393</v>
      </c>
      <c r="D3642" t="s">
        <v>339</v>
      </c>
      <c r="E3642" t="s">
        <v>662</v>
      </c>
    </row>
    <row r="3643" spans="2:5">
      <c r="B3643" t="s">
        <v>5605</v>
      </c>
      <c r="C3643">
        <v>514412</v>
      </c>
      <c r="D3643" t="s">
        <v>339</v>
      </c>
      <c r="E3643" t="s">
        <v>453</v>
      </c>
    </row>
    <row r="3644" spans="2:5">
      <c r="B3644" t="s">
        <v>5606</v>
      </c>
      <c r="C3644">
        <v>506190</v>
      </c>
      <c r="D3644" t="s">
        <v>339</v>
      </c>
      <c r="E3644" t="s">
        <v>760</v>
      </c>
    </row>
    <row r="3645" spans="2:5">
      <c r="B3645" t="s">
        <v>5607</v>
      </c>
      <c r="C3645" t="s">
        <v>339</v>
      </c>
      <c r="D3645" t="s">
        <v>5608</v>
      </c>
      <c r="E3645" t="s">
        <v>350</v>
      </c>
    </row>
    <row r="3646" spans="2:5">
      <c r="B3646" t="s">
        <v>5609</v>
      </c>
      <c r="C3646">
        <v>539124</v>
      </c>
      <c r="D3646" t="s">
        <v>339</v>
      </c>
      <c r="E3646" t="s">
        <v>356</v>
      </c>
    </row>
    <row r="3647" spans="2:5">
      <c r="B3647" t="s">
        <v>5610</v>
      </c>
      <c r="C3647">
        <v>506313</v>
      </c>
      <c r="D3647" t="s">
        <v>339</v>
      </c>
      <c r="E3647" t="s">
        <v>867</v>
      </c>
    </row>
    <row r="3648" spans="2:5">
      <c r="B3648" t="s">
        <v>5611</v>
      </c>
      <c r="C3648">
        <v>532663</v>
      </c>
      <c r="D3648" t="s">
        <v>5612</v>
      </c>
      <c r="E3648" t="s">
        <v>325</v>
      </c>
    </row>
    <row r="3649" spans="2:5">
      <c r="B3649" t="s">
        <v>5613</v>
      </c>
      <c r="C3649">
        <v>533259</v>
      </c>
      <c r="D3649" t="s">
        <v>5614</v>
      </c>
      <c r="E3649" t="s">
        <v>528</v>
      </c>
    </row>
    <row r="3650" spans="2:5">
      <c r="B3650" t="s">
        <v>5615</v>
      </c>
      <c r="C3650">
        <v>511076</v>
      </c>
      <c r="D3650" t="s">
        <v>339</v>
      </c>
      <c r="E3650" t="s">
        <v>361</v>
      </c>
    </row>
    <row r="3651" spans="2:5">
      <c r="B3651" t="s">
        <v>5616</v>
      </c>
      <c r="C3651">
        <v>526093</v>
      </c>
      <c r="D3651" t="s">
        <v>5617</v>
      </c>
      <c r="E3651" t="s">
        <v>371</v>
      </c>
    </row>
    <row r="3652" spans="2:5">
      <c r="B3652" t="s">
        <v>5618</v>
      </c>
      <c r="C3652">
        <v>539201</v>
      </c>
      <c r="D3652" t="s">
        <v>339</v>
      </c>
      <c r="E3652" t="s">
        <v>333</v>
      </c>
    </row>
    <row r="3653" spans="2:5">
      <c r="B3653" t="s">
        <v>5619</v>
      </c>
      <c r="C3653">
        <v>539404</v>
      </c>
      <c r="D3653" t="s">
        <v>5620</v>
      </c>
      <c r="E3653" t="s">
        <v>356</v>
      </c>
    </row>
    <row r="3654" spans="2:5">
      <c r="B3654" t="s">
        <v>5621</v>
      </c>
      <c r="C3654">
        <v>536592</v>
      </c>
      <c r="D3654" t="s">
        <v>339</v>
      </c>
      <c r="E3654" t="s">
        <v>356</v>
      </c>
    </row>
    <row r="3655" spans="2:5">
      <c r="B3655" t="s">
        <v>5622</v>
      </c>
      <c r="C3655">
        <v>508996</v>
      </c>
      <c r="D3655" t="s">
        <v>5623</v>
      </c>
      <c r="E3655" t="s">
        <v>425</v>
      </c>
    </row>
    <row r="3656" spans="2:5">
      <c r="B3656" t="s">
        <v>5624</v>
      </c>
      <c r="C3656">
        <v>503893</v>
      </c>
      <c r="D3656" t="s">
        <v>339</v>
      </c>
      <c r="E3656" t="s">
        <v>322</v>
      </c>
    </row>
    <row r="3657" spans="2:5">
      <c r="B3657" t="s">
        <v>5625</v>
      </c>
      <c r="C3657">
        <v>539218</v>
      </c>
      <c r="D3657" t="s">
        <v>339</v>
      </c>
      <c r="E3657" t="s">
        <v>356</v>
      </c>
    </row>
    <row r="3658" spans="2:5">
      <c r="B3658" t="s">
        <v>5626</v>
      </c>
      <c r="C3658">
        <v>502175</v>
      </c>
      <c r="D3658" t="s">
        <v>339</v>
      </c>
      <c r="E3658" t="s">
        <v>352</v>
      </c>
    </row>
    <row r="3659" spans="2:5">
      <c r="B3659" t="s">
        <v>5627</v>
      </c>
      <c r="C3659">
        <v>511577</v>
      </c>
      <c r="D3659" t="s">
        <v>339</v>
      </c>
      <c r="E3659" t="s">
        <v>356</v>
      </c>
    </row>
    <row r="3660" spans="2:5">
      <c r="B3660" t="s">
        <v>5628</v>
      </c>
      <c r="C3660">
        <v>517320</v>
      </c>
      <c r="D3660" t="s">
        <v>339</v>
      </c>
      <c r="E3660" t="s">
        <v>637</v>
      </c>
    </row>
    <row r="3661" spans="2:5">
      <c r="B3661" t="s">
        <v>5629</v>
      </c>
      <c r="C3661">
        <v>532404</v>
      </c>
      <c r="D3661" t="s">
        <v>339</v>
      </c>
      <c r="E3661" t="s">
        <v>432</v>
      </c>
    </row>
    <row r="3662" spans="2:5">
      <c r="B3662" t="s">
        <v>5630</v>
      </c>
      <c r="C3662">
        <v>512634</v>
      </c>
      <c r="D3662" t="s">
        <v>339</v>
      </c>
      <c r="E3662" t="s">
        <v>540</v>
      </c>
    </row>
    <row r="3663" spans="2:5">
      <c r="B3663" t="s">
        <v>5631</v>
      </c>
      <c r="C3663">
        <v>524667</v>
      </c>
      <c r="D3663" t="s">
        <v>5632</v>
      </c>
      <c r="E3663" t="s">
        <v>1267</v>
      </c>
    </row>
    <row r="3664" spans="2:5">
      <c r="B3664" t="s">
        <v>5633</v>
      </c>
      <c r="C3664">
        <v>531893</v>
      </c>
      <c r="D3664" t="s">
        <v>339</v>
      </c>
      <c r="E3664" t="s">
        <v>760</v>
      </c>
    </row>
    <row r="3665" spans="2:5">
      <c r="B3665" t="s">
        <v>5634</v>
      </c>
      <c r="C3665">
        <v>523710</v>
      </c>
      <c r="D3665" t="s">
        <v>339</v>
      </c>
      <c r="E3665" t="s">
        <v>540</v>
      </c>
    </row>
    <row r="3666" spans="2:5">
      <c r="B3666" t="s">
        <v>5635</v>
      </c>
      <c r="C3666">
        <v>540728</v>
      </c>
      <c r="D3666" t="s">
        <v>339</v>
      </c>
      <c r="E3666" t="s">
        <v>328</v>
      </c>
    </row>
    <row r="3667" spans="2:5">
      <c r="B3667" t="s">
        <v>5636</v>
      </c>
      <c r="C3667">
        <v>532102</v>
      </c>
      <c r="D3667" t="s">
        <v>339</v>
      </c>
      <c r="E3667" t="s">
        <v>1037</v>
      </c>
    </row>
    <row r="3668" spans="2:5">
      <c r="B3668" t="s">
        <v>5637</v>
      </c>
      <c r="C3668">
        <v>540719</v>
      </c>
      <c r="D3668" t="s">
        <v>5638</v>
      </c>
      <c r="E3668" t="s">
        <v>2751</v>
      </c>
    </row>
    <row r="3669" spans="2:5">
      <c r="B3669" t="s">
        <v>5639</v>
      </c>
      <c r="C3669">
        <v>590098</v>
      </c>
      <c r="D3669" t="s">
        <v>5640</v>
      </c>
      <c r="E3669" t="s">
        <v>322</v>
      </c>
    </row>
    <row r="3670" spans="2:5">
      <c r="B3670" t="s">
        <v>5641</v>
      </c>
      <c r="C3670">
        <v>526081</v>
      </c>
      <c r="D3670" t="s">
        <v>5642</v>
      </c>
      <c r="E3670" t="s">
        <v>399</v>
      </c>
    </row>
    <row r="3671" spans="2:5">
      <c r="B3671" t="s">
        <v>5643</v>
      </c>
      <c r="C3671">
        <v>531797</v>
      </c>
      <c r="D3671" t="s">
        <v>339</v>
      </c>
      <c r="E3671" t="s">
        <v>352</v>
      </c>
    </row>
    <row r="3672" spans="2:5">
      <c r="B3672" t="s">
        <v>5644</v>
      </c>
      <c r="C3672">
        <v>511672</v>
      </c>
      <c r="D3672" t="s">
        <v>339</v>
      </c>
      <c r="E3672" t="s">
        <v>371</v>
      </c>
    </row>
    <row r="3673" spans="2:5">
      <c r="B3673" t="s">
        <v>5645</v>
      </c>
      <c r="C3673">
        <v>516110</v>
      </c>
      <c r="D3673" t="s">
        <v>5646</v>
      </c>
      <c r="E3673" t="s">
        <v>528</v>
      </c>
    </row>
    <row r="3674" spans="2:5">
      <c r="B3674" t="s">
        <v>5647</v>
      </c>
      <c r="C3674">
        <v>526544</v>
      </c>
      <c r="D3674" t="s">
        <v>339</v>
      </c>
      <c r="E3674" t="s">
        <v>345</v>
      </c>
    </row>
    <row r="3675" spans="2:5">
      <c r="B3675" t="s">
        <v>5648</v>
      </c>
      <c r="C3675">
        <v>507894</v>
      </c>
      <c r="D3675" t="s">
        <v>339</v>
      </c>
      <c r="E3675" t="s">
        <v>616</v>
      </c>
    </row>
    <row r="3676" spans="2:5">
      <c r="B3676" t="s">
        <v>5649</v>
      </c>
      <c r="C3676">
        <v>507894</v>
      </c>
      <c r="D3676" t="s">
        <v>339</v>
      </c>
      <c r="E3676" t="s">
        <v>616</v>
      </c>
    </row>
    <row r="3677" spans="2:5">
      <c r="B3677" t="s">
        <v>5650</v>
      </c>
      <c r="C3677">
        <v>505790</v>
      </c>
      <c r="D3677" t="s">
        <v>5651</v>
      </c>
      <c r="E3677" t="s">
        <v>347</v>
      </c>
    </row>
    <row r="3678" spans="2:5">
      <c r="B3678" t="s">
        <v>5652</v>
      </c>
      <c r="C3678">
        <v>505790</v>
      </c>
      <c r="D3678" t="s">
        <v>5651</v>
      </c>
      <c r="E3678" t="s">
        <v>347</v>
      </c>
    </row>
    <row r="3679" spans="2:5">
      <c r="B3679" t="s">
        <v>5653</v>
      </c>
      <c r="C3679">
        <v>534139</v>
      </c>
      <c r="D3679" t="s">
        <v>5654</v>
      </c>
      <c r="E3679" t="s">
        <v>382</v>
      </c>
    </row>
    <row r="3680" spans="2:5">
      <c r="B3680" t="s">
        <v>5655</v>
      </c>
      <c r="C3680">
        <v>538857</v>
      </c>
      <c r="D3680" t="s">
        <v>339</v>
      </c>
      <c r="E3680" t="s">
        <v>356</v>
      </c>
    </row>
    <row r="3681" spans="2:5">
      <c r="B3681" t="s">
        <v>5656</v>
      </c>
      <c r="C3681">
        <v>505141</v>
      </c>
      <c r="D3681" t="s">
        <v>339</v>
      </c>
      <c r="E3681" t="s">
        <v>996</v>
      </c>
    </row>
    <row r="3682" spans="2:5">
      <c r="B3682" t="s">
        <v>5657</v>
      </c>
      <c r="C3682">
        <v>505141</v>
      </c>
      <c r="D3682" t="s">
        <v>339</v>
      </c>
      <c r="E3682" t="s">
        <v>996</v>
      </c>
    </row>
    <row r="3683" spans="2:5">
      <c r="B3683" t="s">
        <v>5658</v>
      </c>
      <c r="C3683">
        <v>530361</v>
      </c>
      <c r="D3683" t="s">
        <v>339</v>
      </c>
      <c r="E3683" t="s">
        <v>399</v>
      </c>
    </row>
    <row r="3684" spans="2:5">
      <c r="B3684" t="s">
        <v>5659</v>
      </c>
      <c r="C3684">
        <v>533268</v>
      </c>
      <c r="D3684" t="s">
        <v>339</v>
      </c>
      <c r="E3684" t="s">
        <v>1077</v>
      </c>
    </row>
    <row r="3685" spans="2:5">
      <c r="B3685" t="s">
        <v>5660</v>
      </c>
      <c r="C3685">
        <v>526807</v>
      </c>
      <c r="D3685" t="s">
        <v>5661</v>
      </c>
      <c r="E3685" t="s">
        <v>1586</v>
      </c>
    </row>
    <row r="3686" spans="2:5">
      <c r="B3686" t="s">
        <v>5662</v>
      </c>
      <c r="C3686">
        <v>521182</v>
      </c>
      <c r="D3686" t="s">
        <v>339</v>
      </c>
      <c r="E3686" t="s">
        <v>361</v>
      </c>
    </row>
    <row r="3687" spans="2:5">
      <c r="B3687" t="s">
        <v>5663</v>
      </c>
      <c r="C3687">
        <v>514264</v>
      </c>
      <c r="D3687" t="s">
        <v>339</v>
      </c>
      <c r="E3687" t="s">
        <v>354</v>
      </c>
    </row>
    <row r="3688" spans="2:5">
      <c r="B3688" t="s">
        <v>5664</v>
      </c>
      <c r="C3688" t="s">
        <v>339</v>
      </c>
      <c r="D3688" t="s">
        <v>5665</v>
      </c>
      <c r="E3688" t="s">
        <v>350</v>
      </c>
    </row>
    <row r="3689" spans="2:5">
      <c r="B3689" t="s">
        <v>5666</v>
      </c>
      <c r="C3689">
        <v>540673</v>
      </c>
      <c r="D3689" t="s">
        <v>5667</v>
      </c>
      <c r="E3689" t="s">
        <v>3119</v>
      </c>
    </row>
    <row r="3690" spans="2:5">
      <c r="B3690" t="s">
        <v>5668</v>
      </c>
      <c r="C3690">
        <v>540673</v>
      </c>
      <c r="D3690" t="s">
        <v>5667</v>
      </c>
      <c r="E3690" t="s">
        <v>3119</v>
      </c>
    </row>
    <row r="3691" spans="2:5">
      <c r="B3691" t="s">
        <v>5669</v>
      </c>
      <c r="C3691">
        <v>532886</v>
      </c>
      <c r="D3691" t="s">
        <v>5670</v>
      </c>
      <c r="E3691" t="s">
        <v>354</v>
      </c>
    </row>
    <row r="3692" spans="2:5">
      <c r="B3692" t="s">
        <v>5671</v>
      </c>
      <c r="C3692">
        <v>530075</v>
      </c>
      <c r="D3692" t="s">
        <v>5672</v>
      </c>
      <c r="E3692" t="s">
        <v>402</v>
      </c>
    </row>
    <row r="3693" spans="2:5">
      <c r="B3693" t="s">
        <v>5673</v>
      </c>
      <c r="C3693">
        <v>538875</v>
      </c>
      <c r="D3693" t="s">
        <v>339</v>
      </c>
      <c r="E3693" t="s">
        <v>760</v>
      </c>
    </row>
    <row r="3694" spans="2:5">
      <c r="B3694" t="s">
        <v>5674</v>
      </c>
      <c r="C3694">
        <v>532021</v>
      </c>
      <c r="D3694" t="s">
        <v>339</v>
      </c>
      <c r="E3694" t="s">
        <v>377</v>
      </c>
    </row>
    <row r="3695" spans="2:5">
      <c r="B3695" t="s">
        <v>5675</v>
      </c>
      <c r="C3695">
        <v>531980</v>
      </c>
      <c r="D3695" t="s">
        <v>339</v>
      </c>
      <c r="E3695" t="s">
        <v>325</v>
      </c>
    </row>
    <row r="3696" spans="2:5">
      <c r="B3696" t="s">
        <v>5676</v>
      </c>
      <c r="C3696">
        <v>512529</v>
      </c>
      <c r="D3696" t="s">
        <v>5677</v>
      </c>
      <c r="E3696" t="s">
        <v>377</v>
      </c>
    </row>
    <row r="3697" spans="2:5">
      <c r="B3697" t="s">
        <v>5678</v>
      </c>
      <c r="C3697" t="s">
        <v>339</v>
      </c>
      <c r="D3697" t="s">
        <v>5679</v>
      </c>
      <c r="E3697" t="s">
        <v>350</v>
      </c>
    </row>
    <row r="3698" spans="2:5">
      <c r="B3698" t="s">
        <v>5680</v>
      </c>
      <c r="C3698">
        <v>502450</v>
      </c>
      <c r="D3698" t="s">
        <v>5681</v>
      </c>
      <c r="E3698" t="s">
        <v>333</v>
      </c>
    </row>
    <row r="3699" spans="2:5">
      <c r="B3699" t="s">
        <v>5682</v>
      </c>
      <c r="C3699">
        <v>505075</v>
      </c>
      <c r="D3699" t="s">
        <v>5683</v>
      </c>
      <c r="E3699" t="s">
        <v>694</v>
      </c>
    </row>
    <row r="3700" spans="2:5">
      <c r="B3700" t="s">
        <v>5684</v>
      </c>
      <c r="C3700">
        <v>511760</v>
      </c>
      <c r="D3700" t="s">
        <v>339</v>
      </c>
      <c r="E3700" t="s">
        <v>356</v>
      </c>
    </row>
    <row r="3701" spans="2:5">
      <c r="B3701" t="s">
        <v>5685</v>
      </c>
      <c r="C3701">
        <v>524324</v>
      </c>
      <c r="D3701" t="s">
        <v>339</v>
      </c>
      <c r="E3701" t="s">
        <v>499</v>
      </c>
    </row>
    <row r="3702" spans="2:5">
      <c r="B3702" t="s">
        <v>5686</v>
      </c>
      <c r="C3702">
        <v>532993</v>
      </c>
      <c r="D3702" t="s">
        <v>5687</v>
      </c>
      <c r="E3702" t="s">
        <v>867</v>
      </c>
    </row>
    <row r="3703" spans="2:5">
      <c r="B3703" t="s">
        <v>5688</v>
      </c>
      <c r="C3703">
        <v>530867</v>
      </c>
      <c r="D3703" t="s">
        <v>339</v>
      </c>
      <c r="E3703" t="s">
        <v>322</v>
      </c>
    </row>
    <row r="3704" spans="2:5">
      <c r="B3704" t="s">
        <v>5689</v>
      </c>
      <c r="C3704">
        <v>524546</v>
      </c>
      <c r="D3704" t="s">
        <v>339</v>
      </c>
      <c r="E3704" t="s">
        <v>377</v>
      </c>
    </row>
    <row r="3705" spans="2:5">
      <c r="B3705" t="s">
        <v>5690</v>
      </c>
      <c r="C3705">
        <v>513436</v>
      </c>
      <c r="D3705" t="s">
        <v>5691</v>
      </c>
      <c r="E3705" t="s">
        <v>371</v>
      </c>
    </row>
    <row r="3706" spans="2:5">
      <c r="B3706" t="s">
        <v>5692</v>
      </c>
      <c r="C3706">
        <v>509870</v>
      </c>
      <c r="D3706" t="s">
        <v>339</v>
      </c>
      <c r="E3706" t="s">
        <v>425</v>
      </c>
    </row>
    <row r="3707" spans="2:5">
      <c r="B3707" t="s">
        <v>5693</v>
      </c>
      <c r="C3707">
        <v>519031</v>
      </c>
      <c r="D3707" t="s">
        <v>339</v>
      </c>
      <c r="E3707" t="s">
        <v>399</v>
      </c>
    </row>
    <row r="3708" spans="2:5">
      <c r="B3708" t="s">
        <v>5694</v>
      </c>
      <c r="C3708">
        <v>526508</v>
      </c>
      <c r="D3708" t="s">
        <v>339</v>
      </c>
      <c r="E3708" t="s">
        <v>1586</v>
      </c>
    </row>
    <row r="3709" spans="2:5">
      <c r="B3709" t="s">
        <v>5695</v>
      </c>
      <c r="C3709">
        <v>539520</v>
      </c>
      <c r="D3709" t="s">
        <v>339</v>
      </c>
      <c r="E3709" t="s">
        <v>361</v>
      </c>
    </row>
    <row r="3710" spans="2:5">
      <c r="B3710" t="s">
        <v>5696</v>
      </c>
      <c r="C3710">
        <v>501423</v>
      </c>
      <c r="D3710" t="s">
        <v>339</v>
      </c>
      <c r="E3710" t="s">
        <v>459</v>
      </c>
    </row>
    <row r="3711" spans="2:5">
      <c r="B3711" t="s">
        <v>5697</v>
      </c>
      <c r="C3711" t="s">
        <v>339</v>
      </c>
      <c r="D3711" t="s">
        <v>5698</v>
      </c>
      <c r="E3711" t="s">
        <v>350</v>
      </c>
    </row>
    <row r="3712" spans="2:5">
      <c r="B3712" t="s">
        <v>5699</v>
      </c>
      <c r="C3712">
        <v>531431</v>
      </c>
      <c r="D3712" t="s">
        <v>5700</v>
      </c>
      <c r="E3712" t="s">
        <v>347</v>
      </c>
    </row>
    <row r="3713" spans="2:5">
      <c r="B3713" t="s">
        <v>5701</v>
      </c>
      <c r="C3713">
        <v>531431</v>
      </c>
      <c r="D3713" t="s">
        <v>5700</v>
      </c>
      <c r="E3713" t="s">
        <v>347</v>
      </c>
    </row>
    <row r="3714" spans="2:5">
      <c r="B3714" t="s">
        <v>5702</v>
      </c>
      <c r="C3714">
        <v>540797</v>
      </c>
      <c r="D3714" t="s">
        <v>5703</v>
      </c>
      <c r="E3714" t="s">
        <v>809</v>
      </c>
    </row>
    <row r="3715" spans="2:5">
      <c r="B3715" t="s">
        <v>5704</v>
      </c>
      <c r="C3715">
        <v>511754</v>
      </c>
      <c r="D3715" t="s">
        <v>339</v>
      </c>
      <c r="E3715" t="s">
        <v>356</v>
      </c>
    </row>
    <row r="3716" spans="2:5">
      <c r="B3716" t="s">
        <v>5705</v>
      </c>
      <c r="C3716">
        <v>539895</v>
      </c>
      <c r="D3716" t="s">
        <v>339</v>
      </c>
      <c r="E3716" t="s">
        <v>322</v>
      </c>
    </row>
    <row r="3717" spans="2:5">
      <c r="B3717" t="s">
        <v>5706</v>
      </c>
      <c r="C3717">
        <v>509874</v>
      </c>
      <c r="D3717" t="s">
        <v>5707</v>
      </c>
      <c r="E3717" t="s">
        <v>616</v>
      </c>
    </row>
    <row r="3718" spans="2:5">
      <c r="B3718" t="s">
        <v>5708</v>
      </c>
      <c r="C3718">
        <v>512499</v>
      </c>
      <c r="D3718" t="s">
        <v>339</v>
      </c>
      <c r="E3718" t="s">
        <v>322</v>
      </c>
    </row>
    <row r="3719" spans="2:5">
      <c r="B3719" t="s">
        <v>5709</v>
      </c>
      <c r="C3719">
        <v>532455</v>
      </c>
      <c r="D3719" t="s">
        <v>339</v>
      </c>
      <c r="E3719" t="s">
        <v>413</v>
      </c>
    </row>
    <row r="3720" spans="2:5">
      <c r="B3720" t="s">
        <v>5710</v>
      </c>
      <c r="C3720">
        <v>540259</v>
      </c>
      <c r="D3720" t="s">
        <v>339</v>
      </c>
      <c r="E3720" t="s">
        <v>3119</v>
      </c>
    </row>
    <row r="3721" spans="2:5">
      <c r="B3721" t="s">
        <v>5711</v>
      </c>
      <c r="C3721">
        <v>542232</v>
      </c>
      <c r="D3721" t="s">
        <v>5712</v>
      </c>
      <c r="E3721" t="s">
        <v>705</v>
      </c>
    </row>
    <row r="3722" spans="2:5">
      <c r="B3722" t="s">
        <v>5713</v>
      </c>
      <c r="C3722">
        <v>540425</v>
      </c>
      <c r="D3722" t="s">
        <v>5714</v>
      </c>
      <c r="E3722" t="s">
        <v>662</v>
      </c>
    </row>
    <row r="3723" spans="2:5">
      <c r="B3723" t="s">
        <v>5715</v>
      </c>
      <c r="C3723">
        <v>512297</v>
      </c>
      <c r="D3723" t="s">
        <v>339</v>
      </c>
      <c r="E3723" t="s">
        <v>347</v>
      </c>
    </row>
    <row r="3724" spans="2:5">
      <c r="B3724" t="s">
        <v>5716</v>
      </c>
      <c r="C3724">
        <v>531925</v>
      </c>
      <c r="D3724" t="s">
        <v>339</v>
      </c>
      <c r="E3724" t="s">
        <v>399</v>
      </c>
    </row>
    <row r="3725" spans="2:5">
      <c r="B3725" t="s">
        <v>5717</v>
      </c>
      <c r="C3725">
        <v>522034</v>
      </c>
      <c r="D3725" t="s">
        <v>5718</v>
      </c>
      <c r="E3725" t="s">
        <v>694</v>
      </c>
    </row>
    <row r="3726" spans="2:5">
      <c r="B3726" t="s">
        <v>5719</v>
      </c>
      <c r="C3726">
        <v>539921</v>
      </c>
      <c r="D3726" t="s">
        <v>339</v>
      </c>
      <c r="E3726" t="s">
        <v>444</v>
      </c>
    </row>
    <row r="3727" spans="2:5">
      <c r="B3727" t="s">
        <v>5720</v>
      </c>
      <c r="C3727" t="s">
        <v>339</v>
      </c>
      <c r="D3727" t="s">
        <v>5721</v>
      </c>
      <c r="E3727" t="s">
        <v>350</v>
      </c>
    </row>
    <row r="3728" spans="2:5">
      <c r="B3728" t="s">
        <v>5722</v>
      </c>
      <c r="C3728" t="s">
        <v>339</v>
      </c>
      <c r="D3728" t="s">
        <v>5721</v>
      </c>
      <c r="E3728" t="s">
        <v>350</v>
      </c>
    </row>
    <row r="3729" spans="2:5">
      <c r="B3729" t="s">
        <v>5723</v>
      </c>
      <c r="C3729">
        <v>514402</v>
      </c>
      <c r="D3729" t="s">
        <v>339</v>
      </c>
      <c r="E3729" t="s">
        <v>354</v>
      </c>
    </row>
    <row r="3730" spans="2:5">
      <c r="B3730" t="s">
        <v>5724</v>
      </c>
      <c r="C3730">
        <v>539584</v>
      </c>
      <c r="D3730" t="s">
        <v>339</v>
      </c>
      <c r="E3730" t="s">
        <v>361</v>
      </c>
    </row>
    <row r="3731" spans="2:5">
      <c r="B3731" t="s">
        <v>5725</v>
      </c>
      <c r="C3731">
        <v>538666</v>
      </c>
      <c r="D3731" t="s">
        <v>5726</v>
      </c>
      <c r="E3731" t="s">
        <v>483</v>
      </c>
    </row>
    <row r="3732" spans="2:5">
      <c r="B3732" t="s">
        <v>5727</v>
      </c>
      <c r="C3732">
        <v>513548</v>
      </c>
      <c r="D3732" t="s">
        <v>339</v>
      </c>
      <c r="E3732" t="s">
        <v>371</v>
      </c>
    </row>
    <row r="3733" spans="2:5">
      <c r="B3733" t="s">
        <v>5728</v>
      </c>
      <c r="C3733">
        <v>535602</v>
      </c>
      <c r="D3733" t="s">
        <v>5729</v>
      </c>
      <c r="E3733" t="s">
        <v>694</v>
      </c>
    </row>
    <row r="3734" spans="2:5">
      <c r="B3734" t="s">
        <v>5730</v>
      </c>
      <c r="C3734">
        <v>512393</v>
      </c>
      <c r="D3734" t="s">
        <v>339</v>
      </c>
      <c r="E3734" t="s">
        <v>322</v>
      </c>
    </row>
    <row r="3735" spans="2:5">
      <c r="B3735" t="s">
        <v>5731</v>
      </c>
      <c r="C3735">
        <v>540725</v>
      </c>
      <c r="D3735" t="s">
        <v>339</v>
      </c>
      <c r="E3735" t="s">
        <v>322</v>
      </c>
    </row>
    <row r="3736" spans="2:5">
      <c r="B3736" t="s">
        <v>5732</v>
      </c>
      <c r="C3736">
        <v>540786</v>
      </c>
      <c r="D3736" t="s">
        <v>339</v>
      </c>
      <c r="E3736" t="s">
        <v>637</v>
      </c>
    </row>
    <row r="3737" spans="2:5">
      <c r="B3737" t="s">
        <v>5733</v>
      </c>
      <c r="C3737">
        <v>532908</v>
      </c>
      <c r="D3737" t="s">
        <v>5734</v>
      </c>
      <c r="E3737" t="s">
        <v>377</v>
      </c>
    </row>
    <row r="3738" spans="2:5">
      <c r="B3738" t="s">
        <v>5735</v>
      </c>
      <c r="C3738">
        <v>523449</v>
      </c>
      <c r="D3738" t="s">
        <v>339</v>
      </c>
      <c r="E3738" t="s">
        <v>708</v>
      </c>
    </row>
    <row r="3739" spans="2:5">
      <c r="B3739" t="s">
        <v>5736</v>
      </c>
      <c r="C3739">
        <v>523449</v>
      </c>
      <c r="D3739" t="s">
        <v>339</v>
      </c>
      <c r="E3739" t="s">
        <v>708</v>
      </c>
    </row>
    <row r="3740" spans="2:5">
      <c r="B3740" t="s">
        <v>5737</v>
      </c>
      <c r="C3740">
        <v>538212</v>
      </c>
      <c r="D3740" t="s">
        <v>339</v>
      </c>
      <c r="E3740" t="s">
        <v>356</v>
      </c>
    </row>
    <row r="3741" spans="2:5">
      <c r="B3741" t="s">
        <v>5738</v>
      </c>
      <c r="C3741">
        <v>540221</v>
      </c>
      <c r="D3741" t="s">
        <v>339</v>
      </c>
      <c r="E3741" t="s">
        <v>361</v>
      </c>
    </row>
    <row r="3742" spans="2:5">
      <c r="B3742" t="s">
        <v>5739</v>
      </c>
      <c r="C3742">
        <v>540147</v>
      </c>
      <c r="D3742" t="s">
        <v>339</v>
      </c>
      <c r="E3742" t="s">
        <v>737</v>
      </c>
    </row>
    <row r="3743" spans="2:5">
      <c r="B3743" t="s">
        <v>5740</v>
      </c>
      <c r="C3743">
        <v>540203</v>
      </c>
      <c r="D3743" t="s">
        <v>5741</v>
      </c>
      <c r="E3743" t="s">
        <v>616</v>
      </c>
    </row>
    <row r="3744" spans="2:5">
      <c r="B3744" t="s">
        <v>5742</v>
      </c>
      <c r="C3744">
        <v>540757</v>
      </c>
      <c r="D3744" t="s">
        <v>339</v>
      </c>
      <c r="E3744" t="s">
        <v>399</v>
      </c>
    </row>
    <row r="3745" spans="2:5">
      <c r="B3745" t="s">
        <v>5743</v>
      </c>
      <c r="C3745">
        <v>530525</v>
      </c>
      <c r="D3745" t="s">
        <v>339</v>
      </c>
      <c r="E3745" t="s">
        <v>453</v>
      </c>
    </row>
    <row r="3746" spans="2:5">
      <c r="B3746" t="s">
        <v>5744</v>
      </c>
      <c r="C3746">
        <v>533301</v>
      </c>
      <c r="D3746" t="s">
        <v>5745</v>
      </c>
      <c r="E3746" t="s">
        <v>354</v>
      </c>
    </row>
    <row r="3747" spans="2:5">
      <c r="B3747" t="s">
        <v>5746</v>
      </c>
      <c r="C3747">
        <v>526839</v>
      </c>
      <c r="D3747" t="s">
        <v>339</v>
      </c>
      <c r="E3747" t="s">
        <v>737</v>
      </c>
    </row>
    <row r="3748" spans="2:5">
      <c r="B3748" t="s">
        <v>5747</v>
      </c>
      <c r="C3748">
        <v>538685</v>
      </c>
      <c r="D3748" t="s">
        <v>5748</v>
      </c>
      <c r="E3748" t="s">
        <v>342</v>
      </c>
    </row>
    <row r="3749" spans="2:5">
      <c r="B3749" t="s">
        <v>5749</v>
      </c>
      <c r="C3749">
        <v>512367</v>
      </c>
      <c r="D3749" t="s">
        <v>339</v>
      </c>
      <c r="E3749" t="s">
        <v>322</v>
      </c>
    </row>
    <row r="3750" spans="2:5">
      <c r="B3750" t="s">
        <v>5750</v>
      </c>
      <c r="C3750">
        <v>526117</v>
      </c>
      <c r="D3750" t="s">
        <v>339</v>
      </c>
      <c r="E3750" t="s">
        <v>885</v>
      </c>
    </row>
    <row r="3751" spans="2:5">
      <c r="B3751" t="s">
        <v>5751</v>
      </c>
      <c r="C3751">
        <v>539111</v>
      </c>
      <c r="D3751" t="s">
        <v>339</v>
      </c>
      <c r="E3751" t="s">
        <v>354</v>
      </c>
    </row>
    <row r="3752" spans="2:5">
      <c r="B3752" t="s">
        <v>5752</v>
      </c>
      <c r="C3752">
        <v>526137</v>
      </c>
      <c r="D3752" t="s">
        <v>339</v>
      </c>
      <c r="E3752" t="s">
        <v>534</v>
      </c>
    </row>
    <row r="3753" spans="2:5">
      <c r="B3753" t="s">
        <v>5753</v>
      </c>
      <c r="C3753">
        <v>507952</v>
      </c>
      <c r="D3753" t="s">
        <v>339</v>
      </c>
      <c r="E3753" t="s">
        <v>356</v>
      </c>
    </row>
    <row r="3754" spans="2:5">
      <c r="B3754" t="s">
        <v>5754</v>
      </c>
      <c r="C3754">
        <v>531201</v>
      </c>
      <c r="D3754" t="s">
        <v>339</v>
      </c>
      <c r="E3754" t="s">
        <v>637</v>
      </c>
    </row>
    <row r="3755" spans="2:5">
      <c r="B3755" t="s">
        <v>5755</v>
      </c>
      <c r="C3755">
        <v>513709</v>
      </c>
      <c r="D3755" t="s">
        <v>339</v>
      </c>
      <c r="E3755" t="s">
        <v>347</v>
      </c>
    </row>
    <row r="3756" spans="2:5">
      <c r="B3756" t="s">
        <v>5756</v>
      </c>
      <c r="C3756">
        <v>530549</v>
      </c>
      <c r="D3756" t="s">
        <v>5757</v>
      </c>
      <c r="E3756" t="s">
        <v>377</v>
      </c>
    </row>
    <row r="3757" spans="2:5">
      <c r="B3757" t="s">
        <v>5758</v>
      </c>
      <c r="C3757">
        <v>533389</v>
      </c>
      <c r="D3757" t="s">
        <v>5759</v>
      </c>
      <c r="E3757" t="s">
        <v>637</v>
      </c>
    </row>
    <row r="3758" spans="2:5">
      <c r="B3758" t="s">
        <v>5760</v>
      </c>
      <c r="C3758">
        <v>523598</v>
      </c>
      <c r="D3758" t="s">
        <v>5761</v>
      </c>
      <c r="E3758" t="s">
        <v>1586</v>
      </c>
    </row>
    <row r="3759" spans="2:5">
      <c r="B3759" t="s">
        <v>5762</v>
      </c>
      <c r="C3759">
        <v>523598</v>
      </c>
      <c r="D3759" t="s">
        <v>5761</v>
      </c>
      <c r="E3759" t="s">
        <v>1586</v>
      </c>
    </row>
    <row r="3760" spans="2:5">
      <c r="B3760" t="s">
        <v>5763</v>
      </c>
      <c r="C3760">
        <v>512289</v>
      </c>
      <c r="D3760" t="s">
        <v>5764</v>
      </c>
      <c r="E3760" t="s">
        <v>2586</v>
      </c>
    </row>
    <row r="3761" spans="2:5">
      <c r="B3761" t="s">
        <v>5765</v>
      </c>
      <c r="C3761">
        <v>540693</v>
      </c>
      <c r="D3761" t="s">
        <v>339</v>
      </c>
      <c r="E3761" t="s">
        <v>459</v>
      </c>
    </row>
    <row r="3762" spans="2:5">
      <c r="B3762" t="s">
        <v>5766</v>
      </c>
      <c r="C3762">
        <v>532323</v>
      </c>
      <c r="D3762" t="s">
        <v>339</v>
      </c>
      <c r="E3762" t="s">
        <v>352</v>
      </c>
    </row>
    <row r="3763" spans="2:5">
      <c r="B3763" t="s">
        <v>5767</v>
      </c>
      <c r="C3763">
        <v>530433</v>
      </c>
      <c r="D3763" t="s">
        <v>339</v>
      </c>
      <c r="E3763" t="s">
        <v>847</v>
      </c>
    </row>
    <row r="3764" spans="2:5">
      <c r="B3764" t="s">
        <v>5768</v>
      </c>
      <c r="C3764">
        <v>540072</v>
      </c>
      <c r="D3764" t="s">
        <v>339</v>
      </c>
      <c r="E3764" t="s">
        <v>867</v>
      </c>
    </row>
    <row r="3765" spans="2:5">
      <c r="B3765" t="s">
        <v>5769</v>
      </c>
      <c r="C3765">
        <v>524602</v>
      </c>
      <c r="D3765" t="s">
        <v>5770</v>
      </c>
      <c r="E3765" t="s">
        <v>528</v>
      </c>
    </row>
    <row r="3766" spans="2:5">
      <c r="B3766" t="s">
        <v>5771</v>
      </c>
      <c r="C3766">
        <v>540961</v>
      </c>
      <c r="D3766" t="s">
        <v>5772</v>
      </c>
      <c r="E3766" t="s">
        <v>354</v>
      </c>
    </row>
    <row r="3767" spans="2:5">
      <c r="B3767" t="s">
        <v>5773</v>
      </c>
      <c r="C3767">
        <v>521003</v>
      </c>
      <c r="D3767" t="s">
        <v>339</v>
      </c>
      <c r="E3767" t="s">
        <v>361</v>
      </c>
    </row>
    <row r="3768" spans="2:5">
      <c r="B3768" t="s">
        <v>5774</v>
      </c>
      <c r="C3768">
        <v>511108</v>
      </c>
      <c r="D3768" t="s">
        <v>5775</v>
      </c>
      <c r="E3768" t="s">
        <v>354</v>
      </c>
    </row>
    <row r="3769" spans="2:5">
      <c r="B3769" t="s">
        <v>5776</v>
      </c>
      <c r="C3769">
        <v>522237</v>
      </c>
      <c r="D3769" t="s">
        <v>339</v>
      </c>
      <c r="E3769" t="s">
        <v>347</v>
      </c>
    </row>
    <row r="3770" spans="2:5">
      <c r="B3770" t="s">
        <v>5777</v>
      </c>
      <c r="C3770">
        <v>513097</v>
      </c>
      <c r="D3770" t="s">
        <v>339</v>
      </c>
      <c r="E3770" t="s">
        <v>881</v>
      </c>
    </row>
    <row r="3771" spans="2:5">
      <c r="B3771" t="s">
        <v>5778</v>
      </c>
      <c r="C3771">
        <v>539148</v>
      </c>
      <c r="D3771" t="s">
        <v>339</v>
      </c>
      <c r="E3771" t="s">
        <v>483</v>
      </c>
    </row>
    <row r="3772" spans="2:5">
      <c r="B3772" t="s">
        <v>5779</v>
      </c>
      <c r="C3772">
        <v>532776</v>
      </c>
      <c r="D3772" t="s">
        <v>5780</v>
      </c>
      <c r="E3772" t="s">
        <v>694</v>
      </c>
    </row>
    <row r="3773" spans="2:5">
      <c r="B3773" t="s">
        <v>5781</v>
      </c>
      <c r="C3773">
        <v>539593</v>
      </c>
      <c r="D3773" t="s">
        <v>339</v>
      </c>
      <c r="E3773" t="s">
        <v>322</v>
      </c>
    </row>
    <row r="3774" spans="2:5">
      <c r="B3774" t="s">
        <v>5782</v>
      </c>
      <c r="C3774">
        <v>539683</v>
      </c>
      <c r="D3774" t="s">
        <v>339</v>
      </c>
      <c r="E3774" t="s">
        <v>356</v>
      </c>
    </row>
    <row r="3775" spans="2:5">
      <c r="B3775" t="s">
        <v>5783</v>
      </c>
      <c r="C3775">
        <v>539833</v>
      </c>
      <c r="D3775" t="s">
        <v>339</v>
      </c>
      <c r="E3775" t="s">
        <v>356</v>
      </c>
    </row>
    <row r="3776" spans="2:5">
      <c r="B3776" t="s">
        <v>5784</v>
      </c>
      <c r="C3776">
        <v>532638</v>
      </c>
      <c r="D3776" t="s">
        <v>5785</v>
      </c>
      <c r="E3776" t="s">
        <v>508</v>
      </c>
    </row>
    <row r="3777" spans="2:5">
      <c r="B3777" t="s">
        <v>5786</v>
      </c>
      <c r="C3777" t="s">
        <v>339</v>
      </c>
      <c r="D3777" t="s">
        <v>5787</v>
      </c>
      <c r="E3777" t="s">
        <v>350</v>
      </c>
    </row>
    <row r="3778" spans="2:5">
      <c r="B3778" t="s">
        <v>5788</v>
      </c>
      <c r="C3778">
        <v>538795</v>
      </c>
      <c r="D3778" t="s">
        <v>339</v>
      </c>
      <c r="E3778" t="s">
        <v>333</v>
      </c>
    </row>
    <row r="3779" spans="2:5">
      <c r="B3779" t="s">
        <v>5789</v>
      </c>
      <c r="C3779">
        <v>521131</v>
      </c>
      <c r="D3779" t="s">
        <v>339</v>
      </c>
      <c r="E3779" t="s">
        <v>354</v>
      </c>
    </row>
    <row r="3780" spans="2:5">
      <c r="B3780" t="s">
        <v>5790</v>
      </c>
      <c r="C3780">
        <v>502563</v>
      </c>
      <c r="D3780" t="s">
        <v>339</v>
      </c>
      <c r="E3780" t="s">
        <v>333</v>
      </c>
    </row>
    <row r="3781" spans="2:5">
      <c r="B3781" t="s">
        <v>5791</v>
      </c>
      <c r="C3781">
        <v>500387</v>
      </c>
      <c r="D3781" t="s">
        <v>5792</v>
      </c>
      <c r="E3781" t="s">
        <v>352</v>
      </c>
    </row>
    <row r="3782" spans="2:5">
      <c r="B3782" t="s">
        <v>5793</v>
      </c>
      <c r="C3782">
        <v>502180</v>
      </c>
      <c r="D3782" t="s">
        <v>339</v>
      </c>
      <c r="E3782" t="s">
        <v>352</v>
      </c>
    </row>
    <row r="3783" spans="2:5">
      <c r="B3783" t="s">
        <v>5794</v>
      </c>
      <c r="C3783">
        <v>539470</v>
      </c>
      <c r="D3783" t="s">
        <v>339</v>
      </c>
      <c r="E3783" t="s">
        <v>677</v>
      </c>
    </row>
    <row r="3784" spans="2:5">
      <c r="B3784" t="s">
        <v>5795</v>
      </c>
      <c r="C3784">
        <v>539470</v>
      </c>
      <c r="D3784" t="s">
        <v>339</v>
      </c>
      <c r="E3784" t="s">
        <v>677</v>
      </c>
    </row>
    <row r="3785" spans="2:5">
      <c r="B3785" t="s">
        <v>5796</v>
      </c>
      <c r="C3785">
        <v>530797</v>
      </c>
      <c r="D3785" t="s">
        <v>339</v>
      </c>
      <c r="E3785" t="s">
        <v>361</v>
      </c>
    </row>
    <row r="3786" spans="2:5">
      <c r="B3786" t="s">
        <v>5797</v>
      </c>
      <c r="C3786">
        <v>532643</v>
      </c>
      <c r="D3786" t="s">
        <v>5798</v>
      </c>
      <c r="E3786" t="s">
        <v>1258</v>
      </c>
    </row>
    <row r="3787" spans="2:5">
      <c r="B3787" t="s">
        <v>5799</v>
      </c>
      <c r="C3787">
        <v>540737</v>
      </c>
      <c r="D3787" t="s">
        <v>339</v>
      </c>
      <c r="E3787" t="s">
        <v>377</v>
      </c>
    </row>
    <row r="3788" spans="2:5">
      <c r="B3788" t="s">
        <v>5800</v>
      </c>
      <c r="C3788">
        <v>512463</v>
      </c>
      <c r="D3788" t="s">
        <v>339</v>
      </c>
      <c r="E3788" t="s">
        <v>356</v>
      </c>
    </row>
    <row r="3789" spans="2:5">
      <c r="B3789" t="s">
        <v>5801</v>
      </c>
      <c r="C3789">
        <v>524336</v>
      </c>
      <c r="D3789" t="s">
        <v>339</v>
      </c>
      <c r="E3789" t="s">
        <v>387</v>
      </c>
    </row>
    <row r="3790" spans="2:5">
      <c r="B3790" t="s">
        <v>5802</v>
      </c>
      <c r="C3790">
        <v>516106</v>
      </c>
      <c r="D3790" t="s">
        <v>339</v>
      </c>
      <c r="E3790" t="s">
        <v>333</v>
      </c>
    </row>
    <row r="3791" spans="2:5">
      <c r="B3791" t="s">
        <v>5803</v>
      </c>
      <c r="C3791">
        <v>542146</v>
      </c>
      <c r="D3791" t="s">
        <v>339</v>
      </c>
      <c r="E3791" t="s">
        <v>425</v>
      </c>
    </row>
    <row r="3792" spans="2:5">
      <c r="B3792" t="s">
        <v>5804</v>
      </c>
      <c r="C3792">
        <v>500388</v>
      </c>
      <c r="D3792" t="s">
        <v>339</v>
      </c>
      <c r="E3792" t="s">
        <v>333</v>
      </c>
    </row>
    <row r="3793" spans="2:5">
      <c r="B3793" t="s">
        <v>5805</v>
      </c>
      <c r="C3793">
        <v>503863</v>
      </c>
      <c r="D3793" t="s">
        <v>339</v>
      </c>
      <c r="E3793" t="s">
        <v>354</v>
      </c>
    </row>
    <row r="3794" spans="2:5">
      <c r="B3794" t="s">
        <v>5806</v>
      </c>
      <c r="C3794">
        <v>531962</v>
      </c>
      <c r="D3794" t="s">
        <v>339</v>
      </c>
      <c r="E3794" t="s">
        <v>356</v>
      </c>
    </row>
    <row r="3795" spans="2:5">
      <c r="B3795" t="s">
        <v>5807</v>
      </c>
      <c r="C3795">
        <v>540253</v>
      </c>
      <c r="D3795" t="s">
        <v>339</v>
      </c>
      <c r="E3795" t="s">
        <v>322</v>
      </c>
    </row>
    <row r="3796" spans="2:5">
      <c r="B3796" t="s">
        <v>5808</v>
      </c>
      <c r="C3796">
        <v>506180</v>
      </c>
      <c r="D3796" t="s">
        <v>339</v>
      </c>
      <c r="E3796" t="s">
        <v>361</v>
      </c>
    </row>
    <row r="3797" spans="2:5">
      <c r="B3797" t="s">
        <v>5809</v>
      </c>
      <c r="C3797">
        <v>527005</v>
      </c>
      <c r="D3797" t="s">
        <v>339</v>
      </c>
      <c r="E3797" t="s">
        <v>1303</v>
      </c>
    </row>
    <row r="3798" spans="2:5">
      <c r="B3798" t="s">
        <v>5810</v>
      </c>
      <c r="C3798">
        <v>533110</v>
      </c>
      <c r="D3798" t="s">
        <v>339</v>
      </c>
      <c r="E3798" t="s">
        <v>662</v>
      </c>
    </row>
    <row r="3799" spans="2:5">
      <c r="B3799" t="s">
        <v>5811</v>
      </c>
      <c r="C3799">
        <v>539334</v>
      </c>
      <c r="D3799" t="s">
        <v>5812</v>
      </c>
      <c r="E3799" t="s">
        <v>499</v>
      </c>
    </row>
    <row r="3800" spans="2:5">
      <c r="B3800" t="s">
        <v>5813</v>
      </c>
      <c r="C3800">
        <v>503837</v>
      </c>
      <c r="D3800" t="s">
        <v>339</v>
      </c>
      <c r="E3800" t="s">
        <v>354</v>
      </c>
    </row>
    <row r="3801" spans="2:5">
      <c r="B3801" t="s">
        <v>5814</v>
      </c>
      <c r="C3801">
        <v>516086</v>
      </c>
      <c r="D3801" t="s">
        <v>339</v>
      </c>
      <c r="E3801" t="s">
        <v>333</v>
      </c>
    </row>
    <row r="3802" spans="2:5">
      <c r="B3802" t="s">
        <v>5815</v>
      </c>
      <c r="C3802" t="s">
        <v>339</v>
      </c>
      <c r="D3802" t="s">
        <v>5816</v>
      </c>
      <c r="E3802" t="s">
        <v>350</v>
      </c>
    </row>
    <row r="3803" spans="2:5">
      <c r="B3803" t="s">
        <v>5817</v>
      </c>
      <c r="C3803">
        <v>532310</v>
      </c>
      <c r="D3803" t="s">
        <v>5818</v>
      </c>
      <c r="E3803" t="s">
        <v>534</v>
      </c>
    </row>
    <row r="3804" spans="2:5">
      <c r="B3804" t="s">
        <v>5819</v>
      </c>
      <c r="C3804">
        <v>500356</v>
      </c>
      <c r="D3804" t="s">
        <v>5820</v>
      </c>
      <c r="E3804" t="s">
        <v>333</v>
      </c>
    </row>
    <row r="3805" spans="2:5">
      <c r="B3805" t="s">
        <v>5821</v>
      </c>
      <c r="C3805">
        <v>532670</v>
      </c>
      <c r="D3805" t="s">
        <v>5822</v>
      </c>
      <c r="E3805" t="s">
        <v>1037</v>
      </c>
    </row>
    <row r="3806" spans="2:5">
      <c r="B3806" t="s">
        <v>5823</v>
      </c>
      <c r="C3806">
        <v>503635</v>
      </c>
      <c r="D3806" t="s">
        <v>339</v>
      </c>
      <c r="E3806" t="s">
        <v>322</v>
      </c>
    </row>
    <row r="3807" spans="2:5">
      <c r="B3807" t="s">
        <v>5824</v>
      </c>
      <c r="C3807">
        <v>538975</v>
      </c>
      <c r="D3807" t="s">
        <v>339</v>
      </c>
      <c r="E3807" t="s">
        <v>356</v>
      </c>
    </row>
    <row r="3808" spans="2:5">
      <c r="B3808" t="s">
        <v>5825</v>
      </c>
      <c r="C3808">
        <v>513488</v>
      </c>
      <c r="D3808" t="s">
        <v>339</v>
      </c>
      <c r="E3808" t="s">
        <v>662</v>
      </c>
    </row>
    <row r="3809" spans="2:5">
      <c r="B3809" t="s">
        <v>5826</v>
      </c>
      <c r="C3809">
        <v>531667</v>
      </c>
      <c r="D3809" t="s">
        <v>339</v>
      </c>
      <c r="E3809" t="s">
        <v>361</v>
      </c>
    </row>
    <row r="3810" spans="2:5">
      <c r="B3810" t="s">
        <v>5827</v>
      </c>
      <c r="C3810" t="s">
        <v>339</v>
      </c>
      <c r="D3810" t="s">
        <v>5828</v>
      </c>
      <c r="E3810" t="s">
        <v>350</v>
      </c>
    </row>
    <row r="3811" spans="2:5">
      <c r="B3811" t="s">
        <v>5829</v>
      </c>
      <c r="C3811">
        <v>590128</v>
      </c>
      <c r="D3811" t="s">
        <v>339</v>
      </c>
      <c r="E3811" t="s">
        <v>325</v>
      </c>
    </row>
    <row r="3812" spans="2:5">
      <c r="B3812" t="s">
        <v>5830</v>
      </c>
      <c r="C3812" t="s">
        <v>339</v>
      </c>
      <c r="D3812" t="s">
        <v>5831</v>
      </c>
      <c r="E3812" t="s">
        <v>350</v>
      </c>
    </row>
    <row r="3813" spans="2:5">
      <c r="B3813" t="s">
        <v>5832</v>
      </c>
      <c r="C3813">
        <v>541358</v>
      </c>
      <c r="D3813" t="s">
        <v>339</v>
      </c>
      <c r="E3813" t="s">
        <v>356</v>
      </c>
    </row>
    <row r="3814" spans="2:5">
      <c r="B3814" t="s">
        <v>5833</v>
      </c>
      <c r="C3814">
        <v>540738</v>
      </c>
      <c r="D3814" t="s">
        <v>339</v>
      </c>
      <c r="E3814" t="s">
        <v>660</v>
      </c>
    </row>
    <row r="3815" spans="2:5">
      <c r="B3815" t="s">
        <v>5834</v>
      </c>
      <c r="C3815">
        <v>503696</v>
      </c>
      <c r="D3815" t="s">
        <v>339</v>
      </c>
      <c r="E3815" t="s">
        <v>760</v>
      </c>
    </row>
    <row r="3816" spans="2:5">
      <c r="B3816" t="s">
        <v>5835</v>
      </c>
      <c r="C3816" t="s">
        <v>339</v>
      </c>
      <c r="D3816" t="s">
        <v>5836</v>
      </c>
      <c r="E3816" t="s">
        <v>350</v>
      </c>
    </row>
    <row r="3817" spans="2:5">
      <c r="B3817" t="s">
        <v>5837</v>
      </c>
      <c r="C3817">
        <v>541112</v>
      </c>
      <c r="D3817" t="s">
        <v>339</v>
      </c>
      <c r="E3817" t="s">
        <v>737</v>
      </c>
    </row>
    <row r="3818" spans="2:5">
      <c r="B3818" t="s">
        <v>5838</v>
      </c>
      <c r="C3818">
        <v>532007</v>
      </c>
      <c r="D3818" t="s">
        <v>339</v>
      </c>
      <c r="E3818" t="s">
        <v>760</v>
      </c>
    </row>
    <row r="3819" spans="2:5">
      <c r="B3819" t="s">
        <v>5839</v>
      </c>
      <c r="C3819" t="s">
        <v>339</v>
      </c>
      <c r="D3819" t="s">
        <v>5840</v>
      </c>
      <c r="E3819" t="s">
        <v>350</v>
      </c>
    </row>
    <row r="3820" spans="2:5">
      <c r="B3820" t="s">
        <v>5841</v>
      </c>
      <c r="C3820">
        <v>516016</v>
      </c>
      <c r="D3820" t="s">
        <v>5842</v>
      </c>
      <c r="E3820" t="s">
        <v>333</v>
      </c>
    </row>
    <row r="3821" spans="2:5">
      <c r="B3821" t="s">
        <v>5843</v>
      </c>
      <c r="C3821">
        <v>526335</v>
      </c>
      <c r="D3821" t="s">
        <v>339</v>
      </c>
      <c r="E3821" t="s">
        <v>387</v>
      </c>
    </row>
    <row r="3822" spans="2:5">
      <c r="B3822" t="s">
        <v>5844</v>
      </c>
      <c r="C3822">
        <v>520151</v>
      </c>
      <c r="D3822" t="s">
        <v>5845</v>
      </c>
      <c r="E3822" t="s">
        <v>1586</v>
      </c>
    </row>
    <row r="3823" spans="2:5">
      <c r="B3823" t="s">
        <v>5846</v>
      </c>
      <c r="C3823">
        <v>526981</v>
      </c>
      <c r="D3823" t="s">
        <v>339</v>
      </c>
      <c r="E3823" t="s">
        <v>662</v>
      </c>
    </row>
    <row r="3824" spans="2:5">
      <c r="B3824" t="s">
        <v>5847</v>
      </c>
      <c r="C3824">
        <v>530841</v>
      </c>
      <c r="D3824" t="s">
        <v>339</v>
      </c>
      <c r="E3824" t="s">
        <v>616</v>
      </c>
    </row>
    <row r="3825" spans="2:5">
      <c r="B3825" t="s">
        <v>5848</v>
      </c>
      <c r="C3825">
        <v>503804</v>
      </c>
      <c r="D3825" t="s">
        <v>339</v>
      </c>
      <c r="E3825" t="s">
        <v>354</v>
      </c>
    </row>
    <row r="3826" spans="2:5">
      <c r="B3826" t="s">
        <v>5849</v>
      </c>
      <c r="C3826">
        <v>512453</v>
      </c>
      <c r="D3826" t="s">
        <v>339</v>
      </c>
      <c r="E3826" t="s">
        <v>534</v>
      </c>
    </row>
    <row r="3827" spans="2:5">
      <c r="B3827" t="s">
        <v>5850</v>
      </c>
      <c r="C3827">
        <v>532083</v>
      </c>
      <c r="D3827" t="s">
        <v>339</v>
      </c>
      <c r="E3827" t="s">
        <v>760</v>
      </c>
    </row>
    <row r="3828" spans="2:5">
      <c r="B3828" t="s">
        <v>5851</v>
      </c>
      <c r="C3828">
        <v>530977</v>
      </c>
      <c r="D3828" t="s">
        <v>339</v>
      </c>
      <c r="E3828" t="s">
        <v>352</v>
      </c>
    </row>
    <row r="3829" spans="2:5">
      <c r="B3829" t="s">
        <v>5852</v>
      </c>
      <c r="C3829">
        <v>531080</v>
      </c>
      <c r="D3829" t="s">
        <v>339</v>
      </c>
      <c r="E3829" t="s">
        <v>425</v>
      </c>
    </row>
    <row r="3830" spans="2:5">
      <c r="B3830" t="s">
        <v>5853</v>
      </c>
      <c r="C3830">
        <v>538897</v>
      </c>
      <c r="D3830" t="s">
        <v>339</v>
      </c>
      <c r="E3830" t="s">
        <v>356</v>
      </c>
    </row>
    <row r="3831" spans="2:5">
      <c r="B3831" t="s">
        <v>5854</v>
      </c>
      <c r="C3831" t="s">
        <v>339</v>
      </c>
      <c r="D3831" t="s">
        <v>5855</v>
      </c>
      <c r="E3831" t="s">
        <v>350</v>
      </c>
    </row>
    <row r="3832" spans="2:5">
      <c r="B3832" t="s">
        <v>5856</v>
      </c>
      <c r="C3832">
        <v>508961</v>
      </c>
      <c r="D3832" t="s">
        <v>339</v>
      </c>
      <c r="E3832" t="s">
        <v>356</v>
      </c>
    </row>
    <row r="3833" spans="2:5">
      <c r="B3833" t="s">
        <v>5857</v>
      </c>
      <c r="C3833">
        <v>531359</v>
      </c>
      <c r="D3833" t="s">
        <v>339</v>
      </c>
      <c r="E3833" t="s">
        <v>2744</v>
      </c>
    </row>
    <row r="3834" spans="2:5">
      <c r="B3834" t="s">
        <v>5858</v>
      </c>
      <c r="C3834">
        <v>532498</v>
      </c>
      <c r="D3834" t="s">
        <v>5859</v>
      </c>
      <c r="E3834" t="s">
        <v>356</v>
      </c>
    </row>
    <row r="3835" spans="2:5">
      <c r="B3835" t="s">
        <v>5860</v>
      </c>
      <c r="C3835">
        <v>532945</v>
      </c>
      <c r="D3835" t="s">
        <v>5861</v>
      </c>
      <c r="E3835" t="s">
        <v>737</v>
      </c>
    </row>
    <row r="3836" spans="2:5">
      <c r="B3836" t="s">
        <v>5862</v>
      </c>
      <c r="C3836" t="s">
        <v>339</v>
      </c>
      <c r="D3836" t="s">
        <v>5863</v>
      </c>
      <c r="E3836" t="s">
        <v>430</v>
      </c>
    </row>
    <row r="3837" spans="2:5">
      <c r="B3837" t="s">
        <v>5864</v>
      </c>
      <c r="C3837">
        <v>511218</v>
      </c>
      <c r="D3837" t="s">
        <v>5865</v>
      </c>
      <c r="E3837" t="s">
        <v>356</v>
      </c>
    </row>
    <row r="3838" spans="2:5">
      <c r="B3838" t="s">
        <v>5866</v>
      </c>
      <c r="C3838">
        <v>511411</v>
      </c>
      <c r="D3838" t="s">
        <v>339</v>
      </c>
      <c r="E3838" t="s">
        <v>737</v>
      </c>
    </row>
    <row r="3839" spans="2:5">
      <c r="B3839" t="s">
        <v>5867</v>
      </c>
      <c r="C3839">
        <v>542019</v>
      </c>
      <c r="D3839" t="s">
        <v>339</v>
      </c>
      <c r="E3839" t="s">
        <v>354</v>
      </c>
    </row>
    <row r="3840" spans="2:5">
      <c r="B3840" t="s">
        <v>5868</v>
      </c>
      <c r="C3840" t="s">
        <v>339</v>
      </c>
      <c r="D3840" t="s">
        <v>5869</v>
      </c>
      <c r="E3840" t="s">
        <v>350</v>
      </c>
    </row>
    <row r="3841" spans="2:5">
      <c r="B3841" t="s">
        <v>5870</v>
      </c>
      <c r="C3841">
        <v>531506</v>
      </c>
      <c r="D3841" t="s">
        <v>5871</v>
      </c>
      <c r="E3841" t="s">
        <v>760</v>
      </c>
    </row>
    <row r="3842" spans="2:5">
      <c r="B3842" t="s">
        <v>5872</v>
      </c>
      <c r="C3842">
        <v>523790</v>
      </c>
      <c r="D3842" t="s">
        <v>339</v>
      </c>
      <c r="E3842" t="s">
        <v>453</v>
      </c>
    </row>
    <row r="3843" spans="2:5">
      <c r="B3843" t="s">
        <v>5873</v>
      </c>
      <c r="C3843">
        <v>524632</v>
      </c>
      <c r="D3843" t="s">
        <v>339</v>
      </c>
      <c r="E3843" t="s">
        <v>377</v>
      </c>
    </row>
    <row r="3844" spans="2:5">
      <c r="B3844" t="s">
        <v>5874</v>
      </c>
      <c r="C3844">
        <v>539252</v>
      </c>
      <c r="D3844" t="s">
        <v>5875</v>
      </c>
      <c r="E3844" t="s">
        <v>371</v>
      </c>
    </row>
    <row r="3845" spans="2:5">
      <c r="B3845" t="s">
        <v>5876</v>
      </c>
      <c r="C3845">
        <v>517411</v>
      </c>
      <c r="D3845" t="s">
        <v>5877</v>
      </c>
      <c r="E3845" t="s">
        <v>485</v>
      </c>
    </row>
    <row r="3846" spans="2:5">
      <c r="B3846" t="s">
        <v>5878</v>
      </c>
      <c r="C3846">
        <v>531219</v>
      </c>
      <c r="D3846" t="s">
        <v>339</v>
      </c>
      <c r="E3846" t="s">
        <v>377</v>
      </c>
    </row>
    <row r="3847" spans="2:5">
      <c r="B3847" t="s">
        <v>5879</v>
      </c>
      <c r="C3847">
        <v>505515</v>
      </c>
      <c r="D3847" t="s">
        <v>339</v>
      </c>
      <c r="E3847" t="s">
        <v>322</v>
      </c>
    </row>
    <row r="3848" spans="2:5">
      <c r="B3848" t="s">
        <v>5880</v>
      </c>
      <c r="C3848">
        <v>530907</v>
      </c>
      <c r="D3848" t="s">
        <v>339</v>
      </c>
      <c r="E3848" t="s">
        <v>760</v>
      </c>
    </row>
    <row r="3849" spans="2:5">
      <c r="B3849" t="s">
        <v>5881</v>
      </c>
      <c r="C3849">
        <v>520141</v>
      </c>
      <c r="D3849" t="s">
        <v>339</v>
      </c>
      <c r="E3849" t="s">
        <v>694</v>
      </c>
    </row>
    <row r="3850" spans="2:5">
      <c r="B3850" t="s">
        <v>5882</v>
      </c>
      <c r="C3850">
        <v>533014</v>
      </c>
      <c r="D3850" t="s">
        <v>5883</v>
      </c>
      <c r="E3850" t="s">
        <v>361</v>
      </c>
    </row>
    <row r="3851" spans="2:5">
      <c r="B3851" t="s">
        <v>5884</v>
      </c>
      <c r="C3851">
        <v>533014</v>
      </c>
      <c r="D3851" t="s">
        <v>5883</v>
      </c>
      <c r="E3851" t="s">
        <v>361</v>
      </c>
    </row>
    <row r="3852" spans="2:5">
      <c r="B3852" t="s">
        <v>5885</v>
      </c>
      <c r="C3852">
        <v>520086</v>
      </c>
      <c r="D3852" t="s">
        <v>5886</v>
      </c>
      <c r="E3852" t="s">
        <v>660</v>
      </c>
    </row>
    <row r="3853" spans="2:5">
      <c r="B3853" t="s">
        <v>5887</v>
      </c>
      <c r="C3853">
        <v>540736</v>
      </c>
      <c r="D3853" t="s">
        <v>339</v>
      </c>
      <c r="E3853" t="s">
        <v>444</v>
      </c>
    </row>
    <row r="3854" spans="2:5">
      <c r="B3854" t="s">
        <v>5888</v>
      </c>
      <c r="C3854">
        <v>539983</v>
      </c>
      <c r="D3854" t="s">
        <v>339</v>
      </c>
      <c r="E3854" t="s">
        <v>322</v>
      </c>
    </row>
    <row r="3855" spans="2:5">
      <c r="B3855" t="s">
        <v>5889</v>
      </c>
      <c r="C3855">
        <v>532217</v>
      </c>
      <c r="D3855" t="s">
        <v>339</v>
      </c>
      <c r="E3855" t="s">
        <v>322</v>
      </c>
    </row>
    <row r="3856" spans="2:5">
      <c r="B3856" t="s">
        <v>5890</v>
      </c>
      <c r="C3856">
        <v>500550</v>
      </c>
      <c r="D3856" t="s">
        <v>5891</v>
      </c>
      <c r="E3856" t="s">
        <v>382</v>
      </c>
    </row>
    <row r="3857" spans="2:5">
      <c r="B3857" t="s">
        <v>5892</v>
      </c>
      <c r="C3857">
        <v>512131</v>
      </c>
      <c r="D3857" t="s">
        <v>5893</v>
      </c>
      <c r="E3857" t="s">
        <v>459</v>
      </c>
    </row>
    <row r="3858" spans="2:5">
      <c r="B3858" t="s">
        <v>5894</v>
      </c>
      <c r="C3858">
        <v>523606</v>
      </c>
      <c r="D3858" t="s">
        <v>339</v>
      </c>
      <c r="E3858" t="s">
        <v>812</v>
      </c>
    </row>
    <row r="3859" spans="2:5">
      <c r="B3859" t="s">
        <v>5895</v>
      </c>
      <c r="C3859" t="s">
        <v>339</v>
      </c>
      <c r="D3859" t="s">
        <v>5896</v>
      </c>
      <c r="E3859" t="s">
        <v>350</v>
      </c>
    </row>
    <row r="3860" spans="2:5">
      <c r="B3860" t="s">
        <v>5897</v>
      </c>
      <c r="C3860">
        <v>524642</v>
      </c>
      <c r="D3860" t="s">
        <v>339</v>
      </c>
      <c r="E3860" t="s">
        <v>425</v>
      </c>
    </row>
    <row r="3861" spans="2:5">
      <c r="B3861" t="s">
        <v>5898</v>
      </c>
      <c r="C3861">
        <v>521194</v>
      </c>
      <c r="D3861" t="s">
        <v>5899</v>
      </c>
      <c r="E3861" t="s">
        <v>322</v>
      </c>
    </row>
    <row r="3862" spans="2:5">
      <c r="B3862" t="s">
        <v>5900</v>
      </c>
      <c r="C3862" t="s">
        <v>339</v>
      </c>
      <c r="D3862" t="s">
        <v>5901</v>
      </c>
      <c r="E3862" t="s">
        <v>350</v>
      </c>
    </row>
    <row r="3863" spans="2:5">
      <c r="B3863" t="s">
        <v>5902</v>
      </c>
      <c r="C3863" t="s">
        <v>339</v>
      </c>
      <c r="D3863" t="s">
        <v>5903</v>
      </c>
      <c r="E3863" t="s">
        <v>350</v>
      </c>
    </row>
    <row r="3864" spans="2:5">
      <c r="B3864" t="s">
        <v>5904</v>
      </c>
      <c r="C3864">
        <v>531635</v>
      </c>
      <c r="D3864" t="s">
        <v>339</v>
      </c>
      <c r="E3864" t="s">
        <v>970</v>
      </c>
    </row>
    <row r="3865" spans="2:5">
      <c r="B3865" t="s">
        <v>5905</v>
      </c>
      <c r="C3865">
        <v>512197</v>
      </c>
      <c r="D3865" t="s">
        <v>339</v>
      </c>
      <c r="E3865" t="s">
        <v>356</v>
      </c>
    </row>
    <row r="3866" spans="2:5">
      <c r="B3866" t="s">
        <v>5906</v>
      </c>
      <c r="C3866">
        <v>531635</v>
      </c>
      <c r="D3866" t="s">
        <v>339</v>
      </c>
      <c r="E3866" t="s">
        <v>970</v>
      </c>
    </row>
    <row r="3867" spans="2:5">
      <c r="B3867" t="s">
        <v>5907</v>
      </c>
      <c r="C3867" t="s">
        <v>339</v>
      </c>
      <c r="D3867" t="s">
        <v>5908</v>
      </c>
      <c r="E3867" t="s">
        <v>350</v>
      </c>
    </row>
    <row r="3868" spans="2:5">
      <c r="B3868" t="s">
        <v>5909</v>
      </c>
      <c r="C3868">
        <v>536073</v>
      </c>
      <c r="D3868" t="s">
        <v>339</v>
      </c>
      <c r="E3868" t="s">
        <v>737</v>
      </c>
    </row>
    <row r="3869" spans="2:5">
      <c r="B3869" t="s">
        <v>5910</v>
      </c>
      <c r="C3869">
        <v>539742</v>
      </c>
      <c r="D3869" t="s">
        <v>5911</v>
      </c>
      <c r="E3869" t="s">
        <v>1037</v>
      </c>
    </row>
    <row r="3870" spans="2:5">
      <c r="B3870" t="s">
        <v>5912</v>
      </c>
      <c r="C3870">
        <v>507998</v>
      </c>
      <c r="D3870" t="s">
        <v>339</v>
      </c>
      <c r="E3870" t="s">
        <v>694</v>
      </c>
    </row>
    <row r="3871" spans="2:5">
      <c r="B3871" t="s">
        <v>5913</v>
      </c>
      <c r="C3871">
        <v>513472</v>
      </c>
      <c r="D3871" t="s">
        <v>339</v>
      </c>
      <c r="E3871" t="s">
        <v>1258</v>
      </c>
    </row>
    <row r="3872" spans="2:5">
      <c r="B3872" t="s">
        <v>5914</v>
      </c>
      <c r="C3872">
        <v>523838</v>
      </c>
      <c r="D3872" t="s">
        <v>5915</v>
      </c>
      <c r="E3872" t="s">
        <v>737</v>
      </c>
    </row>
    <row r="3873" spans="2:5">
      <c r="B3873" t="s">
        <v>5916</v>
      </c>
      <c r="C3873">
        <v>533018</v>
      </c>
      <c r="D3873" t="s">
        <v>339</v>
      </c>
      <c r="E3873" t="s">
        <v>354</v>
      </c>
    </row>
    <row r="3874" spans="2:5">
      <c r="B3874" t="s">
        <v>5917</v>
      </c>
      <c r="C3874">
        <v>533019</v>
      </c>
      <c r="D3874" t="s">
        <v>339</v>
      </c>
      <c r="E3874" t="s">
        <v>333</v>
      </c>
    </row>
    <row r="3875" spans="2:5">
      <c r="B3875" t="s">
        <v>5918</v>
      </c>
      <c r="C3875">
        <v>503229</v>
      </c>
      <c r="D3875" t="s">
        <v>339</v>
      </c>
      <c r="E3875" t="s">
        <v>425</v>
      </c>
    </row>
    <row r="3876" spans="2:5">
      <c r="B3876" t="s">
        <v>5919</v>
      </c>
      <c r="C3876">
        <v>519566</v>
      </c>
      <c r="D3876" t="s">
        <v>339</v>
      </c>
      <c r="E3876" t="s">
        <v>399</v>
      </c>
    </row>
    <row r="3877" spans="2:5">
      <c r="B3877" t="s">
        <v>5920</v>
      </c>
      <c r="C3877">
        <v>523023</v>
      </c>
      <c r="D3877" t="s">
        <v>339</v>
      </c>
      <c r="E3877" t="s">
        <v>540</v>
      </c>
    </row>
    <row r="3878" spans="2:5">
      <c r="B3878" t="s">
        <v>5921</v>
      </c>
      <c r="C3878">
        <v>532029</v>
      </c>
      <c r="D3878" t="s">
        <v>339</v>
      </c>
      <c r="E3878" t="s">
        <v>760</v>
      </c>
    </row>
    <row r="3879" spans="2:5">
      <c r="B3879" t="s">
        <v>5922</v>
      </c>
      <c r="C3879">
        <v>505504</v>
      </c>
      <c r="D3879" t="s">
        <v>339</v>
      </c>
      <c r="E3879" t="s">
        <v>325</v>
      </c>
    </row>
    <row r="3880" spans="2:5">
      <c r="B3880" t="s">
        <v>5923</v>
      </c>
      <c r="C3880">
        <v>505729</v>
      </c>
      <c r="D3880" t="s">
        <v>339</v>
      </c>
      <c r="E3880" t="s">
        <v>347</v>
      </c>
    </row>
    <row r="3881" spans="2:5">
      <c r="B3881" t="s">
        <v>5924</v>
      </c>
      <c r="C3881">
        <v>505729</v>
      </c>
      <c r="D3881" t="s">
        <v>339</v>
      </c>
      <c r="E3881" t="s">
        <v>347</v>
      </c>
    </row>
    <row r="3882" spans="2:5">
      <c r="B3882" t="s">
        <v>5925</v>
      </c>
      <c r="C3882">
        <v>509887</v>
      </c>
      <c r="D3882" t="s">
        <v>339</v>
      </c>
      <c r="E3882" t="s">
        <v>2509</v>
      </c>
    </row>
    <row r="3883" spans="2:5">
      <c r="B3883" t="s">
        <v>5926</v>
      </c>
      <c r="C3883">
        <v>539410</v>
      </c>
      <c r="D3883" t="s">
        <v>339</v>
      </c>
      <c r="E3883" t="s">
        <v>361</v>
      </c>
    </row>
    <row r="3884" spans="2:5">
      <c r="B3884" t="s">
        <v>5927</v>
      </c>
      <c r="C3884">
        <v>539410</v>
      </c>
      <c r="D3884" t="s">
        <v>339</v>
      </c>
      <c r="E3884" t="s">
        <v>361</v>
      </c>
    </row>
    <row r="3885" spans="2:5">
      <c r="B3885" t="s">
        <v>5928</v>
      </c>
      <c r="C3885" t="s">
        <v>339</v>
      </c>
      <c r="D3885" t="s">
        <v>5929</v>
      </c>
      <c r="E3885" t="s">
        <v>350</v>
      </c>
    </row>
    <row r="3886" spans="2:5">
      <c r="B3886" t="s">
        <v>5930</v>
      </c>
      <c r="C3886" t="s">
        <v>339</v>
      </c>
      <c r="D3886" t="s">
        <v>5929</v>
      </c>
      <c r="E3886" t="s">
        <v>350</v>
      </c>
    </row>
    <row r="3887" spans="2:5">
      <c r="B3887" t="s">
        <v>5931</v>
      </c>
      <c r="C3887">
        <v>502742</v>
      </c>
      <c r="D3887" t="s">
        <v>5932</v>
      </c>
      <c r="E3887" t="s">
        <v>354</v>
      </c>
    </row>
    <row r="3888" spans="2:5">
      <c r="B3888" t="s">
        <v>5933</v>
      </c>
      <c r="C3888">
        <v>540653</v>
      </c>
      <c r="D3888" t="s">
        <v>5934</v>
      </c>
      <c r="E3888" t="s">
        <v>459</v>
      </c>
    </row>
    <row r="3889" spans="2:5">
      <c r="B3889" t="s">
        <v>5935</v>
      </c>
      <c r="C3889">
        <v>523164</v>
      </c>
      <c r="D3889" t="s">
        <v>339</v>
      </c>
      <c r="E3889" t="s">
        <v>537</v>
      </c>
    </row>
    <row r="3890" spans="2:5">
      <c r="B3890" t="s">
        <v>5936</v>
      </c>
      <c r="C3890">
        <v>532879</v>
      </c>
      <c r="D3890" t="s">
        <v>339</v>
      </c>
      <c r="E3890" t="s">
        <v>1037</v>
      </c>
    </row>
    <row r="3891" spans="2:5">
      <c r="B3891" t="s">
        <v>5937</v>
      </c>
      <c r="C3891" t="s">
        <v>339</v>
      </c>
      <c r="D3891" t="s">
        <v>5938</v>
      </c>
      <c r="E3891" t="s">
        <v>350</v>
      </c>
    </row>
    <row r="3892" spans="2:5">
      <c r="B3892" t="s">
        <v>5939</v>
      </c>
      <c r="C3892" t="s">
        <v>339</v>
      </c>
      <c r="D3892" t="s">
        <v>5938</v>
      </c>
      <c r="E3892" t="s">
        <v>350</v>
      </c>
    </row>
    <row r="3893" spans="2:5">
      <c r="B3893" t="s">
        <v>5940</v>
      </c>
      <c r="C3893">
        <v>538667</v>
      </c>
      <c r="D3893" t="s">
        <v>339</v>
      </c>
      <c r="E3893" t="s">
        <v>361</v>
      </c>
    </row>
    <row r="3894" spans="2:5">
      <c r="B3894" t="s">
        <v>5941</v>
      </c>
      <c r="C3894">
        <v>512589</v>
      </c>
      <c r="D3894" t="s">
        <v>339</v>
      </c>
      <c r="E3894" t="s">
        <v>361</v>
      </c>
    </row>
    <row r="3895" spans="2:5">
      <c r="B3895" t="s">
        <v>5942</v>
      </c>
      <c r="C3895">
        <v>532961</v>
      </c>
      <c r="D3895" t="s">
        <v>5943</v>
      </c>
      <c r="E3895" t="s">
        <v>419</v>
      </c>
    </row>
    <row r="3896" spans="2:5">
      <c r="B3896" t="s">
        <v>5944</v>
      </c>
      <c r="C3896">
        <v>532795</v>
      </c>
      <c r="D3896" t="s">
        <v>5945</v>
      </c>
      <c r="E3896" t="s">
        <v>1077</v>
      </c>
    </row>
    <row r="3897" spans="2:5">
      <c r="B3897" t="s">
        <v>5946</v>
      </c>
      <c r="C3897">
        <v>503811</v>
      </c>
      <c r="D3897" t="s">
        <v>5947</v>
      </c>
      <c r="E3897" t="s">
        <v>354</v>
      </c>
    </row>
    <row r="3898" spans="2:5">
      <c r="B3898" t="s">
        <v>5948</v>
      </c>
      <c r="C3898">
        <v>504398</v>
      </c>
      <c r="D3898" t="s">
        <v>339</v>
      </c>
      <c r="E3898" t="s">
        <v>453</v>
      </c>
    </row>
    <row r="3899" spans="2:5">
      <c r="B3899" t="s">
        <v>5949</v>
      </c>
      <c r="C3899">
        <v>533206</v>
      </c>
      <c r="D3899" t="s">
        <v>5950</v>
      </c>
      <c r="E3899" t="s">
        <v>478</v>
      </c>
    </row>
    <row r="3900" spans="2:5">
      <c r="B3900" t="s">
        <v>5951</v>
      </c>
      <c r="C3900">
        <v>500472</v>
      </c>
      <c r="D3900" t="s">
        <v>5952</v>
      </c>
      <c r="E3900" t="s">
        <v>524</v>
      </c>
    </row>
    <row r="3901" spans="2:5">
      <c r="B3901" t="s">
        <v>5953</v>
      </c>
      <c r="C3901">
        <v>500472</v>
      </c>
      <c r="D3901" t="s">
        <v>5954</v>
      </c>
      <c r="E3901" t="s">
        <v>524</v>
      </c>
    </row>
    <row r="3902" spans="2:5">
      <c r="B3902" t="s">
        <v>5955</v>
      </c>
      <c r="C3902">
        <v>539861</v>
      </c>
      <c r="D3902" t="s">
        <v>5956</v>
      </c>
      <c r="E3902" t="s">
        <v>737</v>
      </c>
    </row>
    <row r="3903" spans="2:5">
      <c r="B3903" t="s">
        <v>5957</v>
      </c>
      <c r="C3903">
        <v>538562</v>
      </c>
      <c r="D3903" t="s">
        <v>5958</v>
      </c>
      <c r="E3903" t="s">
        <v>737</v>
      </c>
    </row>
    <row r="3904" spans="2:5">
      <c r="B3904" t="s">
        <v>5959</v>
      </c>
      <c r="C3904">
        <v>532143</v>
      </c>
      <c r="D3904" t="s">
        <v>5960</v>
      </c>
      <c r="E3904" t="s">
        <v>419</v>
      </c>
    </row>
    <row r="3905" spans="2:5">
      <c r="B3905" t="s">
        <v>5961</v>
      </c>
      <c r="C3905">
        <v>532143</v>
      </c>
      <c r="D3905" t="s">
        <v>5960</v>
      </c>
      <c r="E3905" t="s">
        <v>419</v>
      </c>
    </row>
    <row r="3906" spans="2:5">
      <c r="B3906" t="s">
        <v>5962</v>
      </c>
      <c r="C3906">
        <v>531169</v>
      </c>
      <c r="D3906" t="s">
        <v>339</v>
      </c>
      <c r="E3906" t="s">
        <v>356</v>
      </c>
    </row>
    <row r="3907" spans="2:5">
      <c r="B3907" t="s">
        <v>5963</v>
      </c>
      <c r="C3907" t="s">
        <v>339</v>
      </c>
      <c r="D3907" t="s">
        <v>5964</v>
      </c>
      <c r="E3907" t="s">
        <v>350</v>
      </c>
    </row>
    <row r="3908" spans="2:5">
      <c r="B3908" t="s">
        <v>5965</v>
      </c>
      <c r="C3908">
        <v>541967</v>
      </c>
      <c r="D3908" t="s">
        <v>339</v>
      </c>
      <c r="E3908" t="s">
        <v>453</v>
      </c>
    </row>
    <row r="3909" spans="2:5">
      <c r="B3909" t="s">
        <v>5966</v>
      </c>
      <c r="C3909">
        <v>526479</v>
      </c>
      <c r="D3909" t="s">
        <v>339</v>
      </c>
      <c r="E3909" t="s">
        <v>354</v>
      </c>
    </row>
    <row r="3910" spans="2:5">
      <c r="B3910" t="s">
        <v>5967</v>
      </c>
      <c r="C3910">
        <v>505650</v>
      </c>
      <c r="D3910" t="s">
        <v>339</v>
      </c>
      <c r="E3910" t="s">
        <v>417</v>
      </c>
    </row>
    <row r="3911" spans="2:5">
      <c r="B3911" t="s">
        <v>5968</v>
      </c>
      <c r="C3911">
        <v>538919</v>
      </c>
      <c r="D3911" t="s">
        <v>339</v>
      </c>
      <c r="E3911" t="s">
        <v>425</v>
      </c>
    </row>
    <row r="3912" spans="2:5">
      <c r="B3912" t="s">
        <v>5969</v>
      </c>
      <c r="C3912">
        <v>538919</v>
      </c>
      <c r="D3912" t="s">
        <v>339</v>
      </c>
      <c r="E3912" t="s">
        <v>425</v>
      </c>
    </row>
    <row r="3913" spans="2:5">
      <c r="B3913" t="s">
        <v>5970</v>
      </c>
      <c r="C3913">
        <v>539494</v>
      </c>
      <c r="D3913" t="s">
        <v>339</v>
      </c>
      <c r="E3913" t="s">
        <v>356</v>
      </c>
    </row>
    <row r="3914" spans="2:5">
      <c r="B3914" t="s">
        <v>5971</v>
      </c>
      <c r="C3914">
        <v>532419</v>
      </c>
      <c r="D3914" t="s">
        <v>5972</v>
      </c>
      <c r="E3914" t="s">
        <v>1965</v>
      </c>
    </row>
    <row r="3915" spans="2:5">
      <c r="B3915" t="s">
        <v>5973</v>
      </c>
      <c r="C3915">
        <v>508905</v>
      </c>
      <c r="D3915" t="s">
        <v>339</v>
      </c>
      <c r="E3915" t="s">
        <v>322</v>
      </c>
    </row>
    <row r="3916" spans="2:5">
      <c r="B3916" t="s">
        <v>5974</v>
      </c>
      <c r="C3916">
        <v>505192</v>
      </c>
      <c r="D3916" t="s">
        <v>5975</v>
      </c>
      <c r="E3916" t="s">
        <v>417</v>
      </c>
    </row>
    <row r="3917" spans="2:5">
      <c r="B3917" t="s">
        <v>5976</v>
      </c>
      <c r="C3917">
        <v>540686</v>
      </c>
      <c r="D3917" t="s">
        <v>339</v>
      </c>
      <c r="E3917" t="s">
        <v>377</v>
      </c>
    </row>
    <row r="3918" spans="2:5">
      <c r="B3918" t="s">
        <v>5977</v>
      </c>
      <c r="C3918">
        <v>540679</v>
      </c>
      <c r="D3918" t="s">
        <v>5978</v>
      </c>
      <c r="E3918" t="s">
        <v>377</v>
      </c>
    </row>
    <row r="3919" spans="2:5">
      <c r="B3919" t="s">
        <v>5979</v>
      </c>
      <c r="C3919">
        <v>540679</v>
      </c>
      <c r="D3919" t="s">
        <v>5978</v>
      </c>
      <c r="E3919" t="s">
        <v>377</v>
      </c>
    </row>
    <row r="3920" spans="2:5">
      <c r="B3920" t="s">
        <v>5980</v>
      </c>
      <c r="C3920">
        <v>532815</v>
      </c>
      <c r="D3920" t="s">
        <v>5981</v>
      </c>
      <c r="E3920" t="s">
        <v>377</v>
      </c>
    </row>
    <row r="3921" spans="2:5">
      <c r="B3921" t="s">
        <v>5982</v>
      </c>
      <c r="C3921" t="s">
        <v>339</v>
      </c>
      <c r="D3921" t="s">
        <v>5983</v>
      </c>
      <c r="E3921" t="s">
        <v>350</v>
      </c>
    </row>
    <row r="3922" spans="2:5">
      <c r="B3922" t="s">
        <v>5984</v>
      </c>
      <c r="C3922">
        <v>505827</v>
      </c>
      <c r="D3922" t="s">
        <v>339</v>
      </c>
      <c r="E3922" t="s">
        <v>524</v>
      </c>
    </row>
    <row r="3923" spans="2:5">
      <c r="B3923" t="s">
        <v>5985</v>
      </c>
      <c r="C3923">
        <v>538635</v>
      </c>
      <c r="D3923" t="s">
        <v>5986</v>
      </c>
      <c r="E3923" t="s">
        <v>660</v>
      </c>
    </row>
    <row r="3924" spans="2:5">
      <c r="B3924" t="s">
        <v>5987</v>
      </c>
      <c r="C3924">
        <v>532784</v>
      </c>
      <c r="D3924" t="s">
        <v>5988</v>
      </c>
      <c r="E3924" t="s">
        <v>425</v>
      </c>
    </row>
    <row r="3925" spans="2:5">
      <c r="B3925" t="s">
        <v>5989</v>
      </c>
      <c r="C3925">
        <v>512014</v>
      </c>
      <c r="D3925" t="s">
        <v>339</v>
      </c>
      <c r="E3925" t="s">
        <v>760</v>
      </c>
    </row>
    <row r="3926" spans="2:5">
      <c r="B3926" t="s">
        <v>5990</v>
      </c>
      <c r="C3926">
        <v>538923</v>
      </c>
      <c r="D3926" t="s">
        <v>339</v>
      </c>
      <c r="E3926" t="s">
        <v>325</v>
      </c>
    </row>
    <row r="3927" spans="2:5">
      <c r="B3927" t="s">
        <v>5991</v>
      </c>
      <c r="C3927">
        <v>504375</v>
      </c>
      <c r="D3927" t="s">
        <v>339</v>
      </c>
      <c r="E3927" t="s">
        <v>325</v>
      </c>
    </row>
    <row r="3928" spans="2:5">
      <c r="B3928" t="s">
        <v>5992</v>
      </c>
      <c r="C3928">
        <v>532344</v>
      </c>
      <c r="D3928" t="s">
        <v>339</v>
      </c>
      <c r="E3928" t="s">
        <v>432</v>
      </c>
    </row>
    <row r="3929" spans="2:5">
      <c r="B3929" t="s">
        <v>5993</v>
      </c>
      <c r="C3929">
        <v>532344</v>
      </c>
      <c r="D3929" t="s">
        <v>339</v>
      </c>
      <c r="E3929" t="s">
        <v>432</v>
      </c>
    </row>
    <row r="3930" spans="2:5">
      <c r="B3930" t="s">
        <v>5994</v>
      </c>
      <c r="C3930" t="s">
        <v>339</v>
      </c>
      <c r="D3930" t="s">
        <v>5995</v>
      </c>
      <c r="E3930" t="s">
        <v>350</v>
      </c>
    </row>
    <row r="3931" spans="2:5">
      <c r="B3931" t="s">
        <v>5996</v>
      </c>
      <c r="C3931">
        <v>532725</v>
      </c>
      <c r="D3931" t="s">
        <v>5997</v>
      </c>
      <c r="E3931" t="s">
        <v>499</v>
      </c>
    </row>
    <row r="3932" spans="2:5">
      <c r="B3932" t="s">
        <v>5998</v>
      </c>
      <c r="C3932">
        <v>532725</v>
      </c>
      <c r="D3932" t="s">
        <v>5997</v>
      </c>
      <c r="E3932" t="s">
        <v>499</v>
      </c>
    </row>
    <row r="3933" spans="2:5">
      <c r="B3933" t="s">
        <v>5999</v>
      </c>
      <c r="C3933">
        <v>541540</v>
      </c>
      <c r="D3933" t="s">
        <v>6000</v>
      </c>
      <c r="E3933" t="s">
        <v>377</v>
      </c>
    </row>
    <row r="3934" spans="2:5">
      <c r="B3934" t="s">
        <v>6001</v>
      </c>
      <c r="C3934" t="s">
        <v>339</v>
      </c>
      <c r="D3934" t="s">
        <v>6002</v>
      </c>
      <c r="E3934" t="s">
        <v>350</v>
      </c>
    </row>
    <row r="3935" spans="2:5">
      <c r="B3935" t="s">
        <v>6003</v>
      </c>
      <c r="C3935">
        <v>500394</v>
      </c>
      <c r="D3935" t="s">
        <v>339</v>
      </c>
      <c r="E3935" t="s">
        <v>524</v>
      </c>
    </row>
    <row r="3936" spans="2:5">
      <c r="B3936" t="s">
        <v>6004</v>
      </c>
      <c r="C3936">
        <v>502460</v>
      </c>
      <c r="D3936" t="s">
        <v>339</v>
      </c>
      <c r="E3936" t="s">
        <v>333</v>
      </c>
    </row>
    <row r="3937" spans="2:5">
      <c r="B3937" t="s">
        <v>6005</v>
      </c>
      <c r="C3937">
        <v>513699</v>
      </c>
      <c r="D3937" t="s">
        <v>339</v>
      </c>
      <c r="E3937" t="s">
        <v>867</v>
      </c>
    </row>
    <row r="3938" spans="2:5">
      <c r="B3938" t="s">
        <v>6006</v>
      </c>
      <c r="C3938">
        <v>538575</v>
      </c>
      <c r="D3938" t="s">
        <v>339</v>
      </c>
      <c r="E3938" t="s">
        <v>361</v>
      </c>
    </row>
    <row r="3939" spans="2:5">
      <c r="B3939" t="s">
        <v>6007</v>
      </c>
      <c r="C3939">
        <v>522152</v>
      </c>
      <c r="D3939" t="s">
        <v>339</v>
      </c>
      <c r="E3939" t="s">
        <v>347</v>
      </c>
    </row>
    <row r="3940" spans="2:5">
      <c r="B3940" t="s">
        <v>6008</v>
      </c>
      <c r="C3940">
        <v>511571</v>
      </c>
      <c r="D3940" t="s">
        <v>339</v>
      </c>
      <c r="E3940" t="s">
        <v>356</v>
      </c>
    </row>
    <row r="3941" spans="2:5">
      <c r="B3941" t="s">
        <v>6009</v>
      </c>
      <c r="C3941">
        <v>507514</v>
      </c>
      <c r="D3941" t="s">
        <v>6010</v>
      </c>
      <c r="E3941" t="s">
        <v>970</v>
      </c>
    </row>
    <row r="3942" spans="2:5">
      <c r="B3942" t="s">
        <v>6011</v>
      </c>
      <c r="C3942">
        <v>521034</v>
      </c>
      <c r="D3942" t="s">
        <v>6012</v>
      </c>
      <c r="E3942" t="s">
        <v>354</v>
      </c>
    </row>
    <row r="3943" spans="2:5">
      <c r="B3943" t="s">
        <v>6013</v>
      </c>
      <c r="C3943">
        <v>531548</v>
      </c>
      <c r="D3943" t="s">
        <v>6014</v>
      </c>
      <c r="E3943" t="s">
        <v>616</v>
      </c>
    </row>
    <row r="3944" spans="2:5">
      <c r="B3944" t="s">
        <v>6015</v>
      </c>
      <c r="C3944">
        <v>533001</v>
      </c>
      <c r="D3944" t="s">
        <v>6016</v>
      </c>
      <c r="E3944" t="s">
        <v>347</v>
      </c>
    </row>
    <row r="3945" spans="2:5">
      <c r="B3945" t="s">
        <v>6017</v>
      </c>
      <c r="C3945">
        <v>526901</v>
      </c>
      <c r="D3945" t="s">
        <v>339</v>
      </c>
      <c r="E3945" t="s">
        <v>387</v>
      </c>
    </row>
    <row r="3946" spans="2:5">
      <c r="B3946" t="s">
        <v>6018</v>
      </c>
      <c r="C3946">
        <v>538943</v>
      </c>
      <c r="D3946" t="s">
        <v>339</v>
      </c>
      <c r="E3946" t="s">
        <v>356</v>
      </c>
    </row>
    <row r="3947" spans="2:5">
      <c r="B3947" t="s">
        <v>6019</v>
      </c>
      <c r="C3947" t="s">
        <v>339</v>
      </c>
      <c r="D3947" t="s">
        <v>6020</v>
      </c>
      <c r="E3947" t="s">
        <v>350</v>
      </c>
    </row>
    <row r="3948" spans="2:5">
      <c r="B3948" t="s">
        <v>6021</v>
      </c>
      <c r="C3948">
        <v>532221</v>
      </c>
      <c r="D3948" t="s">
        <v>6022</v>
      </c>
      <c r="E3948" t="s">
        <v>325</v>
      </c>
    </row>
    <row r="3949" spans="2:5">
      <c r="B3949" t="s">
        <v>6023</v>
      </c>
      <c r="C3949">
        <v>539378</v>
      </c>
      <c r="D3949" t="s">
        <v>339</v>
      </c>
      <c r="E3949" t="s">
        <v>809</v>
      </c>
    </row>
    <row r="3950" spans="2:5">
      <c r="B3950" t="s">
        <v>6024</v>
      </c>
      <c r="C3950" t="s">
        <v>339</v>
      </c>
      <c r="D3950" t="s">
        <v>6025</v>
      </c>
      <c r="E3950" t="s">
        <v>350</v>
      </c>
    </row>
    <row r="3951" spans="2:5">
      <c r="B3951" t="s">
        <v>6026</v>
      </c>
      <c r="C3951">
        <v>541633</v>
      </c>
      <c r="D3951" t="s">
        <v>339</v>
      </c>
      <c r="E3951" t="s">
        <v>333</v>
      </c>
    </row>
    <row r="3952" spans="2:5">
      <c r="B3952" t="s">
        <v>6027</v>
      </c>
      <c r="C3952">
        <v>532679</v>
      </c>
      <c r="D3952" t="s">
        <v>6028</v>
      </c>
      <c r="E3952" t="s">
        <v>328</v>
      </c>
    </row>
    <row r="3953" spans="2:5">
      <c r="B3953" t="s">
        <v>6029</v>
      </c>
      <c r="C3953">
        <v>521036</v>
      </c>
      <c r="D3953" t="s">
        <v>339</v>
      </c>
      <c r="E3953" t="s">
        <v>354</v>
      </c>
    </row>
    <row r="3954" spans="2:5">
      <c r="B3954" t="s">
        <v>6030</v>
      </c>
      <c r="C3954">
        <v>521036</v>
      </c>
      <c r="D3954" t="s">
        <v>339</v>
      </c>
      <c r="E3954" t="s">
        <v>354</v>
      </c>
    </row>
    <row r="3955" spans="2:5">
      <c r="B3955" t="s">
        <v>6031</v>
      </c>
      <c r="C3955">
        <v>531398</v>
      </c>
      <c r="D3955" t="s">
        <v>339</v>
      </c>
      <c r="E3955" t="s">
        <v>377</v>
      </c>
    </row>
    <row r="3956" spans="2:5">
      <c r="B3956" t="s">
        <v>6032</v>
      </c>
      <c r="C3956">
        <v>526477</v>
      </c>
      <c r="D3956" t="s">
        <v>339</v>
      </c>
      <c r="E3956" t="s">
        <v>517</v>
      </c>
    </row>
    <row r="3957" spans="2:5">
      <c r="B3957" t="s">
        <v>6033</v>
      </c>
      <c r="C3957">
        <v>516108</v>
      </c>
      <c r="D3957" t="s">
        <v>339</v>
      </c>
      <c r="E3957" t="s">
        <v>333</v>
      </c>
    </row>
    <row r="3958" spans="2:5">
      <c r="B3958" t="s">
        <v>6034</v>
      </c>
      <c r="C3958">
        <v>538891</v>
      </c>
      <c r="D3958" t="s">
        <v>339</v>
      </c>
      <c r="E3958" t="s">
        <v>356</v>
      </c>
    </row>
    <row r="3959" spans="2:5">
      <c r="B3959" t="s">
        <v>6035</v>
      </c>
      <c r="C3959" t="s">
        <v>339</v>
      </c>
      <c r="D3959" t="s">
        <v>6036</v>
      </c>
      <c r="E3959" t="s">
        <v>350</v>
      </c>
    </row>
    <row r="3960" spans="2:5">
      <c r="B3960" t="s">
        <v>6037</v>
      </c>
      <c r="C3960">
        <v>509910</v>
      </c>
      <c r="D3960" t="s">
        <v>339</v>
      </c>
      <c r="E3960" t="s">
        <v>387</v>
      </c>
    </row>
    <row r="3961" spans="2:5">
      <c r="B3961" t="s">
        <v>6038</v>
      </c>
      <c r="C3961">
        <v>540174</v>
      </c>
      <c r="D3961" t="s">
        <v>339</v>
      </c>
      <c r="E3961" t="s">
        <v>325</v>
      </c>
    </row>
    <row r="3962" spans="2:5">
      <c r="B3962" t="s">
        <v>6039</v>
      </c>
      <c r="C3962">
        <v>514454</v>
      </c>
      <c r="D3962" t="s">
        <v>339</v>
      </c>
      <c r="E3962" t="s">
        <v>354</v>
      </c>
    </row>
    <row r="3963" spans="2:5">
      <c r="B3963" t="s">
        <v>6040</v>
      </c>
      <c r="C3963">
        <v>513498</v>
      </c>
      <c r="D3963" t="s">
        <v>339</v>
      </c>
      <c r="E3963" t="s">
        <v>319</v>
      </c>
    </row>
    <row r="3964" spans="2:5">
      <c r="B3964" t="s">
        <v>6041</v>
      </c>
      <c r="C3964">
        <v>532669</v>
      </c>
      <c r="D3964" t="s">
        <v>339</v>
      </c>
      <c r="E3964" t="s">
        <v>387</v>
      </c>
    </row>
    <row r="3965" spans="2:5">
      <c r="B3965" t="s">
        <v>6042</v>
      </c>
      <c r="C3965">
        <v>590030</v>
      </c>
      <c r="D3965" t="s">
        <v>6043</v>
      </c>
      <c r="E3965" t="s">
        <v>847</v>
      </c>
    </row>
    <row r="3966" spans="2:5">
      <c r="B3966" t="s">
        <v>6044</v>
      </c>
      <c r="C3966">
        <v>523826</v>
      </c>
      <c r="D3966" t="s">
        <v>339</v>
      </c>
      <c r="E3966" t="s">
        <v>453</v>
      </c>
    </row>
    <row r="3967" spans="2:5">
      <c r="B3967" t="s">
        <v>6045</v>
      </c>
      <c r="C3967">
        <v>532025</v>
      </c>
      <c r="D3967" t="s">
        <v>339</v>
      </c>
      <c r="E3967" t="s">
        <v>342</v>
      </c>
    </row>
    <row r="3968" spans="2:5">
      <c r="B3968" t="s">
        <v>6046</v>
      </c>
      <c r="C3968">
        <v>530289</v>
      </c>
      <c r="D3968" t="s">
        <v>339</v>
      </c>
      <c r="E3968" t="s">
        <v>760</v>
      </c>
    </row>
    <row r="3969" spans="2:5">
      <c r="B3969" t="s">
        <v>6047</v>
      </c>
      <c r="C3969">
        <v>542376</v>
      </c>
      <c r="D3969" t="s">
        <v>6048</v>
      </c>
      <c r="E3969" t="s">
        <v>322</v>
      </c>
    </row>
    <row r="3970" spans="2:5">
      <c r="B3970" t="s">
        <v>6049</v>
      </c>
      <c r="C3970">
        <v>541890</v>
      </c>
      <c r="D3970" t="s">
        <v>339</v>
      </c>
      <c r="E3970" t="s">
        <v>325</v>
      </c>
    </row>
    <row r="3971" spans="2:5">
      <c r="B3971" t="s">
        <v>6050</v>
      </c>
      <c r="C3971">
        <v>538920</v>
      </c>
      <c r="D3971" t="s">
        <v>339</v>
      </c>
      <c r="E3971" t="s">
        <v>361</v>
      </c>
    </row>
    <row r="3972" spans="2:5">
      <c r="B3972" t="s">
        <v>6051</v>
      </c>
      <c r="C3972" t="s">
        <v>339</v>
      </c>
      <c r="D3972" t="s">
        <v>6052</v>
      </c>
      <c r="E3972" t="s">
        <v>430</v>
      </c>
    </row>
    <row r="3973" spans="2:5">
      <c r="B3973" t="s">
        <v>6053</v>
      </c>
      <c r="C3973" t="s">
        <v>339</v>
      </c>
      <c r="D3973" t="s">
        <v>6052</v>
      </c>
      <c r="E3973" t="s">
        <v>430</v>
      </c>
    </row>
    <row r="3974" spans="2:5">
      <c r="B3974" t="s">
        <v>6054</v>
      </c>
      <c r="C3974">
        <v>524727</v>
      </c>
      <c r="D3974" t="s">
        <v>339</v>
      </c>
      <c r="E3974" t="s">
        <v>377</v>
      </c>
    </row>
    <row r="3975" spans="2:5">
      <c r="B3975" t="s">
        <v>6055</v>
      </c>
      <c r="C3975">
        <v>531370</v>
      </c>
      <c r="D3975" t="s">
        <v>339</v>
      </c>
      <c r="E3975" t="s">
        <v>325</v>
      </c>
    </row>
    <row r="3976" spans="2:5">
      <c r="B3976" t="s">
        <v>6056</v>
      </c>
      <c r="C3976">
        <v>540211</v>
      </c>
      <c r="D3976" t="s">
        <v>339</v>
      </c>
      <c r="E3976" t="s">
        <v>356</v>
      </c>
    </row>
    <row r="3977" spans="2:5">
      <c r="B3977" t="s">
        <v>6057</v>
      </c>
      <c r="C3977">
        <v>534425</v>
      </c>
      <c r="D3977" t="s">
        <v>6058</v>
      </c>
      <c r="E3977" t="s">
        <v>828</v>
      </c>
    </row>
    <row r="3978" spans="2:5">
      <c r="B3978" t="s">
        <v>6059</v>
      </c>
      <c r="C3978">
        <v>513687</v>
      </c>
      <c r="D3978" t="s">
        <v>339</v>
      </c>
      <c r="E3978" t="s">
        <v>694</v>
      </c>
    </row>
    <row r="3979" spans="2:5">
      <c r="B3979" t="s">
        <v>6060</v>
      </c>
      <c r="C3979" t="s">
        <v>339</v>
      </c>
      <c r="D3979" t="s">
        <v>6061</v>
      </c>
      <c r="E3979" t="s">
        <v>350</v>
      </c>
    </row>
    <row r="3980" spans="2:5">
      <c r="B3980" t="s">
        <v>6062</v>
      </c>
      <c r="C3980">
        <v>531982</v>
      </c>
      <c r="D3980" t="s">
        <v>339</v>
      </c>
      <c r="E3980" t="s">
        <v>419</v>
      </c>
    </row>
    <row r="3981" spans="2:5">
      <c r="B3981" t="s">
        <v>6063</v>
      </c>
      <c r="C3981">
        <v>512153</v>
      </c>
      <c r="D3981" t="s">
        <v>339</v>
      </c>
      <c r="E3981" t="s">
        <v>760</v>
      </c>
    </row>
    <row r="3982" spans="2:5">
      <c r="B3982" t="s">
        <v>6064</v>
      </c>
      <c r="C3982">
        <v>512291</v>
      </c>
      <c r="D3982" t="s">
        <v>339</v>
      </c>
      <c r="E3982" t="s">
        <v>322</v>
      </c>
    </row>
    <row r="3983" spans="2:5">
      <c r="B3983" t="s">
        <v>6065</v>
      </c>
      <c r="C3983">
        <v>517166</v>
      </c>
      <c r="D3983" t="s">
        <v>339</v>
      </c>
      <c r="E3983" t="s">
        <v>881</v>
      </c>
    </row>
    <row r="3984" spans="2:5">
      <c r="B3984" t="s">
        <v>6066</v>
      </c>
      <c r="C3984">
        <v>542337</v>
      </c>
      <c r="D3984" t="s">
        <v>6067</v>
      </c>
      <c r="E3984" t="s">
        <v>508</v>
      </c>
    </row>
    <row r="3985" spans="2:5">
      <c r="B3985" t="s">
        <v>6068</v>
      </c>
      <c r="C3985" t="s">
        <v>339</v>
      </c>
      <c r="D3985" t="s">
        <v>6069</v>
      </c>
      <c r="E3985" t="s">
        <v>508</v>
      </c>
    </row>
    <row r="3986" spans="2:5">
      <c r="B3986" t="s">
        <v>6070</v>
      </c>
      <c r="C3986">
        <v>526161</v>
      </c>
      <c r="D3986" t="s">
        <v>339</v>
      </c>
      <c r="E3986" t="s">
        <v>453</v>
      </c>
    </row>
    <row r="3987" spans="2:5">
      <c r="B3987" t="s">
        <v>6071</v>
      </c>
      <c r="C3987">
        <v>521082</v>
      </c>
      <c r="D3987" t="s">
        <v>6072</v>
      </c>
      <c r="E3987" t="s">
        <v>354</v>
      </c>
    </row>
    <row r="3988" spans="2:5">
      <c r="B3988" t="s">
        <v>6073</v>
      </c>
      <c r="C3988">
        <v>526827</v>
      </c>
      <c r="D3988" t="s">
        <v>339</v>
      </c>
      <c r="E3988" t="s">
        <v>453</v>
      </c>
    </row>
    <row r="3989" spans="2:5">
      <c r="B3989" t="s">
        <v>6074</v>
      </c>
      <c r="C3989">
        <v>517214</v>
      </c>
      <c r="D3989" t="s">
        <v>6075</v>
      </c>
      <c r="E3989" t="s">
        <v>485</v>
      </c>
    </row>
    <row r="3990" spans="2:5">
      <c r="B3990" t="s">
        <v>6076</v>
      </c>
      <c r="C3990">
        <v>500285</v>
      </c>
      <c r="D3990" t="s">
        <v>339</v>
      </c>
      <c r="E3990" t="s">
        <v>2476</v>
      </c>
    </row>
    <row r="3991" spans="2:5">
      <c r="B3991" t="s">
        <v>6077</v>
      </c>
      <c r="C3991">
        <v>540084</v>
      </c>
      <c r="D3991" t="s">
        <v>339</v>
      </c>
      <c r="E3991" t="s">
        <v>342</v>
      </c>
    </row>
    <row r="3992" spans="2:5">
      <c r="B3992" t="s">
        <v>6078</v>
      </c>
      <c r="C3992">
        <v>532651</v>
      </c>
      <c r="D3992" t="s">
        <v>6079</v>
      </c>
      <c r="E3992" t="s">
        <v>453</v>
      </c>
    </row>
    <row r="3993" spans="2:5">
      <c r="B3993" t="s">
        <v>6080</v>
      </c>
      <c r="C3993">
        <v>513414</v>
      </c>
      <c r="D3993" t="s">
        <v>6081</v>
      </c>
      <c r="E3993" t="s">
        <v>371</v>
      </c>
    </row>
    <row r="3994" spans="2:5">
      <c r="B3994" t="s">
        <v>6082</v>
      </c>
      <c r="C3994">
        <v>500402</v>
      </c>
      <c r="D3994" t="s">
        <v>6083</v>
      </c>
      <c r="E3994" t="s">
        <v>737</v>
      </c>
    </row>
    <row r="3995" spans="2:5">
      <c r="B3995" t="s">
        <v>6084</v>
      </c>
      <c r="C3995">
        <v>539221</v>
      </c>
      <c r="D3995" t="s">
        <v>339</v>
      </c>
      <c r="E3995" t="s">
        <v>354</v>
      </c>
    </row>
    <row r="3996" spans="2:5">
      <c r="B3996" t="s">
        <v>6085</v>
      </c>
      <c r="C3996">
        <v>539221</v>
      </c>
      <c r="D3996" t="s">
        <v>339</v>
      </c>
      <c r="E3996" t="s">
        <v>354</v>
      </c>
    </row>
    <row r="3997" spans="2:5">
      <c r="B3997" t="s">
        <v>6086</v>
      </c>
      <c r="C3997">
        <v>540079</v>
      </c>
      <c r="D3997" t="s">
        <v>339</v>
      </c>
      <c r="E3997" t="s">
        <v>1258</v>
      </c>
    </row>
    <row r="3998" spans="2:5">
      <c r="B3998" t="s">
        <v>6087</v>
      </c>
      <c r="C3998">
        <v>540570</v>
      </c>
      <c r="D3998" t="s">
        <v>6088</v>
      </c>
      <c r="E3998" t="s">
        <v>5157</v>
      </c>
    </row>
    <row r="3999" spans="2:5">
      <c r="B3999" t="s">
        <v>6089</v>
      </c>
      <c r="C3999">
        <v>538402</v>
      </c>
      <c r="D3999" t="s">
        <v>339</v>
      </c>
      <c r="E3999" t="s">
        <v>356</v>
      </c>
    </row>
    <row r="4000" spans="2:5">
      <c r="B4000" t="s">
        <v>6090</v>
      </c>
      <c r="C4000">
        <v>530177</v>
      </c>
      <c r="D4000" t="s">
        <v>339</v>
      </c>
      <c r="E4000" t="s">
        <v>361</v>
      </c>
    </row>
    <row r="4001" spans="2:5">
      <c r="B4001" t="s">
        <v>6091</v>
      </c>
      <c r="C4001">
        <v>533121</v>
      </c>
      <c r="D4001" t="s">
        <v>6092</v>
      </c>
      <c r="E4001" t="s">
        <v>325</v>
      </c>
    </row>
    <row r="4002" spans="2:5">
      <c r="B4002" t="s">
        <v>6093</v>
      </c>
      <c r="C4002">
        <v>526532</v>
      </c>
      <c r="D4002" t="s">
        <v>339</v>
      </c>
      <c r="E4002" t="s">
        <v>387</v>
      </c>
    </row>
    <row r="4003" spans="2:5">
      <c r="B4003" t="s">
        <v>6094</v>
      </c>
      <c r="C4003">
        <v>526532</v>
      </c>
      <c r="D4003" t="s">
        <v>339</v>
      </c>
      <c r="E4003" t="s">
        <v>387</v>
      </c>
    </row>
    <row r="4004" spans="2:5">
      <c r="B4004" t="s">
        <v>6095</v>
      </c>
      <c r="C4004">
        <v>530037</v>
      </c>
      <c r="D4004" t="s">
        <v>339</v>
      </c>
      <c r="E4004" t="s">
        <v>354</v>
      </c>
    </row>
    <row r="4005" spans="2:5">
      <c r="B4005" t="s">
        <v>6096</v>
      </c>
      <c r="C4005">
        <v>532842</v>
      </c>
      <c r="D4005" t="s">
        <v>6097</v>
      </c>
      <c r="E4005" t="s">
        <v>387</v>
      </c>
    </row>
    <row r="4006" spans="2:5">
      <c r="B4006" t="s">
        <v>6098</v>
      </c>
      <c r="C4006">
        <v>514248</v>
      </c>
      <c r="D4006" t="s">
        <v>339</v>
      </c>
      <c r="E4006" t="s">
        <v>387</v>
      </c>
    </row>
    <row r="4007" spans="2:5">
      <c r="B4007" t="s">
        <v>6099</v>
      </c>
      <c r="C4007">
        <v>535601</v>
      </c>
      <c r="D4007" t="s">
        <v>6100</v>
      </c>
      <c r="E4007" t="s">
        <v>765</v>
      </c>
    </row>
    <row r="4008" spans="2:5">
      <c r="B4008" t="s">
        <v>6101</v>
      </c>
      <c r="C4008">
        <v>523756</v>
      </c>
      <c r="D4008" t="s">
        <v>6102</v>
      </c>
      <c r="E4008" t="s">
        <v>356</v>
      </c>
    </row>
    <row r="4009" spans="2:5">
      <c r="B4009" t="s">
        <v>6103</v>
      </c>
      <c r="C4009">
        <v>539217</v>
      </c>
      <c r="D4009" t="s">
        <v>339</v>
      </c>
      <c r="E4009" t="s">
        <v>359</v>
      </c>
    </row>
    <row r="4010" spans="2:5">
      <c r="B4010" t="s">
        <v>6104</v>
      </c>
      <c r="C4010">
        <v>503806</v>
      </c>
      <c r="D4010" t="s">
        <v>6105</v>
      </c>
      <c r="E4010" t="s">
        <v>354</v>
      </c>
    </row>
    <row r="4011" spans="2:5">
      <c r="B4011" t="s">
        <v>6106</v>
      </c>
      <c r="C4011">
        <v>534680</v>
      </c>
      <c r="D4011" t="s">
        <v>339</v>
      </c>
      <c r="E4011" t="s">
        <v>397</v>
      </c>
    </row>
    <row r="4012" spans="2:5">
      <c r="B4012" t="s">
        <v>6107</v>
      </c>
      <c r="C4012">
        <v>530943</v>
      </c>
      <c r="D4012" t="s">
        <v>6108</v>
      </c>
      <c r="E4012" t="s">
        <v>342</v>
      </c>
    </row>
    <row r="4013" spans="2:5">
      <c r="B4013" t="s">
        <v>6109</v>
      </c>
      <c r="C4013">
        <v>538863</v>
      </c>
      <c r="D4013" t="s">
        <v>339</v>
      </c>
      <c r="E4013" t="s">
        <v>356</v>
      </c>
    </row>
    <row r="4014" spans="2:5">
      <c r="B4014" t="s">
        <v>6110</v>
      </c>
      <c r="C4014">
        <v>531322</v>
      </c>
      <c r="D4014" t="s">
        <v>6111</v>
      </c>
      <c r="E4014" t="s">
        <v>549</v>
      </c>
    </row>
    <row r="4015" spans="2:5">
      <c r="B4015" t="s">
        <v>6112</v>
      </c>
      <c r="C4015">
        <v>514442</v>
      </c>
      <c r="D4015" t="s">
        <v>339</v>
      </c>
      <c r="E4015" t="s">
        <v>459</v>
      </c>
    </row>
    <row r="4016" spans="2:5">
      <c r="B4016" t="s">
        <v>6113</v>
      </c>
      <c r="C4016">
        <v>539363</v>
      </c>
      <c r="D4016" t="s">
        <v>339</v>
      </c>
      <c r="E4016" t="s">
        <v>425</v>
      </c>
    </row>
    <row r="4017" spans="2:5">
      <c r="B4017" t="s">
        <v>6114</v>
      </c>
      <c r="C4017">
        <v>539363</v>
      </c>
      <c r="D4017" t="s">
        <v>339</v>
      </c>
      <c r="E4017" t="s">
        <v>425</v>
      </c>
    </row>
    <row r="4018" spans="2:5">
      <c r="B4018" t="s">
        <v>6115</v>
      </c>
      <c r="C4018" t="s">
        <v>339</v>
      </c>
      <c r="D4018" t="s">
        <v>6116</v>
      </c>
      <c r="E4018" t="s">
        <v>350</v>
      </c>
    </row>
    <row r="4019" spans="2:5">
      <c r="B4019" t="s">
        <v>6117</v>
      </c>
      <c r="C4019">
        <v>521161</v>
      </c>
      <c r="D4019" t="s">
        <v>339</v>
      </c>
      <c r="E4019" t="s">
        <v>354</v>
      </c>
    </row>
    <row r="4020" spans="2:5">
      <c r="B4020" t="s">
        <v>6118</v>
      </c>
      <c r="C4020">
        <v>521234</v>
      </c>
      <c r="D4020" t="s">
        <v>339</v>
      </c>
      <c r="E4020" t="s">
        <v>354</v>
      </c>
    </row>
    <row r="4021" spans="2:5">
      <c r="B4021" t="s">
        <v>6119</v>
      </c>
      <c r="C4021">
        <v>521178</v>
      </c>
      <c r="D4021" t="s">
        <v>339</v>
      </c>
      <c r="E4021" t="s">
        <v>354</v>
      </c>
    </row>
    <row r="4022" spans="2:5">
      <c r="B4022" t="s">
        <v>6120</v>
      </c>
      <c r="C4022">
        <v>515081</v>
      </c>
      <c r="D4022" t="s">
        <v>339</v>
      </c>
      <c r="E4022" t="s">
        <v>867</v>
      </c>
    </row>
    <row r="4023" spans="2:5">
      <c r="B4023" t="s">
        <v>6121</v>
      </c>
      <c r="C4023">
        <v>513605</v>
      </c>
      <c r="D4023" t="s">
        <v>6122</v>
      </c>
      <c r="E4023" t="s">
        <v>662</v>
      </c>
    </row>
    <row r="4024" spans="2:5">
      <c r="B4024" t="s">
        <v>6123</v>
      </c>
      <c r="C4024">
        <v>523222</v>
      </c>
      <c r="D4024" t="s">
        <v>339</v>
      </c>
      <c r="E4024" t="s">
        <v>478</v>
      </c>
    </row>
    <row r="4025" spans="2:5">
      <c r="B4025" t="s">
        <v>6124</v>
      </c>
      <c r="C4025">
        <v>536799</v>
      </c>
      <c r="D4025" t="s">
        <v>339</v>
      </c>
      <c r="E4025" t="s">
        <v>356</v>
      </c>
    </row>
    <row r="4026" spans="2:5">
      <c r="B4026" t="s">
        <v>6125</v>
      </c>
      <c r="C4026">
        <v>533569</v>
      </c>
      <c r="D4026" t="s">
        <v>6126</v>
      </c>
      <c r="E4026" t="s">
        <v>453</v>
      </c>
    </row>
    <row r="4027" spans="2:5">
      <c r="B4027" t="s">
        <v>6127</v>
      </c>
      <c r="C4027">
        <v>540914</v>
      </c>
      <c r="D4027" t="s">
        <v>339</v>
      </c>
      <c r="E4027" t="s">
        <v>361</v>
      </c>
    </row>
    <row r="4028" spans="2:5">
      <c r="B4028" t="s">
        <v>6128</v>
      </c>
      <c r="C4028">
        <v>524636</v>
      </c>
      <c r="D4028" t="s">
        <v>339</v>
      </c>
      <c r="E4028" t="s">
        <v>377</v>
      </c>
    </row>
    <row r="4029" spans="2:5">
      <c r="B4029" t="s">
        <v>6129</v>
      </c>
      <c r="C4029">
        <v>530821</v>
      </c>
      <c r="D4029" t="s">
        <v>339</v>
      </c>
      <c r="E4029" t="s">
        <v>425</v>
      </c>
    </row>
    <row r="4030" spans="2:5">
      <c r="B4030" t="s">
        <v>6130</v>
      </c>
      <c r="C4030">
        <v>539026</v>
      </c>
      <c r="D4030" t="s">
        <v>339</v>
      </c>
      <c r="E4030" t="s">
        <v>322</v>
      </c>
    </row>
    <row r="4031" spans="2:5">
      <c r="B4031" t="s">
        <v>6131</v>
      </c>
      <c r="C4031">
        <v>531723</v>
      </c>
      <c r="D4031" t="s">
        <v>6132</v>
      </c>
      <c r="E4031" t="s">
        <v>322</v>
      </c>
    </row>
    <row r="4032" spans="2:5">
      <c r="B4032" t="s">
        <v>6131</v>
      </c>
      <c r="C4032">
        <v>570005</v>
      </c>
      <c r="D4032" t="s">
        <v>6133</v>
      </c>
      <c r="E4032" t="s">
        <v>322</v>
      </c>
    </row>
    <row r="4033" spans="2:5">
      <c r="B4033" t="s">
        <v>6134</v>
      </c>
      <c r="C4033">
        <v>504180</v>
      </c>
      <c r="D4033" t="s">
        <v>339</v>
      </c>
      <c r="E4033" t="s">
        <v>356</v>
      </c>
    </row>
    <row r="4034" spans="2:5">
      <c r="B4034" t="s">
        <v>6135</v>
      </c>
      <c r="C4034">
        <v>511700</v>
      </c>
      <c r="D4034" t="s">
        <v>339</v>
      </c>
      <c r="E4034" t="s">
        <v>356</v>
      </c>
    </row>
    <row r="4035" spans="2:5">
      <c r="B4035" t="s">
        <v>6136</v>
      </c>
      <c r="C4035">
        <v>580001</v>
      </c>
      <c r="D4035" t="s">
        <v>339</v>
      </c>
      <c r="E4035" t="s">
        <v>657</v>
      </c>
    </row>
    <row r="4036" spans="2:5">
      <c r="B4036" t="s">
        <v>6137</v>
      </c>
      <c r="C4036">
        <v>530017</v>
      </c>
      <c r="D4036" t="s">
        <v>6138</v>
      </c>
      <c r="E4036" t="s">
        <v>387</v>
      </c>
    </row>
    <row r="4037" spans="2:5">
      <c r="B4037" t="s">
        <v>6139</v>
      </c>
      <c r="C4037">
        <v>523351</v>
      </c>
      <c r="D4037" t="s">
        <v>339</v>
      </c>
      <c r="E4037" t="s">
        <v>499</v>
      </c>
    </row>
    <row r="4038" spans="2:5">
      <c r="B4038" t="s">
        <v>6140</v>
      </c>
      <c r="C4038">
        <v>523351</v>
      </c>
      <c r="D4038" t="s">
        <v>339</v>
      </c>
      <c r="E4038" t="s">
        <v>499</v>
      </c>
    </row>
    <row r="4039" spans="2:5">
      <c r="B4039" t="s">
        <v>6141</v>
      </c>
      <c r="C4039">
        <v>526231</v>
      </c>
      <c r="D4039" t="s">
        <v>339</v>
      </c>
      <c r="E4039" t="s">
        <v>387</v>
      </c>
    </row>
    <row r="4040" spans="2:5">
      <c r="B4040" t="s">
        <v>6142</v>
      </c>
      <c r="C4040">
        <v>530931</v>
      </c>
      <c r="D4040" t="s">
        <v>339</v>
      </c>
      <c r="E4040" t="s">
        <v>534</v>
      </c>
    </row>
    <row r="4041" spans="2:5">
      <c r="B4041" t="s">
        <v>6143</v>
      </c>
      <c r="C4041">
        <v>530931</v>
      </c>
      <c r="D4041" t="s">
        <v>339</v>
      </c>
      <c r="E4041" t="s">
        <v>534</v>
      </c>
    </row>
    <row r="4042" spans="2:5">
      <c r="B4042" t="s">
        <v>6144</v>
      </c>
      <c r="C4042">
        <v>506105</v>
      </c>
      <c r="D4042" t="s">
        <v>339</v>
      </c>
      <c r="E4042" t="s">
        <v>359</v>
      </c>
    </row>
    <row r="4043" spans="2:5">
      <c r="B4043" t="s">
        <v>6145</v>
      </c>
      <c r="C4043">
        <v>540575</v>
      </c>
      <c r="D4043" t="s">
        <v>6146</v>
      </c>
      <c r="E4043" t="s">
        <v>352</v>
      </c>
    </row>
    <row r="4044" spans="2:5">
      <c r="B4044" t="s">
        <v>6147</v>
      </c>
      <c r="C4044">
        <v>539255</v>
      </c>
      <c r="D4044" t="s">
        <v>339</v>
      </c>
      <c r="E4044" t="s">
        <v>382</v>
      </c>
    </row>
    <row r="4045" spans="2:5">
      <c r="B4045" t="s">
        <v>6148</v>
      </c>
      <c r="C4045">
        <v>516022</v>
      </c>
      <c r="D4045" t="s">
        <v>6149</v>
      </c>
      <c r="E4045" t="s">
        <v>333</v>
      </c>
    </row>
    <row r="4046" spans="2:5">
      <c r="B4046" t="s">
        <v>6150</v>
      </c>
      <c r="C4046">
        <v>531616</v>
      </c>
      <c r="D4046" t="s">
        <v>339</v>
      </c>
      <c r="E4046" t="s">
        <v>325</v>
      </c>
    </row>
    <row r="4047" spans="2:5">
      <c r="B4047" t="s">
        <v>6151</v>
      </c>
      <c r="C4047">
        <v>538733</v>
      </c>
      <c r="D4047" t="s">
        <v>339</v>
      </c>
      <c r="E4047" t="s">
        <v>2586</v>
      </c>
    </row>
    <row r="4048" spans="2:5">
      <c r="B4048" t="s">
        <v>6152</v>
      </c>
      <c r="C4048">
        <v>517548</v>
      </c>
      <c r="D4048" t="s">
        <v>339</v>
      </c>
      <c r="E4048" t="s">
        <v>361</v>
      </c>
    </row>
    <row r="4049" spans="2:5">
      <c r="B4049" t="s">
        <v>6153</v>
      </c>
      <c r="C4049">
        <v>520155</v>
      </c>
      <c r="D4049" t="s">
        <v>339</v>
      </c>
      <c r="E4049" t="s">
        <v>475</v>
      </c>
    </row>
    <row r="4050" spans="2:5">
      <c r="B4050" t="s">
        <v>6154</v>
      </c>
      <c r="C4050">
        <v>500112</v>
      </c>
      <c r="D4050" t="s">
        <v>6155</v>
      </c>
      <c r="E4050" t="s">
        <v>657</v>
      </c>
    </row>
    <row r="4051" spans="2:5">
      <c r="B4051" t="s">
        <v>6156</v>
      </c>
      <c r="C4051">
        <v>500113</v>
      </c>
      <c r="D4051" t="s">
        <v>6157</v>
      </c>
      <c r="E4051" t="s">
        <v>371</v>
      </c>
    </row>
    <row r="4052" spans="2:5">
      <c r="B4052" t="s">
        <v>6158</v>
      </c>
      <c r="C4052">
        <v>500113</v>
      </c>
      <c r="D4052" t="s">
        <v>6157</v>
      </c>
      <c r="E4052" t="s">
        <v>371</v>
      </c>
    </row>
    <row r="4053" spans="2:5">
      <c r="B4053" t="s">
        <v>6159</v>
      </c>
      <c r="C4053" t="s">
        <v>339</v>
      </c>
      <c r="D4053" t="s">
        <v>6160</v>
      </c>
      <c r="E4053" t="s">
        <v>350</v>
      </c>
    </row>
    <row r="4054" spans="2:5">
      <c r="B4054" t="s">
        <v>6161</v>
      </c>
      <c r="C4054">
        <v>534748</v>
      </c>
      <c r="D4054" t="s">
        <v>6162</v>
      </c>
      <c r="E4054" t="s">
        <v>371</v>
      </c>
    </row>
    <row r="4055" spans="2:5">
      <c r="B4055" t="s">
        <v>6163</v>
      </c>
      <c r="C4055">
        <v>534748</v>
      </c>
      <c r="D4055" t="s">
        <v>6162</v>
      </c>
      <c r="E4055" t="s">
        <v>371</v>
      </c>
    </row>
    <row r="4056" spans="2:5">
      <c r="B4056" t="s">
        <v>6164</v>
      </c>
      <c r="C4056">
        <v>513173</v>
      </c>
      <c r="D4056" t="s">
        <v>339</v>
      </c>
      <c r="E4056" t="s">
        <v>425</v>
      </c>
    </row>
    <row r="4057" spans="2:5">
      <c r="B4057" t="s">
        <v>6165</v>
      </c>
      <c r="C4057">
        <v>504717</v>
      </c>
      <c r="D4057" t="s">
        <v>6166</v>
      </c>
      <c r="E4057" t="s">
        <v>4213</v>
      </c>
    </row>
    <row r="4058" spans="2:5">
      <c r="B4058" t="s">
        <v>6167</v>
      </c>
      <c r="C4058">
        <v>513262</v>
      </c>
      <c r="D4058" t="s">
        <v>6168</v>
      </c>
      <c r="E4058" t="s">
        <v>694</v>
      </c>
    </row>
    <row r="4059" spans="2:5">
      <c r="B4059" t="s">
        <v>6169</v>
      </c>
      <c r="C4059">
        <v>513517</v>
      </c>
      <c r="D4059" t="s">
        <v>339</v>
      </c>
      <c r="E4059" t="s">
        <v>1258</v>
      </c>
    </row>
    <row r="4060" spans="2:5">
      <c r="B4060" t="s">
        <v>6170</v>
      </c>
      <c r="C4060">
        <v>500399</v>
      </c>
      <c r="D4060" t="s">
        <v>339</v>
      </c>
      <c r="E4060" t="s">
        <v>371</v>
      </c>
    </row>
    <row r="4061" spans="2:5">
      <c r="B4061" t="s">
        <v>6171</v>
      </c>
      <c r="C4061">
        <v>533316</v>
      </c>
      <c r="D4061" t="s">
        <v>6172</v>
      </c>
      <c r="E4061" t="s">
        <v>505</v>
      </c>
    </row>
    <row r="4062" spans="2:5">
      <c r="B4062" t="s">
        <v>6173</v>
      </c>
      <c r="C4062">
        <v>526071</v>
      </c>
      <c r="D4062" t="s">
        <v>339</v>
      </c>
      <c r="E4062" t="s">
        <v>322</v>
      </c>
    </row>
    <row r="4063" spans="2:5">
      <c r="B4063" t="s">
        <v>6174</v>
      </c>
      <c r="C4063">
        <v>526071</v>
      </c>
      <c r="D4063" t="s">
        <v>339</v>
      </c>
      <c r="E4063" t="s">
        <v>322</v>
      </c>
    </row>
    <row r="4064" spans="2:5">
      <c r="B4064" t="s">
        <v>6175</v>
      </c>
      <c r="C4064">
        <v>536738</v>
      </c>
      <c r="D4064" t="s">
        <v>339</v>
      </c>
      <c r="E4064" t="s">
        <v>322</v>
      </c>
    </row>
    <row r="4065" spans="2:5">
      <c r="B4065" t="s">
        <v>6176</v>
      </c>
      <c r="C4065">
        <v>531509</v>
      </c>
      <c r="D4065" t="s">
        <v>339</v>
      </c>
      <c r="E4065" t="s">
        <v>322</v>
      </c>
    </row>
    <row r="4066" spans="2:5">
      <c r="B4066" t="s">
        <v>6177</v>
      </c>
      <c r="C4066">
        <v>526500</v>
      </c>
      <c r="D4066" t="s">
        <v>339</v>
      </c>
      <c r="E4066" t="s">
        <v>540</v>
      </c>
    </row>
    <row r="4067" spans="2:5">
      <c r="B4067" t="s">
        <v>6178</v>
      </c>
      <c r="C4067">
        <v>508963</v>
      </c>
      <c r="D4067" t="s">
        <v>6179</v>
      </c>
      <c r="E4067" t="s">
        <v>356</v>
      </c>
    </row>
    <row r="4068" spans="2:5">
      <c r="B4068" t="s">
        <v>6180</v>
      </c>
      <c r="C4068">
        <v>531628</v>
      </c>
      <c r="D4068" t="s">
        <v>339</v>
      </c>
      <c r="E4068" t="s">
        <v>354</v>
      </c>
    </row>
    <row r="4069" spans="2:5">
      <c r="B4069" t="s">
        <v>6181</v>
      </c>
      <c r="C4069">
        <v>530759</v>
      </c>
      <c r="D4069" t="s">
        <v>6182</v>
      </c>
      <c r="E4069" t="s">
        <v>694</v>
      </c>
    </row>
    <row r="4070" spans="2:5">
      <c r="B4070" t="s">
        <v>6183</v>
      </c>
      <c r="C4070">
        <v>532374</v>
      </c>
      <c r="D4070" t="s">
        <v>6184</v>
      </c>
      <c r="E4070" t="s">
        <v>1285</v>
      </c>
    </row>
    <row r="4071" spans="2:5">
      <c r="B4071" t="s">
        <v>6185</v>
      </c>
      <c r="C4071">
        <v>513151</v>
      </c>
      <c r="D4071" t="s">
        <v>6186</v>
      </c>
      <c r="E4071" t="s">
        <v>354</v>
      </c>
    </row>
    <row r="4072" spans="2:5">
      <c r="B4072" t="s">
        <v>6187</v>
      </c>
      <c r="C4072">
        <v>513151</v>
      </c>
      <c r="D4072" t="s">
        <v>6188</v>
      </c>
      <c r="E4072" t="s">
        <v>354</v>
      </c>
    </row>
    <row r="4073" spans="2:5">
      <c r="B4073" t="s">
        <v>6189</v>
      </c>
      <c r="C4073">
        <v>532730</v>
      </c>
      <c r="D4073" t="s">
        <v>6190</v>
      </c>
      <c r="E4073" t="s">
        <v>354</v>
      </c>
    </row>
    <row r="4074" spans="2:5">
      <c r="B4074" t="s">
        <v>6191</v>
      </c>
      <c r="C4074">
        <v>504959</v>
      </c>
      <c r="D4074" t="s">
        <v>339</v>
      </c>
      <c r="E4074" t="s">
        <v>347</v>
      </c>
    </row>
    <row r="4075" spans="2:5">
      <c r="B4075" t="s">
        <v>6192</v>
      </c>
      <c r="C4075">
        <v>530495</v>
      </c>
      <c r="D4075" t="s">
        <v>339</v>
      </c>
      <c r="E4075" t="s">
        <v>361</v>
      </c>
    </row>
    <row r="4076" spans="2:5">
      <c r="B4076" t="s">
        <v>6193</v>
      </c>
      <c r="C4076">
        <v>532531</v>
      </c>
      <c r="D4076" t="s">
        <v>6194</v>
      </c>
      <c r="E4076" t="s">
        <v>377</v>
      </c>
    </row>
    <row r="4077" spans="2:5">
      <c r="B4077" t="s">
        <v>6195</v>
      </c>
      <c r="C4077">
        <v>530611</v>
      </c>
      <c r="D4077" t="s">
        <v>339</v>
      </c>
      <c r="E4077" t="s">
        <v>459</v>
      </c>
    </row>
    <row r="4078" spans="2:5">
      <c r="B4078" t="s">
        <v>6196</v>
      </c>
      <c r="C4078">
        <v>526951</v>
      </c>
      <c r="D4078" t="s">
        <v>339</v>
      </c>
      <c r="E4078" t="s">
        <v>834</v>
      </c>
    </row>
    <row r="4079" spans="2:5">
      <c r="B4079" t="s">
        <v>6197</v>
      </c>
      <c r="C4079" t="s">
        <v>339</v>
      </c>
      <c r="D4079" t="s">
        <v>6198</v>
      </c>
      <c r="E4079" t="s">
        <v>834</v>
      </c>
    </row>
    <row r="4080" spans="2:5">
      <c r="B4080" t="s">
        <v>6199</v>
      </c>
      <c r="C4080">
        <v>532348</v>
      </c>
      <c r="D4080" t="s">
        <v>339</v>
      </c>
      <c r="E4080" t="s">
        <v>432</v>
      </c>
    </row>
    <row r="4081" spans="2:5">
      <c r="B4081" t="s">
        <v>6200</v>
      </c>
      <c r="C4081">
        <v>530231</v>
      </c>
      <c r="D4081" t="s">
        <v>339</v>
      </c>
      <c r="E4081" t="s">
        <v>354</v>
      </c>
    </row>
    <row r="4082" spans="2:5">
      <c r="B4082" t="s">
        <v>6201</v>
      </c>
      <c r="C4082">
        <v>517168</v>
      </c>
      <c r="D4082" t="s">
        <v>6202</v>
      </c>
      <c r="E4082" t="s">
        <v>694</v>
      </c>
    </row>
    <row r="4083" spans="2:5">
      <c r="B4083" t="s">
        <v>6203</v>
      </c>
      <c r="C4083">
        <v>511024</v>
      </c>
      <c r="D4083" t="s">
        <v>339</v>
      </c>
      <c r="E4083" t="s">
        <v>760</v>
      </c>
    </row>
    <row r="4084" spans="2:5">
      <c r="B4084" t="s">
        <v>6204</v>
      </c>
      <c r="C4084">
        <v>538714</v>
      </c>
      <c r="D4084" t="s">
        <v>339</v>
      </c>
      <c r="E4084" t="s">
        <v>356</v>
      </c>
    </row>
    <row r="4085" spans="2:5">
      <c r="B4085" t="s">
        <v>6205</v>
      </c>
      <c r="C4085">
        <v>506003</v>
      </c>
      <c r="D4085" t="s">
        <v>339</v>
      </c>
      <c r="E4085" t="s">
        <v>644</v>
      </c>
    </row>
    <row r="4086" spans="2:5">
      <c r="B4086" t="s">
        <v>6206</v>
      </c>
      <c r="C4086">
        <v>506655</v>
      </c>
      <c r="D4086" t="s">
        <v>6207</v>
      </c>
      <c r="E4086" t="s">
        <v>499</v>
      </c>
    </row>
    <row r="4087" spans="2:5">
      <c r="B4087" t="s">
        <v>6208</v>
      </c>
      <c r="C4087">
        <v>521113</v>
      </c>
      <c r="D4087" t="s">
        <v>339</v>
      </c>
      <c r="E4087" t="s">
        <v>354</v>
      </c>
    </row>
    <row r="4088" spans="2:5">
      <c r="B4088" t="s">
        <v>6209</v>
      </c>
      <c r="C4088">
        <v>540318</v>
      </c>
      <c r="D4088" t="s">
        <v>339</v>
      </c>
      <c r="E4088" t="s">
        <v>354</v>
      </c>
    </row>
    <row r="4089" spans="2:5">
      <c r="B4089" t="s">
        <v>6210</v>
      </c>
      <c r="C4089">
        <v>511654</v>
      </c>
      <c r="D4089" t="s">
        <v>339</v>
      </c>
      <c r="E4089" t="s">
        <v>356</v>
      </c>
    </row>
    <row r="4090" spans="2:5">
      <c r="B4090" t="s">
        <v>6211</v>
      </c>
      <c r="C4090">
        <v>542683</v>
      </c>
      <c r="D4090" t="s">
        <v>6212</v>
      </c>
      <c r="E4090" t="s">
        <v>485</v>
      </c>
    </row>
    <row r="4091" spans="2:5">
      <c r="B4091" t="s">
        <v>6213</v>
      </c>
      <c r="C4091">
        <v>539117</v>
      </c>
      <c r="D4091" t="s">
        <v>339</v>
      </c>
      <c r="E4091" t="s">
        <v>356</v>
      </c>
    </row>
    <row r="4092" spans="2:5">
      <c r="B4092" t="s">
        <v>6214</v>
      </c>
      <c r="C4092">
        <v>517224</v>
      </c>
      <c r="D4092" t="s">
        <v>6215</v>
      </c>
      <c r="E4092" t="s">
        <v>1258</v>
      </c>
    </row>
    <row r="4093" spans="2:5">
      <c r="B4093" t="s">
        <v>6216</v>
      </c>
      <c r="C4093">
        <v>524542</v>
      </c>
      <c r="D4093" t="s">
        <v>339</v>
      </c>
      <c r="E4093" t="s">
        <v>537</v>
      </c>
    </row>
    <row r="4094" spans="2:5">
      <c r="B4094" t="s">
        <v>6217</v>
      </c>
      <c r="C4094">
        <v>508969</v>
      </c>
      <c r="D4094" t="s">
        <v>339</v>
      </c>
      <c r="E4094" t="s">
        <v>356</v>
      </c>
    </row>
    <row r="4095" spans="2:5">
      <c r="B4095" t="s">
        <v>6218</v>
      </c>
      <c r="C4095">
        <v>530419</v>
      </c>
      <c r="D4095" t="s">
        <v>339</v>
      </c>
      <c r="E4095" t="s">
        <v>322</v>
      </c>
    </row>
    <row r="4096" spans="2:5">
      <c r="B4096" t="s">
        <v>6219</v>
      </c>
      <c r="C4096">
        <v>514211</v>
      </c>
      <c r="D4096" t="s">
        <v>6220</v>
      </c>
      <c r="E4096" t="s">
        <v>354</v>
      </c>
    </row>
    <row r="4097" spans="2:5">
      <c r="B4097" t="s">
        <v>6221</v>
      </c>
      <c r="C4097">
        <v>530445</v>
      </c>
      <c r="D4097" t="s">
        <v>339</v>
      </c>
      <c r="E4097" t="s">
        <v>361</v>
      </c>
    </row>
    <row r="4098" spans="2:5">
      <c r="B4098" t="s">
        <v>6222</v>
      </c>
      <c r="C4098" t="s">
        <v>339</v>
      </c>
      <c r="D4098" t="s">
        <v>6223</v>
      </c>
      <c r="E4098" t="s">
        <v>350</v>
      </c>
    </row>
    <row r="4099" spans="2:5">
      <c r="B4099" t="s">
        <v>6224</v>
      </c>
      <c r="C4099">
        <v>533306</v>
      </c>
      <c r="D4099" t="s">
        <v>6225</v>
      </c>
      <c r="E4099" t="s">
        <v>359</v>
      </c>
    </row>
    <row r="4100" spans="2:5">
      <c r="B4100" t="s">
        <v>6226</v>
      </c>
      <c r="C4100">
        <v>532154</v>
      </c>
      <c r="D4100" t="s">
        <v>339</v>
      </c>
      <c r="E4100" t="s">
        <v>760</v>
      </c>
    </row>
    <row r="4101" spans="2:5">
      <c r="B4101" t="s">
        <v>6227</v>
      </c>
      <c r="C4101">
        <v>532872</v>
      </c>
      <c r="D4101" t="s">
        <v>6228</v>
      </c>
      <c r="E4101" t="s">
        <v>377</v>
      </c>
    </row>
    <row r="4102" spans="2:5">
      <c r="B4102" t="s">
        <v>6229</v>
      </c>
      <c r="C4102">
        <v>524715</v>
      </c>
      <c r="D4102" t="s">
        <v>6230</v>
      </c>
      <c r="E4102" t="s">
        <v>377</v>
      </c>
    </row>
    <row r="4103" spans="2:5">
      <c r="B4103" t="s">
        <v>6231</v>
      </c>
      <c r="C4103">
        <v>542025</v>
      </c>
      <c r="D4103" t="s">
        <v>339</v>
      </c>
      <c r="E4103" t="s">
        <v>361</v>
      </c>
    </row>
    <row r="4104" spans="2:5">
      <c r="B4104" t="s">
        <v>6232</v>
      </c>
      <c r="C4104">
        <v>517403</v>
      </c>
      <c r="D4104" t="s">
        <v>339</v>
      </c>
      <c r="E4104" t="s">
        <v>478</v>
      </c>
    </row>
    <row r="4105" spans="2:5">
      <c r="B4105" t="s">
        <v>6233</v>
      </c>
      <c r="C4105">
        <v>517403</v>
      </c>
      <c r="D4105" t="s">
        <v>339</v>
      </c>
      <c r="E4105" t="s">
        <v>478</v>
      </c>
    </row>
    <row r="4106" spans="2:5">
      <c r="B4106" t="s">
        <v>6234</v>
      </c>
      <c r="C4106">
        <v>531752</v>
      </c>
      <c r="D4106" t="s">
        <v>339</v>
      </c>
      <c r="E4106" t="s">
        <v>361</v>
      </c>
    </row>
    <row r="4107" spans="2:5">
      <c r="B4107" t="s">
        <v>6235</v>
      </c>
      <c r="C4107">
        <v>532733</v>
      </c>
      <c r="D4107" t="s">
        <v>6236</v>
      </c>
      <c r="E4107" t="s">
        <v>1077</v>
      </c>
    </row>
    <row r="4108" spans="2:5">
      <c r="B4108" t="s">
        <v>6237</v>
      </c>
      <c r="C4108">
        <v>539526</v>
      </c>
      <c r="D4108" t="s">
        <v>339</v>
      </c>
      <c r="E4108" t="s">
        <v>373</v>
      </c>
    </row>
    <row r="4109" spans="2:5">
      <c r="B4109" t="s">
        <v>6238</v>
      </c>
      <c r="C4109">
        <v>530795</v>
      </c>
      <c r="D4109" t="s">
        <v>339</v>
      </c>
      <c r="E4109" t="s">
        <v>354</v>
      </c>
    </row>
    <row r="4110" spans="2:5">
      <c r="B4110" t="s">
        <v>6239</v>
      </c>
      <c r="C4110">
        <v>590072</v>
      </c>
      <c r="D4110" t="s">
        <v>6240</v>
      </c>
      <c r="E4110" t="s">
        <v>694</v>
      </c>
    </row>
    <row r="4111" spans="2:5">
      <c r="B4111" t="s">
        <v>6241</v>
      </c>
      <c r="C4111">
        <v>520056</v>
      </c>
      <c r="D4111" t="s">
        <v>6242</v>
      </c>
      <c r="E4111" t="s">
        <v>694</v>
      </c>
    </row>
    <row r="4112" spans="2:5">
      <c r="B4112" t="s">
        <v>6243</v>
      </c>
      <c r="C4112" t="s">
        <v>339</v>
      </c>
      <c r="D4112" t="s">
        <v>6244</v>
      </c>
      <c r="E4112" t="s">
        <v>430</v>
      </c>
    </row>
    <row r="4113" spans="2:5">
      <c r="B4113" t="s">
        <v>6245</v>
      </c>
      <c r="C4113">
        <v>590071</v>
      </c>
      <c r="D4113" t="s">
        <v>6246</v>
      </c>
      <c r="E4113" t="s">
        <v>356</v>
      </c>
    </row>
    <row r="4114" spans="2:5">
      <c r="B4114" t="s">
        <v>6247</v>
      </c>
      <c r="C4114">
        <v>533166</v>
      </c>
      <c r="D4114" t="s">
        <v>6248</v>
      </c>
      <c r="E4114" t="s">
        <v>2331</v>
      </c>
    </row>
    <row r="4115" spans="2:5">
      <c r="B4115" t="s">
        <v>6249</v>
      </c>
      <c r="C4115">
        <v>500403</v>
      </c>
      <c r="D4115" t="s">
        <v>6250</v>
      </c>
      <c r="E4115" t="s">
        <v>694</v>
      </c>
    </row>
    <row r="4116" spans="2:5">
      <c r="B4116" t="s">
        <v>6251</v>
      </c>
      <c r="C4116">
        <v>500404</v>
      </c>
      <c r="D4116" t="s">
        <v>6252</v>
      </c>
      <c r="E4116" t="s">
        <v>371</v>
      </c>
    </row>
    <row r="4117" spans="2:5">
      <c r="B4117" t="s">
        <v>6253</v>
      </c>
      <c r="C4117">
        <v>531433</v>
      </c>
      <c r="D4117" t="s">
        <v>339</v>
      </c>
      <c r="E4117" t="s">
        <v>356</v>
      </c>
    </row>
    <row r="4118" spans="2:5">
      <c r="B4118" t="s">
        <v>6254</v>
      </c>
      <c r="C4118">
        <v>541799</v>
      </c>
      <c r="D4118" t="s">
        <v>339</v>
      </c>
      <c r="E4118" t="s">
        <v>1941</v>
      </c>
    </row>
    <row r="4119" spans="2:5">
      <c r="B4119" t="s">
        <v>6255</v>
      </c>
      <c r="C4119">
        <v>530953</v>
      </c>
      <c r="D4119" t="s">
        <v>339</v>
      </c>
      <c r="E4119" t="s">
        <v>399</v>
      </c>
    </row>
    <row r="4120" spans="2:5">
      <c r="B4120" t="s">
        <v>6256</v>
      </c>
      <c r="C4120">
        <v>537253</v>
      </c>
      <c r="D4120" t="s">
        <v>339</v>
      </c>
      <c r="E4120" t="s">
        <v>377</v>
      </c>
    </row>
    <row r="4121" spans="2:5">
      <c r="B4121" t="s">
        <v>6257</v>
      </c>
      <c r="C4121">
        <v>532711</v>
      </c>
      <c r="D4121" t="s">
        <v>6258</v>
      </c>
      <c r="E4121" t="s">
        <v>737</v>
      </c>
    </row>
    <row r="4122" spans="2:5">
      <c r="B4122" t="s">
        <v>6259</v>
      </c>
      <c r="C4122">
        <v>521232</v>
      </c>
      <c r="D4122" t="s">
        <v>339</v>
      </c>
      <c r="E4122" t="s">
        <v>361</v>
      </c>
    </row>
    <row r="4123" spans="2:5">
      <c r="B4123" t="s">
        <v>6260</v>
      </c>
      <c r="C4123">
        <v>523425</v>
      </c>
      <c r="D4123" t="s">
        <v>6261</v>
      </c>
      <c r="E4123" t="s">
        <v>895</v>
      </c>
    </row>
    <row r="4124" spans="2:5">
      <c r="B4124" t="s">
        <v>6262</v>
      </c>
      <c r="C4124">
        <v>501110</v>
      </c>
      <c r="D4124" t="s">
        <v>339</v>
      </c>
      <c r="E4124" t="s">
        <v>322</v>
      </c>
    </row>
    <row r="4125" spans="2:5">
      <c r="B4125" t="s">
        <v>6263</v>
      </c>
      <c r="C4125">
        <v>530845</v>
      </c>
      <c r="D4125" t="s">
        <v>339</v>
      </c>
      <c r="E4125" t="s">
        <v>387</v>
      </c>
    </row>
    <row r="4126" spans="2:5">
      <c r="B4126" t="s">
        <v>6264</v>
      </c>
      <c r="C4126">
        <v>539574</v>
      </c>
      <c r="D4126" t="s">
        <v>339</v>
      </c>
      <c r="E4126" t="s">
        <v>356</v>
      </c>
    </row>
    <row r="4127" spans="2:5">
      <c r="B4127" t="s">
        <v>6265</v>
      </c>
      <c r="C4127">
        <v>535141</v>
      </c>
      <c r="D4127" t="s">
        <v>339</v>
      </c>
      <c r="E4127" t="s">
        <v>425</v>
      </c>
    </row>
    <row r="4128" spans="2:5">
      <c r="B4128" t="s">
        <v>6266</v>
      </c>
      <c r="C4128">
        <v>512179</v>
      </c>
      <c r="D4128" t="s">
        <v>6267</v>
      </c>
      <c r="E4128" t="s">
        <v>425</v>
      </c>
    </row>
    <row r="4129" spans="2:5">
      <c r="B4129" t="s">
        <v>6268</v>
      </c>
      <c r="C4129">
        <v>530735</v>
      </c>
      <c r="D4129" t="s">
        <v>339</v>
      </c>
      <c r="E4129" t="s">
        <v>399</v>
      </c>
    </row>
    <row r="4130" spans="2:5">
      <c r="B4130" t="s">
        <v>6269</v>
      </c>
      <c r="C4130">
        <v>530735</v>
      </c>
      <c r="D4130" t="s">
        <v>339</v>
      </c>
      <c r="E4130" t="s">
        <v>399</v>
      </c>
    </row>
    <row r="4131" spans="2:5">
      <c r="B4131" t="s">
        <v>6270</v>
      </c>
      <c r="C4131">
        <v>530883</v>
      </c>
      <c r="D4131" t="s">
        <v>339</v>
      </c>
      <c r="E4131" t="s">
        <v>483</v>
      </c>
    </row>
    <row r="4132" spans="2:5">
      <c r="B4132" t="s">
        <v>6271</v>
      </c>
      <c r="C4132">
        <v>531699</v>
      </c>
      <c r="D4132" t="s">
        <v>339</v>
      </c>
      <c r="E4132" t="s">
        <v>1103</v>
      </c>
    </row>
    <row r="4133" spans="2:5">
      <c r="B4133" t="s">
        <v>6272</v>
      </c>
      <c r="C4133">
        <v>540269</v>
      </c>
      <c r="D4133" t="s">
        <v>339</v>
      </c>
      <c r="E4133" t="s">
        <v>453</v>
      </c>
    </row>
    <row r="4134" spans="2:5">
      <c r="B4134" t="s">
        <v>6273</v>
      </c>
      <c r="C4134">
        <v>512527</v>
      </c>
      <c r="D4134" t="s">
        <v>339</v>
      </c>
      <c r="E4134" t="s">
        <v>354</v>
      </c>
    </row>
    <row r="4135" spans="2:5">
      <c r="B4135" t="s">
        <v>6274</v>
      </c>
      <c r="C4135">
        <v>512527</v>
      </c>
      <c r="D4135" t="s">
        <v>339</v>
      </c>
      <c r="E4135" t="s">
        <v>354</v>
      </c>
    </row>
    <row r="4136" spans="2:5">
      <c r="B4136" t="s">
        <v>6275</v>
      </c>
      <c r="C4136">
        <v>521180</v>
      </c>
      <c r="D4136" t="s">
        <v>6276</v>
      </c>
      <c r="E4136" t="s">
        <v>354</v>
      </c>
    </row>
    <row r="4137" spans="2:5">
      <c r="B4137" t="s">
        <v>6277</v>
      </c>
      <c r="C4137">
        <v>523842</v>
      </c>
      <c r="D4137" t="s">
        <v>339</v>
      </c>
      <c r="E4137" t="s">
        <v>453</v>
      </c>
    </row>
    <row r="4138" spans="2:5">
      <c r="B4138" t="s">
        <v>6278</v>
      </c>
      <c r="C4138">
        <v>532070</v>
      </c>
      <c r="D4138" t="s">
        <v>339</v>
      </c>
      <c r="E4138" t="s">
        <v>333</v>
      </c>
    </row>
    <row r="4139" spans="2:5">
      <c r="B4139" t="s">
        <v>6279</v>
      </c>
      <c r="C4139">
        <v>523283</v>
      </c>
      <c r="D4139" t="s">
        <v>6280</v>
      </c>
      <c r="E4139" t="s">
        <v>765</v>
      </c>
    </row>
    <row r="4140" spans="2:5">
      <c r="B4140" t="s">
        <v>6281</v>
      </c>
      <c r="C4140">
        <v>539835</v>
      </c>
      <c r="D4140" t="s">
        <v>339</v>
      </c>
      <c r="E4140" t="s">
        <v>356</v>
      </c>
    </row>
    <row r="4141" spans="2:5">
      <c r="B4141" t="s">
        <v>6282</v>
      </c>
      <c r="C4141">
        <v>519234</v>
      </c>
      <c r="D4141" t="s">
        <v>6283</v>
      </c>
      <c r="E4141" t="s">
        <v>588</v>
      </c>
    </row>
    <row r="4142" spans="2:5">
      <c r="B4142" t="s">
        <v>6284</v>
      </c>
      <c r="C4142">
        <v>780008</v>
      </c>
      <c r="D4142" t="s">
        <v>339</v>
      </c>
      <c r="E4142" t="s">
        <v>430</v>
      </c>
    </row>
    <row r="4143" spans="2:5">
      <c r="B4143" t="s">
        <v>6285</v>
      </c>
      <c r="C4143">
        <v>541701</v>
      </c>
      <c r="D4143" t="s">
        <v>339</v>
      </c>
      <c r="E4143" t="s">
        <v>662</v>
      </c>
    </row>
    <row r="4144" spans="2:5">
      <c r="B4144" t="s">
        <v>6286</v>
      </c>
      <c r="C4144">
        <v>526133</v>
      </c>
      <c r="D4144" t="s">
        <v>339</v>
      </c>
      <c r="E4144" t="s">
        <v>354</v>
      </c>
    </row>
    <row r="4145" spans="2:5">
      <c r="B4145" t="s">
        <v>6287</v>
      </c>
      <c r="C4145">
        <v>540168</v>
      </c>
      <c r="D4145" t="s">
        <v>339</v>
      </c>
      <c r="E4145" t="s">
        <v>356</v>
      </c>
    </row>
    <row r="4146" spans="2:5">
      <c r="B4146" t="s">
        <v>6288</v>
      </c>
      <c r="C4146">
        <v>511539</v>
      </c>
      <c r="D4146" t="s">
        <v>339</v>
      </c>
      <c r="E4146" t="s">
        <v>322</v>
      </c>
    </row>
    <row r="4147" spans="2:5">
      <c r="B4147" t="s">
        <v>6289</v>
      </c>
      <c r="C4147">
        <v>532509</v>
      </c>
      <c r="D4147" t="s">
        <v>6290</v>
      </c>
      <c r="E4147" t="s">
        <v>694</v>
      </c>
    </row>
    <row r="4148" spans="2:5">
      <c r="B4148" t="s">
        <v>6291</v>
      </c>
      <c r="C4148" t="s">
        <v>339</v>
      </c>
      <c r="D4148" t="s">
        <v>6292</v>
      </c>
      <c r="E4148" t="s">
        <v>350</v>
      </c>
    </row>
    <row r="4149" spans="2:5">
      <c r="B4149" t="s">
        <v>6293</v>
      </c>
      <c r="C4149">
        <v>530677</v>
      </c>
      <c r="D4149" t="s">
        <v>339</v>
      </c>
      <c r="E4149" t="s">
        <v>425</v>
      </c>
    </row>
    <row r="4150" spans="2:5">
      <c r="B4150" t="s">
        <v>6294</v>
      </c>
      <c r="C4150">
        <v>530677</v>
      </c>
      <c r="D4150" t="s">
        <v>339</v>
      </c>
      <c r="E4150" t="s">
        <v>425</v>
      </c>
    </row>
    <row r="4151" spans="2:5">
      <c r="B4151" t="s">
        <v>6295</v>
      </c>
      <c r="C4151" t="s">
        <v>339</v>
      </c>
      <c r="D4151" t="s">
        <v>6296</v>
      </c>
      <c r="E4151" t="s">
        <v>350</v>
      </c>
    </row>
    <row r="4152" spans="2:5">
      <c r="B4152" t="s">
        <v>6297</v>
      </c>
      <c r="C4152">
        <v>509930</v>
      </c>
      <c r="D4152" t="s">
        <v>6298</v>
      </c>
      <c r="E4152" t="s">
        <v>459</v>
      </c>
    </row>
    <row r="4153" spans="2:5">
      <c r="B4153" t="s">
        <v>6299</v>
      </c>
      <c r="C4153">
        <v>532904</v>
      </c>
      <c r="D4153" t="s">
        <v>6300</v>
      </c>
      <c r="E4153" t="s">
        <v>737</v>
      </c>
    </row>
    <row r="4154" spans="2:5">
      <c r="B4154" t="s">
        <v>6301</v>
      </c>
      <c r="C4154">
        <v>532904</v>
      </c>
      <c r="D4154" t="s">
        <v>6300</v>
      </c>
      <c r="E4154" t="s">
        <v>737</v>
      </c>
    </row>
    <row r="4155" spans="2:5">
      <c r="B4155" t="s">
        <v>6302</v>
      </c>
      <c r="C4155">
        <v>500405</v>
      </c>
      <c r="D4155" t="s">
        <v>6303</v>
      </c>
      <c r="E4155" t="s">
        <v>553</v>
      </c>
    </row>
    <row r="4156" spans="2:5">
      <c r="B4156" t="s">
        <v>6304</v>
      </c>
      <c r="C4156">
        <v>534733</v>
      </c>
      <c r="D4156" t="s">
        <v>339</v>
      </c>
      <c r="E4156" t="s">
        <v>371</v>
      </c>
    </row>
    <row r="4157" spans="2:5">
      <c r="B4157" t="s">
        <v>6305</v>
      </c>
      <c r="C4157">
        <v>531638</v>
      </c>
      <c r="D4157" t="s">
        <v>339</v>
      </c>
      <c r="E4157" t="s">
        <v>662</v>
      </c>
    </row>
    <row r="4158" spans="2:5">
      <c r="B4158" t="s">
        <v>6306</v>
      </c>
      <c r="C4158">
        <v>518075</v>
      </c>
      <c r="D4158" t="s">
        <v>339</v>
      </c>
      <c r="E4158" t="s">
        <v>371</v>
      </c>
    </row>
    <row r="4159" spans="2:5">
      <c r="B4159" t="s">
        <v>6307</v>
      </c>
      <c r="C4159">
        <v>533298</v>
      </c>
      <c r="D4159" t="s">
        <v>6308</v>
      </c>
      <c r="E4159" t="s">
        <v>881</v>
      </c>
    </row>
    <row r="4160" spans="2:5">
      <c r="B4160" t="s">
        <v>6309</v>
      </c>
      <c r="C4160">
        <v>517530</v>
      </c>
      <c r="D4160" t="s">
        <v>6310</v>
      </c>
      <c r="E4160" t="s">
        <v>609</v>
      </c>
    </row>
    <row r="4161" spans="2:5">
      <c r="B4161" t="s">
        <v>6311</v>
      </c>
      <c r="C4161">
        <v>530185</v>
      </c>
      <c r="D4161" t="s">
        <v>339</v>
      </c>
      <c r="E4161" t="s">
        <v>354</v>
      </c>
    </row>
    <row r="4162" spans="2:5">
      <c r="B4162" t="s">
        <v>6312</v>
      </c>
      <c r="C4162" t="s">
        <v>339</v>
      </c>
      <c r="D4162" t="s">
        <v>6313</v>
      </c>
      <c r="E4162" t="s">
        <v>350</v>
      </c>
    </row>
    <row r="4163" spans="2:5">
      <c r="B4163" t="s">
        <v>6314</v>
      </c>
      <c r="C4163">
        <v>539253</v>
      </c>
      <c r="D4163" t="s">
        <v>339</v>
      </c>
      <c r="E4163" t="s">
        <v>356</v>
      </c>
    </row>
    <row r="4164" spans="2:5">
      <c r="B4164" t="s">
        <v>6315</v>
      </c>
      <c r="C4164">
        <v>539253</v>
      </c>
      <c r="D4164" t="s">
        <v>339</v>
      </c>
      <c r="E4164" t="s">
        <v>356</v>
      </c>
    </row>
    <row r="4165" spans="2:5">
      <c r="B4165" t="s">
        <v>6316</v>
      </c>
      <c r="C4165">
        <v>500336</v>
      </c>
      <c r="D4165" t="s">
        <v>6317</v>
      </c>
      <c r="E4165" t="s">
        <v>328</v>
      </c>
    </row>
    <row r="4166" spans="2:5">
      <c r="B4166" t="s">
        <v>6318</v>
      </c>
      <c r="C4166">
        <v>533101</v>
      </c>
      <c r="D4166" t="s">
        <v>339</v>
      </c>
      <c r="E4166" t="s">
        <v>354</v>
      </c>
    </row>
    <row r="4167" spans="2:5">
      <c r="B4167" t="s">
        <v>6319</v>
      </c>
      <c r="C4167">
        <v>532874</v>
      </c>
      <c r="D4167" t="s">
        <v>339</v>
      </c>
      <c r="E4167" t="s">
        <v>478</v>
      </c>
    </row>
    <row r="4168" spans="2:5">
      <c r="B4168" t="s">
        <v>6320</v>
      </c>
      <c r="C4168">
        <v>511185</v>
      </c>
      <c r="D4168" t="s">
        <v>339</v>
      </c>
      <c r="E4168" t="s">
        <v>660</v>
      </c>
    </row>
    <row r="4169" spans="2:5">
      <c r="B4169" t="s">
        <v>6321</v>
      </c>
      <c r="C4169">
        <v>521200</v>
      </c>
      <c r="D4169" t="s">
        <v>6322</v>
      </c>
      <c r="E4169" t="s">
        <v>354</v>
      </c>
    </row>
    <row r="4170" spans="2:5">
      <c r="B4170" t="s">
        <v>6323</v>
      </c>
      <c r="C4170">
        <v>514138</v>
      </c>
      <c r="D4170" t="s">
        <v>339</v>
      </c>
      <c r="E4170" t="s">
        <v>354</v>
      </c>
    </row>
    <row r="4171" spans="2:5">
      <c r="B4171" t="s">
        <v>6324</v>
      </c>
      <c r="C4171">
        <v>514140</v>
      </c>
      <c r="D4171" t="s">
        <v>339</v>
      </c>
      <c r="E4171" t="s">
        <v>354</v>
      </c>
    </row>
    <row r="4172" spans="2:5">
      <c r="B4172" t="s">
        <v>6325</v>
      </c>
      <c r="C4172">
        <v>519604</v>
      </c>
      <c r="D4172" t="s">
        <v>6326</v>
      </c>
      <c r="E4172" t="s">
        <v>399</v>
      </c>
    </row>
    <row r="4173" spans="2:5">
      <c r="B4173" t="s">
        <v>6327</v>
      </c>
      <c r="C4173">
        <v>532782</v>
      </c>
      <c r="D4173" t="s">
        <v>6328</v>
      </c>
      <c r="E4173" t="s">
        <v>354</v>
      </c>
    </row>
    <row r="4174" spans="2:5">
      <c r="B4174" t="s">
        <v>6329</v>
      </c>
      <c r="C4174" t="s">
        <v>339</v>
      </c>
      <c r="D4174" t="s">
        <v>6330</v>
      </c>
      <c r="E4174" t="s">
        <v>350</v>
      </c>
    </row>
    <row r="4175" spans="2:5">
      <c r="B4175" t="s">
        <v>6331</v>
      </c>
      <c r="C4175">
        <v>530239</v>
      </c>
      <c r="D4175" t="s">
        <v>6332</v>
      </c>
      <c r="E4175" t="s">
        <v>377</v>
      </c>
    </row>
    <row r="4176" spans="2:5">
      <c r="B4176" t="s">
        <v>6333</v>
      </c>
      <c r="C4176">
        <v>531640</v>
      </c>
      <c r="D4176" t="s">
        <v>339</v>
      </c>
      <c r="E4176" t="s">
        <v>425</v>
      </c>
    </row>
    <row r="4177" spans="2:5">
      <c r="B4177" t="s">
        <v>6334</v>
      </c>
      <c r="C4177">
        <v>537259</v>
      </c>
      <c r="D4177" t="s">
        <v>339</v>
      </c>
      <c r="E4177" t="s">
        <v>1285</v>
      </c>
    </row>
    <row r="4178" spans="2:5">
      <c r="B4178" t="s">
        <v>6335</v>
      </c>
      <c r="C4178">
        <v>532667</v>
      </c>
      <c r="D4178" t="s">
        <v>6336</v>
      </c>
      <c r="E4178" t="s">
        <v>382</v>
      </c>
    </row>
    <row r="4179" spans="2:5">
      <c r="B4179" t="s">
        <v>6337</v>
      </c>
      <c r="C4179">
        <v>531885</v>
      </c>
      <c r="D4179" t="s">
        <v>339</v>
      </c>
      <c r="E4179" t="s">
        <v>361</v>
      </c>
    </row>
    <row r="4180" spans="2:5">
      <c r="B4180" t="s">
        <v>6338</v>
      </c>
      <c r="C4180">
        <v>531885</v>
      </c>
      <c r="D4180" t="s">
        <v>339</v>
      </c>
      <c r="E4180" t="s">
        <v>361</v>
      </c>
    </row>
    <row r="4181" spans="2:5">
      <c r="B4181" t="s">
        <v>6339</v>
      </c>
      <c r="C4181">
        <v>523722</v>
      </c>
      <c r="D4181" t="s">
        <v>339</v>
      </c>
      <c r="E4181" t="s">
        <v>432</v>
      </c>
    </row>
    <row r="4182" spans="2:5">
      <c r="B4182" t="s">
        <v>6340</v>
      </c>
      <c r="C4182">
        <v>503624</v>
      </c>
      <c r="D4182" t="s">
        <v>339</v>
      </c>
      <c r="E4182" t="s">
        <v>322</v>
      </c>
    </row>
    <row r="4183" spans="2:5">
      <c r="B4183" t="s">
        <v>6341</v>
      </c>
      <c r="C4183">
        <v>539911</v>
      </c>
      <c r="D4183" t="s">
        <v>339</v>
      </c>
      <c r="E4183" t="s">
        <v>361</v>
      </c>
    </row>
    <row r="4184" spans="2:5">
      <c r="B4184" t="s">
        <v>6342</v>
      </c>
      <c r="C4184">
        <v>524488</v>
      </c>
      <c r="D4184" t="s">
        <v>6343</v>
      </c>
      <c r="E4184" t="s">
        <v>387</v>
      </c>
    </row>
    <row r="4185" spans="2:5">
      <c r="B4185" t="s">
        <v>6344</v>
      </c>
      <c r="C4185">
        <v>512449</v>
      </c>
      <c r="D4185" t="s">
        <v>339</v>
      </c>
      <c r="E4185" t="s">
        <v>319</v>
      </c>
    </row>
    <row r="4186" spans="2:5">
      <c r="B4186" t="s">
        <v>6345</v>
      </c>
      <c r="C4186">
        <v>505590</v>
      </c>
      <c r="D4186" t="s">
        <v>339</v>
      </c>
      <c r="E4186" t="s">
        <v>354</v>
      </c>
    </row>
    <row r="4187" spans="2:5">
      <c r="B4187" t="s">
        <v>6346</v>
      </c>
      <c r="C4187">
        <v>539041</v>
      </c>
      <c r="D4187" t="s">
        <v>339</v>
      </c>
      <c r="E4187" t="s">
        <v>361</v>
      </c>
    </row>
    <row r="4188" spans="2:5">
      <c r="B4188" t="s">
        <v>6347</v>
      </c>
      <c r="C4188">
        <v>503659</v>
      </c>
      <c r="D4188" t="s">
        <v>339</v>
      </c>
      <c r="E4188" t="s">
        <v>760</v>
      </c>
    </row>
    <row r="4189" spans="2:5">
      <c r="B4189" t="s">
        <v>6348</v>
      </c>
      <c r="C4189">
        <v>506863</v>
      </c>
      <c r="D4189" t="s">
        <v>339</v>
      </c>
      <c r="E4189" t="s">
        <v>534</v>
      </c>
    </row>
    <row r="4190" spans="2:5">
      <c r="B4190" t="s">
        <v>6349</v>
      </c>
      <c r="C4190">
        <v>503816</v>
      </c>
      <c r="D4190" t="s">
        <v>339</v>
      </c>
      <c r="E4190" t="s">
        <v>354</v>
      </c>
    </row>
    <row r="4191" spans="2:5">
      <c r="B4191" t="s">
        <v>6350</v>
      </c>
      <c r="C4191">
        <v>531909</v>
      </c>
      <c r="D4191" t="s">
        <v>339</v>
      </c>
      <c r="E4191" t="s">
        <v>425</v>
      </c>
    </row>
    <row r="4192" spans="2:5">
      <c r="B4192" t="s">
        <v>6351</v>
      </c>
      <c r="C4192">
        <v>539406</v>
      </c>
      <c r="D4192" t="s">
        <v>339</v>
      </c>
      <c r="E4192" t="s">
        <v>361</v>
      </c>
    </row>
    <row r="4193" spans="2:5">
      <c r="B4193" t="s">
        <v>6352</v>
      </c>
      <c r="C4193">
        <v>503310</v>
      </c>
      <c r="D4193" t="s">
        <v>6353</v>
      </c>
      <c r="E4193" t="s">
        <v>354</v>
      </c>
    </row>
    <row r="4194" spans="2:5">
      <c r="B4194" t="s">
        <v>6354</v>
      </c>
      <c r="C4194">
        <v>539353</v>
      </c>
      <c r="D4194" t="s">
        <v>339</v>
      </c>
      <c r="E4194" t="s">
        <v>694</v>
      </c>
    </row>
    <row r="4195" spans="2:5">
      <c r="B4195" t="s">
        <v>6355</v>
      </c>
      <c r="C4195">
        <v>500407</v>
      </c>
      <c r="D4195" t="s">
        <v>6356</v>
      </c>
      <c r="E4195" t="s">
        <v>694</v>
      </c>
    </row>
    <row r="4196" spans="2:5">
      <c r="B4196" t="s">
        <v>6357</v>
      </c>
      <c r="C4196">
        <v>531003</v>
      </c>
      <c r="D4196" t="s">
        <v>339</v>
      </c>
      <c r="E4196" t="s">
        <v>356</v>
      </c>
    </row>
    <row r="4197" spans="2:5">
      <c r="B4197" t="s">
        <v>6358</v>
      </c>
      <c r="C4197">
        <v>526365</v>
      </c>
      <c r="D4197" t="s">
        <v>339</v>
      </c>
      <c r="E4197" t="s">
        <v>453</v>
      </c>
    </row>
    <row r="4198" spans="2:5">
      <c r="B4198" t="s">
        <v>6359</v>
      </c>
      <c r="C4198">
        <v>512257</v>
      </c>
      <c r="D4198" t="s">
        <v>339</v>
      </c>
      <c r="E4198" t="s">
        <v>328</v>
      </c>
    </row>
    <row r="4199" spans="2:5">
      <c r="B4199" t="s">
        <v>6360</v>
      </c>
      <c r="C4199">
        <v>510245</v>
      </c>
      <c r="D4199" t="s">
        <v>339</v>
      </c>
      <c r="E4199" t="s">
        <v>361</v>
      </c>
    </row>
    <row r="4200" spans="2:5">
      <c r="B4200" t="s">
        <v>6361</v>
      </c>
      <c r="C4200">
        <v>501386</v>
      </c>
      <c r="D4200" t="s">
        <v>339</v>
      </c>
      <c r="E4200" t="s">
        <v>322</v>
      </c>
    </row>
    <row r="4201" spans="2:5">
      <c r="B4201" t="s">
        <v>6362</v>
      </c>
      <c r="C4201">
        <v>530585</v>
      </c>
      <c r="D4201" t="s">
        <v>339</v>
      </c>
      <c r="E4201" t="s">
        <v>322</v>
      </c>
    </row>
    <row r="4202" spans="2:5">
      <c r="B4202" t="s">
        <v>6363</v>
      </c>
      <c r="C4202">
        <v>532051</v>
      </c>
      <c r="D4202" t="s">
        <v>6364</v>
      </c>
      <c r="E4202" t="s">
        <v>382</v>
      </c>
    </row>
    <row r="4203" spans="2:5">
      <c r="B4203" t="s">
        <v>6365</v>
      </c>
      <c r="C4203">
        <v>522215</v>
      </c>
      <c r="D4203" t="s">
        <v>339</v>
      </c>
      <c r="E4203" t="s">
        <v>347</v>
      </c>
    </row>
    <row r="4204" spans="2:5">
      <c r="B4204" t="s">
        <v>6366</v>
      </c>
      <c r="C4204">
        <v>517201</v>
      </c>
      <c r="D4204" t="s">
        <v>339</v>
      </c>
      <c r="E4204" t="s">
        <v>881</v>
      </c>
    </row>
    <row r="4205" spans="2:5">
      <c r="B4205" t="s">
        <v>6367</v>
      </c>
      <c r="C4205">
        <v>531637</v>
      </c>
      <c r="D4205" t="s">
        <v>339</v>
      </c>
      <c r="E4205" t="s">
        <v>377</v>
      </c>
    </row>
    <row r="4206" spans="2:5">
      <c r="B4206" t="s">
        <v>6368</v>
      </c>
      <c r="C4206">
        <v>512359</v>
      </c>
      <c r="D4206" t="s">
        <v>339</v>
      </c>
      <c r="E4206" t="s">
        <v>361</v>
      </c>
    </row>
    <row r="4207" spans="2:5">
      <c r="B4207" t="s">
        <v>6369</v>
      </c>
      <c r="C4207">
        <v>531499</v>
      </c>
      <c r="D4207" t="s">
        <v>339</v>
      </c>
      <c r="E4207" t="s">
        <v>354</v>
      </c>
    </row>
    <row r="4208" spans="2:5">
      <c r="B4208" t="s">
        <v>6370</v>
      </c>
      <c r="C4208">
        <v>539682</v>
      </c>
      <c r="D4208" t="s">
        <v>339</v>
      </c>
      <c r="E4208" t="s">
        <v>444</v>
      </c>
    </row>
    <row r="4209" spans="2:5">
      <c r="B4209" t="s">
        <v>6371</v>
      </c>
      <c r="C4209">
        <v>511447</v>
      </c>
      <c r="D4209" t="s">
        <v>339</v>
      </c>
      <c r="E4209" t="s">
        <v>345</v>
      </c>
    </row>
    <row r="4210" spans="2:5">
      <c r="B4210" t="s">
        <v>6372</v>
      </c>
      <c r="C4210">
        <v>539278</v>
      </c>
      <c r="D4210" t="s">
        <v>339</v>
      </c>
      <c r="E4210" t="s">
        <v>322</v>
      </c>
    </row>
    <row r="4211" spans="2:5">
      <c r="B4211" t="s">
        <v>6373</v>
      </c>
      <c r="C4211">
        <v>517385</v>
      </c>
      <c r="D4211" t="s">
        <v>6374</v>
      </c>
      <c r="E4211" t="s">
        <v>708</v>
      </c>
    </row>
    <row r="4212" spans="2:5">
      <c r="B4212" t="s">
        <v>6375</v>
      </c>
      <c r="C4212">
        <v>524470</v>
      </c>
      <c r="D4212" t="s">
        <v>339</v>
      </c>
      <c r="E4212" t="s">
        <v>377</v>
      </c>
    </row>
    <row r="4213" spans="2:5">
      <c r="B4213" t="s">
        <v>6376</v>
      </c>
      <c r="C4213">
        <v>524470</v>
      </c>
      <c r="D4213" t="s">
        <v>339</v>
      </c>
      <c r="E4213" t="s">
        <v>377</v>
      </c>
    </row>
    <row r="4214" spans="2:5">
      <c r="B4214" t="s">
        <v>6377</v>
      </c>
      <c r="C4214">
        <v>533157</v>
      </c>
      <c r="D4214" t="s">
        <v>6378</v>
      </c>
      <c r="E4214" t="s">
        <v>377</v>
      </c>
    </row>
    <row r="4215" spans="2:5">
      <c r="B4215" t="s">
        <v>6379</v>
      </c>
      <c r="C4215">
        <v>532276</v>
      </c>
      <c r="D4215" t="s">
        <v>6380</v>
      </c>
      <c r="E4215" t="s">
        <v>657</v>
      </c>
    </row>
    <row r="4216" spans="2:5">
      <c r="B4216" t="s">
        <v>6381</v>
      </c>
      <c r="C4216">
        <v>541929</v>
      </c>
      <c r="D4216" t="s">
        <v>339</v>
      </c>
      <c r="E4216" t="s">
        <v>1258</v>
      </c>
    </row>
    <row r="4217" spans="2:5">
      <c r="B4217" t="s">
        <v>6382</v>
      </c>
      <c r="C4217">
        <v>539268</v>
      </c>
      <c r="D4217" t="s">
        <v>6383</v>
      </c>
      <c r="E4217" t="s">
        <v>377</v>
      </c>
    </row>
    <row r="4218" spans="2:5">
      <c r="B4218" t="s">
        <v>6384</v>
      </c>
      <c r="C4218">
        <v>513307</v>
      </c>
      <c r="D4218" t="s">
        <v>339</v>
      </c>
      <c r="E4218" t="s">
        <v>644</v>
      </c>
    </row>
    <row r="4219" spans="2:5">
      <c r="B4219" t="s">
        <v>6385</v>
      </c>
      <c r="C4219">
        <v>531173</v>
      </c>
      <c r="D4219" t="s">
        <v>339</v>
      </c>
      <c r="E4219" t="s">
        <v>377</v>
      </c>
    </row>
    <row r="4220" spans="2:5">
      <c r="B4220" t="s">
        <v>6386</v>
      </c>
      <c r="C4220">
        <v>531173</v>
      </c>
      <c r="D4220" t="s">
        <v>339</v>
      </c>
      <c r="E4220" t="s">
        <v>377</v>
      </c>
    </row>
    <row r="4221" spans="2:5">
      <c r="B4221" t="s">
        <v>6387</v>
      </c>
      <c r="C4221">
        <v>539842</v>
      </c>
      <c r="D4221" t="s">
        <v>339</v>
      </c>
      <c r="E4221" t="s">
        <v>534</v>
      </c>
    </row>
    <row r="4222" spans="2:5">
      <c r="B4222" t="s">
        <v>6388</v>
      </c>
      <c r="C4222">
        <v>526506</v>
      </c>
      <c r="D4222" t="s">
        <v>339</v>
      </c>
      <c r="E4222" t="s">
        <v>322</v>
      </c>
    </row>
    <row r="4223" spans="2:5">
      <c r="B4223" t="s">
        <v>6389</v>
      </c>
      <c r="C4223">
        <v>531432</v>
      </c>
      <c r="D4223" t="s">
        <v>339</v>
      </c>
      <c r="E4223" t="s">
        <v>356</v>
      </c>
    </row>
    <row r="4224" spans="2:5">
      <c r="B4224" t="s">
        <v>6390</v>
      </c>
      <c r="C4224">
        <v>522294</v>
      </c>
      <c r="D4224" t="s">
        <v>339</v>
      </c>
      <c r="E4224" t="s">
        <v>347</v>
      </c>
    </row>
    <row r="4225" spans="2:5">
      <c r="B4225" t="s">
        <v>6391</v>
      </c>
      <c r="C4225">
        <v>533553</v>
      </c>
      <c r="D4225" t="s">
        <v>339</v>
      </c>
      <c r="E4225" t="s">
        <v>382</v>
      </c>
    </row>
    <row r="4226" spans="2:5">
      <c r="B4226" t="s">
        <v>6392</v>
      </c>
      <c r="C4226">
        <v>532444</v>
      </c>
      <c r="D4226" t="s">
        <v>339</v>
      </c>
      <c r="E4226" t="s">
        <v>432</v>
      </c>
    </row>
    <row r="4227" spans="2:5">
      <c r="B4227" t="s">
        <v>6393</v>
      </c>
      <c r="C4227">
        <v>514142</v>
      </c>
      <c r="D4227" t="s">
        <v>6394</v>
      </c>
      <c r="E4227" t="s">
        <v>354</v>
      </c>
    </row>
    <row r="4228" spans="2:5">
      <c r="B4228" t="s">
        <v>6395</v>
      </c>
      <c r="C4228">
        <v>539956</v>
      </c>
      <c r="D4228" t="s">
        <v>339</v>
      </c>
      <c r="E4228" t="s">
        <v>2476</v>
      </c>
    </row>
    <row r="4229" spans="2:5">
      <c r="B4229" t="s">
        <v>6396</v>
      </c>
      <c r="C4229">
        <v>537392</v>
      </c>
      <c r="D4229" t="s">
        <v>339</v>
      </c>
      <c r="E4229" t="s">
        <v>508</v>
      </c>
    </row>
    <row r="4230" spans="2:5">
      <c r="B4230" t="s">
        <v>6397</v>
      </c>
      <c r="C4230">
        <v>519483</v>
      </c>
      <c r="D4230" t="s">
        <v>339</v>
      </c>
      <c r="E4230" t="s">
        <v>361</v>
      </c>
    </row>
    <row r="4231" spans="2:5">
      <c r="B4231" t="s">
        <v>6398</v>
      </c>
      <c r="C4231">
        <v>507785</v>
      </c>
      <c r="D4231" t="s">
        <v>6399</v>
      </c>
      <c r="E4231" t="s">
        <v>459</v>
      </c>
    </row>
    <row r="4232" spans="2:5">
      <c r="B4232" t="s">
        <v>6400</v>
      </c>
      <c r="C4232">
        <v>532390</v>
      </c>
      <c r="D4232" t="s">
        <v>6401</v>
      </c>
      <c r="E4232" t="s">
        <v>540</v>
      </c>
    </row>
    <row r="4233" spans="2:5">
      <c r="B4233" t="s">
        <v>6402</v>
      </c>
      <c r="C4233">
        <v>532890</v>
      </c>
      <c r="D4233" t="s">
        <v>6403</v>
      </c>
      <c r="E4233" t="s">
        <v>325</v>
      </c>
    </row>
    <row r="4234" spans="2:5">
      <c r="B4234" t="s">
        <v>6404</v>
      </c>
      <c r="C4234">
        <v>505160</v>
      </c>
      <c r="D4234" t="s">
        <v>6405</v>
      </c>
      <c r="E4234" t="s">
        <v>694</v>
      </c>
    </row>
    <row r="4235" spans="2:5">
      <c r="B4235" t="s">
        <v>6406</v>
      </c>
      <c r="C4235">
        <v>538987</v>
      </c>
      <c r="D4235" t="s">
        <v>339</v>
      </c>
      <c r="E4235" t="s">
        <v>694</v>
      </c>
    </row>
    <row r="4236" spans="2:5">
      <c r="B4236" t="s">
        <v>6407</v>
      </c>
      <c r="C4236">
        <v>533200</v>
      </c>
      <c r="D4236" t="s">
        <v>6408</v>
      </c>
      <c r="E4236" t="s">
        <v>517</v>
      </c>
    </row>
    <row r="4237" spans="2:5">
      <c r="B4237" t="s">
        <v>6409</v>
      </c>
      <c r="C4237">
        <v>541545</v>
      </c>
      <c r="D4237" t="s">
        <v>6410</v>
      </c>
      <c r="E4237" t="s">
        <v>517</v>
      </c>
    </row>
    <row r="4238" spans="2:5">
      <c r="B4238" t="s">
        <v>6411</v>
      </c>
      <c r="C4238">
        <v>533170</v>
      </c>
      <c r="D4238" t="s">
        <v>339</v>
      </c>
      <c r="E4238" t="s">
        <v>359</v>
      </c>
    </row>
    <row r="4239" spans="2:5">
      <c r="B4239" t="s">
        <v>6412</v>
      </c>
      <c r="C4239">
        <v>531426</v>
      </c>
      <c r="D4239" t="s">
        <v>6413</v>
      </c>
      <c r="E4239" t="s">
        <v>333</v>
      </c>
    </row>
    <row r="4240" spans="2:5">
      <c r="B4240" t="s">
        <v>6414</v>
      </c>
      <c r="C4240">
        <v>521038</v>
      </c>
      <c r="D4240" t="s">
        <v>339</v>
      </c>
      <c r="E4240" t="s">
        <v>354</v>
      </c>
    </row>
    <row r="4241" spans="2:5">
      <c r="B4241" t="s">
        <v>6415</v>
      </c>
      <c r="C4241">
        <v>500777</v>
      </c>
      <c r="D4241" t="s">
        <v>6416</v>
      </c>
      <c r="E4241" t="s">
        <v>387</v>
      </c>
    </row>
    <row r="4242" spans="2:5">
      <c r="B4242" t="s">
        <v>6417</v>
      </c>
      <c r="C4242">
        <v>513540</v>
      </c>
      <c r="D4242" t="s">
        <v>339</v>
      </c>
      <c r="E4242" t="s">
        <v>662</v>
      </c>
    </row>
    <row r="4243" spans="2:5">
      <c r="B4243" t="s">
        <v>6418</v>
      </c>
      <c r="C4243">
        <v>523419</v>
      </c>
      <c r="D4243" t="s">
        <v>6419</v>
      </c>
      <c r="E4243" t="s">
        <v>609</v>
      </c>
    </row>
    <row r="4244" spans="2:5">
      <c r="B4244" t="s">
        <v>6420</v>
      </c>
      <c r="C4244">
        <v>522229</v>
      </c>
      <c r="D4244" t="s">
        <v>339</v>
      </c>
      <c r="E4244" t="s">
        <v>2823</v>
      </c>
    </row>
    <row r="4245" spans="2:5">
      <c r="B4245" t="s">
        <v>6421</v>
      </c>
      <c r="C4245">
        <v>506854</v>
      </c>
      <c r="D4245" t="s">
        <v>339</v>
      </c>
      <c r="E4245" t="s">
        <v>387</v>
      </c>
    </row>
    <row r="4246" spans="2:5">
      <c r="B4246" t="s">
        <v>6422</v>
      </c>
      <c r="C4246">
        <v>532790</v>
      </c>
      <c r="D4246" t="s">
        <v>6423</v>
      </c>
      <c r="E4246" t="s">
        <v>432</v>
      </c>
    </row>
    <row r="4247" spans="2:5">
      <c r="B4247" t="s">
        <v>6424</v>
      </c>
      <c r="C4247">
        <v>532738</v>
      </c>
      <c r="D4247" t="s">
        <v>6425</v>
      </c>
      <c r="E4247" t="s">
        <v>737</v>
      </c>
    </row>
    <row r="4248" spans="2:5">
      <c r="B4248" t="s">
        <v>6426</v>
      </c>
      <c r="C4248">
        <v>540332</v>
      </c>
      <c r="D4248" t="s">
        <v>339</v>
      </c>
      <c r="E4248" t="s">
        <v>361</v>
      </c>
    </row>
    <row r="4249" spans="2:5">
      <c r="B4249" t="s">
        <v>6427</v>
      </c>
      <c r="C4249">
        <v>540332</v>
      </c>
      <c r="D4249" t="s">
        <v>339</v>
      </c>
      <c r="E4249" t="s">
        <v>361</v>
      </c>
    </row>
    <row r="4250" spans="2:5">
      <c r="B4250" t="s">
        <v>6428</v>
      </c>
      <c r="C4250">
        <v>505685</v>
      </c>
      <c r="D4250" t="s">
        <v>339</v>
      </c>
      <c r="E4250" t="s">
        <v>662</v>
      </c>
    </row>
    <row r="4251" spans="2:5">
      <c r="B4251" t="s">
        <v>6429</v>
      </c>
      <c r="C4251" t="s">
        <v>339</v>
      </c>
      <c r="D4251" t="s">
        <v>6430</v>
      </c>
      <c r="E4251" t="s">
        <v>350</v>
      </c>
    </row>
    <row r="4252" spans="2:5">
      <c r="B4252" t="s">
        <v>6431</v>
      </c>
      <c r="C4252">
        <v>534756</v>
      </c>
      <c r="D4252" t="s">
        <v>6432</v>
      </c>
      <c r="E4252" t="s">
        <v>453</v>
      </c>
    </row>
    <row r="4253" spans="2:5">
      <c r="B4253" t="s">
        <v>6433</v>
      </c>
      <c r="C4253">
        <v>519285</v>
      </c>
      <c r="D4253" t="s">
        <v>339</v>
      </c>
      <c r="E4253" t="s">
        <v>537</v>
      </c>
    </row>
    <row r="4254" spans="2:5">
      <c r="B4254" t="s">
        <v>6434</v>
      </c>
      <c r="C4254">
        <v>533203</v>
      </c>
      <c r="D4254" t="s">
        <v>6435</v>
      </c>
      <c r="E4254" t="s">
        <v>382</v>
      </c>
    </row>
    <row r="4255" spans="2:5">
      <c r="B4255" t="s">
        <v>6436</v>
      </c>
      <c r="C4255">
        <v>538496</v>
      </c>
      <c r="D4255" t="s">
        <v>339</v>
      </c>
      <c r="E4255" t="s">
        <v>423</v>
      </c>
    </row>
    <row r="4256" spans="2:5">
      <c r="B4256" t="s">
        <v>6437</v>
      </c>
      <c r="C4256">
        <v>532869</v>
      </c>
      <c r="D4256" t="s">
        <v>6438</v>
      </c>
      <c r="E4256" t="s">
        <v>737</v>
      </c>
    </row>
    <row r="4257" spans="2:5">
      <c r="B4257" t="s">
        <v>6439</v>
      </c>
      <c r="C4257">
        <v>512271</v>
      </c>
      <c r="D4257" t="s">
        <v>339</v>
      </c>
      <c r="E4257" t="s">
        <v>760</v>
      </c>
    </row>
    <row r="4258" spans="2:5">
      <c r="B4258" t="s">
        <v>6440</v>
      </c>
      <c r="C4258">
        <v>512271</v>
      </c>
      <c r="D4258" t="s">
        <v>339</v>
      </c>
      <c r="E4258" t="s">
        <v>760</v>
      </c>
    </row>
    <row r="4259" spans="2:5">
      <c r="B4259" t="s">
        <v>6441</v>
      </c>
      <c r="C4259">
        <v>519091</v>
      </c>
      <c r="D4259" t="s">
        <v>6442</v>
      </c>
      <c r="E4259" t="s">
        <v>399</v>
      </c>
    </row>
    <row r="4260" spans="2:5">
      <c r="B4260" t="s">
        <v>6443</v>
      </c>
      <c r="C4260">
        <v>540955</v>
      </c>
      <c r="D4260" t="s">
        <v>339</v>
      </c>
      <c r="E4260" t="s">
        <v>399</v>
      </c>
    </row>
    <row r="4261" spans="2:5">
      <c r="B4261" t="s">
        <v>6444</v>
      </c>
      <c r="C4261">
        <v>500770</v>
      </c>
      <c r="D4261" t="s">
        <v>6445</v>
      </c>
      <c r="E4261" t="s">
        <v>387</v>
      </c>
    </row>
    <row r="4262" spans="2:5">
      <c r="B4262" t="s">
        <v>6446</v>
      </c>
      <c r="C4262">
        <v>532301</v>
      </c>
      <c r="D4262" t="s">
        <v>6447</v>
      </c>
      <c r="E4262" t="s">
        <v>746</v>
      </c>
    </row>
    <row r="4263" spans="2:5">
      <c r="B4263" t="s">
        <v>6448</v>
      </c>
      <c r="C4263">
        <v>500483</v>
      </c>
      <c r="D4263" t="s">
        <v>6449</v>
      </c>
      <c r="E4263" t="s">
        <v>6450</v>
      </c>
    </row>
    <row r="4264" spans="2:5">
      <c r="B4264" t="s">
        <v>6451</v>
      </c>
      <c r="C4264">
        <v>532540</v>
      </c>
      <c r="D4264" t="s">
        <v>6452</v>
      </c>
      <c r="E4264" t="s">
        <v>325</v>
      </c>
    </row>
    <row r="4265" spans="2:5">
      <c r="B4265" t="s">
        <v>6453</v>
      </c>
      <c r="C4265">
        <v>500408</v>
      </c>
      <c r="D4265" t="s">
        <v>6454</v>
      </c>
      <c r="E4265" t="s">
        <v>432</v>
      </c>
    </row>
    <row r="4266" spans="2:5">
      <c r="B4266" t="s">
        <v>6455</v>
      </c>
      <c r="C4266">
        <v>500800</v>
      </c>
      <c r="D4266" t="s">
        <v>6456</v>
      </c>
      <c r="E4266" t="s">
        <v>746</v>
      </c>
    </row>
    <row r="4267" spans="2:5">
      <c r="B4267" t="s">
        <v>6457</v>
      </c>
      <c r="C4267">
        <v>501301</v>
      </c>
      <c r="D4267" t="s">
        <v>6458</v>
      </c>
      <c r="E4267" t="s">
        <v>505</v>
      </c>
    </row>
    <row r="4268" spans="2:5">
      <c r="B4268" t="s">
        <v>6459</v>
      </c>
      <c r="C4268">
        <v>513434</v>
      </c>
      <c r="D4268" t="s">
        <v>6460</v>
      </c>
      <c r="E4268" t="s">
        <v>371</v>
      </c>
    </row>
    <row r="4269" spans="2:5">
      <c r="B4269" t="s">
        <v>6461</v>
      </c>
      <c r="C4269">
        <v>500570</v>
      </c>
      <c r="D4269" t="s">
        <v>6462</v>
      </c>
      <c r="E4269" t="s">
        <v>417</v>
      </c>
    </row>
    <row r="4270" spans="2:5">
      <c r="B4270" t="s">
        <v>6461</v>
      </c>
      <c r="C4270">
        <v>570001</v>
      </c>
      <c r="D4270" t="s">
        <v>6463</v>
      </c>
      <c r="E4270" t="s">
        <v>417</v>
      </c>
    </row>
    <row r="4271" spans="2:5">
      <c r="B4271" t="s">
        <v>6464</v>
      </c>
      <c r="C4271">
        <v>500400</v>
      </c>
      <c r="D4271" t="s">
        <v>6465</v>
      </c>
      <c r="E4271" t="s">
        <v>478</v>
      </c>
    </row>
    <row r="4272" spans="2:5">
      <c r="B4272" t="s">
        <v>6466</v>
      </c>
      <c r="C4272">
        <v>513010</v>
      </c>
      <c r="D4272" t="s">
        <v>6467</v>
      </c>
      <c r="E4272" t="s">
        <v>371</v>
      </c>
    </row>
    <row r="4273" spans="2:5">
      <c r="B4273" t="s">
        <v>6468</v>
      </c>
      <c r="C4273" t="s">
        <v>339</v>
      </c>
      <c r="D4273" t="s">
        <v>6469</v>
      </c>
      <c r="E4273" t="s">
        <v>371</v>
      </c>
    </row>
    <row r="4274" spans="2:5">
      <c r="B4274" t="s">
        <v>6470</v>
      </c>
      <c r="C4274">
        <v>500470</v>
      </c>
      <c r="D4274" t="s">
        <v>6471</v>
      </c>
      <c r="E4274" t="s">
        <v>371</v>
      </c>
    </row>
    <row r="4275" spans="2:5">
      <c r="B4275" t="s">
        <v>6472</v>
      </c>
      <c r="C4275">
        <v>532371</v>
      </c>
      <c r="D4275" t="s">
        <v>6473</v>
      </c>
      <c r="E4275" t="s">
        <v>1282</v>
      </c>
    </row>
    <row r="4276" spans="2:5">
      <c r="B4276" t="s">
        <v>6474</v>
      </c>
      <c r="C4276">
        <v>521228</v>
      </c>
      <c r="D4276" t="s">
        <v>339</v>
      </c>
      <c r="E4276" t="s">
        <v>453</v>
      </c>
    </row>
    <row r="4277" spans="2:5">
      <c r="B4277" t="s">
        <v>6475</v>
      </c>
      <c r="C4277">
        <v>531190</v>
      </c>
      <c r="D4277" t="s">
        <v>339</v>
      </c>
      <c r="E4277" t="s">
        <v>354</v>
      </c>
    </row>
    <row r="4278" spans="2:5">
      <c r="B4278" t="s">
        <v>6476</v>
      </c>
      <c r="C4278">
        <v>541228</v>
      </c>
      <c r="D4278" t="s">
        <v>339</v>
      </c>
      <c r="E4278" t="s">
        <v>347</v>
      </c>
    </row>
    <row r="4279" spans="2:5">
      <c r="B4279" t="s">
        <v>6477</v>
      </c>
      <c r="C4279">
        <v>504961</v>
      </c>
      <c r="D4279" t="s">
        <v>339</v>
      </c>
      <c r="E4279" t="s">
        <v>371</v>
      </c>
    </row>
    <row r="4280" spans="2:5">
      <c r="B4280" t="s">
        <v>6478</v>
      </c>
      <c r="C4280">
        <v>532284</v>
      </c>
      <c r="D4280" t="s">
        <v>339</v>
      </c>
      <c r="E4280" t="s">
        <v>322</v>
      </c>
    </row>
    <row r="4281" spans="2:5">
      <c r="B4281" t="s">
        <v>6479</v>
      </c>
      <c r="C4281">
        <v>533393</v>
      </c>
      <c r="D4281" t="s">
        <v>6480</v>
      </c>
      <c r="E4281" t="s">
        <v>425</v>
      </c>
    </row>
    <row r="4282" spans="2:5">
      <c r="B4282" t="s">
        <v>6481</v>
      </c>
      <c r="C4282">
        <v>540212</v>
      </c>
      <c r="D4282" t="s">
        <v>6482</v>
      </c>
      <c r="E4282" t="s">
        <v>660</v>
      </c>
    </row>
    <row r="4283" spans="2:5">
      <c r="B4283" t="s">
        <v>6483</v>
      </c>
      <c r="C4283">
        <v>501242</v>
      </c>
      <c r="D4283" t="s">
        <v>6484</v>
      </c>
      <c r="E4283" t="s">
        <v>356</v>
      </c>
    </row>
    <row r="4284" spans="2:5">
      <c r="B4284" t="s">
        <v>6485</v>
      </c>
      <c r="C4284">
        <v>532262</v>
      </c>
      <c r="D4284" t="s">
        <v>339</v>
      </c>
      <c r="E4284" t="s">
        <v>660</v>
      </c>
    </row>
    <row r="4285" spans="2:5">
      <c r="B4285" t="s">
        <v>6486</v>
      </c>
      <c r="C4285">
        <v>524156</v>
      </c>
      <c r="D4285" t="s">
        <v>339</v>
      </c>
      <c r="E4285" t="s">
        <v>387</v>
      </c>
    </row>
    <row r="4286" spans="2:5">
      <c r="B4286" t="s">
        <v>6487</v>
      </c>
      <c r="C4286">
        <v>541700</v>
      </c>
      <c r="D4286" t="s">
        <v>6488</v>
      </c>
      <c r="E4286" t="s">
        <v>453</v>
      </c>
    </row>
    <row r="4287" spans="2:5">
      <c r="B4287" t="s">
        <v>6489</v>
      </c>
      <c r="C4287">
        <v>523301</v>
      </c>
      <c r="D4287" t="s">
        <v>6490</v>
      </c>
      <c r="E4287" t="s">
        <v>333</v>
      </c>
    </row>
    <row r="4288" spans="2:5">
      <c r="B4288" t="s">
        <v>6491</v>
      </c>
      <c r="C4288" t="s">
        <v>339</v>
      </c>
      <c r="D4288" t="s">
        <v>6492</v>
      </c>
      <c r="E4288" t="s">
        <v>430</v>
      </c>
    </row>
    <row r="4289" spans="2:5">
      <c r="B4289" t="s">
        <v>6493</v>
      </c>
      <c r="C4289">
        <v>512011</v>
      </c>
      <c r="D4289" t="s">
        <v>339</v>
      </c>
      <c r="E4289" t="s">
        <v>361</v>
      </c>
    </row>
    <row r="4290" spans="2:5">
      <c r="B4290" t="s">
        <v>6494</v>
      </c>
      <c r="C4290">
        <v>539658</v>
      </c>
      <c r="D4290" t="s">
        <v>6495</v>
      </c>
      <c r="E4290" t="s">
        <v>3119</v>
      </c>
    </row>
    <row r="4291" spans="2:5">
      <c r="B4291" t="s">
        <v>6496</v>
      </c>
      <c r="C4291">
        <v>532755</v>
      </c>
      <c r="D4291" t="s">
        <v>6497</v>
      </c>
      <c r="E4291" t="s">
        <v>325</v>
      </c>
    </row>
    <row r="4292" spans="2:5">
      <c r="B4292" t="s">
        <v>6498</v>
      </c>
      <c r="C4292">
        <v>526576</v>
      </c>
      <c r="D4292" t="s">
        <v>6499</v>
      </c>
      <c r="E4292" t="s">
        <v>537</v>
      </c>
    </row>
    <row r="4293" spans="2:5">
      <c r="B4293" t="s">
        <v>6500</v>
      </c>
      <c r="C4293">
        <v>542141</v>
      </c>
      <c r="D4293" t="s">
        <v>6501</v>
      </c>
      <c r="E4293" t="s">
        <v>737</v>
      </c>
    </row>
    <row r="4294" spans="2:5">
      <c r="B4294" t="s">
        <v>6502</v>
      </c>
      <c r="C4294">
        <v>532804</v>
      </c>
      <c r="D4294" t="s">
        <v>6503</v>
      </c>
      <c r="E4294" t="s">
        <v>662</v>
      </c>
    </row>
    <row r="4295" spans="2:5">
      <c r="B4295" t="s">
        <v>6504</v>
      </c>
      <c r="C4295">
        <v>532804</v>
      </c>
      <c r="D4295" t="s">
        <v>6503</v>
      </c>
      <c r="E4295" t="s">
        <v>662</v>
      </c>
    </row>
    <row r="4296" spans="2:5">
      <c r="B4296" t="s">
        <v>6505</v>
      </c>
      <c r="C4296">
        <v>533216</v>
      </c>
      <c r="D4296" t="s">
        <v>6506</v>
      </c>
      <c r="E4296" t="s">
        <v>737</v>
      </c>
    </row>
    <row r="4297" spans="2:5">
      <c r="B4297" t="s">
        <v>6507</v>
      </c>
      <c r="C4297">
        <v>509917</v>
      </c>
      <c r="D4297" t="s">
        <v>339</v>
      </c>
      <c r="E4297" t="s">
        <v>881</v>
      </c>
    </row>
    <row r="4298" spans="2:5">
      <c r="B4298" t="s">
        <v>6508</v>
      </c>
      <c r="C4298">
        <v>501421</v>
      </c>
      <c r="D4298" t="s">
        <v>339</v>
      </c>
      <c r="E4298" t="s">
        <v>432</v>
      </c>
    </row>
    <row r="4299" spans="2:5">
      <c r="B4299" t="s">
        <v>6509</v>
      </c>
      <c r="C4299">
        <v>524204</v>
      </c>
      <c r="D4299" t="s">
        <v>339</v>
      </c>
      <c r="E4299" t="s">
        <v>847</v>
      </c>
    </row>
    <row r="4300" spans="2:5">
      <c r="B4300" t="s">
        <v>6510</v>
      </c>
      <c r="C4300">
        <v>540595</v>
      </c>
      <c r="D4300" t="s">
        <v>6511</v>
      </c>
      <c r="E4300" t="s">
        <v>1285</v>
      </c>
    </row>
    <row r="4301" spans="2:5">
      <c r="B4301" t="s">
        <v>6512</v>
      </c>
      <c r="C4301">
        <v>539428</v>
      </c>
      <c r="D4301" t="s">
        <v>339</v>
      </c>
      <c r="E4301" t="s">
        <v>809</v>
      </c>
    </row>
    <row r="4302" spans="2:5">
      <c r="B4302" t="s">
        <v>6513</v>
      </c>
      <c r="C4302">
        <v>530595</v>
      </c>
      <c r="D4302" t="s">
        <v>339</v>
      </c>
      <c r="E4302" t="s">
        <v>432</v>
      </c>
    </row>
    <row r="4303" spans="2:5">
      <c r="B4303" t="s">
        <v>6514</v>
      </c>
      <c r="C4303">
        <v>533982</v>
      </c>
      <c r="D4303" t="s">
        <v>6515</v>
      </c>
      <c r="E4303" t="s">
        <v>325</v>
      </c>
    </row>
    <row r="4304" spans="2:5">
      <c r="B4304" t="s">
        <v>6516</v>
      </c>
      <c r="C4304">
        <v>530533</v>
      </c>
      <c r="D4304" t="s">
        <v>339</v>
      </c>
      <c r="E4304" t="s">
        <v>746</v>
      </c>
    </row>
    <row r="4305" spans="2:5">
      <c r="B4305" t="s">
        <v>6517</v>
      </c>
      <c r="C4305">
        <v>506162</v>
      </c>
      <c r="D4305" t="s">
        <v>339</v>
      </c>
      <c r="E4305" t="s">
        <v>322</v>
      </c>
    </row>
    <row r="4306" spans="2:5">
      <c r="B4306" t="s">
        <v>6518</v>
      </c>
      <c r="C4306">
        <v>512157</v>
      </c>
      <c r="D4306" t="s">
        <v>339</v>
      </c>
      <c r="E4306" t="s">
        <v>760</v>
      </c>
    </row>
    <row r="4307" spans="2:5">
      <c r="B4307" t="s">
        <v>6519</v>
      </c>
      <c r="C4307">
        <v>505400</v>
      </c>
      <c r="D4307" t="s">
        <v>6520</v>
      </c>
      <c r="E4307" t="s">
        <v>425</v>
      </c>
    </row>
    <row r="4308" spans="2:5">
      <c r="B4308" t="s">
        <v>6521</v>
      </c>
      <c r="C4308">
        <v>533326</v>
      </c>
      <c r="D4308" t="s">
        <v>6522</v>
      </c>
      <c r="E4308" t="s">
        <v>737</v>
      </c>
    </row>
    <row r="4309" spans="2:5">
      <c r="B4309" t="s">
        <v>6523</v>
      </c>
      <c r="C4309">
        <v>533164</v>
      </c>
      <c r="D4309" t="s">
        <v>6524</v>
      </c>
      <c r="E4309" t="s">
        <v>459</v>
      </c>
    </row>
    <row r="4310" spans="2:5">
      <c r="B4310" t="s">
        <v>6525</v>
      </c>
      <c r="C4310">
        <v>532845</v>
      </c>
      <c r="D4310" t="s">
        <v>6526</v>
      </c>
      <c r="E4310" t="s">
        <v>540</v>
      </c>
    </row>
    <row r="4311" spans="2:5">
      <c r="B4311" t="s">
        <v>6527</v>
      </c>
      <c r="C4311">
        <v>507753</v>
      </c>
      <c r="D4311" t="s">
        <v>339</v>
      </c>
      <c r="E4311" t="s">
        <v>387</v>
      </c>
    </row>
    <row r="4312" spans="2:5">
      <c r="B4312" t="s">
        <v>6528</v>
      </c>
      <c r="C4312">
        <v>509945</v>
      </c>
      <c r="D4312" t="s">
        <v>339</v>
      </c>
      <c r="E4312" t="s">
        <v>322</v>
      </c>
    </row>
    <row r="4313" spans="2:5">
      <c r="B4313" t="s">
        <v>6529</v>
      </c>
      <c r="C4313">
        <v>526654</v>
      </c>
      <c r="D4313" t="s">
        <v>339</v>
      </c>
      <c r="E4313" t="s">
        <v>425</v>
      </c>
    </row>
    <row r="4314" spans="2:5">
      <c r="B4314" t="s">
        <v>6530</v>
      </c>
      <c r="C4314">
        <v>509015</v>
      </c>
      <c r="D4314" t="s">
        <v>339</v>
      </c>
      <c r="E4314" t="s">
        <v>881</v>
      </c>
    </row>
    <row r="4315" spans="2:5">
      <c r="B4315" t="s">
        <v>6531</v>
      </c>
      <c r="C4315">
        <v>509015</v>
      </c>
      <c r="D4315" t="s">
        <v>339</v>
      </c>
      <c r="E4315" t="s">
        <v>881</v>
      </c>
    </row>
    <row r="4316" spans="2:5">
      <c r="B4316" t="s">
        <v>6532</v>
      </c>
      <c r="C4316">
        <v>514484</v>
      </c>
      <c r="D4316" t="s">
        <v>339</v>
      </c>
      <c r="E4316" t="s">
        <v>354</v>
      </c>
    </row>
    <row r="4317" spans="2:5">
      <c r="B4317" t="s">
        <v>6533</v>
      </c>
      <c r="C4317">
        <v>533158</v>
      </c>
      <c r="D4317" t="s">
        <v>6534</v>
      </c>
      <c r="E4317" t="s">
        <v>453</v>
      </c>
    </row>
    <row r="4318" spans="2:5">
      <c r="B4318" t="s">
        <v>6535</v>
      </c>
      <c r="C4318">
        <v>590062</v>
      </c>
      <c r="D4318" t="s">
        <v>6536</v>
      </c>
      <c r="E4318" t="s">
        <v>387</v>
      </c>
    </row>
    <row r="4319" spans="2:5">
      <c r="B4319" t="s">
        <v>6537</v>
      </c>
      <c r="C4319">
        <v>542460</v>
      </c>
      <c r="D4319" t="s">
        <v>6538</v>
      </c>
      <c r="E4319" t="s">
        <v>347</v>
      </c>
    </row>
    <row r="4320" spans="2:5">
      <c r="B4320" t="s">
        <v>6539</v>
      </c>
      <c r="C4320">
        <v>531373</v>
      </c>
      <c r="D4320" t="s">
        <v>6540</v>
      </c>
      <c r="E4320" t="s">
        <v>540</v>
      </c>
    </row>
    <row r="4321" spans="2:5">
      <c r="B4321" t="s">
        <v>6541</v>
      </c>
      <c r="C4321">
        <v>500469</v>
      </c>
      <c r="D4321" t="s">
        <v>6542</v>
      </c>
      <c r="E4321" t="s">
        <v>657</v>
      </c>
    </row>
    <row r="4322" spans="2:5">
      <c r="B4322" t="s">
        <v>6543</v>
      </c>
      <c r="C4322">
        <v>500620</v>
      </c>
      <c r="D4322" t="s">
        <v>6544</v>
      </c>
      <c r="E4322" t="s">
        <v>1586</v>
      </c>
    </row>
    <row r="4323" spans="2:5">
      <c r="B4323" t="s">
        <v>6545</v>
      </c>
      <c r="C4323" t="s">
        <v>339</v>
      </c>
      <c r="D4323" t="s">
        <v>6546</v>
      </c>
      <c r="E4323" t="s">
        <v>430</v>
      </c>
    </row>
    <row r="4324" spans="2:5">
      <c r="B4324" t="s">
        <v>6547</v>
      </c>
      <c r="C4324">
        <v>522073</v>
      </c>
      <c r="D4324" t="s">
        <v>6548</v>
      </c>
      <c r="E4324" t="s">
        <v>694</v>
      </c>
    </row>
    <row r="4325" spans="2:5">
      <c r="B4325" t="s">
        <v>6549</v>
      </c>
      <c r="C4325">
        <v>530005</v>
      </c>
      <c r="D4325" t="s">
        <v>6550</v>
      </c>
      <c r="E4325" t="s">
        <v>352</v>
      </c>
    </row>
    <row r="4326" spans="2:5">
      <c r="B4326" t="s">
        <v>6551</v>
      </c>
      <c r="C4326">
        <v>500850</v>
      </c>
      <c r="D4326" t="s">
        <v>6552</v>
      </c>
      <c r="E4326" t="s">
        <v>540</v>
      </c>
    </row>
    <row r="4327" spans="2:5">
      <c r="B4327" t="s">
        <v>6553</v>
      </c>
      <c r="C4327">
        <v>540954</v>
      </c>
      <c r="D4327" t="s">
        <v>339</v>
      </c>
      <c r="E4327" t="s">
        <v>834</v>
      </c>
    </row>
    <row r="4328" spans="2:5">
      <c r="B4328" t="s">
        <v>6554</v>
      </c>
      <c r="C4328">
        <v>530023</v>
      </c>
      <c r="D4328" t="s">
        <v>6555</v>
      </c>
      <c r="E4328" t="s">
        <v>356</v>
      </c>
    </row>
    <row r="4329" spans="2:5">
      <c r="B4329" t="s">
        <v>6556</v>
      </c>
      <c r="C4329">
        <v>530023</v>
      </c>
      <c r="D4329" t="s">
        <v>6555</v>
      </c>
      <c r="E4329" t="s">
        <v>356</v>
      </c>
    </row>
    <row r="4330" spans="2:5">
      <c r="B4330" t="s">
        <v>6557</v>
      </c>
      <c r="C4330">
        <v>532209</v>
      </c>
      <c r="D4330" t="s">
        <v>6558</v>
      </c>
      <c r="E4330" t="s">
        <v>657</v>
      </c>
    </row>
    <row r="4331" spans="2:5">
      <c r="B4331" t="s">
        <v>6559</v>
      </c>
      <c r="C4331">
        <v>532652</v>
      </c>
      <c r="D4331" t="s">
        <v>6560</v>
      </c>
      <c r="E4331" t="s">
        <v>657</v>
      </c>
    </row>
    <row r="4332" spans="2:5">
      <c r="B4332" t="s">
        <v>6561</v>
      </c>
      <c r="C4332">
        <v>540210</v>
      </c>
      <c r="D4332" t="s">
        <v>6562</v>
      </c>
      <c r="E4332" t="s">
        <v>340</v>
      </c>
    </row>
    <row r="4333" spans="2:5">
      <c r="B4333" t="s">
        <v>6563</v>
      </c>
      <c r="C4333">
        <v>501343</v>
      </c>
      <c r="D4333" t="s">
        <v>6564</v>
      </c>
      <c r="E4333" t="s">
        <v>356</v>
      </c>
    </row>
    <row r="4334" spans="2:5">
      <c r="B4334" t="s">
        <v>6565</v>
      </c>
      <c r="C4334">
        <v>540769</v>
      </c>
      <c r="D4334" t="s">
        <v>6566</v>
      </c>
      <c r="E4334" t="s">
        <v>2421</v>
      </c>
    </row>
    <row r="4335" spans="2:5">
      <c r="B4335" t="s">
        <v>6567</v>
      </c>
      <c r="C4335">
        <v>590086</v>
      </c>
      <c r="D4335" t="s">
        <v>6568</v>
      </c>
      <c r="E4335" t="s">
        <v>319</v>
      </c>
    </row>
    <row r="4336" spans="2:5">
      <c r="B4336" t="s">
        <v>6569</v>
      </c>
      <c r="C4336" t="s">
        <v>339</v>
      </c>
      <c r="D4336" t="s">
        <v>6570</v>
      </c>
      <c r="E4336" t="s">
        <v>430</v>
      </c>
    </row>
    <row r="4337" spans="2:5">
      <c r="B4337" t="s">
        <v>6571</v>
      </c>
      <c r="C4337">
        <v>503100</v>
      </c>
      <c r="D4337" t="s">
        <v>6572</v>
      </c>
      <c r="E4337" t="s">
        <v>425</v>
      </c>
    </row>
    <row r="4338" spans="2:5">
      <c r="B4338" t="s">
        <v>6573</v>
      </c>
      <c r="C4338">
        <v>542123</v>
      </c>
      <c r="D4338" t="s">
        <v>339</v>
      </c>
      <c r="E4338" t="s">
        <v>847</v>
      </c>
    </row>
    <row r="4339" spans="2:5">
      <c r="B4339" t="s">
        <v>6574</v>
      </c>
      <c r="C4339">
        <v>500260</v>
      </c>
      <c r="D4339" t="s">
        <v>6575</v>
      </c>
      <c r="E4339" t="s">
        <v>352</v>
      </c>
    </row>
    <row r="4340" spans="2:5">
      <c r="B4340" t="s">
        <v>6576</v>
      </c>
      <c r="C4340">
        <v>503169</v>
      </c>
      <c r="D4340" t="s">
        <v>6577</v>
      </c>
      <c r="E4340" t="s">
        <v>354</v>
      </c>
    </row>
    <row r="4341" spans="2:5">
      <c r="B4341" t="s">
        <v>6578</v>
      </c>
      <c r="C4341">
        <v>526725</v>
      </c>
      <c r="D4341" t="s">
        <v>6579</v>
      </c>
      <c r="E4341" t="s">
        <v>863</v>
      </c>
    </row>
    <row r="4342" spans="2:5">
      <c r="B4342" t="s">
        <v>6580</v>
      </c>
      <c r="C4342">
        <v>532218</v>
      </c>
      <c r="D4342" t="s">
        <v>6581</v>
      </c>
      <c r="E4342" t="s">
        <v>657</v>
      </c>
    </row>
    <row r="4343" spans="2:5">
      <c r="B4343" t="s">
        <v>6582</v>
      </c>
      <c r="C4343">
        <v>512531</v>
      </c>
      <c r="D4343" t="s">
        <v>6583</v>
      </c>
      <c r="E4343" t="s">
        <v>361</v>
      </c>
    </row>
    <row r="4344" spans="2:5">
      <c r="B4344" t="s">
        <v>6584</v>
      </c>
      <c r="C4344">
        <v>512531</v>
      </c>
      <c r="D4344" t="s">
        <v>6585</v>
      </c>
      <c r="E4344" t="s">
        <v>361</v>
      </c>
    </row>
    <row r="4345" spans="2:5">
      <c r="B4345" t="s">
        <v>6586</v>
      </c>
      <c r="C4345">
        <v>504966</v>
      </c>
      <c r="D4345" t="s">
        <v>6587</v>
      </c>
      <c r="E4345" t="s">
        <v>534</v>
      </c>
    </row>
    <row r="4346" spans="2:5">
      <c r="B4346" t="s">
        <v>6588</v>
      </c>
      <c r="C4346">
        <v>504966</v>
      </c>
      <c r="D4346" t="s">
        <v>6587</v>
      </c>
      <c r="E4346" t="s">
        <v>534</v>
      </c>
    </row>
    <row r="4347" spans="2:5">
      <c r="B4347" t="s">
        <v>6589</v>
      </c>
      <c r="C4347">
        <v>530363</v>
      </c>
      <c r="D4347" t="s">
        <v>6590</v>
      </c>
      <c r="E4347" t="s">
        <v>1037</v>
      </c>
    </row>
    <row r="4348" spans="2:5">
      <c r="B4348" t="s">
        <v>6591</v>
      </c>
      <c r="C4348" t="s">
        <v>339</v>
      </c>
      <c r="D4348" t="s">
        <v>6592</v>
      </c>
      <c r="E4348" t="s">
        <v>430</v>
      </c>
    </row>
    <row r="4349" spans="2:5">
      <c r="B4349" t="s">
        <v>6593</v>
      </c>
      <c r="C4349" t="s">
        <v>339</v>
      </c>
      <c r="D4349" t="s">
        <v>6594</v>
      </c>
      <c r="E4349" t="s">
        <v>430</v>
      </c>
    </row>
    <row r="4350" spans="2:5">
      <c r="B4350" t="s">
        <v>6595</v>
      </c>
      <c r="C4350">
        <v>540980</v>
      </c>
      <c r="D4350" t="s">
        <v>339</v>
      </c>
      <c r="E4350" t="s">
        <v>361</v>
      </c>
    </row>
    <row r="4351" spans="2:5">
      <c r="B4351" t="s">
        <v>6596</v>
      </c>
      <c r="C4351" t="s">
        <v>339</v>
      </c>
      <c r="D4351" t="s">
        <v>6597</v>
      </c>
      <c r="E4351" t="s">
        <v>350</v>
      </c>
    </row>
    <row r="4352" spans="2:5">
      <c r="B4352" t="s">
        <v>6598</v>
      </c>
      <c r="C4352">
        <v>530199</v>
      </c>
      <c r="D4352" t="s">
        <v>6599</v>
      </c>
      <c r="E4352" t="s">
        <v>377</v>
      </c>
    </row>
    <row r="4353" spans="2:5">
      <c r="B4353" t="s">
        <v>6600</v>
      </c>
      <c r="C4353">
        <v>500411</v>
      </c>
      <c r="D4353" t="s">
        <v>6601</v>
      </c>
      <c r="E4353" t="s">
        <v>382</v>
      </c>
    </row>
    <row r="4354" spans="2:5">
      <c r="B4354" t="s">
        <v>6602</v>
      </c>
      <c r="C4354">
        <v>539310</v>
      </c>
      <c r="D4354" t="s">
        <v>339</v>
      </c>
      <c r="E4354" t="s">
        <v>1941</v>
      </c>
    </row>
    <row r="4355" spans="2:5">
      <c r="B4355" t="s">
        <v>6603</v>
      </c>
      <c r="C4355">
        <v>538464</v>
      </c>
      <c r="D4355" t="s">
        <v>339</v>
      </c>
      <c r="E4355" t="s">
        <v>356</v>
      </c>
    </row>
    <row r="4356" spans="2:5">
      <c r="B4356" t="s">
        <v>6604</v>
      </c>
      <c r="C4356">
        <v>531652</v>
      </c>
      <c r="D4356" t="s">
        <v>339</v>
      </c>
      <c r="E4356" t="s">
        <v>356</v>
      </c>
    </row>
    <row r="4357" spans="2:5">
      <c r="B4357" t="s">
        <v>6605</v>
      </c>
      <c r="C4357">
        <v>507450</v>
      </c>
      <c r="D4357" t="s">
        <v>6606</v>
      </c>
      <c r="E4357" t="s">
        <v>1037</v>
      </c>
    </row>
    <row r="4358" spans="2:5">
      <c r="B4358" t="s">
        <v>6607</v>
      </c>
      <c r="C4358">
        <v>500412</v>
      </c>
      <c r="D4358" t="s">
        <v>6608</v>
      </c>
      <c r="E4358" t="s">
        <v>387</v>
      </c>
    </row>
    <row r="4359" spans="2:5">
      <c r="B4359" t="s">
        <v>6609</v>
      </c>
      <c r="C4359">
        <v>500413</v>
      </c>
      <c r="D4359" t="s">
        <v>6610</v>
      </c>
      <c r="E4359" t="s">
        <v>1341</v>
      </c>
    </row>
    <row r="4360" spans="2:5">
      <c r="B4360" t="s">
        <v>6611</v>
      </c>
      <c r="C4360">
        <v>500413</v>
      </c>
      <c r="D4360" t="s">
        <v>6610</v>
      </c>
      <c r="E4360" t="s">
        <v>1341</v>
      </c>
    </row>
    <row r="4361" spans="2:5">
      <c r="B4361" t="s">
        <v>6612</v>
      </c>
      <c r="C4361">
        <v>533941</v>
      </c>
      <c r="D4361" t="s">
        <v>6613</v>
      </c>
      <c r="E4361" t="s">
        <v>453</v>
      </c>
    </row>
    <row r="4362" spans="2:5">
      <c r="B4362" t="s">
        <v>6614</v>
      </c>
      <c r="C4362">
        <v>533941</v>
      </c>
      <c r="D4362" t="s">
        <v>6613</v>
      </c>
      <c r="E4362" t="s">
        <v>453</v>
      </c>
    </row>
    <row r="4363" spans="2:5">
      <c r="B4363" t="s">
        <v>6615</v>
      </c>
      <c r="C4363">
        <v>539871</v>
      </c>
      <c r="D4363" t="s">
        <v>6616</v>
      </c>
      <c r="E4363" t="s">
        <v>528</v>
      </c>
    </row>
    <row r="4364" spans="2:5">
      <c r="B4364" t="s">
        <v>6617</v>
      </c>
      <c r="C4364">
        <v>504973</v>
      </c>
      <c r="D4364" t="s">
        <v>6618</v>
      </c>
      <c r="E4364" t="s">
        <v>694</v>
      </c>
    </row>
    <row r="4365" spans="2:5">
      <c r="B4365" t="s">
        <v>6619</v>
      </c>
      <c r="C4365">
        <v>540108</v>
      </c>
      <c r="D4365" t="s">
        <v>339</v>
      </c>
      <c r="E4365" t="s">
        <v>322</v>
      </c>
    </row>
    <row r="4366" spans="2:5">
      <c r="B4366" t="s">
        <v>6620</v>
      </c>
      <c r="C4366">
        <v>590005</v>
      </c>
      <c r="D4366" t="s">
        <v>6621</v>
      </c>
      <c r="E4366" t="s">
        <v>549</v>
      </c>
    </row>
    <row r="4367" spans="2:5">
      <c r="B4367" t="s">
        <v>6622</v>
      </c>
      <c r="C4367">
        <v>590005</v>
      </c>
      <c r="D4367" t="s">
        <v>6621</v>
      </c>
      <c r="E4367" t="s">
        <v>549</v>
      </c>
    </row>
    <row r="4368" spans="2:5">
      <c r="B4368" t="s">
        <v>6623</v>
      </c>
      <c r="C4368">
        <v>536264</v>
      </c>
      <c r="D4368" t="s">
        <v>339</v>
      </c>
      <c r="E4368" t="s">
        <v>660</v>
      </c>
    </row>
    <row r="4369" spans="2:5">
      <c r="B4369" t="s">
        <v>6624</v>
      </c>
      <c r="C4369">
        <v>536264</v>
      </c>
      <c r="D4369" t="s">
        <v>339</v>
      </c>
      <c r="E4369" t="s">
        <v>660</v>
      </c>
    </row>
    <row r="4370" spans="2:5">
      <c r="B4370" t="s">
        <v>6625</v>
      </c>
      <c r="C4370">
        <v>533629</v>
      </c>
      <c r="D4370" t="s">
        <v>6626</v>
      </c>
      <c r="E4370" t="s">
        <v>459</v>
      </c>
    </row>
    <row r="4371" spans="2:5">
      <c r="B4371" t="s">
        <v>6627</v>
      </c>
      <c r="C4371">
        <v>505196</v>
      </c>
      <c r="D4371" t="s">
        <v>6628</v>
      </c>
      <c r="E4371" t="s">
        <v>462</v>
      </c>
    </row>
    <row r="4372" spans="2:5">
      <c r="B4372" t="s">
        <v>6629</v>
      </c>
      <c r="C4372">
        <v>503663</v>
      </c>
      <c r="D4372" t="s">
        <v>6630</v>
      </c>
      <c r="E4372" t="s">
        <v>359</v>
      </c>
    </row>
    <row r="4373" spans="2:5">
      <c r="B4373" t="s">
        <v>6631</v>
      </c>
      <c r="C4373">
        <v>507205</v>
      </c>
      <c r="D4373" t="s">
        <v>6632</v>
      </c>
      <c r="E4373" t="s">
        <v>970</v>
      </c>
    </row>
    <row r="4374" spans="2:5">
      <c r="B4374" t="s">
        <v>6633</v>
      </c>
      <c r="C4374">
        <v>532856</v>
      </c>
      <c r="D4374" t="s">
        <v>6634</v>
      </c>
      <c r="E4374" t="s">
        <v>459</v>
      </c>
    </row>
    <row r="4375" spans="2:5">
      <c r="B4375" t="s">
        <v>6635</v>
      </c>
      <c r="C4375">
        <v>511559</v>
      </c>
      <c r="D4375" t="s">
        <v>6636</v>
      </c>
      <c r="E4375" t="s">
        <v>356</v>
      </c>
    </row>
    <row r="4376" spans="2:5">
      <c r="B4376" t="s">
        <v>6637</v>
      </c>
      <c r="C4376">
        <v>500414</v>
      </c>
      <c r="D4376" t="s">
        <v>339</v>
      </c>
      <c r="E4376" t="s">
        <v>453</v>
      </c>
    </row>
    <row r="4377" spans="2:5">
      <c r="B4377" t="s">
        <v>6638</v>
      </c>
      <c r="C4377">
        <v>500414</v>
      </c>
      <c r="D4377" t="s">
        <v>339</v>
      </c>
      <c r="E4377" t="s">
        <v>453</v>
      </c>
    </row>
    <row r="4378" spans="2:5">
      <c r="B4378" t="s">
        <v>6639</v>
      </c>
      <c r="C4378">
        <v>522113</v>
      </c>
      <c r="D4378" t="s">
        <v>6640</v>
      </c>
      <c r="E4378" t="s">
        <v>347</v>
      </c>
    </row>
    <row r="4379" spans="2:5">
      <c r="B4379" t="s">
        <v>6641</v>
      </c>
      <c r="C4379">
        <v>522113</v>
      </c>
      <c r="D4379" t="s">
        <v>6640</v>
      </c>
      <c r="E4379" t="s">
        <v>347</v>
      </c>
    </row>
    <row r="4380" spans="2:5">
      <c r="B4380" t="s">
        <v>6642</v>
      </c>
      <c r="C4380">
        <v>530475</v>
      </c>
      <c r="D4380" t="s">
        <v>339</v>
      </c>
      <c r="E4380" t="s">
        <v>499</v>
      </c>
    </row>
    <row r="4381" spans="2:5">
      <c r="B4381" t="s">
        <v>6643</v>
      </c>
      <c r="C4381">
        <v>541741</v>
      </c>
      <c r="D4381" t="s">
        <v>339</v>
      </c>
      <c r="E4381" t="s">
        <v>361</v>
      </c>
    </row>
    <row r="4382" spans="2:5">
      <c r="B4382" t="s">
        <v>6644</v>
      </c>
      <c r="C4382">
        <v>532375</v>
      </c>
      <c r="D4382" t="s">
        <v>6645</v>
      </c>
      <c r="E4382" t="s">
        <v>342</v>
      </c>
    </row>
    <row r="4383" spans="2:5">
      <c r="B4383" t="s">
        <v>6646</v>
      </c>
      <c r="C4383">
        <v>539488</v>
      </c>
      <c r="D4383" t="s">
        <v>339</v>
      </c>
      <c r="E4383" t="s">
        <v>359</v>
      </c>
    </row>
    <row r="4384" spans="2:5">
      <c r="B4384" t="s">
        <v>6647</v>
      </c>
      <c r="C4384">
        <v>540904</v>
      </c>
      <c r="D4384" t="s">
        <v>339</v>
      </c>
      <c r="E4384" t="s">
        <v>616</v>
      </c>
    </row>
    <row r="4385" spans="2:5">
      <c r="B4385" t="s">
        <v>6648</v>
      </c>
      <c r="C4385" t="s">
        <v>339</v>
      </c>
      <c r="D4385" t="s">
        <v>6649</v>
      </c>
      <c r="E4385" t="s">
        <v>350</v>
      </c>
    </row>
    <row r="4386" spans="2:5">
      <c r="B4386" t="s">
        <v>6650</v>
      </c>
      <c r="C4386">
        <v>531547</v>
      </c>
      <c r="D4386" t="s">
        <v>339</v>
      </c>
      <c r="E4386" t="s">
        <v>537</v>
      </c>
    </row>
    <row r="4387" spans="2:5">
      <c r="B4387" t="s">
        <v>6651</v>
      </c>
      <c r="C4387">
        <v>531547</v>
      </c>
      <c r="D4387" t="s">
        <v>339</v>
      </c>
      <c r="E4387" t="s">
        <v>537</v>
      </c>
    </row>
    <row r="4388" spans="2:5">
      <c r="B4388" t="s">
        <v>6652</v>
      </c>
      <c r="C4388">
        <v>531814</v>
      </c>
      <c r="D4388" t="s">
        <v>339</v>
      </c>
      <c r="E4388" t="s">
        <v>425</v>
      </c>
    </row>
    <row r="4389" spans="2:5">
      <c r="B4389" t="s">
        <v>6653</v>
      </c>
      <c r="C4389">
        <v>524582</v>
      </c>
      <c r="D4389" t="s">
        <v>339</v>
      </c>
      <c r="E4389" t="s">
        <v>419</v>
      </c>
    </row>
    <row r="4390" spans="2:5">
      <c r="B4390" t="s">
        <v>6654</v>
      </c>
      <c r="C4390">
        <v>539040</v>
      </c>
      <c r="D4390" t="s">
        <v>339</v>
      </c>
      <c r="E4390" t="s">
        <v>819</v>
      </c>
    </row>
    <row r="4391" spans="2:5">
      <c r="B4391" t="s">
        <v>6655</v>
      </c>
      <c r="C4391">
        <v>539985</v>
      </c>
      <c r="D4391" t="s">
        <v>339</v>
      </c>
      <c r="E4391" t="s">
        <v>354</v>
      </c>
    </row>
    <row r="4392" spans="2:5">
      <c r="B4392" t="s">
        <v>6656</v>
      </c>
      <c r="C4392">
        <v>532966</v>
      </c>
      <c r="D4392" t="s">
        <v>6657</v>
      </c>
      <c r="E4392" t="s">
        <v>417</v>
      </c>
    </row>
    <row r="4393" spans="2:5">
      <c r="B4393" t="s">
        <v>6658</v>
      </c>
      <c r="C4393">
        <v>524717</v>
      </c>
      <c r="D4393" t="s">
        <v>339</v>
      </c>
      <c r="E4393" t="s">
        <v>499</v>
      </c>
    </row>
    <row r="4394" spans="2:5">
      <c r="B4394" t="s">
        <v>6659</v>
      </c>
      <c r="C4394">
        <v>500114</v>
      </c>
      <c r="D4394" t="s">
        <v>6660</v>
      </c>
      <c r="E4394" t="s">
        <v>453</v>
      </c>
    </row>
    <row r="4395" spans="2:5">
      <c r="B4395" t="s">
        <v>6661</v>
      </c>
      <c r="C4395">
        <v>530045</v>
      </c>
      <c r="D4395" t="s">
        <v>339</v>
      </c>
      <c r="E4395" t="s">
        <v>356</v>
      </c>
    </row>
    <row r="4396" spans="2:5">
      <c r="B4396" t="s">
        <v>6662</v>
      </c>
      <c r="C4396">
        <v>511096</v>
      </c>
      <c r="D4396" t="s">
        <v>339</v>
      </c>
      <c r="E4396" t="s">
        <v>425</v>
      </c>
    </row>
    <row r="4397" spans="2:5">
      <c r="B4397" t="s">
        <v>6663</v>
      </c>
      <c r="C4397">
        <v>531830</v>
      </c>
      <c r="D4397" t="s">
        <v>6664</v>
      </c>
      <c r="E4397" t="s">
        <v>885</v>
      </c>
    </row>
    <row r="4398" spans="2:5">
      <c r="B4398" t="s">
        <v>6665</v>
      </c>
      <c r="C4398">
        <v>531644</v>
      </c>
      <c r="D4398" t="s">
        <v>339</v>
      </c>
      <c r="E4398" t="s">
        <v>356</v>
      </c>
    </row>
    <row r="4399" spans="2:5">
      <c r="B4399" t="s">
        <v>6666</v>
      </c>
      <c r="C4399">
        <v>500418</v>
      </c>
      <c r="D4399" t="s">
        <v>6667</v>
      </c>
      <c r="E4399" t="s">
        <v>459</v>
      </c>
    </row>
    <row r="4400" spans="2:5">
      <c r="B4400" t="s">
        <v>6668</v>
      </c>
      <c r="C4400">
        <v>500420</v>
      </c>
      <c r="D4400" t="s">
        <v>6669</v>
      </c>
      <c r="E4400" t="s">
        <v>377</v>
      </c>
    </row>
    <row r="4401" spans="2:5">
      <c r="B4401" t="s">
        <v>6670</v>
      </c>
      <c r="C4401">
        <v>532779</v>
      </c>
      <c r="D4401" t="s">
        <v>6671</v>
      </c>
      <c r="E4401" t="s">
        <v>478</v>
      </c>
    </row>
    <row r="4402" spans="2:5">
      <c r="B4402" t="s">
        <v>6672</v>
      </c>
      <c r="C4402">
        <v>523878</v>
      </c>
      <c r="D4402" t="s">
        <v>339</v>
      </c>
      <c r="E4402" t="s">
        <v>664</v>
      </c>
    </row>
    <row r="4403" spans="2:5">
      <c r="B4403" t="s">
        <v>6673</v>
      </c>
      <c r="C4403" t="s">
        <v>339</v>
      </c>
      <c r="D4403" t="s">
        <v>6674</v>
      </c>
      <c r="E4403" t="s">
        <v>350</v>
      </c>
    </row>
    <row r="4404" spans="2:5">
      <c r="B4404" t="s">
        <v>6675</v>
      </c>
      <c r="C4404" t="s">
        <v>339</v>
      </c>
      <c r="D4404" t="s">
        <v>6676</v>
      </c>
      <c r="E4404" t="s">
        <v>350</v>
      </c>
    </row>
    <row r="4405" spans="2:5">
      <c r="B4405" t="s">
        <v>6677</v>
      </c>
      <c r="C4405">
        <v>526650</v>
      </c>
      <c r="D4405" t="s">
        <v>6678</v>
      </c>
      <c r="E4405" t="s">
        <v>2671</v>
      </c>
    </row>
    <row r="4406" spans="2:5">
      <c r="B4406" t="s">
        <v>6679</v>
      </c>
      <c r="C4406">
        <v>526650</v>
      </c>
      <c r="D4406" t="s">
        <v>6678</v>
      </c>
      <c r="E4406" t="s">
        <v>2671</v>
      </c>
    </row>
    <row r="4407" spans="2:5">
      <c r="B4407" t="s">
        <v>6680</v>
      </c>
      <c r="C4407">
        <v>531771</v>
      </c>
      <c r="D4407" t="s">
        <v>339</v>
      </c>
      <c r="E4407" t="s">
        <v>637</v>
      </c>
    </row>
    <row r="4408" spans="2:5">
      <c r="B4408" t="s">
        <v>6681</v>
      </c>
      <c r="C4408">
        <v>538607</v>
      </c>
      <c r="D4408" t="s">
        <v>339</v>
      </c>
      <c r="E4408" t="s">
        <v>322</v>
      </c>
    </row>
    <row r="4409" spans="2:5">
      <c r="B4409" t="s">
        <v>6682</v>
      </c>
      <c r="C4409">
        <v>500421</v>
      </c>
      <c r="D4409" t="s">
        <v>339</v>
      </c>
      <c r="E4409" t="s">
        <v>534</v>
      </c>
    </row>
    <row r="4410" spans="2:5">
      <c r="B4410" t="s">
        <v>6683</v>
      </c>
      <c r="C4410">
        <v>500421</v>
      </c>
      <c r="D4410" t="s">
        <v>339</v>
      </c>
      <c r="E4410" t="s">
        <v>534</v>
      </c>
    </row>
    <row r="4411" spans="2:5">
      <c r="B4411" t="s">
        <v>6684</v>
      </c>
      <c r="C4411">
        <v>526582</v>
      </c>
      <c r="D4411" t="s">
        <v>6685</v>
      </c>
      <c r="E4411" t="s">
        <v>459</v>
      </c>
    </row>
    <row r="4412" spans="2:5">
      <c r="B4412" t="s">
        <v>6686</v>
      </c>
      <c r="C4412">
        <v>509953</v>
      </c>
      <c r="D4412" t="s">
        <v>339</v>
      </c>
      <c r="E4412" t="s">
        <v>1341</v>
      </c>
    </row>
    <row r="4413" spans="2:5">
      <c r="B4413" t="s">
        <v>6687</v>
      </c>
      <c r="C4413">
        <v>530783</v>
      </c>
      <c r="D4413" t="s">
        <v>339</v>
      </c>
      <c r="E4413" t="s">
        <v>377</v>
      </c>
    </row>
    <row r="4414" spans="2:5">
      <c r="B4414" t="s">
        <v>6688</v>
      </c>
      <c r="C4414">
        <v>526961</v>
      </c>
      <c r="D4414" t="s">
        <v>6689</v>
      </c>
      <c r="E4414" t="s">
        <v>356</v>
      </c>
    </row>
    <row r="4415" spans="2:5">
      <c r="B4415" t="s">
        <v>6690</v>
      </c>
      <c r="C4415">
        <v>500422</v>
      </c>
      <c r="D4415" t="s">
        <v>339</v>
      </c>
      <c r="E4415" t="s">
        <v>377</v>
      </c>
    </row>
    <row r="4416" spans="2:5">
      <c r="B4416" t="s">
        <v>6691</v>
      </c>
      <c r="C4416">
        <v>532410</v>
      </c>
      <c r="D4416" t="s">
        <v>339</v>
      </c>
      <c r="E4416" t="s">
        <v>322</v>
      </c>
    </row>
    <row r="4417" spans="2:5">
      <c r="B4417" t="s">
        <v>6692</v>
      </c>
      <c r="C4417">
        <v>532928</v>
      </c>
      <c r="D4417" t="s">
        <v>6693</v>
      </c>
      <c r="E4417" t="s">
        <v>382</v>
      </c>
    </row>
    <row r="4418" spans="2:5">
      <c r="B4418" t="s">
        <v>6694</v>
      </c>
      <c r="C4418">
        <v>532928</v>
      </c>
      <c r="D4418" t="s">
        <v>6693</v>
      </c>
      <c r="E4418" t="s">
        <v>382</v>
      </c>
    </row>
    <row r="4419" spans="2:5">
      <c r="B4419" t="s">
        <v>6695</v>
      </c>
      <c r="C4419">
        <v>513063</v>
      </c>
      <c r="D4419" t="s">
        <v>339</v>
      </c>
      <c r="E4419" t="s">
        <v>662</v>
      </c>
    </row>
    <row r="4420" spans="2:5">
      <c r="B4420" t="s">
        <v>6696</v>
      </c>
      <c r="C4420">
        <v>526139</v>
      </c>
      <c r="D4420" t="s">
        <v>339</v>
      </c>
      <c r="E4420" t="s">
        <v>528</v>
      </c>
    </row>
    <row r="4421" spans="2:5">
      <c r="B4421" t="s">
        <v>6697</v>
      </c>
      <c r="C4421">
        <v>519367</v>
      </c>
      <c r="D4421" t="s">
        <v>339</v>
      </c>
      <c r="E4421" t="s">
        <v>774</v>
      </c>
    </row>
    <row r="4422" spans="2:5">
      <c r="B4422" t="s">
        <v>6698</v>
      </c>
      <c r="C4422">
        <v>509003</v>
      </c>
      <c r="D4422" t="s">
        <v>339</v>
      </c>
      <c r="E4422" t="s">
        <v>760</v>
      </c>
    </row>
    <row r="4423" spans="2:5">
      <c r="B4423" t="s">
        <v>6699</v>
      </c>
      <c r="C4423">
        <v>506687</v>
      </c>
      <c r="D4423" t="s">
        <v>339</v>
      </c>
      <c r="E4423" t="s">
        <v>387</v>
      </c>
    </row>
    <row r="4424" spans="2:5">
      <c r="B4424" t="s">
        <v>6700</v>
      </c>
      <c r="C4424">
        <v>532349</v>
      </c>
      <c r="D4424" t="s">
        <v>6701</v>
      </c>
      <c r="E4424" t="s">
        <v>411</v>
      </c>
    </row>
    <row r="4425" spans="2:5">
      <c r="B4425" t="s">
        <v>6702</v>
      </c>
      <c r="C4425">
        <v>532349</v>
      </c>
      <c r="D4425" t="s">
        <v>6701</v>
      </c>
      <c r="E4425" t="s">
        <v>411</v>
      </c>
    </row>
    <row r="4426" spans="2:5">
      <c r="B4426" t="s">
        <v>6703</v>
      </c>
      <c r="C4426">
        <v>532812</v>
      </c>
      <c r="D4426" t="s">
        <v>6704</v>
      </c>
      <c r="E4426" t="s">
        <v>356</v>
      </c>
    </row>
    <row r="4427" spans="2:5">
      <c r="B4427" t="s">
        <v>6705</v>
      </c>
      <c r="C4427" t="s">
        <v>339</v>
      </c>
      <c r="D4427" t="s">
        <v>6706</v>
      </c>
      <c r="E4427" t="s">
        <v>350</v>
      </c>
    </row>
    <row r="4428" spans="2:5">
      <c r="B4428" t="s">
        <v>6707</v>
      </c>
      <c r="C4428">
        <v>533540</v>
      </c>
      <c r="D4428" t="s">
        <v>6708</v>
      </c>
      <c r="E4428" t="s">
        <v>444</v>
      </c>
    </row>
    <row r="4429" spans="2:5">
      <c r="B4429" t="s">
        <v>6709</v>
      </c>
      <c r="C4429">
        <v>542233</v>
      </c>
      <c r="D4429" t="s">
        <v>6710</v>
      </c>
      <c r="E4429" t="s">
        <v>1535</v>
      </c>
    </row>
    <row r="4430" spans="2:5">
      <c r="B4430" t="s">
        <v>6711</v>
      </c>
      <c r="C4430">
        <v>500251</v>
      </c>
      <c r="D4430" t="s">
        <v>6712</v>
      </c>
      <c r="E4430" t="s">
        <v>340</v>
      </c>
    </row>
    <row r="4431" spans="2:5">
      <c r="B4431" t="s">
        <v>6713</v>
      </c>
      <c r="C4431">
        <v>532159</v>
      </c>
      <c r="D4431" t="s">
        <v>339</v>
      </c>
      <c r="E4431" t="s">
        <v>322</v>
      </c>
    </row>
    <row r="4432" spans="2:5">
      <c r="B4432" t="s">
        <v>6714</v>
      </c>
      <c r="C4432">
        <v>505854</v>
      </c>
      <c r="D4432" t="s">
        <v>6715</v>
      </c>
      <c r="E4432" t="s">
        <v>347</v>
      </c>
    </row>
    <row r="4433" spans="2:5">
      <c r="B4433" t="s">
        <v>6716</v>
      </c>
      <c r="C4433">
        <v>534369</v>
      </c>
      <c r="D4433" t="s">
        <v>6717</v>
      </c>
      <c r="E4433" t="s">
        <v>453</v>
      </c>
    </row>
    <row r="4434" spans="2:5">
      <c r="B4434" t="s">
        <v>6718</v>
      </c>
      <c r="C4434">
        <v>531716</v>
      </c>
      <c r="D4434" t="s">
        <v>339</v>
      </c>
      <c r="E4434" t="s">
        <v>419</v>
      </c>
    </row>
    <row r="4435" spans="2:5">
      <c r="B4435" t="s">
        <v>6719</v>
      </c>
      <c r="C4435">
        <v>521064</v>
      </c>
      <c r="D4435" t="s">
        <v>6720</v>
      </c>
      <c r="E4435" t="s">
        <v>354</v>
      </c>
    </row>
    <row r="4436" spans="2:5">
      <c r="B4436" t="s">
        <v>6721</v>
      </c>
      <c r="C4436">
        <v>540726</v>
      </c>
      <c r="D4436" t="s">
        <v>339</v>
      </c>
      <c r="E4436" t="s">
        <v>361</v>
      </c>
    </row>
    <row r="4437" spans="2:5">
      <c r="B4437" t="s">
        <v>6722</v>
      </c>
      <c r="C4437">
        <v>531972</v>
      </c>
      <c r="D4437" t="s">
        <v>339</v>
      </c>
      <c r="E4437" t="s">
        <v>524</v>
      </c>
    </row>
    <row r="4438" spans="2:5">
      <c r="B4438" t="s">
        <v>6723</v>
      </c>
      <c r="C4438">
        <v>517562</v>
      </c>
      <c r="D4438" t="s">
        <v>6724</v>
      </c>
      <c r="E4438" t="s">
        <v>325</v>
      </c>
    </row>
    <row r="4439" spans="2:5">
      <c r="B4439" t="s">
        <v>6725</v>
      </c>
      <c r="C4439">
        <v>531658</v>
      </c>
      <c r="D4439" t="s">
        <v>339</v>
      </c>
      <c r="E4439" t="s">
        <v>356</v>
      </c>
    </row>
    <row r="4440" spans="2:5">
      <c r="B4440" t="s">
        <v>6726</v>
      </c>
      <c r="C4440">
        <v>536565</v>
      </c>
      <c r="D4440" t="s">
        <v>339</v>
      </c>
      <c r="E4440" t="s">
        <v>6727</v>
      </c>
    </row>
    <row r="4441" spans="2:5">
      <c r="B4441" t="s">
        <v>6728</v>
      </c>
      <c r="C4441">
        <v>531846</v>
      </c>
      <c r="D4441" t="s">
        <v>339</v>
      </c>
      <c r="E4441" t="s">
        <v>322</v>
      </c>
    </row>
    <row r="4442" spans="2:5">
      <c r="B4442" t="s">
        <v>6729</v>
      </c>
      <c r="C4442">
        <v>531846</v>
      </c>
      <c r="D4442" t="s">
        <v>339</v>
      </c>
      <c r="E4442" t="s">
        <v>322</v>
      </c>
    </row>
    <row r="4443" spans="2:5">
      <c r="B4443" t="s">
        <v>6730</v>
      </c>
      <c r="C4443">
        <v>534755</v>
      </c>
      <c r="D4443" t="s">
        <v>6731</v>
      </c>
      <c r="E4443" t="s">
        <v>322</v>
      </c>
    </row>
    <row r="4444" spans="2:5">
      <c r="B4444" t="s">
        <v>6732</v>
      </c>
      <c r="C4444">
        <v>512101</v>
      </c>
      <c r="D4444" t="s">
        <v>339</v>
      </c>
      <c r="E4444" t="s">
        <v>377</v>
      </c>
    </row>
    <row r="4445" spans="2:5">
      <c r="B4445" t="s">
        <v>6733</v>
      </c>
      <c r="C4445">
        <v>531279</v>
      </c>
      <c r="D4445" t="s">
        <v>339</v>
      </c>
      <c r="E4445" t="s">
        <v>356</v>
      </c>
    </row>
    <row r="4446" spans="2:5">
      <c r="B4446" t="s">
        <v>6734</v>
      </c>
      <c r="C4446">
        <v>523387</v>
      </c>
      <c r="D4446" t="s">
        <v>339</v>
      </c>
      <c r="E4446" t="s">
        <v>453</v>
      </c>
    </row>
    <row r="4447" spans="2:5">
      <c r="B4447" t="s">
        <v>6735</v>
      </c>
      <c r="C4447">
        <v>505978</v>
      </c>
      <c r="D4447" t="s">
        <v>339</v>
      </c>
      <c r="E4447" t="s">
        <v>694</v>
      </c>
    </row>
    <row r="4448" spans="2:5">
      <c r="B4448" t="s">
        <v>6736</v>
      </c>
      <c r="C4448">
        <v>532356</v>
      </c>
      <c r="D4448" t="s">
        <v>6737</v>
      </c>
      <c r="E4448" t="s">
        <v>1037</v>
      </c>
    </row>
    <row r="4449" spans="2:5">
      <c r="B4449" t="s">
        <v>6738</v>
      </c>
      <c r="C4449">
        <v>538569</v>
      </c>
      <c r="D4449" t="s">
        <v>6739</v>
      </c>
      <c r="E4449" t="s">
        <v>705</v>
      </c>
    </row>
    <row r="4450" spans="2:5">
      <c r="B4450" t="s">
        <v>6740</v>
      </c>
      <c r="C4450">
        <v>502281</v>
      </c>
      <c r="D4450" t="s">
        <v>339</v>
      </c>
      <c r="E4450" t="s">
        <v>867</v>
      </c>
    </row>
    <row r="4451" spans="2:5">
      <c r="B4451" t="s">
        <v>6741</v>
      </c>
      <c r="C4451">
        <v>533655</v>
      </c>
      <c r="D4451" t="s">
        <v>6742</v>
      </c>
      <c r="E4451" t="s">
        <v>382</v>
      </c>
    </row>
    <row r="4452" spans="2:5">
      <c r="B4452" t="s">
        <v>6743</v>
      </c>
      <c r="C4452">
        <v>538579</v>
      </c>
      <c r="D4452" t="s">
        <v>339</v>
      </c>
      <c r="E4452" t="s">
        <v>361</v>
      </c>
    </row>
    <row r="4453" spans="2:5">
      <c r="B4453" t="s">
        <v>6744</v>
      </c>
      <c r="C4453">
        <v>519303</v>
      </c>
      <c r="D4453" t="s">
        <v>339</v>
      </c>
      <c r="E4453" t="s">
        <v>588</v>
      </c>
    </row>
    <row r="4454" spans="2:5">
      <c r="B4454" t="s">
        <v>6745</v>
      </c>
      <c r="C4454">
        <v>538597</v>
      </c>
      <c r="D4454" t="s">
        <v>339</v>
      </c>
      <c r="E4454" t="s">
        <v>356</v>
      </c>
    </row>
    <row r="4455" spans="2:5">
      <c r="B4455" t="s">
        <v>6746</v>
      </c>
      <c r="C4455">
        <v>507747</v>
      </c>
      <c r="D4455" t="s">
        <v>6747</v>
      </c>
      <c r="E4455" t="s">
        <v>377</v>
      </c>
    </row>
    <row r="4456" spans="2:5">
      <c r="B4456" t="s">
        <v>6748</v>
      </c>
      <c r="C4456">
        <v>517506</v>
      </c>
      <c r="D4456" t="s">
        <v>6749</v>
      </c>
      <c r="E4456" t="s">
        <v>1384</v>
      </c>
    </row>
    <row r="4457" spans="2:5">
      <c r="B4457" t="s">
        <v>6750</v>
      </c>
      <c r="C4457">
        <v>514236</v>
      </c>
      <c r="D4457" t="s">
        <v>6751</v>
      </c>
      <c r="E4457" t="s">
        <v>705</v>
      </c>
    </row>
    <row r="4458" spans="2:5">
      <c r="B4458" t="s">
        <v>6752</v>
      </c>
      <c r="C4458">
        <v>540762</v>
      </c>
      <c r="D4458" t="s">
        <v>6753</v>
      </c>
      <c r="E4458" t="s">
        <v>694</v>
      </c>
    </row>
    <row r="4459" spans="2:5">
      <c r="B4459" t="s">
        <v>6754</v>
      </c>
      <c r="C4459">
        <v>540762</v>
      </c>
      <c r="D4459" t="s">
        <v>6755</v>
      </c>
      <c r="E4459" t="s">
        <v>694</v>
      </c>
    </row>
    <row r="4460" spans="2:5">
      <c r="B4460" t="s">
        <v>6756</v>
      </c>
      <c r="C4460">
        <v>524514</v>
      </c>
      <c r="D4460" t="s">
        <v>339</v>
      </c>
      <c r="E4460" t="s">
        <v>387</v>
      </c>
    </row>
    <row r="4461" spans="2:5">
      <c r="B4461" t="s">
        <v>6757</v>
      </c>
      <c r="C4461">
        <v>531088</v>
      </c>
      <c r="D4461" t="s">
        <v>339</v>
      </c>
      <c r="E4461" t="s">
        <v>356</v>
      </c>
    </row>
    <row r="4462" spans="2:5">
      <c r="B4462" t="s">
        <v>6758</v>
      </c>
      <c r="C4462">
        <v>505285</v>
      </c>
      <c r="D4462" t="s">
        <v>339</v>
      </c>
      <c r="E4462" t="s">
        <v>524</v>
      </c>
    </row>
    <row r="4463" spans="2:5">
      <c r="B4463" t="s">
        <v>6759</v>
      </c>
      <c r="C4463">
        <v>532948</v>
      </c>
      <c r="D4463" t="s">
        <v>6760</v>
      </c>
      <c r="E4463" t="s">
        <v>459</v>
      </c>
    </row>
    <row r="4464" spans="2:5">
      <c r="B4464" t="s">
        <v>6761</v>
      </c>
      <c r="C4464">
        <v>504273</v>
      </c>
      <c r="D4464" t="s">
        <v>339</v>
      </c>
      <c r="E4464" t="s">
        <v>637</v>
      </c>
    </row>
    <row r="4465" spans="2:5">
      <c r="B4465" t="s">
        <v>6762</v>
      </c>
      <c r="C4465">
        <v>531411</v>
      </c>
      <c r="D4465" t="s">
        <v>339</v>
      </c>
      <c r="E4465" t="s">
        <v>354</v>
      </c>
    </row>
    <row r="4466" spans="2:5">
      <c r="B4466" t="s">
        <v>6763</v>
      </c>
      <c r="C4466">
        <v>506808</v>
      </c>
      <c r="D4466" t="s">
        <v>339</v>
      </c>
      <c r="E4466" t="s">
        <v>387</v>
      </c>
    </row>
    <row r="4467" spans="2:5">
      <c r="B4467" t="s">
        <v>6764</v>
      </c>
      <c r="C4467">
        <v>532515</v>
      </c>
      <c r="D4467" t="s">
        <v>6765</v>
      </c>
      <c r="E4467" t="s">
        <v>1077</v>
      </c>
    </row>
    <row r="4468" spans="2:5">
      <c r="B4468" t="s">
        <v>6766</v>
      </c>
      <c r="C4468">
        <v>540083</v>
      </c>
      <c r="D4468" t="s">
        <v>6767</v>
      </c>
      <c r="E4468" t="s">
        <v>1077</v>
      </c>
    </row>
    <row r="4469" spans="2:5">
      <c r="B4469" t="s">
        <v>6768</v>
      </c>
      <c r="C4469">
        <v>532800</v>
      </c>
      <c r="D4469" t="s">
        <v>6769</v>
      </c>
      <c r="E4469" t="s">
        <v>1077</v>
      </c>
    </row>
    <row r="4470" spans="2:5">
      <c r="B4470" t="s">
        <v>6770</v>
      </c>
      <c r="C4470">
        <v>532513</v>
      </c>
      <c r="D4470" t="s">
        <v>6771</v>
      </c>
      <c r="E4470" t="s">
        <v>436</v>
      </c>
    </row>
    <row r="4471" spans="2:5">
      <c r="B4471" t="s">
        <v>6772</v>
      </c>
      <c r="C4471">
        <v>532343</v>
      </c>
      <c r="D4471" t="s">
        <v>6773</v>
      </c>
      <c r="E4471" t="s">
        <v>996</v>
      </c>
    </row>
    <row r="4472" spans="2:5">
      <c r="B4472" t="s">
        <v>6774</v>
      </c>
      <c r="C4472">
        <v>509243</v>
      </c>
      <c r="D4472" t="s">
        <v>6775</v>
      </c>
      <c r="E4472" t="s">
        <v>819</v>
      </c>
    </row>
    <row r="4473" spans="2:5">
      <c r="B4473" t="s">
        <v>6776</v>
      </c>
      <c r="C4473">
        <v>512117</v>
      </c>
      <c r="D4473" t="s">
        <v>339</v>
      </c>
      <c r="E4473" t="s">
        <v>760</v>
      </c>
    </row>
    <row r="4474" spans="2:5">
      <c r="B4474" t="s">
        <v>6777</v>
      </c>
      <c r="C4474">
        <v>531917</v>
      </c>
      <c r="D4474" t="s">
        <v>339</v>
      </c>
      <c r="E4474" t="s">
        <v>432</v>
      </c>
    </row>
    <row r="4475" spans="2:5">
      <c r="B4475" t="s">
        <v>6778</v>
      </c>
      <c r="C4475">
        <v>532384</v>
      </c>
      <c r="D4475" t="s">
        <v>339</v>
      </c>
      <c r="E4475" t="s">
        <v>377</v>
      </c>
    </row>
    <row r="4476" spans="2:5">
      <c r="B4476" t="s">
        <v>6779</v>
      </c>
      <c r="C4476">
        <v>539468</v>
      </c>
      <c r="D4476" t="s">
        <v>339</v>
      </c>
      <c r="E4476" t="s">
        <v>356</v>
      </c>
    </row>
    <row r="4477" spans="2:5">
      <c r="B4477" t="s">
        <v>6780</v>
      </c>
      <c r="C4477">
        <v>512307</v>
      </c>
      <c r="D4477" t="s">
        <v>339</v>
      </c>
      <c r="E4477" t="s">
        <v>354</v>
      </c>
    </row>
    <row r="4478" spans="2:5">
      <c r="B4478" t="s">
        <v>6781</v>
      </c>
      <c r="C4478">
        <v>526945</v>
      </c>
      <c r="D4478" t="s">
        <v>339</v>
      </c>
      <c r="E4478" t="s">
        <v>746</v>
      </c>
    </row>
    <row r="4479" spans="2:5">
      <c r="B4479" t="s">
        <v>6782</v>
      </c>
      <c r="C4479">
        <v>541338</v>
      </c>
      <c r="D4479" t="s">
        <v>339</v>
      </c>
      <c r="E4479" t="s">
        <v>453</v>
      </c>
    </row>
    <row r="4480" spans="2:5">
      <c r="B4480" t="s">
        <v>6783</v>
      </c>
      <c r="C4480">
        <v>500464</v>
      </c>
      <c r="D4480" t="s">
        <v>6784</v>
      </c>
      <c r="E4480" t="s">
        <v>694</v>
      </c>
    </row>
    <row r="4481" spans="2:5">
      <c r="B4481" t="s">
        <v>6785</v>
      </c>
      <c r="C4481">
        <v>532505</v>
      </c>
      <c r="D4481" t="s">
        <v>6786</v>
      </c>
      <c r="E4481" t="s">
        <v>657</v>
      </c>
    </row>
    <row r="4482" spans="2:5">
      <c r="B4482" t="s">
        <v>6787</v>
      </c>
      <c r="C4482">
        <v>530131</v>
      </c>
      <c r="D4482" t="s">
        <v>339</v>
      </c>
      <c r="E4482" t="s">
        <v>352</v>
      </c>
    </row>
    <row r="4483" spans="2:5">
      <c r="B4483" t="s">
        <v>6788</v>
      </c>
      <c r="C4483">
        <v>539518</v>
      </c>
      <c r="D4483" t="s">
        <v>339</v>
      </c>
      <c r="E4483" t="s">
        <v>373</v>
      </c>
    </row>
    <row r="4484" spans="2:5">
      <c r="B4484" t="s">
        <v>6789</v>
      </c>
      <c r="C4484">
        <v>500148</v>
      </c>
      <c r="D4484" t="s">
        <v>6790</v>
      </c>
      <c r="E4484" t="s">
        <v>534</v>
      </c>
    </row>
    <row r="4485" spans="2:5">
      <c r="B4485" t="s">
        <v>6791</v>
      </c>
      <c r="C4485">
        <v>539141</v>
      </c>
      <c r="D4485" t="s">
        <v>6792</v>
      </c>
      <c r="E4485" t="s">
        <v>1077</v>
      </c>
    </row>
    <row r="4486" spans="2:5">
      <c r="B4486" t="s">
        <v>6793</v>
      </c>
      <c r="C4486">
        <v>539141</v>
      </c>
      <c r="D4486" t="s">
        <v>6792</v>
      </c>
      <c r="E4486" t="s">
        <v>1077</v>
      </c>
    </row>
    <row r="4487" spans="2:5">
      <c r="B4487" t="s">
        <v>6794</v>
      </c>
      <c r="C4487">
        <v>511742</v>
      </c>
      <c r="D4487" t="s">
        <v>339</v>
      </c>
      <c r="E4487" t="s">
        <v>356</v>
      </c>
    </row>
    <row r="4488" spans="2:5">
      <c r="B4488" t="s">
        <v>6795</v>
      </c>
      <c r="C4488">
        <v>533644</v>
      </c>
      <c r="D4488" t="s">
        <v>6796</v>
      </c>
      <c r="E4488" t="s">
        <v>382</v>
      </c>
    </row>
    <row r="4489" spans="2:5">
      <c r="B4489" t="s">
        <v>6797</v>
      </c>
      <c r="C4489">
        <v>539874</v>
      </c>
      <c r="D4489" t="s">
        <v>6798</v>
      </c>
      <c r="E4489" t="s">
        <v>356</v>
      </c>
    </row>
    <row r="4490" spans="2:5">
      <c r="B4490" t="s">
        <v>6799</v>
      </c>
      <c r="C4490" t="s">
        <v>339</v>
      </c>
      <c r="D4490" t="s">
        <v>6800</v>
      </c>
      <c r="E4490" t="s">
        <v>350</v>
      </c>
    </row>
    <row r="4491" spans="2:5">
      <c r="B4491" t="s">
        <v>6801</v>
      </c>
      <c r="C4491">
        <v>538706</v>
      </c>
      <c r="D4491" t="s">
        <v>339</v>
      </c>
      <c r="E4491" t="s">
        <v>637</v>
      </c>
    </row>
    <row r="4492" spans="2:5">
      <c r="B4492" t="s">
        <v>6802</v>
      </c>
      <c r="C4492">
        <v>538706</v>
      </c>
      <c r="D4492" t="s">
        <v>339</v>
      </c>
      <c r="E4492" t="s">
        <v>637</v>
      </c>
    </row>
    <row r="4493" spans="2:5">
      <c r="B4493" t="s">
        <v>6803</v>
      </c>
      <c r="C4493">
        <v>506685</v>
      </c>
      <c r="D4493" t="s">
        <v>339</v>
      </c>
      <c r="E4493" t="s">
        <v>499</v>
      </c>
    </row>
    <row r="4494" spans="2:5">
      <c r="B4494" t="s">
        <v>6804</v>
      </c>
      <c r="C4494">
        <v>532538</v>
      </c>
      <c r="D4494" t="s">
        <v>6805</v>
      </c>
      <c r="E4494" t="s">
        <v>352</v>
      </c>
    </row>
    <row r="4495" spans="2:5">
      <c r="B4495" t="s">
        <v>6806</v>
      </c>
      <c r="C4495">
        <v>500231</v>
      </c>
      <c r="D4495" t="s">
        <v>6807</v>
      </c>
      <c r="E4495" t="s">
        <v>399</v>
      </c>
    </row>
    <row r="4496" spans="2:5">
      <c r="B4496" t="s">
        <v>6808</v>
      </c>
      <c r="C4496">
        <v>539798</v>
      </c>
      <c r="D4496" t="s">
        <v>339</v>
      </c>
      <c r="E4496" t="s">
        <v>662</v>
      </c>
    </row>
    <row r="4497" spans="2:5">
      <c r="B4497" t="s">
        <v>6809</v>
      </c>
      <c r="C4497">
        <v>504605</v>
      </c>
      <c r="D4497" t="s">
        <v>339</v>
      </c>
      <c r="E4497" t="s">
        <v>662</v>
      </c>
    </row>
    <row r="4498" spans="2:5">
      <c r="B4498" t="s">
        <v>6810</v>
      </c>
      <c r="C4498">
        <v>506690</v>
      </c>
      <c r="D4498" t="s">
        <v>6811</v>
      </c>
      <c r="E4498" t="s">
        <v>377</v>
      </c>
    </row>
    <row r="4499" spans="2:5">
      <c r="B4499" t="s">
        <v>6812</v>
      </c>
      <c r="C4499">
        <v>541503</v>
      </c>
      <c r="D4499" t="s">
        <v>339</v>
      </c>
      <c r="E4499" t="s">
        <v>2331</v>
      </c>
    </row>
    <row r="4500" spans="2:5">
      <c r="B4500" t="s">
        <v>6813</v>
      </c>
      <c r="C4500" t="s">
        <v>339</v>
      </c>
      <c r="D4500" t="s">
        <v>6814</v>
      </c>
      <c r="E4500" t="s">
        <v>350</v>
      </c>
    </row>
    <row r="4501" spans="2:5">
      <c r="B4501" t="s">
        <v>6815</v>
      </c>
      <c r="C4501">
        <v>503671</v>
      </c>
      <c r="D4501" t="s">
        <v>339</v>
      </c>
      <c r="E4501" t="s">
        <v>322</v>
      </c>
    </row>
    <row r="4502" spans="2:5">
      <c r="B4502" t="s">
        <v>6816</v>
      </c>
      <c r="C4502">
        <v>512595</v>
      </c>
      <c r="D4502" t="s">
        <v>6817</v>
      </c>
      <c r="E4502" t="s">
        <v>895</v>
      </c>
    </row>
    <row r="4503" spans="2:5">
      <c r="B4503" t="s">
        <v>6818</v>
      </c>
      <c r="C4503">
        <v>532477</v>
      </c>
      <c r="D4503" t="s">
        <v>6819</v>
      </c>
      <c r="E4503" t="s">
        <v>657</v>
      </c>
    </row>
    <row r="4504" spans="2:5">
      <c r="B4504" t="s">
        <v>6820</v>
      </c>
      <c r="C4504">
        <v>526799</v>
      </c>
      <c r="D4504" t="s">
        <v>339</v>
      </c>
      <c r="E4504" t="s">
        <v>534</v>
      </c>
    </row>
    <row r="4505" spans="2:5">
      <c r="B4505" t="s">
        <v>6821</v>
      </c>
      <c r="C4505">
        <v>500429</v>
      </c>
      <c r="D4505" t="s">
        <v>6822</v>
      </c>
      <c r="E4505" t="s">
        <v>361</v>
      </c>
    </row>
    <row r="4506" spans="2:5">
      <c r="B4506" t="s">
        <v>6823</v>
      </c>
      <c r="C4506">
        <v>526957</v>
      </c>
      <c r="D4506" t="s">
        <v>339</v>
      </c>
      <c r="E4506" t="s">
        <v>834</v>
      </c>
    </row>
    <row r="4507" spans="2:5">
      <c r="B4507" t="s">
        <v>6824</v>
      </c>
      <c r="C4507">
        <v>532646</v>
      </c>
      <c r="D4507" t="s">
        <v>6825</v>
      </c>
      <c r="E4507" t="s">
        <v>834</v>
      </c>
    </row>
    <row r="4508" spans="2:5">
      <c r="B4508" t="s">
        <v>6826</v>
      </c>
      <c r="C4508">
        <v>530997</v>
      </c>
      <c r="D4508" t="s">
        <v>339</v>
      </c>
      <c r="E4508" t="s">
        <v>537</v>
      </c>
    </row>
    <row r="4509" spans="2:5">
      <c r="B4509" t="s">
        <v>6827</v>
      </c>
      <c r="C4509">
        <v>521226</v>
      </c>
      <c r="D4509" t="s">
        <v>339</v>
      </c>
      <c r="E4509" t="s">
        <v>354</v>
      </c>
    </row>
    <row r="4510" spans="2:5">
      <c r="B4510" t="s">
        <v>6828</v>
      </c>
      <c r="C4510">
        <v>526113</v>
      </c>
      <c r="D4510" t="s">
        <v>339</v>
      </c>
      <c r="E4510" t="s">
        <v>399</v>
      </c>
    </row>
    <row r="4511" spans="2:5">
      <c r="B4511" t="s">
        <v>6829</v>
      </c>
      <c r="C4511">
        <v>537582</v>
      </c>
      <c r="D4511" t="s">
        <v>339</v>
      </c>
      <c r="E4511" t="s">
        <v>425</v>
      </c>
    </row>
    <row r="4512" spans="2:5">
      <c r="B4512" t="s">
        <v>6830</v>
      </c>
      <c r="C4512">
        <v>538610</v>
      </c>
      <c r="D4512" t="s">
        <v>339</v>
      </c>
      <c r="E4512" t="s">
        <v>662</v>
      </c>
    </row>
    <row r="4513" spans="2:5">
      <c r="B4513" t="s">
        <v>6831</v>
      </c>
      <c r="C4513">
        <v>532035</v>
      </c>
      <c r="D4513" t="s">
        <v>339</v>
      </c>
      <c r="E4513" t="s">
        <v>356</v>
      </c>
    </row>
    <row r="4514" spans="2:5">
      <c r="B4514" t="s">
        <v>6832</v>
      </c>
      <c r="C4514">
        <v>531831</v>
      </c>
      <c r="D4514" t="s">
        <v>339</v>
      </c>
      <c r="E4514" t="s">
        <v>397</v>
      </c>
    </row>
    <row r="4515" spans="2:5">
      <c r="B4515" t="s">
        <v>6833</v>
      </c>
      <c r="C4515">
        <v>531867</v>
      </c>
      <c r="D4515" t="s">
        <v>339</v>
      </c>
      <c r="E4515" t="s">
        <v>361</v>
      </c>
    </row>
    <row r="4516" spans="2:5">
      <c r="B4516" t="s">
        <v>6834</v>
      </c>
      <c r="C4516">
        <v>507878</v>
      </c>
      <c r="D4516" t="s">
        <v>6835</v>
      </c>
      <c r="E4516" t="s">
        <v>425</v>
      </c>
    </row>
    <row r="4517" spans="2:5">
      <c r="B4517" t="s">
        <v>6836</v>
      </c>
      <c r="C4517">
        <v>533171</v>
      </c>
      <c r="D4517" t="s">
        <v>6837</v>
      </c>
      <c r="E4517" t="s">
        <v>657</v>
      </c>
    </row>
    <row r="4518" spans="2:5">
      <c r="B4518" t="s">
        <v>6838</v>
      </c>
      <c r="C4518">
        <v>532478</v>
      </c>
      <c r="D4518" t="s">
        <v>6839</v>
      </c>
      <c r="E4518" t="s">
        <v>970</v>
      </c>
    </row>
    <row r="4519" spans="2:5">
      <c r="B4519" t="s">
        <v>6840</v>
      </c>
      <c r="C4519">
        <v>531091</v>
      </c>
      <c r="D4519" t="s">
        <v>339</v>
      </c>
      <c r="E4519" t="s">
        <v>356</v>
      </c>
    </row>
    <row r="4520" spans="2:5">
      <c r="B4520" t="s">
        <v>6841</v>
      </c>
      <c r="C4520">
        <v>522014</v>
      </c>
      <c r="D4520" t="s">
        <v>339</v>
      </c>
      <c r="E4520" t="s">
        <v>524</v>
      </c>
    </row>
    <row r="4521" spans="2:5">
      <c r="B4521" t="s">
        <v>6842</v>
      </c>
      <c r="C4521">
        <v>502893</v>
      </c>
      <c r="D4521" t="s">
        <v>339</v>
      </c>
      <c r="E4521" t="s">
        <v>345</v>
      </c>
    </row>
    <row r="4522" spans="2:5">
      <c r="B4522" t="s">
        <v>6843</v>
      </c>
      <c r="C4522">
        <v>507808</v>
      </c>
      <c r="D4522" t="s">
        <v>339</v>
      </c>
      <c r="E4522" t="s">
        <v>356</v>
      </c>
    </row>
    <row r="4523" spans="2:5">
      <c r="B4523" t="s">
        <v>6844</v>
      </c>
      <c r="C4523" t="s">
        <v>339</v>
      </c>
      <c r="D4523" t="s">
        <v>6845</v>
      </c>
      <c r="E4523" t="s">
        <v>350</v>
      </c>
    </row>
    <row r="4524" spans="2:5">
      <c r="B4524" t="s">
        <v>6846</v>
      </c>
      <c r="C4524">
        <v>532432</v>
      </c>
      <c r="D4524" t="s">
        <v>6847</v>
      </c>
      <c r="E4524" t="s">
        <v>970</v>
      </c>
    </row>
    <row r="4525" spans="2:5">
      <c r="B4525" t="s">
        <v>6848</v>
      </c>
      <c r="C4525">
        <v>521188</v>
      </c>
      <c r="D4525" t="s">
        <v>339</v>
      </c>
      <c r="E4525" t="s">
        <v>354</v>
      </c>
    </row>
    <row r="4526" spans="2:5">
      <c r="B4526" t="s">
        <v>6849</v>
      </c>
      <c r="C4526">
        <v>522091</v>
      </c>
      <c r="D4526" t="s">
        <v>339</v>
      </c>
      <c r="E4526" t="s">
        <v>382</v>
      </c>
    </row>
    <row r="4527" spans="2:5">
      <c r="B4527" t="s">
        <v>6850</v>
      </c>
      <c r="C4527">
        <v>532746</v>
      </c>
      <c r="D4527" t="s">
        <v>6851</v>
      </c>
      <c r="E4527" t="s">
        <v>737</v>
      </c>
    </row>
    <row r="4528" spans="2:5">
      <c r="B4528" t="s">
        <v>6852</v>
      </c>
      <c r="C4528" t="s">
        <v>339</v>
      </c>
      <c r="D4528" t="s">
        <v>6853</v>
      </c>
      <c r="E4528" t="s">
        <v>350</v>
      </c>
    </row>
    <row r="4529" spans="2:5">
      <c r="B4529" t="s">
        <v>6854</v>
      </c>
      <c r="C4529" t="s">
        <v>339</v>
      </c>
      <c r="D4529" t="s">
        <v>6853</v>
      </c>
      <c r="E4529" t="s">
        <v>350</v>
      </c>
    </row>
    <row r="4530" spans="2:5">
      <c r="B4530" t="s">
        <v>6855</v>
      </c>
      <c r="C4530">
        <v>532378</v>
      </c>
      <c r="D4530" t="s">
        <v>339</v>
      </c>
      <c r="E4530" t="s">
        <v>342</v>
      </c>
    </row>
    <row r="4531" spans="2:5">
      <c r="B4531" t="s">
        <v>6856</v>
      </c>
      <c r="C4531">
        <v>539314</v>
      </c>
      <c r="D4531" t="s">
        <v>339</v>
      </c>
      <c r="E4531" t="s">
        <v>694</v>
      </c>
    </row>
    <row r="4532" spans="2:5">
      <c r="B4532" t="s">
        <v>6857</v>
      </c>
      <c r="C4532">
        <v>504212</v>
      </c>
      <c r="D4532" t="s">
        <v>6858</v>
      </c>
      <c r="E4532" t="s">
        <v>637</v>
      </c>
    </row>
    <row r="4533" spans="2:5">
      <c r="B4533" t="s">
        <v>6859</v>
      </c>
      <c r="C4533">
        <v>531963</v>
      </c>
      <c r="D4533" t="s">
        <v>339</v>
      </c>
      <c r="E4533" t="s">
        <v>760</v>
      </c>
    </row>
    <row r="4534" spans="2:5">
      <c r="B4534" t="s">
        <v>6860</v>
      </c>
      <c r="C4534">
        <v>523519</v>
      </c>
      <c r="D4534" t="s">
        <v>339</v>
      </c>
      <c r="E4534" t="s">
        <v>361</v>
      </c>
    </row>
    <row r="4535" spans="2:5">
      <c r="B4535" t="s">
        <v>6861</v>
      </c>
      <c r="C4535">
        <v>504673</v>
      </c>
      <c r="D4535" t="s">
        <v>339</v>
      </c>
      <c r="E4535" t="s">
        <v>644</v>
      </c>
    </row>
    <row r="4536" spans="2:5">
      <c r="B4536" t="s">
        <v>6862</v>
      </c>
      <c r="C4536">
        <v>524408</v>
      </c>
      <c r="D4536" t="s">
        <v>339</v>
      </c>
      <c r="E4536" t="s">
        <v>387</v>
      </c>
    </row>
    <row r="4537" spans="2:5">
      <c r="B4537" t="s">
        <v>6863</v>
      </c>
      <c r="C4537">
        <v>514144</v>
      </c>
      <c r="D4537" t="s">
        <v>339</v>
      </c>
      <c r="E4537" t="s">
        <v>354</v>
      </c>
    </row>
    <row r="4538" spans="2:5">
      <c r="B4538" t="s">
        <v>6864</v>
      </c>
      <c r="C4538">
        <v>512408</v>
      </c>
      <c r="D4538" t="s">
        <v>339</v>
      </c>
      <c r="E4538" t="s">
        <v>354</v>
      </c>
    </row>
    <row r="4539" spans="2:5">
      <c r="B4539" t="s">
        <v>6865</v>
      </c>
      <c r="C4539">
        <v>531762</v>
      </c>
      <c r="D4539" t="s">
        <v>339</v>
      </c>
      <c r="E4539" t="s">
        <v>377</v>
      </c>
    </row>
    <row r="4540" spans="2:5">
      <c r="B4540" t="s">
        <v>6866</v>
      </c>
      <c r="C4540">
        <v>511764</v>
      </c>
      <c r="D4540" t="s">
        <v>339</v>
      </c>
      <c r="E4540" t="s">
        <v>356</v>
      </c>
    </row>
    <row r="4541" spans="2:5">
      <c r="B4541" t="s">
        <v>6867</v>
      </c>
      <c r="C4541">
        <v>512070</v>
      </c>
      <c r="D4541" t="s">
        <v>6868</v>
      </c>
      <c r="E4541" t="s">
        <v>483</v>
      </c>
    </row>
    <row r="4542" spans="2:5">
      <c r="B4542" t="s">
        <v>6869</v>
      </c>
      <c r="C4542">
        <v>531390</v>
      </c>
      <c r="D4542" t="s">
        <v>339</v>
      </c>
      <c r="E4542" t="s">
        <v>356</v>
      </c>
    </row>
    <row r="4543" spans="2:5">
      <c r="B4543" t="s">
        <v>6870</v>
      </c>
      <c r="C4543" t="s">
        <v>339</v>
      </c>
      <c r="D4543" t="s">
        <v>6871</v>
      </c>
      <c r="E4543" t="s">
        <v>350</v>
      </c>
    </row>
    <row r="4544" spans="2:5">
      <c r="B4544" t="s">
        <v>6872</v>
      </c>
      <c r="C4544">
        <v>526987</v>
      </c>
      <c r="D4544" t="s">
        <v>6873</v>
      </c>
      <c r="E4544" t="s">
        <v>361</v>
      </c>
    </row>
    <row r="4545" spans="2:5">
      <c r="B4545" t="s">
        <v>6874</v>
      </c>
      <c r="C4545">
        <v>532402</v>
      </c>
      <c r="D4545" t="s">
        <v>339</v>
      </c>
      <c r="E4545" t="s">
        <v>432</v>
      </c>
    </row>
    <row r="4546" spans="2:5">
      <c r="B4546" t="s">
        <v>6875</v>
      </c>
      <c r="C4546">
        <v>532398</v>
      </c>
      <c r="D4546" t="s">
        <v>6876</v>
      </c>
      <c r="E4546" t="s">
        <v>432</v>
      </c>
    </row>
    <row r="4547" spans="2:5">
      <c r="B4547" t="s">
        <v>6877</v>
      </c>
      <c r="C4547">
        <v>517146</v>
      </c>
      <c r="D4547" t="s">
        <v>6878</v>
      </c>
      <c r="E4547" t="s">
        <v>662</v>
      </c>
    </row>
    <row r="4548" spans="2:5">
      <c r="B4548" t="s">
        <v>6879</v>
      </c>
      <c r="C4548">
        <v>511507</v>
      </c>
      <c r="D4548" t="s">
        <v>339</v>
      </c>
      <c r="E4548" t="s">
        <v>356</v>
      </c>
    </row>
    <row r="4549" spans="2:5">
      <c r="B4549" t="s">
        <v>6880</v>
      </c>
      <c r="C4549" t="s">
        <v>339</v>
      </c>
      <c r="D4549" t="s">
        <v>6881</v>
      </c>
      <c r="E4549" t="s">
        <v>350</v>
      </c>
    </row>
    <row r="4550" spans="2:5">
      <c r="B4550" t="s">
        <v>6882</v>
      </c>
      <c r="C4550">
        <v>511736</v>
      </c>
      <c r="D4550" t="s">
        <v>339</v>
      </c>
      <c r="E4550" t="s">
        <v>361</v>
      </c>
    </row>
    <row r="4551" spans="2:5">
      <c r="B4551" t="s">
        <v>6883</v>
      </c>
      <c r="C4551">
        <v>532765</v>
      </c>
      <c r="D4551" t="s">
        <v>6884</v>
      </c>
      <c r="E4551" t="s">
        <v>537</v>
      </c>
    </row>
    <row r="4552" spans="2:5">
      <c r="B4552" t="s">
        <v>6885</v>
      </c>
      <c r="C4552">
        <v>590101</v>
      </c>
      <c r="D4552" t="s">
        <v>6886</v>
      </c>
      <c r="E4552" t="s">
        <v>322</v>
      </c>
    </row>
    <row r="4553" spans="2:5">
      <c r="B4553" t="s">
        <v>6887</v>
      </c>
      <c r="C4553">
        <v>500426</v>
      </c>
      <c r="D4553" t="s">
        <v>339</v>
      </c>
      <c r="E4553" t="s">
        <v>425</v>
      </c>
    </row>
    <row r="4554" spans="2:5">
      <c r="B4554" t="s">
        <v>6888</v>
      </c>
      <c r="C4554">
        <v>513216</v>
      </c>
      <c r="D4554" t="s">
        <v>6889</v>
      </c>
      <c r="E4554" t="s">
        <v>371</v>
      </c>
    </row>
    <row r="4555" spans="2:5">
      <c r="B4555" t="s">
        <v>6890</v>
      </c>
      <c r="C4555">
        <v>532729</v>
      </c>
      <c r="D4555" t="s">
        <v>6891</v>
      </c>
      <c r="E4555" t="s">
        <v>1037</v>
      </c>
    </row>
    <row r="4556" spans="2:5">
      <c r="B4556" t="s">
        <v>6892</v>
      </c>
      <c r="C4556">
        <v>500254</v>
      </c>
      <c r="D4556" t="s">
        <v>6893</v>
      </c>
      <c r="E4556" t="s">
        <v>371</v>
      </c>
    </row>
    <row r="4557" spans="2:5">
      <c r="B4557" t="s">
        <v>6894</v>
      </c>
      <c r="C4557">
        <v>511110</v>
      </c>
      <c r="D4557" t="s">
        <v>339</v>
      </c>
      <c r="E4557" t="s">
        <v>322</v>
      </c>
    </row>
    <row r="4558" spans="2:5">
      <c r="B4558" t="s">
        <v>6895</v>
      </c>
      <c r="C4558">
        <v>539123</v>
      </c>
      <c r="D4558" t="s">
        <v>339</v>
      </c>
      <c r="E4558" t="s">
        <v>359</v>
      </c>
    </row>
    <row r="4559" spans="2:5">
      <c r="B4559" t="s">
        <v>6896</v>
      </c>
      <c r="C4559">
        <v>542654</v>
      </c>
      <c r="D4559" t="s">
        <v>6897</v>
      </c>
      <c r="E4559" t="s">
        <v>340</v>
      </c>
    </row>
    <row r="4560" spans="2:5">
      <c r="B4560" t="s">
        <v>6898</v>
      </c>
      <c r="C4560">
        <v>523888</v>
      </c>
      <c r="D4560" t="s">
        <v>339</v>
      </c>
      <c r="E4560" t="s">
        <v>819</v>
      </c>
    </row>
    <row r="4561" spans="2:5">
      <c r="B4561" t="s">
        <v>6899</v>
      </c>
      <c r="C4561">
        <v>531266</v>
      </c>
      <c r="D4561" t="s">
        <v>6900</v>
      </c>
      <c r="E4561" t="s">
        <v>417</v>
      </c>
    </row>
    <row r="4562" spans="2:5">
      <c r="B4562" t="s">
        <v>6901</v>
      </c>
      <c r="C4562">
        <v>532867</v>
      </c>
      <c r="D4562" t="s">
        <v>6902</v>
      </c>
      <c r="E4562" t="s">
        <v>508</v>
      </c>
    </row>
    <row r="4563" spans="2:5">
      <c r="B4563" t="s">
        <v>6903</v>
      </c>
      <c r="C4563">
        <v>533269</v>
      </c>
      <c r="D4563" t="s">
        <v>6904</v>
      </c>
      <c r="E4563" t="s">
        <v>364</v>
      </c>
    </row>
    <row r="4564" spans="2:5">
      <c r="B4564" t="s">
        <v>6905</v>
      </c>
      <c r="C4564">
        <v>532320</v>
      </c>
      <c r="D4564" t="s">
        <v>339</v>
      </c>
      <c r="E4564" t="s">
        <v>356</v>
      </c>
    </row>
    <row r="4565" spans="2:5">
      <c r="B4565" t="s">
        <v>6906</v>
      </c>
      <c r="C4565">
        <v>519152</v>
      </c>
      <c r="D4565" t="s">
        <v>339</v>
      </c>
      <c r="E4565" t="s">
        <v>361</v>
      </c>
    </row>
    <row r="4566" spans="2:5">
      <c r="B4566" t="s">
        <v>6907</v>
      </c>
      <c r="C4566">
        <v>519156</v>
      </c>
      <c r="D4566" t="s">
        <v>6908</v>
      </c>
      <c r="E4566" t="s">
        <v>399</v>
      </c>
    </row>
    <row r="4567" spans="2:5">
      <c r="B4567" t="s">
        <v>6909</v>
      </c>
      <c r="C4567" t="s">
        <v>339</v>
      </c>
      <c r="D4567" t="s">
        <v>6910</v>
      </c>
      <c r="E4567" t="s">
        <v>350</v>
      </c>
    </row>
    <row r="4568" spans="2:5">
      <c r="B4568" t="s">
        <v>6911</v>
      </c>
      <c r="C4568">
        <v>531676</v>
      </c>
      <c r="D4568" t="s">
        <v>339</v>
      </c>
      <c r="E4568" t="s">
        <v>399</v>
      </c>
    </row>
    <row r="4569" spans="2:5">
      <c r="B4569" t="s">
        <v>6912</v>
      </c>
      <c r="C4569">
        <v>532156</v>
      </c>
      <c r="D4569" t="s">
        <v>6913</v>
      </c>
      <c r="E4569" t="s">
        <v>453</v>
      </c>
    </row>
    <row r="4570" spans="2:5">
      <c r="B4570" t="s">
        <v>6914</v>
      </c>
      <c r="C4570" t="s">
        <v>339</v>
      </c>
      <c r="D4570" t="s">
        <v>6915</v>
      </c>
      <c r="E4570" t="s">
        <v>350</v>
      </c>
    </row>
    <row r="4571" spans="2:5">
      <c r="B4571" t="s">
        <v>6916</v>
      </c>
      <c r="C4571">
        <v>511431</v>
      </c>
      <c r="D4571" t="s">
        <v>6917</v>
      </c>
      <c r="E4571" t="s">
        <v>340</v>
      </c>
    </row>
    <row r="4572" spans="2:5">
      <c r="B4572" t="s">
        <v>6918</v>
      </c>
      <c r="C4572">
        <v>539402</v>
      </c>
      <c r="D4572" t="s">
        <v>339</v>
      </c>
      <c r="E4572" t="s">
        <v>537</v>
      </c>
    </row>
    <row r="4573" spans="2:5">
      <c r="B4573" t="s">
        <v>6919</v>
      </c>
      <c r="C4573">
        <v>526775</v>
      </c>
      <c r="D4573" t="s">
        <v>339</v>
      </c>
      <c r="E4573" t="s">
        <v>485</v>
      </c>
    </row>
    <row r="4574" spans="2:5">
      <c r="B4574" t="s">
        <v>6920</v>
      </c>
      <c r="C4574">
        <v>540145</v>
      </c>
      <c r="D4574" t="s">
        <v>339</v>
      </c>
      <c r="E4574" t="s">
        <v>377</v>
      </c>
    </row>
    <row r="4575" spans="2:5">
      <c r="B4575" t="s">
        <v>6921</v>
      </c>
      <c r="C4575">
        <v>530403</v>
      </c>
      <c r="D4575" t="s">
        <v>339</v>
      </c>
      <c r="E4575" t="s">
        <v>534</v>
      </c>
    </row>
    <row r="4576" spans="2:5">
      <c r="B4576" t="s">
        <v>6922</v>
      </c>
      <c r="C4576">
        <v>513397</v>
      </c>
      <c r="D4576" t="s">
        <v>339</v>
      </c>
      <c r="E4576" t="s">
        <v>662</v>
      </c>
    </row>
    <row r="4577" spans="2:5">
      <c r="B4577" t="s">
        <v>6923</v>
      </c>
      <c r="C4577">
        <v>539543</v>
      </c>
      <c r="D4577" t="s">
        <v>339</v>
      </c>
      <c r="E4577" t="s">
        <v>359</v>
      </c>
    </row>
    <row r="4578" spans="2:5">
      <c r="B4578" t="s">
        <v>6924</v>
      </c>
      <c r="C4578">
        <v>530459</v>
      </c>
      <c r="D4578" t="s">
        <v>339</v>
      </c>
      <c r="E4578" t="s">
        <v>354</v>
      </c>
    </row>
    <row r="4579" spans="2:5">
      <c r="B4579" t="s">
        <v>6925</v>
      </c>
      <c r="C4579">
        <v>512175</v>
      </c>
      <c r="D4579" t="s">
        <v>339</v>
      </c>
      <c r="E4579" t="s">
        <v>325</v>
      </c>
    </row>
    <row r="4580" spans="2:5">
      <c r="B4580" t="s">
        <v>6926</v>
      </c>
      <c r="C4580">
        <v>530369</v>
      </c>
      <c r="D4580" t="s">
        <v>339</v>
      </c>
      <c r="E4580" t="s">
        <v>819</v>
      </c>
    </row>
    <row r="4581" spans="2:5">
      <c r="B4581" t="s">
        <v>6927</v>
      </c>
      <c r="C4581">
        <v>532090</v>
      </c>
      <c r="D4581" t="s">
        <v>339</v>
      </c>
      <c r="E4581" t="s">
        <v>354</v>
      </c>
    </row>
    <row r="4582" spans="2:5">
      <c r="B4582" t="s">
        <v>6928</v>
      </c>
      <c r="C4582">
        <v>538918</v>
      </c>
      <c r="D4582" t="s">
        <v>339</v>
      </c>
      <c r="E4582" t="s">
        <v>356</v>
      </c>
    </row>
    <row r="4583" spans="2:5">
      <c r="B4583" t="s">
        <v>6929</v>
      </c>
      <c r="C4583">
        <v>540729</v>
      </c>
      <c r="D4583" t="s">
        <v>339</v>
      </c>
      <c r="E4583" t="s">
        <v>377</v>
      </c>
    </row>
    <row r="4584" spans="2:5">
      <c r="B4584" t="s">
        <v>6930</v>
      </c>
      <c r="C4584">
        <v>539761</v>
      </c>
      <c r="D4584" t="s">
        <v>339</v>
      </c>
      <c r="E4584" t="s">
        <v>444</v>
      </c>
    </row>
    <row r="4585" spans="2:5">
      <c r="B4585" t="s">
        <v>6931</v>
      </c>
      <c r="C4585">
        <v>502589</v>
      </c>
      <c r="D4585" t="s">
        <v>339</v>
      </c>
      <c r="E4585" t="s">
        <v>333</v>
      </c>
    </row>
    <row r="4586" spans="2:5">
      <c r="B4586" t="s">
        <v>6932</v>
      </c>
      <c r="C4586">
        <v>524796</v>
      </c>
      <c r="D4586" t="s">
        <v>339</v>
      </c>
      <c r="E4586" t="s">
        <v>377</v>
      </c>
    </row>
    <row r="4587" spans="2:5">
      <c r="B4587" t="s">
        <v>6933</v>
      </c>
      <c r="C4587" t="s">
        <v>339</v>
      </c>
      <c r="D4587" t="s">
        <v>6934</v>
      </c>
      <c r="E4587" t="s">
        <v>430</v>
      </c>
    </row>
    <row r="4588" spans="2:5">
      <c r="B4588" t="s">
        <v>6935</v>
      </c>
      <c r="C4588">
        <v>531444</v>
      </c>
      <c r="D4588" t="s">
        <v>339</v>
      </c>
      <c r="E4588" t="s">
        <v>352</v>
      </c>
    </row>
    <row r="4589" spans="2:5">
      <c r="B4589" t="s">
        <v>6936</v>
      </c>
      <c r="C4589">
        <v>500439</v>
      </c>
      <c r="D4589" t="s">
        <v>6937</v>
      </c>
      <c r="E4589" t="s">
        <v>356</v>
      </c>
    </row>
    <row r="4590" spans="2:5">
      <c r="B4590" t="s">
        <v>6938</v>
      </c>
      <c r="C4590">
        <v>513534</v>
      </c>
      <c r="D4590" t="s">
        <v>339</v>
      </c>
      <c r="E4590" t="s">
        <v>371</v>
      </c>
    </row>
    <row r="4591" spans="2:5">
      <c r="B4591" t="s">
        <v>6939</v>
      </c>
      <c r="C4591">
        <v>514175</v>
      </c>
      <c r="D4591" t="s">
        <v>6940</v>
      </c>
      <c r="E4591" t="s">
        <v>354</v>
      </c>
    </row>
    <row r="4592" spans="2:5">
      <c r="B4592" t="s">
        <v>6941</v>
      </c>
      <c r="C4592">
        <v>534392</v>
      </c>
      <c r="D4592" t="s">
        <v>6942</v>
      </c>
      <c r="E4592" t="s">
        <v>662</v>
      </c>
    </row>
    <row r="4593" spans="2:5">
      <c r="B4593" t="s">
        <v>6943</v>
      </c>
      <c r="C4593">
        <v>502986</v>
      </c>
      <c r="D4593" t="s">
        <v>6944</v>
      </c>
      <c r="E4593" t="s">
        <v>354</v>
      </c>
    </row>
    <row r="4594" spans="2:5">
      <c r="B4594" t="s">
        <v>6945</v>
      </c>
      <c r="C4594">
        <v>541578</v>
      </c>
      <c r="D4594" t="s">
        <v>6946</v>
      </c>
      <c r="E4594" t="s">
        <v>694</v>
      </c>
    </row>
    <row r="4595" spans="2:5">
      <c r="B4595" t="s">
        <v>6947</v>
      </c>
      <c r="C4595">
        <v>540180</v>
      </c>
      <c r="D4595" t="s">
        <v>6948</v>
      </c>
      <c r="E4595" t="s">
        <v>534</v>
      </c>
    </row>
    <row r="4596" spans="2:5">
      <c r="B4596" t="s">
        <v>6949</v>
      </c>
      <c r="C4596">
        <v>512511</v>
      </c>
      <c r="D4596" t="s">
        <v>339</v>
      </c>
      <c r="E4596" t="s">
        <v>760</v>
      </c>
    </row>
    <row r="4597" spans="2:5">
      <c r="B4597" t="s">
        <v>6950</v>
      </c>
      <c r="C4597">
        <v>531574</v>
      </c>
      <c r="D4597" t="s">
        <v>339</v>
      </c>
      <c r="E4597" t="s">
        <v>425</v>
      </c>
    </row>
    <row r="4598" spans="2:5">
      <c r="B4598" t="s">
        <v>6951</v>
      </c>
      <c r="C4598" t="s">
        <v>339</v>
      </c>
      <c r="D4598" t="s">
        <v>6952</v>
      </c>
      <c r="E4598" t="s">
        <v>350</v>
      </c>
    </row>
    <row r="4599" spans="2:5">
      <c r="B4599" t="s">
        <v>6953</v>
      </c>
      <c r="C4599">
        <v>533156</v>
      </c>
      <c r="D4599" t="s">
        <v>6954</v>
      </c>
      <c r="E4599" t="s">
        <v>425</v>
      </c>
    </row>
    <row r="4600" spans="2:5">
      <c r="B4600" t="s">
        <v>6955</v>
      </c>
      <c r="C4600">
        <v>538634</v>
      </c>
      <c r="D4600" t="s">
        <v>339</v>
      </c>
      <c r="E4600" t="s">
        <v>377</v>
      </c>
    </row>
    <row r="4601" spans="2:5">
      <c r="B4601" t="s">
        <v>6956</v>
      </c>
      <c r="C4601">
        <v>533576</v>
      </c>
      <c r="D4601" t="s">
        <v>6957</v>
      </c>
      <c r="E4601" t="s">
        <v>371</v>
      </c>
    </row>
    <row r="4602" spans="2:5">
      <c r="B4602" t="s">
        <v>6958</v>
      </c>
      <c r="C4602">
        <v>531650</v>
      </c>
      <c r="D4602" t="s">
        <v>339</v>
      </c>
      <c r="E4602" t="s">
        <v>760</v>
      </c>
    </row>
    <row r="4603" spans="2:5">
      <c r="B4603" t="s">
        <v>6959</v>
      </c>
      <c r="C4603">
        <v>513005</v>
      </c>
      <c r="D4603" t="s">
        <v>339</v>
      </c>
      <c r="E4603" t="s">
        <v>371</v>
      </c>
    </row>
    <row r="4604" spans="2:5">
      <c r="B4604" t="s">
        <v>6960</v>
      </c>
      <c r="C4604">
        <v>511493</v>
      </c>
      <c r="D4604" t="s">
        <v>339</v>
      </c>
      <c r="E4604" t="s">
        <v>356</v>
      </c>
    </row>
    <row r="4605" spans="2:5">
      <c r="B4605" t="s">
        <v>6961</v>
      </c>
      <c r="C4605">
        <v>536672</v>
      </c>
      <c r="D4605" t="s">
        <v>339</v>
      </c>
      <c r="E4605" t="s">
        <v>1965</v>
      </c>
    </row>
    <row r="4606" spans="2:5">
      <c r="B4606" t="s">
        <v>6962</v>
      </c>
      <c r="C4606">
        <v>500295</v>
      </c>
      <c r="D4606" t="s">
        <v>6963</v>
      </c>
      <c r="E4606" t="s">
        <v>2854</v>
      </c>
    </row>
    <row r="4607" spans="2:5">
      <c r="B4607" t="s">
        <v>6964</v>
      </c>
      <c r="C4607">
        <v>533056</v>
      </c>
      <c r="D4607" t="s">
        <v>339</v>
      </c>
      <c r="E4607" t="s">
        <v>345</v>
      </c>
    </row>
    <row r="4608" spans="2:5">
      <c r="B4608" t="s">
        <v>6965</v>
      </c>
      <c r="C4608">
        <v>522267</v>
      </c>
      <c r="D4608" t="s">
        <v>339</v>
      </c>
      <c r="E4608" t="s">
        <v>347</v>
      </c>
    </row>
    <row r="4609" spans="2:5">
      <c r="B4609" t="s">
        <v>6966</v>
      </c>
      <c r="C4609">
        <v>503657</v>
      </c>
      <c r="D4609" t="s">
        <v>339</v>
      </c>
      <c r="E4609" t="s">
        <v>478</v>
      </c>
    </row>
    <row r="4610" spans="2:5">
      <c r="B4610" t="s">
        <v>6967</v>
      </c>
      <c r="C4610">
        <v>542046</v>
      </c>
      <c r="D4610" t="s">
        <v>339</v>
      </c>
      <c r="E4610" t="s">
        <v>425</v>
      </c>
    </row>
    <row r="4611" spans="2:5">
      <c r="B4611" t="s">
        <v>6968</v>
      </c>
      <c r="C4611">
        <v>540252</v>
      </c>
      <c r="D4611" t="s">
        <v>339</v>
      </c>
      <c r="E4611" t="s">
        <v>453</v>
      </c>
    </row>
    <row r="4612" spans="2:5">
      <c r="B4612" t="s">
        <v>6969</v>
      </c>
      <c r="C4612">
        <v>511523</v>
      </c>
      <c r="D4612" t="s">
        <v>339</v>
      </c>
      <c r="E4612" t="s">
        <v>377</v>
      </c>
    </row>
    <row r="4613" spans="2:5">
      <c r="B4613" t="s">
        <v>6970</v>
      </c>
      <c r="C4613">
        <v>539132</v>
      </c>
      <c r="D4613" t="s">
        <v>339</v>
      </c>
      <c r="E4613" t="s">
        <v>588</v>
      </c>
    </row>
    <row r="4614" spans="2:5">
      <c r="B4614" t="s">
        <v>6971</v>
      </c>
      <c r="C4614">
        <v>526755</v>
      </c>
      <c r="D4614" t="s">
        <v>339</v>
      </c>
      <c r="E4614" t="s">
        <v>540</v>
      </c>
    </row>
    <row r="4615" spans="2:5">
      <c r="B4615" t="s">
        <v>6972</v>
      </c>
      <c r="C4615">
        <v>505232</v>
      </c>
      <c r="D4615" t="s">
        <v>339</v>
      </c>
      <c r="E4615" t="s">
        <v>694</v>
      </c>
    </row>
    <row r="4616" spans="2:5">
      <c r="B4616" t="s">
        <v>6973</v>
      </c>
      <c r="C4616">
        <v>523261</v>
      </c>
      <c r="D4616" t="s">
        <v>6974</v>
      </c>
      <c r="E4616" t="s">
        <v>399</v>
      </c>
    </row>
    <row r="4617" spans="2:5">
      <c r="B4617" t="s">
        <v>6975</v>
      </c>
      <c r="C4617">
        <v>523261</v>
      </c>
      <c r="D4617" t="s">
        <v>6974</v>
      </c>
      <c r="E4617" t="s">
        <v>399</v>
      </c>
    </row>
    <row r="4618" spans="2:5">
      <c r="B4618" t="s">
        <v>6976</v>
      </c>
      <c r="C4618">
        <v>524038</v>
      </c>
      <c r="D4618" t="s">
        <v>339</v>
      </c>
      <c r="E4618" t="s">
        <v>387</v>
      </c>
    </row>
    <row r="4619" spans="2:5">
      <c r="B4619" t="s">
        <v>6977</v>
      </c>
      <c r="C4619">
        <v>512060</v>
      </c>
      <c r="D4619" t="s">
        <v>6978</v>
      </c>
      <c r="E4619" t="s">
        <v>760</v>
      </c>
    </row>
    <row r="4620" spans="2:5">
      <c r="B4620" t="s">
        <v>6979</v>
      </c>
      <c r="C4620">
        <v>516098</v>
      </c>
      <c r="D4620" t="s">
        <v>339</v>
      </c>
      <c r="E4620" t="s">
        <v>354</v>
      </c>
    </row>
    <row r="4621" spans="2:5">
      <c r="B4621" t="s">
        <v>6980</v>
      </c>
      <c r="C4621">
        <v>526953</v>
      </c>
      <c r="D4621" t="s">
        <v>6981</v>
      </c>
      <c r="E4621" t="s">
        <v>377</v>
      </c>
    </row>
    <row r="4622" spans="2:5">
      <c r="B4622" t="s">
        <v>6982</v>
      </c>
      <c r="C4622" t="s">
        <v>339</v>
      </c>
      <c r="D4622" t="s">
        <v>6983</v>
      </c>
      <c r="E4622" t="s">
        <v>350</v>
      </c>
    </row>
    <row r="4623" spans="2:5">
      <c r="B4623" t="s">
        <v>6984</v>
      </c>
      <c r="C4623">
        <v>512229</v>
      </c>
      <c r="D4623" t="s">
        <v>339</v>
      </c>
      <c r="E4623" t="s">
        <v>361</v>
      </c>
    </row>
    <row r="4624" spans="2:5">
      <c r="B4624" t="s">
        <v>6985</v>
      </c>
      <c r="C4624">
        <v>512229</v>
      </c>
      <c r="D4624" t="s">
        <v>339</v>
      </c>
      <c r="E4624" t="s">
        <v>361</v>
      </c>
    </row>
    <row r="4625" spans="2:5">
      <c r="B4625" t="s">
        <v>6986</v>
      </c>
      <c r="C4625">
        <v>531695</v>
      </c>
      <c r="D4625" t="s">
        <v>339</v>
      </c>
      <c r="E4625" t="s">
        <v>342</v>
      </c>
    </row>
    <row r="4626" spans="2:5">
      <c r="B4626" t="s">
        <v>6987</v>
      </c>
      <c r="C4626">
        <v>531950</v>
      </c>
      <c r="D4626" t="s">
        <v>339</v>
      </c>
      <c r="E4626" t="s">
        <v>322</v>
      </c>
    </row>
    <row r="4627" spans="2:5">
      <c r="B4627" t="s">
        <v>6988</v>
      </c>
      <c r="C4627">
        <v>515099</v>
      </c>
      <c r="D4627" t="s">
        <v>339</v>
      </c>
      <c r="E4627" t="s">
        <v>867</v>
      </c>
    </row>
    <row r="4628" spans="2:5">
      <c r="B4628" t="s">
        <v>6989</v>
      </c>
      <c r="C4628" t="s">
        <v>339</v>
      </c>
      <c r="D4628" t="s">
        <v>6990</v>
      </c>
      <c r="E4628" t="s">
        <v>350</v>
      </c>
    </row>
    <row r="4629" spans="2:5">
      <c r="B4629" t="s">
        <v>6991</v>
      </c>
      <c r="C4629">
        <v>520113</v>
      </c>
      <c r="D4629" t="s">
        <v>6992</v>
      </c>
      <c r="E4629" t="s">
        <v>524</v>
      </c>
    </row>
    <row r="4630" spans="2:5">
      <c r="B4630" t="s">
        <v>6993</v>
      </c>
      <c r="C4630">
        <v>520113</v>
      </c>
      <c r="D4630" t="s">
        <v>6992</v>
      </c>
      <c r="E4630" t="s">
        <v>524</v>
      </c>
    </row>
    <row r="4631" spans="2:5">
      <c r="B4631" t="s">
        <v>6994</v>
      </c>
      <c r="C4631">
        <v>539331</v>
      </c>
      <c r="D4631" t="s">
        <v>6995</v>
      </c>
      <c r="E4631" t="s">
        <v>637</v>
      </c>
    </row>
    <row r="4632" spans="2:5">
      <c r="B4632" t="s">
        <v>6996</v>
      </c>
      <c r="C4632">
        <v>532953</v>
      </c>
      <c r="D4632" t="s">
        <v>6997</v>
      </c>
      <c r="E4632" t="s">
        <v>637</v>
      </c>
    </row>
    <row r="4633" spans="2:5">
      <c r="B4633" t="s">
        <v>6998</v>
      </c>
      <c r="C4633">
        <v>537524</v>
      </c>
      <c r="D4633" t="s">
        <v>339</v>
      </c>
      <c r="E4633" t="s">
        <v>1384</v>
      </c>
    </row>
    <row r="4634" spans="2:5">
      <c r="B4634" t="s">
        <v>6999</v>
      </c>
      <c r="C4634">
        <v>538732</v>
      </c>
      <c r="D4634" t="s">
        <v>339</v>
      </c>
      <c r="E4634" t="s">
        <v>356</v>
      </c>
    </row>
    <row r="4635" spans="2:5">
      <c r="B4635" t="s">
        <v>7000</v>
      </c>
      <c r="C4635">
        <v>523796</v>
      </c>
      <c r="D4635" t="s">
        <v>7001</v>
      </c>
      <c r="E4635" t="s">
        <v>540</v>
      </c>
    </row>
    <row r="4636" spans="2:5">
      <c r="B4636" t="s">
        <v>7002</v>
      </c>
      <c r="C4636">
        <v>503349</v>
      </c>
      <c r="D4636" t="s">
        <v>339</v>
      </c>
      <c r="E4636" t="s">
        <v>354</v>
      </c>
    </row>
    <row r="4637" spans="2:5">
      <c r="B4637" t="s">
        <v>7003</v>
      </c>
      <c r="C4637">
        <v>531234</v>
      </c>
      <c r="D4637" t="s">
        <v>339</v>
      </c>
      <c r="E4637" t="s">
        <v>333</v>
      </c>
    </row>
    <row r="4638" spans="2:5">
      <c r="B4638" t="s">
        <v>7004</v>
      </c>
      <c r="C4638">
        <v>531234</v>
      </c>
      <c r="D4638" t="s">
        <v>339</v>
      </c>
      <c r="E4638" t="s">
        <v>333</v>
      </c>
    </row>
    <row r="4639" spans="2:5">
      <c r="B4639" t="s">
        <v>7005</v>
      </c>
      <c r="C4639">
        <v>511389</v>
      </c>
      <c r="D4639" t="s">
        <v>7006</v>
      </c>
      <c r="E4639" t="s">
        <v>708</v>
      </c>
    </row>
    <row r="4640" spans="2:5">
      <c r="B4640" t="s">
        <v>7007</v>
      </c>
      <c r="C4640">
        <v>531717</v>
      </c>
      <c r="D4640" t="s">
        <v>7008</v>
      </c>
      <c r="E4640" t="s">
        <v>499</v>
      </c>
    </row>
    <row r="4641" spans="2:5">
      <c r="B4641" t="s">
        <v>7009</v>
      </c>
      <c r="C4641">
        <v>539659</v>
      </c>
      <c r="D4641" t="s">
        <v>339</v>
      </c>
      <c r="E4641" t="s">
        <v>828</v>
      </c>
    </row>
    <row r="4642" spans="2:5">
      <c r="B4642" t="s">
        <v>7010</v>
      </c>
      <c r="C4642">
        <v>523724</v>
      </c>
      <c r="D4642" t="s">
        <v>7011</v>
      </c>
      <c r="E4642" t="s">
        <v>425</v>
      </c>
    </row>
    <row r="4643" spans="2:5">
      <c r="B4643" t="s">
        <v>7012</v>
      </c>
      <c r="C4643">
        <v>531069</v>
      </c>
      <c r="D4643" t="s">
        <v>339</v>
      </c>
      <c r="E4643" t="s">
        <v>588</v>
      </c>
    </row>
    <row r="4644" spans="2:5">
      <c r="B4644" t="s">
        <v>7013</v>
      </c>
      <c r="C4644">
        <v>530151</v>
      </c>
      <c r="D4644" t="s">
        <v>339</v>
      </c>
      <c r="E4644" t="s">
        <v>361</v>
      </c>
    </row>
    <row r="4645" spans="2:5">
      <c r="B4645" t="s">
        <v>7014</v>
      </c>
      <c r="C4645">
        <v>532401</v>
      </c>
      <c r="D4645" t="s">
        <v>7015</v>
      </c>
      <c r="E4645" t="s">
        <v>657</v>
      </c>
    </row>
    <row r="4646" spans="2:5">
      <c r="B4646" t="s">
        <v>7016</v>
      </c>
      <c r="C4646">
        <v>537820</v>
      </c>
      <c r="D4646" t="s">
        <v>7017</v>
      </c>
      <c r="E4646" t="s">
        <v>356</v>
      </c>
    </row>
    <row r="4647" spans="2:5">
      <c r="B4647" t="s">
        <v>7018</v>
      </c>
      <c r="C4647">
        <v>531334</v>
      </c>
      <c r="D4647" t="s">
        <v>339</v>
      </c>
      <c r="E4647" t="s">
        <v>760</v>
      </c>
    </row>
    <row r="4648" spans="2:5">
      <c r="B4648" t="s">
        <v>7019</v>
      </c>
      <c r="C4648">
        <v>530961</v>
      </c>
      <c r="D4648" t="s">
        <v>7020</v>
      </c>
      <c r="E4648" t="s">
        <v>499</v>
      </c>
    </row>
    <row r="4649" spans="2:5">
      <c r="B4649" t="s">
        <v>7021</v>
      </c>
      <c r="C4649">
        <v>542655</v>
      </c>
      <c r="D4649" t="s">
        <v>7022</v>
      </c>
      <c r="E4649" t="s">
        <v>705</v>
      </c>
    </row>
    <row r="4650" spans="2:5">
      <c r="B4650" t="s">
        <v>7023</v>
      </c>
      <c r="C4650">
        <v>531518</v>
      </c>
      <c r="D4650" t="s">
        <v>339</v>
      </c>
      <c r="E4650" t="s">
        <v>537</v>
      </c>
    </row>
    <row r="4651" spans="2:5">
      <c r="B4651" t="s">
        <v>7024</v>
      </c>
      <c r="C4651">
        <v>519307</v>
      </c>
      <c r="D4651" t="s">
        <v>339</v>
      </c>
      <c r="E4651" t="s">
        <v>499</v>
      </c>
    </row>
    <row r="4652" spans="2:5">
      <c r="B4652" t="s">
        <v>7025</v>
      </c>
      <c r="C4652">
        <v>530477</v>
      </c>
      <c r="D4652" t="s">
        <v>339</v>
      </c>
      <c r="E4652" t="s">
        <v>377</v>
      </c>
    </row>
    <row r="4653" spans="2:5">
      <c r="B4653" t="s">
        <v>7026</v>
      </c>
      <c r="C4653">
        <v>530477</v>
      </c>
      <c r="D4653" t="s">
        <v>339</v>
      </c>
      <c r="E4653" t="s">
        <v>377</v>
      </c>
    </row>
    <row r="4654" spans="2:5">
      <c r="B4654" t="s">
        <v>7027</v>
      </c>
      <c r="C4654">
        <v>506196</v>
      </c>
      <c r="D4654" t="s">
        <v>339</v>
      </c>
      <c r="E4654" t="s">
        <v>361</v>
      </c>
    </row>
    <row r="4655" spans="2:5">
      <c r="B4655" t="s">
        <v>7028</v>
      </c>
      <c r="C4655">
        <v>519373</v>
      </c>
      <c r="D4655" t="s">
        <v>7029</v>
      </c>
      <c r="E4655" t="s">
        <v>588</v>
      </c>
    </row>
    <row r="4656" spans="2:5">
      <c r="B4656" t="s">
        <v>7030</v>
      </c>
      <c r="C4656">
        <v>524394</v>
      </c>
      <c r="D4656" t="s">
        <v>7031</v>
      </c>
      <c r="E4656" t="s">
        <v>528</v>
      </c>
    </row>
    <row r="4657" spans="2:5">
      <c r="B4657" t="s">
        <v>7032</v>
      </c>
      <c r="C4657">
        <v>504380</v>
      </c>
      <c r="D4657" t="s">
        <v>339</v>
      </c>
      <c r="E4657" t="s">
        <v>361</v>
      </c>
    </row>
    <row r="4658" spans="2:5">
      <c r="B4658" t="s">
        <v>7033</v>
      </c>
      <c r="C4658">
        <v>524200</v>
      </c>
      <c r="D4658" t="s">
        <v>7034</v>
      </c>
      <c r="E4658" t="s">
        <v>387</v>
      </c>
    </row>
    <row r="4659" spans="2:5">
      <c r="B4659" t="s">
        <v>7035</v>
      </c>
      <c r="C4659">
        <v>534639</v>
      </c>
      <c r="D4659" t="s">
        <v>339</v>
      </c>
      <c r="E4659" t="s">
        <v>534</v>
      </c>
    </row>
    <row r="4660" spans="2:5">
      <c r="B4660" t="s">
        <v>7036</v>
      </c>
      <c r="C4660">
        <v>517015</v>
      </c>
      <c r="D4660" t="s">
        <v>7037</v>
      </c>
      <c r="E4660" t="s">
        <v>609</v>
      </c>
    </row>
    <row r="4661" spans="2:5">
      <c r="B4661" t="s">
        <v>7038</v>
      </c>
      <c r="C4661" t="s">
        <v>339</v>
      </c>
      <c r="D4661" t="s">
        <v>7039</v>
      </c>
      <c r="E4661" t="s">
        <v>350</v>
      </c>
    </row>
    <row r="4662" spans="2:5">
      <c r="B4662" t="s">
        <v>7040</v>
      </c>
      <c r="C4662">
        <v>531051</v>
      </c>
      <c r="D4662" t="s">
        <v>339</v>
      </c>
      <c r="E4662" t="s">
        <v>356</v>
      </c>
    </row>
    <row r="4663" spans="2:5">
      <c r="B4663" t="s">
        <v>7041</v>
      </c>
      <c r="C4663">
        <v>524129</v>
      </c>
      <c r="D4663" t="s">
        <v>7042</v>
      </c>
      <c r="E4663" t="s">
        <v>716</v>
      </c>
    </row>
    <row r="4664" spans="2:5">
      <c r="B4664" t="s">
        <v>7043</v>
      </c>
      <c r="C4664">
        <v>524129</v>
      </c>
      <c r="D4664" t="s">
        <v>7044</v>
      </c>
      <c r="E4664" t="s">
        <v>716</v>
      </c>
    </row>
    <row r="4665" spans="2:5">
      <c r="B4665" t="s">
        <v>7045</v>
      </c>
      <c r="C4665">
        <v>530401</v>
      </c>
      <c r="D4665" t="s">
        <v>339</v>
      </c>
      <c r="E4665" t="s">
        <v>387</v>
      </c>
    </row>
    <row r="4666" spans="2:5">
      <c r="B4666" t="s">
        <v>7046</v>
      </c>
      <c r="C4666">
        <v>532613</v>
      </c>
      <c r="D4666" t="s">
        <v>7047</v>
      </c>
      <c r="E4666" t="s">
        <v>361</v>
      </c>
    </row>
    <row r="4667" spans="2:5">
      <c r="B4667" t="s">
        <v>7048</v>
      </c>
      <c r="C4667">
        <v>507880</v>
      </c>
      <c r="D4667" t="s">
        <v>7049</v>
      </c>
      <c r="E4667" t="s">
        <v>453</v>
      </c>
    </row>
    <row r="4668" spans="2:5">
      <c r="B4668" t="s">
        <v>7050</v>
      </c>
      <c r="C4668">
        <v>514302</v>
      </c>
      <c r="D4668" t="s">
        <v>339</v>
      </c>
      <c r="E4668" t="s">
        <v>354</v>
      </c>
    </row>
    <row r="4669" spans="2:5">
      <c r="B4669" t="s">
        <v>7051</v>
      </c>
      <c r="C4669">
        <v>511726</v>
      </c>
      <c r="D4669" t="s">
        <v>7052</v>
      </c>
      <c r="E4669" t="s">
        <v>425</v>
      </c>
    </row>
    <row r="4670" spans="2:5">
      <c r="B4670" t="s">
        <v>7053</v>
      </c>
      <c r="C4670">
        <v>530627</v>
      </c>
      <c r="D4670" t="s">
        <v>339</v>
      </c>
      <c r="E4670" t="s">
        <v>499</v>
      </c>
    </row>
    <row r="4671" spans="2:5">
      <c r="B4671" t="s">
        <v>7054</v>
      </c>
      <c r="C4671">
        <v>519457</v>
      </c>
      <c r="D4671" t="s">
        <v>339</v>
      </c>
      <c r="E4671" t="s">
        <v>399</v>
      </c>
    </row>
    <row r="4672" spans="2:5">
      <c r="B4672" t="s">
        <v>7055</v>
      </c>
      <c r="C4672">
        <v>530521</v>
      </c>
      <c r="D4672" t="s">
        <v>339</v>
      </c>
      <c r="E4672" t="s">
        <v>453</v>
      </c>
    </row>
    <row r="4673" spans="2:5">
      <c r="B4673" t="s">
        <v>7056</v>
      </c>
      <c r="C4673">
        <v>539167</v>
      </c>
      <c r="D4673" t="s">
        <v>339</v>
      </c>
      <c r="E4673" t="s">
        <v>356</v>
      </c>
    </row>
    <row r="4674" spans="2:5">
      <c r="B4674" t="s">
        <v>7057</v>
      </c>
      <c r="C4674">
        <v>532354</v>
      </c>
      <c r="D4674" t="s">
        <v>339</v>
      </c>
      <c r="E4674" t="s">
        <v>432</v>
      </c>
    </row>
    <row r="4675" spans="2:5">
      <c r="B4675" t="s">
        <v>7058</v>
      </c>
      <c r="C4675">
        <v>532372</v>
      </c>
      <c r="D4675" t="s">
        <v>339</v>
      </c>
      <c r="E4675" t="s">
        <v>432</v>
      </c>
    </row>
    <row r="4676" spans="2:5">
      <c r="B4676" t="s">
        <v>7059</v>
      </c>
      <c r="C4676">
        <v>534741</v>
      </c>
      <c r="D4676" t="s">
        <v>339</v>
      </c>
      <c r="E4676" t="s">
        <v>444</v>
      </c>
    </row>
    <row r="4677" spans="2:5">
      <c r="B4677" t="s">
        <v>7060</v>
      </c>
      <c r="C4677">
        <v>531126</v>
      </c>
      <c r="D4677" t="s">
        <v>339</v>
      </c>
      <c r="E4677" t="s">
        <v>432</v>
      </c>
    </row>
    <row r="4678" spans="2:5">
      <c r="B4678" t="s">
        <v>7061</v>
      </c>
      <c r="C4678">
        <v>532721</v>
      </c>
      <c r="D4678" t="s">
        <v>7062</v>
      </c>
      <c r="E4678" t="s">
        <v>371</v>
      </c>
    </row>
    <row r="4679" spans="2:5">
      <c r="B4679" t="s">
        <v>7063</v>
      </c>
      <c r="C4679">
        <v>531025</v>
      </c>
      <c r="D4679" t="s">
        <v>339</v>
      </c>
      <c r="E4679" t="s">
        <v>322</v>
      </c>
    </row>
    <row r="4680" spans="2:5">
      <c r="B4680" t="s">
        <v>7064</v>
      </c>
      <c r="C4680">
        <v>506146</v>
      </c>
      <c r="D4680" t="s">
        <v>7065</v>
      </c>
      <c r="E4680" t="s">
        <v>354</v>
      </c>
    </row>
    <row r="4681" spans="2:5">
      <c r="B4681" t="s">
        <v>7066</v>
      </c>
      <c r="C4681">
        <v>509055</v>
      </c>
      <c r="D4681" t="s">
        <v>7067</v>
      </c>
      <c r="E4681" t="s">
        <v>352</v>
      </c>
    </row>
    <row r="4682" spans="2:5">
      <c r="B4682" t="s">
        <v>7068</v>
      </c>
      <c r="C4682">
        <v>540097</v>
      </c>
      <c r="D4682" t="s">
        <v>339</v>
      </c>
      <c r="E4682" t="s">
        <v>322</v>
      </c>
    </row>
    <row r="4683" spans="2:5">
      <c r="B4683" t="s">
        <v>7069</v>
      </c>
      <c r="C4683">
        <v>532411</v>
      </c>
      <c r="D4683" t="s">
        <v>7070</v>
      </c>
      <c r="E4683" t="s">
        <v>432</v>
      </c>
    </row>
    <row r="4684" spans="2:5">
      <c r="B4684" t="s">
        <v>7071</v>
      </c>
      <c r="C4684">
        <v>539398</v>
      </c>
      <c r="D4684" t="s">
        <v>339</v>
      </c>
      <c r="E4684" t="s">
        <v>347</v>
      </c>
    </row>
    <row r="4685" spans="2:5">
      <c r="B4685" t="s">
        <v>7072</v>
      </c>
      <c r="C4685">
        <v>538598</v>
      </c>
      <c r="D4685" t="s">
        <v>339</v>
      </c>
      <c r="E4685" t="s">
        <v>354</v>
      </c>
    </row>
    <row r="4686" spans="2:5">
      <c r="B4686" t="s">
        <v>7073</v>
      </c>
      <c r="C4686">
        <v>516072</v>
      </c>
      <c r="D4686" t="s">
        <v>7074</v>
      </c>
      <c r="E4686" t="s">
        <v>387</v>
      </c>
    </row>
    <row r="4687" spans="2:5">
      <c r="B4687" t="s">
        <v>7075</v>
      </c>
      <c r="C4687">
        <v>512064</v>
      </c>
      <c r="D4687" t="s">
        <v>7076</v>
      </c>
      <c r="E4687" t="s">
        <v>760</v>
      </c>
    </row>
    <row r="4688" spans="2:5">
      <c r="B4688" t="s">
        <v>7077</v>
      </c>
      <c r="C4688">
        <v>526441</v>
      </c>
      <c r="D4688" t="s">
        <v>339</v>
      </c>
      <c r="E4688" t="s">
        <v>1941</v>
      </c>
    </row>
    <row r="4689" spans="2:5">
      <c r="B4689" t="s">
        <v>7078</v>
      </c>
      <c r="C4689">
        <v>531668</v>
      </c>
      <c r="D4689" t="s">
        <v>339</v>
      </c>
      <c r="E4689" t="s">
        <v>342</v>
      </c>
    </row>
    <row r="4690" spans="2:5">
      <c r="B4690" t="s">
        <v>7079</v>
      </c>
      <c r="C4690">
        <v>524711</v>
      </c>
      <c r="D4690" t="s">
        <v>339</v>
      </c>
      <c r="E4690" t="s">
        <v>377</v>
      </c>
    </row>
    <row r="4691" spans="2:5">
      <c r="B4691" t="s">
        <v>7080</v>
      </c>
      <c r="C4691">
        <v>538565</v>
      </c>
      <c r="D4691" t="s">
        <v>339</v>
      </c>
      <c r="E4691" t="s">
        <v>356</v>
      </c>
    </row>
    <row r="4692" spans="2:5">
      <c r="B4692" t="s">
        <v>7081</v>
      </c>
      <c r="C4692">
        <v>540823</v>
      </c>
      <c r="D4692" t="s">
        <v>339</v>
      </c>
      <c r="E4692" t="s">
        <v>361</v>
      </c>
    </row>
    <row r="4693" spans="2:5">
      <c r="B4693" t="s">
        <v>7082</v>
      </c>
      <c r="C4693">
        <v>541735</v>
      </c>
      <c r="D4693" t="s">
        <v>339</v>
      </c>
      <c r="E4693" t="s">
        <v>737</v>
      </c>
    </row>
    <row r="4694" spans="2:5">
      <c r="B4694" t="s">
        <v>7083</v>
      </c>
      <c r="C4694">
        <v>530057</v>
      </c>
      <c r="D4694" t="s">
        <v>339</v>
      </c>
      <c r="E4694" t="s">
        <v>377</v>
      </c>
    </row>
    <row r="4695" spans="2:5">
      <c r="B4695" t="s">
        <v>7084</v>
      </c>
      <c r="C4695">
        <v>524576</v>
      </c>
      <c r="D4695" t="s">
        <v>339</v>
      </c>
      <c r="E4695" t="s">
        <v>387</v>
      </c>
    </row>
    <row r="4696" spans="2:5">
      <c r="B4696" t="s">
        <v>7085</v>
      </c>
      <c r="C4696">
        <v>532660</v>
      </c>
      <c r="D4696" t="s">
        <v>7086</v>
      </c>
      <c r="E4696" t="s">
        <v>377</v>
      </c>
    </row>
    <row r="4697" spans="2:5">
      <c r="B4697" t="s">
        <v>7087</v>
      </c>
      <c r="C4697">
        <v>511509</v>
      </c>
      <c r="D4697" t="s">
        <v>339</v>
      </c>
      <c r="E4697" t="s">
        <v>677</v>
      </c>
    </row>
    <row r="4698" spans="2:5">
      <c r="B4698" t="s">
        <v>7088</v>
      </c>
      <c r="C4698">
        <v>509026</v>
      </c>
      <c r="D4698" t="s">
        <v>339</v>
      </c>
      <c r="E4698" t="s">
        <v>444</v>
      </c>
    </row>
    <row r="4699" spans="2:5">
      <c r="B4699" t="s">
        <v>7089</v>
      </c>
      <c r="C4699">
        <v>536128</v>
      </c>
      <c r="D4699" t="s">
        <v>339</v>
      </c>
      <c r="E4699" t="s">
        <v>737</v>
      </c>
    </row>
    <row r="4700" spans="2:5">
      <c r="B4700" t="s">
        <v>7090</v>
      </c>
      <c r="C4700">
        <v>511333</v>
      </c>
      <c r="D4700" t="s">
        <v>7091</v>
      </c>
      <c r="E4700" t="s">
        <v>322</v>
      </c>
    </row>
    <row r="4701" spans="2:5">
      <c r="B4701" t="s">
        <v>7092</v>
      </c>
      <c r="C4701">
        <v>534976</v>
      </c>
      <c r="D4701" t="s">
        <v>7093</v>
      </c>
      <c r="E4701" t="s">
        <v>508</v>
      </c>
    </row>
    <row r="4702" spans="2:5">
      <c r="B4702" t="s">
        <v>7094</v>
      </c>
      <c r="C4702">
        <v>533427</v>
      </c>
      <c r="D4702" t="s">
        <v>339</v>
      </c>
      <c r="E4702" t="s">
        <v>475</v>
      </c>
    </row>
    <row r="4703" spans="2:5">
      <c r="B4703" t="s">
        <v>7095</v>
      </c>
      <c r="C4703">
        <v>539222</v>
      </c>
      <c r="D4703" t="s">
        <v>339</v>
      </c>
      <c r="E4703" t="s">
        <v>1341</v>
      </c>
    </row>
    <row r="4704" spans="2:5">
      <c r="B4704" t="s">
        <v>7096</v>
      </c>
      <c r="C4704">
        <v>532822</v>
      </c>
      <c r="D4704" t="s">
        <v>7097</v>
      </c>
      <c r="E4704" t="s">
        <v>1282</v>
      </c>
    </row>
    <row r="4705" spans="2:5">
      <c r="B4705" t="s">
        <v>7098</v>
      </c>
      <c r="C4705">
        <v>522122</v>
      </c>
      <c r="D4705" t="s">
        <v>339</v>
      </c>
      <c r="E4705" t="s">
        <v>354</v>
      </c>
    </row>
    <row r="4706" spans="2:5">
      <c r="B4706" t="s">
        <v>7099</v>
      </c>
      <c r="C4706">
        <v>522122</v>
      </c>
      <c r="D4706" t="s">
        <v>339</v>
      </c>
      <c r="E4706" t="s">
        <v>354</v>
      </c>
    </row>
    <row r="4707" spans="2:5">
      <c r="B4707" t="s">
        <v>7100</v>
      </c>
      <c r="C4707">
        <v>509038</v>
      </c>
      <c r="D4707" t="s">
        <v>339</v>
      </c>
      <c r="E4707" t="s">
        <v>356</v>
      </c>
    </row>
    <row r="4708" spans="2:5">
      <c r="B4708" t="s">
        <v>7101</v>
      </c>
      <c r="C4708">
        <v>532757</v>
      </c>
      <c r="D4708" t="s">
        <v>7102</v>
      </c>
      <c r="E4708" t="s">
        <v>382</v>
      </c>
    </row>
    <row r="4709" spans="2:5">
      <c r="B4709" t="s">
        <v>7103</v>
      </c>
      <c r="C4709">
        <v>500575</v>
      </c>
      <c r="D4709" t="s">
        <v>7104</v>
      </c>
      <c r="E4709" t="s">
        <v>708</v>
      </c>
    </row>
    <row r="4710" spans="2:5">
      <c r="B4710" t="s">
        <v>7105</v>
      </c>
      <c r="C4710">
        <v>512215</v>
      </c>
      <c r="D4710" t="s">
        <v>339</v>
      </c>
      <c r="E4710" t="s">
        <v>322</v>
      </c>
    </row>
    <row r="4711" spans="2:5">
      <c r="B4711" t="s">
        <v>7106</v>
      </c>
      <c r="C4711">
        <v>539118</v>
      </c>
      <c r="D4711" t="s">
        <v>7107</v>
      </c>
      <c r="E4711" t="s">
        <v>660</v>
      </c>
    </row>
    <row r="4712" spans="2:5">
      <c r="B4712" t="s">
        <v>7108</v>
      </c>
      <c r="C4712">
        <v>519331</v>
      </c>
      <c r="D4712" t="s">
        <v>339</v>
      </c>
      <c r="E4712" t="s">
        <v>737</v>
      </c>
    </row>
    <row r="4713" spans="2:5">
      <c r="B4713" t="s">
        <v>7109</v>
      </c>
      <c r="C4713">
        <v>509966</v>
      </c>
      <c r="D4713" t="s">
        <v>7110</v>
      </c>
      <c r="E4713" t="s">
        <v>2509</v>
      </c>
    </row>
    <row r="4714" spans="2:5">
      <c r="B4714" t="s">
        <v>7111</v>
      </c>
      <c r="C4714">
        <v>532893</v>
      </c>
      <c r="D4714" t="s">
        <v>339</v>
      </c>
      <c r="E4714" t="s">
        <v>354</v>
      </c>
    </row>
    <row r="4715" spans="2:5">
      <c r="B4715" t="s">
        <v>7112</v>
      </c>
      <c r="C4715">
        <v>517399</v>
      </c>
      <c r="D4715" t="s">
        <v>7113</v>
      </c>
      <c r="E4715" t="s">
        <v>708</v>
      </c>
    </row>
    <row r="4716" spans="2:5">
      <c r="B4716" t="s">
        <v>7114</v>
      </c>
      <c r="C4716">
        <v>506142</v>
      </c>
      <c r="D4716" t="s">
        <v>339</v>
      </c>
      <c r="E4716" t="s">
        <v>322</v>
      </c>
    </row>
    <row r="4717" spans="2:5">
      <c r="B4717" t="s">
        <v>7115</v>
      </c>
      <c r="C4717">
        <v>501391</v>
      </c>
      <c r="D4717" t="s">
        <v>339</v>
      </c>
      <c r="E4717" t="s">
        <v>361</v>
      </c>
    </row>
    <row r="4718" spans="2:5">
      <c r="B4718" t="s">
        <v>7116</v>
      </c>
      <c r="C4718">
        <v>504220</v>
      </c>
      <c r="D4718" t="s">
        <v>339</v>
      </c>
      <c r="E4718" t="s">
        <v>347</v>
      </c>
    </row>
    <row r="4719" spans="2:5">
      <c r="B4719" t="s">
        <v>7117</v>
      </c>
      <c r="C4719" t="s">
        <v>339</v>
      </c>
      <c r="D4719" t="s">
        <v>7118</v>
      </c>
      <c r="E4719" t="s">
        <v>430</v>
      </c>
    </row>
    <row r="4720" spans="2:5">
      <c r="B4720" t="s">
        <v>7119</v>
      </c>
      <c r="C4720">
        <v>504220</v>
      </c>
      <c r="D4720" t="s">
        <v>339</v>
      </c>
      <c r="E4720" t="s">
        <v>347</v>
      </c>
    </row>
    <row r="4721" spans="2:5">
      <c r="B4721" t="s">
        <v>7120</v>
      </c>
      <c r="C4721">
        <v>505583</v>
      </c>
      <c r="D4721" t="s">
        <v>339</v>
      </c>
      <c r="E4721" t="s">
        <v>425</v>
      </c>
    </row>
    <row r="4722" spans="2:5">
      <c r="B4722" t="s">
        <v>7121</v>
      </c>
      <c r="C4722">
        <v>541445</v>
      </c>
      <c r="D4722" t="s">
        <v>339</v>
      </c>
      <c r="E4722" t="s">
        <v>637</v>
      </c>
    </row>
    <row r="4723" spans="2:5">
      <c r="B4723" t="s">
        <v>7122</v>
      </c>
      <c r="C4723">
        <v>533023</v>
      </c>
      <c r="D4723" t="s">
        <v>7123</v>
      </c>
      <c r="E4723" t="s">
        <v>694</v>
      </c>
    </row>
    <row r="4724" spans="2:5">
      <c r="B4724" t="s">
        <v>7124</v>
      </c>
      <c r="C4724">
        <v>533023</v>
      </c>
      <c r="D4724" t="s">
        <v>7125</v>
      </c>
      <c r="E4724" t="s">
        <v>694</v>
      </c>
    </row>
    <row r="4725" spans="2:5">
      <c r="B4725" t="s">
        <v>7126</v>
      </c>
      <c r="C4725">
        <v>503675</v>
      </c>
      <c r="D4725" t="s">
        <v>339</v>
      </c>
      <c r="E4725" t="s">
        <v>760</v>
      </c>
    </row>
    <row r="4726" spans="2:5">
      <c r="B4726" t="s">
        <v>7127</v>
      </c>
      <c r="C4726">
        <v>501370</v>
      </c>
      <c r="D4726" t="s">
        <v>339</v>
      </c>
      <c r="E4726" t="s">
        <v>423</v>
      </c>
    </row>
    <row r="4727" spans="2:5">
      <c r="B4727" t="s">
        <v>7128</v>
      </c>
      <c r="C4727">
        <v>507410</v>
      </c>
      <c r="D4727" t="s">
        <v>7129</v>
      </c>
      <c r="E4727" t="s">
        <v>328</v>
      </c>
    </row>
    <row r="4728" spans="2:5">
      <c r="B4728" t="s">
        <v>7130</v>
      </c>
      <c r="C4728">
        <v>511147</v>
      </c>
      <c r="D4728" t="s">
        <v>339</v>
      </c>
      <c r="E4728" t="s">
        <v>356</v>
      </c>
    </row>
    <row r="4729" spans="2:5">
      <c r="B4729" t="s">
        <v>7131</v>
      </c>
      <c r="C4729">
        <v>532053</v>
      </c>
      <c r="D4729" t="s">
        <v>339</v>
      </c>
      <c r="E4729" t="s">
        <v>322</v>
      </c>
    </row>
    <row r="4730" spans="2:5">
      <c r="B4730" t="s">
        <v>7132</v>
      </c>
      <c r="C4730">
        <v>524212</v>
      </c>
      <c r="D4730" t="s">
        <v>7133</v>
      </c>
      <c r="E4730" t="s">
        <v>377</v>
      </c>
    </row>
    <row r="4731" spans="2:5">
      <c r="B4731" t="s">
        <v>7134</v>
      </c>
      <c r="C4731">
        <v>511690</v>
      </c>
      <c r="D4731" t="s">
        <v>339</v>
      </c>
      <c r="E4731" t="s">
        <v>356</v>
      </c>
    </row>
    <row r="4732" spans="2:5">
      <c r="B4732" t="s">
        <v>7135</v>
      </c>
      <c r="C4732">
        <v>508494</v>
      </c>
      <c r="D4732" t="s">
        <v>339</v>
      </c>
      <c r="E4732" t="s">
        <v>746</v>
      </c>
    </row>
    <row r="4733" spans="2:5">
      <c r="B4733" t="s">
        <v>7136</v>
      </c>
      <c r="C4733">
        <v>523660</v>
      </c>
      <c r="D4733" t="s">
        <v>339</v>
      </c>
      <c r="E4733" t="s">
        <v>419</v>
      </c>
    </row>
    <row r="4734" spans="2:5">
      <c r="B4734" t="s">
        <v>7137</v>
      </c>
      <c r="C4734" t="s">
        <v>339</v>
      </c>
      <c r="D4734" t="s">
        <v>7138</v>
      </c>
      <c r="E4734" t="s">
        <v>350</v>
      </c>
    </row>
    <row r="4735" spans="2:5">
      <c r="B4735" t="s">
        <v>7139</v>
      </c>
      <c r="C4735">
        <v>780016</v>
      </c>
      <c r="D4735" t="s">
        <v>339</v>
      </c>
      <c r="E4735" t="s">
        <v>430</v>
      </c>
    </row>
    <row r="4736" spans="2:5">
      <c r="B4736" t="s">
        <v>7140</v>
      </c>
      <c r="C4736">
        <v>517498</v>
      </c>
      <c r="D4736" t="s">
        <v>7141</v>
      </c>
      <c r="E4736" t="s">
        <v>637</v>
      </c>
    </row>
    <row r="4737" spans="2:5">
      <c r="B4737" t="s">
        <v>7142</v>
      </c>
      <c r="C4737">
        <v>511074</v>
      </c>
      <c r="D4737" t="s">
        <v>339</v>
      </c>
      <c r="E4737" t="s">
        <v>356</v>
      </c>
    </row>
    <row r="4738" spans="2:5">
      <c r="B4738" t="s">
        <v>7143</v>
      </c>
      <c r="C4738">
        <v>533452</v>
      </c>
      <c r="D4738" t="s">
        <v>7144</v>
      </c>
      <c r="E4738" t="s">
        <v>322</v>
      </c>
    </row>
    <row r="4739" spans="2:5">
      <c r="B4739" t="s">
        <v>7145</v>
      </c>
      <c r="C4739">
        <v>523011</v>
      </c>
      <c r="D4739" t="s">
        <v>7146</v>
      </c>
      <c r="E4739" t="s">
        <v>361</v>
      </c>
    </row>
    <row r="4740" spans="2:5">
      <c r="B4740" t="s">
        <v>7147</v>
      </c>
      <c r="C4740">
        <v>504988</v>
      </c>
      <c r="D4740" t="s">
        <v>339</v>
      </c>
      <c r="E4740" t="s">
        <v>1258</v>
      </c>
    </row>
    <row r="4741" spans="2:5">
      <c r="B4741" t="s">
        <v>7148</v>
      </c>
      <c r="C4741">
        <v>524661</v>
      </c>
      <c r="D4741" t="s">
        <v>339</v>
      </c>
      <c r="E4741" t="s">
        <v>377</v>
      </c>
    </row>
    <row r="4742" spans="2:5">
      <c r="B4742" t="s">
        <v>7149</v>
      </c>
      <c r="C4742">
        <v>532016</v>
      </c>
      <c r="D4742" t="s">
        <v>339</v>
      </c>
      <c r="E4742" t="s">
        <v>425</v>
      </c>
    </row>
    <row r="4743" spans="2:5">
      <c r="B4743" t="s">
        <v>7150</v>
      </c>
      <c r="C4743">
        <v>531211</v>
      </c>
      <c r="D4743" t="s">
        <v>339</v>
      </c>
      <c r="E4743" t="s">
        <v>322</v>
      </c>
    </row>
    <row r="4744" spans="2:5">
      <c r="B4744" t="s">
        <v>7151</v>
      </c>
      <c r="C4744">
        <v>514162</v>
      </c>
      <c r="D4744" t="s">
        <v>7152</v>
      </c>
      <c r="E4744" t="s">
        <v>354</v>
      </c>
    </row>
    <row r="4745" spans="2:5">
      <c r="B4745" t="s">
        <v>7153</v>
      </c>
      <c r="C4745">
        <v>532144</v>
      </c>
      <c r="D4745" t="s">
        <v>7154</v>
      </c>
      <c r="E4745" t="s">
        <v>737</v>
      </c>
    </row>
    <row r="4746" spans="2:5">
      <c r="B4746" t="s">
        <v>7155</v>
      </c>
      <c r="C4746">
        <v>532553</v>
      </c>
      <c r="D4746" t="s">
        <v>7156</v>
      </c>
      <c r="E4746" t="s">
        <v>737</v>
      </c>
    </row>
    <row r="4747" spans="2:5">
      <c r="B4747" t="s">
        <v>7157</v>
      </c>
      <c r="C4747">
        <v>514162</v>
      </c>
      <c r="D4747" t="s">
        <v>7152</v>
      </c>
      <c r="E4747" t="s">
        <v>354</v>
      </c>
    </row>
    <row r="4748" spans="2:5">
      <c r="B4748" t="s">
        <v>7158</v>
      </c>
      <c r="C4748">
        <v>533252</v>
      </c>
      <c r="D4748" t="s">
        <v>7159</v>
      </c>
      <c r="E4748" t="s">
        <v>322</v>
      </c>
    </row>
    <row r="4749" spans="2:5">
      <c r="B4749" t="s">
        <v>7160</v>
      </c>
      <c r="C4749">
        <v>526431</v>
      </c>
      <c r="D4749" t="s">
        <v>339</v>
      </c>
      <c r="E4749" t="s">
        <v>765</v>
      </c>
    </row>
    <row r="4750" spans="2:5">
      <c r="B4750" t="s">
        <v>7161</v>
      </c>
      <c r="C4750">
        <v>505412</v>
      </c>
      <c r="D4750" t="s">
        <v>7162</v>
      </c>
      <c r="E4750" t="s">
        <v>347</v>
      </c>
    </row>
    <row r="4751" spans="2:5">
      <c r="B4751" t="s">
        <v>7163</v>
      </c>
      <c r="C4751">
        <v>505412</v>
      </c>
      <c r="D4751" t="s">
        <v>7162</v>
      </c>
      <c r="E4751" t="s">
        <v>347</v>
      </c>
    </row>
    <row r="4752" spans="2:5">
      <c r="B4752" t="s">
        <v>7164</v>
      </c>
      <c r="C4752">
        <v>532373</v>
      </c>
      <c r="D4752" t="s">
        <v>339</v>
      </c>
      <c r="E4752" t="s">
        <v>361</v>
      </c>
    </row>
    <row r="4753" spans="2:5">
      <c r="B4753" t="s">
        <v>7165</v>
      </c>
      <c r="C4753">
        <v>500444</v>
      </c>
      <c r="D4753" t="s">
        <v>7166</v>
      </c>
      <c r="E4753" t="s">
        <v>333</v>
      </c>
    </row>
    <row r="4754" spans="2:5">
      <c r="B4754" t="s">
        <v>7167</v>
      </c>
      <c r="C4754">
        <v>538382</v>
      </c>
      <c r="D4754" t="s">
        <v>339</v>
      </c>
      <c r="E4754" t="s">
        <v>361</v>
      </c>
    </row>
    <row r="4755" spans="2:5">
      <c r="B4755" t="s">
        <v>7168</v>
      </c>
      <c r="C4755">
        <v>504998</v>
      </c>
      <c r="D4755" t="s">
        <v>339</v>
      </c>
      <c r="E4755" t="s">
        <v>371</v>
      </c>
    </row>
    <row r="4756" spans="2:5">
      <c r="B4756" t="s">
        <v>7169</v>
      </c>
      <c r="C4756">
        <v>505533</v>
      </c>
      <c r="D4756" t="s">
        <v>339</v>
      </c>
      <c r="E4756" t="s">
        <v>828</v>
      </c>
    </row>
    <row r="4757" spans="2:5">
      <c r="B4757" t="s">
        <v>7170</v>
      </c>
      <c r="C4757">
        <v>590073</v>
      </c>
      <c r="D4757" t="s">
        <v>7171</v>
      </c>
      <c r="E4757" t="s">
        <v>694</v>
      </c>
    </row>
    <row r="4758" spans="2:5">
      <c r="B4758" t="s">
        <v>7172</v>
      </c>
      <c r="C4758">
        <v>590073</v>
      </c>
      <c r="D4758" t="s">
        <v>7171</v>
      </c>
      <c r="E4758" t="s">
        <v>694</v>
      </c>
    </row>
    <row r="4759" spans="2:5">
      <c r="B4759" t="s">
        <v>7173</v>
      </c>
      <c r="C4759">
        <v>500238</v>
      </c>
      <c r="D4759" t="s">
        <v>7174</v>
      </c>
      <c r="E4759" t="s">
        <v>708</v>
      </c>
    </row>
    <row r="4760" spans="2:5">
      <c r="B4760" t="s">
        <v>7175</v>
      </c>
      <c r="C4760">
        <v>500238</v>
      </c>
      <c r="D4760" t="s">
        <v>7174</v>
      </c>
      <c r="E4760" t="s">
        <v>708</v>
      </c>
    </row>
    <row r="4761" spans="2:5">
      <c r="B4761" t="s">
        <v>7176</v>
      </c>
      <c r="C4761">
        <v>513713</v>
      </c>
      <c r="D4761" t="s">
        <v>339</v>
      </c>
      <c r="E4761" t="s">
        <v>453</v>
      </c>
    </row>
    <row r="4762" spans="2:5">
      <c r="B4762" t="s">
        <v>7177</v>
      </c>
      <c r="C4762">
        <v>542667</v>
      </c>
      <c r="D4762" t="s">
        <v>7178</v>
      </c>
      <c r="E4762" t="s">
        <v>705</v>
      </c>
    </row>
    <row r="4763" spans="2:5">
      <c r="B4763" t="s">
        <v>7179</v>
      </c>
      <c r="C4763">
        <v>519214</v>
      </c>
      <c r="D4763" t="s">
        <v>339</v>
      </c>
      <c r="E4763" t="s">
        <v>356</v>
      </c>
    </row>
    <row r="4764" spans="2:5">
      <c r="B4764" t="s">
        <v>7180</v>
      </c>
      <c r="C4764">
        <v>519224</v>
      </c>
      <c r="D4764" t="s">
        <v>7181</v>
      </c>
      <c r="E4764" t="s">
        <v>361</v>
      </c>
    </row>
    <row r="4765" spans="2:5">
      <c r="B4765" t="s">
        <v>7182</v>
      </c>
      <c r="C4765">
        <v>526586</v>
      </c>
      <c r="D4765" t="s">
        <v>339</v>
      </c>
      <c r="E4765" t="s">
        <v>459</v>
      </c>
    </row>
    <row r="4766" spans="2:5">
      <c r="B4766" t="s">
        <v>7183</v>
      </c>
      <c r="C4766">
        <v>522029</v>
      </c>
      <c r="D4766" t="s">
        <v>7184</v>
      </c>
      <c r="E4766" t="s">
        <v>347</v>
      </c>
    </row>
    <row r="4767" spans="2:5">
      <c r="B4767" t="s">
        <v>7185</v>
      </c>
      <c r="C4767">
        <v>512022</v>
      </c>
      <c r="D4767" t="s">
        <v>339</v>
      </c>
      <c r="E4767" t="s">
        <v>322</v>
      </c>
    </row>
    <row r="4768" spans="2:5">
      <c r="B4768" t="s">
        <v>7186</v>
      </c>
      <c r="C4768">
        <v>512022</v>
      </c>
      <c r="D4768" t="s">
        <v>339</v>
      </c>
      <c r="E4768" t="s">
        <v>322</v>
      </c>
    </row>
    <row r="4769" spans="2:5">
      <c r="B4769" t="s">
        <v>7187</v>
      </c>
      <c r="C4769">
        <v>526471</v>
      </c>
      <c r="D4769" t="s">
        <v>339</v>
      </c>
      <c r="E4769" t="s">
        <v>970</v>
      </c>
    </row>
    <row r="4770" spans="2:5">
      <c r="B4770" t="s">
        <v>7188</v>
      </c>
      <c r="C4770">
        <v>514470</v>
      </c>
      <c r="D4770" t="s">
        <v>339</v>
      </c>
      <c r="E4770" t="s">
        <v>354</v>
      </c>
    </row>
    <row r="4771" spans="2:5">
      <c r="B4771" t="s">
        <v>7189</v>
      </c>
      <c r="C4771">
        <v>514348</v>
      </c>
      <c r="D4771" t="s">
        <v>7190</v>
      </c>
      <c r="E4771" t="s">
        <v>354</v>
      </c>
    </row>
    <row r="4772" spans="2:5">
      <c r="B4772" t="s">
        <v>7191</v>
      </c>
      <c r="C4772">
        <v>524758</v>
      </c>
      <c r="D4772" t="s">
        <v>339</v>
      </c>
      <c r="E4772" t="s">
        <v>377</v>
      </c>
    </row>
    <row r="4773" spans="2:5">
      <c r="B4773" t="s">
        <v>7192</v>
      </c>
      <c r="C4773">
        <v>538873</v>
      </c>
      <c r="D4773" t="s">
        <v>339</v>
      </c>
      <c r="E4773" t="s">
        <v>356</v>
      </c>
    </row>
    <row r="4774" spans="2:5">
      <c r="B4774" t="s">
        <v>7193</v>
      </c>
      <c r="C4774">
        <v>507685</v>
      </c>
      <c r="D4774" t="s">
        <v>7194</v>
      </c>
      <c r="E4774" t="s">
        <v>325</v>
      </c>
    </row>
    <row r="4775" spans="2:5">
      <c r="B4775" t="s">
        <v>7195</v>
      </c>
      <c r="C4775">
        <v>507817</v>
      </c>
      <c r="D4775" t="s">
        <v>339</v>
      </c>
      <c r="E4775" t="s">
        <v>354</v>
      </c>
    </row>
    <row r="4776" spans="2:5">
      <c r="B4776" t="s">
        <v>7196</v>
      </c>
      <c r="C4776">
        <v>511642</v>
      </c>
      <c r="D4776" t="s">
        <v>339</v>
      </c>
      <c r="E4776" t="s">
        <v>356</v>
      </c>
    </row>
    <row r="4777" spans="2:5">
      <c r="B4777" t="s">
        <v>7197</v>
      </c>
      <c r="C4777">
        <v>532300</v>
      </c>
      <c r="D4777" t="s">
        <v>7198</v>
      </c>
      <c r="E4777" t="s">
        <v>377</v>
      </c>
    </row>
    <row r="4778" spans="2:5">
      <c r="B4778" t="s">
        <v>7199</v>
      </c>
      <c r="C4778">
        <v>531396</v>
      </c>
      <c r="D4778" t="s">
        <v>339</v>
      </c>
      <c r="E4778" t="s">
        <v>432</v>
      </c>
    </row>
    <row r="4779" spans="2:5">
      <c r="B4779" t="s">
        <v>7200</v>
      </c>
      <c r="C4779">
        <v>538128</v>
      </c>
      <c r="D4779" t="s">
        <v>339</v>
      </c>
      <c r="E4779" t="s">
        <v>453</v>
      </c>
    </row>
    <row r="4780" spans="2:5">
      <c r="B4780" t="s">
        <v>7201</v>
      </c>
      <c r="C4780">
        <v>538268</v>
      </c>
      <c r="D4780" t="s">
        <v>7202</v>
      </c>
      <c r="E4780" t="s">
        <v>517</v>
      </c>
    </row>
    <row r="4781" spans="2:5">
      <c r="B4781" t="s">
        <v>7203</v>
      </c>
      <c r="C4781">
        <v>526959</v>
      </c>
      <c r="D4781" t="s">
        <v>339</v>
      </c>
      <c r="E4781" t="s">
        <v>540</v>
      </c>
    </row>
    <row r="4782" spans="2:5">
      <c r="B4782" t="s">
        <v>7204</v>
      </c>
      <c r="C4782">
        <v>526525</v>
      </c>
      <c r="D4782" t="s">
        <v>339</v>
      </c>
      <c r="E4782" t="s">
        <v>453</v>
      </c>
    </row>
    <row r="4783" spans="2:5">
      <c r="B4783" t="s">
        <v>7205</v>
      </c>
      <c r="C4783">
        <v>538451</v>
      </c>
      <c r="D4783" t="s">
        <v>339</v>
      </c>
      <c r="E4783" t="s">
        <v>359</v>
      </c>
    </row>
    <row r="4784" spans="2:5">
      <c r="B4784" t="s">
        <v>7206</v>
      </c>
      <c r="C4784" t="s">
        <v>339</v>
      </c>
      <c r="D4784" t="s">
        <v>7207</v>
      </c>
      <c r="E4784" t="s">
        <v>350</v>
      </c>
    </row>
    <row r="4785" spans="2:5">
      <c r="B4785" t="s">
        <v>7208</v>
      </c>
      <c r="C4785">
        <v>505872</v>
      </c>
      <c r="D4785" t="s">
        <v>339</v>
      </c>
      <c r="E4785" t="s">
        <v>347</v>
      </c>
    </row>
    <row r="4786" spans="2:5">
      <c r="B4786" t="s">
        <v>7209</v>
      </c>
      <c r="C4786">
        <v>532616</v>
      </c>
      <c r="D4786" t="s">
        <v>7210</v>
      </c>
      <c r="E4786" t="s">
        <v>669</v>
      </c>
    </row>
    <row r="4787" spans="2:5">
      <c r="B4787" t="s">
        <v>7211</v>
      </c>
      <c r="C4787">
        <v>542367</v>
      </c>
      <c r="D4787" t="s">
        <v>7212</v>
      </c>
      <c r="E4787" t="s">
        <v>5463</v>
      </c>
    </row>
    <row r="4788" spans="2:5">
      <c r="B4788" t="s">
        <v>7213</v>
      </c>
      <c r="C4788">
        <v>532788</v>
      </c>
      <c r="D4788" t="s">
        <v>7214</v>
      </c>
      <c r="E4788" t="s">
        <v>485</v>
      </c>
    </row>
    <row r="4789" spans="2:5">
      <c r="B4789" t="s">
        <v>7215</v>
      </c>
      <c r="C4789">
        <v>590013</v>
      </c>
      <c r="D4789" t="s">
        <v>7216</v>
      </c>
      <c r="E4789" t="s">
        <v>387</v>
      </c>
    </row>
    <row r="4790" spans="2:5">
      <c r="B4790" t="s">
        <v>7217</v>
      </c>
      <c r="C4790">
        <v>590013</v>
      </c>
      <c r="D4790" t="s">
        <v>7218</v>
      </c>
      <c r="E4790" t="s">
        <v>387</v>
      </c>
    </row>
    <row r="4791" spans="2:5">
      <c r="B4791" t="s">
        <v>7219</v>
      </c>
      <c r="C4791">
        <v>511012</v>
      </c>
      <c r="D4791" t="s">
        <v>339</v>
      </c>
      <c r="E4791" t="s">
        <v>359</v>
      </c>
    </row>
    <row r="4792" spans="2:5">
      <c r="B4792" t="s">
        <v>7220</v>
      </c>
      <c r="C4792">
        <v>514378</v>
      </c>
      <c r="D4792" t="s">
        <v>339</v>
      </c>
      <c r="E4792" t="s">
        <v>361</v>
      </c>
    </row>
    <row r="4793" spans="2:5">
      <c r="B4793" t="s">
        <v>7221</v>
      </c>
      <c r="C4793">
        <v>539939</v>
      </c>
      <c r="D4793" t="s">
        <v>339</v>
      </c>
      <c r="E4793" t="s">
        <v>499</v>
      </c>
    </row>
    <row r="4794" spans="2:5">
      <c r="B4794" t="s">
        <v>7222</v>
      </c>
      <c r="C4794">
        <v>511601</v>
      </c>
      <c r="D4794" t="s">
        <v>339</v>
      </c>
      <c r="E4794" t="s">
        <v>361</v>
      </c>
    </row>
    <row r="4795" spans="2:5">
      <c r="B4795" t="s">
        <v>7223</v>
      </c>
      <c r="C4795">
        <v>516030</v>
      </c>
      <c r="D4795" t="s">
        <v>339</v>
      </c>
      <c r="E4795" t="s">
        <v>333</v>
      </c>
    </row>
    <row r="4796" spans="2:5">
      <c r="B4796" t="s">
        <v>7224</v>
      </c>
      <c r="C4796">
        <v>541167</v>
      </c>
      <c r="D4796" t="s">
        <v>339</v>
      </c>
      <c r="E4796" t="s">
        <v>499</v>
      </c>
    </row>
    <row r="4797" spans="2:5">
      <c r="B4797" t="s">
        <v>7225</v>
      </c>
      <c r="C4797">
        <v>530063</v>
      </c>
      <c r="D4797" t="s">
        <v>339</v>
      </c>
      <c r="E4797" t="s">
        <v>534</v>
      </c>
    </row>
    <row r="4798" spans="2:5">
      <c r="B4798" t="s">
        <v>7226</v>
      </c>
      <c r="C4798">
        <v>532648</v>
      </c>
      <c r="D4798" t="s">
        <v>7227</v>
      </c>
      <c r="E4798" t="s">
        <v>657</v>
      </c>
    </row>
    <row r="4799" spans="2:5">
      <c r="B4799" t="s">
        <v>7228</v>
      </c>
      <c r="C4799">
        <v>531260</v>
      </c>
      <c r="D4799" t="s">
        <v>339</v>
      </c>
      <c r="E4799" t="s">
        <v>399</v>
      </c>
    </row>
    <row r="4800" spans="2:5">
      <c r="B4800" t="s">
        <v>7229</v>
      </c>
      <c r="C4800">
        <v>522209</v>
      </c>
      <c r="D4800" t="s">
        <v>339</v>
      </c>
      <c r="E4800" t="s">
        <v>322</v>
      </c>
    </row>
    <row r="4801" spans="2:5">
      <c r="B4801" t="s">
        <v>7230</v>
      </c>
      <c r="C4801">
        <v>522209</v>
      </c>
      <c r="D4801" t="s">
        <v>339</v>
      </c>
      <c r="E4801" t="s">
        <v>322</v>
      </c>
    </row>
    <row r="4802" spans="2:5">
      <c r="B4802" t="s">
        <v>7231</v>
      </c>
      <c r="C4802">
        <v>539097</v>
      </c>
      <c r="D4802" t="s">
        <v>339</v>
      </c>
      <c r="E4802" t="s">
        <v>361</v>
      </c>
    </row>
    <row r="4803" spans="2:5">
      <c r="B4803" t="s">
        <v>7232</v>
      </c>
      <c r="C4803">
        <v>530675</v>
      </c>
      <c r="D4803" t="s">
        <v>339</v>
      </c>
      <c r="E4803" t="s">
        <v>453</v>
      </c>
    </row>
    <row r="4804" spans="2:5">
      <c r="B4804" t="s">
        <v>7233</v>
      </c>
      <c r="C4804">
        <v>540550</v>
      </c>
      <c r="D4804" t="s">
        <v>339</v>
      </c>
      <c r="E4804" t="s">
        <v>499</v>
      </c>
    </row>
    <row r="4805" spans="2:5">
      <c r="B4805" t="s">
        <v>7234</v>
      </c>
      <c r="C4805">
        <v>522108</v>
      </c>
      <c r="D4805" t="s">
        <v>339</v>
      </c>
      <c r="E4805" t="s">
        <v>694</v>
      </c>
    </row>
    <row r="4806" spans="2:5">
      <c r="B4806" t="s">
        <v>7235</v>
      </c>
      <c r="C4806">
        <v>522108</v>
      </c>
      <c r="D4806" t="s">
        <v>339</v>
      </c>
      <c r="E4806" t="s">
        <v>694</v>
      </c>
    </row>
    <row r="4807" spans="2:5">
      <c r="B4807" t="s">
        <v>7236</v>
      </c>
      <c r="C4807">
        <v>536846</v>
      </c>
      <c r="D4807" t="s">
        <v>339</v>
      </c>
      <c r="E4807" t="s">
        <v>737</v>
      </c>
    </row>
    <row r="4808" spans="2:5">
      <c r="B4808" t="s">
        <v>7237</v>
      </c>
      <c r="C4808">
        <v>531663</v>
      </c>
      <c r="D4808" t="s">
        <v>7238</v>
      </c>
      <c r="E4808" t="s">
        <v>2157</v>
      </c>
    </row>
    <row r="4809" spans="2:5">
      <c r="B4809" t="s">
        <v>7239</v>
      </c>
      <c r="C4809">
        <v>505163</v>
      </c>
      <c r="D4809" t="s">
        <v>339</v>
      </c>
      <c r="E4809" t="s">
        <v>694</v>
      </c>
    </row>
    <row r="4810" spans="2:5">
      <c r="B4810" t="s">
        <v>7240</v>
      </c>
      <c r="C4810">
        <v>505163</v>
      </c>
      <c r="D4810" t="s">
        <v>339</v>
      </c>
      <c r="E4810" t="s">
        <v>694</v>
      </c>
    </row>
    <row r="4811" spans="2:5">
      <c r="B4811" t="s">
        <v>7241</v>
      </c>
      <c r="C4811">
        <v>539963</v>
      </c>
      <c r="D4811" t="s">
        <v>339</v>
      </c>
      <c r="E4811" t="s">
        <v>419</v>
      </c>
    </row>
    <row r="4812" spans="2:5">
      <c r="B4812" t="s">
        <v>7242</v>
      </c>
      <c r="C4812">
        <v>505537</v>
      </c>
      <c r="D4812" t="s">
        <v>7243</v>
      </c>
      <c r="E4812" t="s">
        <v>1077</v>
      </c>
    </row>
    <row r="4813" spans="2:5">
      <c r="B4813" t="s">
        <v>7244</v>
      </c>
      <c r="C4813">
        <v>533287</v>
      </c>
      <c r="D4813" t="s">
        <v>7245</v>
      </c>
      <c r="E4813" t="s">
        <v>444</v>
      </c>
    </row>
    <row r="4814" spans="2:5">
      <c r="B4814" t="s">
        <v>7246</v>
      </c>
      <c r="C4814">
        <v>532794</v>
      </c>
      <c r="D4814" t="s">
        <v>7247</v>
      </c>
      <c r="E4814" t="s">
        <v>1077</v>
      </c>
    </row>
    <row r="4815" spans="2:5">
      <c r="B4815" t="s">
        <v>7248</v>
      </c>
      <c r="C4815">
        <v>533339</v>
      </c>
      <c r="D4815" t="s">
        <v>7249</v>
      </c>
      <c r="E4815" t="s">
        <v>432</v>
      </c>
    </row>
    <row r="4816" spans="2:5">
      <c r="B4816" t="s">
        <v>7250</v>
      </c>
      <c r="C4816">
        <v>531845</v>
      </c>
      <c r="D4816" t="s">
        <v>7251</v>
      </c>
      <c r="E4816" t="s">
        <v>737</v>
      </c>
    </row>
    <row r="4817" spans="2:5">
      <c r="B4817" t="s">
        <v>7252</v>
      </c>
      <c r="C4817">
        <v>531845</v>
      </c>
      <c r="D4817" t="s">
        <v>7251</v>
      </c>
      <c r="E4817" t="s">
        <v>737</v>
      </c>
    </row>
    <row r="4818" spans="2:5">
      <c r="B4818" t="s">
        <v>7253</v>
      </c>
      <c r="C4818">
        <v>512553</v>
      </c>
      <c r="D4818" t="s">
        <v>7254</v>
      </c>
      <c r="E4818" t="s">
        <v>354</v>
      </c>
    </row>
    <row r="4819" spans="2:5">
      <c r="B4819" t="s">
        <v>7255</v>
      </c>
      <c r="C4819">
        <v>514266</v>
      </c>
      <c r="D4819" t="s">
        <v>339</v>
      </c>
      <c r="E4819" t="s">
        <v>354</v>
      </c>
    </row>
    <row r="4820" spans="2:5">
      <c r="B4820" t="s">
        <v>7256</v>
      </c>
      <c r="C4820">
        <v>530665</v>
      </c>
      <c r="D4820" t="s">
        <v>339</v>
      </c>
      <c r="E4820" t="s">
        <v>377</v>
      </c>
    </row>
    <row r="4821" spans="2:5">
      <c r="B4821" t="s">
        <v>7257</v>
      </c>
      <c r="C4821">
        <v>530697</v>
      </c>
      <c r="D4821" t="s">
        <v>339</v>
      </c>
      <c r="E4821" t="s">
        <v>760</v>
      </c>
    </row>
    <row r="4822" spans="2:5">
      <c r="B4822" t="s">
        <v>7258</v>
      </c>
      <c r="C4822">
        <v>532039</v>
      </c>
      <c r="D4822" t="s">
        <v>339</v>
      </c>
      <c r="E4822" t="s">
        <v>377</v>
      </c>
    </row>
    <row r="4823" spans="2:5">
      <c r="B4823" t="s">
        <v>7259</v>
      </c>
      <c r="C4823">
        <v>504067</v>
      </c>
      <c r="D4823" t="s">
        <v>7260</v>
      </c>
      <c r="E4823" t="s">
        <v>325</v>
      </c>
    </row>
    <row r="4824" spans="2:5">
      <c r="B4824" t="s">
        <v>7261</v>
      </c>
      <c r="C4824">
        <v>531404</v>
      </c>
      <c r="D4824" t="s">
        <v>7262</v>
      </c>
      <c r="E4824" t="s">
        <v>881</v>
      </c>
    </row>
    <row r="4825" spans="2:5">
      <c r="B4825" t="s">
        <v>7263</v>
      </c>
      <c r="C4825">
        <v>541400</v>
      </c>
      <c r="D4825" t="s">
        <v>339</v>
      </c>
      <c r="E4825" t="s">
        <v>377</v>
      </c>
    </row>
    <row r="4826" spans="2:5">
      <c r="B4826" t="s">
        <v>7264</v>
      </c>
      <c r="C4826">
        <v>521163</v>
      </c>
      <c r="D4826" t="s">
        <v>7265</v>
      </c>
      <c r="E4826" t="s">
        <v>453</v>
      </c>
    </row>
    <row r="4827" spans="2:5">
      <c r="B4827" t="s">
        <v>7266</v>
      </c>
      <c r="C4827" t="s">
        <v>339</v>
      </c>
      <c r="D4827" t="s">
        <v>7267</v>
      </c>
      <c r="E4827" t="s">
        <v>350</v>
      </c>
    </row>
    <row r="4828" spans="2:5">
      <c r="B4828" t="s">
        <v>7268</v>
      </c>
      <c r="C4828">
        <v>512587</v>
      </c>
      <c r="D4828" t="s">
        <v>7269</v>
      </c>
      <c r="E4828" t="s">
        <v>453</v>
      </c>
    </row>
    <row r="4829" spans="2:5">
      <c r="B4829" t="s">
        <v>7270</v>
      </c>
      <c r="C4829">
        <v>503641</v>
      </c>
      <c r="D4829" t="s">
        <v>7271</v>
      </c>
      <c r="E4829" t="s">
        <v>423</v>
      </c>
    </row>
    <row r="4830" spans="2:5">
      <c r="B4830" t="s">
        <v>7272</v>
      </c>
      <c r="C4830" t="s">
        <v>339</v>
      </c>
      <c r="D4830" t="s">
        <v>7273</v>
      </c>
      <c r="E4830" t="s">
        <v>350</v>
      </c>
    </row>
    <row r="4831" spans="2:5">
      <c r="B4831" t="s">
        <v>7274</v>
      </c>
      <c r="C4831">
        <v>534742</v>
      </c>
      <c r="D4831" t="s">
        <v>7275</v>
      </c>
      <c r="E4831" t="s">
        <v>847</v>
      </c>
    </row>
    <row r="4832" spans="2:5">
      <c r="B4832" t="s">
        <v>7276</v>
      </c>
      <c r="C4832">
        <v>500780</v>
      </c>
      <c r="D4832" t="s">
        <v>7277</v>
      </c>
      <c r="E4832" t="s">
        <v>847</v>
      </c>
    </row>
    <row r="4833" spans="2:5">
      <c r="B4833" t="s">
        <v>7278</v>
      </c>
      <c r="C4833">
        <v>531335</v>
      </c>
      <c r="D4833" t="s">
        <v>7279</v>
      </c>
      <c r="E4833" t="s">
        <v>399</v>
      </c>
    </row>
    <row r="4834" spans="2:5">
      <c r="B4834" t="s">
        <v>7280</v>
      </c>
      <c r="C4834">
        <v>532883</v>
      </c>
      <c r="D4834" t="s">
        <v>7281</v>
      </c>
      <c r="E4834" t="s">
        <v>432</v>
      </c>
    </row>
    <row r="4835" spans="2:5">
      <c r="B4835" t="s">
        <v>7282</v>
      </c>
      <c r="C4835">
        <v>500202</v>
      </c>
      <c r="D4835" t="s">
        <v>7283</v>
      </c>
      <c r="E4835" t="s">
        <v>356</v>
      </c>
    </row>
    <row r="4836" spans="2:5">
      <c r="B4836" t="s">
        <v>7284</v>
      </c>
      <c r="C4836">
        <v>500458</v>
      </c>
      <c r="D4836" t="s">
        <v>7285</v>
      </c>
      <c r="E4836" t="s">
        <v>419</v>
      </c>
    </row>
    <row r="4837" spans="2:5">
      <c r="B4837" t="s">
        <v>7286</v>
      </c>
      <c r="C4837">
        <v>501111</v>
      </c>
      <c r="D4837" t="s">
        <v>7287</v>
      </c>
      <c r="E4837" t="s">
        <v>361</v>
      </c>
    </row>
    <row r="4838" spans="2:5">
      <c r="B4838" t="s">
        <v>7288</v>
      </c>
      <c r="C4838">
        <v>501151</v>
      </c>
      <c r="D4838" t="s">
        <v>7289</v>
      </c>
      <c r="E4838" t="s">
        <v>322</v>
      </c>
    </row>
    <row r="4839" spans="2:5">
      <c r="B4839" t="s">
        <v>7290</v>
      </c>
      <c r="C4839">
        <v>501311</v>
      </c>
      <c r="D4839" t="s">
        <v>7291</v>
      </c>
      <c r="E4839" t="s">
        <v>356</v>
      </c>
    </row>
    <row r="4840" spans="2:5">
      <c r="B4840" t="s">
        <v>7292</v>
      </c>
      <c r="C4840">
        <v>501622</v>
      </c>
      <c r="D4840" t="s">
        <v>7293</v>
      </c>
      <c r="E4840" t="s">
        <v>7294</v>
      </c>
    </row>
    <row r="4841" spans="2:5">
      <c r="B4841" t="s">
        <v>7295</v>
      </c>
      <c r="C4841">
        <v>502850</v>
      </c>
      <c r="D4841" t="s">
        <v>7296</v>
      </c>
      <c r="E4841" t="s">
        <v>354</v>
      </c>
    </row>
    <row r="4842" spans="2:5">
      <c r="B4842" t="s">
        <v>7297</v>
      </c>
      <c r="C4842">
        <v>503669</v>
      </c>
      <c r="D4842" t="s">
        <v>7298</v>
      </c>
      <c r="E4842" t="s">
        <v>7294</v>
      </c>
    </row>
    <row r="4843" spans="2:5">
      <c r="B4843" t="s">
        <v>7299</v>
      </c>
      <c r="C4843">
        <v>506975</v>
      </c>
      <c r="D4843" t="s">
        <v>7300</v>
      </c>
      <c r="E4843" t="s">
        <v>354</v>
      </c>
    </row>
    <row r="4844" spans="2:5">
      <c r="B4844" t="s">
        <v>7301</v>
      </c>
      <c r="C4844">
        <v>508924</v>
      </c>
      <c r="D4844" t="s">
        <v>7302</v>
      </c>
      <c r="E4844" t="s">
        <v>7294</v>
      </c>
    </row>
    <row r="4845" spans="2:5">
      <c r="B4845" t="s">
        <v>7303</v>
      </c>
      <c r="C4845">
        <v>511260</v>
      </c>
      <c r="D4845" t="s">
        <v>7304</v>
      </c>
      <c r="E4845" t="s">
        <v>322</v>
      </c>
    </row>
    <row r="4846" spans="2:5">
      <c r="B4846" t="s">
        <v>7305</v>
      </c>
      <c r="C4846">
        <v>511730</v>
      </c>
      <c r="D4846" t="s">
        <v>7306</v>
      </c>
      <c r="E4846" t="s">
        <v>356</v>
      </c>
    </row>
    <row r="4847" spans="2:5">
      <c r="B4847" t="s">
        <v>7307</v>
      </c>
      <c r="C4847">
        <v>512221</v>
      </c>
      <c r="D4847" t="s">
        <v>7308</v>
      </c>
      <c r="E4847" t="s">
        <v>356</v>
      </c>
    </row>
    <row r="4848" spans="2:5">
      <c r="B4848" t="s">
        <v>7309</v>
      </c>
      <c r="C4848">
        <v>512344</v>
      </c>
      <c r="D4848" t="s">
        <v>7310</v>
      </c>
      <c r="E4848" t="s">
        <v>361</v>
      </c>
    </row>
    <row r="4849" spans="2:5">
      <c r="B4849" t="s">
        <v>7311</v>
      </c>
      <c r="C4849">
        <v>512345</v>
      </c>
      <c r="D4849" t="s">
        <v>7312</v>
      </c>
      <c r="E4849" t="s">
        <v>322</v>
      </c>
    </row>
    <row r="4850" spans="2:5">
      <c r="B4850" t="s">
        <v>7313</v>
      </c>
      <c r="C4850">
        <v>512479</v>
      </c>
      <c r="D4850" t="s">
        <v>7314</v>
      </c>
      <c r="E4850" t="s">
        <v>425</v>
      </c>
    </row>
    <row r="4851" spans="2:5">
      <c r="B4851" t="s">
        <v>7315</v>
      </c>
      <c r="C4851">
        <v>513343</v>
      </c>
      <c r="D4851" t="s">
        <v>7316</v>
      </c>
      <c r="E4851" t="s">
        <v>662</v>
      </c>
    </row>
    <row r="4852" spans="2:5">
      <c r="B4852" t="s">
        <v>7317</v>
      </c>
      <c r="C4852">
        <v>513418</v>
      </c>
      <c r="D4852" t="s">
        <v>7318</v>
      </c>
      <c r="E4852" t="s">
        <v>1258</v>
      </c>
    </row>
    <row r="4853" spans="2:5">
      <c r="B4853" t="s">
        <v>7319</v>
      </c>
      <c r="C4853">
        <v>515008</v>
      </c>
      <c r="D4853" t="s">
        <v>7320</v>
      </c>
      <c r="E4853" t="s">
        <v>637</v>
      </c>
    </row>
    <row r="4854" spans="2:5">
      <c r="B4854" t="s">
        <v>7321</v>
      </c>
      <c r="C4854">
        <v>517273</v>
      </c>
      <c r="D4854" t="s">
        <v>7322</v>
      </c>
      <c r="E4854" t="s">
        <v>637</v>
      </c>
    </row>
    <row r="4855" spans="2:5">
      <c r="B4855" t="s">
        <v>7323</v>
      </c>
      <c r="C4855">
        <v>517360</v>
      </c>
      <c r="D4855" t="s">
        <v>7324</v>
      </c>
      <c r="E4855" t="s">
        <v>361</v>
      </c>
    </row>
    <row r="4856" spans="2:5">
      <c r="B4856" t="s">
        <v>7325</v>
      </c>
      <c r="C4856">
        <v>517393</v>
      </c>
      <c r="D4856" t="s">
        <v>7326</v>
      </c>
      <c r="E4856" t="s">
        <v>664</v>
      </c>
    </row>
    <row r="4857" spans="2:5">
      <c r="B4857" t="s">
        <v>7327</v>
      </c>
      <c r="C4857">
        <v>519397</v>
      </c>
      <c r="D4857" t="s">
        <v>7328</v>
      </c>
      <c r="E4857" t="s">
        <v>399</v>
      </c>
    </row>
    <row r="4858" spans="2:5">
      <c r="B4858" t="s">
        <v>7329</v>
      </c>
      <c r="C4858">
        <v>519500</v>
      </c>
      <c r="D4858" t="s">
        <v>7330</v>
      </c>
      <c r="E4858" t="s">
        <v>399</v>
      </c>
    </row>
    <row r="4859" spans="2:5">
      <c r="B4859" t="s">
        <v>7331</v>
      </c>
      <c r="C4859">
        <v>522171</v>
      </c>
      <c r="D4859" t="s">
        <v>7332</v>
      </c>
      <c r="E4859" t="s">
        <v>347</v>
      </c>
    </row>
    <row r="4860" spans="2:5">
      <c r="B4860" t="s">
        <v>7333</v>
      </c>
      <c r="C4860">
        <v>524572</v>
      </c>
      <c r="D4860" t="s">
        <v>7334</v>
      </c>
      <c r="E4860" t="s">
        <v>377</v>
      </c>
    </row>
    <row r="4861" spans="2:5">
      <c r="B4861" t="s">
        <v>7335</v>
      </c>
      <c r="C4861">
        <v>526211</v>
      </c>
      <c r="D4861" t="s">
        <v>7336</v>
      </c>
      <c r="E4861" t="s">
        <v>588</v>
      </c>
    </row>
    <row r="4862" spans="2:5">
      <c r="B4862" t="s">
        <v>7337</v>
      </c>
      <c r="C4862">
        <v>526638</v>
      </c>
      <c r="D4862" t="s">
        <v>7338</v>
      </c>
      <c r="E4862" t="s">
        <v>459</v>
      </c>
    </row>
    <row r="4863" spans="2:5">
      <c r="B4863" t="s">
        <v>7339</v>
      </c>
      <c r="C4863">
        <v>530291</v>
      </c>
      <c r="D4863" t="s">
        <v>7340</v>
      </c>
      <c r="E4863" t="s">
        <v>588</v>
      </c>
    </row>
    <row r="4864" spans="2:5">
      <c r="B4864" t="s">
        <v>7341</v>
      </c>
      <c r="C4864">
        <v>530439</v>
      </c>
      <c r="D4864" t="s">
        <v>7342</v>
      </c>
      <c r="E4864" t="s">
        <v>356</v>
      </c>
    </row>
    <row r="4865" spans="2:5">
      <c r="B4865" t="s">
        <v>7343</v>
      </c>
      <c r="C4865">
        <v>530443</v>
      </c>
      <c r="D4865" t="s">
        <v>7344</v>
      </c>
      <c r="E4865" t="s">
        <v>354</v>
      </c>
    </row>
    <row r="4866" spans="2:5">
      <c r="B4866" t="s">
        <v>7345</v>
      </c>
      <c r="C4866">
        <v>531205</v>
      </c>
      <c r="D4866" t="s">
        <v>7346</v>
      </c>
      <c r="E4866" t="s">
        <v>361</v>
      </c>
    </row>
    <row r="4867" spans="2:5">
      <c r="B4867" t="s">
        <v>7347</v>
      </c>
      <c r="C4867">
        <v>531225</v>
      </c>
      <c r="D4867" t="s">
        <v>7348</v>
      </c>
      <c r="E4867" t="s">
        <v>432</v>
      </c>
    </row>
    <row r="4868" spans="2:5">
      <c r="B4868" t="s">
        <v>7349</v>
      </c>
      <c r="C4868">
        <v>531436</v>
      </c>
      <c r="D4868" t="s">
        <v>7350</v>
      </c>
      <c r="E4868" t="s">
        <v>333</v>
      </c>
    </row>
    <row r="4869" spans="2:5">
      <c r="B4869" t="s">
        <v>7351</v>
      </c>
      <c r="C4869">
        <v>531621</v>
      </c>
      <c r="D4869" t="s">
        <v>7352</v>
      </c>
      <c r="E4869" t="s">
        <v>345</v>
      </c>
    </row>
    <row r="4870" spans="2:5">
      <c r="B4870" t="s">
        <v>7353</v>
      </c>
      <c r="C4870">
        <v>531944</v>
      </c>
      <c r="D4870" t="s">
        <v>7354</v>
      </c>
      <c r="E4870" t="s">
        <v>347</v>
      </c>
    </row>
    <row r="4871" spans="2:5">
      <c r="B4871" t="s">
        <v>7355</v>
      </c>
      <c r="C4871">
        <v>532138</v>
      </c>
      <c r="D4871" t="s">
        <v>7356</v>
      </c>
      <c r="E4871" t="s">
        <v>356</v>
      </c>
    </row>
    <row r="4872" spans="2:5">
      <c r="B4872" t="s">
        <v>7357</v>
      </c>
      <c r="C4872">
        <v>533093</v>
      </c>
      <c r="D4872" t="s">
        <v>7358</v>
      </c>
      <c r="E4872" t="s">
        <v>588</v>
      </c>
    </row>
    <row r="4873" spans="2:5">
      <c r="B4873" t="s">
        <v>7359</v>
      </c>
      <c r="C4873">
        <v>533570</v>
      </c>
      <c r="D4873" t="s">
        <v>7360</v>
      </c>
      <c r="E4873" t="s">
        <v>38</v>
      </c>
    </row>
    <row r="4874" spans="2:5">
      <c r="B4874" t="s">
        <v>7361</v>
      </c>
      <c r="C4874">
        <v>533719</v>
      </c>
      <c r="D4874" t="s">
        <v>7362</v>
      </c>
      <c r="E4874" t="s">
        <v>38</v>
      </c>
    </row>
    <row r="4875" spans="2:5">
      <c r="B4875" t="s">
        <v>7363</v>
      </c>
      <c r="C4875">
        <v>535276</v>
      </c>
      <c r="D4875" t="s">
        <v>7364</v>
      </c>
      <c r="E4875" t="s">
        <v>38</v>
      </c>
    </row>
    <row r="4876" spans="2:5">
      <c r="B4876" t="s">
        <v>7365</v>
      </c>
      <c r="C4876">
        <v>536960</v>
      </c>
      <c r="D4876" t="s">
        <v>7366</v>
      </c>
      <c r="E4876" t="s">
        <v>38</v>
      </c>
    </row>
    <row r="4877" spans="2:5">
      <c r="B4877" t="s">
        <v>7367</v>
      </c>
      <c r="C4877">
        <v>537007</v>
      </c>
      <c r="D4877" t="s">
        <v>7368</v>
      </c>
      <c r="E4877" t="s">
        <v>38</v>
      </c>
    </row>
    <row r="4878" spans="2:5">
      <c r="B4878" t="s">
        <v>7369</v>
      </c>
      <c r="C4878">
        <v>537008</v>
      </c>
      <c r="D4878" t="s">
        <v>7370</v>
      </c>
      <c r="E4878" t="s">
        <v>38</v>
      </c>
    </row>
    <row r="4879" spans="2:5">
      <c r="B4879" t="s">
        <v>7371</v>
      </c>
      <c r="C4879">
        <v>537483</v>
      </c>
      <c r="D4879" t="s">
        <v>7372</v>
      </c>
      <c r="E4879" t="s">
        <v>38</v>
      </c>
    </row>
    <row r="4880" spans="2:5">
      <c r="B4880" t="s">
        <v>7373</v>
      </c>
      <c r="C4880">
        <v>537708</v>
      </c>
      <c r="D4880" t="s">
        <v>7374</v>
      </c>
      <c r="E4880" t="s">
        <v>38</v>
      </c>
    </row>
    <row r="4881" spans="2:5">
      <c r="B4881" t="s">
        <v>7375</v>
      </c>
      <c r="C4881">
        <v>538057</v>
      </c>
      <c r="D4881" t="s">
        <v>7376</v>
      </c>
      <c r="E4881" t="s">
        <v>38</v>
      </c>
    </row>
    <row r="4882" spans="2:5">
      <c r="B4882" t="s">
        <v>7377</v>
      </c>
      <c r="C4882">
        <v>538273</v>
      </c>
      <c r="D4882" t="s">
        <v>7378</v>
      </c>
      <c r="E4882" t="s">
        <v>432</v>
      </c>
    </row>
    <row r="4883" spans="2:5">
      <c r="B4883" t="s">
        <v>7379</v>
      </c>
      <c r="C4883">
        <v>538452</v>
      </c>
      <c r="D4883" t="s">
        <v>7380</v>
      </c>
      <c r="E4883" t="s">
        <v>361</v>
      </c>
    </row>
    <row r="4884" spans="2:5">
      <c r="B4884" t="s">
        <v>7381</v>
      </c>
      <c r="C4884">
        <v>538501</v>
      </c>
      <c r="D4884" t="s">
        <v>7382</v>
      </c>
      <c r="E4884" t="s">
        <v>38</v>
      </c>
    </row>
    <row r="4885" spans="2:5">
      <c r="B4885" t="s">
        <v>7383</v>
      </c>
      <c r="C4885">
        <v>538502</v>
      </c>
      <c r="D4885" t="s">
        <v>7384</v>
      </c>
      <c r="E4885" t="s">
        <v>38</v>
      </c>
    </row>
    <row r="4886" spans="2:5">
      <c r="B4886" t="s">
        <v>7385</v>
      </c>
      <c r="C4886">
        <v>538577</v>
      </c>
      <c r="D4886" t="s">
        <v>7386</v>
      </c>
      <c r="E4886" t="s">
        <v>38</v>
      </c>
    </row>
    <row r="4887" spans="2:5">
      <c r="B4887" t="s">
        <v>7387</v>
      </c>
      <c r="C4887">
        <v>538578</v>
      </c>
      <c r="D4887" t="s">
        <v>7388</v>
      </c>
      <c r="E4887" t="s">
        <v>38</v>
      </c>
    </row>
    <row r="4888" spans="2:5">
      <c r="B4888" t="s">
        <v>7389</v>
      </c>
      <c r="C4888">
        <v>538646</v>
      </c>
      <c r="D4888" t="s">
        <v>7390</v>
      </c>
      <c r="E4888" t="s">
        <v>356</v>
      </c>
    </row>
    <row r="4889" spans="2:5">
      <c r="B4889" t="s">
        <v>7391</v>
      </c>
      <c r="C4889">
        <v>538683</v>
      </c>
      <c r="D4889" t="s">
        <v>7392</v>
      </c>
      <c r="E4889" t="s">
        <v>38</v>
      </c>
    </row>
    <row r="4890" spans="2:5">
      <c r="B4890" t="s">
        <v>7393</v>
      </c>
      <c r="C4890">
        <v>538728</v>
      </c>
      <c r="D4890" t="s">
        <v>7394</v>
      </c>
      <c r="E4890" t="s">
        <v>38</v>
      </c>
    </row>
    <row r="4891" spans="2:5">
      <c r="B4891" t="s">
        <v>7395</v>
      </c>
      <c r="C4891">
        <v>538729</v>
      </c>
      <c r="D4891" t="s">
        <v>7396</v>
      </c>
      <c r="E4891" t="s">
        <v>38</v>
      </c>
    </row>
    <row r="4892" spans="2:5">
      <c r="B4892" t="s">
        <v>7397</v>
      </c>
      <c r="C4892">
        <v>538808</v>
      </c>
      <c r="D4892" t="s">
        <v>7398</v>
      </c>
      <c r="E4892" t="s">
        <v>38</v>
      </c>
    </row>
    <row r="4893" spans="2:5">
      <c r="B4893" t="s">
        <v>7399</v>
      </c>
      <c r="C4893">
        <v>538809</v>
      </c>
      <c r="D4893" t="s">
        <v>7400</v>
      </c>
      <c r="E4893" t="s">
        <v>38</v>
      </c>
    </row>
    <row r="4894" spans="2:5">
      <c r="B4894" t="s">
        <v>7401</v>
      </c>
      <c r="C4894">
        <v>538810</v>
      </c>
      <c r="D4894" t="s">
        <v>7402</v>
      </c>
      <c r="E4894" t="s">
        <v>38</v>
      </c>
    </row>
    <row r="4895" spans="2:5">
      <c r="B4895" t="s">
        <v>7403</v>
      </c>
      <c r="C4895">
        <v>538811</v>
      </c>
      <c r="D4895" t="s">
        <v>7404</v>
      </c>
      <c r="E4895" t="s">
        <v>38</v>
      </c>
    </row>
    <row r="4896" spans="2:5">
      <c r="B4896" t="s">
        <v>7405</v>
      </c>
      <c r="C4896">
        <v>539031</v>
      </c>
      <c r="D4896" t="s">
        <v>7406</v>
      </c>
      <c r="E4896" t="s">
        <v>38</v>
      </c>
    </row>
    <row r="4897" spans="2:5">
      <c r="B4897" t="s">
        <v>7407</v>
      </c>
      <c r="C4897">
        <v>539090</v>
      </c>
      <c r="D4897" t="s">
        <v>7408</v>
      </c>
      <c r="E4897" t="s">
        <v>356</v>
      </c>
    </row>
    <row r="4898" spans="2:5">
      <c r="B4898" t="s">
        <v>7409</v>
      </c>
      <c r="C4898">
        <v>539142</v>
      </c>
      <c r="D4898" t="s">
        <v>7410</v>
      </c>
      <c r="E4898" t="s">
        <v>38</v>
      </c>
    </row>
    <row r="4899" spans="2:5">
      <c r="B4899" t="s">
        <v>7411</v>
      </c>
      <c r="C4899">
        <v>539274</v>
      </c>
      <c r="D4899" t="s">
        <v>7412</v>
      </c>
      <c r="E4899" t="s">
        <v>356</v>
      </c>
    </row>
    <row r="4900" spans="2:5">
      <c r="B4900" t="s">
        <v>7413</v>
      </c>
      <c r="C4900">
        <v>539312</v>
      </c>
      <c r="D4900" t="s">
        <v>7414</v>
      </c>
      <c r="E4900" t="s">
        <v>38</v>
      </c>
    </row>
    <row r="4901" spans="2:5">
      <c r="B4901" t="s">
        <v>7415</v>
      </c>
      <c r="C4901">
        <v>539313</v>
      </c>
      <c r="D4901" t="s">
        <v>7416</v>
      </c>
      <c r="E4901" t="s">
        <v>38</v>
      </c>
    </row>
    <row r="4902" spans="2:5">
      <c r="B4902" t="s">
        <v>7417</v>
      </c>
      <c r="C4902">
        <v>539480</v>
      </c>
      <c r="D4902" t="s">
        <v>7418</v>
      </c>
      <c r="E4902" t="s">
        <v>38</v>
      </c>
    </row>
    <row r="4903" spans="2:5">
      <c r="B4903" t="s">
        <v>7419</v>
      </c>
      <c r="C4903">
        <v>539487</v>
      </c>
      <c r="D4903" t="s">
        <v>7420</v>
      </c>
      <c r="E4903" t="s">
        <v>38</v>
      </c>
    </row>
    <row r="4904" spans="2:5">
      <c r="B4904" t="s">
        <v>7421</v>
      </c>
      <c r="C4904">
        <v>539516</v>
      </c>
      <c r="D4904" t="s">
        <v>7422</v>
      </c>
      <c r="E4904" t="s">
        <v>38</v>
      </c>
    </row>
    <row r="4905" spans="2:5">
      <c r="B4905" t="s">
        <v>7423</v>
      </c>
      <c r="C4905">
        <v>539517</v>
      </c>
      <c r="D4905" t="s">
        <v>7424</v>
      </c>
      <c r="E4905" t="s">
        <v>38</v>
      </c>
    </row>
    <row r="4906" spans="2:5">
      <c r="B4906" t="s">
        <v>7425</v>
      </c>
      <c r="C4906">
        <v>539561</v>
      </c>
      <c r="D4906" t="s">
        <v>7426</v>
      </c>
      <c r="E4906" t="s">
        <v>361</v>
      </c>
    </row>
    <row r="4907" spans="2:5">
      <c r="B4907" t="s">
        <v>7427</v>
      </c>
      <c r="C4907">
        <v>539784</v>
      </c>
      <c r="D4907" t="s">
        <v>7428</v>
      </c>
      <c r="E4907" t="s">
        <v>38</v>
      </c>
    </row>
    <row r="4908" spans="2:5">
      <c r="B4908" t="s">
        <v>7429</v>
      </c>
      <c r="C4908">
        <v>539945</v>
      </c>
      <c r="D4908" t="s">
        <v>7430</v>
      </c>
      <c r="E4908" t="s">
        <v>38</v>
      </c>
    </row>
    <row r="4909" spans="2:5">
      <c r="B4909" t="s">
        <v>7431</v>
      </c>
      <c r="C4909">
        <v>539980</v>
      </c>
      <c r="D4909" t="s">
        <v>7432</v>
      </c>
      <c r="E4909" t="s">
        <v>38</v>
      </c>
    </row>
    <row r="4910" spans="2:5">
      <c r="B4910" t="s">
        <v>7433</v>
      </c>
      <c r="C4910">
        <v>540008</v>
      </c>
      <c r="D4910" t="s">
        <v>7434</v>
      </c>
      <c r="E4910" t="s">
        <v>38</v>
      </c>
    </row>
    <row r="4911" spans="2:5">
      <c r="B4911" t="s">
        <v>7435</v>
      </c>
      <c r="C4911">
        <v>540154</v>
      </c>
      <c r="D4911" t="s">
        <v>7436</v>
      </c>
      <c r="E4911" t="s">
        <v>38</v>
      </c>
    </row>
    <row r="4912" spans="2:5">
      <c r="B4912" t="s">
        <v>7437</v>
      </c>
      <c r="C4912">
        <v>540333</v>
      </c>
      <c r="D4912" t="s">
        <v>7438</v>
      </c>
      <c r="E4912" t="s">
        <v>38</v>
      </c>
    </row>
    <row r="4913" spans="2:5">
      <c r="B4913" t="s">
        <v>7439</v>
      </c>
      <c r="C4913">
        <v>540334</v>
      </c>
      <c r="D4913" t="s">
        <v>7440</v>
      </c>
      <c r="E4913" t="s">
        <v>38</v>
      </c>
    </row>
    <row r="4914" spans="2:5">
      <c r="B4914" t="s">
        <v>7441</v>
      </c>
      <c r="C4914">
        <v>540335</v>
      </c>
      <c r="D4914" t="s">
        <v>7442</v>
      </c>
      <c r="E4914" t="s">
        <v>38</v>
      </c>
    </row>
    <row r="4915" spans="2:5">
      <c r="B4915" t="s">
        <v>7443</v>
      </c>
      <c r="C4915">
        <v>540336</v>
      </c>
      <c r="D4915" t="s">
        <v>7444</v>
      </c>
      <c r="E4915" t="s">
        <v>38</v>
      </c>
    </row>
    <row r="4916" spans="2:5">
      <c r="B4916" t="s">
        <v>7445</v>
      </c>
      <c r="C4916">
        <v>540469</v>
      </c>
      <c r="D4916" t="s">
        <v>7446</v>
      </c>
      <c r="E4916" t="s">
        <v>38</v>
      </c>
    </row>
    <row r="4917" spans="2:5">
      <c r="B4917" t="s">
        <v>7447</v>
      </c>
      <c r="C4917">
        <v>540470</v>
      </c>
      <c r="D4917" t="s">
        <v>7448</v>
      </c>
      <c r="E4917" t="s">
        <v>38</v>
      </c>
    </row>
    <row r="4918" spans="2:5">
      <c r="B4918" t="s">
        <v>7449</v>
      </c>
      <c r="C4918">
        <v>540538</v>
      </c>
      <c r="D4918" t="s">
        <v>7450</v>
      </c>
      <c r="E4918" t="s">
        <v>38</v>
      </c>
    </row>
    <row r="4919" spans="2:5">
      <c r="B4919" t="s">
        <v>7451</v>
      </c>
      <c r="C4919">
        <v>540539</v>
      </c>
      <c r="D4919" t="s">
        <v>7452</v>
      </c>
      <c r="E4919" t="s">
        <v>38</v>
      </c>
    </row>
    <row r="4920" spans="2:5">
      <c r="B4920" t="s">
        <v>7453</v>
      </c>
      <c r="C4920">
        <v>540551</v>
      </c>
      <c r="D4920" t="s">
        <v>7454</v>
      </c>
      <c r="E4920" t="s">
        <v>38</v>
      </c>
    </row>
    <row r="4921" spans="2:5">
      <c r="B4921" t="s">
        <v>7455</v>
      </c>
      <c r="C4921">
        <v>540552</v>
      </c>
      <c r="D4921" t="s">
        <v>7456</v>
      </c>
      <c r="E4921" t="s">
        <v>38</v>
      </c>
    </row>
    <row r="4922" spans="2:5">
      <c r="B4922" t="s">
        <v>7457</v>
      </c>
      <c r="C4922">
        <v>540586</v>
      </c>
      <c r="D4922" t="s">
        <v>7458</v>
      </c>
      <c r="E4922" t="s">
        <v>38</v>
      </c>
    </row>
    <row r="4923" spans="2:5">
      <c r="B4923" t="s">
        <v>7459</v>
      </c>
      <c r="C4923">
        <v>540587</v>
      </c>
      <c r="D4923" t="s">
        <v>7460</v>
      </c>
      <c r="E4923" t="s">
        <v>38</v>
      </c>
    </row>
    <row r="4924" spans="2:5">
      <c r="B4924" t="s">
        <v>7461</v>
      </c>
      <c r="C4924">
        <v>540588</v>
      </c>
      <c r="D4924" t="s">
        <v>7462</v>
      </c>
      <c r="E4924" t="s">
        <v>38</v>
      </c>
    </row>
    <row r="4925" spans="2:5">
      <c r="B4925" t="s">
        <v>7463</v>
      </c>
      <c r="C4925">
        <v>540589</v>
      </c>
      <c r="D4925" t="s">
        <v>7464</v>
      </c>
      <c r="E4925" t="s">
        <v>38</v>
      </c>
    </row>
    <row r="4926" spans="2:5">
      <c r="B4926" t="s">
        <v>7465</v>
      </c>
      <c r="C4926">
        <v>540591</v>
      </c>
      <c r="D4926" t="s">
        <v>7466</v>
      </c>
      <c r="E4926" t="s">
        <v>38</v>
      </c>
    </row>
    <row r="4927" spans="2:5">
      <c r="B4927" t="s">
        <v>7467</v>
      </c>
      <c r="C4927">
        <v>540592</v>
      </c>
      <c r="D4927" t="s">
        <v>7468</v>
      </c>
      <c r="E4927" t="s">
        <v>38</v>
      </c>
    </row>
    <row r="4928" spans="2:5">
      <c r="B4928" t="s">
        <v>7469</v>
      </c>
      <c r="C4928">
        <v>540593</v>
      </c>
      <c r="D4928" t="s">
        <v>7470</v>
      </c>
      <c r="E4928" t="s">
        <v>38</v>
      </c>
    </row>
    <row r="4929" spans="2:5">
      <c r="B4929" t="s">
        <v>7471</v>
      </c>
      <c r="C4929">
        <v>540594</v>
      </c>
      <c r="D4929" t="s">
        <v>7472</v>
      </c>
      <c r="E4929" t="s">
        <v>38</v>
      </c>
    </row>
    <row r="4930" spans="2:5">
      <c r="B4930" t="s">
        <v>7473</v>
      </c>
      <c r="C4930">
        <v>540612</v>
      </c>
      <c r="D4930" t="s">
        <v>7474</v>
      </c>
      <c r="E4930" t="s">
        <v>38</v>
      </c>
    </row>
    <row r="4931" spans="2:5">
      <c r="B4931" t="s">
        <v>7475</v>
      </c>
      <c r="C4931">
        <v>540617</v>
      </c>
      <c r="D4931" t="s">
        <v>7476</v>
      </c>
      <c r="E4931" t="s">
        <v>38</v>
      </c>
    </row>
    <row r="4932" spans="2:5">
      <c r="B4932" t="s">
        <v>7477</v>
      </c>
      <c r="C4932">
        <v>540618</v>
      </c>
      <c r="D4932" t="s">
        <v>7478</v>
      </c>
      <c r="E4932" t="s">
        <v>38</v>
      </c>
    </row>
    <row r="4933" spans="2:5">
      <c r="B4933" t="s">
        <v>7479</v>
      </c>
      <c r="C4933">
        <v>540619</v>
      </c>
      <c r="D4933" t="s">
        <v>7480</v>
      </c>
      <c r="E4933" t="s">
        <v>38</v>
      </c>
    </row>
    <row r="4934" spans="2:5">
      <c r="B4934" t="s">
        <v>7481</v>
      </c>
      <c r="C4934">
        <v>540620</v>
      </c>
      <c r="D4934" t="s">
        <v>7482</v>
      </c>
      <c r="E4934" t="s">
        <v>38</v>
      </c>
    </row>
    <row r="4935" spans="2:5">
      <c r="B4935" t="s">
        <v>7483</v>
      </c>
      <c r="C4935">
        <v>540626</v>
      </c>
      <c r="D4935" t="s">
        <v>7484</v>
      </c>
      <c r="E4935" t="s">
        <v>38</v>
      </c>
    </row>
    <row r="4936" spans="2:5">
      <c r="B4936" t="s">
        <v>7485</v>
      </c>
      <c r="C4936">
        <v>540627</v>
      </c>
      <c r="D4936" t="s">
        <v>7486</v>
      </c>
      <c r="E4936" t="s">
        <v>38</v>
      </c>
    </row>
    <row r="4937" spans="2:5">
      <c r="B4937" t="s">
        <v>7487</v>
      </c>
      <c r="C4937">
        <v>540629</v>
      </c>
      <c r="D4937" t="s">
        <v>7488</v>
      </c>
      <c r="E4937" t="s">
        <v>38</v>
      </c>
    </row>
    <row r="4938" spans="2:5">
      <c r="B4938" t="s">
        <v>7489</v>
      </c>
      <c r="C4938">
        <v>540631</v>
      </c>
      <c r="D4938" t="s">
        <v>7490</v>
      </c>
      <c r="E4938" t="s">
        <v>38</v>
      </c>
    </row>
    <row r="4939" spans="2:5">
      <c r="B4939" t="s">
        <v>7491</v>
      </c>
      <c r="C4939">
        <v>540634</v>
      </c>
      <c r="D4939" t="s">
        <v>7492</v>
      </c>
      <c r="E4939" t="s">
        <v>38</v>
      </c>
    </row>
    <row r="4940" spans="2:5">
      <c r="B4940" t="s">
        <v>7493</v>
      </c>
      <c r="C4940">
        <v>540635</v>
      </c>
      <c r="D4940" t="s">
        <v>7494</v>
      </c>
      <c r="E4940" t="s">
        <v>38</v>
      </c>
    </row>
    <row r="4941" spans="2:5">
      <c r="B4941" t="s">
        <v>7495</v>
      </c>
      <c r="C4941">
        <v>540636</v>
      </c>
      <c r="D4941" t="s">
        <v>7496</v>
      </c>
      <c r="E4941" t="s">
        <v>38</v>
      </c>
    </row>
    <row r="4942" spans="2:5">
      <c r="B4942" t="s">
        <v>7497</v>
      </c>
      <c r="C4942">
        <v>540637</v>
      </c>
      <c r="D4942" t="s">
        <v>7498</v>
      </c>
      <c r="E4942" t="s">
        <v>38</v>
      </c>
    </row>
    <row r="4943" spans="2:5">
      <c r="B4943" t="s">
        <v>7499</v>
      </c>
      <c r="C4943">
        <v>540669</v>
      </c>
      <c r="D4943" t="s">
        <v>7500</v>
      </c>
      <c r="E4943" t="s">
        <v>38</v>
      </c>
    </row>
    <row r="4944" spans="2:5">
      <c r="B4944" t="s">
        <v>7501</v>
      </c>
      <c r="C4944">
        <v>540671</v>
      </c>
      <c r="D4944" t="s">
        <v>7502</v>
      </c>
      <c r="E4944" t="s">
        <v>38</v>
      </c>
    </row>
    <row r="4945" spans="2:5">
      <c r="B4945" t="s">
        <v>7503</v>
      </c>
      <c r="C4945">
        <v>540672</v>
      </c>
      <c r="D4945" t="s">
        <v>7504</v>
      </c>
      <c r="E4945" t="s">
        <v>38</v>
      </c>
    </row>
    <row r="4946" spans="2:5">
      <c r="B4946" t="s">
        <v>7505</v>
      </c>
      <c r="C4946">
        <v>540682</v>
      </c>
      <c r="D4946" t="s">
        <v>7506</v>
      </c>
      <c r="E4946" t="s">
        <v>38</v>
      </c>
    </row>
    <row r="4947" spans="2:5">
      <c r="B4947" t="s">
        <v>7507</v>
      </c>
      <c r="C4947">
        <v>540683</v>
      </c>
      <c r="D4947" t="s">
        <v>7508</v>
      </c>
      <c r="E4947" t="s">
        <v>38</v>
      </c>
    </row>
    <row r="4948" spans="2:5">
      <c r="B4948" t="s">
        <v>7509</v>
      </c>
      <c r="C4948">
        <v>540684</v>
      </c>
      <c r="D4948" t="s">
        <v>7510</v>
      </c>
      <c r="E4948" t="s">
        <v>38</v>
      </c>
    </row>
    <row r="4949" spans="2:5">
      <c r="B4949" t="s">
        <v>7511</v>
      </c>
      <c r="C4949">
        <v>540685</v>
      </c>
      <c r="D4949" t="s">
        <v>7512</v>
      </c>
      <c r="E4949" t="s">
        <v>38</v>
      </c>
    </row>
    <row r="4950" spans="2:5">
      <c r="B4950" t="s">
        <v>7513</v>
      </c>
      <c r="C4950">
        <v>540711</v>
      </c>
      <c r="D4950" t="s">
        <v>7514</v>
      </c>
      <c r="E4950" t="s">
        <v>38</v>
      </c>
    </row>
    <row r="4951" spans="2:5">
      <c r="B4951" t="s">
        <v>7515</v>
      </c>
      <c r="C4951">
        <v>540712</v>
      </c>
      <c r="D4951" t="s">
        <v>7516</v>
      </c>
      <c r="E4951" t="s">
        <v>38</v>
      </c>
    </row>
    <row r="4952" spans="2:5">
      <c r="B4952" t="s">
        <v>7517</v>
      </c>
      <c r="C4952">
        <v>540713</v>
      </c>
      <c r="D4952" t="s">
        <v>7518</v>
      </c>
      <c r="E4952" t="s">
        <v>38</v>
      </c>
    </row>
    <row r="4953" spans="2:5">
      <c r="B4953" t="s">
        <v>7519</v>
      </c>
      <c r="C4953">
        <v>540714</v>
      </c>
      <c r="D4953" t="s">
        <v>7520</v>
      </c>
      <c r="E4953" t="s">
        <v>38</v>
      </c>
    </row>
    <row r="4954" spans="2:5">
      <c r="B4954" t="s">
        <v>7521</v>
      </c>
      <c r="C4954">
        <v>540739</v>
      </c>
      <c r="D4954" t="s">
        <v>7522</v>
      </c>
      <c r="E4954" t="s">
        <v>38</v>
      </c>
    </row>
    <row r="4955" spans="2:5">
      <c r="B4955" t="s">
        <v>7523</v>
      </c>
      <c r="C4955">
        <v>540740</v>
      </c>
      <c r="D4955" t="s">
        <v>7524</v>
      </c>
      <c r="E4955" t="s">
        <v>38</v>
      </c>
    </row>
    <row r="4956" spans="2:5">
      <c r="B4956" t="s">
        <v>7525</v>
      </c>
      <c r="C4956">
        <v>540741</v>
      </c>
      <c r="D4956" t="s">
        <v>7526</v>
      </c>
      <c r="E4956" t="s">
        <v>38</v>
      </c>
    </row>
    <row r="4957" spans="2:5">
      <c r="B4957" t="s">
        <v>7527</v>
      </c>
      <c r="C4957">
        <v>540742</v>
      </c>
      <c r="D4957" t="s">
        <v>7528</v>
      </c>
      <c r="E4957" t="s">
        <v>38</v>
      </c>
    </row>
    <row r="4958" spans="2:5">
      <c r="B4958" t="s">
        <v>7529</v>
      </c>
      <c r="C4958">
        <v>540763</v>
      </c>
      <c r="D4958" t="s">
        <v>7530</v>
      </c>
      <c r="E4958" t="s">
        <v>38</v>
      </c>
    </row>
    <row r="4959" spans="2:5">
      <c r="B4959" t="s">
        <v>7531</v>
      </c>
      <c r="C4959">
        <v>540764</v>
      </c>
      <c r="D4959" t="s">
        <v>7532</v>
      </c>
      <c r="E4959" t="s">
        <v>38</v>
      </c>
    </row>
    <row r="4960" spans="2:5">
      <c r="B4960" t="s">
        <v>7533</v>
      </c>
      <c r="C4960">
        <v>540765</v>
      </c>
      <c r="D4960" t="s">
        <v>7534</v>
      </c>
      <c r="E4960" t="s">
        <v>38</v>
      </c>
    </row>
    <row r="4961" spans="2:5">
      <c r="B4961" t="s">
        <v>7535</v>
      </c>
      <c r="C4961">
        <v>540766</v>
      </c>
      <c r="D4961" t="s">
        <v>7536</v>
      </c>
      <c r="E4961" t="s">
        <v>38</v>
      </c>
    </row>
    <row r="4962" spans="2:5">
      <c r="B4962" t="s">
        <v>7537</v>
      </c>
      <c r="C4962">
        <v>540778</v>
      </c>
      <c r="D4962" t="s">
        <v>7538</v>
      </c>
      <c r="E4962" t="s">
        <v>38</v>
      </c>
    </row>
    <row r="4963" spans="2:5">
      <c r="B4963" t="s">
        <v>7539</v>
      </c>
      <c r="C4963">
        <v>540779</v>
      </c>
      <c r="D4963" t="s">
        <v>7540</v>
      </c>
      <c r="E4963" t="s">
        <v>38</v>
      </c>
    </row>
    <row r="4964" spans="2:5">
      <c r="B4964" t="s">
        <v>7541</v>
      </c>
      <c r="C4964">
        <v>540780</v>
      </c>
      <c r="D4964" t="s">
        <v>7542</v>
      </c>
      <c r="E4964" t="s">
        <v>38</v>
      </c>
    </row>
    <row r="4965" spans="2:5">
      <c r="B4965" t="s">
        <v>7543</v>
      </c>
      <c r="C4965">
        <v>540781</v>
      </c>
      <c r="D4965" t="s">
        <v>7544</v>
      </c>
      <c r="E4965" t="s">
        <v>38</v>
      </c>
    </row>
    <row r="4966" spans="2:5">
      <c r="B4966" t="s">
        <v>7545</v>
      </c>
      <c r="C4966">
        <v>540787</v>
      </c>
      <c r="D4966" t="s">
        <v>7546</v>
      </c>
      <c r="E4966" t="s">
        <v>38</v>
      </c>
    </row>
    <row r="4967" spans="2:5">
      <c r="B4967" t="s">
        <v>7547</v>
      </c>
      <c r="C4967">
        <v>540791</v>
      </c>
      <c r="D4967" t="s">
        <v>7548</v>
      </c>
      <c r="E4967" t="s">
        <v>38</v>
      </c>
    </row>
    <row r="4968" spans="2:5">
      <c r="B4968" t="s">
        <v>7549</v>
      </c>
      <c r="C4968">
        <v>540792</v>
      </c>
      <c r="D4968" t="s">
        <v>7550</v>
      </c>
      <c r="E4968" t="s">
        <v>38</v>
      </c>
    </row>
    <row r="4969" spans="2:5">
      <c r="B4969" t="s">
        <v>7551</v>
      </c>
      <c r="C4969">
        <v>540793</v>
      </c>
      <c r="D4969" t="s">
        <v>7552</v>
      </c>
      <c r="E4969" t="s">
        <v>38</v>
      </c>
    </row>
    <row r="4970" spans="2:5">
      <c r="B4970" t="s">
        <v>7553</v>
      </c>
      <c r="C4970">
        <v>540794</v>
      </c>
      <c r="D4970" t="s">
        <v>7554</v>
      </c>
      <c r="E4970" t="s">
        <v>38</v>
      </c>
    </row>
    <row r="4971" spans="2:5">
      <c r="B4971" t="s">
        <v>7555</v>
      </c>
      <c r="C4971">
        <v>540799</v>
      </c>
      <c r="D4971" t="s">
        <v>7556</v>
      </c>
      <c r="E4971" t="s">
        <v>38</v>
      </c>
    </row>
    <row r="4972" spans="2:5">
      <c r="B4972" t="s">
        <v>7557</v>
      </c>
      <c r="C4972">
        <v>540800</v>
      </c>
      <c r="D4972" t="s">
        <v>7558</v>
      </c>
      <c r="E4972" t="s">
        <v>38</v>
      </c>
    </row>
    <row r="4973" spans="2:5">
      <c r="B4973" t="s">
        <v>7559</v>
      </c>
      <c r="C4973">
        <v>540801</v>
      </c>
      <c r="D4973" t="s">
        <v>7560</v>
      </c>
      <c r="E4973" t="s">
        <v>38</v>
      </c>
    </row>
    <row r="4974" spans="2:5">
      <c r="B4974" t="s">
        <v>7561</v>
      </c>
      <c r="C4974">
        <v>540802</v>
      </c>
      <c r="D4974" t="s">
        <v>7562</v>
      </c>
      <c r="E4974" t="s">
        <v>38</v>
      </c>
    </row>
    <row r="4975" spans="2:5">
      <c r="B4975" t="s">
        <v>7563</v>
      </c>
      <c r="C4975">
        <v>540825</v>
      </c>
      <c r="D4975" t="s">
        <v>7564</v>
      </c>
      <c r="E4975" t="s">
        <v>38</v>
      </c>
    </row>
    <row r="4976" spans="2:5">
      <c r="B4976" t="s">
        <v>7565</v>
      </c>
      <c r="C4976">
        <v>540826</v>
      </c>
      <c r="D4976" t="s">
        <v>7566</v>
      </c>
      <c r="E4976" t="s">
        <v>38</v>
      </c>
    </row>
    <row r="4977" spans="2:5">
      <c r="B4977" t="s">
        <v>7567</v>
      </c>
      <c r="C4977">
        <v>540827</v>
      </c>
      <c r="D4977" t="s">
        <v>7568</v>
      </c>
      <c r="E4977" t="s">
        <v>38</v>
      </c>
    </row>
    <row r="4978" spans="2:5">
      <c r="B4978" t="s">
        <v>7569</v>
      </c>
      <c r="C4978">
        <v>540828</v>
      </c>
      <c r="D4978" t="s">
        <v>7570</v>
      </c>
      <c r="E4978" t="s">
        <v>38</v>
      </c>
    </row>
    <row r="4979" spans="2:5">
      <c r="B4979" t="s">
        <v>7571</v>
      </c>
      <c r="C4979">
        <v>540861</v>
      </c>
      <c r="D4979" t="s">
        <v>7572</v>
      </c>
      <c r="E4979" t="s">
        <v>38</v>
      </c>
    </row>
    <row r="4980" spans="2:5">
      <c r="B4980" t="s">
        <v>7573</v>
      </c>
      <c r="C4980">
        <v>540862</v>
      </c>
      <c r="D4980" t="s">
        <v>7574</v>
      </c>
      <c r="E4980" t="s">
        <v>38</v>
      </c>
    </row>
    <row r="4981" spans="2:5">
      <c r="B4981" t="s">
        <v>7575</v>
      </c>
      <c r="C4981">
        <v>540863</v>
      </c>
      <c r="D4981" t="s">
        <v>7576</v>
      </c>
      <c r="E4981" t="s">
        <v>38</v>
      </c>
    </row>
    <row r="4982" spans="2:5">
      <c r="B4982" t="s">
        <v>7577</v>
      </c>
      <c r="C4982">
        <v>540864</v>
      </c>
      <c r="D4982" t="s">
        <v>7578</v>
      </c>
      <c r="E4982" t="s">
        <v>38</v>
      </c>
    </row>
    <row r="4983" spans="2:5">
      <c r="B4983" t="s">
        <v>7579</v>
      </c>
      <c r="C4983">
        <v>540896</v>
      </c>
      <c r="D4983" t="s">
        <v>7580</v>
      </c>
      <c r="E4983" t="s">
        <v>38</v>
      </c>
    </row>
    <row r="4984" spans="2:5">
      <c r="B4984" t="s">
        <v>7581</v>
      </c>
      <c r="C4984">
        <v>540897</v>
      </c>
      <c r="D4984" t="s">
        <v>7582</v>
      </c>
      <c r="E4984" t="s">
        <v>38</v>
      </c>
    </row>
    <row r="4985" spans="2:5">
      <c r="B4985" t="s">
        <v>7583</v>
      </c>
      <c r="C4985">
        <v>540898</v>
      </c>
      <c r="D4985" t="s">
        <v>7584</v>
      </c>
      <c r="E4985" t="s">
        <v>38</v>
      </c>
    </row>
    <row r="4986" spans="2:5">
      <c r="B4986" t="s">
        <v>7585</v>
      </c>
      <c r="C4986">
        <v>540899</v>
      </c>
      <c r="D4986" t="s">
        <v>7586</v>
      </c>
      <c r="E4986" t="s">
        <v>38</v>
      </c>
    </row>
    <row r="4987" spans="2:5">
      <c r="B4987" t="s">
        <v>7587</v>
      </c>
      <c r="C4987">
        <v>540947</v>
      </c>
      <c r="D4987" t="s">
        <v>7588</v>
      </c>
      <c r="E4987" t="s">
        <v>38</v>
      </c>
    </row>
    <row r="4988" spans="2:5">
      <c r="B4988" t="s">
        <v>7589</v>
      </c>
      <c r="C4988">
        <v>540949</v>
      </c>
      <c r="D4988" t="s">
        <v>7590</v>
      </c>
      <c r="E4988" t="s">
        <v>38</v>
      </c>
    </row>
    <row r="4989" spans="2:5">
      <c r="B4989" t="s">
        <v>7591</v>
      </c>
      <c r="C4989">
        <v>540950</v>
      </c>
      <c r="D4989" t="s">
        <v>7592</v>
      </c>
      <c r="E4989" t="s">
        <v>38</v>
      </c>
    </row>
    <row r="4990" spans="2:5">
      <c r="B4990" t="s">
        <v>7593</v>
      </c>
      <c r="C4990">
        <v>540951</v>
      </c>
      <c r="D4990" t="s">
        <v>7594</v>
      </c>
      <c r="E4990" t="s">
        <v>38</v>
      </c>
    </row>
    <row r="4991" spans="2:5">
      <c r="B4991" t="s">
        <v>7595</v>
      </c>
      <c r="C4991">
        <v>540981</v>
      </c>
      <c r="D4991" t="s">
        <v>7596</v>
      </c>
      <c r="E4991" t="s">
        <v>38</v>
      </c>
    </row>
    <row r="4992" spans="2:5">
      <c r="B4992" t="s">
        <v>7597</v>
      </c>
      <c r="C4992">
        <v>540982</v>
      </c>
      <c r="D4992" t="s">
        <v>7598</v>
      </c>
      <c r="E4992" t="s">
        <v>38</v>
      </c>
    </row>
    <row r="4993" spans="2:5">
      <c r="B4993" t="s">
        <v>7599</v>
      </c>
      <c r="C4993">
        <v>540983</v>
      </c>
      <c r="D4993" t="s">
        <v>7600</v>
      </c>
      <c r="E4993" t="s">
        <v>38</v>
      </c>
    </row>
    <row r="4994" spans="2:5">
      <c r="B4994" t="s">
        <v>7601</v>
      </c>
      <c r="C4994">
        <v>540984</v>
      </c>
      <c r="D4994" t="s">
        <v>7602</v>
      </c>
      <c r="E4994" t="s">
        <v>38</v>
      </c>
    </row>
    <row r="4995" spans="2:5">
      <c r="B4995" t="s">
        <v>7603</v>
      </c>
      <c r="C4995">
        <v>541068</v>
      </c>
      <c r="D4995" t="s">
        <v>7604</v>
      </c>
      <c r="E4995" t="s">
        <v>38</v>
      </c>
    </row>
    <row r="4996" spans="2:5">
      <c r="B4996" t="s">
        <v>7605</v>
      </c>
      <c r="C4996">
        <v>541069</v>
      </c>
      <c r="D4996" t="s">
        <v>7606</v>
      </c>
      <c r="E4996" t="s">
        <v>38</v>
      </c>
    </row>
    <row r="4997" spans="2:5">
      <c r="B4997" t="s">
        <v>7607</v>
      </c>
      <c r="C4997">
        <v>541070</v>
      </c>
      <c r="D4997" t="s">
        <v>7608</v>
      </c>
      <c r="E4997" t="s">
        <v>38</v>
      </c>
    </row>
    <row r="4998" spans="2:5">
      <c r="B4998" t="s">
        <v>7609</v>
      </c>
      <c r="C4998">
        <v>541071</v>
      </c>
      <c r="D4998" t="s">
        <v>7610</v>
      </c>
      <c r="E4998" t="s">
        <v>38</v>
      </c>
    </row>
    <row r="4999" spans="2:5">
      <c r="B4999" t="s">
        <v>7611</v>
      </c>
      <c r="C4999">
        <v>541084</v>
      </c>
      <c r="D4999" t="s">
        <v>7612</v>
      </c>
      <c r="E4999" t="s">
        <v>38</v>
      </c>
    </row>
    <row r="5000" spans="2:5">
      <c r="B5000" t="s">
        <v>7613</v>
      </c>
      <c r="C5000">
        <v>541085</v>
      </c>
      <c r="D5000" t="s">
        <v>7614</v>
      </c>
      <c r="E5000" t="s">
        <v>38</v>
      </c>
    </row>
    <row r="5001" spans="2:5">
      <c r="B5001" t="s">
        <v>7615</v>
      </c>
      <c r="C5001">
        <v>541086</v>
      </c>
      <c r="D5001" t="s">
        <v>7616</v>
      </c>
      <c r="E5001" t="s">
        <v>38</v>
      </c>
    </row>
    <row r="5002" spans="2:5">
      <c r="B5002" t="s">
        <v>7617</v>
      </c>
      <c r="C5002">
        <v>541087</v>
      </c>
      <c r="D5002" t="s">
        <v>7618</v>
      </c>
      <c r="E5002" t="s">
        <v>38</v>
      </c>
    </row>
    <row r="5003" spans="2:5">
      <c r="B5003" t="s">
        <v>7619</v>
      </c>
      <c r="C5003">
        <v>541092</v>
      </c>
      <c r="D5003" t="s">
        <v>7620</v>
      </c>
      <c r="E5003" t="s">
        <v>38</v>
      </c>
    </row>
    <row r="5004" spans="2:5">
      <c r="B5004" t="s">
        <v>7621</v>
      </c>
      <c r="C5004">
        <v>541093</v>
      </c>
      <c r="D5004" t="s">
        <v>7622</v>
      </c>
      <c r="E5004" t="s">
        <v>38</v>
      </c>
    </row>
    <row r="5005" spans="2:5">
      <c r="B5005" t="s">
        <v>7623</v>
      </c>
      <c r="C5005">
        <v>541094</v>
      </c>
      <c r="D5005" t="s">
        <v>7624</v>
      </c>
      <c r="E5005" t="s">
        <v>38</v>
      </c>
    </row>
    <row r="5006" spans="2:5">
      <c r="B5006" t="s">
        <v>7625</v>
      </c>
      <c r="C5006">
        <v>541095</v>
      </c>
      <c r="D5006" t="s">
        <v>7626</v>
      </c>
      <c r="E5006" t="s">
        <v>38</v>
      </c>
    </row>
    <row r="5007" spans="2:5">
      <c r="B5007" t="s">
        <v>7627</v>
      </c>
      <c r="C5007">
        <v>541252</v>
      </c>
      <c r="D5007" t="s">
        <v>7628</v>
      </c>
      <c r="E5007" t="s">
        <v>38</v>
      </c>
    </row>
    <row r="5008" spans="2:5">
      <c r="B5008" t="s">
        <v>7629</v>
      </c>
      <c r="C5008">
        <v>541253</v>
      </c>
      <c r="D5008" t="s">
        <v>7630</v>
      </c>
      <c r="E5008" t="s">
        <v>38</v>
      </c>
    </row>
    <row r="5009" spans="2:5">
      <c r="B5009" t="s">
        <v>7631</v>
      </c>
      <c r="C5009">
        <v>541254</v>
      </c>
      <c r="D5009" t="s">
        <v>7632</v>
      </c>
      <c r="E5009" t="s">
        <v>38</v>
      </c>
    </row>
    <row r="5010" spans="2:5">
      <c r="B5010" t="s">
        <v>7633</v>
      </c>
      <c r="C5010">
        <v>541255</v>
      </c>
      <c r="D5010" t="s">
        <v>7634</v>
      </c>
      <c r="E5010" t="s">
        <v>38</v>
      </c>
    </row>
    <row r="5011" spans="2:5">
      <c r="B5011" t="s">
        <v>7635</v>
      </c>
      <c r="C5011">
        <v>541300</v>
      </c>
      <c r="D5011" t="s">
        <v>7636</v>
      </c>
      <c r="E5011" t="s">
        <v>38</v>
      </c>
    </row>
    <row r="5012" spans="2:5">
      <c r="B5012" t="s">
        <v>7637</v>
      </c>
      <c r="C5012">
        <v>541309</v>
      </c>
      <c r="D5012" t="s">
        <v>7638</v>
      </c>
      <c r="E5012" t="s">
        <v>38</v>
      </c>
    </row>
    <row r="5013" spans="2:5">
      <c r="B5013" t="s">
        <v>7639</v>
      </c>
      <c r="C5013">
        <v>541310</v>
      </c>
      <c r="D5013" t="s">
        <v>7640</v>
      </c>
      <c r="E5013" t="s">
        <v>38</v>
      </c>
    </row>
    <row r="5014" spans="2:5">
      <c r="B5014" t="s">
        <v>7641</v>
      </c>
      <c r="C5014">
        <v>541311</v>
      </c>
      <c r="D5014" t="s">
        <v>7642</v>
      </c>
      <c r="E5014" t="s">
        <v>38</v>
      </c>
    </row>
    <row r="5015" spans="2:5">
      <c r="B5015" t="s">
        <v>7643</v>
      </c>
      <c r="C5015">
        <v>541312</v>
      </c>
      <c r="D5015" t="s">
        <v>7644</v>
      </c>
      <c r="E5015" t="s">
        <v>38</v>
      </c>
    </row>
    <row r="5016" spans="2:5">
      <c r="B5016" t="s">
        <v>7645</v>
      </c>
      <c r="C5016">
        <v>541313</v>
      </c>
      <c r="D5016" t="s">
        <v>7646</v>
      </c>
      <c r="E5016" t="s">
        <v>38</v>
      </c>
    </row>
    <row r="5017" spans="2:5">
      <c r="B5017" t="s">
        <v>7647</v>
      </c>
      <c r="C5017">
        <v>541341</v>
      </c>
      <c r="D5017" t="s">
        <v>7648</v>
      </c>
      <c r="E5017" t="s">
        <v>38</v>
      </c>
    </row>
    <row r="5018" spans="2:5">
      <c r="B5018" t="s">
        <v>7649</v>
      </c>
      <c r="C5018">
        <v>541343</v>
      </c>
      <c r="D5018" t="s">
        <v>7650</v>
      </c>
      <c r="E5018" t="s">
        <v>38</v>
      </c>
    </row>
    <row r="5019" spans="2:5">
      <c r="B5019" t="s">
        <v>7651</v>
      </c>
      <c r="C5019">
        <v>541345</v>
      </c>
      <c r="D5019" t="s">
        <v>7652</v>
      </c>
      <c r="E5019" t="s">
        <v>38</v>
      </c>
    </row>
    <row r="5020" spans="2:5">
      <c r="B5020" t="s">
        <v>7653</v>
      </c>
      <c r="C5020">
        <v>541346</v>
      </c>
      <c r="D5020" t="s">
        <v>7654</v>
      </c>
      <c r="E5020" t="s">
        <v>38</v>
      </c>
    </row>
    <row r="5021" spans="2:5">
      <c r="B5021" t="s">
        <v>7655</v>
      </c>
      <c r="C5021">
        <v>541672</v>
      </c>
      <c r="D5021" t="s">
        <v>7656</v>
      </c>
      <c r="E5021" t="s">
        <v>38</v>
      </c>
    </row>
    <row r="5022" spans="2:5">
      <c r="B5022" t="s">
        <v>7657</v>
      </c>
      <c r="C5022">
        <v>541673</v>
      </c>
      <c r="D5022" t="s">
        <v>7658</v>
      </c>
      <c r="E5022" t="s">
        <v>38</v>
      </c>
    </row>
    <row r="5023" spans="2:5">
      <c r="B5023" t="s">
        <v>7659</v>
      </c>
      <c r="C5023">
        <v>541674</v>
      </c>
      <c r="D5023" t="s">
        <v>7660</v>
      </c>
      <c r="E5023" t="s">
        <v>38</v>
      </c>
    </row>
    <row r="5024" spans="2:5">
      <c r="B5024" t="s">
        <v>7661</v>
      </c>
      <c r="C5024">
        <v>541675</v>
      </c>
      <c r="D5024" t="s">
        <v>7662</v>
      </c>
      <c r="E5024" t="s">
        <v>38</v>
      </c>
    </row>
    <row r="5025" spans="2:5">
      <c r="B5025" t="s">
        <v>7663</v>
      </c>
      <c r="C5025">
        <v>541676</v>
      </c>
      <c r="D5025" t="s">
        <v>7664</v>
      </c>
      <c r="E5025" t="s">
        <v>38</v>
      </c>
    </row>
    <row r="5026" spans="2:5">
      <c r="B5026" t="s">
        <v>7665</v>
      </c>
      <c r="C5026">
        <v>541677</v>
      </c>
      <c r="D5026" t="s">
        <v>7666</v>
      </c>
      <c r="E5026" t="s">
        <v>38</v>
      </c>
    </row>
    <row r="5027" spans="2:5">
      <c r="B5027" t="s">
        <v>7667</v>
      </c>
      <c r="C5027">
        <v>541678</v>
      </c>
      <c r="D5027" t="s">
        <v>7668</v>
      </c>
      <c r="E5027" t="s">
        <v>38</v>
      </c>
    </row>
    <row r="5028" spans="2:5">
      <c r="B5028" t="s">
        <v>7669</v>
      </c>
      <c r="C5028">
        <v>541679</v>
      </c>
      <c r="D5028" t="s">
        <v>7670</v>
      </c>
      <c r="E5028" t="s">
        <v>38</v>
      </c>
    </row>
    <row r="5029" spans="2:5">
      <c r="B5029" t="s">
        <v>7671</v>
      </c>
      <c r="C5029">
        <v>541725</v>
      </c>
      <c r="D5029" t="s">
        <v>7672</v>
      </c>
      <c r="E5029" t="s">
        <v>38</v>
      </c>
    </row>
    <row r="5030" spans="2:5">
      <c r="B5030" t="s">
        <v>7673</v>
      </c>
      <c r="C5030">
        <v>541726</v>
      </c>
      <c r="D5030" t="s">
        <v>7674</v>
      </c>
      <c r="E5030" t="s">
        <v>38</v>
      </c>
    </row>
    <row r="5031" spans="2:5">
      <c r="B5031" t="s">
        <v>7675</v>
      </c>
      <c r="C5031">
        <v>541727</v>
      </c>
      <c r="D5031" t="s">
        <v>7676</v>
      </c>
      <c r="E5031" t="s">
        <v>38</v>
      </c>
    </row>
    <row r="5032" spans="2:5">
      <c r="B5032" t="s">
        <v>7677</v>
      </c>
      <c r="C5032">
        <v>541728</v>
      </c>
      <c r="D5032" t="s">
        <v>7678</v>
      </c>
      <c r="E5032" t="s">
        <v>38</v>
      </c>
    </row>
    <row r="5033" spans="2:5">
      <c r="B5033" t="s">
        <v>7679</v>
      </c>
      <c r="C5033">
        <v>541742</v>
      </c>
      <c r="D5033" t="s">
        <v>7680</v>
      </c>
      <c r="E5033" t="s">
        <v>38</v>
      </c>
    </row>
    <row r="5034" spans="2:5">
      <c r="B5034" t="s">
        <v>7681</v>
      </c>
      <c r="C5034">
        <v>541743</v>
      </c>
      <c r="D5034" t="s">
        <v>7682</v>
      </c>
      <c r="E5034" t="s">
        <v>38</v>
      </c>
    </row>
    <row r="5035" spans="2:5">
      <c r="B5035" t="s">
        <v>7683</v>
      </c>
      <c r="C5035">
        <v>541744</v>
      </c>
      <c r="D5035" t="s">
        <v>7684</v>
      </c>
      <c r="E5035" t="s">
        <v>38</v>
      </c>
    </row>
    <row r="5036" spans="2:5">
      <c r="B5036" t="s">
        <v>7685</v>
      </c>
      <c r="C5036">
        <v>541745</v>
      </c>
      <c r="D5036" t="s">
        <v>7686</v>
      </c>
      <c r="E5036" t="s">
        <v>38</v>
      </c>
    </row>
    <row r="5037" spans="2:5">
      <c r="B5037" t="s">
        <v>7687</v>
      </c>
      <c r="C5037">
        <v>541804</v>
      </c>
      <c r="D5037" t="s">
        <v>7688</v>
      </c>
      <c r="E5037" t="s">
        <v>38</v>
      </c>
    </row>
    <row r="5038" spans="2:5">
      <c r="B5038" t="s">
        <v>7689</v>
      </c>
      <c r="C5038">
        <v>541805</v>
      </c>
      <c r="D5038" t="s">
        <v>7690</v>
      </c>
      <c r="E5038" t="s">
        <v>38</v>
      </c>
    </row>
    <row r="5039" spans="2:5">
      <c r="B5039" t="s">
        <v>7691</v>
      </c>
      <c r="C5039">
        <v>541806</v>
      </c>
      <c r="D5039" t="s">
        <v>7692</v>
      </c>
      <c r="E5039" t="s">
        <v>38</v>
      </c>
    </row>
    <row r="5040" spans="2:5">
      <c r="B5040" t="s">
        <v>7693</v>
      </c>
      <c r="C5040">
        <v>541807</v>
      </c>
      <c r="D5040" t="s">
        <v>7694</v>
      </c>
      <c r="E5040" t="s">
        <v>38</v>
      </c>
    </row>
    <row r="5041" spans="2:5">
      <c r="B5041" t="s">
        <v>7695</v>
      </c>
      <c r="C5041">
        <v>541809</v>
      </c>
      <c r="D5041" t="s">
        <v>7696</v>
      </c>
      <c r="E5041" t="s">
        <v>38</v>
      </c>
    </row>
    <row r="5042" spans="2:5">
      <c r="B5042" t="s">
        <v>7697</v>
      </c>
      <c r="C5042">
        <v>541879</v>
      </c>
      <c r="D5042" t="s">
        <v>7698</v>
      </c>
      <c r="E5042" t="s">
        <v>38</v>
      </c>
    </row>
    <row r="5043" spans="2:5">
      <c r="B5043" t="s">
        <v>7699</v>
      </c>
      <c r="C5043">
        <v>541881</v>
      </c>
      <c r="D5043" t="s">
        <v>7700</v>
      </c>
      <c r="E5043" t="s">
        <v>38</v>
      </c>
    </row>
    <row r="5044" spans="2:5">
      <c r="B5044" t="s">
        <v>7701</v>
      </c>
      <c r="C5044">
        <v>541882</v>
      </c>
      <c r="D5044" t="s">
        <v>7702</v>
      </c>
      <c r="E5044" t="s">
        <v>38</v>
      </c>
    </row>
    <row r="5045" spans="2:5">
      <c r="B5045" t="s">
        <v>7703</v>
      </c>
      <c r="C5045">
        <v>541884</v>
      </c>
      <c r="D5045" t="s">
        <v>7704</v>
      </c>
      <c r="E5045" t="s">
        <v>38</v>
      </c>
    </row>
    <row r="5046" spans="2:5">
      <c r="B5046" t="s">
        <v>7705</v>
      </c>
      <c r="C5046">
        <v>541972</v>
      </c>
      <c r="D5046" t="s">
        <v>7706</v>
      </c>
      <c r="E5046" t="s">
        <v>38</v>
      </c>
    </row>
    <row r="5047" spans="2:5">
      <c r="B5047" t="s">
        <v>7707</v>
      </c>
      <c r="C5047">
        <v>541984</v>
      </c>
      <c r="D5047" t="s">
        <v>7708</v>
      </c>
      <c r="E5047" t="s">
        <v>38</v>
      </c>
    </row>
    <row r="5048" spans="2:5">
      <c r="B5048" t="s">
        <v>7709</v>
      </c>
      <c r="C5048">
        <v>541985</v>
      </c>
      <c r="D5048" t="s">
        <v>7710</v>
      </c>
      <c r="E5048" t="s">
        <v>38</v>
      </c>
    </row>
    <row r="5049" spans="2:5">
      <c r="B5049" t="s">
        <v>7711</v>
      </c>
      <c r="C5049">
        <v>541986</v>
      </c>
      <c r="D5049" t="s">
        <v>7712</v>
      </c>
      <c r="E5049" t="s">
        <v>38</v>
      </c>
    </row>
    <row r="5050" spans="2:5">
      <c r="B5050" t="s">
        <v>7713</v>
      </c>
      <c r="C5050">
        <v>541987</v>
      </c>
      <c r="D5050" t="s">
        <v>7714</v>
      </c>
      <c r="E5050" t="s">
        <v>38</v>
      </c>
    </row>
    <row r="5051" spans="2:5">
      <c r="B5051" t="s">
        <v>7715</v>
      </c>
      <c r="C5051">
        <v>542131</v>
      </c>
      <c r="D5051" t="s">
        <v>7716</v>
      </c>
      <c r="E5051" t="s">
        <v>38</v>
      </c>
    </row>
    <row r="5052" spans="2:5">
      <c r="B5052" t="s">
        <v>7717</v>
      </c>
      <c r="C5052">
        <v>542156</v>
      </c>
      <c r="D5052" t="s">
        <v>7718</v>
      </c>
      <c r="E5052" t="s">
        <v>38</v>
      </c>
    </row>
    <row r="5053" spans="2:5">
      <c r="B5053" t="s">
        <v>7719</v>
      </c>
      <c r="C5053">
        <v>542158</v>
      </c>
      <c r="D5053" t="s">
        <v>7720</v>
      </c>
      <c r="E5053" t="s">
        <v>38</v>
      </c>
    </row>
    <row r="5054" spans="2:5">
      <c r="B5054" t="s">
        <v>7721</v>
      </c>
      <c r="C5054">
        <v>542160</v>
      </c>
      <c r="D5054" t="s">
        <v>7722</v>
      </c>
      <c r="E5054" t="s">
        <v>38</v>
      </c>
    </row>
    <row r="5055" spans="2:5">
      <c r="B5055" t="s">
        <v>7723</v>
      </c>
      <c r="C5055">
        <v>542163</v>
      </c>
      <c r="D5055" t="s">
        <v>7724</v>
      </c>
      <c r="E5055" t="s">
        <v>38</v>
      </c>
    </row>
    <row r="5056" spans="2:5">
      <c r="B5056" t="s">
        <v>7725</v>
      </c>
      <c r="C5056">
        <v>542230</v>
      </c>
      <c r="D5056" t="s">
        <v>7726</v>
      </c>
      <c r="E5056" t="s">
        <v>38</v>
      </c>
    </row>
    <row r="5057" spans="2:5">
      <c r="B5057" t="s">
        <v>7727</v>
      </c>
      <c r="C5057">
        <v>542244</v>
      </c>
      <c r="D5057" t="s">
        <v>7728</v>
      </c>
      <c r="E5057" t="s">
        <v>38</v>
      </c>
    </row>
    <row r="5058" spans="2:5">
      <c r="B5058" t="s">
        <v>7729</v>
      </c>
      <c r="C5058">
        <v>542245</v>
      </c>
      <c r="D5058" t="s">
        <v>7730</v>
      </c>
      <c r="E5058" t="s">
        <v>38</v>
      </c>
    </row>
    <row r="5059" spans="2:5">
      <c r="B5059" t="s">
        <v>7731</v>
      </c>
      <c r="C5059">
        <v>542246</v>
      </c>
      <c r="D5059" t="s">
        <v>7732</v>
      </c>
      <c r="E5059" t="s">
        <v>38</v>
      </c>
    </row>
    <row r="5060" spans="2:5">
      <c r="B5060" t="s">
        <v>7733</v>
      </c>
      <c r="C5060">
        <v>542247</v>
      </c>
      <c r="D5060" t="s">
        <v>7734</v>
      </c>
      <c r="E5060" t="s">
        <v>38</v>
      </c>
    </row>
    <row r="5061" spans="2:5">
      <c r="B5061" t="s">
        <v>7735</v>
      </c>
      <c r="C5061">
        <v>542513</v>
      </c>
      <c r="D5061" t="s">
        <v>7736</v>
      </c>
      <c r="E5061" t="s">
        <v>38</v>
      </c>
    </row>
    <row r="5062" spans="2:5">
      <c r="B5062" t="s">
        <v>7737</v>
      </c>
      <c r="C5062">
        <v>542543</v>
      </c>
      <c r="D5062" t="s">
        <v>7738</v>
      </c>
      <c r="E5062" t="s">
        <v>38</v>
      </c>
    </row>
    <row r="5063" spans="2:5">
      <c r="B5063" t="s">
        <v>7739</v>
      </c>
      <c r="C5063">
        <v>542694</v>
      </c>
      <c r="D5063" t="s">
        <v>7740</v>
      </c>
      <c r="E5063" t="s">
        <v>361</v>
      </c>
    </row>
    <row r="5064" spans="2:5">
      <c r="B5064" t="s">
        <v>7741</v>
      </c>
      <c r="C5064">
        <v>542721</v>
      </c>
      <c r="D5064" t="s">
        <v>7742</v>
      </c>
      <c r="E5064" t="s">
        <v>361</v>
      </c>
    </row>
    <row r="5065" spans="2:5">
      <c r="B5065" t="s">
        <v>7743</v>
      </c>
      <c r="C5065">
        <v>542724</v>
      </c>
      <c r="D5065" t="s">
        <v>7744</v>
      </c>
      <c r="E5065" t="s">
        <v>377</v>
      </c>
    </row>
    <row r="5066" spans="2:5">
      <c r="B5066" t="s">
        <v>7745</v>
      </c>
      <c r="C5066">
        <v>542725</v>
      </c>
      <c r="D5066" t="s">
        <v>7746</v>
      </c>
      <c r="E5066" t="s">
        <v>453</v>
      </c>
    </row>
    <row r="5067" spans="2:5">
      <c r="B5067" t="s">
        <v>7747</v>
      </c>
      <c r="C5067">
        <v>542726</v>
      </c>
      <c r="D5067" t="s">
        <v>7748</v>
      </c>
      <c r="E5067" t="s">
        <v>345</v>
      </c>
    </row>
    <row r="5068" spans="2:5">
      <c r="B5068" t="s">
        <v>7749</v>
      </c>
      <c r="C5068">
        <v>542727</v>
      </c>
      <c r="D5068" t="s">
        <v>7750</v>
      </c>
      <c r="E5068" t="s">
        <v>340</v>
      </c>
    </row>
    <row r="5069" spans="2:5">
      <c r="B5069" t="s">
        <v>7751</v>
      </c>
      <c r="C5069">
        <v>542728</v>
      </c>
      <c r="D5069" t="s">
        <v>7752</v>
      </c>
      <c r="E5069" t="s">
        <v>453</v>
      </c>
    </row>
    <row r="5070" spans="2:5">
      <c r="B5070" t="s">
        <v>7753</v>
      </c>
      <c r="C5070">
        <v>542729</v>
      </c>
      <c r="D5070" t="s">
        <v>7754</v>
      </c>
      <c r="E5070" t="s">
        <v>354</v>
      </c>
    </row>
    <row r="5071" spans="2:5">
      <c r="B5071" t="s">
        <v>7755</v>
      </c>
      <c r="C5071">
        <v>542730</v>
      </c>
      <c r="D5071" t="s">
        <v>7756</v>
      </c>
      <c r="E5071" t="s">
        <v>38</v>
      </c>
    </row>
    <row r="5072" spans="2:5">
      <c r="B5072" t="s">
        <v>7757</v>
      </c>
      <c r="C5072">
        <v>542747</v>
      </c>
      <c r="D5072" t="s">
        <v>7758</v>
      </c>
      <c r="E5072" t="s">
        <v>38</v>
      </c>
    </row>
    <row r="5073" spans="2:5">
      <c r="B5073" t="s">
        <v>7759</v>
      </c>
      <c r="C5073">
        <v>542752</v>
      </c>
      <c r="D5073" t="s">
        <v>7760</v>
      </c>
      <c r="E5073" t="s">
        <v>1941</v>
      </c>
    </row>
    <row r="5074" spans="2:5">
      <c r="B5074" t="s">
        <v>7761</v>
      </c>
      <c r="C5074">
        <v>542753</v>
      </c>
      <c r="D5074" t="s">
        <v>7762</v>
      </c>
      <c r="E5074" t="s">
        <v>373</v>
      </c>
    </row>
    <row r="5075" spans="2:5">
      <c r="B5075" t="s">
        <v>7763</v>
      </c>
      <c r="C5075">
        <v>542758</v>
      </c>
      <c r="D5075" t="s">
        <v>7764</v>
      </c>
      <c r="E5075" t="s">
        <v>38</v>
      </c>
    </row>
    <row r="5076" spans="2:5">
      <c r="B5076" t="s">
        <v>7765</v>
      </c>
      <c r="C5076">
        <v>542759</v>
      </c>
      <c r="D5076" t="s">
        <v>7766</v>
      </c>
      <c r="E5076" t="s">
        <v>356</v>
      </c>
    </row>
    <row r="5077" spans="2:5">
      <c r="B5077" t="s">
        <v>7767</v>
      </c>
      <c r="C5077">
        <v>542760</v>
      </c>
      <c r="D5077" t="s">
        <v>7768</v>
      </c>
      <c r="E5077" t="s">
        <v>382</v>
      </c>
    </row>
    <row r="5078" spans="2:5">
      <c r="B5078" t="s">
        <v>7769</v>
      </c>
      <c r="C5078">
        <v>542765</v>
      </c>
      <c r="D5078" t="s">
        <v>7770</v>
      </c>
      <c r="E5078" t="s">
        <v>1505</v>
      </c>
    </row>
    <row r="5079" spans="2:5">
      <c r="B5079" t="s">
        <v>7771</v>
      </c>
      <c r="C5079">
        <v>542770</v>
      </c>
      <c r="D5079" t="s">
        <v>7772</v>
      </c>
      <c r="E5079" t="s">
        <v>325</v>
      </c>
    </row>
    <row r="5080" spans="2:5">
      <c r="B5080" t="s">
        <v>7773</v>
      </c>
      <c r="C5080">
        <v>542771</v>
      </c>
      <c r="D5080" t="s">
        <v>7774</v>
      </c>
      <c r="E5080" t="s">
        <v>521</v>
      </c>
    </row>
    <row r="5081" spans="2:5">
      <c r="B5081" t="s">
        <v>7775</v>
      </c>
      <c r="C5081">
        <v>542772</v>
      </c>
      <c r="D5081" t="s">
        <v>7776</v>
      </c>
      <c r="E5081" t="s">
        <v>322</v>
      </c>
    </row>
    <row r="5082" spans="2:5">
      <c r="B5082" t="s">
        <v>7777</v>
      </c>
      <c r="C5082">
        <v>542773</v>
      </c>
      <c r="D5082" t="s">
        <v>7778</v>
      </c>
      <c r="E5082" t="s">
        <v>322</v>
      </c>
    </row>
    <row r="5083" spans="2:5">
      <c r="B5083" t="s">
        <v>7779</v>
      </c>
      <c r="C5083">
        <v>542774</v>
      </c>
      <c r="D5083" t="s">
        <v>7780</v>
      </c>
      <c r="E5083" t="s">
        <v>356</v>
      </c>
    </row>
    <row r="5084" spans="2:5">
      <c r="B5084" t="s">
        <v>7781</v>
      </c>
      <c r="C5084">
        <v>542801</v>
      </c>
      <c r="D5084" t="s">
        <v>7782</v>
      </c>
      <c r="E5084" t="s">
        <v>347</v>
      </c>
    </row>
    <row r="5085" spans="2:5">
      <c r="B5085" t="s">
        <v>7783</v>
      </c>
      <c r="C5085">
        <v>542802</v>
      </c>
      <c r="D5085" t="s">
        <v>7784</v>
      </c>
      <c r="E5085" t="s">
        <v>322</v>
      </c>
    </row>
    <row r="5086" spans="2:5">
      <c r="B5086" t="s">
        <v>7785</v>
      </c>
      <c r="C5086">
        <v>542803</v>
      </c>
      <c r="D5086" t="s">
        <v>7786</v>
      </c>
      <c r="E5086" t="s">
        <v>361</v>
      </c>
    </row>
    <row r="5087" spans="2:5">
      <c r="B5087" t="s">
        <v>7787</v>
      </c>
      <c r="C5087">
        <v>542804</v>
      </c>
      <c r="D5087" t="s">
        <v>7788</v>
      </c>
      <c r="E5087" t="s">
        <v>38</v>
      </c>
    </row>
    <row r="5088" spans="2:5">
      <c r="B5088" t="s">
        <v>7789</v>
      </c>
      <c r="C5088">
        <v>542805</v>
      </c>
      <c r="D5088" t="s">
        <v>7790</v>
      </c>
      <c r="E5088" t="s">
        <v>38</v>
      </c>
    </row>
    <row r="5089" spans="2:5">
      <c r="B5089" t="s">
        <v>7791</v>
      </c>
      <c r="C5089">
        <v>542806</v>
      </c>
      <c r="D5089" t="s">
        <v>7792</v>
      </c>
      <c r="E5089" t="s">
        <v>38</v>
      </c>
    </row>
    <row r="5090" spans="2:5">
      <c r="B5090" t="s">
        <v>7793</v>
      </c>
      <c r="C5090">
        <v>542807</v>
      </c>
      <c r="D5090" t="s">
        <v>7794</v>
      </c>
      <c r="E5090" t="s">
        <v>38</v>
      </c>
    </row>
    <row r="5091" spans="2:5">
      <c r="B5091" t="s">
        <v>7795</v>
      </c>
      <c r="C5091">
        <v>542808</v>
      </c>
      <c r="D5091" t="s">
        <v>7796</v>
      </c>
      <c r="E5091" t="s">
        <v>38</v>
      </c>
    </row>
    <row r="5092" spans="2:5">
      <c r="B5092" t="s">
        <v>7797</v>
      </c>
      <c r="C5092">
        <v>542809</v>
      </c>
      <c r="D5092" t="s">
        <v>7798</v>
      </c>
      <c r="E5092" t="s">
        <v>38</v>
      </c>
    </row>
    <row r="5093" spans="2:5">
      <c r="B5093" t="s">
        <v>7799</v>
      </c>
      <c r="C5093">
        <v>542810</v>
      </c>
      <c r="D5093" t="s">
        <v>7800</v>
      </c>
      <c r="E5093" t="s">
        <v>38</v>
      </c>
    </row>
    <row r="5094" spans="2:5">
      <c r="B5094" t="s">
        <v>7801</v>
      </c>
      <c r="C5094">
        <v>542811</v>
      </c>
      <c r="D5094" t="s">
        <v>7802</v>
      </c>
      <c r="E5094" t="s">
        <v>38</v>
      </c>
    </row>
    <row r="5095" spans="2:5">
      <c r="B5095" t="s">
        <v>7803</v>
      </c>
      <c r="C5095">
        <v>542812</v>
      </c>
      <c r="D5095" t="s">
        <v>7804</v>
      </c>
      <c r="E5095" t="s">
        <v>499</v>
      </c>
    </row>
    <row r="5096" spans="2:5">
      <c r="B5096" t="s">
        <v>7805</v>
      </c>
      <c r="C5096">
        <v>542813</v>
      </c>
      <c r="D5096" t="s">
        <v>7806</v>
      </c>
      <c r="E5096" t="s">
        <v>38</v>
      </c>
    </row>
    <row r="5097" spans="2:5">
      <c r="B5097" t="s">
        <v>7807</v>
      </c>
      <c r="C5097">
        <v>542814</v>
      </c>
      <c r="D5097" t="s">
        <v>7808</v>
      </c>
      <c r="E5097" t="s">
        <v>38</v>
      </c>
    </row>
    <row r="5098" spans="2:5">
      <c r="B5098" t="s">
        <v>7809</v>
      </c>
      <c r="C5098">
        <v>542815</v>
      </c>
      <c r="D5098" t="s">
        <v>7810</v>
      </c>
      <c r="E5098" t="s">
        <v>38</v>
      </c>
    </row>
    <row r="5099" spans="2:5">
      <c r="B5099" t="s">
        <v>7811</v>
      </c>
      <c r="C5099">
        <v>542816</v>
      </c>
      <c r="D5099" t="s">
        <v>7812</v>
      </c>
      <c r="E5099" t="s">
        <v>38</v>
      </c>
    </row>
    <row r="5100" spans="2:5">
      <c r="B5100" t="s">
        <v>7813</v>
      </c>
      <c r="C5100">
        <v>542817</v>
      </c>
      <c r="D5100" t="s">
        <v>7814</v>
      </c>
      <c r="E5100" t="s">
        <v>38</v>
      </c>
    </row>
    <row r="5101" spans="2:5">
      <c r="B5101" t="s">
        <v>7815</v>
      </c>
      <c r="C5101">
        <v>542818</v>
      </c>
      <c r="D5101" t="s">
        <v>7816</v>
      </c>
      <c r="E5101" t="s">
        <v>38</v>
      </c>
    </row>
    <row r="5102" spans="2:5">
      <c r="B5102" t="s">
        <v>7817</v>
      </c>
      <c r="C5102">
        <v>542819</v>
      </c>
      <c r="D5102" t="s">
        <v>7818</v>
      </c>
      <c r="E5102" t="s">
        <v>38</v>
      </c>
    </row>
    <row r="5103" spans="2:5">
      <c r="B5103" t="s">
        <v>7819</v>
      </c>
      <c r="C5103">
        <v>542820</v>
      </c>
      <c r="D5103" t="s">
        <v>7820</v>
      </c>
      <c r="E5103" t="s">
        <v>38</v>
      </c>
    </row>
    <row r="5104" spans="2:5">
      <c r="B5104" t="s">
        <v>7821</v>
      </c>
      <c r="C5104">
        <v>542830</v>
      </c>
      <c r="D5104" t="s">
        <v>7822</v>
      </c>
      <c r="E5104" t="s">
        <v>1341</v>
      </c>
    </row>
    <row r="5105" spans="2:5">
      <c r="B5105" t="s">
        <v>7823</v>
      </c>
      <c r="C5105">
        <v>542836</v>
      </c>
      <c r="D5105" t="s">
        <v>7824</v>
      </c>
      <c r="E5105" t="s">
        <v>38</v>
      </c>
    </row>
    <row r="5106" spans="2:5">
      <c r="B5106" t="s">
        <v>7825</v>
      </c>
      <c r="C5106">
        <v>542837</v>
      </c>
      <c r="D5106" t="s">
        <v>7826</v>
      </c>
      <c r="E5106" t="s">
        <v>38</v>
      </c>
    </row>
    <row r="5107" spans="2:5">
      <c r="B5107" t="s">
        <v>7827</v>
      </c>
      <c r="C5107">
        <v>542838</v>
      </c>
      <c r="D5107" t="s">
        <v>7828</v>
      </c>
      <c r="E5107" t="s">
        <v>38</v>
      </c>
    </row>
    <row r="5108" spans="2:5">
      <c r="B5108" t="s">
        <v>7829</v>
      </c>
      <c r="C5108">
        <v>542839</v>
      </c>
      <c r="D5108" t="s">
        <v>7830</v>
      </c>
      <c r="E5108" t="s">
        <v>38</v>
      </c>
    </row>
    <row r="5109" spans="2:5">
      <c r="B5109" t="s">
        <v>7831</v>
      </c>
      <c r="C5109">
        <v>542840</v>
      </c>
      <c r="D5109" t="s">
        <v>7832</v>
      </c>
      <c r="E5109" t="s">
        <v>38</v>
      </c>
    </row>
    <row r="5110" spans="2:5">
      <c r="B5110" t="s">
        <v>7833</v>
      </c>
      <c r="C5110">
        <v>542841</v>
      </c>
      <c r="D5110" t="s">
        <v>7834</v>
      </c>
      <c r="E5110" t="s">
        <v>38</v>
      </c>
    </row>
    <row r="5111" spans="2:5">
      <c r="B5111" t="s">
        <v>7835</v>
      </c>
      <c r="C5111">
        <v>542842</v>
      </c>
      <c r="D5111" t="s">
        <v>7836</v>
      </c>
      <c r="E5111" t="s">
        <v>38</v>
      </c>
    </row>
    <row r="5112" spans="2:5">
      <c r="B5112" t="s">
        <v>7837</v>
      </c>
      <c r="C5112">
        <v>542843</v>
      </c>
      <c r="D5112" t="s">
        <v>7838</v>
      </c>
      <c r="E5112" t="s">
        <v>38</v>
      </c>
    </row>
    <row r="5113" spans="2:5">
      <c r="B5113" t="s">
        <v>7839</v>
      </c>
      <c r="C5113">
        <v>542844</v>
      </c>
      <c r="D5113" t="s">
        <v>7840</v>
      </c>
      <c r="E5113" t="s">
        <v>38</v>
      </c>
    </row>
    <row r="5114" spans="2:5">
      <c r="B5114" t="s">
        <v>7841</v>
      </c>
      <c r="C5114">
        <v>542845</v>
      </c>
      <c r="D5114" t="s">
        <v>7842</v>
      </c>
      <c r="E5114" t="s">
        <v>38</v>
      </c>
    </row>
    <row r="5115" spans="2:5">
      <c r="B5115" t="s">
        <v>7843</v>
      </c>
      <c r="C5115">
        <v>542846</v>
      </c>
      <c r="D5115" t="s">
        <v>7844</v>
      </c>
      <c r="E5115" t="s">
        <v>38</v>
      </c>
    </row>
    <row r="5116" spans="2:5">
      <c r="B5116" t="s">
        <v>7845</v>
      </c>
      <c r="C5116">
        <v>542847</v>
      </c>
      <c r="D5116" t="s">
        <v>7846</v>
      </c>
      <c r="E5116" t="s">
        <v>38</v>
      </c>
    </row>
    <row r="5117" spans="2:5">
      <c r="B5117" t="s">
        <v>7847</v>
      </c>
      <c r="C5117">
        <v>542848</v>
      </c>
      <c r="D5117" t="s">
        <v>7848</v>
      </c>
      <c r="E5117" t="s">
        <v>38</v>
      </c>
    </row>
    <row r="5118" spans="2:5">
      <c r="B5118" t="s">
        <v>7849</v>
      </c>
      <c r="C5118">
        <v>542849</v>
      </c>
      <c r="D5118" t="s">
        <v>7850</v>
      </c>
      <c r="E5118" t="s">
        <v>38</v>
      </c>
    </row>
    <row r="5119" spans="2:5">
      <c r="B5119" t="s">
        <v>7851</v>
      </c>
      <c r="C5119">
        <v>542850</v>
      </c>
      <c r="D5119" t="s">
        <v>7852</v>
      </c>
      <c r="E5119" t="s">
        <v>453</v>
      </c>
    </row>
    <row r="5120" spans="2:5">
      <c r="B5120" t="s">
        <v>7853</v>
      </c>
      <c r="C5120">
        <v>542851</v>
      </c>
      <c r="D5120" t="s">
        <v>7854</v>
      </c>
      <c r="E5120" t="s">
        <v>423</v>
      </c>
    </row>
    <row r="5121" spans="2:5">
      <c r="B5121" t="s">
        <v>7855</v>
      </c>
      <c r="C5121">
        <v>542852</v>
      </c>
      <c r="D5121" t="s">
        <v>7856</v>
      </c>
      <c r="E5121" t="s">
        <v>1037</v>
      </c>
    </row>
    <row r="5122" spans="2:5">
      <c r="B5122" t="s">
        <v>7857</v>
      </c>
      <c r="C5122">
        <v>542857</v>
      </c>
      <c r="D5122" t="s">
        <v>7858</v>
      </c>
      <c r="E5122" t="s">
        <v>834</v>
      </c>
    </row>
    <row r="5123" spans="2:5">
      <c r="B5123" t="s">
        <v>7859</v>
      </c>
      <c r="C5123">
        <v>542862</v>
      </c>
      <c r="D5123" t="s">
        <v>7860</v>
      </c>
      <c r="E5123" t="s">
        <v>354</v>
      </c>
    </row>
    <row r="5124" spans="2:5">
      <c r="B5124" t="s">
        <v>7861</v>
      </c>
      <c r="C5124">
        <v>542863</v>
      </c>
      <c r="D5124" t="s">
        <v>7862</v>
      </c>
      <c r="E5124" t="s">
        <v>38</v>
      </c>
    </row>
    <row r="5125" spans="2:5">
      <c r="B5125" t="s">
        <v>7863</v>
      </c>
      <c r="C5125">
        <v>542864</v>
      </c>
      <c r="D5125" t="s">
        <v>7864</v>
      </c>
      <c r="E5125" t="s">
        <v>425</v>
      </c>
    </row>
    <row r="5126" spans="2:5">
      <c r="B5126" t="s">
        <v>7865</v>
      </c>
      <c r="C5126">
        <v>542865</v>
      </c>
      <c r="D5126" t="s">
        <v>7866</v>
      </c>
      <c r="E5126" t="s">
        <v>534</v>
      </c>
    </row>
    <row r="5127" spans="2:5">
      <c r="B5127" t="s">
        <v>7867</v>
      </c>
      <c r="C5127">
        <v>542866</v>
      </c>
      <c r="D5127" t="s">
        <v>7868</v>
      </c>
      <c r="E5127" t="s">
        <v>322</v>
      </c>
    </row>
    <row r="5128" spans="2:5">
      <c r="B5128" t="s">
        <v>7869</v>
      </c>
      <c r="C5128">
        <v>542867</v>
      </c>
      <c r="D5128" t="s">
        <v>7870</v>
      </c>
      <c r="E5128" t="s">
        <v>657</v>
      </c>
    </row>
    <row r="5129" spans="2:5">
      <c r="B5129" t="s">
        <v>7871</v>
      </c>
      <c r="C5129">
        <v>542904</v>
      </c>
      <c r="D5129" t="s">
        <v>7872</v>
      </c>
      <c r="E5129" t="s">
        <v>657</v>
      </c>
    </row>
    <row r="5130" spans="2:5">
      <c r="B5130" t="s">
        <v>7873</v>
      </c>
      <c r="C5130">
        <v>542905</v>
      </c>
      <c r="D5130" t="s">
        <v>7874</v>
      </c>
      <c r="E5130" t="s">
        <v>637</v>
      </c>
    </row>
    <row r="5131" spans="2:5">
      <c r="B5131" t="s">
        <v>7875</v>
      </c>
      <c r="C5131">
        <v>542906</v>
      </c>
      <c r="D5131" t="s">
        <v>7876</v>
      </c>
      <c r="E5131" t="s">
        <v>356</v>
      </c>
    </row>
    <row r="5132" spans="2:5">
      <c r="B5132" t="s">
        <v>7877</v>
      </c>
      <c r="C5132">
        <v>542907</v>
      </c>
      <c r="D5132" t="s">
        <v>7878</v>
      </c>
      <c r="E5132" t="s">
        <v>459</v>
      </c>
    </row>
    <row r="5133" spans="2:5">
      <c r="B5133" t="s">
        <v>7879</v>
      </c>
      <c r="C5133">
        <v>542910</v>
      </c>
      <c r="D5133" t="s">
        <v>7880</v>
      </c>
      <c r="E5133" t="s">
        <v>774</v>
      </c>
    </row>
    <row r="5134" spans="2:5">
      <c r="B5134" t="s">
        <v>7881</v>
      </c>
      <c r="C5134">
        <v>542911</v>
      </c>
      <c r="D5134" t="s">
        <v>7882</v>
      </c>
      <c r="E5134" t="s">
        <v>356</v>
      </c>
    </row>
    <row r="5135" spans="2:5">
      <c r="B5135" t="s">
        <v>7883</v>
      </c>
      <c r="C5135">
        <v>542918</v>
      </c>
      <c r="D5135" t="s">
        <v>7884</v>
      </c>
      <c r="E5135" t="s">
        <v>528</v>
      </c>
    </row>
    <row r="5136" spans="2:5">
      <c r="B5136" t="s">
        <v>7885</v>
      </c>
      <c r="C5136">
        <v>542919</v>
      </c>
      <c r="D5136" t="s">
        <v>7886</v>
      </c>
      <c r="E5136" t="s">
        <v>528</v>
      </c>
    </row>
    <row r="5137" spans="2:5">
      <c r="B5137" t="s">
        <v>7887</v>
      </c>
      <c r="C5137">
        <v>542920</v>
      </c>
      <c r="D5137" t="s">
        <v>7888</v>
      </c>
      <c r="E5137" t="s">
        <v>483</v>
      </c>
    </row>
    <row r="5138" spans="2:5">
      <c r="B5138" t="s">
        <v>7889</v>
      </c>
      <c r="C5138">
        <v>542921</v>
      </c>
      <c r="D5138" t="s">
        <v>7890</v>
      </c>
      <c r="E5138" t="s">
        <v>38</v>
      </c>
    </row>
    <row r="5139" spans="2:5">
      <c r="B5139" t="s">
        <v>7891</v>
      </c>
      <c r="C5139">
        <v>542922</v>
      </c>
      <c r="D5139" t="s">
        <v>7892</v>
      </c>
      <c r="E5139" t="s">
        <v>38</v>
      </c>
    </row>
    <row r="5140" spans="2:5">
      <c r="B5140" t="s">
        <v>7893</v>
      </c>
      <c r="C5140">
        <v>542923</v>
      </c>
      <c r="D5140" t="s">
        <v>7894</v>
      </c>
      <c r="E5140" t="s">
        <v>325</v>
      </c>
    </row>
    <row r="5141" spans="2:5">
      <c r="B5141" t="s">
        <v>7895</v>
      </c>
      <c r="C5141">
        <v>542924</v>
      </c>
      <c r="D5141" t="s">
        <v>7896</v>
      </c>
      <c r="E5141" t="s">
        <v>328</v>
      </c>
    </row>
    <row r="5142" spans="2:5">
      <c r="B5142" t="s">
        <v>7897</v>
      </c>
      <c r="C5142">
        <v>542931</v>
      </c>
      <c r="D5142" t="s">
        <v>7898</v>
      </c>
      <c r="E5142" t="s">
        <v>356</v>
      </c>
    </row>
    <row r="5143" spans="2:5">
      <c r="B5143" t="s">
        <v>7899</v>
      </c>
      <c r="C5143">
        <v>542932</v>
      </c>
      <c r="D5143" t="s">
        <v>7900</v>
      </c>
      <c r="E5143" t="s">
        <v>819</v>
      </c>
    </row>
    <row r="5144" spans="2:5">
      <c r="B5144" t="s">
        <v>7901</v>
      </c>
      <c r="C5144">
        <v>542933</v>
      </c>
      <c r="D5144" t="s">
        <v>7902</v>
      </c>
      <c r="E5144" t="s">
        <v>1577</v>
      </c>
    </row>
    <row r="5145" spans="2:5">
      <c r="B5145" t="s">
        <v>7903</v>
      </c>
      <c r="C5145">
        <v>542934</v>
      </c>
      <c r="D5145" t="s">
        <v>7904</v>
      </c>
      <c r="E5145" t="s">
        <v>377</v>
      </c>
    </row>
    <row r="5146" spans="2:5">
      <c r="B5146" t="s">
        <v>7905</v>
      </c>
      <c r="C5146">
        <v>542935</v>
      </c>
      <c r="D5146" t="s">
        <v>7906</v>
      </c>
      <c r="E5146" t="s">
        <v>399</v>
      </c>
    </row>
    <row r="5147" spans="2:5">
      <c r="B5147" t="s">
        <v>7907</v>
      </c>
      <c r="C5147">
        <v>542938</v>
      </c>
      <c r="D5147" t="s">
        <v>7908</v>
      </c>
      <c r="E5147" t="s">
        <v>746</v>
      </c>
    </row>
    <row r="5148" spans="2:5">
      <c r="B5148" t="s">
        <v>7909</v>
      </c>
      <c r="C5148">
        <v>543064</v>
      </c>
      <c r="D5148" t="s">
        <v>7910</v>
      </c>
      <c r="E5148" t="s">
        <v>377</v>
      </c>
    </row>
    <row r="5149" spans="2:5">
      <c r="B5149" t="s">
        <v>7911</v>
      </c>
      <c r="C5149">
        <v>543065</v>
      </c>
      <c r="D5149" t="s">
        <v>7912</v>
      </c>
      <c r="E5149" t="s">
        <v>524</v>
      </c>
    </row>
    <row r="5150" spans="2:5">
      <c r="B5150" t="s">
        <v>7913</v>
      </c>
      <c r="C5150">
        <v>543066</v>
      </c>
      <c r="D5150" t="s">
        <v>7914</v>
      </c>
      <c r="E5150" t="s">
        <v>356</v>
      </c>
    </row>
    <row r="5151" spans="2:5">
      <c r="B5151" t="s">
        <v>7915</v>
      </c>
      <c r="C5151">
        <v>543144</v>
      </c>
      <c r="D5151" t="s">
        <v>7916</v>
      </c>
      <c r="E5151" t="s">
        <v>38</v>
      </c>
    </row>
    <row r="5152" spans="2:5">
      <c r="B5152" t="s">
        <v>7917</v>
      </c>
      <c r="C5152">
        <v>543145</v>
      </c>
      <c r="D5152" t="s">
        <v>7918</v>
      </c>
      <c r="E5152" t="s">
        <v>38</v>
      </c>
    </row>
    <row r="5153" spans="2:5">
      <c r="B5153" t="s">
        <v>7915</v>
      </c>
      <c r="C5153">
        <v>543146</v>
      </c>
      <c r="D5153" t="s">
        <v>7919</v>
      </c>
      <c r="E5153" t="s">
        <v>38</v>
      </c>
    </row>
    <row r="5154" spans="2:5">
      <c r="B5154" t="s">
        <v>7920</v>
      </c>
      <c r="C5154">
        <v>543147</v>
      </c>
      <c r="D5154" t="s">
        <v>7921</v>
      </c>
      <c r="E5154" t="s">
        <v>38</v>
      </c>
    </row>
    <row r="5155" spans="2:5">
      <c r="B5155" t="s">
        <v>7920</v>
      </c>
      <c r="C5155">
        <v>543148</v>
      </c>
      <c r="D5155" t="s">
        <v>7922</v>
      </c>
      <c r="E5155" t="s">
        <v>38</v>
      </c>
    </row>
    <row r="5156" spans="2:5">
      <c r="B5156" t="s">
        <v>7923</v>
      </c>
      <c r="C5156">
        <v>543149</v>
      </c>
      <c r="D5156" t="s">
        <v>7924</v>
      </c>
      <c r="E5156" t="s">
        <v>38</v>
      </c>
    </row>
    <row r="5157" spans="2:5">
      <c r="B5157" t="s">
        <v>7925</v>
      </c>
      <c r="C5157">
        <v>543150</v>
      </c>
      <c r="D5157" t="s">
        <v>7926</v>
      </c>
      <c r="E5157" t="s">
        <v>38</v>
      </c>
    </row>
    <row r="5158" spans="2:5">
      <c r="B5158" t="s">
        <v>7927</v>
      </c>
      <c r="C5158">
        <v>543151</v>
      </c>
      <c r="D5158" t="s">
        <v>7928</v>
      </c>
      <c r="E5158" t="s">
        <v>38</v>
      </c>
    </row>
    <row r="5159" spans="2:5">
      <c r="B5159" t="s">
        <v>7929</v>
      </c>
      <c r="C5159">
        <v>543152</v>
      </c>
      <c r="D5159" t="s">
        <v>7930</v>
      </c>
      <c r="E5159" t="s">
        <v>38</v>
      </c>
    </row>
    <row r="5160" spans="2:5">
      <c r="B5160" t="s">
        <v>7931</v>
      </c>
      <c r="C5160">
        <v>543153</v>
      </c>
      <c r="D5160" t="s">
        <v>7932</v>
      </c>
      <c r="E5160" t="s">
        <v>38</v>
      </c>
    </row>
    <row r="5161" spans="2:5">
      <c r="B5161" t="s">
        <v>7929</v>
      </c>
      <c r="C5161">
        <v>543154</v>
      </c>
      <c r="D5161" t="s">
        <v>7933</v>
      </c>
      <c r="E5161" t="s">
        <v>38</v>
      </c>
    </row>
    <row r="5162" spans="2:5">
      <c r="B5162" t="s">
        <v>7934</v>
      </c>
      <c r="C5162">
        <v>543155</v>
      </c>
      <c r="D5162" t="s">
        <v>7935</v>
      </c>
      <c r="E5162" t="s">
        <v>38</v>
      </c>
    </row>
    <row r="5163" spans="2:5">
      <c r="B5163" t="s">
        <v>7936</v>
      </c>
      <c r="C5163">
        <v>543156</v>
      </c>
      <c r="D5163" t="s">
        <v>7937</v>
      </c>
      <c r="E5163" t="s">
        <v>38</v>
      </c>
    </row>
    <row r="5164" spans="2:5">
      <c r="B5164" t="s">
        <v>7934</v>
      </c>
      <c r="C5164">
        <v>543168</v>
      </c>
      <c r="D5164" t="s">
        <v>7938</v>
      </c>
      <c r="E5164" t="s">
        <v>38</v>
      </c>
    </row>
    <row r="5165" spans="2:5">
      <c r="B5165" t="s">
        <v>7936</v>
      </c>
      <c r="C5165">
        <v>543169</v>
      </c>
      <c r="D5165" t="s">
        <v>7939</v>
      </c>
      <c r="E5165" t="s">
        <v>38</v>
      </c>
    </row>
    <row r="5166" spans="2:5">
      <c r="B5166" t="s">
        <v>7917</v>
      </c>
      <c r="C5166">
        <v>543170</v>
      </c>
      <c r="D5166" t="s">
        <v>7940</v>
      </c>
      <c r="E5166" t="s">
        <v>38</v>
      </c>
    </row>
    <row r="5167" spans="2:5">
      <c r="B5167" t="s">
        <v>7941</v>
      </c>
      <c r="C5167">
        <v>543171</v>
      </c>
      <c r="D5167" t="s">
        <v>7942</v>
      </c>
      <c r="E5167" t="s">
        <v>453</v>
      </c>
    </row>
    <row r="5168" spans="2:5">
      <c r="B5168" t="s">
        <v>7943</v>
      </c>
      <c r="C5168">
        <v>543172</v>
      </c>
      <c r="D5168" t="s">
        <v>7944</v>
      </c>
      <c r="E5168" t="s">
        <v>347</v>
      </c>
    </row>
    <row r="5169" spans="2:5">
      <c r="B5169" t="s">
        <v>7945</v>
      </c>
      <c r="C5169">
        <v>543173</v>
      </c>
      <c r="D5169" t="s">
        <v>7946</v>
      </c>
      <c r="E5169" t="s">
        <v>38</v>
      </c>
    </row>
    <row r="5170" spans="2:5">
      <c r="B5170" t="s">
        <v>7947</v>
      </c>
      <c r="C5170">
        <v>543174</v>
      </c>
      <c r="D5170" t="s">
        <v>7948</v>
      </c>
      <c r="E5170" t="s">
        <v>38</v>
      </c>
    </row>
    <row r="5171" spans="2:5">
      <c r="B5171" t="s">
        <v>7949</v>
      </c>
      <c r="C5171">
        <v>543175</v>
      </c>
      <c r="D5171" t="s">
        <v>7950</v>
      </c>
      <c r="E5171" t="s">
        <v>38</v>
      </c>
    </row>
    <row r="5172" spans="2:5">
      <c r="B5172" t="s">
        <v>7951</v>
      </c>
      <c r="C5172">
        <v>543176</v>
      </c>
      <c r="D5172" t="s">
        <v>7952</v>
      </c>
      <c r="E5172" t="s">
        <v>38</v>
      </c>
    </row>
    <row r="5173" spans="2:5">
      <c r="B5173" t="s">
        <v>7953</v>
      </c>
      <c r="C5173">
        <v>543177</v>
      </c>
      <c r="D5173" t="s">
        <v>7954</v>
      </c>
      <c r="E5173" t="s">
        <v>38</v>
      </c>
    </row>
    <row r="5174" spans="2:5">
      <c r="B5174" t="s">
        <v>7955</v>
      </c>
      <c r="C5174">
        <v>543178</v>
      </c>
      <c r="D5174" t="s">
        <v>7956</v>
      </c>
      <c r="E5174" t="s">
        <v>38</v>
      </c>
    </row>
    <row r="5175" spans="2:5">
      <c r="B5175" t="s">
        <v>7957</v>
      </c>
      <c r="C5175">
        <v>543179</v>
      </c>
      <c r="D5175" t="s">
        <v>7958</v>
      </c>
      <c r="E5175" t="s">
        <v>38</v>
      </c>
    </row>
    <row r="5176" spans="2:5">
      <c r="B5176" t="s">
        <v>7959</v>
      </c>
      <c r="C5176">
        <v>543180</v>
      </c>
      <c r="D5176" t="s">
        <v>7960</v>
      </c>
      <c r="E5176" t="s">
        <v>38</v>
      </c>
    </row>
    <row r="5177" spans="2:5">
      <c r="B5177" t="s">
        <v>7961</v>
      </c>
      <c r="C5177">
        <v>543181</v>
      </c>
      <c r="D5177" t="s">
        <v>7962</v>
      </c>
      <c r="E5177" t="s">
        <v>38</v>
      </c>
    </row>
    <row r="5178" spans="2:5">
      <c r="B5178" t="s">
        <v>7963</v>
      </c>
      <c r="C5178">
        <v>543182</v>
      </c>
      <c r="D5178" t="s">
        <v>7964</v>
      </c>
      <c r="E5178" t="s">
        <v>38</v>
      </c>
    </row>
    <row r="5179" spans="2:5">
      <c r="B5179" t="s">
        <v>7965</v>
      </c>
      <c r="C5179">
        <v>543183</v>
      </c>
      <c r="D5179" t="s">
        <v>7966</v>
      </c>
      <c r="E5179" t="s">
        <v>38</v>
      </c>
    </row>
    <row r="5180" spans="2:5">
      <c r="B5180" t="s">
        <v>7967</v>
      </c>
      <c r="C5180">
        <v>543184</v>
      </c>
      <c r="D5180" t="s">
        <v>7968</v>
      </c>
      <c r="E5180" t="s">
        <v>38</v>
      </c>
    </row>
    <row r="5181" spans="2:5">
      <c r="B5181" t="s">
        <v>7969</v>
      </c>
      <c r="C5181">
        <v>543185</v>
      </c>
      <c r="D5181" t="s">
        <v>7970</v>
      </c>
      <c r="E5181" t="s">
        <v>38</v>
      </c>
    </row>
    <row r="5182" spans="2:5">
      <c r="B5182" t="s">
        <v>7971</v>
      </c>
      <c r="C5182">
        <v>543186</v>
      </c>
      <c r="D5182" t="s">
        <v>7972</v>
      </c>
      <c r="E5182" t="s">
        <v>38</v>
      </c>
    </row>
    <row r="5183" spans="2:5">
      <c r="B5183" t="s">
        <v>7973</v>
      </c>
      <c r="C5183">
        <v>543187</v>
      </c>
      <c r="D5183" t="s">
        <v>7974</v>
      </c>
      <c r="E5183" t="s">
        <v>382</v>
      </c>
    </row>
    <row r="5184" spans="2:5">
      <c r="B5184" t="s">
        <v>7975</v>
      </c>
      <c r="C5184">
        <v>543193</v>
      </c>
      <c r="D5184" t="s">
        <v>7976</v>
      </c>
      <c r="E5184" t="s">
        <v>660</v>
      </c>
    </row>
    <row r="5185" spans="2:5">
      <c r="B5185" t="s">
        <v>7977</v>
      </c>
      <c r="C5185">
        <v>543194</v>
      </c>
      <c r="D5185" t="s">
        <v>7978</v>
      </c>
      <c r="E5185" t="s">
        <v>7294</v>
      </c>
    </row>
    <row r="5186" spans="2:5">
      <c r="B5186" t="s">
        <v>7979</v>
      </c>
      <c r="C5186">
        <v>543207</v>
      </c>
      <c r="D5186" t="s">
        <v>7980</v>
      </c>
      <c r="E5186" t="s">
        <v>483</v>
      </c>
    </row>
    <row r="5187" spans="2:5">
      <c r="B5187" t="s">
        <v>7981</v>
      </c>
      <c r="C5187">
        <v>543208</v>
      </c>
      <c r="D5187" t="s">
        <v>7982</v>
      </c>
      <c r="E5187" t="s">
        <v>356</v>
      </c>
    </row>
    <row r="5188" spans="2:5">
      <c r="B5188" t="s">
        <v>7983</v>
      </c>
      <c r="C5188">
        <v>543209</v>
      </c>
      <c r="D5188" t="s">
        <v>7984</v>
      </c>
      <c r="E5188" t="s">
        <v>328</v>
      </c>
    </row>
    <row r="5189" spans="2:5">
      <c r="B5189" t="s">
        <v>7985</v>
      </c>
      <c r="C5189">
        <v>543210</v>
      </c>
      <c r="D5189" t="s">
        <v>7986</v>
      </c>
      <c r="E5189" t="s">
        <v>499</v>
      </c>
    </row>
    <row r="5190" spans="2:5">
      <c r="B5190" t="s">
        <v>7987</v>
      </c>
      <c r="C5190">
        <v>543211</v>
      </c>
      <c r="D5190" t="s">
        <v>7988</v>
      </c>
      <c r="E5190" t="s">
        <v>1258</v>
      </c>
    </row>
    <row r="5191" spans="2:5">
      <c r="B5191" t="s">
        <v>7989</v>
      </c>
      <c r="C5191">
        <v>543212</v>
      </c>
      <c r="D5191" t="s">
        <v>7990</v>
      </c>
      <c r="E5191" t="s">
        <v>1384</v>
      </c>
    </row>
    <row r="5192" spans="2:5">
      <c r="B5192" t="s">
        <v>7991</v>
      </c>
      <c r="C5192">
        <v>543213</v>
      </c>
      <c r="D5192" t="s">
        <v>7992</v>
      </c>
      <c r="E5192" t="s">
        <v>499</v>
      </c>
    </row>
    <row r="5193" spans="2:5">
      <c r="B5193" t="s">
        <v>7993</v>
      </c>
      <c r="C5193">
        <v>543214</v>
      </c>
      <c r="D5193" t="s">
        <v>7994</v>
      </c>
      <c r="E5193" t="s">
        <v>694</v>
      </c>
    </row>
    <row r="5194" spans="2:5">
      <c r="B5194" t="s">
        <v>7995</v>
      </c>
      <c r="C5194">
        <v>543217</v>
      </c>
      <c r="D5194" t="s">
        <v>7996</v>
      </c>
      <c r="E5194" t="s">
        <v>38</v>
      </c>
    </row>
    <row r="5195" spans="2:5">
      <c r="B5195" t="s">
        <v>7997</v>
      </c>
      <c r="C5195">
        <v>543218</v>
      </c>
      <c r="D5195" t="s">
        <v>7998</v>
      </c>
      <c r="E5195" t="s">
        <v>425</v>
      </c>
    </row>
    <row r="5196" spans="2:5">
      <c r="B5196" t="s">
        <v>7999</v>
      </c>
      <c r="C5196">
        <v>543219</v>
      </c>
      <c r="D5196" t="s">
        <v>8000</v>
      </c>
      <c r="E5196" t="s">
        <v>38</v>
      </c>
    </row>
    <row r="5197" spans="2:5">
      <c r="B5197" t="s">
        <v>8001</v>
      </c>
      <c r="C5197">
        <v>543220</v>
      </c>
      <c r="D5197" t="s">
        <v>8002</v>
      </c>
      <c r="E5197" t="s">
        <v>809</v>
      </c>
    </row>
    <row r="5198" spans="2:5">
      <c r="B5198" t="s">
        <v>8003</v>
      </c>
      <c r="C5198">
        <v>543221</v>
      </c>
      <c r="D5198" t="s">
        <v>8004</v>
      </c>
      <c r="E5198" t="s">
        <v>38</v>
      </c>
    </row>
    <row r="5199" spans="2:5">
      <c r="B5199" t="s">
        <v>8005</v>
      </c>
      <c r="C5199">
        <v>543222</v>
      </c>
      <c r="D5199" t="s">
        <v>8006</v>
      </c>
      <c r="E5199" t="s">
        <v>462</v>
      </c>
    </row>
    <row r="5200" spans="2:5">
      <c r="B5200" t="s">
        <v>8007</v>
      </c>
      <c r="C5200">
        <v>543223</v>
      </c>
      <c r="D5200" t="s">
        <v>4059</v>
      </c>
      <c r="E5200" t="s">
        <v>505</v>
      </c>
    </row>
    <row r="5201" spans="2:5">
      <c r="B5201" t="s">
        <v>8008</v>
      </c>
      <c r="C5201">
        <v>543224</v>
      </c>
      <c r="D5201" t="s">
        <v>8009</v>
      </c>
      <c r="E5201" t="s">
        <v>38</v>
      </c>
    </row>
    <row r="5202" spans="2:5">
      <c r="B5202" t="s">
        <v>8010</v>
      </c>
      <c r="C5202">
        <v>543225</v>
      </c>
      <c r="D5202" t="s">
        <v>8011</v>
      </c>
      <c r="E5202" t="s">
        <v>38</v>
      </c>
    </row>
    <row r="5203" spans="2:5">
      <c r="B5203" t="s">
        <v>8012</v>
      </c>
      <c r="C5203">
        <v>543226</v>
      </c>
      <c r="D5203" t="s">
        <v>8013</v>
      </c>
      <c r="E5203" t="s">
        <v>38</v>
      </c>
    </row>
    <row r="5204" spans="2:5">
      <c r="B5204" t="s">
        <v>8014</v>
      </c>
      <c r="C5204">
        <v>543227</v>
      </c>
      <c r="D5204" t="s">
        <v>8015</v>
      </c>
      <c r="E5204" t="s">
        <v>325</v>
      </c>
    </row>
    <row r="5205" spans="2:5">
      <c r="B5205" t="s">
        <v>8016</v>
      </c>
      <c r="C5205">
        <v>543228</v>
      </c>
      <c r="D5205" t="s">
        <v>8017</v>
      </c>
      <c r="E5205" t="s">
        <v>345</v>
      </c>
    </row>
    <row r="5206" spans="2:5">
      <c r="B5206" t="s">
        <v>8018</v>
      </c>
      <c r="C5206">
        <v>543230</v>
      </c>
      <c r="D5206" t="s">
        <v>8019</v>
      </c>
      <c r="E5206" t="s">
        <v>637</v>
      </c>
    </row>
    <row r="5207" spans="2:5">
      <c r="B5207" t="s">
        <v>8020</v>
      </c>
      <c r="C5207">
        <v>543231</v>
      </c>
      <c r="D5207" t="s">
        <v>8021</v>
      </c>
      <c r="E5207" t="s">
        <v>834</v>
      </c>
    </row>
    <row r="5208" spans="2:5">
      <c r="B5208" t="s">
        <v>8022</v>
      </c>
      <c r="C5208">
        <v>543232</v>
      </c>
      <c r="D5208" t="s">
        <v>8023</v>
      </c>
      <c r="E5208" t="s">
        <v>322</v>
      </c>
    </row>
    <row r="5209" spans="2:5">
      <c r="B5209" t="s">
        <v>8024</v>
      </c>
      <c r="C5209">
        <v>543233</v>
      </c>
      <c r="D5209" t="s">
        <v>8025</v>
      </c>
      <c r="E5209" t="s">
        <v>499</v>
      </c>
    </row>
    <row r="5210" spans="2:5">
      <c r="B5210" t="s">
        <v>8026</v>
      </c>
      <c r="C5210">
        <v>543234</v>
      </c>
      <c r="D5210" t="s">
        <v>8027</v>
      </c>
      <c r="E5210" t="s">
        <v>325</v>
      </c>
    </row>
    <row r="5211" spans="2:5">
      <c r="B5211" t="s">
        <v>8028</v>
      </c>
      <c r="C5211">
        <v>543235</v>
      </c>
      <c r="D5211" t="s">
        <v>8029</v>
      </c>
      <c r="E5211" t="s">
        <v>322</v>
      </c>
    </row>
    <row r="5212" spans="2:5">
      <c r="B5212" t="s">
        <v>8030</v>
      </c>
      <c r="C5212">
        <v>543236</v>
      </c>
      <c r="D5212" t="s">
        <v>8031</v>
      </c>
      <c r="E5212" t="s">
        <v>347</v>
      </c>
    </row>
    <row r="5213" spans="2:5">
      <c r="B5213" t="s">
        <v>8032</v>
      </c>
      <c r="C5213">
        <v>543237</v>
      </c>
      <c r="D5213" t="s">
        <v>8033</v>
      </c>
      <c r="E5213" t="s">
        <v>812</v>
      </c>
    </row>
    <row r="5214" spans="2:5">
      <c r="B5214" t="s">
        <v>8034</v>
      </c>
      <c r="C5214">
        <v>543238</v>
      </c>
      <c r="D5214" t="s">
        <v>8035</v>
      </c>
      <c r="E5214" t="s">
        <v>2744</v>
      </c>
    </row>
    <row r="5215" spans="2:5">
      <c r="B5215" t="s">
        <v>8036</v>
      </c>
      <c r="C5215">
        <v>543239</v>
      </c>
      <c r="D5215" t="s">
        <v>8037</v>
      </c>
      <c r="E5215" t="s">
        <v>459</v>
      </c>
    </row>
    <row r="5216" spans="2:5">
      <c r="B5216" t="s">
        <v>8038</v>
      </c>
      <c r="C5216">
        <v>543240</v>
      </c>
      <c r="D5216" t="s">
        <v>8039</v>
      </c>
      <c r="E5216" t="s">
        <v>737</v>
      </c>
    </row>
    <row r="5217" spans="2:5">
      <c r="B5217" t="s">
        <v>8040</v>
      </c>
      <c r="C5217">
        <v>543241</v>
      </c>
      <c r="D5217" t="s">
        <v>8041</v>
      </c>
      <c r="E5217" t="s">
        <v>425</v>
      </c>
    </row>
    <row r="5218" spans="2:5">
      <c r="B5218" t="s">
        <v>8042</v>
      </c>
      <c r="C5218">
        <v>543242</v>
      </c>
      <c r="D5218" t="s">
        <v>8043</v>
      </c>
      <c r="E5218" t="s">
        <v>425</v>
      </c>
    </row>
    <row r="5219" spans="2:5">
      <c r="B5219" t="s">
        <v>8044</v>
      </c>
      <c r="C5219">
        <v>543243</v>
      </c>
      <c r="D5219" t="s">
        <v>8045</v>
      </c>
      <c r="E5219" t="s">
        <v>657</v>
      </c>
    </row>
    <row r="5220" spans="2:5">
      <c r="B5220" t="s">
        <v>8046</v>
      </c>
      <c r="C5220">
        <v>543244</v>
      </c>
      <c r="D5220" t="s">
        <v>8047</v>
      </c>
      <c r="E5220" t="s">
        <v>354</v>
      </c>
    </row>
    <row r="5221" spans="2:5">
      <c r="B5221" t="s">
        <v>8048</v>
      </c>
      <c r="C5221">
        <v>500270</v>
      </c>
      <c r="D5221" t="s">
        <v>8049</v>
      </c>
      <c r="E5221" t="s">
        <v>8050</v>
      </c>
    </row>
    <row r="5222" spans="2:5">
      <c r="B5222" t="s">
        <v>8051</v>
      </c>
      <c r="C5222">
        <v>503685</v>
      </c>
      <c r="D5222" t="s">
        <v>8052</v>
      </c>
      <c r="E5222" t="s">
        <v>8053</v>
      </c>
    </row>
    <row r="5223" spans="2:5">
      <c r="B5223" t="s">
        <v>8054</v>
      </c>
      <c r="C5223">
        <v>505100</v>
      </c>
      <c r="D5223" t="s">
        <v>8055</v>
      </c>
      <c r="E5223" t="s">
        <v>8056</v>
      </c>
    </row>
    <row r="5224" spans="2:5">
      <c r="B5224" t="s">
        <v>8057</v>
      </c>
      <c r="C5224">
        <v>506580</v>
      </c>
      <c r="D5224" t="s">
        <v>8058</v>
      </c>
      <c r="E5224" t="s">
        <v>8059</v>
      </c>
    </row>
    <row r="5225" spans="2:5">
      <c r="B5225" t="s">
        <v>8060</v>
      </c>
      <c r="C5225">
        <v>509069</v>
      </c>
      <c r="D5225" t="s">
        <v>8061</v>
      </c>
      <c r="E5225" t="s">
        <v>8062</v>
      </c>
    </row>
    <row r="5226" spans="2:5">
      <c r="B5226" t="s">
        <v>8063</v>
      </c>
      <c r="C5226">
        <v>509960</v>
      </c>
      <c r="D5226" t="s">
        <v>8064</v>
      </c>
      <c r="E5226" t="s">
        <v>8065</v>
      </c>
    </row>
    <row r="5227" spans="2:5">
      <c r="B5227" t="s">
        <v>8066</v>
      </c>
      <c r="C5227">
        <v>511016</v>
      </c>
      <c r="D5227" t="s">
        <v>8067</v>
      </c>
      <c r="E5227" t="s">
        <v>8068</v>
      </c>
    </row>
    <row r="5228" spans="2:5">
      <c r="B5228" t="s">
        <v>8069</v>
      </c>
      <c r="C5228">
        <v>511194</v>
      </c>
      <c r="D5228" t="s">
        <v>8070</v>
      </c>
      <c r="E5228" t="s">
        <v>7294</v>
      </c>
    </row>
    <row r="5229" spans="2:5">
      <c r="B5229" t="s">
        <v>8071</v>
      </c>
      <c r="C5229">
        <v>512097</v>
      </c>
      <c r="D5229" t="s">
        <v>8072</v>
      </c>
      <c r="E5229" t="s">
        <v>8073</v>
      </c>
    </row>
    <row r="5230" spans="2:5">
      <c r="B5230" t="s">
        <v>8074</v>
      </c>
      <c r="C5230">
        <v>512115</v>
      </c>
      <c r="D5230" t="s">
        <v>8075</v>
      </c>
      <c r="E5230" t="s">
        <v>8073</v>
      </c>
    </row>
    <row r="5231" spans="2:5">
      <c r="B5231" t="s">
        <v>8076</v>
      </c>
      <c r="C5231">
        <v>514260</v>
      </c>
      <c r="D5231" t="s">
        <v>8077</v>
      </c>
      <c r="E5231" t="s">
        <v>8050</v>
      </c>
    </row>
    <row r="5232" spans="2:5">
      <c r="B5232" t="s">
        <v>8078</v>
      </c>
      <c r="C5232">
        <v>523309</v>
      </c>
      <c r="D5232" t="s">
        <v>8079</v>
      </c>
      <c r="E5232" t="s">
        <v>8080</v>
      </c>
    </row>
    <row r="5233" spans="2:5">
      <c r="B5233" t="s">
        <v>8081</v>
      </c>
      <c r="C5233">
        <v>523868</v>
      </c>
      <c r="D5233" t="s">
        <v>8082</v>
      </c>
      <c r="E5233" t="s">
        <v>347</v>
      </c>
    </row>
    <row r="5234" spans="2:5">
      <c r="B5234" t="s">
        <v>8083</v>
      </c>
      <c r="C5234">
        <v>524046</v>
      </c>
      <c r="D5234" t="s">
        <v>8084</v>
      </c>
      <c r="E5234" t="s">
        <v>8085</v>
      </c>
    </row>
    <row r="5235" spans="2:5">
      <c r="B5235" t="s">
        <v>8086</v>
      </c>
      <c r="C5235">
        <v>526345</v>
      </c>
      <c r="D5235" t="s">
        <v>8087</v>
      </c>
      <c r="E5235" t="s">
        <v>399</v>
      </c>
    </row>
    <row r="5236" spans="2:5">
      <c r="B5236" t="s">
        <v>8088</v>
      </c>
      <c r="C5236">
        <v>526468</v>
      </c>
      <c r="D5236" t="s">
        <v>8089</v>
      </c>
      <c r="E5236" t="s">
        <v>8090</v>
      </c>
    </row>
    <row r="5237" spans="2:5">
      <c r="B5237" t="s">
        <v>8091</v>
      </c>
      <c r="C5237">
        <v>526677</v>
      </c>
      <c r="D5237" t="s">
        <v>8092</v>
      </c>
      <c r="E5237" t="s">
        <v>444</v>
      </c>
    </row>
    <row r="5238" spans="2:5">
      <c r="B5238" t="s">
        <v>8093</v>
      </c>
      <c r="C5238">
        <v>526877</v>
      </c>
      <c r="D5238" t="s">
        <v>8094</v>
      </c>
      <c r="E5238" t="s">
        <v>8073</v>
      </c>
    </row>
    <row r="5239" spans="2:5">
      <c r="B5239" t="s">
        <v>8095</v>
      </c>
      <c r="C5239">
        <v>530027</v>
      </c>
      <c r="D5239" t="s">
        <v>8096</v>
      </c>
      <c r="E5239" t="s">
        <v>553</v>
      </c>
    </row>
    <row r="5240" spans="2:5">
      <c r="B5240" t="s">
        <v>8097</v>
      </c>
      <c r="C5240">
        <v>531240</v>
      </c>
      <c r="D5240" t="s">
        <v>8098</v>
      </c>
      <c r="E5240" t="s">
        <v>8073</v>
      </c>
    </row>
    <row r="5241" spans="2:5">
      <c r="B5241" t="s">
        <v>8099</v>
      </c>
      <c r="C5241">
        <v>531399</v>
      </c>
      <c r="D5241" t="s">
        <v>8100</v>
      </c>
      <c r="E5241" t="s">
        <v>8056</v>
      </c>
    </row>
    <row r="5242" spans="2:5">
      <c r="B5242" t="s">
        <v>8101</v>
      </c>
      <c r="C5242">
        <v>531812</v>
      </c>
      <c r="D5242" t="s">
        <v>8102</v>
      </c>
      <c r="E5242" t="s">
        <v>8068</v>
      </c>
    </row>
    <row r="5243" spans="2:5">
      <c r="B5243" t="s">
        <v>8103</v>
      </c>
      <c r="C5243">
        <v>532019</v>
      </c>
      <c r="D5243" t="s">
        <v>8104</v>
      </c>
      <c r="E5243" t="s">
        <v>8105</v>
      </c>
    </row>
    <row r="5244" spans="2:5">
      <c r="B5244" t="s">
        <v>8106</v>
      </c>
      <c r="C5244">
        <v>532335</v>
      </c>
      <c r="D5244" t="s">
        <v>8107</v>
      </c>
      <c r="E5244" t="s">
        <v>2157</v>
      </c>
    </row>
    <row r="5245" spans="2:5">
      <c r="B5245" t="s">
        <v>8108</v>
      </c>
      <c r="C5245">
        <v>537709</v>
      </c>
      <c r="D5245" t="s">
        <v>8109</v>
      </c>
      <c r="E5245" t="s">
        <v>1037</v>
      </c>
    </row>
    <row r="5246" spans="2:5">
      <c r="B5246" t="s">
        <v>8110</v>
      </c>
      <c r="C5246">
        <v>543229</v>
      </c>
      <c r="D5246" t="s">
        <v>8111</v>
      </c>
      <c r="E5246" t="s">
        <v>8112</v>
      </c>
    </row>
    <row r="5247" spans="2:5">
      <c r="B5247" t="s">
        <v>8113</v>
      </c>
      <c r="C5247">
        <v>543245</v>
      </c>
      <c r="D5247" t="s">
        <v>8114</v>
      </c>
      <c r="E5247" t="s">
        <v>377</v>
      </c>
    </row>
    <row r="5248" spans="2:5">
      <c r="B5248" t="s">
        <v>8115</v>
      </c>
      <c r="C5248">
        <v>543246</v>
      </c>
      <c r="D5248" t="s">
        <v>8116</v>
      </c>
      <c r="E5248" t="s">
        <v>38</v>
      </c>
    </row>
    <row r="5249" spans="2:5">
      <c r="B5249" t="s">
        <v>8117</v>
      </c>
      <c r="C5249">
        <v>543247</v>
      </c>
      <c r="D5249" t="s">
        <v>8118</v>
      </c>
      <c r="E5249" t="s">
        <v>8053</v>
      </c>
    </row>
    <row r="5250" spans="2:5">
      <c r="B5250" t="s">
        <v>8119</v>
      </c>
      <c r="C5250">
        <v>543248</v>
      </c>
      <c r="D5250" t="s">
        <v>8120</v>
      </c>
      <c r="E5250" t="s">
        <v>828</v>
      </c>
    </row>
    <row r="5251" spans="2:5">
      <c r="B5251" t="s">
        <v>8121</v>
      </c>
      <c r="C5251">
        <v>543249</v>
      </c>
      <c r="D5251" t="s">
        <v>8122</v>
      </c>
      <c r="E5251" t="s">
        <v>8123</v>
      </c>
    </row>
    <row r="5252" spans="2:5">
      <c r="B5252" t="s">
        <v>8124</v>
      </c>
      <c r="C5252">
        <v>543251</v>
      </c>
      <c r="D5252" t="s">
        <v>8125</v>
      </c>
      <c r="E5252" t="s">
        <v>8123</v>
      </c>
    </row>
    <row r="5253" spans="2:5">
      <c r="B5253" t="s">
        <v>8126</v>
      </c>
      <c r="C5253">
        <v>543252</v>
      </c>
      <c r="D5253" t="s">
        <v>8127</v>
      </c>
      <c r="E5253" t="s">
        <v>499</v>
      </c>
    </row>
    <row r="5254" spans="2:5">
      <c r="B5254" t="s">
        <v>8128</v>
      </c>
      <c r="C5254">
        <v>543253</v>
      </c>
      <c r="D5254" t="s">
        <v>8129</v>
      </c>
      <c r="E5254" t="s">
        <v>399</v>
      </c>
    </row>
    <row r="5255" spans="2:5">
      <c r="B5255" t="s">
        <v>8130</v>
      </c>
      <c r="C5255">
        <v>543254</v>
      </c>
      <c r="D5255" t="s">
        <v>8131</v>
      </c>
      <c r="E5255" t="s">
        <v>8132</v>
      </c>
    </row>
    <row r="5256" spans="2:5">
      <c r="B5256" t="s">
        <v>8133</v>
      </c>
      <c r="C5256">
        <v>543255</v>
      </c>
      <c r="D5256" t="s">
        <v>8134</v>
      </c>
      <c r="E5256" t="s">
        <v>38</v>
      </c>
    </row>
    <row r="5257" spans="2:5">
      <c r="B5257" t="s">
        <v>8135</v>
      </c>
      <c r="C5257">
        <v>543256</v>
      </c>
      <c r="D5257" t="s">
        <v>8136</v>
      </c>
      <c r="E5257" t="s">
        <v>8137</v>
      </c>
    </row>
    <row r="5258" spans="2:5">
      <c r="B5258" t="s">
        <v>8138</v>
      </c>
      <c r="C5258">
        <v>543257</v>
      </c>
      <c r="D5258" t="s">
        <v>8139</v>
      </c>
      <c r="E5258" t="s">
        <v>8140</v>
      </c>
    </row>
    <row r="5259" spans="2:5">
      <c r="B5259" t="s">
        <v>8141</v>
      </c>
      <c r="C5259">
        <v>543258</v>
      </c>
      <c r="D5259" t="s">
        <v>8142</v>
      </c>
      <c r="E5259" t="s">
        <v>8143</v>
      </c>
    </row>
    <row r="5260" spans="2:5">
      <c r="B5260" t="s">
        <v>8144</v>
      </c>
      <c r="C5260">
        <v>543259</v>
      </c>
      <c r="D5260" t="s">
        <v>8145</v>
      </c>
      <c r="E5260" t="s">
        <v>8146</v>
      </c>
    </row>
    <row r="5261" spans="2:5">
      <c r="B5261" t="s">
        <v>8147</v>
      </c>
      <c r="C5261">
        <v>543260</v>
      </c>
      <c r="D5261" t="s">
        <v>8148</v>
      </c>
      <c r="E5261" t="s">
        <v>1103</v>
      </c>
    </row>
    <row r="5262" spans="2:5">
      <c r="B5262" t="s">
        <v>8149</v>
      </c>
      <c r="C5262">
        <v>543261</v>
      </c>
      <c r="D5262" t="s">
        <v>8150</v>
      </c>
      <c r="E5262" t="s">
        <v>8151</v>
      </c>
    </row>
    <row r="5263" spans="2:5">
      <c r="B5263" t="s">
        <v>8152</v>
      </c>
      <c r="C5263">
        <v>543262</v>
      </c>
      <c r="D5263" t="s">
        <v>8153</v>
      </c>
      <c r="E5263" t="s">
        <v>373</v>
      </c>
    </row>
    <row r="5264" spans="2:5">
      <c r="B5264" t="s">
        <v>8154</v>
      </c>
      <c r="C5264">
        <v>543263</v>
      </c>
      <c r="D5264" t="s">
        <v>8155</v>
      </c>
      <c r="E5264" t="s">
        <v>8156</v>
      </c>
    </row>
    <row r="5265" spans="2:5">
      <c r="B5265" t="s">
        <v>8157</v>
      </c>
      <c r="C5265">
        <v>543264</v>
      </c>
      <c r="D5265" t="s">
        <v>8158</v>
      </c>
      <c r="E5265" t="s">
        <v>8159</v>
      </c>
    </row>
    <row r="5266" spans="2:5">
      <c r="B5266" t="s">
        <v>8160</v>
      </c>
      <c r="C5266">
        <v>543265</v>
      </c>
      <c r="D5266" t="s">
        <v>8161</v>
      </c>
      <c r="E5266" t="s">
        <v>1285</v>
      </c>
    </row>
    <row r="5267" spans="2:5">
      <c r="B5267" t="s">
        <v>8162</v>
      </c>
      <c r="C5267">
        <v>543266</v>
      </c>
      <c r="D5267" t="s">
        <v>8163</v>
      </c>
      <c r="E5267" t="s">
        <v>8059</v>
      </c>
    </row>
    <row r="5268" spans="2:5">
      <c r="B5268" t="s">
        <v>8164</v>
      </c>
      <c r="C5268">
        <v>543267</v>
      </c>
      <c r="D5268" t="s">
        <v>8165</v>
      </c>
      <c r="E5268" t="s">
        <v>1037</v>
      </c>
    </row>
    <row r="5269" spans="2:5">
      <c r="B5269" t="s">
        <v>8166</v>
      </c>
      <c r="C5269">
        <v>543269</v>
      </c>
      <c r="D5269" t="s">
        <v>8167</v>
      </c>
      <c r="E5269" t="s">
        <v>8168</v>
      </c>
    </row>
    <row r="5270" spans="2:5">
      <c r="B5270" t="s">
        <v>8169</v>
      </c>
      <c r="C5270">
        <v>543270</v>
      </c>
      <c r="D5270" t="s">
        <v>8170</v>
      </c>
      <c r="E5270" t="s">
        <v>8171</v>
      </c>
    </row>
    <row r="5271" spans="2:5">
      <c r="B5271" t="s">
        <v>8172</v>
      </c>
      <c r="C5271">
        <v>543271</v>
      </c>
      <c r="D5271" t="s">
        <v>8173</v>
      </c>
      <c r="E5271" t="s">
        <v>499</v>
      </c>
    </row>
    <row r="5272" spans="2:5">
      <c r="B5272" t="s">
        <v>8174</v>
      </c>
      <c r="C5272">
        <v>543272</v>
      </c>
      <c r="D5272" t="s">
        <v>8175</v>
      </c>
      <c r="E5272" t="s">
        <v>8176</v>
      </c>
    </row>
    <row r="5273" spans="2:5">
      <c r="B5273" t="s">
        <v>8177</v>
      </c>
      <c r="C5273">
        <v>543273</v>
      </c>
      <c r="D5273" t="s">
        <v>8178</v>
      </c>
      <c r="E5273" t="s">
        <v>1586</v>
      </c>
    </row>
    <row r="5274" spans="2:5">
      <c r="B5274" t="s">
        <v>8179</v>
      </c>
      <c r="C5274">
        <v>543274</v>
      </c>
      <c r="D5274" t="s">
        <v>8180</v>
      </c>
      <c r="E5274" t="s">
        <v>8050</v>
      </c>
    </row>
    <row r="5275" spans="2:5">
      <c r="B5275" t="s">
        <v>8181</v>
      </c>
      <c r="C5275">
        <v>543275</v>
      </c>
      <c r="D5275" t="s">
        <v>8182</v>
      </c>
      <c r="E5275" t="s">
        <v>499</v>
      </c>
    </row>
    <row r="5276" spans="2:5">
      <c r="B5276" t="s">
        <v>8183</v>
      </c>
      <c r="C5276">
        <v>543276</v>
      </c>
      <c r="D5276" t="s">
        <v>8184</v>
      </c>
      <c r="E5276" t="s">
        <v>8056</v>
      </c>
    </row>
    <row r="5277" spans="2:5">
      <c r="B5277" t="s">
        <v>8185</v>
      </c>
      <c r="C5277">
        <v>543277</v>
      </c>
      <c r="D5277" t="s">
        <v>8186</v>
      </c>
      <c r="E5277" t="s">
        <v>499</v>
      </c>
    </row>
    <row r="5278" spans="2:5">
      <c r="B5278" t="s">
        <v>8187</v>
      </c>
      <c r="C5278">
        <v>543278</v>
      </c>
      <c r="D5278" t="s">
        <v>8188</v>
      </c>
      <c r="E5278" t="s">
        <v>8090</v>
      </c>
    </row>
    <row r="5279" spans="2:5">
      <c r="B5279" t="s">
        <v>8189</v>
      </c>
      <c r="C5279">
        <v>543279</v>
      </c>
      <c r="D5279" t="s">
        <v>8190</v>
      </c>
      <c r="E5279" t="s">
        <v>8191</v>
      </c>
    </row>
    <row r="5280" spans="2:5">
      <c r="B5280" t="s">
        <v>8192</v>
      </c>
      <c r="C5280">
        <v>543280</v>
      </c>
      <c r="D5280" t="s">
        <v>8193</v>
      </c>
      <c r="E5280" t="s">
        <v>8194</v>
      </c>
    </row>
    <row r="5281" spans="2:5">
      <c r="B5281" t="s">
        <v>8195</v>
      </c>
      <c r="C5281">
        <v>543281</v>
      </c>
      <c r="D5281" t="s">
        <v>8196</v>
      </c>
      <c r="E5281" t="s">
        <v>8197</v>
      </c>
    </row>
    <row r="5282" spans="2:5">
      <c r="B5282" t="s">
        <v>8198</v>
      </c>
      <c r="C5282">
        <v>543282</v>
      </c>
      <c r="D5282" t="s">
        <v>8199</v>
      </c>
      <c r="E5282" t="s">
        <v>8168</v>
      </c>
    </row>
    <row r="5283" spans="2:5">
      <c r="B5283" t="s">
        <v>8200</v>
      </c>
      <c r="C5283">
        <v>543283</v>
      </c>
      <c r="D5283" t="s">
        <v>8201</v>
      </c>
      <c r="E5283" t="s">
        <v>828</v>
      </c>
    </row>
    <row r="5284" spans="2:5">
      <c r="B5284" t="s">
        <v>8202</v>
      </c>
      <c r="C5284">
        <v>543284</v>
      </c>
      <c r="D5284" t="s">
        <v>8203</v>
      </c>
      <c r="E5284" t="s">
        <v>423</v>
      </c>
    </row>
    <row r="5285" spans="2:5">
      <c r="B5285" t="s">
        <v>8204</v>
      </c>
      <c r="C5285">
        <v>543285</v>
      </c>
      <c r="D5285" t="s">
        <v>8205</v>
      </c>
      <c r="E5285" t="s">
        <v>8206</v>
      </c>
    </row>
    <row r="5286" spans="2:5">
      <c r="B5286" t="s">
        <v>8207</v>
      </c>
      <c r="C5286">
        <v>543286</v>
      </c>
      <c r="D5286" t="s">
        <v>8208</v>
      </c>
      <c r="E5286" t="s">
        <v>419</v>
      </c>
    </row>
    <row r="5287" spans="2:5">
      <c r="B5287" t="s">
        <v>8209</v>
      </c>
      <c r="C5287">
        <v>543287</v>
      </c>
      <c r="D5287" t="s">
        <v>8210</v>
      </c>
      <c r="E5287" t="s">
        <v>8123</v>
      </c>
    </row>
    <row r="5288" spans="2:5">
      <c r="B5288" t="s">
        <v>8211</v>
      </c>
      <c r="C5288">
        <v>543288</v>
      </c>
      <c r="D5288" t="s">
        <v>1847</v>
      </c>
      <c r="E5288" t="s">
        <v>8212</v>
      </c>
    </row>
    <row r="5289" spans="2:5">
      <c r="B5289" t="s">
        <v>8213</v>
      </c>
      <c r="C5289">
        <v>543289</v>
      </c>
      <c r="D5289" t="s">
        <v>8214</v>
      </c>
      <c r="E5289" t="s">
        <v>444</v>
      </c>
    </row>
    <row r="5290" spans="2:5">
      <c r="B5290" t="s">
        <v>8215</v>
      </c>
      <c r="C5290">
        <v>543290</v>
      </c>
      <c r="D5290" t="s">
        <v>8216</v>
      </c>
      <c r="E5290" t="s">
        <v>8217</v>
      </c>
    </row>
    <row r="5291" spans="2:5">
      <c r="B5291" t="s">
        <v>8218</v>
      </c>
      <c r="C5291">
        <v>543291</v>
      </c>
      <c r="D5291" t="s">
        <v>8219</v>
      </c>
      <c r="E5291" t="s">
        <v>38</v>
      </c>
    </row>
    <row r="5292" spans="2:5">
      <c r="B5292" t="s">
        <v>8220</v>
      </c>
      <c r="C5292">
        <v>543292</v>
      </c>
      <c r="D5292" t="s">
        <v>8221</v>
      </c>
      <c r="E5292" t="s">
        <v>38</v>
      </c>
    </row>
    <row r="5293" spans="2:5">
      <c r="B5293" t="s">
        <v>8222</v>
      </c>
      <c r="C5293">
        <v>543297</v>
      </c>
      <c r="D5293" t="s">
        <v>8223</v>
      </c>
      <c r="E5293" t="s">
        <v>382</v>
      </c>
    </row>
    <row r="5294" spans="2:5">
      <c r="B5294" t="s">
        <v>8224</v>
      </c>
      <c r="C5294">
        <v>543298</v>
      </c>
      <c r="D5294" t="s">
        <v>8225</v>
      </c>
      <c r="E5294" t="s">
        <v>377</v>
      </c>
    </row>
    <row r="5295" spans="2:5">
      <c r="B5295" t="s">
        <v>8226</v>
      </c>
      <c r="C5295">
        <v>543299</v>
      </c>
      <c r="D5295" t="s">
        <v>8227</v>
      </c>
      <c r="E5295" t="s">
        <v>8228</v>
      </c>
    </row>
    <row r="5296" spans="2:5">
      <c r="B5296" t="s">
        <v>8229</v>
      </c>
      <c r="C5296">
        <v>543300</v>
      </c>
      <c r="D5296" t="s">
        <v>8230</v>
      </c>
      <c r="E5296" t="s">
        <v>8056</v>
      </c>
    </row>
    <row r="5297" spans="2:5">
      <c r="B5297" t="s">
        <v>8231</v>
      </c>
      <c r="C5297">
        <v>543305</v>
      </c>
      <c r="D5297" t="s">
        <v>8232</v>
      </c>
      <c r="E5297" t="s">
        <v>423</v>
      </c>
    </row>
    <row r="5298" spans="2:5">
      <c r="B5298" t="s">
        <v>8233</v>
      </c>
      <c r="C5298">
        <v>543306</v>
      </c>
      <c r="D5298" t="s">
        <v>8234</v>
      </c>
      <c r="E5298" t="s">
        <v>8235</v>
      </c>
    </row>
    <row r="5299" spans="2:5">
      <c r="B5299" t="s">
        <v>8236</v>
      </c>
      <c r="C5299">
        <v>543308</v>
      </c>
      <c r="D5299" t="s">
        <v>8237</v>
      </c>
      <c r="E5299" t="s">
        <v>8238</v>
      </c>
    </row>
    <row r="5300" spans="2:5">
      <c r="B5300" t="s">
        <v>8239</v>
      </c>
      <c r="C5300">
        <v>543309</v>
      </c>
      <c r="D5300" t="s">
        <v>8240</v>
      </c>
      <c r="E5300" t="s">
        <v>8241</v>
      </c>
    </row>
    <row r="5301" spans="2:5">
      <c r="B5301" t="s">
        <v>8242</v>
      </c>
      <c r="C5301">
        <v>543310</v>
      </c>
      <c r="D5301" t="s">
        <v>8243</v>
      </c>
      <c r="E5301" t="s">
        <v>537</v>
      </c>
    </row>
    <row r="5302" spans="2:5">
      <c r="B5302" t="s">
        <v>8244</v>
      </c>
      <c r="C5302">
        <v>543311</v>
      </c>
      <c r="D5302" t="s">
        <v>8245</v>
      </c>
      <c r="E5302" t="s">
        <v>8059</v>
      </c>
    </row>
    <row r="5303" spans="2:5">
      <c r="B5303" t="s">
        <v>8246</v>
      </c>
      <c r="C5303">
        <v>543312</v>
      </c>
      <c r="D5303" t="s">
        <v>2262</v>
      </c>
      <c r="E5303" t="s">
        <v>8168</v>
      </c>
    </row>
    <row r="5304" spans="2:5">
      <c r="B5304" t="s">
        <v>8247</v>
      </c>
      <c r="C5304">
        <v>543317</v>
      </c>
      <c r="D5304" t="s">
        <v>8248</v>
      </c>
      <c r="E5304" t="s">
        <v>8249</v>
      </c>
    </row>
    <row r="5305" spans="2:5">
      <c r="B5305" t="s">
        <v>8250</v>
      </c>
      <c r="C5305">
        <v>543318</v>
      </c>
      <c r="D5305" t="s">
        <v>8251</v>
      </c>
      <c r="E5305" t="s">
        <v>387</v>
      </c>
    </row>
    <row r="5306" spans="2:5">
      <c r="B5306" t="s">
        <v>8252</v>
      </c>
      <c r="C5306">
        <v>543319</v>
      </c>
      <c r="D5306" t="s">
        <v>8253</v>
      </c>
      <c r="E5306" t="s">
        <v>8073</v>
      </c>
    </row>
    <row r="5307" spans="2:5">
      <c r="B5307" t="s">
        <v>8254</v>
      </c>
      <c r="C5307">
        <v>543320</v>
      </c>
      <c r="D5307" t="s">
        <v>8255</v>
      </c>
      <c r="E5307" t="s">
        <v>8256</v>
      </c>
    </row>
    <row r="5308" spans="2:5">
      <c r="B5308" t="s">
        <v>8257</v>
      </c>
      <c r="C5308">
        <v>543321</v>
      </c>
      <c r="D5308" t="s">
        <v>8258</v>
      </c>
      <c r="E5308" t="s">
        <v>499</v>
      </c>
    </row>
    <row r="5309" spans="2:5">
      <c r="B5309" t="s">
        <v>8259</v>
      </c>
      <c r="C5309">
        <v>543322</v>
      </c>
      <c r="D5309" t="s">
        <v>8260</v>
      </c>
      <c r="E5309" t="s">
        <v>377</v>
      </c>
    </row>
    <row r="5310" spans="2:5">
      <c r="B5310" t="s">
        <v>8261</v>
      </c>
      <c r="C5310">
        <v>543323</v>
      </c>
      <c r="D5310" t="s">
        <v>8262</v>
      </c>
      <c r="E5310" t="s">
        <v>38</v>
      </c>
    </row>
    <row r="5311" spans="2:5">
      <c r="B5311" t="s">
        <v>8263</v>
      </c>
      <c r="C5311">
        <v>543324</v>
      </c>
      <c r="D5311" t="s">
        <v>8264</v>
      </c>
      <c r="E5311" t="s">
        <v>8265</v>
      </c>
    </row>
    <row r="5312" spans="2:5">
      <c r="B5312" t="s">
        <v>8266</v>
      </c>
      <c r="C5312">
        <v>543325</v>
      </c>
      <c r="D5312" t="s">
        <v>8267</v>
      </c>
      <c r="E5312" t="s">
        <v>8056</v>
      </c>
    </row>
    <row r="5313" spans="2:5">
      <c r="B5313" t="s">
        <v>8268</v>
      </c>
      <c r="C5313">
        <v>543326</v>
      </c>
      <c r="D5313" t="s">
        <v>8269</v>
      </c>
      <c r="E5313" t="s">
        <v>38</v>
      </c>
    </row>
    <row r="5314" spans="2:5">
      <c r="B5314" t="s">
        <v>8270</v>
      </c>
      <c r="C5314">
        <v>543327</v>
      </c>
      <c r="D5314" t="s">
        <v>8271</v>
      </c>
      <c r="E5314" t="s">
        <v>8272</v>
      </c>
    </row>
    <row r="5315" spans="2:5">
      <c r="B5315" t="s">
        <v>8273</v>
      </c>
      <c r="C5315">
        <v>543328</v>
      </c>
      <c r="D5315" t="s">
        <v>8274</v>
      </c>
      <c r="E5315" t="s">
        <v>8275</v>
      </c>
    </row>
    <row r="5316" spans="2:5">
      <c r="B5316" t="s">
        <v>8276</v>
      </c>
      <c r="C5316">
        <v>543329</v>
      </c>
      <c r="D5316" t="s">
        <v>8277</v>
      </c>
      <c r="E5316" t="s">
        <v>377</v>
      </c>
    </row>
    <row r="5317" spans="2:5">
      <c r="B5317" t="s">
        <v>8278</v>
      </c>
      <c r="C5317">
        <v>543330</v>
      </c>
      <c r="D5317" t="s">
        <v>8279</v>
      </c>
      <c r="E5317" t="s">
        <v>828</v>
      </c>
    </row>
    <row r="5318" spans="2:5">
      <c r="B5318" t="s">
        <v>8280</v>
      </c>
      <c r="C5318">
        <v>543331</v>
      </c>
      <c r="D5318" t="s">
        <v>8281</v>
      </c>
      <c r="E5318" t="s">
        <v>8059</v>
      </c>
    </row>
    <row r="5319" spans="2:5">
      <c r="B5319" t="s">
        <v>8282</v>
      </c>
      <c r="C5319">
        <v>543332</v>
      </c>
      <c r="D5319" t="s">
        <v>8283</v>
      </c>
      <c r="E5319" t="s">
        <v>499</v>
      </c>
    </row>
    <row r="5320" spans="2:5">
      <c r="B5320" t="s">
        <v>8284</v>
      </c>
      <c r="C5320">
        <v>543333</v>
      </c>
      <c r="D5320" t="s">
        <v>8285</v>
      </c>
      <c r="E5320" t="s">
        <v>8256</v>
      </c>
    </row>
    <row r="5321" spans="2:5">
      <c r="B5321" t="s">
        <v>8286</v>
      </c>
      <c r="C5321">
        <v>543334</v>
      </c>
      <c r="D5321" t="s">
        <v>8287</v>
      </c>
      <c r="E5321" t="s">
        <v>352</v>
      </c>
    </row>
    <row r="5322" spans="2:5">
      <c r="B5322" t="s">
        <v>8288</v>
      </c>
      <c r="C5322">
        <v>543335</v>
      </c>
      <c r="D5322" t="s">
        <v>8289</v>
      </c>
      <c r="E5322" t="s">
        <v>8146</v>
      </c>
    </row>
    <row r="5323" spans="2:5">
      <c r="B5323" t="s">
        <v>8290</v>
      </c>
      <c r="C5323">
        <v>543336</v>
      </c>
      <c r="D5323" t="s">
        <v>8291</v>
      </c>
      <c r="E5323" t="s">
        <v>387</v>
      </c>
    </row>
    <row r="5324" spans="2:5">
      <c r="B5324" t="s">
        <v>8292</v>
      </c>
      <c r="C5324">
        <v>543341</v>
      </c>
      <c r="D5324" t="s">
        <v>8293</v>
      </c>
      <c r="E5324" t="s">
        <v>8294</v>
      </c>
    </row>
    <row r="5325" spans="2:5">
      <c r="B5325" t="s">
        <v>8295</v>
      </c>
      <c r="C5325">
        <v>543346</v>
      </c>
      <c r="D5325" t="s">
        <v>8296</v>
      </c>
      <c r="E5325" t="s">
        <v>8238</v>
      </c>
    </row>
    <row r="5326" spans="2:5">
      <c r="B5326" t="s">
        <v>8297</v>
      </c>
      <c r="C5326">
        <v>543347</v>
      </c>
      <c r="D5326" t="s">
        <v>8298</v>
      </c>
      <c r="E5326" t="s">
        <v>38</v>
      </c>
    </row>
    <row r="5327" spans="2:5">
      <c r="B5327" t="s">
        <v>8299</v>
      </c>
      <c r="C5327">
        <v>543348</v>
      </c>
      <c r="D5327" t="s">
        <v>8300</v>
      </c>
      <c r="E5327" t="s">
        <v>38</v>
      </c>
    </row>
    <row r="5328" spans="2:5">
      <c r="B5328" t="s">
        <v>8301</v>
      </c>
      <c r="C5328">
        <v>543349</v>
      </c>
      <c r="D5328" t="s">
        <v>8302</v>
      </c>
      <c r="E5328" t="s">
        <v>377</v>
      </c>
    </row>
    <row r="5329" spans="2:5">
      <c r="B5329" t="s">
        <v>8303</v>
      </c>
      <c r="C5329">
        <v>543350</v>
      </c>
      <c r="D5329" t="s">
        <v>8304</v>
      </c>
      <c r="E5329" t="s">
        <v>8275</v>
      </c>
    </row>
    <row r="5330" spans="2:5">
      <c r="B5330" t="s">
        <v>8305</v>
      </c>
      <c r="C5330">
        <v>543351</v>
      </c>
      <c r="D5330" t="s">
        <v>8306</v>
      </c>
      <c r="E5330" t="s">
        <v>8168</v>
      </c>
    </row>
    <row r="5331" spans="2:5">
      <c r="B5331" t="s">
        <v>8307</v>
      </c>
      <c r="C5331">
        <v>543352</v>
      </c>
      <c r="D5331" t="s">
        <v>8308</v>
      </c>
      <c r="E5331" t="s">
        <v>8309</v>
      </c>
    </row>
    <row r="5332" spans="2:5">
      <c r="B5332" t="s">
        <v>8310</v>
      </c>
      <c r="C5332">
        <v>543357</v>
      </c>
      <c r="D5332" t="s">
        <v>8311</v>
      </c>
      <c r="E5332" t="s">
        <v>38</v>
      </c>
    </row>
    <row r="5333" spans="2:5">
      <c r="B5333" t="s">
        <v>8312</v>
      </c>
      <c r="C5333">
        <v>543358</v>
      </c>
      <c r="D5333" t="s">
        <v>8313</v>
      </c>
      <c r="E5333" t="s">
        <v>8056</v>
      </c>
    </row>
    <row r="5334" spans="2:5">
      <c r="B5334" t="s">
        <v>8314</v>
      </c>
      <c r="C5334">
        <v>543363</v>
      </c>
      <c r="D5334" t="s">
        <v>8315</v>
      </c>
      <c r="E5334" t="s">
        <v>8159</v>
      </c>
    </row>
    <row r="5335" spans="2:5">
      <c r="B5335" t="s">
        <v>8316</v>
      </c>
      <c r="C5335">
        <v>543364</v>
      </c>
      <c r="D5335" t="s">
        <v>8317</v>
      </c>
      <c r="E5335" t="s">
        <v>8249</v>
      </c>
    </row>
    <row r="5336" spans="2:5">
      <c r="B5336" t="s">
        <v>8318</v>
      </c>
      <c r="C5336">
        <v>543365</v>
      </c>
      <c r="D5336" t="s">
        <v>8319</v>
      </c>
      <c r="E5336" t="s">
        <v>38</v>
      </c>
    </row>
    <row r="5337" spans="2:5">
      <c r="B5337" t="s">
        <v>8320</v>
      </c>
      <c r="C5337">
        <v>543366</v>
      </c>
      <c r="D5337" t="s">
        <v>8321</v>
      </c>
      <c r="E5337" t="s">
        <v>8123</v>
      </c>
    </row>
    <row r="5338" spans="2:5">
      <c r="B5338" t="s">
        <v>8322</v>
      </c>
      <c r="C5338">
        <v>543367</v>
      </c>
      <c r="D5338" t="s">
        <v>8323</v>
      </c>
      <c r="E5338" t="s">
        <v>8171</v>
      </c>
    </row>
    <row r="5339" spans="2:5">
      <c r="B5339" t="s">
        <v>8324</v>
      </c>
      <c r="C5339">
        <v>543372</v>
      </c>
      <c r="D5339" t="s">
        <v>8325</v>
      </c>
      <c r="E5339" t="s">
        <v>8326</v>
      </c>
    </row>
    <row r="5340" spans="2:5">
      <c r="B5340" t="s">
        <v>8327</v>
      </c>
      <c r="C5340">
        <v>543373</v>
      </c>
      <c r="D5340" t="s">
        <v>8328</v>
      </c>
      <c r="E5340" t="s">
        <v>8080</v>
      </c>
    </row>
    <row r="5341" spans="2:5">
      <c r="B5341" t="s">
        <v>8329</v>
      </c>
      <c r="C5341">
        <v>543374</v>
      </c>
      <c r="D5341" t="s">
        <v>8330</v>
      </c>
      <c r="E5341" t="s">
        <v>8331</v>
      </c>
    </row>
    <row r="5342" spans="2:5">
      <c r="B5342" t="s">
        <v>8332</v>
      </c>
      <c r="C5342">
        <v>543375</v>
      </c>
      <c r="D5342" t="s">
        <v>8333</v>
      </c>
      <c r="E5342" t="s">
        <v>8334</v>
      </c>
    </row>
    <row r="5343" spans="2:5">
      <c r="B5343" t="s">
        <v>8335</v>
      </c>
      <c r="C5343">
        <v>543376</v>
      </c>
      <c r="D5343" t="s">
        <v>8336</v>
      </c>
      <c r="E5343" t="s">
        <v>8123</v>
      </c>
    </row>
    <row r="5344" spans="2:5">
      <c r="B5344" t="s">
        <v>8337</v>
      </c>
      <c r="C5344">
        <v>543377</v>
      </c>
      <c r="D5344" t="s">
        <v>8338</v>
      </c>
      <c r="E5344" t="s">
        <v>662</v>
      </c>
    </row>
    <row r="5345" spans="2:5">
      <c r="B5345" t="s">
        <v>8339</v>
      </c>
      <c r="C5345">
        <v>543378</v>
      </c>
      <c r="D5345" t="s">
        <v>8340</v>
      </c>
      <c r="E5345" t="s">
        <v>708</v>
      </c>
    </row>
    <row r="5346" spans="2:5">
      <c r="B5346" t="s">
        <v>8341</v>
      </c>
      <c r="C5346">
        <v>543383</v>
      </c>
      <c r="D5346" t="s">
        <v>8342</v>
      </c>
      <c r="E5346" t="s">
        <v>38</v>
      </c>
    </row>
    <row r="5347" spans="2:5">
      <c r="B5347" t="s">
        <v>8343</v>
      </c>
      <c r="C5347">
        <v>543384</v>
      </c>
      <c r="D5347" t="s">
        <v>8344</v>
      </c>
      <c r="E5347" t="s">
        <v>8256</v>
      </c>
    </row>
    <row r="5348" spans="2:5">
      <c r="B5348" t="s">
        <v>8345</v>
      </c>
      <c r="C5348">
        <v>543385</v>
      </c>
      <c r="D5348" t="s">
        <v>8346</v>
      </c>
      <c r="E5348" t="s">
        <v>8249</v>
      </c>
    </row>
    <row r="5349" spans="2:5">
      <c r="B5349" t="s">
        <v>8347</v>
      </c>
      <c r="C5349">
        <v>543386</v>
      </c>
      <c r="D5349" t="s">
        <v>8348</v>
      </c>
      <c r="E5349" t="s">
        <v>8191</v>
      </c>
    </row>
    <row r="5350" spans="2:5">
      <c r="B5350" t="s">
        <v>8349</v>
      </c>
      <c r="C5350">
        <v>543387</v>
      </c>
      <c r="D5350" t="s">
        <v>8350</v>
      </c>
      <c r="E5350" t="s">
        <v>8056</v>
      </c>
    </row>
    <row r="5351" spans="2:5">
      <c r="B5351" t="s">
        <v>8351</v>
      </c>
      <c r="C5351">
        <v>543388</v>
      </c>
      <c r="D5351" t="s">
        <v>8352</v>
      </c>
      <c r="E5351" t="s">
        <v>38</v>
      </c>
    </row>
    <row r="5352" spans="2:5">
      <c r="B5352" t="s">
        <v>8353</v>
      </c>
      <c r="C5352">
        <v>543389</v>
      </c>
      <c r="D5352" t="s">
        <v>8354</v>
      </c>
      <c r="E5352" t="s">
        <v>377</v>
      </c>
    </row>
    <row r="5353" spans="2:5">
      <c r="B5353" t="s">
        <v>8355</v>
      </c>
      <c r="C5353">
        <v>543390</v>
      </c>
      <c r="D5353" t="s">
        <v>8356</v>
      </c>
      <c r="E5353" t="s">
        <v>8197</v>
      </c>
    </row>
    <row r="5354" spans="2:5">
      <c r="B5354" t="s">
        <v>8357</v>
      </c>
      <c r="C5354">
        <v>543391</v>
      </c>
      <c r="D5354" t="s">
        <v>8358</v>
      </c>
      <c r="E5354" t="s">
        <v>8249</v>
      </c>
    </row>
    <row r="5355" spans="2:5">
      <c r="B5355" t="s">
        <v>8359</v>
      </c>
      <c r="C5355">
        <v>543396</v>
      </c>
      <c r="D5355" t="s">
        <v>8360</v>
      </c>
      <c r="E5355" t="s">
        <v>8197</v>
      </c>
    </row>
    <row r="5356" spans="2:5">
      <c r="B5356" t="s">
        <v>8361</v>
      </c>
      <c r="C5356">
        <v>543397</v>
      </c>
      <c r="D5356" t="s">
        <v>8362</v>
      </c>
      <c r="E5356" t="s">
        <v>828</v>
      </c>
    </row>
    <row r="5357" spans="2:5">
      <c r="B5357" t="s">
        <v>8363</v>
      </c>
      <c r="C5357">
        <v>543398</v>
      </c>
      <c r="D5357" t="s">
        <v>8364</v>
      </c>
      <c r="E5357" t="s">
        <v>8168</v>
      </c>
    </row>
    <row r="5358" spans="2:5">
      <c r="B5358" t="s">
        <v>8365</v>
      </c>
      <c r="C5358">
        <v>543399</v>
      </c>
      <c r="D5358" t="s">
        <v>8366</v>
      </c>
      <c r="E5358" t="s">
        <v>8159</v>
      </c>
    </row>
    <row r="5359" spans="2:5">
      <c r="B5359" t="s">
        <v>8367</v>
      </c>
      <c r="C5359">
        <v>543400</v>
      </c>
      <c r="D5359" t="s">
        <v>8368</v>
      </c>
      <c r="E5359" t="s">
        <v>8369</v>
      </c>
    </row>
    <row r="5360" spans="2:5">
      <c r="B5360" t="s">
        <v>8370</v>
      </c>
      <c r="C5360">
        <v>543401</v>
      </c>
      <c r="D5360" t="s">
        <v>8371</v>
      </c>
      <c r="E5360" t="s">
        <v>8372</v>
      </c>
    </row>
    <row r="5361" spans="2:5">
      <c r="B5361" t="s">
        <v>8373</v>
      </c>
      <c r="C5361">
        <v>543410</v>
      </c>
      <c r="D5361" t="s">
        <v>8374</v>
      </c>
      <c r="E5361" t="s">
        <v>423</v>
      </c>
    </row>
    <row r="5362" spans="2:5">
      <c r="B5362" t="s">
        <v>8375</v>
      </c>
      <c r="C5362">
        <v>543411</v>
      </c>
      <c r="D5362" t="s">
        <v>2868</v>
      </c>
      <c r="E5362" t="s">
        <v>662</v>
      </c>
    </row>
    <row r="5363" spans="2:5">
      <c r="B5363" t="s">
        <v>8376</v>
      </c>
      <c r="C5363">
        <v>543412</v>
      </c>
      <c r="D5363" t="s">
        <v>8377</v>
      </c>
      <c r="E5363" t="s">
        <v>2421</v>
      </c>
    </row>
    <row r="5364" spans="2:5">
      <c r="B5364" t="s">
        <v>8378</v>
      </c>
      <c r="C5364">
        <v>543413</v>
      </c>
      <c r="D5364" t="s">
        <v>8379</v>
      </c>
      <c r="E5364" t="s">
        <v>8380</v>
      </c>
    </row>
    <row r="5365" spans="2:5">
      <c r="B5365" t="s">
        <v>8381</v>
      </c>
      <c r="C5365">
        <v>543414</v>
      </c>
      <c r="D5365" t="s">
        <v>8382</v>
      </c>
      <c r="E5365" t="s">
        <v>38</v>
      </c>
    </row>
    <row r="5366" spans="2:5">
      <c r="B5366" t="s">
        <v>8383</v>
      </c>
      <c r="C5366">
        <v>543415</v>
      </c>
      <c r="D5366" t="s">
        <v>8384</v>
      </c>
      <c r="E5366" t="s">
        <v>8385</v>
      </c>
    </row>
    <row r="5367" spans="2:5">
      <c r="B5367" t="s">
        <v>8386</v>
      </c>
      <c r="C5367">
        <v>543416</v>
      </c>
      <c r="D5367" t="s">
        <v>7267</v>
      </c>
      <c r="E5367" t="s">
        <v>8334</v>
      </c>
    </row>
    <row r="5368" spans="2:5">
      <c r="B5368" t="s">
        <v>8387</v>
      </c>
      <c r="C5368">
        <v>543417</v>
      </c>
      <c r="D5368" t="s">
        <v>8388</v>
      </c>
      <c r="E5368" t="s">
        <v>8168</v>
      </c>
    </row>
    <row r="5369" spans="2:5">
      <c r="B5369" t="s">
        <v>8389</v>
      </c>
      <c r="C5369">
        <v>543419</v>
      </c>
      <c r="D5369" t="s">
        <v>8390</v>
      </c>
      <c r="E5369" t="s">
        <v>8123</v>
      </c>
    </row>
    <row r="5370" spans="2:5">
      <c r="B5370" t="s">
        <v>8391</v>
      </c>
      <c r="C5370">
        <v>543420</v>
      </c>
      <c r="D5370" t="s">
        <v>3313</v>
      </c>
      <c r="E5370" t="s">
        <v>8392</v>
      </c>
    </row>
    <row r="5371" spans="2:5">
      <c r="B5371" t="s">
        <v>8393</v>
      </c>
      <c r="C5371">
        <v>543425</v>
      </c>
      <c r="D5371" t="s">
        <v>8394</v>
      </c>
      <c r="E5371" t="s">
        <v>8395</v>
      </c>
    </row>
    <row r="5372" spans="2:5">
      <c r="B5372" t="s">
        <v>8396</v>
      </c>
      <c r="C5372">
        <v>543426</v>
      </c>
      <c r="D5372" t="s">
        <v>8397</v>
      </c>
      <c r="E5372" t="s">
        <v>765</v>
      </c>
    </row>
    <row r="5373" spans="2:5">
      <c r="B5373" t="s">
        <v>8398</v>
      </c>
      <c r="C5373">
        <v>543427</v>
      </c>
      <c r="D5373" t="s">
        <v>8399</v>
      </c>
      <c r="E5373" t="s">
        <v>8400</v>
      </c>
    </row>
    <row r="5374" spans="2:5">
      <c r="B5374" t="s">
        <v>8401</v>
      </c>
      <c r="C5374">
        <v>543428</v>
      </c>
      <c r="D5374" t="s">
        <v>8402</v>
      </c>
      <c r="E5374" t="s">
        <v>8171</v>
      </c>
    </row>
    <row r="5375" spans="2:5">
      <c r="B5375" t="s">
        <v>8403</v>
      </c>
      <c r="C5375">
        <v>543433</v>
      </c>
      <c r="D5375" t="s">
        <v>8404</v>
      </c>
      <c r="E5375" t="s">
        <v>499</v>
      </c>
    </row>
    <row r="5376" spans="2:5">
      <c r="B5376" t="s">
        <v>8405</v>
      </c>
      <c r="C5376">
        <v>543434</v>
      </c>
      <c r="D5376" t="s">
        <v>8406</v>
      </c>
      <c r="E5376" t="s">
        <v>377</v>
      </c>
    </row>
    <row r="5377" spans="2:5">
      <c r="B5377" t="s">
        <v>8407</v>
      </c>
      <c r="C5377">
        <v>543435</v>
      </c>
      <c r="D5377" t="s">
        <v>8408</v>
      </c>
      <c r="E5377" t="s">
        <v>8206</v>
      </c>
    </row>
    <row r="5378" spans="2:5">
      <c r="B5378" t="s">
        <v>8409</v>
      </c>
      <c r="C5378">
        <v>543436</v>
      </c>
      <c r="D5378" t="s">
        <v>8410</v>
      </c>
      <c r="E5378" t="s">
        <v>8168</v>
      </c>
    </row>
    <row r="5379" spans="2:5">
      <c r="B5379" t="s">
        <v>8411</v>
      </c>
      <c r="C5379">
        <v>543437</v>
      </c>
      <c r="D5379" t="s">
        <v>8412</v>
      </c>
      <c r="E5379" t="s">
        <v>38</v>
      </c>
    </row>
    <row r="5380" spans="2:5">
      <c r="B5380" t="s">
        <v>8413</v>
      </c>
      <c r="C5380">
        <v>543438</v>
      </c>
      <c r="D5380" t="s">
        <v>8414</v>
      </c>
      <c r="E5380" t="s">
        <v>38</v>
      </c>
    </row>
    <row r="5381" spans="2:5">
      <c r="B5381" t="s">
        <v>8415</v>
      </c>
      <c r="C5381">
        <v>543439</v>
      </c>
      <c r="D5381" t="s">
        <v>8416</v>
      </c>
      <c r="E5381" t="s">
        <v>8294</v>
      </c>
    </row>
    <row r="5382" spans="2:5">
      <c r="B5382" t="s">
        <v>8417</v>
      </c>
      <c r="C5382">
        <v>543440</v>
      </c>
      <c r="D5382" t="s">
        <v>8418</v>
      </c>
      <c r="E5382" t="s">
        <v>38</v>
      </c>
    </row>
    <row r="5383" spans="2:5">
      <c r="B5383" t="s">
        <v>8419</v>
      </c>
      <c r="C5383">
        <v>543441</v>
      </c>
      <c r="D5383" t="s">
        <v>8420</v>
      </c>
      <c r="E5383" t="s">
        <v>7294</v>
      </c>
    </row>
    <row r="5384" spans="2:5">
      <c r="B5384" t="s">
        <v>8421</v>
      </c>
      <c r="C5384">
        <v>543442</v>
      </c>
      <c r="D5384" t="s">
        <v>1395</v>
      </c>
      <c r="E5384" t="s">
        <v>8372</v>
      </c>
    </row>
    <row r="5385" spans="2:5">
      <c r="B5385" t="s">
        <v>8422</v>
      </c>
      <c r="C5385">
        <v>543443</v>
      </c>
      <c r="D5385" t="s">
        <v>8423</v>
      </c>
      <c r="E5385" t="s">
        <v>444</v>
      </c>
    </row>
    <row r="5386" spans="2:5">
      <c r="B5386" t="s">
        <v>8424</v>
      </c>
      <c r="C5386">
        <v>543444</v>
      </c>
      <c r="D5386" t="s">
        <v>8425</v>
      </c>
      <c r="E5386" t="s">
        <v>377</v>
      </c>
    </row>
    <row r="5387" spans="2:5">
      <c r="B5387" t="s">
        <v>8426</v>
      </c>
      <c r="C5387">
        <v>543449</v>
      </c>
      <c r="D5387" t="s">
        <v>8427</v>
      </c>
      <c r="E5387" t="s">
        <v>1103</v>
      </c>
    </row>
    <row r="5388" spans="2:5">
      <c r="B5388" t="s">
        <v>8428</v>
      </c>
      <c r="C5388">
        <v>543450</v>
      </c>
      <c r="D5388" t="s">
        <v>8429</v>
      </c>
      <c r="E5388" t="s">
        <v>38</v>
      </c>
    </row>
    <row r="5389" spans="2:5">
      <c r="B5389" t="s">
        <v>8430</v>
      </c>
      <c r="C5389">
        <v>543451</v>
      </c>
      <c r="D5389" t="s">
        <v>8431</v>
      </c>
      <c r="E5389" t="s">
        <v>7294</v>
      </c>
    </row>
    <row r="5390" spans="2:5">
      <c r="B5390" t="s">
        <v>8432</v>
      </c>
      <c r="C5390">
        <v>543452</v>
      </c>
      <c r="D5390" t="s">
        <v>8433</v>
      </c>
      <c r="E5390" t="s">
        <v>38</v>
      </c>
    </row>
    <row r="5391" spans="2:5">
      <c r="B5391" t="s">
        <v>8434</v>
      </c>
      <c r="C5391">
        <v>543453</v>
      </c>
      <c r="D5391" t="s">
        <v>8435</v>
      </c>
      <c r="E5391" t="s">
        <v>8436</v>
      </c>
    </row>
    <row r="5392" spans="2:5">
      <c r="B5392" t="s">
        <v>8437</v>
      </c>
      <c r="C5392">
        <v>543454</v>
      </c>
      <c r="D5392" t="s">
        <v>8438</v>
      </c>
      <c r="E5392" t="s">
        <v>38</v>
      </c>
    </row>
    <row r="5393" spans="2:5">
      <c r="B5393" t="s">
        <v>8439</v>
      </c>
      <c r="C5393">
        <v>543458</v>
      </c>
      <c r="D5393" t="s">
        <v>8440</v>
      </c>
      <c r="E5393" t="s">
        <v>8080</v>
      </c>
    </row>
    <row r="5394" spans="2:5">
      <c r="B5394" t="s">
        <v>8441</v>
      </c>
      <c r="C5394">
        <v>543460</v>
      </c>
      <c r="D5394" t="s">
        <v>8442</v>
      </c>
      <c r="E5394" t="s">
        <v>347</v>
      </c>
    </row>
    <row r="5395" spans="2:5">
      <c r="B5395" t="s">
        <v>8443</v>
      </c>
      <c r="C5395">
        <v>543461</v>
      </c>
      <c r="D5395" t="s">
        <v>8444</v>
      </c>
      <c r="E5395" t="s">
        <v>8073</v>
      </c>
    </row>
    <row r="5396" spans="2:5">
      <c r="B5396" t="s">
        <v>8445</v>
      </c>
      <c r="C5396">
        <v>543462</v>
      </c>
      <c r="D5396" t="s">
        <v>1870</v>
      </c>
      <c r="E5396" t="s">
        <v>8446</v>
      </c>
    </row>
    <row r="5397" spans="2:5">
      <c r="B5397" t="s">
        <v>8447</v>
      </c>
      <c r="C5397">
        <v>543463</v>
      </c>
      <c r="D5397" t="s">
        <v>8448</v>
      </c>
      <c r="E5397" t="s">
        <v>8372</v>
      </c>
    </row>
    <row r="5398" spans="2:5">
      <c r="B5398" t="s">
        <v>8449</v>
      </c>
      <c r="C5398">
        <v>543464</v>
      </c>
      <c r="D5398" t="s">
        <v>8450</v>
      </c>
      <c r="E5398" t="s">
        <v>1384</v>
      </c>
    </row>
    <row r="5399" spans="2:5">
      <c r="B5399" t="s">
        <v>8451</v>
      </c>
      <c r="C5399">
        <v>543465</v>
      </c>
      <c r="D5399" t="s">
        <v>8452</v>
      </c>
      <c r="E5399" t="s">
        <v>38</v>
      </c>
    </row>
    <row r="5400" spans="2:5">
      <c r="B5400" t="s">
        <v>8453</v>
      </c>
      <c r="C5400">
        <v>543470</v>
      </c>
      <c r="D5400" t="s">
        <v>5995</v>
      </c>
      <c r="E5400" t="s">
        <v>8168</v>
      </c>
    </row>
    <row r="5401" spans="2:5">
      <c r="B5401" t="s">
        <v>8454</v>
      </c>
      <c r="C5401">
        <v>543471</v>
      </c>
      <c r="D5401" t="s">
        <v>8455</v>
      </c>
      <c r="E5401" t="s">
        <v>38</v>
      </c>
    </row>
    <row r="5402" spans="2:5">
      <c r="B5402" t="s">
        <v>8456</v>
      </c>
      <c r="C5402">
        <v>543472</v>
      </c>
      <c r="D5402" t="s">
        <v>8457</v>
      </c>
      <c r="E5402" t="s">
        <v>38</v>
      </c>
    </row>
    <row r="5403" spans="2:5">
      <c r="B5403" t="s">
        <v>8458</v>
      </c>
      <c r="C5403">
        <v>543473</v>
      </c>
      <c r="D5403" t="s">
        <v>8459</v>
      </c>
      <c r="E5403" t="s">
        <v>38</v>
      </c>
    </row>
    <row r="5404" spans="2:5">
      <c r="B5404" t="s">
        <v>8460</v>
      </c>
      <c r="C5404">
        <v>543474</v>
      </c>
      <c r="D5404" t="s">
        <v>8461</v>
      </c>
      <c r="E5404" t="s">
        <v>38</v>
      </c>
    </row>
    <row r="5405" spans="2:5">
      <c r="B5405" t="s">
        <v>8462</v>
      </c>
      <c r="C5405">
        <v>543475</v>
      </c>
      <c r="D5405" t="s">
        <v>8463</v>
      </c>
      <c r="E5405" t="s">
        <v>8446</v>
      </c>
    </row>
    <row r="5406" spans="2:5">
      <c r="B5406" t="s">
        <v>8464</v>
      </c>
      <c r="C5406">
        <v>543481</v>
      </c>
      <c r="D5406" t="s">
        <v>8465</v>
      </c>
      <c r="E5406" t="s">
        <v>38</v>
      </c>
    </row>
    <row r="5407" spans="2:5">
      <c r="B5407" t="s">
        <v>8466</v>
      </c>
      <c r="C5407">
        <v>543482</v>
      </c>
      <c r="D5407" t="s">
        <v>8467</v>
      </c>
      <c r="E5407" t="s">
        <v>1103</v>
      </c>
    </row>
    <row r="5408" spans="2:5">
      <c r="B5408" t="s">
        <v>8468</v>
      </c>
      <c r="C5408">
        <v>543489</v>
      </c>
      <c r="D5408" t="s">
        <v>8469</v>
      </c>
      <c r="E5408" t="s">
        <v>8392</v>
      </c>
    </row>
    <row r="5409" spans="2:5">
      <c r="B5409" t="s">
        <v>8470</v>
      </c>
      <c r="C5409">
        <v>543490</v>
      </c>
      <c r="D5409" t="s">
        <v>8471</v>
      </c>
      <c r="E5409" t="s">
        <v>8334</v>
      </c>
    </row>
    <row r="5410" spans="2:5">
      <c r="B5410" t="s">
        <v>8472</v>
      </c>
      <c r="C5410">
        <v>543497</v>
      </c>
      <c r="D5410" t="s">
        <v>8473</v>
      </c>
      <c r="E5410" t="s">
        <v>499</v>
      </c>
    </row>
    <row r="5411" spans="2:5">
      <c r="B5411" t="s">
        <v>8474</v>
      </c>
      <c r="C5411">
        <v>543498</v>
      </c>
      <c r="D5411" t="s">
        <v>8475</v>
      </c>
      <c r="E5411" t="s">
        <v>8056</v>
      </c>
    </row>
    <row r="5412" spans="2:5">
      <c r="B5412" t="s">
        <v>8476</v>
      </c>
      <c r="C5412">
        <v>543499</v>
      </c>
      <c r="D5412" t="s">
        <v>8477</v>
      </c>
      <c r="E5412" t="s">
        <v>377</v>
      </c>
    </row>
    <row r="5413" spans="2:5">
      <c r="B5413" t="s">
        <v>8478</v>
      </c>
      <c r="C5413">
        <v>543500</v>
      </c>
      <c r="D5413" t="s">
        <v>8479</v>
      </c>
      <c r="E5413" t="s">
        <v>8073</v>
      </c>
    </row>
    <row r="5414" spans="2:5">
      <c r="B5414" t="s">
        <v>8480</v>
      </c>
      <c r="C5414">
        <v>543501</v>
      </c>
      <c r="D5414" t="s">
        <v>8481</v>
      </c>
      <c r="E5414" t="s">
        <v>38</v>
      </c>
    </row>
    <row r="5415" spans="2:5">
      <c r="B5415" t="s">
        <v>8482</v>
      </c>
      <c r="C5415">
        <v>543512</v>
      </c>
      <c r="D5415" t="s">
        <v>8483</v>
      </c>
      <c r="E5415" t="s">
        <v>8484</v>
      </c>
    </row>
    <row r="5416" spans="2:5">
      <c r="B5416" t="s">
        <v>8485</v>
      </c>
      <c r="C5416">
        <v>543513</v>
      </c>
      <c r="D5416" t="s">
        <v>8486</v>
      </c>
      <c r="E5416" t="s">
        <v>8073</v>
      </c>
    </row>
    <row r="5417" spans="2:5">
      <c r="B5417" t="s">
        <v>8487</v>
      </c>
      <c r="C5417">
        <v>543514</v>
      </c>
      <c r="D5417" t="s">
        <v>8488</v>
      </c>
      <c r="E5417" t="s">
        <v>8105</v>
      </c>
    </row>
    <row r="5418" spans="2:5">
      <c r="B5418" t="s">
        <v>8489</v>
      </c>
      <c r="C5418">
        <v>543515</v>
      </c>
      <c r="D5418" t="s">
        <v>8490</v>
      </c>
      <c r="E5418" t="s">
        <v>8073</v>
      </c>
    </row>
    <row r="5419" spans="2:5">
      <c r="B5419" t="s">
        <v>8491</v>
      </c>
      <c r="C5419">
        <v>543516</v>
      </c>
      <c r="D5419" t="s">
        <v>8492</v>
      </c>
      <c r="E5419" t="s">
        <v>8073</v>
      </c>
    </row>
    <row r="5420" spans="2:5">
      <c r="B5420" t="s">
        <v>8493</v>
      </c>
      <c r="C5420">
        <v>543517</v>
      </c>
      <c r="D5420" t="s">
        <v>8494</v>
      </c>
      <c r="E5420" t="s">
        <v>662</v>
      </c>
    </row>
    <row r="5421" spans="2:5">
      <c r="B5421" t="s">
        <v>8495</v>
      </c>
      <c r="C5421">
        <v>543518</v>
      </c>
      <c r="D5421" t="s">
        <v>8496</v>
      </c>
      <c r="E5421" t="s">
        <v>8090</v>
      </c>
    </row>
    <row r="5422" spans="2:5">
      <c r="B5422" t="s">
        <v>8497</v>
      </c>
      <c r="C5422">
        <v>543519</v>
      </c>
      <c r="D5422" t="s">
        <v>8498</v>
      </c>
      <c r="E5422" t="s">
        <v>8272</v>
      </c>
    </row>
    <row r="5423" spans="2:5">
      <c r="B5423" t="s">
        <v>8499</v>
      </c>
      <c r="C5423">
        <v>543520</v>
      </c>
      <c r="D5423" t="s">
        <v>8500</v>
      </c>
      <c r="E5423" t="s">
        <v>8238</v>
      </c>
    </row>
    <row r="5424" spans="2:5">
      <c r="B5424" t="s">
        <v>8501</v>
      </c>
      <c r="C5424">
        <v>543521</v>
      </c>
      <c r="D5424" t="s">
        <v>8502</v>
      </c>
      <c r="E5424" t="s">
        <v>8256</v>
      </c>
    </row>
    <row r="5425" spans="2:5">
      <c r="B5425" t="s">
        <v>8503</v>
      </c>
      <c r="C5425">
        <v>543522</v>
      </c>
      <c r="D5425" t="s">
        <v>8504</v>
      </c>
      <c r="E5425" t="s">
        <v>8505</v>
      </c>
    </row>
    <row r="5426" spans="2:5">
      <c r="B5426" t="s">
        <v>8506</v>
      </c>
      <c r="C5426">
        <v>543523</v>
      </c>
      <c r="D5426" t="s">
        <v>8507</v>
      </c>
      <c r="E5426" t="s">
        <v>765</v>
      </c>
    </row>
    <row r="5427" spans="2:5">
      <c r="B5427" t="s">
        <v>8508</v>
      </c>
      <c r="C5427">
        <v>543524</v>
      </c>
      <c r="D5427" t="s">
        <v>8509</v>
      </c>
      <c r="E5427" t="s">
        <v>8238</v>
      </c>
    </row>
    <row r="5428" spans="2:5">
      <c r="B5428" t="s">
        <v>8510</v>
      </c>
      <c r="C5428">
        <v>543525</v>
      </c>
      <c r="D5428" t="s">
        <v>5908</v>
      </c>
      <c r="E5428" t="s">
        <v>8446</v>
      </c>
    </row>
    <row r="5429" spans="2:5">
      <c r="B5429" t="s">
        <v>8511</v>
      </c>
      <c r="C5429">
        <v>543526</v>
      </c>
      <c r="D5429" t="s">
        <v>8512</v>
      </c>
      <c r="E5429" t="s">
        <v>2751</v>
      </c>
    </row>
    <row r="5430" spans="2:5">
      <c r="B5430" t="s">
        <v>8513</v>
      </c>
      <c r="C5430">
        <v>543527</v>
      </c>
      <c r="D5430" t="s">
        <v>8514</v>
      </c>
      <c r="E5430" t="s">
        <v>8385</v>
      </c>
    </row>
    <row r="5431" spans="2:5">
      <c r="B5431" t="s">
        <v>8515</v>
      </c>
      <c r="C5431">
        <v>543528</v>
      </c>
      <c r="D5431" t="s">
        <v>8516</v>
      </c>
      <c r="E5431" t="s">
        <v>662</v>
      </c>
    </row>
    <row r="5432" spans="2:5">
      <c r="B5432" t="s">
        <v>8517</v>
      </c>
      <c r="C5432">
        <v>543529</v>
      </c>
      <c r="D5432" t="s">
        <v>8518</v>
      </c>
      <c r="E5432" t="s">
        <v>8392</v>
      </c>
    </row>
    <row r="5433" spans="2:5">
      <c r="B5433" t="s">
        <v>8519</v>
      </c>
      <c r="C5433">
        <v>543530</v>
      </c>
      <c r="D5433" t="s">
        <v>8520</v>
      </c>
      <c r="E5433" t="s">
        <v>847</v>
      </c>
    </row>
    <row r="5434" spans="2:5">
      <c r="B5434" t="s">
        <v>8521</v>
      </c>
      <c r="C5434">
        <v>543531</v>
      </c>
      <c r="D5434" t="s">
        <v>8522</v>
      </c>
      <c r="E5434" t="s">
        <v>537</v>
      </c>
    </row>
    <row r="5435" spans="2:5">
      <c r="B5435" t="s">
        <v>8523</v>
      </c>
      <c r="C5435">
        <v>543532</v>
      </c>
      <c r="D5435" t="s">
        <v>8524</v>
      </c>
      <c r="E5435" t="s">
        <v>8090</v>
      </c>
    </row>
    <row r="5436" spans="2:5">
      <c r="B5436" t="s">
        <v>8525</v>
      </c>
      <c r="C5436">
        <v>543533</v>
      </c>
      <c r="D5436" t="s">
        <v>8526</v>
      </c>
      <c r="E5436" t="s">
        <v>8446</v>
      </c>
    </row>
    <row r="5437" spans="2:5">
      <c r="B5437" t="s">
        <v>8527</v>
      </c>
      <c r="C5437">
        <v>543534</v>
      </c>
      <c r="D5437" t="s">
        <v>8528</v>
      </c>
      <c r="E5437" t="s">
        <v>499</v>
      </c>
    </row>
    <row r="5438" spans="2:5">
      <c r="B5438" t="s">
        <v>8529</v>
      </c>
      <c r="C5438">
        <v>543535</v>
      </c>
      <c r="D5438" t="s">
        <v>8530</v>
      </c>
      <c r="E5438" t="s">
        <v>8309</v>
      </c>
    </row>
    <row r="5439" spans="2:5">
      <c r="B5439" t="s">
        <v>8531</v>
      </c>
      <c r="C5439">
        <v>543536</v>
      </c>
      <c r="D5439" t="s">
        <v>8532</v>
      </c>
      <c r="E5439" t="s">
        <v>8065</v>
      </c>
    </row>
    <row r="5440" spans="2:5">
      <c r="B5440" t="s">
        <v>8533</v>
      </c>
      <c r="C5440">
        <v>590136</v>
      </c>
      <c r="D5440" t="s">
        <v>8534</v>
      </c>
      <c r="E5440" t="s">
        <v>38</v>
      </c>
    </row>
    <row r="5441" spans="2:5">
      <c r="B5441" t="s">
        <v>8535</v>
      </c>
      <c r="C5441">
        <v>590137</v>
      </c>
      <c r="D5441" t="s">
        <v>8536</v>
      </c>
      <c r="E5441" t="s">
        <v>38</v>
      </c>
    </row>
    <row r="5442" spans="2:5">
      <c r="B5442" t="s">
        <v>8537</v>
      </c>
      <c r="C5442">
        <v>590138</v>
      </c>
      <c r="D5442" t="s">
        <v>8538</v>
      </c>
      <c r="E5442" t="s">
        <v>38</v>
      </c>
    </row>
  </sheetData>
  <autoFilter ref="B2:E5442" xr:uid="{3F5A4FAD-9014-4CE1-B80B-40822D7266D7}"/>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vt:i4>
      </vt:variant>
    </vt:vector>
  </HeadingPairs>
  <TitlesOfParts>
    <vt:vector size="23" baseType="lpstr">
      <vt:lpstr>Data&gt;</vt:lpstr>
      <vt:lpstr>Football Field Analysis</vt:lpstr>
      <vt:lpstr>VAR</vt:lpstr>
      <vt:lpstr>Altman Z Score</vt:lpstr>
      <vt:lpstr>DCF&gt;</vt:lpstr>
      <vt:lpstr>WACC</vt:lpstr>
      <vt:lpstr>Intrisic Growth</vt:lpstr>
      <vt:lpstr>Beta - Regression</vt:lpstr>
      <vt:lpstr>Relative valuation</vt:lpstr>
      <vt:lpstr>Beta - Comps</vt:lpstr>
      <vt:lpstr>Rm</vt:lpstr>
      <vt:lpstr>Analysis</vt:lpstr>
      <vt:lpstr>HistoricalFS</vt:lpstr>
      <vt:lpstr>Raw FS</vt:lpstr>
      <vt:lpstr>Data Sheet</vt:lpstr>
      <vt:lpstr>CFS</vt:lpstr>
      <vt:lpstr>Data Sheet 2</vt:lpstr>
      <vt:lpstr>Relative Data</vt:lpstr>
      <vt:lpstr>Sheet1</vt:lpstr>
      <vt:lpstr>List Of Stocks</vt:lpstr>
      <vt:lpstr>'Altman Z Score'!Print_Area</vt:lpstr>
      <vt:lpstr>Analysis!Print_Area</vt:lpstr>
      <vt:lpstr>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Valuation School</dc:creator>
  <cp:lastModifiedBy>harshit narwat</cp:lastModifiedBy>
  <cp:lastPrinted>2026-07-04T13:49:35Z</cp:lastPrinted>
  <dcterms:created xsi:type="dcterms:W3CDTF">2023-02-06T14:53:36Z</dcterms:created>
  <dcterms:modified xsi:type="dcterms:W3CDTF">2026-08-27T11:18:32Z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{1EE99B22-FCBF-4602-91E6-C0830BFCF47D}</vt:lpwstr>
  </property>
</Properties>
</file>